
<file path=[Content_Types].xml><?xml version="1.0" encoding="utf-8"?>
<Types xmlns="http://schemas.openxmlformats.org/package/2006/content-types">
  <Override PartName="/xl/worksheets/sheet12.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4.xml" ContentType="application/vnd.openxmlformats-officedocument.spreadsheetml.worksheet+xml"/>
  <Override PartName="/docProps/app.xml" ContentType="application/vnd.openxmlformats-officedocument.extended-properties+xml"/>
  <Override PartName="/xl/worksheets/sheet7.xml" ContentType="application/vnd.openxmlformats-officedocument.spreadsheetml.worksheet+xml"/>
  <Override PartName="/xl/externalLinks/externalLink2.xml" ContentType="application/vnd.openxmlformats-officedocument.spreadsheetml.externalLink+xml"/>
  <Override PartName="/xl/worksheets/sheet9.xml" ContentType="application/vnd.openxmlformats-officedocument.spreadsheetml.worksheet+xml"/>
  <Override PartName="/xl/charts/chart2.xml" ContentType="application/vnd.openxmlformats-officedocument.drawingml.chart+xml"/>
  <Override PartName="/xl/worksheets/sheet1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Default Extension="vml" ContentType="application/vnd.openxmlformats-officedocument.vmlDrawing"/>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xl/workbook.xml" ContentType="application/vnd.openxmlformats-officedocument.spreadsheetml.sheet.main+xml"/>
  <Override PartName="/docProps/core.xml" ContentType="application/vnd.openxmlformats-package.core-properties+xml"/>
  <Override PartName="/xl/charts/chart3.xml" ContentType="application/vnd.openxmlformats-officedocument.drawingml.chart+xml"/>
  <Default Extension="xml" ContentType="application/xml"/>
  <Override PartName="/xl/worksheets/sheet3.xml" ContentType="application/vnd.openxmlformats-officedocument.spreadsheetml.worksheet+xml"/>
  <Override PartName="/xl/externalLinks/externalLink1.xml" ContentType="application/vnd.openxmlformats-officedocument.spreadsheetml.externalLink+xml"/>
  <Override PartName="/xl/worksheets/sheet4.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harts/chart1.xml" ContentType="application/vnd.openxmlformats-officedocument.drawingml.chart+xml"/>
  <Override PartName="/xl/worksheets/sheet6.xml" ContentType="application/vnd.openxmlformats-officedocument.spreadsheetml.worksheet+xml"/>
  <Default Extension="rels" ContentType="application/vnd.openxmlformats-package.relationships+xml"/>
  <Override PartName="/docProps/custom.xml" ContentType="application/vnd.openxmlformats-officedocument.custom-properties+xml"/>
  <Override PartName="/xl/drawings/drawing1.xml" ContentType="application/vnd.openxmlformats-officedocument.drawing+xml"/>
  <Override PartName="/xl/worksheets/sheet1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480" yWindow="60" windowWidth="14220" windowHeight="8840"/>
  </bookViews>
  <sheets>
    <sheet name="Legend" sheetId="15" r:id="rId1"/>
    <sheet name="2006-07 without school constr" sheetId="5" r:id="rId2"/>
    <sheet name="2006-07 St Dist w school constr" sheetId="4" r:id="rId3"/>
    <sheet name="FY07 Figures 1,2,4" sheetId="7" r:id="rId4"/>
    <sheet name="Figure 3" sheetId="14" r:id="rId5"/>
    <sheet name="Figure 5" sheetId="13" r:id="rId6"/>
    <sheet name="Figure 6" sheetId="12" r:id="rId7"/>
    <sheet name="FY07 St Charter w Const" sheetId="6" r:id="rId8"/>
    <sheet name="2007 ST Fed Grants" sheetId="8" r:id="rId9"/>
    <sheet name="FY03 Figures 1,2,4" sheetId="9" r:id="rId10"/>
    <sheet name="FY03 Dist w school constr" sheetId="2" r:id="rId11"/>
    <sheet name="FY03 Charter w school const" sheetId="10" r:id="rId12"/>
    <sheet name="FY03 ST Fed Grants" sheetId="11" r:id="rId13"/>
    <sheet name="2002-03 without school constr " sheetId="3" r:id="rId14"/>
  </sheets>
  <externalReferences>
    <externalReference r:id="rId15"/>
    <externalReference r:id="rId16"/>
  </externalReferences>
  <definedNames>
    <definedName name="_xlnm._FilterDatabase" localSheetId="8" hidden="1">'2007 ST Fed Grants'!$A$1:$G$7121</definedName>
    <definedName name="_xlnm._FilterDatabase" localSheetId="12" hidden="1">'FY03 ST Fed Grants'!$A$1:$G$3826</definedName>
  </definedName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D196" i="4"/>
  <c r="H195"/>
  <c r="H196"/>
  <c r="G195"/>
  <c r="F194"/>
  <c r="D187"/>
  <c r="H186"/>
  <c r="H187"/>
  <c r="G186"/>
  <c r="F185"/>
  <c r="C170"/>
  <c r="D176"/>
  <c r="F170"/>
  <c r="D170"/>
  <c r="H170"/>
  <c r="G170"/>
  <c r="E170"/>
  <c r="G196"/>
  <c r="G187"/>
  <c r="H175"/>
  <c r="H176"/>
  <c r="G175"/>
  <c r="G176"/>
  <c r="E194"/>
  <c r="E185"/>
  <c r="E174"/>
  <c r="F174"/>
  <c r="F171"/>
  <c r="F175"/>
  <c r="F176"/>
  <c r="F182"/>
  <c r="F186"/>
  <c r="F187"/>
  <c r="E171"/>
  <c r="E175"/>
  <c r="E176"/>
  <c r="E182"/>
  <c r="E186"/>
  <c r="E187"/>
  <c r="D186"/>
  <c r="E188"/>
  <c r="F191"/>
  <c r="F195"/>
  <c r="F196"/>
  <c r="D175"/>
  <c r="H177"/>
  <c r="F177"/>
  <c r="G177"/>
  <c r="E177"/>
  <c r="E191"/>
  <c r="E195"/>
  <c r="E196"/>
  <c r="D195"/>
  <c r="F197"/>
  <c r="F188"/>
  <c r="H188"/>
  <c r="G188"/>
  <c r="E197"/>
  <c r="H197"/>
  <c r="G197"/>
  <c r="C345" i="8"/>
  <c r="C344"/>
  <c r="C246"/>
  <c r="C245"/>
  <c r="C167"/>
  <c r="C166"/>
  <c r="C343"/>
  <c r="C354"/>
  <c r="C244"/>
  <c r="C165"/>
  <c r="G34" i="10"/>
  <c r="G37"/>
  <c r="G38"/>
  <c r="F34"/>
  <c r="F37"/>
  <c r="F38"/>
  <c r="E34"/>
  <c r="E37"/>
  <c r="E38"/>
  <c r="D34"/>
  <c r="D37"/>
  <c r="D38"/>
  <c r="G15"/>
  <c r="G18"/>
  <c r="G19"/>
  <c r="F15"/>
  <c r="F18"/>
  <c r="F19"/>
  <c r="E15"/>
  <c r="E18"/>
  <c r="E19"/>
  <c r="G24"/>
  <c r="G27"/>
  <c r="G28"/>
  <c r="F24"/>
  <c r="F27"/>
  <c r="F28"/>
  <c r="E24"/>
  <c r="E27"/>
  <c r="E28"/>
  <c r="D24"/>
  <c r="D27"/>
  <c r="D28"/>
  <c r="D15"/>
  <c r="D18"/>
  <c r="D19"/>
  <c r="H37"/>
  <c r="D39"/>
  <c r="H27"/>
  <c r="D29"/>
  <c r="F29"/>
  <c r="E29"/>
  <c r="G29"/>
  <c r="H18"/>
  <c r="E20"/>
  <c r="G39"/>
  <c r="E39"/>
  <c r="F39"/>
  <c r="F20"/>
  <c r="G20"/>
  <c r="D20"/>
  <c r="G187" i="2"/>
  <c r="G188"/>
  <c r="F187"/>
  <c r="F188"/>
  <c r="G180"/>
  <c r="G181"/>
  <c r="F180"/>
  <c r="F181"/>
  <c r="F170"/>
  <c r="F173"/>
  <c r="F174"/>
  <c r="G170"/>
  <c r="G173"/>
  <c r="G174"/>
  <c r="E170"/>
  <c r="D170"/>
  <c r="E186"/>
  <c r="E179"/>
  <c r="D186"/>
  <c r="D179"/>
  <c r="E178"/>
  <c r="E180"/>
  <c r="E181"/>
  <c r="E185"/>
  <c r="E187"/>
  <c r="E188"/>
  <c r="E172"/>
  <c r="D172"/>
  <c r="E171"/>
  <c r="E173"/>
  <c r="E174"/>
  <c r="D171"/>
  <c r="D173"/>
  <c r="D174"/>
  <c r="D178"/>
  <c r="D180"/>
  <c r="D181"/>
  <c r="D185"/>
  <c r="D187"/>
  <c r="D188"/>
  <c r="H180"/>
  <c r="E182"/>
  <c r="H187"/>
  <c r="F189"/>
  <c r="G189"/>
  <c r="H173"/>
  <c r="F175"/>
  <c r="G175"/>
  <c r="E189"/>
  <c r="E175"/>
  <c r="D175"/>
  <c r="F182"/>
  <c r="G182"/>
  <c r="D182"/>
  <c r="D189"/>
  <c r="G13" i="9"/>
  <c r="G11"/>
  <c r="G10"/>
  <c r="G9"/>
  <c r="E13"/>
  <c r="E11"/>
  <c r="E10"/>
  <c r="E9"/>
  <c r="C11"/>
  <c r="C10"/>
  <c r="C13"/>
  <c r="C9"/>
  <c r="C14"/>
  <c r="F18"/>
  <c r="D18"/>
  <c r="B18"/>
  <c r="F24"/>
  <c r="D24"/>
  <c r="B24"/>
  <c r="F13"/>
  <c r="F11"/>
  <c r="D13"/>
  <c r="D11"/>
  <c r="B13"/>
  <c r="N28"/>
  <c r="B11"/>
  <c r="F16"/>
  <c r="D16"/>
  <c r="D19"/>
  <c r="B16"/>
  <c r="N33"/>
  <c r="M33"/>
  <c r="L33"/>
  <c r="K33"/>
  <c r="J33"/>
  <c r="N32"/>
  <c r="M32"/>
  <c r="L32"/>
  <c r="N31"/>
  <c r="M31"/>
  <c r="L31"/>
  <c r="K31"/>
  <c r="J31"/>
  <c r="M30"/>
  <c r="L30"/>
  <c r="N29"/>
  <c r="M29"/>
  <c r="L29"/>
  <c r="K29"/>
  <c r="J29"/>
  <c r="M28"/>
  <c r="L28"/>
  <c r="F19"/>
  <c r="B19"/>
  <c r="F17"/>
  <c r="D17"/>
  <c r="B17"/>
  <c r="G14"/>
  <c r="F5"/>
  <c r="K5"/>
  <c r="E14"/>
  <c r="E32"/>
  <c r="I5"/>
  <c r="I4"/>
  <c r="G32"/>
  <c r="G29"/>
  <c r="G28"/>
  <c r="G30"/>
  <c r="D5"/>
  <c r="K4"/>
  <c r="E28"/>
  <c r="E30"/>
  <c r="E29"/>
  <c r="C28"/>
  <c r="C29"/>
  <c r="B5"/>
  <c r="K3"/>
  <c r="C30"/>
  <c r="C32"/>
  <c r="N30"/>
  <c r="F9"/>
  <c r="J32"/>
  <c r="D9"/>
  <c r="J30"/>
  <c r="B9"/>
  <c r="J28"/>
  <c r="D10"/>
  <c r="K30"/>
  <c r="B10"/>
  <c r="K28"/>
  <c r="D14"/>
  <c r="D29"/>
  <c r="F10"/>
  <c r="K32"/>
  <c r="F14"/>
  <c r="F29"/>
  <c r="B14"/>
  <c r="B30"/>
  <c r="B32"/>
  <c r="B28"/>
  <c r="B29"/>
  <c r="F28"/>
  <c r="F30"/>
  <c r="F32"/>
  <c r="D22"/>
  <c r="D26"/>
  <c r="D25"/>
  <c r="D23"/>
  <c r="D32"/>
  <c r="D28"/>
  <c r="D30"/>
  <c r="B22"/>
  <c r="B26"/>
  <c r="B25"/>
  <c r="B23"/>
  <c r="F22"/>
  <c r="F26"/>
  <c r="F25"/>
  <c r="F23"/>
  <c r="D4"/>
  <c r="J4"/>
  <c r="F4"/>
  <c r="J5"/>
  <c r="B4"/>
  <c r="J3"/>
  <c r="F6"/>
  <c r="F35"/>
  <c r="F7"/>
  <c r="L5"/>
  <c r="B6"/>
  <c r="B7"/>
  <c r="B35"/>
  <c r="L3"/>
  <c r="D6"/>
  <c r="D35"/>
  <c r="L4"/>
  <c r="D7"/>
  <c r="F428" i="11"/>
  <c r="F427"/>
  <c r="F426"/>
  <c r="F343"/>
  <c r="F342"/>
  <c r="F341"/>
  <c r="F184"/>
  <c r="F183"/>
  <c r="F182"/>
  <c r="F32"/>
  <c r="F31"/>
  <c r="F30"/>
  <c r="I13" i="7"/>
  <c r="P35"/>
  <c r="O35"/>
  <c r="I11"/>
  <c r="N35"/>
  <c r="I10"/>
  <c r="M35"/>
  <c r="I9"/>
  <c r="L35"/>
  <c r="H13"/>
  <c r="P34"/>
  <c r="O34"/>
  <c r="H11"/>
  <c r="N34"/>
  <c r="H10"/>
  <c r="M34"/>
  <c r="H9"/>
  <c r="L34"/>
  <c r="G13"/>
  <c r="P33"/>
  <c r="O33"/>
  <c r="G11"/>
  <c r="N33"/>
  <c r="G10"/>
  <c r="M33"/>
  <c r="G9"/>
  <c r="L33"/>
  <c r="F13"/>
  <c r="P32"/>
  <c r="O32"/>
  <c r="F11"/>
  <c r="N32"/>
  <c r="F10"/>
  <c r="M32"/>
  <c r="F9"/>
  <c r="L32"/>
  <c r="P31"/>
  <c r="O31"/>
  <c r="N31"/>
  <c r="M31"/>
  <c r="L31"/>
  <c r="C13"/>
  <c r="P30"/>
  <c r="O30"/>
  <c r="C11"/>
  <c r="N30"/>
  <c r="C10"/>
  <c r="M30"/>
  <c r="C9"/>
  <c r="L30"/>
  <c r="B13"/>
  <c r="P29"/>
  <c r="O29"/>
  <c r="B11"/>
  <c r="N29"/>
  <c r="B10"/>
  <c r="M29"/>
  <c r="B9"/>
  <c r="L29"/>
  <c r="H14"/>
  <c r="H4"/>
  <c r="I14"/>
  <c r="H5"/>
  <c r="H6"/>
  <c r="N6"/>
  <c r="M6"/>
  <c r="L6"/>
  <c r="K6"/>
  <c r="F14"/>
  <c r="F4"/>
  <c r="G14"/>
  <c r="F5"/>
  <c r="F6"/>
  <c r="N5"/>
  <c r="M5"/>
  <c r="L5"/>
  <c r="K5"/>
  <c r="N4"/>
  <c r="M4"/>
  <c r="L4"/>
  <c r="B14"/>
  <c r="B4"/>
  <c r="C14"/>
  <c r="B5"/>
  <c r="B6"/>
  <c r="N3"/>
  <c r="M3"/>
  <c r="L3"/>
  <c r="H24"/>
  <c r="F24"/>
  <c r="F22"/>
  <c r="F26"/>
  <c r="F25"/>
  <c r="B24"/>
  <c r="H22"/>
  <c r="B22"/>
  <c r="H18"/>
  <c r="H16"/>
  <c r="H19"/>
  <c r="F18"/>
  <c r="F16"/>
  <c r="F19"/>
  <c r="B18"/>
  <c r="B16"/>
  <c r="B19"/>
  <c r="H17"/>
  <c r="F17"/>
  <c r="B17"/>
  <c r="D14"/>
  <c r="D32"/>
  <c r="E13"/>
  <c r="E10"/>
  <c r="I29"/>
  <c r="G30"/>
  <c r="G32"/>
  <c r="F29"/>
  <c r="F32"/>
  <c r="E14"/>
  <c r="G29"/>
  <c r="C30"/>
  <c r="E30"/>
  <c r="I30"/>
  <c r="I32"/>
  <c r="E9"/>
  <c r="E11"/>
  <c r="B7"/>
  <c r="F7"/>
  <c r="H7"/>
  <c r="F23"/>
  <c r="B26"/>
  <c r="B25"/>
  <c r="H26"/>
  <c r="H25"/>
  <c r="C28"/>
  <c r="E28"/>
  <c r="G28"/>
  <c r="I28"/>
  <c r="C29"/>
  <c r="E29"/>
  <c r="C32"/>
  <c r="E32"/>
  <c r="D28"/>
  <c r="D29"/>
  <c r="D30"/>
  <c r="H23"/>
  <c r="H32"/>
  <c r="B32"/>
  <c r="F30"/>
  <c r="H29"/>
  <c r="B29"/>
  <c r="F28"/>
  <c r="B23"/>
  <c r="H30"/>
  <c r="B30"/>
  <c r="H28"/>
  <c r="B28"/>
  <c r="B35"/>
  <c r="H35"/>
  <c r="F35"/>
  <c r="H37" i="6"/>
  <c r="H40"/>
  <c r="E37"/>
  <c r="E40"/>
  <c r="F37"/>
  <c r="F40"/>
  <c r="G37"/>
  <c r="G40"/>
  <c r="I40"/>
  <c r="H42"/>
  <c r="G42"/>
  <c r="F42"/>
  <c r="E42"/>
  <c r="H18"/>
  <c r="H21"/>
  <c r="E18"/>
  <c r="E21"/>
  <c r="F18"/>
  <c r="F21"/>
  <c r="G18"/>
  <c r="G21"/>
  <c r="I21"/>
  <c r="H23"/>
  <c r="G23"/>
  <c r="F23"/>
  <c r="E23"/>
  <c r="H27"/>
  <c r="H30"/>
  <c r="E27"/>
  <c r="E30"/>
  <c r="F27"/>
  <c r="F30"/>
  <c r="G27"/>
  <c r="G30"/>
  <c r="I30"/>
  <c r="H32"/>
  <c r="G32"/>
  <c r="F32"/>
  <c r="E32"/>
  <c r="C37"/>
  <c r="H41"/>
  <c r="G41"/>
  <c r="F41"/>
  <c r="E41"/>
  <c r="C27"/>
  <c r="H31"/>
  <c r="G31"/>
  <c r="F31"/>
  <c r="E31"/>
  <c r="C18"/>
  <c r="H22"/>
  <c r="G22"/>
  <c r="F22"/>
  <c r="E22"/>
</calcChain>
</file>

<file path=xl/sharedStrings.xml><?xml version="1.0" encoding="utf-8"?>
<sst xmlns="http://schemas.openxmlformats.org/spreadsheetml/2006/main" count="45412" uniqueCount="1828">
  <si>
    <t>Percentage of facilities revenue equals percentage of total enrollment for charter schools (&lt;, &gt;, or =)</t>
  </si>
  <si>
    <t>Statewide Weighted for Charter Enrollment</t>
  </si>
  <si>
    <t>n/a</t>
  </si>
  <si>
    <t>($1.1 billion)</t>
  </si>
  <si>
    <t>Statewide Weighted</t>
  </si>
  <si>
    <t>Figure 2: Per Pupil Revenue for Connecticut District vs. Charter Schools, FY 2006-07</t>
  </si>
  <si>
    <t>Legend</t>
  </si>
  <si>
    <t>Source</t>
  </si>
  <si>
    <t>Connecticut State Department of Education</t>
  </si>
  <si>
    <t>The conclusions reached in this document are those of the author(s) and do not necessarily represent those</t>
  </si>
  <si>
    <t xml:space="preserve">of Ball State University.  </t>
  </si>
  <si>
    <t>All files are "read only" and based on data collections from the Connecticut State Department of Education.</t>
  </si>
  <si>
    <t>1 For the fiscal years ending June 30, 2006, and June 30, 2007, the Commissioner of Education shall establish, within available bond authorizations, a grant program to assist state charter schools in financing (1) school building projects, as defined in section 10-282, (2) general improvements to school buildings, as defined in subsection (a) of section 10-265h, and (3) repayment of debt incurred prior to July 1, 2005, for school building projects. The governing authorities of such state charter schools may apply for such grants to the Department of Education at such time and in such manner as the commissioner prescribes. The commissioner shall give preference to applications that provide for matching funds from nonstate sources.</t>
  </si>
  <si>
    <t>N/A</t>
  </si>
  <si>
    <t>P2</t>
  </si>
  <si>
    <t>2 Charter schools authorized by a school district are eligible for local funds, but charter schools authorized by the state are not.  Currently, there are no charter schools in Connecticut authorized by school districts.</t>
  </si>
  <si>
    <t>&gt;</t>
  </si>
  <si>
    <t>&lt;</t>
  </si>
  <si>
    <t>3.  Charter schools authorized by the state receive their funding directly from the state, and all charter schools in Connecticut are state authorized.</t>
  </si>
  <si>
    <t>Cap on number of students attending charter schools</t>
  </si>
  <si>
    <t>4. State sponsored charter schools are limited to 250 students, 300 if a K-8 school.  However, schools that have a demonstrated record of achievement can petition to enroll up to 85 students per grade.</t>
  </si>
  <si>
    <t>5.  State sponsored charter schools receive a flat rate per pupil to provide education services with additional funding available for special education pupils.</t>
  </si>
  <si>
    <t>Figure 6: State Scorecard</t>
  </si>
  <si>
    <t>Connecticut</t>
  </si>
  <si>
    <t>Percentage of federal revenue equals percentage of total enrollment for charter schools (&lt;, &gt;, or =)</t>
  </si>
  <si>
    <t>Percentage of state revenue equals percentage of total enrollment for charter schools (&lt;, &gt;, or =)</t>
  </si>
  <si>
    <t>Percentage of local revenue equals percentage of total enrollment for charter schools (&lt;, &gt;, or =)</t>
  </si>
  <si>
    <t>Charters have access to local funds according to state statutes (Yes = black, No = white)</t>
  </si>
  <si>
    <t>Facilities Funding</t>
  </si>
  <si>
    <t>Charters have access to facilities funds according to state statutes (Yes = black, No = white)</t>
  </si>
  <si>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</si>
  <si>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</si>
  <si>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</si>
  <si>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</si>
  <si>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</si>
  <si>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t>State funds student (black) or the LEA (grey)</t>
  </si>
  <si>
    <t>S</t>
  </si>
  <si>
    <t>L</t>
  </si>
  <si>
    <t>Use these options for the query to the left only (B18)</t>
  </si>
  <si>
    <t>State funding formula is fair and equitable (Yes = black, No = white</t>
  </si>
  <si>
    <t>* For this finding, No could indicate that the statue is silent or that it denies access.</t>
  </si>
  <si>
    <t>1.  Connecticut law contains the following caps: 250 students per state board of education-authorized charter or 25 percent of the enrollment of the district in which the charter is located, whichever is less; 300 students per state board of education-authorized K-8 charter or 25 percent of the enrollment of the district in which the charter is located, whichever is less; and, for charters with a demonstrated record of achievement, 85 students per grade may be added.</t>
  </si>
  <si>
    <t>X</t>
  </si>
  <si>
    <t>2.  Charter schools authorized by the state receive their funding directly from the state, and all charter schools in Connecticut are state authorized.</t>
  </si>
  <si>
    <t>Y1</t>
  </si>
  <si>
    <t xml:space="preserve">Voc. Tech. Schools       </t>
  </si>
  <si>
    <t xml:space="preserve">Am School F/T Deaf       </t>
  </si>
  <si>
    <t>American School For The Deaf</t>
  </si>
  <si>
    <t xml:space="preserve">Dept Of Corrections      </t>
  </si>
  <si>
    <t>Dept of Children &amp; Family</t>
  </si>
  <si>
    <t xml:space="preserve">Norwich Free Acdmy       </t>
  </si>
  <si>
    <t xml:space="preserve">Gilbert School           </t>
  </si>
  <si>
    <t xml:space="preserve">Woodstock Academy        </t>
  </si>
  <si>
    <t xml:space="preserve">Towns Not Included       </t>
  </si>
  <si>
    <t>Robert C. Byrd Honors Scholarship</t>
  </si>
  <si>
    <t>Ct Writing Project</t>
  </si>
  <si>
    <t>Jason Project</t>
  </si>
  <si>
    <t>Special Ed. - DMH</t>
  </si>
  <si>
    <t>Pre-K</t>
  </si>
  <si>
    <t>Hew Haven Charters</t>
  </si>
  <si>
    <t>Bridgeport  District</t>
  </si>
  <si>
    <t>($146.2 million)</t>
  </si>
  <si>
    <t>($33.9 million)</t>
  </si>
  <si>
    <t>($49.7 million)</t>
  </si>
  <si>
    <t>Connecticut     (2002-03)</t>
  </si>
  <si>
    <t>State Charter School Policies</t>
  </si>
  <si>
    <t>Figure 3</t>
  </si>
  <si>
    <t>State Policies</t>
  </si>
  <si>
    <t>Yes</t>
  </si>
  <si>
    <t xml:space="preserve">No </t>
  </si>
  <si>
    <t>Partial</t>
  </si>
  <si>
    <t>Charter schools received their funding directly from the state</t>
  </si>
  <si>
    <t>Charter schools are eligible for local funding</t>
  </si>
  <si>
    <t>Cap on funding a charter school can receive</t>
  </si>
  <si>
    <t>District public school receive differential funding (e.g. more funding for 9-12 vs. K-8 schools)</t>
  </si>
  <si>
    <t>Charter schools receive differential funding</t>
  </si>
  <si>
    <t>State allows districts to withhold funding from charter schools for providing adminstrative services</t>
  </si>
  <si>
    <t>State "holds harmless" ditrict funding for charter enrollment</t>
  </si>
  <si>
    <t>School is considered LEA if authorized by non-district organization</t>
  </si>
  <si>
    <t>School is considered LEA if authorized by district</t>
  </si>
  <si>
    <t>Cap on number of charter schools</t>
  </si>
  <si>
    <t>Cap on number of charters schools authorized per year</t>
  </si>
  <si>
    <t>Charter schools have an open enrollment policy</t>
  </si>
  <si>
    <t>Percentage of stuents eligible for free or reduced price lunch</t>
  </si>
  <si>
    <t>Percentage of schools eligible for Title 1</t>
  </si>
  <si>
    <t>Percent of students by school type</t>
  </si>
  <si>
    <t>Primary (K-5)</t>
  </si>
  <si>
    <t>Middle (6-8)</t>
  </si>
  <si>
    <t>High (9-12)</t>
  </si>
  <si>
    <t>Other (K-12,K-8, etc.)</t>
  </si>
  <si>
    <t>Findings</t>
  </si>
  <si>
    <t>Use the following options only</t>
  </si>
  <si>
    <t>Federal Funding</t>
  </si>
  <si>
    <t>Charters have access to federal funds according to state statutes (Yes = black, No = white)*</t>
  </si>
  <si>
    <t>Y</t>
  </si>
  <si>
    <t>P</t>
  </si>
  <si>
    <t>N</t>
  </si>
  <si>
    <t>State Funding</t>
  </si>
  <si>
    <t>Charters have access to state funds according to state statutes (Yes = black, No = white)</t>
  </si>
  <si>
    <t>Local Funding</t>
  </si>
  <si>
    <t xml:space="preserve">Weston                   </t>
  </si>
  <si>
    <t xml:space="preserve">Westport                 </t>
  </si>
  <si>
    <t xml:space="preserve">Wethersfield             </t>
  </si>
  <si>
    <t xml:space="preserve">Willington               </t>
  </si>
  <si>
    <t xml:space="preserve">Wilton                   </t>
  </si>
  <si>
    <t xml:space="preserve">Winchester               </t>
  </si>
  <si>
    <t xml:space="preserve">Windham                  </t>
  </si>
  <si>
    <t xml:space="preserve">Windsor                  </t>
  </si>
  <si>
    <t xml:space="preserve">Windsor Locks            </t>
  </si>
  <si>
    <t xml:space="preserve">Wolcott                  </t>
  </si>
  <si>
    <t xml:space="preserve">Woodbridge               </t>
  </si>
  <si>
    <t xml:space="preserve">Woodbury                 </t>
  </si>
  <si>
    <t xml:space="preserve">Woodstock                </t>
  </si>
  <si>
    <t xml:space="preserve">Region # 1               </t>
  </si>
  <si>
    <t xml:space="preserve">Region # 4               </t>
  </si>
  <si>
    <t xml:space="preserve">Region # 5               </t>
  </si>
  <si>
    <t xml:space="preserve">Region # 6               </t>
  </si>
  <si>
    <t xml:space="preserve">Region # 7               </t>
  </si>
  <si>
    <t xml:space="preserve">Region # 8               </t>
  </si>
  <si>
    <t xml:space="preserve">Region # 9               </t>
  </si>
  <si>
    <t xml:space="preserve">Region # 10              </t>
  </si>
  <si>
    <t xml:space="preserve">Region # 11              </t>
  </si>
  <si>
    <t xml:space="preserve">Region # 12              </t>
  </si>
  <si>
    <t xml:space="preserve">Region # 13              </t>
  </si>
  <si>
    <t xml:space="preserve">Region # 14              </t>
  </si>
  <si>
    <t xml:space="preserve">Region # 15              </t>
  </si>
  <si>
    <t xml:space="preserve">Region # 16              </t>
  </si>
  <si>
    <t xml:space="preserve">Region # 17              </t>
  </si>
  <si>
    <t xml:space="preserve">Region # 18              </t>
  </si>
  <si>
    <t xml:space="preserve">Region # 19              </t>
  </si>
  <si>
    <t xml:space="preserve">Shared Services          </t>
  </si>
  <si>
    <t>East of the River Coop</t>
  </si>
  <si>
    <t xml:space="preserve">C R E C                  </t>
  </si>
  <si>
    <t>School To Work - Federal</t>
  </si>
  <si>
    <t>Teacher Quality Enhancement Pgm</t>
  </si>
  <si>
    <t>Regional Education Service Centers</t>
  </si>
  <si>
    <t>RESC Leases</t>
  </si>
  <si>
    <t>School To Career Opportunities</t>
  </si>
  <si>
    <t xml:space="preserve">Education Connection     </t>
  </si>
  <si>
    <t xml:space="preserve">C E S                    </t>
  </si>
  <si>
    <t xml:space="preserve">A C E S                  </t>
  </si>
  <si>
    <t>Institute For Teaching And Learning</t>
  </si>
  <si>
    <t>Jobs For Connecticut Graduates</t>
  </si>
  <si>
    <t xml:space="preserve">Project Learn            </t>
  </si>
  <si>
    <t xml:space="preserve">E A S T C O N N          </t>
  </si>
  <si>
    <t>Charter School Federal Start-Up</t>
  </si>
  <si>
    <t>HIV/STD Prevention Education</t>
  </si>
  <si>
    <t>Title I Neglected Or Delinquent</t>
  </si>
  <si>
    <t>Other State Grants</t>
  </si>
  <si>
    <t xml:space="preserve">Jumoke Academy           </t>
  </si>
  <si>
    <t>Charter Schools</t>
  </si>
  <si>
    <t xml:space="preserve">Odyssey Comm. School     </t>
  </si>
  <si>
    <t xml:space="preserve">Integrated Day           </t>
  </si>
  <si>
    <t xml:space="preserve">Inter. Sch. Art/Comm     </t>
  </si>
  <si>
    <t xml:space="preserve">Common Ground H.S.       </t>
  </si>
  <si>
    <t xml:space="preserve">The Bridge Academy       </t>
  </si>
  <si>
    <t xml:space="preserve">Side By Side Com Sch     </t>
  </si>
  <si>
    <t xml:space="preserve">Explorations             </t>
  </si>
  <si>
    <t xml:space="preserve">Brooklawn Academy        </t>
  </si>
  <si>
    <t xml:space="preserve">Highville School         </t>
  </si>
  <si>
    <t xml:space="preserve">Trailblazers             </t>
  </si>
  <si>
    <t xml:space="preserve">Amistad Academy          </t>
  </si>
  <si>
    <t>New Beginnings</t>
  </si>
  <si>
    <t>Learn And Serve America</t>
  </si>
  <si>
    <t xml:space="preserve">New Milford              </t>
  </si>
  <si>
    <t xml:space="preserve">Newtown                  </t>
  </si>
  <si>
    <t xml:space="preserve">Norfolk                  </t>
  </si>
  <si>
    <t xml:space="preserve">North Branford           </t>
  </si>
  <si>
    <t xml:space="preserve">North Canaan             </t>
  </si>
  <si>
    <t xml:space="preserve">North Haven              </t>
  </si>
  <si>
    <t xml:space="preserve">North Stonington         </t>
  </si>
  <si>
    <t xml:space="preserve">Norwalk                  </t>
  </si>
  <si>
    <t xml:space="preserve">Norwich                  </t>
  </si>
  <si>
    <t xml:space="preserve">Old Lyme                 </t>
  </si>
  <si>
    <t xml:space="preserve">Old Saybrook             </t>
  </si>
  <si>
    <t xml:space="preserve">Orange                   </t>
  </si>
  <si>
    <t xml:space="preserve">Oxford                   </t>
  </si>
  <si>
    <t xml:space="preserve">Plainfield               </t>
  </si>
  <si>
    <t xml:space="preserve">Plainville               </t>
  </si>
  <si>
    <t xml:space="preserve">Plymouth                 </t>
  </si>
  <si>
    <t xml:space="preserve">Pomfret                  </t>
  </si>
  <si>
    <t xml:space="preserve">Portland                 </t>
  </si>
  <si>
    <t xml:space="preserve">Preston                  </t>
  </si>
  <si>
    <t xml:space="preserve">Prospect                 </t>
  </si>
  <si>
    <t xml:space="preserve">Putnam                   </t>
  </si>
  <si>
    <t xml:space="preserve">Redding                  </t>
  </si>
  <si>
    <t xml:space="preserve">Ridgefield               </t>
  </si>
  <si>
    <t xml:space="preserve">Rocky Hill               </t>
  </si>
  <si>
    <t xml:space="preserve">Roxbury                  </t>
  </si>
  <si>
    <t xml:space="preserve">Salem                    </t>
  </si>
  <si>
    <t xml:space="preserve">Salisbury                </t>
  </si>
  <si>
    <t xml:space="preserve">Scotland                 </t>
  </si>
  <si>
    <t xml:space="preserve">Seymour                  </t>
  </si>
  <si>
    <t xml:space="preserve">Sharon                   </t>
  </si>
  <si>
    <t xml:space="preserve">Shelton                  </t>
  </si>
  <si>
    <t xml:space="preserve">Sherman                  </t>
  </si>
  <si>
    <t xml:space="preserve">Simsbury                 </t>
  </si>
  <si>
    <t xml:space="preserve">Somers                   </t>
  </si>
  <si>
    <t xml:space="preserve">Southbury                </t>
  </si>
  <si>
    <t xml:space="preserve">Southington              </t>
  </si>
  <si>
    <t xml:space="preserve">South Windsor            </t>
  </si>
  <si>
    <t xml:space="preserve">Sprague                  </t>
  </si>
  <si>
    <t xml:space="preserve">Stafford                 </t>
  </si>
  <si>
    <t xml:space="preserve">Stamford                 </t>
  </si>
  <si>
    <t xml:space="preserve">Sterling                 </t>
  </si>
  <si>
    <t xml:space="preserve">Stonington               </t>
  </si>
  <si>
    <t xml:space="preserve">Stratford                </t>
  </si>
  <si>
    <t xml:space="preserve">Suffield                 </t>
  </si>
  <si>
    <t xml:space="preserve">Thomaston                </t>
  </si>
  <si>
    <t xml:space="preserve">Thompson                 </t>
  </si>
  <si>
    <t>Title I-Capital Expenses</t>
  </si>
  <si>
    <t xml:space="preserve">Tolland                  </t>
  </si>
  <si>
    <t xml:space="preserve">Torrington               </t>
  </si>
  <si>
    <t xml:space="preserve">Trumbull                 </t>
  </si>
  <si>
    <t xml:space="preserve">Union                    </t>
  </si>
  <si>
    <t xml:space="preserve">Vernon                   </t>
  </si>
  <si>
    <t xml:space="preserve">Voluntown                </t>
  </si>
  <si>
    <t xml:space="preserve">Wallingford              </t>
  </si>
  <si>
    <t xml:space="preserve">Warren                   </t>
  </si>
  <si>
    <t xml:space="preserve">Washington               </t>
  </si>
  <si>
    <t xml:space="preserve">Waterbury                </t>
  </si>
  <si>
    <t xml:space="preserve">Waterford                </t>
  </si>
  <si>
    <t xml:space="preserve">Watertown                </t>
  </si>
  <si>
    <t xml:space="preserve">Westbrook                </t>
  </si>
  <si>
    <t xml:space="preserve">West Hartford            </t>
  </si>
  <si>
    <t xml:space="preserve">West Haven               </t>
  </si>
  <si>
    <t xml:space="preserve">Darien                   </t>
  </si>
  <si>
    <t>A</t>
  </si>
  <si>
    <t xml:space="preserve">Deep River               </t>
  </si>
  <si>
    <t xml:space="preserve">Derby                    </t>
  </si>
  <si>
    <t xml:space="preserve">Durham                   </t>
  </si>
  <si>
    <t xml:space="preserve">Eastford                 </t>
  </si>
  <si>
    <t xml:space="preserve">East Granby              </t>
  </si>
  <si>
    <t xml:space="preserve">East Haddam              </t>
  </si>
  <si>
    <t xml:space="preserve">East Hampton             </t>
  </si>
  <si>
    <t xml:space="preserve">East Hartford            </t>
  </si>
  <si>
    <t xml:space="preserve">East Haven               </t>
  </si>
  <si>
    <t xml:space="preserve">East Lyme                </t>
  </si>
  <si>
    <t xml:space="preserve">Easton                   </t>
  </si>
  <si>
    <t xml:space="preserve">East Windsor             </t>
  </si>
  <si>
    <t xml:space="preserve">Ellington                </t>
  </si>
  <si>
    <t xml:space="preserve">Enfield                  </t>
  </si>
  <si>
    <t xml:space="preserve">Essex                    </t>
  </si>
  <si>
    <t xml:space="preserve">Fairfield                </t>
  </si>
  <si>
    <t xml:space="preserve">Farmington               </t>
  </si>
  <si>
    <t xml:space="preserve">Franklin                 </t>
  </si>
  <si>
    <t xml:space="preserve">Glastonbury              </t>
  </si>
  <si>
    <t xml:space="preserve">Goshen                   </t>
  </si>
  <si>
    <t xml:space="preserve">Granby                   </t>
  </si>
  <si>
    <t xml:space="preserve">Greenwich                </t>
  </si>
  <si>
    <t xml:space="preserve">Griswold                 </t>
  </si>
  <si>
    <t xml:space="preserve">Groton                   </t>
  </si>
  <si>
    <t xml:space="preserve">Guilford                 </t>
  </si>
  <si>
    <t xml:space="preserve">Haddam                   </t>
  </si>
  <si>
    <t xml:space="preserve">Hamden                   </t>
  </si>
  <si>
    <t xml:space="preserve">Hampton                  </t>
  </si>
  <si>
    <t xml:space="preserve">Hartford                 </t>
  </si>
  <si>
    <t xml:space="preserve">Hartland                 </t>
  </si>
  <si>
    <t xml:space="preserve">Harwinton                </t>
  </si>
  <si>
    <t xml:space="preserve">Hebron                   </t>
  </si>
  <si>
    <t xml:space="preserve">Kent                     </t>
  </si>
  <si>
    <t xml:space="preserve">Killingly                </t>
  </si>
  <si>
    <t xml:space="preserve">Killingworth             </t>
  </si>
  <si>
    <t xml:space="preserve">Lebanon                  </t>
  </si>
  <si>
    <t xml:space="preserve">Ledyard                  </t>
  </si>
  <si>
    <t xml:space="preserve">Lisbon                   </t>
  </si>
  <si>
    <t xml:space="preserve">Litchfield               </t>
  </si>
  <si>
    <t xml:space="preserve">Lyme                     </t>
  </si>
  <si>
    <t xml:space="preserve">Madison                  </t>
  </si>
  <si>
    <t xml:space="preserve">Manchester               </t>
  </si>
  <si>
    <t>Head Start</t>
  </si>
  <si>
    <t xml:space="preserve">Mansfield                </t>
  </si>
  <si>
    <t xml:space="preserve">Marlborough              </t>
  </si>
  <si>
    <t xml:space="preserve">Meriden                  </t>
  </si>
  <si>
    <t xml:space="preserve">Middlebury               </t>
  </si>
  <si>
    <t xml:space="preserve">Middlefield              </t>
  </si>
  <si>
    <t xml:space="preserve">Middletown               </t>
  </si>
  <si>
    <t>Tech Prep</t>
  </si>
  <si>
    <t xml:space="preserve">Milford                  </t>
  </si>
  <si>
    <t xml:space="preserve">Monroe                   </t>
  </si>
  <si>
    <t xml:space="preserve">Montville                </t>
  </si>
  <si>
    <t xml:space="preserve">Morris                   </t>
  </si>
  <si>
    <t xml:space="preserve">Naugatuck                </t>
  </si>
  <si>
    <t xml:space="preserve">New Britain              </t>
  </si>
  <si>
    <t xml:space="preserve">New Canaan               </t>
  </si>
  <si>
    <t xml:space="preserve">New Fairfield            </t>
  </si>
  <si>
    <t xml:space="preserve">New Hartford             </t>
  </si>
  <si>
    <t xml:space="preserve">New Haven                </t>
  </si>
  <si>
    <t>Refugee Children School Impact</t>
  </si>
  <si>
    <t xml:space="preserve">Newington                </t>
  </si>
  <si>
    <t xml:space="preserve">New London               </t>
  </si>
  <si>
    <t>Child Nutrition State Match</t>
  </si>
  <si>
    <t>Early Reading Success</t>
  </si>
  <si>
    <t>Interdistrict Cooperative</t>
  </si>
  <si>
    <t>Nonpublic Health Services</t>
  </si>
  <si>
    <t>Open Choice Program</t>
  </si>
  <si>
    <t>School Building Projects</t>
  </si>
  <si>
    <t>School Readiness -Severe Need</t>
  </si>
  <si>
    <t>Sp. Ed. - State Agency Placements</t>
  </si>
  <si>
    <t>Transportation-Nonpublic</t>
  </si>
  <si>
    <t>Youth Service Bureau</t>
  </si>
  <si>
    <t xml:space="preserve">Ashford                  </t>
  </si>
  <si>
    <t>E</t>
  </si>
  <si>
    <t>Primary Mental Health</t>
  </si>
  <si>
    <t>Safe Learning Grant</t>
  </si>
  <si>
    <t xml:space="preserve">Avon                     </t>
  </si>
  <si>
    <t>B</t>
  </si>
  <si>
    <t>Magnet School</t>
  </si>
  <si>
    <t xml:space="preserve">Barkhamsted              </t>
  </si>
  <si>
    <t xml:space="preserve">Beacon Falls             </t>
  </si>
  <si>
    <t xml:space="preserve">Berlin                   </t>
  </si>
  <si>
    <t>D</t>
  </si>
  <si>
    <t xml:space="preserve">Bethany                  </t>
  </si>
  <si>
    <t xml:space="preserve">Bethel                   </t>
  </si>
  <si>
    <t xml:space="preserve">Bethlehem                </t>
  </si>
  <si>
    <t xml:space="preserve">Bloomfield               </t>
  </si>
  <si>
    <t>G</t>
  </si>
  <si>
    <t>Family Resource Center Program</t>
  </si>
  <si>
    <t>Priority School Districts</t>
  </si>
  <si>
    <t>School Accountability-Summer Schl</t>
  </si>
  <si>
    <t>Vocational Agriculture</t>
  </si>
  <si>
    <t xml:space="preserve">Bolton                   </t>
  </si>
  <si>
    <t xml:space="preserve">Bozrah                   </t>
  </si>
  <si>
    <t xml:space="preserve">Branford                 </t>
  </si>
  <si>
    <t xml:space="preserve">Bridgeport               </t>
  </si>
  <si>
    <t>I</t>
  </si>
  <si>
    <t>Comprehensive School Reform</t>
  </si>
  <si>
    <t>Even Start Family Literacy Program</t>
  </si>
  <si>
    <t>Other Federal Grants</t>
  </si>
  <si>
    <t>Reading Excellence</t>
  </si>
  <si>
    <t>Title 1 Migrant-Consortium</t>
  </si>
  <si>
    <t>Title I - School Improvement</t>
  </si>
  <si>
    <t>Title I Migrant</t>
  </si>
  <si>
    <t>Title II - Eisenhower Prof. Dev.</t>
  </si>
  <si>
    <t>Title VI-Class Size Reduction Pgm</t>
  </si>
  <si>
    <t>Bilingual Education</t>
  </si>
  <si>
    <t>Extended School Hours</t>
  </si>
  <si>
    <t>Lighthouse School</t>
  </si>
  <si>
    <t>Young Parents Program</t>
  </si>
  <si>
    <t xml:space="preserve">Bridgewater              </t>
  </si>
  <si>
    <t xml:space="preserve">Bristol                  </t>
  </si>
  <si>
    <t xml:space="preserve">Brookfield               </t>
  </si>
  <si>
    <t xml:space="preserve">Brooklyn                 </t>
  </si>
  <si>
    <t xml:space="preserve">Burlington               </t>
  </si>
  <si>
    <t xml:space="preserve">Canaan                   </t>
  </si>
  <si>
    <t xml:space="preserve">Canterbury               </t>
  </si>
  <si>
    <t>F</t>
  </si>
  <si>
    <t xml:space="preserve">Canton                   </t>
  </si>
  <si>
    <t xml:space="preserve">Chaplin                  </t>
  </si>
  <si>
    <t xml:space="preserve">Cheshire                 </t>
  </si>
  <si>
    <t xml:space="preserve">Chester                  </t>
  </si>
  <si>
    <t xml:space="preserve">Clinton                  </t>
  </si>
  <si>
    <t xml:space="preserve">Colchester               </t>
  </si>
  <si>
    <t xml:space="preserve">Colebrook                </t>
  </si>
  <si>
    <t xml:space="preserve">Columbia                 </t>
  </si>
  <si>
    <t xml:space="preserve">Cornwall                 </t>
  </si>
  <si>
    <t xml:space="preserve">Coventry                 </t>
  </si>
  <si>
    <t xml:space="preserve">Cromwell                 </t>
  </si>
  <si>
    <t xml:space="preserve">Danbury                  </t>
  </si>
  <si>
    <t>financial data does not include financial information for the following schools</t>
  </si>
  <si>
    <t>therefore, their enrollments have been excluded.</t>
  </si>
  <si>
    <t>enrollment figures exclude preK population</t>
  </si>
  <si>
    <t>12,581 statewide</t>
  </si>
  <si>
    <t>553 Bridgeport</t>
  </si>
  <si>
    <t>1,406 New Haven</t>
  </si>
  <si>
    <t>150 statewide charters</t>
  </si>
  <si>
    <t>0 Bridgeport charters</t>
  </si>
  <si>
    <t>0 New Haven charters</t>
  </si>
  <si>
    <t>Federal Funds entitled child and adult care that have been isolated and removed</t>
  </si>
  <si>
    <t xml:space="preserve">relate to preschool centers and adult day care centers.  In some instances, </t>
  </si>
  <si>
    <t>preschool centers may offer an after school snace to at-risk K-12 students</t>
  </si>
  <si>
    <t xml:space="preserve">The state indicates that there is no way to isolate the funds pertaining to </t>
  </si>
  <si>
    <t>snacks and that the amount is minor.</t>
  </si>
  <si>
    <t>Bridgeport Total: 0</t>
  </si>
  <si>
    <t>New Haven Total:  297,992</t>
  </si>
  <si>
    <t>New Haven Preschool Total:  297,992</t>
  </si>
  <si>
    <t>New Haven Adult Total: 0</t>
  </si>
  <si>
    <t>Statewide Total 1,038,363</t>
  </si>
  <si>
    <t>Statewide Preschool Total: 1,003,815</t>
  </si>
  <si>
    <t>Statewide Adult Total: 34,548</t>
  </si>
  <si>
    <t>Less Adult Care Revenue</t>
  </si>
  <si>
    <t>Less Preschool Care Revenue</t>
  </si>
  <si>
    <t>enrollment less pk</t>
  </si>
  <si>
    <t>Connecticut      (2006-07)</t>
  </si>
  <si>
    <t>($85 million)</t>
  </si>
  <si>
    <t>($187.8 million)</t>
  </si>
  <si>
    <t xml:space="preserve"> town</t>
  </si>
  <si>
    <t>name</t>
  </si>
  <si>
    <t>drg</t>
  </si>
  <si>
    <t>grant_name</t>
  </si>
  <si>
    <t>grant_type</t>
  </si>
  <si>
    <t>pay2003</t>
  </si>
  <si>
    <t xml:space="preserve">Andover                  </t>
  </si>
  <si>
    <t>C</t>
  </si>
  <si>
    <t>IDEA Part B</t>
  </si>
  <si>
    <t>Preschool Grants Program</t>
  </si>
  <si>
    <t>School Renovation-IDEA And Tech</t>
  </si>
  <si>
    <t>Title I Improving Basic Programs</t>
  </si>
  <si>
    <t>Title IV Part A Safe &amp; Drug Free</t>
  </si>
  <si>
    <t>Education Cost Sharing Grant</t>
  </si>
  <si>
    <t>Sp. Ed. - Excess Cost</t>
  </si>
  <si>
    <t>State Funds For Tech Infrastructure</t>
  </si>
  <si>
    <t>Transportation - Public</t>
  </si>
  <si>
    <t xml:space="preserve">Ansonia                  </t>
  </si>
  <si>
    <t>H</t>
  </si>
  <si>
    <t>21st Century Community Learng Cntrs</t>
  </si>
  <si>
    <t>Carl D Perkins Voc. &amp; Tech. Educ.</t>
  </si>
  <si>
    <t>Education Of Homeless Children</t>
  </si>
  <si>
    <t>Federal Child Nutrition Programs</t>
  </si>
  <si>
    <t>Goals 2000</t>
  </si>
  <si>
    <t>State Improvement Grant-Spec.</t>
  </si>
  <si>
    <t>Title II Part D Technology</t>
  </si>
  <si>
    <t>Title II-Part A Teachers</t>
  </si>
  <si>
    <t>Title III Part A English Language</t>
  </si>
  <si>
    <t>Title III-Emerg.Immigrant Educ.</t>
  </si>
  <si>
    <t>Title V-Innovative Educ Strategies</t>
  </si>
  <si>
    <t>Adult Education - Provider</t>
  </si>
  <si>
    <t>12060-20680-82064-2006</t>
  </si>
  <si>
    <t>12060-20680-82064-2007-170002-</t>
  </si>
  <si>
    <t>12060-20680-82064-2007</t>
  </si>
  <si>
    <t>12060-20742-84012-2007-      -</t>
  </si>
  <si>
    <t>12060-20742-84012-2007</t>
  </si>
  <si>
    <t>DHEM1</t>
  </si>
  <si>
    <t>BOARD OF HIGHER ED.</t>
  </si>
  <si>
    <t>12060-20761-82079-2007-      -</t>
  </si>
  <si>
    <t>ROBERT C. BYRD HONORS SCHOLARSHIP PGM</t>
  </si>
  <si>
    <t>12060-20761-82079-2007</t>
  </si>
  <si>
    <t>DOCM1</t>
  </si>
  <si>
    <t>DEPT OF CORRECTIONS</t>
  </si>
  <si>
    <t>DPWM1</t>
  </si>
  <si>
    <t>DPW-SCHOOL CONSTR. PROJECTS</t>
  </si>
  <si>
    <t>JUDM1</t>
  </si>
  <si>
    <t>CT JUDICIAL BRANCH - CSSD</t>
  </si>
  <si>
    <t>MHAM1</t>
  </si>
  <si>
    <t>DEPT MENTAL HEALTH  H</t>
  </si>
  <si>
    <t>11000-16072-82050-2007-      -</t>
  </si>
  <si>
    <t>SPECIAL ED. - DMH</t>
  </si>
  <si>
    <t>11000-16072-82050-2007</t>
  </si>
  <si>
    <t>OTTM1</t>
  </si>
  <si>
    <t>OFFICE OF THE STATE TREASURER</t>
  </si>
  <si>
    <t>SDEM1</t>
  </si>
  <si>
    <t>BUREAU OF VO TECHS</t>
  </si>
  <si>
    <t>12060-20784-84002-2006-170015-</t>
  </si>
  <si>
    <t>UOCM1</t>
  </si>
  <si>
    <t>UNIVERSITY OF CT.</t>
  </si>
  <si>
    <t>12060-20848-84013-2006-170002-SDE00014</t>
  </si>
  <si>
    <t>12060-20848-84013-2006</t>
  </si>
  <si>
    <t>Less PreK</t>
  </si>
  <si>
    <t>Less Adult</t>
  </si>
  <si>
    <t>Subtotal</t>
  </si>
  <si>
    <t>Statewide Total</t>
  </si>
  <si>
    <t>Bridgeport Total</t>
  </si>
  <si>
    <t>New Haven Total</t>
  </si>
  <si>
    <t>Notes:  Tuition contains a variety of revneue sources and includes non-resident student</t>
  </si>
  <si>
    <t>fees from CT districts as well as individuals.  Also includes the costs of transportation</t>
  </si>
  <si>
    <t>for said students, Medicaid reimbursements, 3rd party insurance and private contributions</t>
  </si>
  <si>
    <t xml:space="preserve">the state cannot provide more detailed data, therefore, Tuition is an indeterminate </t>
  </si>
  <si>
    <t>revenue stream.</t>
  </si>
  <si>
    <t xml:space="preserve">Local contains some revenues that otherwise would be considered Other, includes </t>
  </si>
  <si>
    <t>interest from investments, fees, etc.</t>
  </si>
  <si>
    <t xml:space="preserve">Data presented here is based on expentitures as school districts and charters in CT </t>
  </si>
  <si>
    <t xml:space="preserve">are not required to report revenue.  However, deductions of Adult Education and </t>
  </si>
  <si>
    <t>Preschool/PreK are based on revenue.</t>
  </si>
  <si>
    <t>Bridgeport Charters</t>
  </si>
  <si>
    <t>New Haven Charters</t>
  </si>
  <si>
    <t>Less Adult Ed</t>
  </si>
  <si>
    <t>Less Preschool/PreK</t>
  </si>
  <si>
    <t>CREC *</t>
  </si>
  <si>
    <t xml:space="preserve">EDUC CONNECTION </t>
  </si>
  <si>
    <t>CES *</t>
  </si>
  <si>
    <t>ACES *</t>
  </si>
  <si>
    <t xml:space="preserve">LEARN </t>
  </si>
  <si>
    <t>EASTCONN *</t>
  </si>
  <si>
    <t xml:space="preserve">DEPT CORRECTIONS </t>
  </si>
  <si>
    <t xml:space="preserve">D.C.F. </t>
  </si>
  <si>
    <t>CTHSS **</t>
  </si>
  <si>
    <t xml:space="preserve">NORWICH FREE ACD </t>
  </si>
  <si>
    <t xml:space="preserve">GILBERT SCHOOL </t>
  </si>
  <si>
    <t xml:space="preserve">WOODSTOCK ACDMY. </t>
  </si>
  <si>
    <t>12060-20977-82150-2006-170037-</t>
  </si>
  <si>
    <t>P.J. Parent Support</t>
  </si>
  <si>
    <t>12060-20977-82150-2006</t>
  </si>
  <si>
    <t>RAINBOW ACADEMY LLC</t>
  </si>
  <si>
    <t>ALMOST HOME ADULT DAYCARE LLC</t>
  </si>
  <si>
    <t>SENIOR CARE CENTERS OF CONNECTICUT INC</t>
  </si>
  <si>
    <t>MARITIME EDUC. NETWORK</t>
  </si>
  <si>
    <t>ELIZABETH IVES SCH-SPEC CHLDRN- INC</t>
  </si>
  <si>
    <t>LOCAL INITIATIVES</t>
  </si>
  <si>
    <t>11000-12331-82010-2007-      -</t>
  </si>
  <si>
    <t>EARLY CHILDHOOD EDUCATION CABINET</t>
  </si>
  <si>
    <t>11000-12331-82010-2007</t>
  </si>
  <si>
    <t>CHILDTIME CHILDCARE INC</t>
  </si>
  <si>
    <t>ST. MARTIN DE PORRES ACADEMY</t>
  </si>
  <si>
    <t>CAMP SLOANE- INC</t>
  </si>
  <si>
    <t>INTENSIVE EDUC. ACAD.</t>
  </si>
  <si>
    <t>12052-43062-82079-2007-      -</t>
  </si>
  <si>
    <t>INTENSIVE EDUCATION ACADEMY</t>
  </si>
  <si>
    <t>12052-43062-82079-2007</t>
  </si>
  <si>
    <t xml:space="preserve">MORNING GLORY EARLY LEARNING CENTER	</t>
  </si>
  <si>
    <t>YESHIVA GEDOLAH - WATERBURY</t>
  </si>
  <si>
    <t>ACADEMY-ART &amp; LRNG CHILDCARE</t>
  </si>
  <si>
    <t>KIDDIE ACADEMY OF BLOOMFIELD</t>
  </si>
  <si>
    <t>MONTESSORI SCH ON EDGEWOOD</t>
  </si>
  <si>
    <t>BAAM1</t>
  </si>
  <si>
    <t>BSAA/CT DIST LEARN</t>
  </si>
  <si>
    <t>CCCMB</t>
  </si>
  <si>
    <t>MANCHESTER CTC</t>
  </si>
  <si>
    <t>12060-20742-84011-2007-170002-</t>
  </si>
  <si>
    <t>12060-20742-84011-2007</t>
  </si>
  <si>
    <t>CCCMC</t>
  </si>
  <si>
    <t>NORTHWESTERN CT CTC</t>
  </si>
  <si>
    <t>CCCMD</t>
  </si>
  <si>
    <t>NORWALK CTC</t>
  </si>
  <si>
    <t>11000-17056-82079-2007-170003-SDE00005</t>
  </si>
  <si>
    <t>CCCME</t>
  </si>
  <si>
    <t>HOUSATONIC CTC</t>
  </si>
  <si>
    <t>CCCMF</t>
  </si>
  <si>
    <t>MIDDLESEX CTC</t>
  </si>
  <si>
    <t>12060-20742-84011-2006-170002-</t>
  </si>
  <si>
    <t>12060-20742-84011-2006</t>
  </si>
  <si>
    <t>CCCMG</t>
  </si>
  <si>
    <t>CAPITAL CTC</t>
  </si>
  <si>
    <t>CCCMH</t>
  </si>
  <si>
    <t>NAUGATUCK VALLEY CTC</t>
  </si>
  <si>
    <t>12060-20540-82079-2006-      -SDE00003</t>
  </si>
  <si>
    <t>12060-20548-82079-2006-      -SDE00003</t>
  </si>
  <si>
    <t>CCCMI</t>
  </si>
  <si>
    <t>GATEWAY COMMUNITY-TECHNICAL COLLEGE</t>
  </si>
  <si>
    <t>12060-20518-82079-2006-      -SDE00003</t>
  </si>
  <si>
    <t>12060-20518-82079-2007-      -SDE00003</t>
  </si>
  <si>
    <t>12060-20544-82079-2006-      -SDE00003</t>
  </si>
  <si>
    <t>12060-20544-82079-2007-      -SDE00003</t>
  </si>
  <si>
    <t>CCCMJ</t>
  </si>
  <si>
    <t>TUNXIS CTC</t>
  </si>
  <si>
    <t>CCCMK</t>
  </si>
  <si>
    <t>THREE RIVERS CTC</t>
  </si>
  <si>
    <t>CCCML</t>
  </si>
  <si>
    <t>QUINEBAUG VALLEY CTC</t>
  </si>
  <si>
    <t>CCCMM</t>
  </si>
  <si>
    <t>ASNUNTUCK CTC</t>
  </si>
  <si>
    <t>CSUM2</t>
  </si>
  <si>
    <t>CENTRAL CT STATE UNIVERSITY</t>
  </si>
  <si>
    <t>CSUM3</t>
  </si>
  <si>
    <t>SOUTHERN ST UNIV.</t>
  </si>
  <si>
    <t>CSUM5</t>
  </si>
  <si>
    <t>WESTERN STATE UNIV.</t>
  </si>
  <si>
    <t>DASS1</t>
  </si>
  <si>
    <t>DEPT OF ADMIN SERVICES</t>
  </si>
  <si>
    <t>DCFM1</t>
  </si>
  <si>
    <t>UNIFIED SCHOOL DIST II - LUNCH</t>
  </si>
  <si>
    <t>11000-16072-82051-2007-      -</t>
  </si>
  <si>
    <t>12060-20680-82064-2006-170002-</t>
  </si>
  <si>
    <t>TITLE I- (ESEA) STATE N &amp; D</t>
  </si>
  <si>
    <t>STAMFORD CATH REG SCH SYSTEM</t>
  </si>
  <si>
    <t>THOMPSON ECUMENICAL EMPOWERMENT GROUP</t>
  </si>
  <si>
    <t>NOROTON HEIGHTS</t>
  </si>
  <si>
    <t>ODDFELLOWS PLAYHOUSE</t>
  </si>
  <si>
    <t>CT ASSN PUB SCH SUPT</t>
  </si>
  <si>
    <t>12060-20858-84131-2007-170062-</t>
  </si>
  <si>
    <t>CAMP HAZEN YMCA</t>
  </si>
  <si>
    <t>OCEANOLOGY</t>
  </si>
  <si>
    <t>COMMUNITY DEVELOPMENT INST HEAD START</t>
  </si>
  <si>
    <t>LITCHFIELD PERF. ARTS</t>
  </si>
  <si>
    <t>ALMADA LODGE-TIMES FARM CAMP</t>
  </si>
  <si>
    <t>THE COVENANT SHELTER</t>
  </si>
  <si>
    <t>LIFE HAVEN- INC.</t>
  </si>
  <si>
    <t>CT TRAILS COUNCIL OF GSA- INC.</t>
  </si>
  <si>
    <t>CT. ASSN. OF BOARDS OF EDUC.</t>
  </si>
  <si>
    <t>12060-20679-82079-2007-170062-SDE00005</t>
  </si>
  <si>
    <t>Title I Special Projects</t>
  </si>
  <si>
    <t>12060-20679-82079-2007-170062-SDE00006</t>
  </si>
  <si>
    <t>12060-20679-82079-2007-170062-SDE00007</t>
  </si>
  <si>
    <t>12060-20679-82079-2007-170062-SDE00008</t>
  </si>
  <si>
    <t>12060-20679-82079-2007-170062-SDE00009</t>
  </si>
  <si>
    <t>12060-20679-82079-2007-170062-SDE00010</t>
  </si>
  <si>
    <t>CT RIVERS COUNCIL- BSA</t>
  </si>
  <si>
    <t>CT ASSN. OF SUPV/CURR (CASCD)</t>
  </si>
  <si>
    <t>ST MARY DIOCESAN SCHOOL</t>
  </si>
  <si>
    <t>CT HISTORICAL SOC.</t>
  </si>
  <si>
    <t>BOYS &amp; GIRLS MERIDEN</t>
  </si>
  <si>
    <t>JEWISH COMMUNITY CENTER</t>
  </si>
  <si>
    <t>HORIZONS SUMMER PROGRAM</t>
  </si>
  <si>
    <t>CT YANKEE COUNCIL BSA</t>
  </si>
  <si>
    <t>WINDING TRAILS INC.</t>
  </si>
  <si>
    <t>MIDDLESEX COUNTY CAMP</t>
  </si>
  <si>
    <t>ANSONIA HOUSING AUTH</t>
  </si>
  <si>
    <t>12060-20784-84007-2006-170017-SDE00008</t>
  </si>
  <si>
    <t>HARTFORD COUNTY 4-H CAMP</t>
  </si>
  <si>
    <t>CT STATE GRANGE</t>
  </si>
  <si>
    <t>WINDHAM COUNTY 4-H FOUNDATION</t>
  </si>
  <si>
    <t>HOUSATONIC COUNCIL BSA</t>
  </si>
  <si>
    <t>NORWICH FREE ACDMY</t>
  </si>
  <si>
    <t>ST. DOMINICS SCHOOL</t>
  </si>
  <si>
    <t>CT YOUTH SERV. ASSOC.</t>
  </si>
  <si>
    <t>CT ACADEMY FOR EDUC.</t>
  </si>
  <si>
    <t>12060-20909-84131-2006-170004-SDE00007</t>
  </si>
  <si>
    <t>NO.AMERICA FAMILY INSTITUTE CT</t>
  </si>
  <si>
    <t>CT PUERTO RICAN FRM</t>
  </si>
  <si>
    <t>U.S. COAST GUARD ACADEMY</t>
  </si>
  <si>
    <t>INTERFAITH SOCIAL ACTION CORPORATION</t>
  </si>
  <si>
    <t>GOLDEN YEARS DAY CARE- INC.</t>
  </si>
  <si>
    <t>ORGANIZED PARENTS</t>
  </si>
  <si>
    <t>THE CENTER:A DROP-IN COMMUNITY LEARNING</t>
  </si>
  <si>
    <t>UNITED WAY OF GREENWICH</t>
  </si>
  <si>
    <t>CT INSTITUTE INC.</t>
  </si>
  <si>
    <t>CSACA</t>
  </si>
  <si>
    <t>12060-30351-82079-2007-170003-</t>
  </si>
  <si>
    <t>CT STATEWIDE AFTER SCHOOL NETWORK</t>
  </si>
  <si>
    <t>12060-30351-82079-2007</t>
  </si>
  <si>
    <t>EVERYBODY WINS CT</t>
  </si>
  <si>
    <t>11000-12300-82079-2007-170003-</t>
  </si>
  <si>
    <t>EVERYBODY WINS CT- INC. READ. AS LEADRS</t>
  </si>
  <si>
    <t>11000-12300-82079-2007</t>
  </si>
  <si>
    <t>HOUSING AUTH MERIDEN</t>
  </si>
  <si>
    <t>CARDINAL SHEHAN CTR</t>
  </si>
  <si>
    <t>ASSC RETRDED CITIZEN</t>
  </si>
  <si>
    <t>WATERBURY YMCA</t>
  </si>
  <si>
    <t>ST. STANISLAUS SCHOOL</t>
  </si>
  <si>
    <t>NOANK BAPTIST GROUP HOMES- INC</t>
  </si>
  <si>
    <t>ST. SEBASTIAN SCHOOL</t>
  </si>
  <si>
    <t>ST. BERNARD SCHOOL</t>
  </si>
  <si>
    <t>ST. JOSEPH SCHOOL</t>
  </si>
  <si>
    <t>ST. MARY SCHOOL</t>
  </si>
  <si>
    <t>ST. MARY'S SCHOOL</t>
  </si>
  <si>
    <t>ST. THOMAS SCHOOL</t>
  </si>
  <si>
    <t>CT ASSOC OF SCHOOLS</t>
  </si>
  <si>
    <t>WINDHAM REGIONAL COMMUNITY COUNCIL</t>
  </si>
  <si>
    <t>NORTHWEST REG WRKFCE</t>
  </si>
  <si>
    <t>CATHOLIC CENTER</t>
  </si>
  <si>
    <t>MERCY LEARNING CTR</t>
  </si>
  <si>
    <t>12060-20784-84007-2006-170014-SDE00008</t>
  </si>
  <si>
    <t>CONN PRE-ENGINEERING</t>
  </si>
  <si>
    <t>11000-12253-84131-2007-      -</t>
  </si>
  <si>
    <t>CONNECTICUT PRE-ENGINEERING PROGRAM</t>
  </si>
  <si>
    <t>11000-12253-84131-2007</t>
  </si>
  <si>
    <t>ST. MARY ST. JOSEPH</t>
  </si>
  <si>
    <t>HOLY CROSS SCHOOL</t>
  </si>
  <si>
    <t>ST. BRIGID SCHOOL</t>
  </si>
  <si>
    <t>SS CYRIL &amp; METHODIUS</t>
  </si>
  <si>
    <t>ST. PAUL SCHOOL</t>
  </si>
  <si>
    <t>ST. ROSE SCHOOL</t>
  </si>
  <si>
    <t>ST. CHRISTOPHER SCHOOL</t>
  </si>
  <si>
    <t>HARTFORD  SDA AREA SCHOOL</t>
  </si>
  <si>
    <t>ST. MICHAEL SCHOOL</t>
  </si>
  <si>
    <t>ST. ADALBERT SCHOOL</t>
  </si>
  <si>
    <t>SAINT MARY SCHOOL</t>
  </si>
  <si>
    <t>THE CHILDREN'S PRESCHOOL</t>
  </si>
  <si>
    <t>ST. THOMAS MORE SCHOOL</t>
  </si>
  <si>
    <t>MTS/1199 DAY CARE</t>
  </si>
  <si>
    <t>OUR LADY OF MERCY SCHOOL- INC.</t>
  </si>
  <si>
    <t>UNCAS SCHOOL AGE CHILD CARE- INC.</t>
  </si>
  <si>
    <t>THE FOOTE SCHOOL</t>
  </si>
  <si>
    <t>ST. JAMES SCHOOL</t>
  </si>
  <si>
    <t>ST. PATRICK CATH. SCHOOL</t>
  </si>
  <si>
    <t>VALLEY SHORE YMCA</t>
  </si>
  <si>
    <t>SS PETER &amp; PAUL SCHOOL</t>
  </si>
  <si>
    <t>ST. MARY MAGDALEN SCHOOL</t>
  </si>
  <si>
    <t>ST. CATHERINE OF SIENA</t>
  </si>
  <si>
    <t>MUSIC AND ARTS CTR</t>
  </si>
  <si>
    <t>STRATFORD CATHOLIC REG. SCHOOL</t>
  </si>
  <si>
    <t>PLAINFIELD CATHOLIC SCHOOL</t>
  </si>
  <si>
    <t>ST. GABRIEL SCHOOL</t>
  </si>
  <si>
    <t>ACADEMY OF THE HOLY FAMILY INC</t>
  </si>
  <si>
    <t>ST. FRANCIS SCHOOL</t>
  </si>
  <si>
    <t>ST. FRANCIS XAVIER SCHOOL</t>
  </si>
  <si>
    <t>ST. MARGARET SCHOOL</t>
  </si>
  <si>
    <t>OUR LADY OF MT. CARMEL</t>
  </si>
  <si>
    <t>ST. JOHN THE EVANGELIST SCHOOL</t>
  </si>
  <si>
    <t>BLESSED SACRAMENT SCHOOL</t>
  </si>
  <si>
    <t>ST. AUGUSTINE SCHOOL</t>
  </si>
  <si>
    <t>ST. MARY PAROCHIAL</t>
  </si>
  <si>
    <t>HAMDEN HALL COUNTRY DAY SCHOOL</t>
  </si>
  <si>
    <t>ST. AEDAN SCHOOL</t>
  </si>
  <si>
    <t>ST. RITA SCHOOL</t>
  </si>
  <si>
    <t>ST. ANN SCHOOL</t>
  </si>
  <si>
    <t>HOLY FAMILY SCHOOL</t>
  </si>
  <si>
    <t>ST. STEPHEN SCHOOL</t>
  </si>
  <si>
    <t>ST. VINCENT DE PAUL SCHOOL</t>
  </si>
  <si>
    <t>OUR LADY OF ASSUMPTION</t>
  </si>
  <si>
    <t>HARTFORD PUBLIC LBRY</t>
  </si>
  <si>
    <t>GIANELLI'S  EARLY LEARNING CTR</t>
  </si>
  <si>
    <t>ST. BERNADETTE SCHOOL</t>
  </si>
  <si>
    <t>SACRED HEART SCHOOL</t>
  </si>
  <si>
    <t>SOUTHBURY-MIDDLEBURY</t>
  </si>
  <si>
    <t>REG. YMCA OF WESTERN CT</t>
  </si>
  <si>
    <t>OUR LADY OF MT. CARMEL CHURCH</t>
  </si>
  <si>
    <t>ST. MATTHEW SCHOOL</t>
  </si>
  <si>
    <t>HOCKANUM VALLEY CHILD DAY CARE CENTER</t>
  </si>
  <si>
    <t>M.C.GRIFFIN CDC OF SOUTHINGTON</t>
  </si>
  <si>
    <t>SLEEPING GIANT DAY CARE- INC</t>
  </si>
  <si>
    <t>COMMUNITY OUTREACH PROGRAM FOR THE</t>
  </si>
  <si>
    <t>THE CHILDREN'S CENTER OF NEW MILFORD-</t>
  </si>
  <si>
    <t>BLOOMFIELD EARLY LEARNING CTR</t>
  </si>
  <si>
    <t>SACRED HEART/ST. PETER SCHOOL</t>
  </si>
  <si>
    <t>LA CASA DE PUERTO RICO</t>
  </si>
  <si>
    <t>BRANFORD DAY CARE CENTER</t>
  </si>
  <si>
    <t>CAPITAL WORKFORCE</t>
  </si>
  <si>
    <t>MCLEAN ADULT DAY HEALTH CTR</t>
  </si>
  <si>
    <t>MAXIM HEALTHCARE SERVICES INC</t>
  </si>
  <si>
    <t>VISITING NURSE AND HEALTH SERVICES OF CT</t>
  </si>
  <si>
    <t>PROVIDERS NUTRITION NETWORK</t>
  </si>
  <si>
    <t>WOMEN'S LEAGUE</t>
  </si>
  <si>
    <t>TORRINGTON DAY CARE CTR</t>
  </si>
  <si>
    <t>MERIDEN CHILD CARE CENTER</t>
  </si>
  <si>
    <t>GRAY LODGE SHELTER FOR WOMEN</t>
  </si>
  <si>
    <t>THE WORKPLACE INC.</t>
  </si>
  <si>
    <t>ST. AGNES HOME</t>
  </si>
  <si>
    <t>THE MARY WADE HOME</t>
  </si>
  <si>
    <t>YWCA OF NEW BRITAIN</t>
  </si>
  <si>
    <t>JEWISH HOME FOR THE AGED</t>
  </si>
  <si>
    <t>NEW ENGLAND ADOLES. TREATMENT</t>
  </si>
  <si>
    <t>CHILDREN'S COMMUNITY SCHOOL</t>
  </si>
  <si>
    <t>CAPITOL CHILD DEVELOPMENT CENTER- INC.</t>
  </si>
  <si>
    <t>DAY CARE CTR/NEW CANAAN</t>
  </si>
  <si>
    <t>LEILA DAY NURSERY INC.</t>
  </si>
  <si>
    <t>MANCHESTER EARLY LEARNING CTR</t>
  </si>
  <si>
    <t>EAST SHORE REGIONAL ADULT</t>
  </si>
  <si>
    <t>FAMILY COOPERATIVE DAY CARE</t>
  </si>
  <si>
    <t>PARTNERSHIPS CENTER FOR</t>
  </si>
  <si>
    <t>LULAC HEAD START</t>
  </si>
  <si>
    <t>MT. ST. JOHN</t>
  </si>
  <si>
    <t>PLAINVILLE DAY CARE CTR</t>
  </si>
  <si>
    <t>THE POTTER'S HOUSE</t>
  </si>
  <si>
    <t>ST. EDWARD SCHOOL</t>
  </si>
  <si>
    <t>BETTY LARUS ADULT DAY HEALTH CENTER</t>
  </si>
  <si>
    <t>JEWISH HOME FOR THE ELDERLY</t>
  </si>
  <si>
    <t>WINDHAM WILLIMANTIC CHILD CARE</t>
  </si>
  <si>
    <t>CHURCH OF OUR LADY OF FATIMA CORP.</t>
  </si>
  <si>
    <t>WEST HAVEN CHILD DEV DAY CARE</t>
  </si>
  <si>
    <t>JULIA DAY NURSERY</t>
  </si>
  <si>
    <t>GEER ADULT DAY CENTER</t>
  </si>
  <si>
    <t>FAITH TABERNACLE BAPTIST CHURCH</t>
  </si>
  <si>
    <t>NAUGATUCK DAY CARE- INC.</t>
  </si>
  <si>
    <t>HUDSON COUNTRY MONTESSORI SCH</t>
  </si>
  <si>
    <t>ST. ROSE OF LIMA SCHOOL</t>
  </si>
  <si>
    <t>ST. JOSEPH CATHEDRAL CORPORATION</t>
  </si>
  <si>
    <t>CENTER CITY CHURCHES</t>
  </si>
  <si>
    <t>CALVIN HILL DAY CARE</t>
  </si>
  <si>
    <t>TRINITY COLLEGE-FERRIS CENTER</t>
  </si>
  <si>
    <t>CLELIAN CENTER ADULT DAY CARE</t>
  </si>
  <si>
    <t>FAIRFIELD UNIVERSITY</t>
  </si>
  <si>
    <t>11000-12261-84131-2007-      -</t>
  </si>
  <si>
    <t>CT WRITING PROJECT</t>
  </si>
  <si>
    <t>11000-12261-84131-2007</t>
  </si>
  <si>
    <t>WESLEYAN UNIVERSITY</t>
  </si>
  <si>
    <t>WORKFORCE ALLIANCE</t>
  </si>
  <si>
    <t>CT WOMEN'S ED LEG</t>
  </si>
  <si>
    <t>12060-20742-84145-2007-      -</t>
  </si>
  <si>
    <t>12060-20742-84145-2007</t>
  </si>
  <si>
    <t>ROSCCO STAMFORD SCH. COMM.</t>
  </si>
  <si>
    <t>CONN. JR. REPUBLIC</t>
  </si>
  <si>
    <t>MANCHESTER MEM HOSP</t>
  </si>
  <si>
    <t>RUSHFORD CENTER- INC.</t>
  </si>
  <si>
    <t>WEST HAVEN COMMUNITY HOUSE</t>
  </si>
  <si>
    <t>YMCA CAMP JEWELL</t>
  </si>
  <si>
    <t>12060-20500-82079-2006-170006-</t>
  </si>
  <si>
    <t>12060-20500-82079-2007-170006-</t>
  </si>
  <si>
    <t>APT FOUNDATION</t>
  </si>
  <si>
    <t>NATCHAUG HOSP INC</t>
  </si>
  <si>
    <t>CHILD AND FAMILY AGY</t>
  </si>
  <si>
    <t>NEW OPPORTUNITIES- INC.</t>
  </si>
  <si>
    <t>BOYS VILLAGE YOUTH &amp; FAM SERV.</t>
  </si>
  <si>
    <t>KLINGBERG FAMILY CTR</t>
  </si>
  <si>
    <t>THE BRIDGE FAMILY CTR.- INC.</t>
  </si>
  <si>
    <t>YOUTH CONTINUUM - INC.</t>
  </si>
  <si>
    <t>CENTRAL CONNECTICUT COAST YMCA</t>
  </si>
  <si>
    <t>THE CHILD'S CENTER</t>
  </si>
  <si>
    <t>HARTFORD REGION YWCA</t>
  </si>
  <si>
    <t>WATERFORD COUNTRY SCHOOL</t>
  </si>
  <si>
    <t>WOMEN AND FAMILIES</t>
  </si>
  <si>
    <t>FAMILY CENTERS- INC.</t>
  </si>
  <si>
    <t>SOUTHEND COMMUNITY SERVICES</t>
  </si>
  <si>
    <t>NORTHERN MIDDLESEX YMCA</t>
  </si>
  <si>
    <t>EASTERN CT WORKFORCE</t>
  </si>
  <si>
    <t>12060-20784-84007-2007-      -SDE00005</t>
  </si>
  <si>
    <t>12060-20784-84007-2007</t>
  </si>
  <si>
    <t>LAKE GROVE AT DURHAM</t>
  </si>
  <si>
    <t>HARTFORD INTERVAL HOUSE- INC.</t>
  </si>
  <si>
    <t>FAMILY SERV/GRTR WATERBURY</t>
  </si>
  <si>
    <t>CT PUBLIC BROADCASTING</t>
  </si>
  <si>
    <t>11000-16193-82010-2007-      -</t>
  </si>
  <si>
    <t>CT PUBLIC TELEVISION</t>
  </si>
  <si>
    <t>11000-16193-82010-2007</t>
  </si>
  <si>
    <t>WATERBURY DAY NURSERY</t>
  </si>
  <si>
    <t>WINSTED AREA CHILD CARE CENTER- INC.</t>
  </si>
  <si>
    <t>MOUNT OLIVE CHILD DEVELOPMENT CENTER</t>
  </si>
  <si>
    <t>KIDS IN CRISIS</t>
  </si>
  <si>
    <t>NORWALK EMERGENCY SHELTER- INC.</t>
  </si>
  <si>
    <t>SUPPLEMENTAL CHILD CARE</t>
  </si>
  <si>
    <t>WATERBURY YOUTH SERV</t>
  </si>
  <si>
    <t>SAUGATUCK CHILD CARE SERVICES- INC.</t>
  </si>
  <si>
    <t>UNIV. OF MASS-BOSTON</t>
  </si>
  <si>
    <t>12060-20949-82027-2005-      -SDE00007</t>
  </si>
  <si>
    <t>STATE PROGRAM IMPROVEMENT GRANT</t>
  </si>
  <si>
    <t>12060-20949-82027-2005</t>
  </si>
  <si>
    <t>U. L. GREATER HTFD</t>
  </si>
  <si>
    <t>12060-20784-84007-2006-170017-SDE00005</t>
  </si>
  <si>
    <t>12060-20784-84007-2006-170017-SDE00006</t>
  </si>
  <si>
    <t>12060-20784-84007-2007-170017-SDE00005</t>
  </si>
  <si>
    <t>12060-20784-84007-2007-170017-SDE00006</t>
  </si>
  <si>
    <t>WALLINGFORD COMM DAY CARE CTR</t>
  </si>
  <si>
    <t>GUILFORD CENTER FOR CHILDREN</t>
  </si>
  <si>
    <t>DERBY DAY CARE CENTER- INC</t>
  </si>
  <si>
    <t>HOLY FAMILY HOME AND SHELTER- INC.</t>
  </si>
  <si>
    <t>THE CHILDREN'S HOME</t>
  </si>
  <si>
    <t>CHILD CARE CENTER OF STAMFORD</t>
  </si>
  <si>
    <t>GOOD SHEPHERD DAY CARE</t>
  </si>
  <si>
    <t>SOUTHFIELD CHILDREN'S CENTER</t>
  </si>
  <si>
    <t>ST. MARK'S DAY CARE CENTER</t>
  </si>
  <si>
    <t>BRISTOL PRESCHOOL CHILD CARE</t>
  </si>
  <si>
    <t>ST. ANDREW'S DAY CARE CENTER</t>
  </si>
  <si>
    <t>NEW HOPE MANOR- INC.</t>
  </si>
  <si>
    <t>12060-20809-82079-2007</t>
  </si>
  <si>
    <t>PARK CITY PREP CHARTER SCHL.</t>
  </si>
  <si>
    <t>CROSS CULTURAL ACADEMY</t>
  </si>
  <si>
    <t>GILBERT SCHOOL</t>
  </si>
  <si>
    <t>YALE UNIVERSITY</t>
  </si>
  <si>
    <t>12060-20540-82079-2006-170006-SDE00003</t>
  </si>
  <si>
    <t>12060-20548-82079-2006-170006-SDE00003</t>
  </si>
  <si>
    <t>GRACE S. WEBB SCHOOL</t>
  </si>
  <si>
    <t>11000-16072-82051-2007-170006-</t>
  </si>
  <si>
    <t>12060-20508-82079-2006-170006-</t>
  </si>
  <si>
    <t>12060-20508-82079-2007-170006-</t>
  </si>
  <si>
    <t>12060-20560-82079-2006-170006-</t>
  </si>
  <si>
    <t>12060-20560-82079-2007-170006-</t>
  </si>
  <si>
    <t>COMMUNITY RENEWAL TEAM- INC.</t>
  </si>
  <si>
    <t>12060-20514-82079-2006-170006-SDE00003</t>
  </si>
  <si>
    <t>CHILD &amp; ADULT CARE FOOD PROGRAM</t>
  </si>
  <si>
    <t>12060-20514-82079-2006-170006-SDE00004</t>
  </si>
  <si>
    <t>12060-20514-82079-2007-170006-SDE00003</t>
  </si>
  <si>
    <t>12060-20514-82079-2007-170006-SDE00004</t>
  </si>
  <si>
    <t>12060-20518-82079-2006-170006-SDE00004</t>
  </si>
  <si>
    <t>12060-20518-82079-2007-170006-SDE00004</t>
  </si>
  <si>
    <t>12060-20540-82079-2006-170006-SDE00004</t>
  </si>
  <si>
    <t>12060-20548-82079-2006-170006-SDE00004</t>
  </si>
  <si>
    <t>FAMILY SERVICES WOODFIELD- INC.</t>
  </si>
  <si>
    <t>12060-20784-84007-2006-170015-SDE00008</t>
  </si>
  <si>
    <t>12060-20784-84007-2006</t>
  </si>
  <si>
    <t>12060-20784-84007-2006-170016-SDE00008</t>
  </si>
  <si>
    <t>COMMUNITY SOLUTIONS- INC.</t>
  </si>
  <si>
    <t>CATHOLIC CHARITIES/CATH. FAM. SERV.-HTFD</t>
  </si>
  <si>
    <t>12060-21964-82032-2006-170003-</t>
  </si>
  <si>
    <t>REFUGEE SCHOOL IMPACT PROGRAM</t>
  </si>
  <si>
    <t>12060-21964-82032-2006</t>
  </si>
  <si>
    <t>12060-21964-82032-2007-170003-</t>
  </si>
  <si>
    <t>12060-21964-82032-2007</t>
  </si>
  <si>
    <t>TVCCA- INC. - HEAD START/DAY CARE</t>
  </si>
  <si>
    <t>AM SCHOOL F/T DEAF</t>
  </si>
  <si>
    <t>11000-16021-82079-2007-      -</t>
  </si>
  <si>
    <t>AMERICAN SCHOOL FOR THE DEAF</t>
  </si>
  <si>
    <t>11000-16021-82079-2007</t>
  </si>
  <si>
    <t>ACCESS AGENCY- INC.</t>
  </si>
  <si>
    <t>12060-20518-82079-2006-      -</t>
  </si>
  <si>
    <t>12060-20518-82079-2007-      -</t>
  </si>
  <si>
    <t>NEON- INC.</t>
  </si>
  <si>
    <t>12060-20540-82079-2007-170006-SDE00004</t>
  </si>
  <si>
    <t>12060-20548-82079-2007-170006-SDE00004</t>
  </si>
  <si>
    <t>ST. FRANCIS HOSPITAL</t>
  </si>
  <si>
    <t>VILLAGE FOR FAMILIES</t>
  </si>
  <si>
    <t>THE SALVATION ARMY</t>
  </si>
  <si>
    <t>EASTER SEALS CONNECTICUT- INC.</t>
  </si>
  <si>
    <t>THE CT. INST. FOR THE BLIND</t>
  </si>
  <si>
    <t>TEAM- INC.</t>
  </si>
  <si>
    <t>ABCD- INC.</t>
  </si>
  <si>
    <t>11000-16101-82079-2007-      -</t>
  </si>
  <si>
    <t>HEAD START SERVICES</t>
  </si>
  <si>
    <t>HRA OF NEW BRITAIN</t>
  </si>
  <si>
    <t>EASTER SEALS REHABILITATION CNTR OF GRTR</t>
  </si>
  <si>
    <t>CACD- INC.</t>
  </si>
  <si>
    <t>ST. MARY'S HOSPITAL</t>
  </si>
  <si>
    <t>12060-20863-84131-2007-170004-SDE00070</t>
  </si>
  <si>
    <t>12060-20870-82010-2006-170004-SDE00070</t>
  </si>
  <si>
    <t>STATE ASSESSMENTS FEDERAL FUNDS</t>
  </si>
  <si>
    <t>12060-20870-82010-2006</t>
  </si>
  <si>
    <t>12060-20873-84131-2006-170004-SDE00070</t>
  </si>
  <si>
    <t>TITLE IV PART A: SAFE AND DRUG FREE SCHL</t>
  </si>
  <si>
    <t>12060-20902-82079-2006-170004-SDE00070</t>
  </si>
  <si>
    <t>LEARN &amp; SERVE</t>
  </si>
  <si>
    <t>12060-20902-82079-2006</t>
  </si>
  <si>
    <t>12060-20902-82079-2007-170004-SDE00070</t>
  </si>
  <si>
    <t>12060-20909-84131-2006-170004-SDE00006</t>
  </si>
  <si>
    <t>12060-21074-84131-2006-170004-</t>
  </si>
  <si>
    <t>HIV-STD Prevention Eduation</t>
  </si>
  <si>
    <t>12060-21074-84131-2006</t>
  </si>
  <si>
    <t>12060-21074-84131-2007-170004-</t>
  </si>
  <si>
    <t>HIV-STD Prevention Education Grant</t>
  </si>
  <si>
    <t>12060-21074-84131-2007</t>
  </si>
  <si>
    <t>12060-21592-84131-2006-170004-SDE00005</t>
  </si>
  <si>
    <t>TITLE II PART B: MATH &amp; SCI PARTNERSHIP</t>
  </si>
  <si>
    <t>12060-21592-84131-2006-170004-SDE00070</t>
  </si>
  <si>
    <t>TITLE II PART B: MATH &amp; SCIENCE PTNSHIP.</t>
  </si>
  <si>
    <t>12060-21592-84131-2007-170004-SDE00070</t>
  </si>
  <si>
    <t>12060-21972-82079-2006-170003-</t>
  </si>
  <si>
    <t>ADVANCED FEE PLACEMENT- TITLE I- Part G</t>
  </si>
  <si>
    <t>12060-21972-82079-2006</t>
  </si>
  <si>
    <t>12060-21972-82079-2007-170003-</t>
  </si>
  <si>
    <t>ADVANCED FEE PLACEMENT- TITLE I - PART G</t>
  </si>
  <si>
    <t>12060-21972-82079-2007</t>
  </si>
  <si>
    <t>12060-22111-82079-2006-170004-</t>
  </si>
  <si>
    <t>LOCAL WELLNESS GRANT</t>
  </si>
  <si>
    <t>12060-22111-82079-2006</t>
  </si>
  <si>
    <t>12060-30256-82010-2007-170004-SDE00070</t>
  </si>
  <si>
    <t>WALLACE FOUNDATION FUNDS</t>
  </si>
  <si>
    <t>12060-30409-82079-2006-170035-</t>
  </si>
  <si>
    <t>NATIONAL GOVERNOR'S ASSOCIATION</t>
  </si>
  <si>
    <t>12060-30409-82079-2006</t>
  </si>
  <si>
    <t>12060-30409-82079-2006-170081-</t>
  </si>
  <si>
    <t>11000-16119-82079-2007-      -</t>
  </si>
  <si>
    <t>CHARTER SCHOOLS</t>
  </si>
  <si>
    <t>11000-16119-82079-2007</t>
  </si>
  <si>
    <t>12052-43003-82079-2006-      -</t>
  </si>
  <si>
    <t>CHARTER SCHOOL BUILDING PRJ &amp; IMPROVMTS.</t>
  </si>
  <si>
    <t>12052-43003-82079-2006</t>
  </si>
  <si>
    <t>ODYSSEY COMM. SCHOOL</t>
  </si>
  <si>
    <t>INTER. SCH. ART/COMM</t>
  </si>
  <si>
    <t>COMMON GROUND H.S.</t>
  </si>
  <si>
    <t>12060-20902-82079-2006-170003-</t>
  </si>
  <si>
    <t>THE BRIDGE ACADEMY</t>
  </si>
  <si>
    <t>12060-20770-82079-2006-      -SDE00008</t>
  </si>
  <si>
    <t>SIDE BY SIDE COM SCH</t>
  </si>
  <si>
    <t>HIGHVILLE MUSTARD SEED SCHL</t>
  </si>
  <si>
    <t>AMISTAD ACADEMY</t>
  </si>
  <si>
    <t>NEW BEG. FAMILY ACAD</t>
  </si>
  <si>
    <t>ELM CITY-ACHIEVEMENT FIRST</t>
  </si>
  <si>
    <t>12060-20809-82079-2007-      -</t>
  </si>
  <si>
    <t>CHARTER SCHOOL FEDERAL START-UP GRANT</t>
  </si>
  <si>
    <t>11000-17045-82067-2007-      -SDE00013</t>
  </si>
  <si>
    <t>11000-17057-82062-2007-170031-SDE00076</t>
  </si>
  <si>
    <t>11000-17057-82062-2007-170031-SDE00136</t>
  </si>
  <si>
    <t>12060-20770-82079-2006-      -SDE00007</t>
  </si>
  <si>
    <t>12060-20826-82079-2006-170003-SDE00006</t>
  </si>
  <si>
    <t>E A S T C O N N</t>
  </si>
  <si>
    <t>11000-10020-82079-2007-      -SDE00070</t>
  </si>
  <si>
    <t>SCHOOL RESTRUCTURE ASSESSMENT-PD GRANT</t>
  </si>
  <si>
    <t>11000-12088-84131-2007-170004-SDE00070</t>
  </si>
  <si>
    <t>TEACHERS IN TRAINING</t>
  </si>
  <si>
    <t>11000-12088-84131-2007</t>
  </si>
  <si>
    <t>11000-12138-82079-2007-170004-SDE00070</t>
  </si>
  <si>
    <t>MAGNET SCHOOL ADMIN SET-ASIDE</t>
  </si>
  <si>
    <t>11000-12138-82079-2007</t>
  </si>
  <si>
    <t>11000-12171-82010-2007-170004-SDE00070</t>
  </si>
  <si>
    <t>STATE MASTERY TESTS</t>
  </si>
  <si>
    <t>11000-12171-82010-2007</t>
  </si>
  <si>
    <t>11000-12203-82010-2007-170004-SDE00070</t>
  </si>
  <si>
    <t>YOUTH SERV. BUREAU ADMIN. SET-ASIDE</t>
  </si>
  <si>
    <t>11000-12203-82010-2007</t>
  </si>
  <si>
    <t>11000-12370-82010-2007-170062-SDE00070</t>
  </si>
  <si>
    <t>FARM TO SCHOOL PROGRAM</t>
  </si>
  <si>
    <t>11000-12370-82010-2007</t>
  </si>
  <si>
    <t>11000-16110-82079-2007-170004-SDE00070</t>
  </si>
  <si>
    <t>FAMILY RESOURCE CENTER</t>
  </si>
  <si>
    <t>11000-17057-82062-2007-170031-SDE00110</t>
  </si>
  <si>
    <t>12052-42860-82079-2006-170003-SDE00005</t>
  </si>
  <si>
    <t>12060-20524-82079-2006-170004-SDE00070</t>
  </si>
  <si>
    <t>CHILD NUTRITION PROGRAMS</t>
  </si>
  <si>
    <t>12060-20524-82079-2006</t>
  </si>
  <si>
    <t>12060-20524-82079-2007-170004-SDE00070</t>
  </si>
  <si>
    <t>12060-20524-82079-2007</t>
  </si>
  <si>
    <t>12060-20567-82079-2005-170004-</t>
  </si>
  <si>
    <t>TEAM NUTRITION TRAINING GRANT</t>
  </si>
  <si>
    <t>12060-20567-82079-2005</t>
  </si>
  <si>
    <t>12060-20679-82079-2006-170004-SDE00005</t>
  </si>
  <si>
    <t>TITLE I- PART A IMPROVING BASIC PROGRAMS</t>
  </si>
  <si>
    <t>12060-20679-82079-2006</t>
  </si>
  <si>
    <t>12060-20679-82079-2006-170004-SDE00006</t>
  </si>
  <si>
    <t>12060-20679-82079-2006-170004-SDE00007</t>
  </si>
  <si>
    <t>12060-20679-82079-2007-170004-SDE00070</t>
  </si>
  <si>
    <t>12060-20679-82079-2007</t>
  </si>
  <si>
    <t>12060-20770-82079-2006-170004-SDE00070</t>
  </si>
  <si>
    <t>TITLE X PART C: MCKINNEY-VENTO HOMELESS</t>
  </si>
  <si>
    <t>12060-20854-82079-2007-170004-SDE00070</t>
  </si>
  <si>
    <t>TITLE I PART B: READING FIRST</t>
  </si>
  <si>
    <t>12060-20854-82079-2007</t>
  </si>
  <si>
    <t>12060-20858-84131-2006-170004-SDE00070</t>
  </si>
  <si>
    <t>TITLE II-PART A TEACHER &amp; PRINC. TRNG.</t>
  </si>
  <si>
    <t>12060-20858-84131-2007-170004-SDE00070</t>
  </si>
  <si>
    <t>12060-20863-84131-2006-170004-SDE00070</t>
  </si>
  <si>
    <t>TITLE IV PART B: 21ST CENTURY COMM CNTRS</t>
  </si>
  <si>
    <t>11000-17050-84013-2007-170080-</t>
  </si>
  <si>
    <t>SCHOOL TO CAREER OPPORTUNITIES</t>
  </si>
  <si>
    <t>11000-17050-84013-2007</t>
  </si>
  <si>
    <t>11000-17053-82059-2007-      -</t>
  </si>
  <si>
    <t>OPEN CHOICE PROGRAM-TRANSPORTATION</t>
  </si>
  <si>
    <t>11000-17053-82059-2007</t>
  </si>
  <si>
    <t>11000-17053-82059-2007-      -SDE00006</t>
  </si>
  <si>
    <t>ADMINISTERING CHOICE PROGRAM</t>
  </si>
  <si>
    <t>11000-17053-82059-2007-170003-</t>
  </si>
  <si>
    <t>OPEN CHOICE PROGRAM-Kindergarten</t>
  </si>
  <si>
    <t>11000-17053-82065-2007-170003-</t>
  </si>
  <si>
    <t>OPEN CHOICE</t>
  </si>
  <si>
    <t>11000-17053-82065-2007</t>
  </si>
  <si>
    <t>11000-17057-82062-2007-170031-SDE00073</t>
  </si>
  <si>
    <t>11000-17057-82062-2007-170031-SDE00074</t>
  </si>
  <si>
    <t>11000-17057-82062-2007-170031-SDE00077</t>
  </si>
  <si>
    <t>11000-17057-82062-2007-170031-SDE00085</t>
  </si>
  <si>
    <t>11000-17057-82062-2007-170031-SDE00087</t>
  </si>
  <si>
    <t>11000-17057-82062-2007-170031-SDE00095</t>
  </si>
  <si>
    <t>11000-17057-82062-2007-170031-SDE00100</t>
  </si>
  <si>
    <t>11000-17057-82062-2007-170031-SDE00101</t>
  </si>
  <si>
    <t>11000-17057-82062-2007-170037-SDE00006</t>
  </si>
  <si>
    <t>12060-20682-82079-2007-170004-</t>
  </si>
  <si>
    <t>12060-20742-84010-2007-170002-SDE00005</t>
  </si>
  <si>
    <t>12060-20742-84010-2007-170002-SDE00006</t>
  </si>
  <si>
    <t>12060-20784-84006-2006-170079-</t>
  </si>
  <si>
    <t>12060-20784-84006-2006</t>
  </si>
  <si>
    <t>12060-35327-82079-2006-170004-</t>
  </si>
  <si>
    <t>GAMBLING AWARENESS AND EDUCATION</t>
  </si>
  <si>
    <t>12060-35327-82079-2006</t>
  </si>
  <si>
    <t>EDUCATION CONNECTION</t>
  </si>
  <si>
    <t>12060-20784-84005-2007-170016-SDE00006</t>
  </si>
  <si>
    <t>C E S</t>
  </si>
  <si>
    <t>11000-17057-82062-2007-170031-SDE00072</t>
  </si>
  <si>
    <t>11000-17057-82062-2007-170031-SDE00075</t>
  </si>
  <si>
    <t>11000-17057-82062-2007-170031-SDE00108</t>
  </si>
  <si>
    <t>12060-30256-82010-2007-170003-SDE00005</t>
  </si>
  <si>
    <t>SAELP II</t>
  </si>
  <si>
    <t>12060-30256-82010-2007</t>
  </si>
  <si>
    <t>A C E S</t>
  </si>
  <si>
    <t>11000-12074-84131-2007-      -</t>
  </si>
  <si>
    <t>INSTITUTE FOR TEACHING AND LEARNING</t>
  </si>
  <si>
    <t>11000-12074-84131-2007</t>
  </si>
  <si>
    <t>11000-12265-84013-2007-      -</t>
  </si>
  <si>
    <t>JOBS FOR CONNECTICUT GRADUATES</t>
  </si>
  <si>
    <t>11000-12265-84013-2007</t>
  </si>
  <si>
    <t>11000-17057-82062-2007-170031-SDE00071</t>
  </si>
  <si>
    <t>11000-17057-82062-2007-170031-SDE00084</t>
  </si>
  <si>
    <t>11000-17057-82062-2007-170031-SDE00091</t>
  </si>
  <si>
    <t>11000-17057-82062-2007-170031-SDE00096</t>
  </si>
  <si>
    <t>12060-20826-82079-2006-170003-SDE00005</t>
  </si>
  <si>
    <t>12060-30256-82010-2007-170003-</t>
  </si>
  <si>
    <t>LEARN</t>
  </si>
  <si>
    <t>11000-17045-82067-2007-      -SDE00012</t>
  </si>
  <si>
    <t>12060-20977-82037-2005-      -SDE00014</t>
  </si>
  <si>
    <t>IDEA SLIVER GRANT</t>
  </si>
  <si>
    <t>12060-20977-82037-2005</t>
  </si>
  <si>
    <t>11000-17057-82062-2007-170031-SDE00109</t>
  </si>
  <si>
    <t>12060-20784-84002-2006-170016-</t>
  </si>
  <si>
    <t>12060-20518-82079-2006-170006-SDE00003</t>
  </si>
  <si>
    <t>12060-20518-82079-2007-170006-SDE00003</t>
  </si>
  <si>
    <t>12060-20544-82079-2006-170006-SDE00003</t>
  </si>
  <si>
    <t>12060-20544-82079-2007-170006-SDE00003</t>
  </si>
  <si>
    <t>12060-20784-84002-2007-170015-SDE00005</t>
  </si>
  <si>
    <t>WARREN</t>
  </si>
  <si>
    <t>WASHINGTON</t>
  </si>
  <si>
    <t>11000-17057-82062-2007-170031-SDE00089</t>
  </si>
  <si>
    <t>11000-17057-82062-2007-170031-SDE00090</t>
  </si>
  <si>
    <t>11000-17057-82062-2007-170031-SDE00129</t>
  </si>
  <si>
    <t>12060-20679-82070-2005-170002-SDE00014</t>
  </si>
  <si>
    <t>12060-20868-82076-2005-170002-</t>
  </si>
  <si>
    <t>12060-20868-82076-2005</t>
  </si>
  <si>
    <t>12060-90493-82079-2007-170036-SDE00005</t>
  </si>
  <si>
    <t>12060-90493-82079-2007-170036-SDE00006</t>
  </si>
  <si>
    <t>12060-20679-82070-2004-170002-SDE00015</t>
  </si>
  <si>
    <t>WOODBURY</t>
  </si>
  <si>
    <t>REGION # 1</t>
  </si>
  <si>
    <t>REGION # 4</t>
  </si>
  <si>
    <t>REGION # 5</t>
  </si>
  <si>
    <t>REGION # 6</t>
  </si>
  <si>
    <t>REGION # 7</t>
  </si>
  <si>
    <t>REGION # 8</t>
  </si>
  <si>
    <t>REGION # 9</t>
  </si>
  <si>
    <t>12060-20742-84010-2004-170003-</t>
  </si>
  <si>
    <t>12060-20742-84010-2004</t>
  </si>
  <si>
    <t>12060-20742-84010-2005-170003-</t>
  </si>
  <si>
    <t>12060-20742-84010-2005</t>
  </si>
  <si>
    <t>REGION # 10</t>
  </si>
  <si>
    <t>REGION # 11</t>
  </si>
  <si>
    <t>REGION # 12</t>
  </si>
  <si>
    <t>REGION # 13</t>
  </si>
  <si>
    <t>REGION # 14</t>
  </si>
  <si>
    <t>REGION # 15</t>
  </si>
  <si>
    <t>12060-20742-84010-2005-170002-SDE00014</t>
  </si>
  <si>
    <t>12060-20858-84131-2005-170002-SDE00014</t>
  </si>
  <si>
    <t>REGION # 16</t>
  </si>
  <si>
    <t>REGION # 17</t>
  </si>
  <si>
    <t>REGION # 18</t>
  </si>
  <si>
    <t>REGION # 19</t>
  </si>
  <si>
    <t>SHARED SERVICES</t>
  </si>
  <si>
    <t>C R E C</t>
  </si>
  <si>
    <t>11000-16031-82010-2007-      -</t>
  </si>
  <si>
    <t>RESC LEASES</t>
  </si>
  <si>
    <t>11000-16031-82010-2007</t>
  </si>
  <si>
    <t>11000-16062-82047-2007-      -</t>
  </si>
  <si>
    <t>SIX AND ONE-QUARTER PERCENT SETASIDE</t>
  </si>
  <si>
    <t>11000-16062-82047-2007</t>
  </si>
  <si>
    <t>11000-16062-82048-2007-      -</t>
  </si>
  <si>
    <t>RESC UNRESTRICTED FORMULA GRANT</t>
  </si>
  <si>
    <t>11000-16062-82048-2007</t>
  </si>
  <si>
    <t>11000-17045-82065-2007-      -SDE00009</t>
  </si>
  <si>
    <t>11000-17045-82067-2007-      -SDE00009</t>
  </si>
  <si>
    <t>11000-17045-82067-2007-      -SDE00010</t>
  </si>
  <si>
    <t>11000-17045-82067-2007-      -SDE00011</t>
  </si>
  <si>
    <t>11000-17045-82068-2007-      -SDE00006</t>
  </si>
  <si>
    <t>11000-17045-82068-2007-      -SDE00007</t>
  </si>
  <si>
    <t>11000-17045-82068-2007-      -SDE00008</t>
  </si>
  <si>
    <t>12060-20784-84002-2007-170017-SDE00006</t>
  </si>
  <si>
    <t>12060-20784-84002-2007-170017-SDE00007</t>
  </si>
  <si>
    <t>12060-20848-84013-2007-170002-</t>
  </si>
  <si>
    <t>12060-20848-84013-2007</t>
  </si>
  <si>
    <t>13010-40901-82003-2005-170001-</t>
  </si>
  <si>
    <t>13010-40901-82003-2005</t>
  </si>
  <si>
    <t>MORRIS</t>
  </si>
  <si>
    <t>12060-20972-82079-2007-170003-</t>
  </si>
  <si>
    <t>12060-20972-82079-2007</t>
  </si>
  <si>
    <t>11000-17057-82062-2007-170031-SDE00079</t>
  </si>
  <si>
    <t>11000-17057-82062-2007-170031-SDE00080</t>
  </si>
  <si>
    <t>11000-17057-82062-2007-170031-SDE00081</t>
  </si>
  <si>
    <t>11000-17057-82062-2007-170031-SDE00082</t>
  </si>
  <si>
    <t>11000-17057-82062-2007-170031-SDE00083</t>
  </si>
  <si>
    <t>11000-17057-82062-2007-170031-SDE00088</t>
  </si>
  <si>
    <t>11000-17057-82062-2007-170031-SDE00093</t>
  </si>
  <si>
    <t>11000-17057-82062-2007-170031-SDE00094</t>
  </si>
  <si>
    <t>11000-17057-82062-2007-170031-SDE00106</t>
  </si>
  <si>
    <t>11000-17057-82062-2007-170031-SDE00107</t>
  </si>
  <si>
    <t>11000-17057-82062-2007-170031-SDE00111</t>
  </si>
  <si>
    <t>11000-17057-82062-2007-170031-SDE00114</t>
  </si>
  <si>
    <t>11000-17057-82062-2007-170031-SDE00127</t>
  </si>
  <si>
    <t>11000-17057-82062-2007-170031-SDE00128</t>
  </si>
  <si>
    <t>12060-20854-82079-2005-170003-SDE00006</t>
  </si>
  <si>
    <t>12060-20863-84131-2006-170003-SDE00006</t>
  </si>
  <si>
    <t>12060-20863-84131-2006-170003-SDE00007</t>
  </si>
  <si>
    <t>12060-21592-84131-2005-170003-</t>
  </si>
  <si>
    <t>12060-21592-84131-2006-170003-SDE00006</t>
  </si>
  <si>
    <t>12060-21973-82041-2006-      -</t>
  </si>
  <si>
    <t>IDEA SPECIAL PROJECT</t>
  </si>
  <si>
    <t>12060-21973-82041-2006</t>
  </si>
  <si>
    <t>11000-12369-84013-2007-170003-</t>
  </si>
  <si>
    <t>Generation Next</t>
  </si>
  <si>
    <t>11000-12369-84013-2007</t>
  </si>
  <si>
    <t>11000-17057-82062-2007-170031-SDE00135</t>
  </si>
  <si>
    <t>12060-20784-84002-2007-170016-SDE00006</t>
  </si>
  <si>
    <t>12060-21592-84131-2007-170003-SDE00006</t>
  </si>
  <si>
    <t>12060-20679-82070-2004-170003-SDE00005</t>
  </si>
  <si>
    <t>12060-20679-82070-2004</t>
  </si>
  <si>
    <t>11000-17057-82062-2007-170031-SDE00078</t>
  </si>
  <si>
    <t>12060-20784-84005-2007-170017-SDE00006</t>
  </si>
  <si>
    <t>12060-20784-84005-2007-170017-SDE00007</t>
  </si>
  <si>
    <t>OLD LYME</t>
  </si>
  <si>
    <t>PROSPECT</t>
  </si>
  <si>
    <t>ROXBURY</t>
  </si>
  <si>
    <t>12060-20784-84005-2006-170014-SDE00008</t>
  </si>
  <si>
    <t>12060-20983-82032-2005-170002-SDE00014</t>
  </si>
  <si>
    <t>11000-17045-82069-2007-      -SDE00005</t>
  </si>
  <si>
    <t>11000-17045-82069-2007</t>
  </si>
  <si>
    <t>11000-17045-82069-2007-      -SDE00006</t>
  </si>
  <si>
    <t>SOUTHBURY</t>
  </si>
  <si>
    <t>12060-20742-84010-2007-170003-SDE00005</t>
  </si>
  <si>
    <t>12060-20977-82032-2005-170002-SDE00014</t>
  </si>
  <si>
    <t>12060-20784-84002-2007-170014-</t>
  </si>
  <si>
    <t>12060-20784-84002-2007</t>
  </si>
  <si>
    <t>12060-20784-84002-2007-170016-SDE00005</t>
  </si>
  <si>
    <t>12060-20784-84002-2007-170017-SDE00005</t>
  </si>
  <si>
    <t>11000-16110-82079-2007-170003-SDE00009</t>
  </si>
  <si>
    <t>11000-17045-82067-2007-      -SDE00006</t>
  </si>
  <si>
    <t>11000-17045-82067-2007-      -SDE00007</t>
  </si>
  <si>
    <t>11000-17045-82067-2007-      -SDE00008</t>
  </si>
  <si>
    <t>11000-17057-82062-2007-170031-SDE00097</t>
  </si>
  <si>
    <t>11000-17057-82062-2007-170031-SDE00098</t>
  </si>
  <si>
    <t>11000-17057-82062-2007-170031-SDE00099</t>
  </si>
  <si>
    <t>11000-17057-82062-2007-170031-SDE00112</t>
  </si>
  <si>
    <t>11000-17057-82062-2007-170031-SDE00113</t>
  </si>
  <si>
    <t>11000-17057-82062-2007-170031-SDE00124</t>
  </si>
  <si>
    <t>11000-17057-82062-2007-170031-SDE00125</t>
  </si>
  <si>
    <t>11000-17057-82062-2007-170031-SDE00126</t>
  </si>
  <si>
    <t>11000-17057-82062-2007-170031-SDE00133</t>
  </si>
  <si>
    <t>11000-17057-82062-2007-170031-SDE00134</t>
  </si>
  <si>
    <t>11000-17057-82062-2007-170031-SDE00137</t>
  </si>
  <si>
    <t>11000-17057-82062-2007-170031-SDE00138</t>
  </si>
  <si>
    <t>12060-20679-82070-2005-170003-SDE00005</t>
  </si>
  <si>
    <t>Title I Part A Improving Basic Skills</t>
  </si>
  <si>
    <t>12060-20679-82070-2005-170003-SDE00006</t>
  </si>
  <si>
    <t>12060-20784-84002-2006-170017-SDE00008</t>
  </si>
  <si>
    <t>12060-20790-82079-2006-170003-SDE00009</t>
  </si>
  <si>
    <t>12060-20790-82079-2006-170003-SDE00010</t>
  </si>
  <si>
    <t>12060-20790-82079-2006-170003-SDE00011</t>
  </si>
  <si>
    <t>HARWINTON</t>
  </si>
  <si>
    <t>11000-10020-82079-2007-      -</t>
  </si>
  <si>
    <t>TECHNOLOGY SOFTWARE CURRICULUM</t>
  </si>
  <si>
    <t>11000-10020-82079-2007</t>
  </si>
  <si>
    <t>12060-20770-82079-2006-      -SDE00006</t>
  </si>
  <si>
    <t>KILLINGWORTH</t>
  </si>
  <si>
    <t>LYME</t>
  </si>
  <si>
    <t>12060-20868-82075-2005-170002-SDE00014</t>
  </si>
  <si>
    <t>12060-20868-82075-2005</t>
  </si>
  <si>
    <t>11000-16101-82079-2007-      -SDE00006</t>
  </si>
  <si>
    <t>HEAD START - EXPANSION</t>
  </si>
  <si>
    <t>11000-16101-82079-2007</t>
  </si>
  <si>
    <t>11000-16106-82079-2007-      -</t>
  </si>
  <si>
    <t>HEAD START ENHANCEMENT</t>
  </si>
  <si>
    <t>11000-16106-82079-2007</t>
  </si>
  <si>
    <t>12060-20518-82079-2006-170005-SDE00004</t>
  </si>
  <si>
    <t>12060-20518-82079-2007-170005-SDE00004</t>
  </si>
  <si>
    <t>12060-20826-82079-2005-170002-</t>
  </si>
  <si>
    <t>12060-20826-82079-2005-170003-SDE00005</t>
  </si>
  <si>
    <t>12060-20854-82079-2005-170003-</t>
  </si>
  <si>
    <t>12060-20854-82079-2005</t>
  </si>
  <si>
    <t>12060-20972-82079-2005-170003-SDE00005</t>
  </si>
  <si>
    <t>TITLE I MIGRANT</t>
  </si>
  <si>
    <t>12060-20972-82079-2005</t>
  </si>
  <si>
    <t>MIDDLEBURY</t>
  </si>
  <si>
    <t>MIDDLEFIELD</t>
  </si>
  <si>
    <t>12060-20682-82079-2007</t>
  </si>
  <si>
    <t>12060-20784-84005-2006-170016-SDE00008</t>
  </si>
  <si>
    <t>12060-20863-84131-2007-170003-SDE00008</t>
  </si>
  <si>
    <t>11000-17056-82079-2007-170003-SDE00006</t>
  </si>
  <si>
    <t>EARLY READING SUCCESS - COMPETITIVE</t>
  </si>
  <si>
    <t>11000-17056-82079-2007</t>
  </si>
  <si>
    <t>11000-17084-82079-2007-170003-</t>
  </si>
  <si>
    <t>12060-20679-82070-2005-170002-</t>
  </si>
  <si>
    <t>12060-20826-82079-2005-170003-SDE00007</t>
  </si>
  <si>
    <t>12060-20826-82079-2005</t>
  </si>
  <si>
    <t>12060-20826-82079-2005-170003-SDE00008</t>
  </si>
  <si>
    <t>12060-20909-84131-2005-170002-SDE00014</t>
  </si>
  <si>
    <t>12060-20977-82032-2005-170002-</t>
  </si>
  <si>
    <t>12060-20977-82032-2005</t>
  </si>
  <si>
    <t>DURHAM</t>
  </si>
  <si>
    <t>11000-17047-82017-2007-      -</t>
  </si>
  <si>
    <t>SPED ED-AG. PLACEMENTS &amp; EXCESS COST</t>
  </si>
  <si>
    <t>11000-17047-82017-2007</t>
  </si>
  <si>
    <t>11000-17057-82062-2007-170031-SDE00086</t>
  </si>
  <si>
    <t>12060-20518-82079-2006-170005-SDE00003</t>
  </si>
  <si>
    <t>CHILD &amp; ADULT FOOD PROGRAM - PGM</t>
  </si>
  <si>
    <t>12060-20518-82079-2006</t>
  </si>
  <si>
    <t>12060-20518-82079-2007-170005-SDE00003</t>
  </si>
  <si>
    <t>12060-20518-82079-2007</t>
  </si>
  <si>
    <t>12060-20544-82079-2006-170005-SDE00003</t>
  </si>
  <si>
    <t>CHILD &amp; ADULT CARE - CASH IN LIEU COMMOD</t>
  </si>
  <si>
    <t>12060-20544-82079-2006</t>
  </si>
  <si>
    <t>12060-20544-82079-2007-170005-SDE00003</t>
  </si>
  <si>
    <t>12060-20544-82079-2007</t>
  </si>
  <si>
    <t>12060-20868-82076-2006-170002-</t>
  </si>
  <si>
    <t>12060-20868-82076-2006</t>
  </si>
  <si>
    <t>11000-12332-82010-2007-170003-</t>
  </si>
  <si>
    <t>12060-20902-82079-2007-170003-</t>
  </si>
  <si>
    <t>LEARN AND SERVE AMERICA K-12 SCHOOL BASE</t>
  </si>
  <si>
    <t>12060-20902-82079-2007</t>
  </si>
  <si>
    <t>11000-17045-82068-2007-      -SDE00005</t>
  </si>
  <si>
    <t>11000-17045-82068-2007</t>
  </si>
  <si>
    <t>GOSHEN</t>
  </si>
  <si>
    <t>12060-20514-82079-2006-170005-SDE00004</t>
  </si>
  <si>
    <t>CHILD &amp; ADULT CARE FOOD PROG-ADMIN</t>
  </si>
  <si>
    <t>12060-20514-82079-2006</t>
  </si>
  <si>
    <t>12060-20514-82079-2007-170005-SDE00003</t>
  </si>
  <si>
    <t>12060-20514-82079-2007</t>
  </si>
  <si>
    <t>12060-20514-82079-2007-170005-SDE00004</t>
  </si>
  <si>
    <t>12060-20540-82079-2006-170005-SDE00004</t>
  </si>
  <si>
    <t>12060-20548-82079-2006-170005-SDE00004</t>
  </si>
  <si>
    <t>12060-20548-82079-2007-170005-SDE00004</t>
  </si>
  <si>
    <t>12060-20548-82079-2007</t>
  </si>
  <si>
    <t>HADDAM</t>
  </si>
  <si>
    <t>11000-17047-82020-2007-      -</t>
  </si>
  <si>
    <t>11000-17047-82020-2007</t>
  </si>
  <si>
    <t>12060-20784-84002-2005-170016-SDE00005</t>
  </si>
  <si>
    <t>12060-20784-84002-2005</t>
  </si>
  <si>
    <t>12060-20784-84002-2005-170016-SDE00006</t>
  </si>
  <si>
    <t>12060-20784-84002-2006-170016-SDE00005</t>
  </si>
  <si>
    <t>12060-20790-82079-2006-170003-</t>
  </si>
  <si>
    <t>COMPREHENSIVE SCHOOL REFORM</t>
  </si>
  <si>
    <t>12060-20790-82079-2006</t>
  </si>
  <si>
    <t>12060-20790-82079-2006-170003-SDE00005</t>
  </si>
  <si>
    <t>12060-20790-82079-2006-170003-SDE00006</t>
  </si>
  <si>
    <t>12060-20790-82079-2006-170003-SDE00007</t>
  </si>
  <si>
    <t>12060-20790-82079-2006-170003-SDE00008</t>
  </si>
  <si>
    <t>12060-20826-82079-2007-170003-SDE00005</t>
  </si>
  <si>
    <t>12060-20854-82079-2006-170003-SDE00005</t>
  </si>
  <si>
    <t>TITLE I PART B- READING FIRST</t>
  </si>
  <si>
    <t>12060-20854-82079-2006-170003-SDE00006</t>
  </si>
  <si>
    <t>12060-20863-84131-2007-170003-SDE00006</t>
  </si>
  <si>
    <t>12060-20863-84131-2007-170003-SDE00007</t>
  </si>
  <si>
    <t>12060-20977-82032-2006-170003-</t>
  </si>
  <si>
    <t>IDEA- PART B- SECTION 611</t>
  </si>
  <si>
    <t>12060-21592-84131-2005-170003-SDE00006</t>
  </si>
  <si>
    <t>12060-21592-84131-2005</t>
  </si>
  <si>
    <t>12060-22051-82079-2006-      -</t>
  </si>
  <si>
    <t>FRESH FRUIT &amp; VEGETABLE PROGRAM</t>
  </si>
  <si>
    <t>12060-22051-82079-2006</t>
  </si>
  <si>
    <t>13009-40896-82004-2005-170063-</t>
  </si>
  <si>
    <t xml:space="preserve">SCH. CONSTRUCTION-REG INTEREST	</t>
  </si>
  <si>
    <t>13009-40896-82004-2005</t>
  </si>
  <si>
    <t>BRIDGEWATER</t>
  </si>
  <si>
    <t>12060-20770-82079-2006-      -</t>
  </si>
  <si>
    <t>12060-90242-82079-2007-170091-</t>
  </si>
  <si>
    <t>12060-20742-84010-2006-170002-SDE00014</t>
  </si>
  <si>
    <t>12060-20742-84010-2006</t>
  </si>
  <si>
    <t>12060-20873-84131-2005-170002-SDE00014</t>
  </si>
  <si>
    <t>12060-20873-84131-2005</t>
  </si>
  <si>
    <t>BURLINGTON</t>
  </si>
  <si>
    <t>12060-20868-82076-2007-170002-</t>
  </si>
  <si>
    <t>IMMIGRANT &amp; YOUTH EDUCATION PROGRAM</t>
  </si>
  <si>
    <t>12060-20868-82076-2007</t>
  </si>
  <si>
    <t>11000-12368-82079-2007-170003-</t>
  </si>
  <si>
    <t>FUTURE MATH &amp; SCIENCE SCHOLARS</t>
  </si>
  <si>
    <t>11000-12368-82079-2007</t>
  </si>
  <si>
    <t>12060-20742-84010-2006-170002-</t>
  </si>
  <si>
    <t>12060-20742-84010-2007-170003-</t>
  </si>
  <si>
    <t>CARL D. PERKINS VOC. &amp; TECH. EDUC. ACT</t>
  </si>
  <si>
    <t>12060-20858-84131-2005-170002-</t>
  </si>
  <si>
    <t>12060-20858-84131-2005</t>
  </si>
  <si>
    <t>12060-20873-84131-2005-170002-</t>
  </si>
  <si>
    <t>12060-20909-84131-2005-170002-</t>
  </si>
  <si>
    <t>12060-20909-84131-2005</t>
  </si>
  <si>
    <t>12060-20983-82032-2005-170002-</t>
  </si>
  <si>
    <t>12060-20983-82032-2005</t>
  </si>
  <si>
    <t>11000-17057-82062-2007-170031-SDE00139</t>
  </si>
  <si>
    <t>11000-17057-82062-2007-170037-SDE00005</t>
  </si>
  <si>
    <t>MAGNET SCHOOL SUPPLEMENTAL</t>
  </si>
  <si>
    <t>11000-17091-84013-2007-170003-</t>
  </si>
  <si>
    <t>YOUNG ADULT LEARNER</t>
  </si>
  <si>
    <t>11000-17091-84013-2007</t>
  </si>
  <si>
    <t>12060-20682-82079-2007-170003-</t>
  </si>
  <si>
    <t>EVEN START FAMILY LITERACY PROGRAM</t>
  </si>
  <si>
    <t>12060-20784-84005-2007</t>
  </si>
  <si>
    <t>12060-20784-84005-2007-170016-SDE00005</t>
  </si>
  <si>
    <t>12060-20784-84005-2007-170017-SDE00005</t>
  </si>
  <si>
    <t>11000-12372-82079-2007-170003-</t>
  </si>
  <si>
    <t>MATH &amp; SCIENCE CHALLENGE PILOT</t>
  </si>
  <si>
    <t>11000-12372-82079-2007</t>
  </si>
  <si>
    <t>11000-16110-82079-2007-170003-SDE00006</t>
  </si>
  <si>
    <t>11000-16110-82079-2007-170003-SDE00007</t>
  </si>
  <si>
    <t>11000-16110-82079-2007-170003-SDE00008</t>
  </si>
  <si>
    <t>FAMILY RESOURCE CENTERS PROGRAM</t>
  </si>
  <si>
    <t>11000-17030-84004-2007-170013-</t>
  </si>
  <si>
    <t>ADULT EDUC.-COOPERATING ELIGIBLE ENTITY</t>
  </si>
  <si>
    <t>11000-17030-84004-2007</t>
  </si>
  <si>
    <t>11000-17041-82002-2007-170002-</t>
  </si>
  <si>
    <t>TWO PERCENT EDUCATION COST SHARE GRANT</t>
  </si>
  <si>
    <t>11000-17041-82002-2007</t>
  </si>
  <si>
    <t>11000-17042-82079-2007-170002-</t>
  </si>
  <si>
    <t>BILINGUAL EDUCATION</t>
  </si>
  <si>
    <t>11000-17042-82079-2007</t>
  </si>
  <si>
    <t>11000-17044-82079-2007-170003-</t>
  </si>
  <si>
    <t>YOUNG PARENTS PROGRAM</t>
  </si>
  <si>
    <t>11000-17044-82079-2007</t>
  </si>
  <si>
    <t>11000-17045-82065-2007-      -SDE00005</t>
  </si>
  <si>
    <t>11000-17045-82065-2007</t>
  </si>
  <si>
    <t>11000-17045-82065-2007-      -SDE00006</t>
  </si>
  <si>
    <t>11000-17045-82065-2007-      -SDE00007</t>
  </si>
  <si>
    <t>11000-17045-82065-2007-      -SDE00008</t>
  </si>
  <si>
    <t>11000-17045-82066-2007-      -SDE00006</t>
  </si>
  <si>
    <t>11000-17045-82066-2007-      -SDE00007</t>
  </si>
  <si>
    <t>11000-17045-82066-2007-      -SDE00008</t>
  </si>
  <si>
    <t>11000-17045-82066-2007-      -SDE00009</t>
  </si>
  <si>
    <t>11000-17045-82066-2007-      -SDE00010</t>
  </si>
  <si>
    <t>11000-17045-82066-2007-      -SDE00011</t>
  </si>
  <si>
    <t>11000-17045-82066-2007-      -SDE00012</t>
  </si>
  <si>
    <t>11000-17045-82066-2007-      -SDE00013</t>
  </si>
  <si>
    <t>11000-17046-82079-2007-170003-</t>
  </si>
  <si>
    <t>State School Breakfast</t>
  </si>
  <si>
    <t>11000-17046-82079-2007</t>
  </si>
  <si>
    <t>11000-17084-82079-2007-170003-SDE00005</t>
  </si>
  <si>
    <t>AFTER SCHOOL PROGRAM</t>
  </si>
  <si>
    <t>11000-17084-82079-2007</t>
  </si>
  <si>
    <t>12060-20679-82070-2005-170002-SDE00007</t>
  </si>
  <si>
    <t>TITLE I</t>
  </si>
  <si>
    <t>12060-20679-82070-2005</t>
  </si>
  <si>
    <t>12060-20679-82070-2007-170002-SDE00006</t>
  </si>
  <si>
    <t>12060-20679-82071-2006-170002-</t>
  </si>
  <si>
    <t>TITLE I-PART A- SCHOOL IMPROVEMENT</t>
  </si>
  <si>
    <t>12060-20679-82071-2006</t>
  </si>
  <si>
    <t>12060-20679-82071-2007-170002-</t>
  </si>
  <si>
    <t>12060-20679-82071-2007</t>
  </si>
  <si>
    <t>12060-20770-82079-2007-      -</t>
  </si>
  <si>
    <t>12060-20770-82079-2007</t>
  </si>
  <si>
    <t>12060-20784-84002-2006-170014-SDE00008</t>
  </si>
  <si>
    <t>12060-20784-84002-2006-170016-SDE00008</t>
  </si>
  <si>
    <t>13010-40901-82003-2007-170001-</t>
  </si>
  <si>
    <t>S.C. REG. PRINCIPAL-2007 (3090)</t>
  </si>
  <si>
    <t>13010-40901-82003-2007</t>
  </si>
  <si>
    <t>11000-12113-82079-2007-170003-</t>
  </si>
  <si>
    <t>SCHOOL READINESS -SEVERE NEED SCHOOLS</t>
  </si>
  <si>
    <t>11000-12113-82079-2007</t>
  </si>
  <si>
    <t>11000-17048-82015-2007-      -</t>
  </si>
  <si>
    <t>SPECIAL ED EXCESS COST EQUITY</t>
  </si>
  <si>
    <t>11000-17048-82015-2007</t>
  </si>
  <si>
    <t>12060-20500-82079-2006-170005-</t>
  </si>
  <si>
    <t>SPECIAL MILK PROGRAM FOR CHILDREN</t>
  </si>
  <si>
    <t>12060-20500-82079-2006</t>
  </si>
  <si>
    <t>12060-20500-82079-2007-170005-</t>
  </si>
  <si>
    <t>12060-20500-82079-2007</t>
  </si>
  <si>
    <t>13009-40896-82004-2006-170063-</t>
  </si>
  <si>
    <t>S.C. REG. INTEREST-2006 (3089)</t>
  </si>
  <si>
    <t>13009-40896-82004-2006</t>
  </si>
  <si>
    <t>11000-17045-82066-2007-      -SDE00005</t>
  </si>
  <si>
    <t>INTERDISTRICT COOPERATIVE</t>
  </si>
  <si>
    <t>11000-17045-82066-2007</t>
  </si>
  <si>
    <t>11000-17045-82067-2007-      -SDE00005</t>
  </si>
  <si>
    <t>11000-17045-82067-2007</t>
  </si>
  <si>
    <t>11000-17057-82061-2007-      -</t>
  </si>
  <si>
    <t>MAGNET SCHOOL-TRANSPORTATION</t>
  </si>
  <si>
    <t>11000-17057-82061-2007</t>
  </si>
  <si>
    <t>12052-42860-82079-2006-170003-</t>
  </si>
  <si>
    <t>STATE FUNDS FOR TECH. INFRASTRUCTURE</t>
  </si>
  <si>
    <t>12052-42860-82079-2006</t>
  </si>
  <si>
    <t>BEACON FALLS</t>
  </si>
  <si>
    <t>11000-17030-84002-2007-170013-</t>
  </si>
  <si>
    <t>ADULT EDUCATION - PROVIDER</t>
  </si>
  <si>
    <t>11000-17030-84002-2007</t>
  </si>
  <si>
    <t>12060-20784-84002-2006-170015-SDE00008</t>
  </si>
  <si>
    <t>ADULT EDUCATION</t>
  </si>
  <si>
    <t>12060-20784-84002-2006</t>
  </si>
  <si>
    <t>BETHLEHEM</t>
  </si>
  <si>
    <t>11000-12332-82010-2007-170003-SDE00005</t>
  </si>
  <si>
    <t>COMPUTER ASSISTED WRITING- INSTR.&amp; TEST.</t>
  </si>
  <si>
    <t>11000-12332-82010-2007</t>
  </si>
  <si>
    <t>11000-16110-82079-2007-170003-</t>
  </si>
  <si>
    <t>FAMILY RESOURCE CENTER PROGRAM</t>
  </si>
  <si>
    <t>11000-16110-82079-2007</t>
  </si>
  <si>
    <t>11000-17017-84010-2007-      -</t>
  </si>
  <si>
    <t>VOCATIONAL AGRICULTURE</t>
  </si>
  <si>
    <t>11000-17017-84010-2007</t>
  </si>
  <si>
    <t>11000-17057-82062-2007-170031-SDE00132</t>
  </si>
  <si>
    <t>MAGNET SCHOOL OPERATING</t>
  </si>
  <si>
    <t>11000-17057-82062-2007</t>
  </si>
  <si>
    <t>12060-20679-82070-2006-170002-SDE00006</t>
  </si>
  <si>
    <t>TITLE I (ESEA) LOCAL N &amp; D</t>
  </si>
  <si>
    <t>13010-40901-82007-2006-170001-</t>
  </si>
  <si>
    <t>SCH. CONSTRUCTION-PROGRESS MAGNET</t>
  </si>
  <si>
    <t>13010-40901-82007-2006</t>
  </si>
  <si>
    <t>13010-40901-82007-2007-170001-</t>
  </si>
  <si>
    <t>S.C. PROGRESS MAGNET-2007 (3090)</t>
  </si>
  <si>
    <t>13010-40901-82007-2007</t>
  </si>
  <si>
    <t>12060-20784-84005-2006-170015-SDE00008</t>
  </si>
  <si>
    <t>12060-20784-84005-2006</t>
  </si>
  <si>
    <t>12060-20784-84005-2007-170014-</t>
  </si>
  <si>
    <t>SUMMER FOOD SERVICE PROGRAM - OPR</t>
  </si>
  <si>
    <t>12060-20540-82079-2006</t>
  </si>
  <si>
    <t>12060-20540-82079-2007-170005-SDE00004</t>
  </si>
  <si>
    <t>12060-20540-82079-2007</t>
  </si>
  <si>
    <t>12060-20548-82079-2006-170005-SDE00003</t>
  </si>
  <si>
    <t>SUMMER FOOD SERVICE PROG - ADMIN</t>
  </si>
  <si>
    <t>12060-20548-82079-2006</t>
  </si>
  <si>
    <t>12060-20560-82079-2006-170005-</t>
  </si>
  <si>
    <t>NATIONAL SCHOOL LUNCH</t>
  </si>
  <si>
    <t>12060-20560-82079-2006</t>
  </si>
  <si>
    <t>12060-20560-82079-2007-170005-</t>
  </si>
  <si>
    <t>12060-20560-82079-2007</t>
  </si>
  <si>
    <t>12060-20742-84010-2007-170002-</t>
  </si>
  <si>
    <t>CARL D PERKINS VOC. &amp; TECH. EDUC. ACT</t>
  </si>
  <si>
    <t>12060-20742-84010-2007</t>
  </si>
  <si>
    <t>12060-20770-82079-2006-      -SDE00005</t>
  </si>
  <si>
    <t>EDUCATION OF HOMELESS CHILDREN AND YOUTH</t>
  </si>
  <si>
    <t>12060-20770-82079-2006</t>
  </si>
  <si>
    <t>12060-20826-82079-2006-170002-</t>
  </si>
  <si>
    <t>12060-20826-82079-2006</t>
  </si>
  <si>
    <t>12060-20826-82079-2006-170003-</t>
  </si>
  <si>
    <t>TITLE II- D- ENHANC. EDUC. THRU TECH.</t>
  </si>
  <si>
    <t>12060-20854-82079-2006-170003-</t>
  </si>
  <si>
    <t>TITLE I- PART B READING FIRST</t>
  </si>
  <si>
    <t>12060-20854-82079-2006</t>
  </si>
  <si>
    <t>12060-20863-84131-2006-170003-</t>
  </si>
  <si>
    <t>21ST CENTURY COMMUNITY LEARNING CENTERS</t>
  </si>
  <si>
    <t>12060-20863-84131-2006</t>
  </si>
  <si>
    <t>12060-20863-84131-2007-170003-</t>
  </si>
  <si>
    <t>12060-20863-84131-2007</t>
  </si>
  <si>
    <t>12060-20868-82075-2006-170002-</t>
  </si>
  <si>
    <t>TITLE III PART A ENGLISH LANG. ACQUIS.</t>
  </si>
  <si>
    <t>12060-20868-82075-2006</t>
  </si>
  <si>
    <t>12060-20868-82075-2007-170002-</t>
  </si>
  <si>
    <t>12060-20868-82075-2007</t>
  </si>
  <si>
    <t>12060-20983-82032-2006-170002-</t>
  </si>
  <si>
    <t>12060-20983-82032-2006</t>
  </si>
  <si>
    <t>12060-21592-84131-2006-170003-</t>
  </si>
  <si>
    <t>MATHEMATICS AND SCIENCE PARTNERSHIP PGM.</t>
  </si>
  <si>
    <t>12060-21592-84131-2006</t>
  </si>
  <si>
    <t>12060-21592-84131-2007-170003-</t>
  </si>
  <si>
    <t>12060-21592-84131-2007</t>
  </si>
  <si>
    <t>12060-22038-82079-2006-      -</t>
  </si>
  <si>
    <t>Emergency Impact Aid-Displaced Students</t>
  </si>
  <si>
    <t>12060-22038-82079-2006</t>
  </si>
  <si>
    <t>12060-90242-82079-2007-      -</t>
  </si>
  <si>
    <t>QUALITY ENHANCEMENT GRANT</t>
  </si>
  <si>
    <t>12060-90242-82079-2007</t>
  </si>
  <si>
    <t>12060-90493-82079-2007-170036-</t>
  </si>
  <si>
    <t>PRIMARY MENTAL HEALTH PROGRAM</t>
  </si>
  <si>
    <t>12060-90493-82079-2007</t>
  </si>
  <si>
    <t>13009-40896-82004-2007-170063-</t>
  </si>
  <si>
    <t>S.C. REG. INTEREST-2007 (3089)</t>
  </si>
  <si>
    <t>13009-40896-82004-2007</t>
  </si>
  <si>
    <t>13010-40901-82003-2006-170001-</t>
  </si>
  <si>
    <t>SCH. CONSTRUCTION-REG PRINCIPAL</t>
  </si>
  <si>
    <t>13010-40901-82003-2006</t>
  </si>
  <si>
    <t>S.C. PROGRESS-2007 (3090)</t>
  </si>
  <si>
    <t>13010-40901-82006-2007</t>
  </si>
  <si>
    <t>11000-12198-82079-2007-170036-</t>
  </si>
  <si>
    <t>PRIMARY MENTAL HEALTH</t>
  </si>
  <si>
    <t>11000-12198-82079-2007</t>
  </si>
  <si>
    <t>11000-16072-82010-2007-170005-</t>
  </si>
  <si>
    <t>HEALTHY FOODS GRANT</t>
  </si>
  <si>
    <t>11000-16072-82010-2007</t>
  </si>
  <si>
    <t>11000-16072-82051-2007-170005-</t>
  </si>
  <si>
    <t>CHILD NUTRITION STATE MATCHING GRANT</t>
  </si>
  <si>
    <t>11000-16072-82051-2007</t>
  </si>
  <si>
    <t>11000-17030-84003-2007-170013-</t>
  </si>
  <si>
    <t>ADULT EDUCATION - COOPERATIVE</t>
  </si>
  <si>
    <t>11000-17030-84003-2007</t>
  </si>
  <si>
    <t>Adult Education</t>
  </si>
  <si>
    <t>11000-17034-82010-2007-170006-</t>
  </si>
  <si>
    <t>NONPUBLIC HEALTH SERVICES</t>
  </si>
  <si>
    <t>11000-17034-82010-2007</t>
  </si>
  <si>
    <t>11000-17043-82052-2007-170002-</t>
  </si>
  <si>
    <t>PRIORITY SCHOOL DISTRICTS</t>
  </si>
  <si>
    <t>11000-17043-82052-2007</t>
  </si>
  <si>
    <t>11000-17043-82053-2007-170002-</t>
  </si>
  <si>
    <t>EARLY READING SUCCESS</t>
  </si>
  <si>
    <t>11000-17043-82053-2007</t>
  </si>
  <si>
    <t>11000-17043-82054-2007-170002-</t>
  </si>
  <si>
    <t>EXTENDED SCHOOL HOURS</t>
  </si>
  <si>
    <t>11000-17043-82054-2007</t>
  </si>
  <si>
    <t>11000-17043-82055-2007-170002-</t>
  </si>
  <si>
    <t>SCHOOL ACCOUNTABILITY - SUMMER SCHOOL</t>
  </si>
  <si>
    <t>11000-17043-82055-2007</t>
  </si>
  <si>
    <t>11000-17043-82056-2007-170002-</t>
  </si>
  <si>
    <t>SCHOOL READINESS</t>
  </si>
  <si>
    <t>11000-17043-82056-2007</t>
  </si>
  <si>
    <t>PreK</t>
  </si>
  <si>
    <t>11000-17046-82057-2007-      -</t>
  </si>
  <si>
    <t>STATE SCHOOL BREAKFAST</t>
  </si>
  <si>
    <t>11000-17046-82057-2007</t>
  </si>
  <si>
    <t>11000-17046-82058-2007-      -</t>
  </si>
  <si>
    <t>11000-17046-82058-2007</t>
  </si>
  <si>
    <t>11000-17047-82016-2007-      -</t>
  </si>
  <si>
    <t>SPEC ED-AG. PLACEMENTS &amp; EXCESS COST</t>
  </si>
  <si>
    <t>11000-17047-82016-2007</t>
  </si>
  <si>
    <t>11000-17047-82019-2007-      -</t>
  </si>
  <si>
    <t>11000-17047-82019-2007</t>
  </si>
  <si>
    <t>11000-17049-82010-2007-170006-</t>
  </si>
  <si>
    <t>TRANSPORTATION-NONPUBLIC</t>
  </si>
  <si>
    <t>11000-17049-82010-2007</t>
  </si>
  <si>
    <t>11000-17052-82079-2007-170002-</t>
  </si>
  <si>
    <t>YOUTH SERVICE BUREAU</t>
  </si>
  <si>
    <t>11000-17052-82079-2007</t>
  </si>
  <si>
    <t>11000-17053-82060-2007-      -</t>
  </si>
  <si>
    <t>OPEN CHOICE PROGRAM-RECEIVING DIST.</t>
  </si>
  <si>
    <t>11000-17053-82060-2007</t>
  </si>
  <si>
    <t>12052-42861-82079-2007-      -</t>
  </si>
  <si>
    <t>MINOR CAPITAL IMPRV. &amp; WIRING-SCH. READ.</t>
  </si>
  <si>
    <t>12052-42861-82079-2007</t>
  </si>
  <si>
    <t>12060-20508-82079-2006-170005-</t>
  </si>
  <si>
    <t>SCHOOL BREAKFAST PROGRAM</t>
  </si>
  <si>
    <t>12060-20508-82079-2006</t>
  </si>
  <si>
    <t>12060-20508-82079-2007-170005-</t>
  </si>
  <si>
    <t>12060-20508-82079-2007</t>
  </si>
  <si>
    <t>12060-20540-82079-2006-170005-SDE00003</t>
  </si>
  <si>
    <t>Total</t>
  </si>
  <si>
    <t>Enrollment</t>
  </si>
  <si>
    <t>Number of Charters</t>
  </si>
  <si>
    <t>Total Revenue</t>
  </si>
  <si>
    <t>Figure 4</t>
  </si>
  <si>
    <t>Percentage of Revenue by Source</t>
  </si>
  <si>
    <t xml:space="preserve">Federal </t>
  </si>
  <si>
    <t xml:space="preserve">Other </t>
  </si>
  <si>
    <t>Statewide District</t>
  </si>
  <si>
    <t>Statewide Charter</t>
  </si>
  <si>
    <t>Change in district school funding if subjected to charter funding structure</t>
  </si>
  <si>
    <t>Bridgeport</t>
  </si>
  <si>
    <t>New Haven</t>
  </si>
  <si>
    <t>Bridgeport District</t>
  </si>
  <si>
    <t>Bridgeport Charter</t>
  </si>
  <si>
    <t>New Haven District</t>
  </si>
  <si>
    <t>New Haven Charter</t>
  </si>
  <si>
    <t xml:space="preserve">State </t>
  </si>
  <si>
    <t>Vendor</t>
  </si>
  <si>
    <t>VName</t>
  </si>
  <si>
    <t>Payment</t>
  </si>
  <si>
    <t>CCode</t>
  </si>
  <si>
    <t>GrantName</t>
  </si>
  <si>
    <t>CCode_A</t>
  </si>
  <si>
    <t>11000-17027-82010-2007-170005-</t>
  </si>
  <si>
    <t>TRANSPORTATION OF SCHOOL CHILDREN-PUBLIC</t>
  </si>
  <si>
    <t>11000-17027-82010-2007</t>
  </si>
  <si>
    <t>11000-17041-82010-2007-170002-</t>
  </si>
  <si>
    <t>EDUCATION EQUALIZATION</t>
  </si>
  <si>
    <t>11000-17041-82010-2007</t>
  </si>
  <si>
    <t>11000-17047-82018-2007-      -</t>
  </si>
  <si>
    <t>SPEC ED-AG PLACEMENTS &amp; EXCESS COST</t>
  </si>
  <si>
    <t>11000-17047-82018-2007</t>
  </si>
  <si>
    <t>12060-20679-82070-2006-170002-</t>
  </si>
  <si>
    <t>TITLE I Improving Basic Programs</t>
  </si>
  <si>
    <t>12060-20679-82070-2006</t>
  </si>
  <si>
    <t>12060-20679-82070-2007-170002-</t>
  </si>
  <si>
    <t>12060-20679-82070-2007</t>
  </si>
  <si>
    <t>12060-20826-82079-2007-170002-</t>
  </si>
  <si>
    <t>TITLE II PART D TECHNOLOGY</t>
  </si>
  <si>
    <t>12060-20826-82079-2007</t>
  </si>
  <si>
    <t>12060-20858-84131-2006-170002-</t>
  </si>
  <si>
    <t>TITLE II-PART A TEACHERS</t>
  </si>
  <si>
    <t>12060-20858-84131-2006</t>
  </si>
  <si>
    <t>12060-20858-84131-2007-170002-</t>
  </si>
  <si>
    <t>12060-20858-84131-2007</t>
  </si>
  <si>
    <t>12060-20873-84131-2006-170002-</t>
  </si>
  <si>
    <t>TITLE IV - SAFE &amp; DRUG FREE SCHOOLS</t>
  </si>
  <si>
    <t>12060-20873-84131-2006</t>
  </si>
  <si>
    <t>12060-20873-84131-2007-170002-</t>
  </si>
  <si>
    <t>12060-20873-84131-2007</t>
  </si>
  <si>
    <t>12060-20909-84131-2006-170002-</t>
  </si>
  <si>
    <t>TITLE V-INNOVATIVE EDUCATION STRATEGIES</t>
  </si>
  <si>
    <t>12060-20909-84131-2006</t>
  </si>
  <si>
    <t>12060-20909-84131-2007-170002-</t>
  </si>
  <si>
    <t>12060-20909-84131-2007</t>
  </si>
  <si>
    <t>12060-20977-82032-2006-170002-</t>
  </si>
  <si>
    <t>IDEA-PART B- SECTION 611</t>
  </si>
  <si>
    <t>12060-20977-82032-2006</t>
  </si>
  <si>
    <t>12060-20977-82032-2007-170002-</t>
  </si>
  <si>
    <t>12060-20977-82032-2007</t>
  </si>
  <si>
    <t>12060-20983-82032-2007-170002-</t>
  </si>
  <si>
    <t>IDEA- PART B- SECTION 619</t>
  </si>
  <si>
    <t>12060-20983-82032-2007</t>
  </si>
  <si>
    <t>13010-40901-82006-2006-170001-</t>
  </si>
  <si>
    <t>SCH. CONSTRUCTION-PROGRESS</t>
  </si>
  <si>
    <t>13010-40901-82006-2006</t>
  </si>
  <si>
    <t>13010-40901-82006-2007-170001-</t>
  </si>
  <si>
    <t>WATERBURY</t>
  </si>
  <si>
    <t>WATERFORD</t>
  </si>
  <si>
    <t>WATERTOWN</t>
  </si>
  <si>
    <t>WESTBROOK</t>
  </si>
  <si>
    <t>WEST HARTFORD</t>
  </si>
  <si>
    <t>WEST HAVEN</t>
  </si>
  <si>
    <t>WESTON</t>
  </si>
  <si>
    <t>WESTPORT</t>
  </si>
  <si>
    <t>WETHERSFIELD</t>
  </si>
  <si>
    <t>WILLINGTON</t>
  </si>
  <si>
    <t>WILTON</t>
  </si>
  <si>
    <t>WINCHESTER</t>
  </si>
  <si>
    <t>WINDHAM</t>
  </si>
  <si>
    <t>WINDSOR</t>
  </si>
  <si>
    <t>WINDSOR LOCKS</t>
  </si>
  <si>
    <t>WOLCOTT</t>
  </si>
  <si>
    <t>WOODBRIDGE</t>
  </si>
  <si>
    <t>WOODSTOCK</t>
  </si>
  <si>
    <t>DISTRICT NO. 1</t>
  </si>
  <si>
    <t>DISTRICT NO. 4</t>
  </si>
  <si>
    <t>DISTRICT NO. 5</t>
  </si>
  <si>
    <t>DISTRICT NO. 6</t>
  </si>
  <si>
    <t>DISTRICT NO. 7</t>
  </si>
  <si>
    <t>DISTRICT NO. 8</t>
  </si>
  <si>
    <t>DISTRICT NO. 9</t>
  </si>
  <si>
    <t>DISTRICT NO. 10</t>
  </si>
  <si>
    <t>DISTRICT NO. 11</t>
  </si>
  <si>
    <t>DISTRICT NO. 12</t>
  </si>
  <si>
    <t>DISTRICT NO. 13</t>
  </si>
  <si>
    <t>DISTRICT NO. 14</t>
  </si>
  <si>
    <t>DISTRICT NO. 15</t>
  </si>
  <si>
    <t>DISTRICT NO. 16</t>
  </si>
  <si>
    <t>DISTRICT NO. 17</t>
  </si>
  <si>
    <t>DISTRICT NO. 18</t>
  </si>
  <si>
    <t>DISTRICT NO. 19</t>
  </si>
  <si>
    <t>JUMOKE ACADEMY</t>
  </si>
  <si>
    <t>ODYSSEY SCHOOL</t>
  </si>
  <si>
    <t>INTEGRATED DAY</t>
  </si>
  <si>
    <t>INTERDIST SCH ART</t>
  </si>
  <si>
    <t>COMMON GROUND</t>
  </si>
  <si>
    <t>BRIDGE ACADEMY</t>
  </si>
  <si>
    <t>SIDE BY SIDE</t>
  </si>
  <si>
    <t>EXPLORATIONS</t>
  </si>
  <si>
    <t>HIGHVILLE MUSTARD</t>
  </si>
  <si>
    <t>TRAILBLAZERS</t>
  </si>
  <si>
    <t>AMISTAD</t>
  </si>
  <si>
    <t>NEW BEGINNINGS</t>
  </si>
  <si>
    <t>ELM CITY COLLEGE PRE</t>
  </si>
  <si>
    <t>STAMFORD ACADEMY</t>
  </si>
  <si>
    <t>PARK CITY PREP</t>
  </si>
  <si>
    <t>CROSS CULTURAL ACADE</t>
  </si>
  <si>
    <t>BROOKLAWN ACADEMY</t>
  </si>
  <si>
    <t>2006-07 Strategic School Profiles data without school construction</t>
  </si>
  <si>
    <t xml:space="preserve">LOCAL % </t>
  </si>
  <si>
    <t xml:space="preserve">FEDERAL % </t>
  </si>
  <si>
    <t xml:space="preserve">STATE % </t>
  </si>
  <si>
    <t xml:space="preserve">TUITION % </t>
  </si>
  <si>
    <t>2006-07 Strategic School Profiles data with school construction</t>
  </si>
  <si>
    <r>
      <t>TOTAL EXPENDITURES</t>
    </r>
    <r>
      <rPr>
        <sz val="10"/>
        <rFont val="Arial"/>
      </rPr>
      <t xml:space="preserve"> </t>
    </r>
  </si>
  <si>
    <r>
      <t>STATE PORTION</t>
    </r>
    <r>
      <rPr>
        <sz val="10"/>
        <rFont val="Arial"/>
      </rPr>
      <t xml:space="preserve"> </t>
    </r>
  </si>
  <si>
    <r>
      <t>FEDERAL</t>
    </r>
    <r>
      <rPr>
        <sz val="10"/>
        <color indexed="8"/>
        <rFont val="Arial"/>
        <family val="2"/>
      </rPr>
      <t xml:space="preserve"> PORTION</t>
    </r>
    <r>
      <rPr>
        <sz val="10"/>
        <rFont val="Arial"/>
      </rPr>
      <t xml:space="preserve"> </t>
    </r>
  </si>
  <si>
    <r>
      <t>TUITION</t>
    </r>
    <r>
      <rPr>
        <sz val="10"/>
        <rFont val="Arial"/>
      </rPr>
      <t xml:space="preserve"> </t>
    </r>
    <r>
      <rPr>
        <sz val="10"/>
        <color indexed="8"/>
        <rFont val="Arial"/>
        <family val="2"/>
      </rPr>
      <t>PORTION</t>
    </r>
    <r>
      <rPr>
        <sz val="10"/>
        <rFont val="Arial"/>
      </rPr>
      <t xml:space="preserve"> </t>
    </r>
  </si>
  <si>
    <r>
      <t>LOCAL</t>
    </r>
    <r>
      <rPr>
        <sz val="10"/>
        <color indexed="8"/>
        <rFont val="Arial"/>
        <family val="2"/>
      </rPr>
      <t xml:space="preserve"> PORTION</t>
    </r>
    <r>
      <rPr>
        <sz val="10"/>
        <rFont val="Arial"/>
      </rPr>
      <t xml:space="preserve"> </t>
    </r>
  </si>
  <si>
    <t>2002-03 Strategic School Profiles data without school construction</t>
  </si>
  <si>
    <t>2002-03 Strategic School Profiles data with school construction</t>
  </si>
  <si>
    <t>TOWN CODE</t>
  </si>
  <si>
    <t>203-773-3223 Ken Paul or Desha Toll</t>
  </si>
  <si>
    <t>Do not have Cross Cultural Acad on state list.  State list includes Achievement First Bridgeport Acad, where there is no data.</t>
  </si>
  <si>
    <t>achievement first bridgeport opened 2007-08</t>
  </si>
  <si>
    <t>cross cultural closed may 2007</t>
  </si>
  <si>
    <t>State</t>
  </si>
  <si>
    <t>Federal</t>
  </si>
  <si>
    <t>Tuition</t>
  </si>
  <si>
    <t>Local</t>
  </si>
  <si>
    <t>Figure 1</t>
  </si>
  <si>
    <t>Figure 2</t>
  </si>
  <si>
    <t>Statewide</t>
  </si>
  <si>
    <t>District</t>
  </si>
  <si>
    <t>Charter</t>
  </si>
  <si>
    <t>Difference</t>
  </si>
  <si>
    <t>Per-Pupil Revenue</t>
  </si>
  <si>
    <t>Per-Pupil Revenue by Source</t>
  </si>
  <si>
    <t xml:space="preserve">District </t>
  </si>
  <si>
    <t>Other</t>
  </si>
  <si>
    <t>Indeterminate</t>
  </si>
  <si>
    <t>NAME</t>
  </si>
  <si>
    <t>ANDOVER</t>
  </si>
  <si>
    <t>ANSONIA</t>
  </si>
  <si>
    <t>ASHFORD</t>
  </si>
  <si>
    <t>AVON</t>
  </si>
  <si>
    <t>BARKHAMSTED</t>
  </si>
  <si>
    <t>BERLIN</t>
  </si>
  <si>
    <t>BETHANY</t>
  </si>
  <si>
    <t>BETHEL</t>
  </si>
  <si>
    <t>BLOOMFIELD</t>
  </si>
  <si>
    <t>BOLTON</t>
  </si>
  <si>
    <t>BOZRAH</t>
  </si>
  <si>
    <t>BRANFORD</t>
  </si>
  <si>
    <t>BRIDGEPORT</t>
  </si>
  <si>
    <t>BRISTOL</t>
  </si>
  <si>
    <t>BROOKFIELD</t>
  </si>
  <si>
    <t>BROOKLYN</t>
  </si>
  <si>
    <t>CANAAN</t>
  </si>
  <si>
    <t>CANTERBURY</t>
  </si>
  <si>
    <t>CANTON</t>
  </si>
  <si>
    <t>CHAPLIN</t>
  </si>
  <si>
    <t>CHESHIRE</t>
  </si>
  <si>
    <t>CHESTER</t>
  </si>
  <si>
    <t>CLINTON</t>
  </si>
  <si>
    <t>COLCHESTER</t>
  </si>
  <si>
    <t>COLEBROOK</t>
  </si>
  <si>
    <t>COLUMBIA</t>
  </si>
  <si>
    <t>CORNWALL</t>
  </si>
  <si>
    <t>COVENTRY</t>
  </si>
  <si>
    <t>CROMWELL</t>
  </si>
  <si>
    <t>DANBURY</t>
  </si>
  <si>
    <t>DARIEN</t>
  </si>
  <si>
    <t>DEEP RIVER</t>
  </si>
  <si>
    <t>DERBY</t>
  </si>
  <si>
    <t>EASTFORD</t>
  </si>
  <si>
    <t>EAST GRANBY</t>
  </si>
  <si>
    <t>EAST HADDAM</t>
  </si>
  <si>
    <t>EAST HAMPTON</t>
  </si>
  <si>
    <t>EAST HARTFORD</t>
  </si>
  <si>
    <t>EAST HAVEN</t>
  </si>
  <si>
    <t>EAST LYME</t>
  </si>
  <si>
    <t>EASTON</t>
  </si>
  <si>
    <t>EAST WINDSOR</t>
  </si>
  <si>
    <t>ELLINGTON</t>
  </si>
  <si>
    <t>ENFIELD</t>
  </si>
  <si>
    <t>ESSEX</t>
  </si>
  <si>
    <t>FAIRFIELD</t>
  </si>
  <si>
    <t>FARMINGTON</t>
  </si>
  <si>
    <t>FRANKLIN</t>
  </si>
  <si>
    <t>GLASTONBURY</t>
  </si>
  <si>
    <t>GRANBY</t>
  </si>
  <si>
    <t>GREENWICH</t>
  </si>
  <si>
    <t>GRISWOLD</t>
  </si>
  <si>
    <t>GROTON</t>
  </si>
  <si>
    <t>GUILFORD</t>
  </si>
  <si>
    <t>HAMDEN</t>
  </si>
  <si>
    <t>HAMPTON</t>
  </si>
  <si>
    <t>HARTFORD</t>
  </si>
  <si>
    <t>HARTLAND</t>
  </si>
  <si>
    <t>HEBRON</t>
  </si>
  <si>
    <t>KENT</t>
  </si>
  <si>
    <t>KILLINGLY</t>
  </si>
  <si>
    <t>LEBANON</t>
  </si>
  <si>
    <t>LEDYARD</t>
  </si>
  <si>
    <t>LISBON</t>
  </si>
  <si>
    <t>LITCHFIELD</t>
  </si>
  <si>
    <t>MADISON</t>
  </si>
  <si>
    <t>MANCHESTER</t>
  </si>
  <si>
    <t>MANSFIELD</t>
  </si>
  <si>
    <t>MARLBOROUGH</t>
  </si>
  <si>
    <t>MERIDEN</t>
  </si>
  <si>
    <t>MIDDLETOWN</t>
  </si>
  <si>
    <t>MILFORD</t>
  </si>
  <si>
    <t>MONROE</t>
  </si>
  <si>
    <t>MONTVILLE</t>
  </si>
  <si>
    <t>NAUGATUCK</t>
  </si>
  <si>
    <t>NEW BRITAIN</t>
  </si>
  <si>
    <t>NEW CANAAN</t>
  </si>
  <si>
    <t>NEW FAIRFIELD</t>
  </si>
  <si>
    <t>NEW HARTFORD</t>
  </si>
  <si>
    <t>NEW HAVEN</t>
  </si>
  <si>
    <t>NEWINGTON</t>
  </si>
  <si>
    <t>NEW LONDON</t>
  </si>
  <si>
    <t>NEW MILFORD</t>
  </si>
  <si>
    <t>NEWTOWN</t>
  </si>
  <si>
    <t>NORFOLK</t>
  </si>
  <si>
    <t>NORTH BRANFORD</t>
  </si>
  <si>
    <t>NORTH CANAAN</t>
  </si>
  <si>
    <t>NORTH HAVEN</t>
  </si>
  <si>
    <t>NORTH STONINGTON</t>
  </si>
  <si>
    <t>NORWALK</t>
  </si>
  <si>
    <t>NORWICH</t>
  </si>
  <si>
    <t>OLD SAYBROOK</t>
  </si>
  <si>
    <t>ORANGE</t>
  </si>
  <si>
    <t>OXFORD</t>
  </si>
  <si>
    <t>PLAINFIELD</t>
  </si>
  <si>
    <t>PLAINVILLE</t>
  </si>
  <si>
    <t>PLYMOUTH</t>
  </si>
  <si>
    <t>POMFRET</t>
  </si>
  <si>
    <t>PORTLAND</t>
  </si>
  <si>
    <t>PRESTON</t>
  </si>
  <si>
    <t>PUTNAM</t>
  </si>
  <si>
    <t>REDDING</t>
  </si>
  <si>
    <t>RIDGEFIELD</t>
  </si>
  <si>
    <t>ROCKY HILL</t>
  </si>
  <si>
    <t>SALEM</t>
  </si>
  <si>
    <t>SALISBURY</t>
  </si>
  <si>
    <t>SCOTLAND</t>
  </si>
  <si>
    <t>SEYMOUR</t>
  </si>
  <si>
    <t>SHARON</t>
  </si>
  <si>
    <t>SHELTON</t>
  </si>
  <si>
    <t>SHERMAN</t>
  </si>
  <si>
    <t>SIMSBURY</t>
  </si>
  <si>
    <t>SOMERS</t>
  </si>
  <si>
    <t>SOUTHINGTON</t>
  </si>
  <si>
    <t>SOUTH WINDSOR</t>
  </si>
  <si>
    <t>SPRAGUE</t>
  </si>
  <si>
    <t>STAFFORD</t>
  </si>
  <si>
    <t>STAMFORD</t>
  </si>
  <si>
    <t>STERLING</t>
  </si>
  <si>
    <t>STONINGTON</t>
  </si>
  <si>
    <t>STRATFORD</t>
  </si>
  <si>
    <t>SUFFIELD</t>
  </si>
  <si>
    <t>THOMASTON</t>
  </si>
  <si>
    <t>THOMPSON</t>
  </si>
  <si>
    <t>TOLLAND</t>
  </si>
  <si>
    <t>TORRINGTON</t>
  </si>
  <si>
    <t>TRUMBULL</t>
  </si>
  <si>
    <t>UNION</t>
  </si>
  <si>
    <t>VERNON</t>
  </si>
  <si>
    <t>VOLUNTOWN</t>
  </si>
  <si>
    <t>WALLINGFORD</t>
  </si>
</sst>
</file>

<file path=xl/styles.xml><?xml version="1.0" encoding="utf-8"?>
<styleSheet xmlns="http://schemas.openxmlformats.org/spreadsheetml/2006/main">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quot;$&quot;* #,##0.00_);_(&quot;$&quot;* \(#,##0.00\);_(&quot;$&quot;* &quot;-&quot;??_);_(@_)"/>
    <numFmt numFmtId="167" formatCode="0.0%"/>
  </numFmts>
  <fonts count="11">
    <font>
      <sz val="10"/>
      <name val="Arial"/>
    </font>
    <font>
      <sz val="10"/>
      <name val="Arial"/>
    </font>
    <font>
      <sz val="8"/>
      <name val="Arial"/>
      <family val="2"/>
    </font>
    <font>
      <sz val="10"/>
      <name val="Arial"/>
    </font>
    <font>
      <sz val="10"/>
      <color indexed="8"/>
      <name val="Arial"/>
      <family val="2"/>
    </font>
    <font>
      <sz val="10"/>
      <color indexed="10"/>
      <name val="Arial"/>
      <family val="2"/>
    </font>
    <font>
      <sz val="10"/>
      <color indexed="9"/>
      <name val="Arial"/>
      <family val="2"/>
    </font>
    <font>
      <sz val="10"/>
      <color indexed="9"/>
      <name val="Arial"/>
      <family val="2"/>
    </font>
    <font>
      <sz val="10"/>
      <color rgb="FF222222"/>
      <name val="Inherit"/>
    </font>
    <font>
      <sz val="10"/>
      <color indexed="8"/>
      <name val="Arial"/>
      <family val="2"/>
    </font>
    <font>
      <sz val="8"/>
      <name val="Verdana"/>
    </font>
  </fonts>
  <fills count="14">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bgColor indexed="64"/>
      </patternFill>
    </fill>
    <fill>
      <patternFill patternType="solid">
        <fgColor theme="9"/>
        <bgColor indexed="64"/>
      </patternFill>
    </fill>
    <fill>
      <patternFill patternType="solid">
        <fgColor rgb="FFFF0000"/>
        <bgColor indexed="64"/>
      </patternFill>
    </fill>
    <fill>
      <patternFill patternType="solid">
        <fgColor theme="5"/>
        <bgColor indexed="64"/>
      </patternFill>
    </fill>
    <fill>
      <patternFill patternType="solid">
        <fgColor theme="0"/>
        <bgColor indexed="64"/>
      </patternFill>
    </fill>
    <fill>
      <patternFill patternType="solid">
        <fgColor theme="0" tint="-0.249977111117893"/>
        <bgColor indexed="64"/>
      </patternFill>
    </fill>
    <fill>
      <patternFill patternType="solid">
        <fgColor theme="6"/>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146">
    <xf numFmtId="0" fontId="0" fillId="0" borderId="0" xfId="0"/>
    <xf numFmtId="0" fontId="3" fillId="0" borderId="0" xfId="0" applyFont="1"/>
    <xf numFmtId="0" fontId="4" fillId="0" borderId="0" xfId="0" applyFont="1"/>
    <xf numFmtId="3" fontId="0" fillId="0" borderId="0" xfId="0" applyNumberFormat="1"/>
    <xf numFmtId="3" fontId="4" fillId="0" borderId="0" xfId="0" applyNumberFormat="1" applyFont="1"/>
    <xf numFmtId="3" fontId="3" fillId="0" borderId="0" xfId="0" applyNumberFormat="1" applyFont="1"/>
    <xf numFmtId="3" fontId="0" fillId="4" borderId="0" xfId="0" applyNumberFormat="1" applyFill="1"/>
    <xf numFmtId="0" fontId="0" fillId="5" borderId="0" xfId="0" applyFill="1"/>
    <xf numFmtId="3" fontId="0" fillId="5" borderId="0" xfId="0" applyNumberFormat="1" applyFill="1"/>
    <xf numFmtId="0" fontId="0" fillId="6" borderId="0" xfId="0" applyFill="1"/>
    <xf numFmtId="3" fontId="0" fillId="6" borderId="0" xfId="0" applyNumberFormat="1" applyFill="1"/>
    <xf numFmtId="0" fontId="0" fillId="0" borderId="0" xfId="0" applyFill="1"/>
    <xf numFmtId="3" fontId="0" fillId="7" borderId="0" xfId="0" applyNumberFormat="1" applyFill="1"/>
    <xf numFmtId="3" fontId="4" fillId="7" borderId="0" xfId="0" applyNumberFormat="1" applyFont="1" applyFill="1"/>
    <xf numFmtId="3" fontId="3" fillId="4" borderId="0" xfId="0" applyNumberFormat="1" applyFont="1" applyFill="1"/>
    <xf numFmtId="3" fontId="3" fillId="7" borderId="0" xfId="0" applyNumberFormat="1" applyFont="1" applyFill="1"/>
    <xf numFmtId="3" fontId="0" fillId="8" borderId="0" xfId="0" applyNumberFormat="1" applyFill="1"/>
    <xf numFmtId="3" fontId="3" fillId="8" borderId="0" xfId="0" applyNumberFormat="1" applyFont="1" applyFill="1"/>
    <xf numFmtId="3" fontId="0" fillId="0" borderId="0" xfId="0" applyNumberFormat="1" applyFill="1"/>
    <xf numFmtId="167" fontId="0" fillId="0" borderId="0" xfId="0" applyNumberFormat="1" applyFill="1"/>
    <xf numFmtId="0" fontId="0" fillId="2" borderId="1" xfId="0" applyFill="1" applyBorder="1"/>
    <xf numFmtId="0" fontId="0" fillId="2" borderId="2" xfId="0" applyFill="1" applyBorder="1"/>
    <xf numFmtId="0" fontId="5" fillId="0" borderId="0" xfId="0" applyFont="1"/>
    <xf numFmtId="164" fontId="0" fillId="0" borderId="0" xfId="0" applyNumberFormat="1"/>
    <xf numFmtId="0" fontId="0" fillId="0" borderId="3" xfId="0" applyBorder="1"/>
    <xf numFmtId="0" fontId="0" fillId="2" borderId="3" xfId="0" applyFill="1" applyBorder="1" applyAlignment="1">
      <alignment wrapText="1"/>
    </xf>
    <xf numFmtId="0" fontId="0" fillId="0" borderId="0" xfId="0" applyFill="1" applyBorder="1" applyAlignment="1">
      <alignment horizontal="center" vertical="center"/>
    </xf>
    <xf numFmtId="0" fontId="0" fillId="9" borderId="0" xfId="0" applyFill="1"/>
    <xf numFmtId="165" fontId="0" fillId="0" borderId="0" xfId="0" applyNumberFormat="1"/>
    <xf numFmtId="0" fontId="0" fillId="7" borderId="0" xfId="0" applyFill="1"/>
    <xf numFmtId="165" fontId="0" fillId="7" borderId="0" xfId="0" applyNumberFormat="1" applyFill="1"/>
    <xf numFmtId="0" fontId="0" fillId="4" borderId="0" xfId="0" applyFill="1"/>
    <xf numFmtId="165" fontId="0" fillId="4" borderId="0" xfId="0" applyNumberFormat="1" applyFill="1"/>
    <xf numFmtId="165" fontId="0" fillId="6" borderId="0" xfId="0" applyNumberFormat="1" applyFill="1"/>
    <xf numFmtId="165" fontId="0" fillId="5" borderId="0" xfId="0" applyNumberFormat="1" applyFill="1"/>
    <xf numFmtId="3" fontId="0" fillId="10" borderId="0" xfId="0" applyNumberFormat="1" applyFill="1"/>
    <xf numFmtId="3" fontId="4" fillId="10" borderId="0" xfId="0" applyNumberFormat="1" applyFont="1" applyFill="1"/>
    <xf numFmtId="3" fontId="3" fillId="10" borderId="0" xfId="0" applyNumberFormat="1" applyFont="1" applyFill="1"/>
    <xf numFmtId="3" fontId="3" fillId="0" borderId="0" xfId="0" applyNumberFormat="1" applyFont="1" applyFill="1"/>
    <xf numFmtId="0" fontId="1" fillId="0" borderId="3" xfId="0" applyFont="1" applyBorder="1"/>
    <xf numFmtId="167" fontId="0" fillId="0" borderId="3" xfId="0" applyNumberFormat="1" applyBorder="1"/>
    <xf numFmtId="0" fontId="1" fillId="0" borderId="4" xfId="0" applyFont="1" applyBorder="1" applyAlignment="1">
      <alignment wrapText="1"/>
    </xf>
    <xf numFmtId="0" fontId="1" fillId="2" borderId="3" xfId="0" applyFont="1" applyFill="1" applyBorder="1" applyAlignment="1">
      <alignment horizontal="center" vertical="center"/>
    </xf>
    <xf numFmtId="164" fontId="1" fillId="0" borderId="3" xfId="0" applyNumberFormat="1" applyFont="1" applyBorder="1"/>
    <xf numFmtId="0" fontId="1" fillId="2" borderId="2" xfId="0" applyFont="1" applyFill="1" applyBorder="1"/>
    <xf numFmtId="167" fontId="1" fillId="0" borderId="3" xfId="0" applyNumberFormat="1" applyFont="1" applyBorder="1"/>
    <xf numFmtId="166" fontId="7" fillId="0" borderId="0" xfId="0" applyNumberFormat="1" applyFont="1"/>
    <xf numFmtId="0" fontId="7" fillId="0" borderId="0" xfId="0" applyFont="1"/>
    <xf numFmtId="0" fontId="1" fillId="0" borderId="0" xfId="0" applyFont="1"/>
    <xf numFmtId="0" fontId="0" fillId="10" borderId="0" xfId="0" applyFill="1"/>
    <xf numFmtId="0" fontId="0" fillId="8" borderId="0" xfId="0" applyFill="1"/>
    <xf numFmtId="165" fontId="0" fillId="9" borderId="0" xfId="0" applyNumberFormat="1" applyFill="1"/>
    <xf numFmtId="3" fontId="1" fillId="0" borderId="0" xfId="0" applyNumberFormat="1" applyFont="1"/>
    <xf numFmtId="0" fontId="0" fillId="0" borderId="0" xfId="0" applyFont="1" applyFill="1"/>
    <xf numFmtId="0" fontId="0" fillId="0" borderId="3" xfId="0" applyBorder="1" applyAlignment="1">
      <alignment horizontal="center" vertical="center"/>
    </xf>
    <xf numFmtId="0" fontId="1" fillId="2" borderId="1" xfId="0" applyFont="1" applyFill="1" applyBorder="1" applyAlignment="1">
      <alignment wrapText="1"/>
    </xf>
    <xf numFmtId="0" fontId="1" fillId="2" borderId="1" xfId="0" applyFont="1" applyFill="1" applyBorder="1"/>
    <xf numFmtId="0" fontId="1" fillId="2" borderId="3" xfId="0" applyFont="1" applyFill="1" applyBorder="1" applyAlignment="1">
      <alignment wrapText="1"/>
    </xf>
    <xf numFmtId="0" fontId="1" fillId="0" borderId="5" xfId="0" applyFont="1" applyBorder="1"/>
    <xf numFmtId="0" fontId="0" fillId="0" borderId="3" xfId="0" applyBorder="1" applyAlignment="1">
      <alignment wrapText="1"/>
    </xf>
    <xf numFmtId="0" fontId="0" fillId="0" borderId="1" xfId="0" applyBorder="1"/>
    <xf numFmtId="0" fontId="0" fillId="0" borderId="6" xfId="0" applyBorder="1"/>
    <xf numFmtId="0" fontId="0" fillId="2" borderId="6" xfId="0" applyFill="1" applyBorder="1"/>
    <xf numFmtId="0" fontId="6" fillId="3" borderId="3" xfId="0" applyFont="1" applyFill="1" applyBorder="1" applyAlignment="1">
      <alignment horizontal="center" vertical="center"/>
    </xf>
    <xf numFmtId="0" fontId="0" fillId="2" borderId="3" xfId="0" applyFill="1" applyBorder="1" applyAlignment="1">
      <alignment horizontal="center" vertical="center"/>
    </xf>
    <xf numFmtId="167" fontId="0" fillId="0" borderId="3" xfId="0" applyNumberFormat="1" applyBorder="1" applyAlignment="1">
      <alignment wrapText="1"/>
    </xf>
    <xf numFmtId="0" fontId="8" fillId="0" borderId="0" xfId="0" applyFont="1" applyAlignment="1">
      <alignment horizontal="left"/>
    </xf>
    <xf numFmtId="0" fontId="0" fillId="0" borderId="0" xfId="0" applyFont="1" applyFill="1" applyBorder="1" applyAlignment="1">
      <alignment wrapText="1"/>
    </xf>
    <xf numFmtId="0" fontId="1" fillId="0" borderId="3" xfId="0" applyFont="1" applyBorder="1" applyAlignment="1">
      <alignment horizontal="center"/>
    </xf>
    <xf numFmtId="0" fontId="1" fillId="0" borderId="3" xfId="0" applyFont="1" applyBorder="1" applyAlignment="1">
      <alignment wrapText="1"/>
    </xf>
    <xf numFmtId="0" fontId="1" fillId="2" borderId="3" xfId="0" applyFont="1" applyFill="1" applyBorder="1"/>
    <xf numFmtId="0" fontId="1" fillId="11" borderId="3" xfId="0" applyFont="1" applyFill="1" applyBorder="1" applyAlignment="1">
      <alignment horizontal="center" vertical="center"/>
    </xf>
    <xf numFmtId="0" fontId="9" fillId="2" borderId="1" xfId="0" applyFont="1" applyFill="1" applyBorder="1"/>
    <xf numFmtId="0" fontId="9" fillId="2" borderId="2" xfId="0" applyFont="1" applyFill="1" applyBorder="1"/>
    <xf numFmtId="0" fontId="9" fillId="12" borderId="2" xfId="0" applyFont="1" applyFill="1" applyBorder="1"/>
    <xf numFmtId="0" fontId="9" fillId="2" borderId="6" xfId="0" applyFont="1" applyFill="1" applyBorder="1"/>
    <xf numFmtId="0" fontId="9" fillId="0" borderId="3" xfId="0" applyFont="1" applyBorder="1"/>
    <xf numFmtId="0" fontId="9" fillId="2" borderId="1" xfId="0" applyFont="1" applyFill="1" applyBorder="1" applyAlignment="1">
      <alignment wrapText="1"/>
    </xf>
    <xf numFmtId="0" fontId="1" fillId="12" borderId="3" xfId="0" applyFont="1" applyFill="1" applyBorder="1" applyAlignment="1">
      <alignment horizontal="center" vertical="center"/>
    </xf>
    <xf numFmtId="164" fontId="1" fillId="12" borderId="3" xfId="0" applyNumberFormat="1" applyFont="1" applyFill="1" applyBorder="1"/>
    <xf numFmtId="0" fontId="1" fillId="12" borderId="2" xfId="0" applyFont="1" applyFill="1" applyBorder="1"/>
    <xf numFmtId="0" fontId="1" fillId="2" borderId="6" xfId="0" applyFont="1" applyFill="1" applyBorder="1"/>
    <xf numFmtId="0" fontId="9" fillId="2" borderId="3" xfId="0" applyFont="1" applyFill="1" applyBorder="1" applyAlignment="1">
      <alignment wrapText="1"/>
    </xf>
    <xf numFmtId="167" fontId="1" fillId="12" borderId="3" xfId="0" applyNumberFormat="1" applyFont="1" applyFill="1" applyBorder="1"/>
    <xf numFmtId="0" fontId="9" fillId="0" borderId="5" xfId="0" applyFont="1" applyBorder="1"/>
    <xf numFmtId="0" fontId="1" fillId="11" borderId="11" xfId="0" applyFont="1" applyFill="1" applyBorder="1" applyAlignment="1">
      <alignment horizontal="left" vertical="center"/>
    </xf>
    <xf numFmtId="0" fontId="0" fillId="11" borderId="0" xfId="0" applyFill="1"/>
    <xf numFmtId="0" fontId="0" fillId="8" borderId="12" xfId="0" applyFill="1" applyBorder="1"/>
    <xf numFmtId="0" fontId="0" fillId="8" borderId="13" xfId="0" applyFill="1" applyBorder="1"/>
    <xf numFmtId="0" fontId="0" fillId="11" borderId="12" xfId="0" applyFill="1" applyBorder="1"/>
    <xf numFmtId="0" fontId="0" fillId="11" borderId="13" xfId="0" applyFill="1" applyBorder="1"/>
    <xf numFmtId="0" fontId="0" fillId="11" borderId="14" xfId="0" applyFill="1" applyBorder="1"/>
    <xf numFmtId="0" fontId="0" fillId="7" borderId="12" xfId="0" applyFill="1" applyBorder="1"/>
    <xf numFmtId="0" fontId="0" fillId="7" borderId="13" xfId="0" applyFill="1" applyBorder="1"/>
    <xf numFmtId="0" fontId="0" fillId="4" borderId="12" xfId="0" applyFill="1" applyBorder="1"/>
    <xf numFmtId="0" fontId="0" fillId="4" borderId="13" xfId="0" applyFill="1" applyBorder="1"/>
    <xf numFmtId="0" fontId="0" fillId="13" borderId="12" xfId="0" applyFill="1" applyBorder="1"/>
    <xf numFmtId="0" fontId="0" fillId="13" borderId="13" xfId="0" applyFill="1" applyBorder="1"/>
    <xf numFmtId="0" fontId="0" fillId="10" borderId="12" xfId="0" applyFill="1" applyBorder="1"/>
    <xf numFmtId="0" fontId="0" fillId="10" borderId="13" xfId="0" applyFill="1" applyBorder="1"/>
    <xf numFmtId="3" fontId="0" fillId="5" borderId="12" xfId="0" applyNumberFormat="1" applyFill="1" applyBorder="1"/>
    <xf numFmtId="3" fontId="0" fillId="5" borderId="13" xfId="0" applyNumberFormat="1" applyFill="1" applyBorder="1"/>
    <xf numFmtId="3" fontId="0" fillId="6" borderId="12" xfId="0" applyNumberFormat="1" applyFill="1" applyBorder="1"/>
    <xf numFmtId="3" fontId="0" fillId="6" borderId="13" xfId="0" applyNumberFormat="1" applyFill="1" applyBorder="1"/>
    <xf numFmtId="0" fontId="1" fillId="0" borderId="1" xfId="0" applyFont="1" applyBorder="1" applyAlignment="1">
      <alignment horizontal="center"/>
    </xf>
    <xf numFmtId="0" fontId="9" fillId="0" borderId="6" xfId="0" applyFont="1" applyBorder="1" applyAlignment="1">
      <alignment horizontal="center"/>
    </xf>
    <xf numFmtId="167" fontId="1" fillId="0" borderId="1" xfId="0" applyNumberFormat="1" applyFont="1" applyBorder="1" applyAlignment="1"/>
    <xf numFmtId="167" fontId="1" fillId="0" borderId="6" xfId="0" applyNumberFormat="1" applyFont="1" applyBorder="1" applyAlignment="1"/>
    <xf numFmtId="3" fontId="1" fillId="0" borderId="1" xfId="0" applyNumberFormat="1" applyFont="1" applyBorder="1" applyAlignment="1"/>
    <xf numFmtId="0" fontId="1" fillId="0" borderId="6" xfId="0" applyFont="1" applyBorder="1" applyAlignment="1"/>
    <xf numFmtId="0" fontId="9" fillId="12" borderId="1" xfId="0" applyFont="1" applyFill="1" applyBorder="1" applyAlignment="1">
      <alignment horizontal="center"/>
    </xf>
    <xf numFmtId="0" fontId="9" fillId="12" borderId="6" xfId="0" applyFont="1" applyFill="1" applyBorder="1" applyAlignment="1">
      <alignment horizontal="center"/>
    </xf>
    <xf numFmtId="0" fontId="1" fillId="12" borderId="1" xfId="0" applyFont="1" applyFill="1" applyBorder="1" applyAlignment="1">
      <alignment horizontal="center"/>
    </xf>
    <xf numFmtId="0" fontId="1" fillId="12" borderId="6" xfId="0" applyFont="1" applyFill="1" applyBorder="1" applyAlignment="1">
      <alignment horizontal="center"/>
    </xf>
    <xf numFmtId="0" fontId="9" fillId="0" borderId="7" xfId="0" applyFont="1" applyBorder="1" applyAlignment="1">
      <alignment vertical="center"/>
    </xf>
    <xf numFmtId="0" fontId="9" fillId="0" borderId="8" xfId="0" applyFont="1" applyBorder="1" applyAlignment="1">
      <alignment vertical="center"/>
    </xf>
    <xf numFmtId="0" fontId="1" fillId="0" borderId="1" xfId="0" applyFont="1" applyBorder="1" applyAlignment="1"/>
    <xf numFmtId="3" fontId="1" fillId="12" borderId="1" xfId="0" applyNumberFormat="1" applyFont="1" applyFill="1" applyBorder="1" applyAlignment="1">
      <alignment horizontal="center"/>
    </xf>
    <xf numFmtId="3" fontId="1" fillId="12" borderId="6" xfId="0" applyNumberFormat="1" applyFont="1" applyFill="1" applyBorder="1" applyAlignment="1">
      <alignment horizontal="center"/>
    </xf>
    <xf numFmtId="3" fontId="1" fillId="0" borderId="6" xfId="0" applyNumberFormat="1" applyFont="1" applyBorder="1" applyAlignment="1"/>
    <xf numFmtId="164" fontId="1" fillId="0" borderId="1" xfId="0" applyNumberFormat="1" applyFont="1" applyBorder="1" applyAlignment="1"/>
    <xf numFmtId="164" fontId="1" fillId="0" borderId="6" xfId="0" applyNumberFormat="1" applyFont="1" applyBorder="1" applyAlignment="1"/>
    <xf numFmtId="164" fontId="1" fillId="12" borderId="1" xfId="0" applyNumberFormat="1" applyFont="1" applyFill="1" applyBorder="1" applyAlignment="1">
      <alignment horizontal="center"/>
    </xf>
    <xf numFmtId="164" fontId="1" fillId="12" borderId="6" xfId="0" applyNumberFormat="1" applyFont="1" applyFill="1" applyBorder="1" applyAlignment="1">
      <alignment horizontal="center"/>
    </xf>
    <xf numFmtId="167" fontId="1" fillId="12" borderId="1" xfId="0" applyNumberFormat="1" applyFont="1" applyFill="1" applyBorder="1" applyAlignment="1">
      <alignment horizontal="right"/>
    </xf>
    <xf numFmtId="167" fontId="1" fillId="12" borderId="6" xfId="0" applyNumberFormat="1" applyFont="1" applyFill="1" applyBorder="1" applyAlignment="1">
      <alignment horizontal="right"/>
    </xf>
    <xf numFmtId="0" fontId="9" fillId="0" borderId="3" xfId="0" applyFont="1" applyBorder="1" applyAlignment="1">
      <alignment horizontal="center" vertical="center"/>
    </xf>
    <xf numFmtId="0" fontId="1" fillId="0" borderId="3" xfId="0" applyFont="1" applyBorder="1" applyAlignment="1">
      <alignment horizontal="center" vertical="center"/>
    </xf>
    <xf numFmtId="164" fontId="9" fillId="0" borderId="1" xfId="0" applyNumberFormat="1" applyFont="1" applyBorder="1" applyAlignment="1"/>
    <xf numFmtId="164" fontId="9" fillId="0" borderId="6" xfId="0" applyNumberFormat="1" applyFont="1" applyBorder="1" applyAlignment="1"/>
    <xf numFmtId="0" fontId="1" fillId="12" borderId="1" xfId="1" applyFont="1" applyFill="1" applyBorder="1" applyAlignment="1">
      <alignment horizontal="center" vertical="center" wrapText="1"/>
    </xf>
    <xf numFmtId="0" fontId="1" fillId="12" borderId="6" xfId="1" applyFont="1" applyFill="1" applyBorder="1" applyAlignment="1">
      <alignment horizontal="center" vertical="center"/>
    </xf>
    <xf numFmtId="164" fontId="9" fillId="12" borderId="1" xfId="0" applyNumberFormat="1" applyFont="1" applyFill="1" applyBorder="1" applyAlignment="1">
      <alignment horizontal="center"/>
    </xf>
    <xf numFmtId="164" fontId="9" fillId="12" borderId="6" xfId="0" applyNumberFormat="1" applyFont="1" applyFill="1" applyBorder="1" applyAlignment="1">
      <alignment horizontal="center"/>
    </xf>
    <xf numFmtId="0" fontId="0" fillId="0" borderId="3" xfId="0" applyBorder="1" applyAlignment="1">
      <alignment wrapText="1"/>
    </xf>
    <xf numFmtId="0" fontId="0" fillId="2" borderId="7" xfId="0" applyFill="1" applyBorder="1" applyAlignment="1">
      <alignment horizontal="center" vertical="center" textRotation="90" wrapText="1"/>
    </xf>
    <xf numFmtId="0" fontId="0" fillId="2" borderId="9" xfId="0" applyFill="1" applyBorder="1" applyAlignment="1">
      <alignment horizontal="center" vertical="center" textRotation="90" wrapText="1"/>
    </xf>
    <xf numFmtId="0" fontId="0" fillId="2" borderId="8" xfId="0" applyFill="1" applyBorder="1" applyAlignment="1">
      <alignment horizontal="center" vertical="center" textRotation="90" wrapText="1"/>
    </xf>
    <xf numFmtId="0" fontId="0" fillId="0" borderId="7" xfId="0" applyBorder="1" applyAlignment="1">
      <alignment horizontal="center" vertical="center" textRotation="90" wrapText="1"/>
    </xf>
    <xf numFmtId="0" fontId="0" fillId="0" borderId="8" xfId="0" applyBorder="1" applyAlignment="1">
      <alignment horizontal="center" vertical="center" textRotation="90" wrapText="1"/>
    </xf>
    <xf numFmtId="166" fontId="7" fillId="0" borderId="10" xfId="0" applyNumberFormat="1" applyFont="1" applyBorder="1" applyAlignment="1"/>
    <xf numFmtId="0" fontId="7" fillId="0" borderId="10" xfId="0" applyFont="1" applyBorder="1" applyAlignment="1"/>
    <xf numFmtId="0" fontId="1" fillId="0" borderId="6" xfId="0" applyFont="1" applyBorder="1" applyAlignment="1">
      <alignment horizontal="center"/>
    </xf>
    <xf numFmtId="0" fontId="1" fillId="0" borderId="7" xfId="0" applyFont="1" applyBorder="1" applyAlignment="1">
      <alignment vertical="center"/>
    </xf>
    <xf numFmtId="0" fontId="1" fillId="0" borderId="8" xfId="0" applyFont="1" applyBorder="1" applyAlignment="1">
      <alignment vertical="center"/>
    </xf>
    <xf numFmtId="0" fontId="0" fillId="0" borderId="3" xfId="0" applyBorder="1" applyAlignment="1">
      <alignment horizontal="center" vertical="center"/>
    </xf>
  </cellXfs>
  <cellStyles count="2">
    <cellStyle name="Normal" xfId="0" builtinId="0"/>
    <cellStyle name="Normal 3" xfId="1"/>
  </cellStyles>
  <dxfs count="0"/>
  <tableStyles count="0" defaultTableStyle="TableStyleMedium9"/>
</styleSheet>
</file>

<file path=xl/_rels/workbook.xml.rels><?xml version="1.0" encoding="UTF-8" standalone="yes"?>
<Relationships xmlns="http://schemas.openxmlformats.org/package/2006/relationships"><Relationship Id="rId14" Type="http://schemas.openxmlformats.org/officeDocument/2006/relationships/worksheet" Target="worksheets/sheet14.xml"/><Relationship Id="rId20" Type="http://schemas.openxmlformats.org/officeDocument/2006/relationships/calcChain" Target="calcChain.xml"/><Relationship Id="rId4" Type="http://schemas.openxmlformats.org/officeDocument/2006/relationships/worksheet" Target="worksheets/sheet4.xml"/><Relationship Id="rId7" Type="http://schemas.openxmlformats.org/officeDocument/2006/relationships/worksheet" Target="worksheets/sheet7.xml"/><Relationship Id="rId11" Type="http://schemas.openxmlformats.org/officeDocument/2006/relationships/worksheet" Target="worksheets/sheet11.xml"/><Relationship Id="rId1" Type="http://schemas.openxmlformats.org/officeDocument/2006/relationships/worksheet" Target="worksheets/sheet1.xml"/><Relationship Id="rId6" Type="http://schemas.openxmlformats.org/officeDocument/2006/relationships/worksheet" Target="worksheets/sheet6.xml"/><Relationship Id="rId16" Type="http://schemas.openxmlformats.org/officeDocument/2006/relationships/externalLink" Target="externalLinks/externalLink2.xml"/><Relationship Id="rId8" Type="http://schemas.openxmlformats.org/officeDocument/2006/relationships/worksheet" Target="worksheets/sheet8.xml"/><Relationship Id="rId13" Type="http://schemas.openxmlformats.org/officeDocument/2006/relationships/worksheet" Target="worksheets/sheet13.xml"/><Relationship Id="rId10"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1.xml"/><Relationship Id="rId12" Type="http://schemas.openxmlformats.org/officeDocument/2006/relationships/worksheet" Target="worksheets/sheet12.xml"/><Relationship Id="rId17" Type="http://schemas.openxmlformats.org/officeDocument/2006/relationships/theme" Target="theme/theme1.xml"/><Relationship Id="rId19" Type="http://schemas.openxmlformats.org/officeDocument/2006/relationships/sharedStrings" Target="sharedStrings.xml"/><Relationship Id="rId2" Type="http://schemas.openxmlformats.org/officeDocument/2006/relationships/worksheet" Target="worksheets/sheet2.xml"/><Relationship Id="rId9" Type="http://schemas.openxmlformats.org/officeDocument/2006/relationships/worksheet" Target="worksheets/sheet9.xml"/><Relationship Id="rId3" Type="http://schemas.openxmlformats.org/officeDocument/2006/relationships/worksheet" Target="worksheets/sheet3.xml"/><Relationship Id="rId18"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0997963340122202"/>
          <c:y val="0.197802905373259"/>
          <c:w val="0.871690427698578"/>
          <c:h val="0.575093632288922"/>
        </c:manualLayout>
      </c:layout>
      <c:barChart>
        <c:barDir val="col"/>
        <c:grouping val="clustered"/>
        <c:ser>
          <c:idx val="0"/>
          <c:order val="0"/>
          <c:tx>
            <c:strRef>
              <c:f>[2]CT!$L$2</c:f>
              <c:strCache>
                <c:ptCount val="1"/>
                <c:pt idx="0">
                  <c:v>District</c:v>
                </c:pt>
              </c:strCache>
            </c:strRef>
          </c:tx>
          <c:spPr>
            <a:solidFill>
              <a:srgbClr val="000000"/>
            </a:solidFill>
            <a:ln w="12700">
              <a:solidFill>
                <a:srgbClr val="000000"/>
              </a:solidFill>
              <a:prstDash val="solid"/>
            </a:ln>
          </c:spPr>
          <c:cat>
            <c:strRef>
              <c:f>[2]CT!$K$3:$K$6</c:f>
              <c:strCache>
                <c:ptCount val="4"/>
                <c:pt idx="0">
                  <c:v>_x0005_State</c:v>
                </c:pt>
                <c:pt idx="1">
                  <c:v>_x0012_Statewide Weighted</c:v>
                </c:pt>
                <c:pt idx="2">
                  <c:v>
Bridgeport</c:v>
                </c:pt>
                <c:pt idx="3">
                  <c:v>	New Haven</c:v>
                </c:pt>
              </c:strCache>
            </c:strRef>
          </c:cat>
          <c:val>
            <c:numRef>
              <c:f>[2]CT!$L$3:$L$6</c:f>
              <c:numCache>
                <c:formatCode>General</c:formatCode>
                <c:ptCount val="4"/>
                <c:pt idx="0">
                  <c:v>14741.50077372829</c:v>
                </c:pt>
                <c:pt idx="1">
                  <c:v>16476.0</c:v>
                </c:pt>
                <c:pt idx="2">
                  <c:v>14030.49821100474</c:v>
                </c:pt>
                <c:pt idx="3">
                  <c:v>22158.90723253568</c:v>
                </c:pt>
              </c:numCache>
            </c:numRef>
          </c:val>
        </c:ser>
        <c:ser>
          <c:idx val="1"/>
          <c:order val="1"/>
          <c:tx>
            <c:strRef>
              <c:f>[2]CT!$M$2</c:f>
              <c:strCache>
                <c:ptCount val="1"/>
                <c:pt idx="0">
                  <c:v>Charter</c:v>
                </c:pt>
              </c:strCache>
            </c:strRef>
          </c:tx>
          <c:spPr>
            <a:solidFill>
              <a:srgbClr val="C0C0C0"/>
            </a:solidFill>
            <a:ln w="12700">
              <a:solidFill>
                <a:srgbClr val="000000"/>
              </a:solidFill>
              <a:prstDash val="solid"/>
            </a:ln>
          </c:spPr>
          <c:cat>
            <c:strRef>
              <c:f>[2]CT!$K$3:$K$6</c:f>
              <c:strCache>
                <c:ptCount val="4"/>
                <c:pt idx="0">
                  <c:v>_x0005_State</c:v>
                </c:pt>
                <c:pt idx="1">
                  <c:v>_x0012_Statewide Weighted</c:v>
                </c:pt>
                <c:pt idx="2">
                  <c:v>
Bridgeport</c:v>
                </c:pt>
                <c:pt idx="3">
                  <c:v>	New Haven</c:v>
                </c:pt>
              </c:strCache>
            </c:strRef>
          </c:cat>
          <c:val>
            <c:numRef>
              <c:f>[2]CT!$M$3:$M$6</c:f>
              <c:numCache>
                <c:formatCode>General</c:formatCode>
                <c:ptCount val="4"/>
                <c:pt idx="0">
                  <c:v>12631.10524781341</c:v>
                </c:pt>
                <c:pt idx="1">
                  <c:v>12631.0</c:v>
                </c:pt>
                <c:pt idx="2">
                  <c:v>9920.295081967213</c:v>
                </c:pt>
                <c:pt idx="3">
                  <c:v>12080.4600219058</c:v>
                </c:pt>
              </c:numCache>
            </c:numRef>
          </c:val>
        </c:ser>
        <c:ser>
          <c:idx val="2"/>
          <c:order val="2"/>
          <c:tx>
            <c:strRef>
              <c:f>[2]CT!$N$2</c:f>
              <c:strCache>
                <c:ptCount val="1"/>
                <c:pt idx="0">
                  <c:v>Difference</c:v>
                </c:pt>
              </c:strCache>
            </c:strRef>
          </c:tx>
          <c:spPr>
            <a:solidFill>
              <a:srgbClr val="808080"/>
            </a:solidFill>
            <a:ln w="12700">
              <a:solidFill>
                <a:srgbClr val="000000"/>
              </a:solidFill>
              <a:prstDash val="solid"/>
            </a:ln>
          </c:spPr>
          <c:cat>
            <c:strRef>
              <c:f>[2]CT!$K$3:$K$6</c:f>
              <c:strCache>
                <c:ptCount val="4"/>
                <c:pt idx="0">
                  <c:v>_x0005_State</c:v>
                </c:pt>
                <c:pt idx="1">
                  <c:v>_x0012_Statewide Weighted</c:v>
                </c:pt>
                <c:pt idx="2">
                  <c:v>
Bridgeport</c:v>
                </c:pt>
                <c:pt idx="3">
                  <c:v>	New Haven</c:v>
                </c:pt>
              </c:strCache>
            </c:strRef>
          </c:cat>
          <c:val>
            <c:numRef>
              <c:f>[2]CT!$N$3:$N$6</c:f>
              <c:numCache>
                <c:formatCode>General</c:formatCode>
                <c:ptCount val="4"/>
                <c:pt idx="0">
                  <c:v>2110.395525914877</c:v>
                </c:pt>
                <c:pt idx="1">
                  <c:v>3845.0</c:v>
                </c:pt>
                <c:pt idx="2">
                  <c:v>4110.203129037525</c:v>
                </c:pt>
                <c:pt idx="3">
                  <c:v>10078.44721062987</c:v>
                </c:pt>
              </c:numCache>
            </c:numRef>
          </c:val>
        </c:ser>
        <c:axId val="467414312"/>
        <c:axId val="467417992"/>
      </c:barChart>
      <c:catAx>
        <c:axId val="467414312"/>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417992"/>
        <c:crosses val="autoZero"/>
        <c:auto val="1"/>
        <c:lblAlgn val="ctr"/>
        <c:lblOffset val="100"/>
        <c:tickLblSkip val="1"/>
        <c:tickMarkSkip val="1"/>
      </c:catAx>
      <c:valAx>
        <c:axId val="467417992"/>
        <c:scaling>
          <c:orientation val="minMax"/>
          <c:min val="0.0"/>
        </c:scaling>
        <c:axPos val="l"/>
        <c:numFmt formatCode="#,##0" sourceLinked="0"/>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67414312"/>
        <c:crosses val="autoZero"/>
        <c:crossBetween val="between"/>
      </c:valAx>
      <c:spPr>
        <a:solidFill>
          <a:srgbClr val="FFFFFF"/>
        </a:solidFill>
        <a:ln w="12700">
          <a:solidFill>
            <a:srgbClr val="808080"/>
          </a:solidFill>
          <a:prstDash val="solid"/>
        </a:ln>
      </c:spPr>
    </c:plotArea>
    <c:legend>
      <c:legendPos val="t"/>
      <c:layout>
        <c:manualLayout>
          <c:xMode val="edge"/>
          <c:yMode val="edge"/>
          <c:x val="0.336048814411019"/>
          <c:y val="0.0293040518372703"/>
          <c:w val="0.407020840343675"/>
          <c:h val="0.0842560695538058"/>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0000000000001" r="0.750000000000001"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264765784114053"/>
          <c:y val="0.157509720945373"/>
          <c:w val="0.680244399185336"/>
          <c:h val="0.677658101741722"/>
        </c:manualLayout>
      </c:layout>
      <c:barChart>
        <c:barDir val="bar"/>
        <c:grouping val="stacked"/>
        <c:ser>
          <c:idx val="0"/>
          <c:order val="0"/>
          <c:tx>
            <c:strRef>
              <c:f>[2]CT!$L$28</c:f>
              <c:strCache>
                <c:ptCount val="1"/>
                <c:pt idx="0">
                  <c:v>Federal </c:v>
                </c:pt>
              </c:strCache>
            </c:strRef>
          </c:tx>
          <c:spPr>
            <a:solidFill>
              <a:srgbClr val="000000"/>
            </a:solidFill>
            <a:ln w="12700">
              <a:solidFill>
                <a:srgbClr val="000000"/>
              </a:solidFill>
              <a:prstDash val="solid"/>
            </a:ln>
          </c:spPr>
          <c:cat>
            <c:strRef>
              <c:f>[2]CT!$K$29:$K$35</c:f>
              <c:strCache>
                <c:ptCount val="7"/>
                <c:pt idx="0">
                  <c:v>_x0012_Statewide District</c:v>
                </c:pt>
                <c:pt idx="1">
                  <c:v>_x0011_Statewide Charter</c:v>
                </c:pt>
                <c:pt idx="2">
                  <c:v>_x0012_Statewide Weighted</c:v>
                </c:pt>
                <c:pt idx="3">
                  <c:v>_x0013_Bridgeport District</c:v>
                </c:pt>
                <c:pt idx="4">
                  <c:v>_x0012_Bridgeport Charter</c:v>
                </c:pt>
                <c:pt idx="5">
                  <c:v>_x0012_New Haven District</c:v>
                </c:pt>
                <c:pt idx="6">
                  <c:v>_x0011_New Haven Charter</c:v>
                </c:pt>
              </c:strCache>
            </c:strRef>
          </c:cat>
          <c:val>
            <c:numRef>
              <c:f>[2]CT!$L$29:$L$35</c:f>
              <c:numCache>
                <c:formatCode>General</c:formatCode>
                <c:ptCount val="7"/>
                <c:pt idx="0">
                  <c:v>530.5565455548843</c:v>
                </c:pt>
                <c:pt idx="1">
                  <c:v>927.6772594752186</c:v>
                </c:pt>
                <c:pt idx="2">
                  <c:v>930.0</c:v>
                </c:pt>
                <c:pt idx="3">
                  <c:v>1215.553137994391</c:v>
                </c:pt>
                <c:pt idx="4">
                  <c:v>751.3747072599531</c:v>
                </c:pt>
                <c:pt idx="5">
                  <c:v>1892.8418821762</c:v>
                </c:pt>
                <c:pt idx="6">
                  <c:v>1122.734939759036</c:v>
                </c:pt>
              </c:numCache>
            </c:numRef>
          </c:val>
        </c:ser>
        <c:ser>
          <c:idx val="1"/>
          <c:order val="1"/>
          <c:tx>
            <c:strRef>
              <c:f>[2]CT!$M$28</c:f>
              <c:strCache>
                <c:ptCount val="1"/>
                <c:pt idx="0">
                  <c:v>State</c:v>
                </c:pt>
              </c:strCache>
            </c:strRef>
          </c:tx>
          <c:spPr>
            <a:solidFill>
              <a:srgbClr val="C0C0C0"/>
            </a:solidFill>
            <a:ln w="12700">
              <a:solidFill>
                <a:srgbClr val="000000"/>
              </a:solidFill>
              <a:prstDash val="solid"/>
            </a:ln>
          </c:spPr>
          <c:cat>
            <c:strRef>
              <c:f>[2]CT!$K$29:$K$35</c:f>
              <c:strCache>
                <c:ptCount val="7"/>
                <c:pt idx="0">
                  <c:v>_x0012_Statewide District</c:v>
                </c:pt>
                <c:pt idx="1">
                  <c:v>_x0011_Statewide Charter</c:v>
                </c:pt>
                <c:pt idx="2">
                  <c:v>_x0012_Statewide Weighted</c:v>
                </c:pt>
                <c:pt idx="3">
                  <c:v>_x0013_Bridgeport District</c:v>
                </c:pt>
                <c:pt idx="4">
                  <c:v>_x0012_Bridgeport Charter</c:v>
                </c:pt>
                <c:pt idx="5">
                  <c:v>_x0012_New Haven District</c:v>
                </c:pt>
                <c:pt idx="6">
                  <c:v>_x0011_New Haven Charter</c:v>
                </c:pt>
              </c:strCache>
            </c:strRef>
          </c:cat>
          <c:val>
            <c:numRef>
              <c:f>[2]CT!$M$29:$M$35</c:f>
              <c:numCache>
                <c:formatCode>General</c:formatCode>
                <c:ptCount val="7"/>
                <c:pt idx="0">
                  <c:v>4829.745687630042</c:v>
                </c:pt>
                <c:pt idx="1">
                  <c:v>9592.22361516035</c:v>
                </c:pt>
                <c:pt idx="2">
                  <c:v>7933.0</c:v>
                </c:pt>
                <c:pt idx="3">
                  <c:v>10135.22913644715</c:v>
                </c:pt>
                <c:pt idx="4">
                  <c:v>8187.859484777517</c:v>
                </c:pt>
                <c:pt idx="5">
                  <c:v>15418.92316772186</c:v>
                </c:pt>
                <c:pt idx="6">
                  <c:v>8874.960569550931</c:v>
                </c:pt>
              </c:numCache>
            </c:numRef>
          </c:val>
        </c:ser>
        <c:ser>
          <c:idx val="2"/>
          <c:order val="2"/>
          <c:tx>
            <c:strRef>
              <c:f>[2]CT!$N$28</c:f>
              <c:strCache>
                <c:ptCount val="1"/>
                <c:pt idx="0">
                  <c:v>Local</c:v>
                </c:pt>
              </c:strCache>
            </c:strRef>
          </c:tx>
          <c:spPr>
            <a:solidFill>
              <a:srgbClr val="969696"/>
            </a:solidFill>
            <a:ln w="12700">
              <a:solidFill>
                <a:srgbClr val="000000"/>
              </a:solidFill>
              <a:prstDash val="solid"/>
            </a:ln>
          </c:spPr>
          <c:cat>
            <c:strRef>
              <c:f>[2]CT!$K$29:$K$35</c:f>
              <c:strCache>
                <c:ptCount val="7"/>
                <c:pt idx="0">
                  <c:v>_x0012_Statewide District</c:v>
                </c:pt>
                <c:pt idx="1">
                  <c:v>_x0011_Statewide Charter</c:v>
                </c:pt>
                <c:pt idx="2">
                  <c:v>_x0012_Statewide Weighted</c:v>
                </c:pt>
                <c:pt idx="3">
                  <c:v>_x0013_Bridgeport District</c:v>
                </c:pt>
                <c:pt idx="4">
                  <c:v>_x0012_Bridgeport Charter</c:v>
                </c:pt>
                <c:pt idx="5">
                  <c:v>_x0012_New Haven District</c:v>
                </c:pt>
                <c:pt idx="6">
                  <c:v>_x0011_New Haven Charter</c:v>
                </c:pt>
              </c:strCache>
            </c:strRef>
          </c:cat>
          <c:val>
            <c:numRef>
              <c:f>[2]CT!$N$29:$N$35</c:f>
              <c:numCache>
                <c:formatCode>General</c:formatCode>
                <c:ptCount val="7"/>
                <c:pt idx="0">
                  <c:v>9243.50176745643</c:v>
                </c:pt>
                <c:pt idx="1">
                  <c:v>114.1935860058309</c:v>
                </c:pt>
                <c:pt idx="2">
                  <c:v>7437.0</c:v>
                </c:pt>
                <c:pt idx="3">
                  <c:v>2610.556861038584</c:v>
                </c:pt>
                <c:pt idx="4">
                  <c:v>49.24824355971897</c:v>
                </c:pt>
                <c:pt idx="5">
                  <c:v>4520.31398218693</c:v>
                </c:pt>
                <c:pt idx="6">
                  <c:v>0.0</c:v>
                </c:pt>
              </c:numCache>
            </c:numRef>
          </c:val>
        </c:ser>
        <c:ser>
          <c:idx val="3"/>
          <c:order val="3"/>
          <c:tx>
            <c:strRef>
              <c:f>[2]CT!$O$28</c:f>
              <c:strCache>
                <c:ptCount val="1"/>
                <c:pt idx="0">
                  <c:v>Other </c:v>
                </c:pt>
              </c:strCache>
            </c:strRef>
          </c:tx>
          <c:spPr>
            <a:solidFill>
              <a:srgbClr val="333333"/>
            </a:solidFill>
            <a:ln w="12700">
              <a:solidFill>
                <a:srgbClr val="000000"/>
              </a:solidFill>
              <a:prstDash val="solid"/>
            </a:ln>
          </c:spPr>
          <c:cat>
            <c:strRef>
              <c:f>[2]CT!$K$29:$K$35</c:f>
              <c:strCache>
                <c:ptCount val="7"/>
                <c:pt idx="0">
                  <c:v>_x0012_Statewide District</c:v>
                </c:pt>
                <c:pt idx="1">
                  <c:v>_x0011_Statewide Charter</c:v>
                </c:pt>
                <c:pt idx="2">
                  <c:v>_x0012_Statewide Weighted</c:v>
                </c:pt>
                <c:pt idx="3">
                  <c:v>_x0013_Bridgeport District</c:v>
                </c:pt>
                <c:pt idx="4">
                  <c:v>_x0012_Bridgeport Charter</c:v>
                </c:pt>
                <c:pt idx="5">
                  <c:v>_x0012_New Haven District</c:v>
                </c:pt>
                <c:pt idx="6">
                  <c:v>_x0011_New Haven Charter</c:v>
                </c:pt>
              </c:strCache>
            </c:strRef>
          </c:cat>
          <c:val>
            <c:numRef>
              <c:f>[2]CT!$O$29:$O$35</c:f>
              <c:numCache>
                <c:formatCode>General</c:formatCode>
                <c:ptCount val="7"/>
                <c:pt idx="0">
                  <c:v>0.0</c:v>
                </c:pt>
                <c:pt idx="1">
                  <c:v>0.0</c:v>
                </c:pt>
                <c:pt idx="2">
                  <c:v>0.0</c:v>
                </c:pt>
                <c:pt idx="3">
                  <c:v>0.0</c:v>
                </c:pt>
                <c:pt idx="4">
                  <c:v>0.0</c:v>
                </c:pt>
                <c:pt idx="5">
                  <c:v>0.0</c:v>
                </c:pt>
                <c:pt idx="6">
                  <c:v>0.0</c:v>
                </c:pt>
              </c:numCache>
            </c:numRef>
          </c:val>
        </c:ser>
        <c:ser>
          <c:idx val="4"/>
          <c:order val="4"/>
          <c:tx>
            <c:strRef>
              <c:f>[2]CT!$P$28</c:f>
              <c:strCache>
                <c:ptCount val="1"/>
                <c:pt idx="0">
                  <c:v>Indeterminate</c:v>
                </c:pt>
              </c:strCache>
            </c:strRef>
          </c:tx>
          <c:spPr>
            <a:solidFill>
              <a:srgbClr val="808080"/>
            </a:solidFill>
            <a:ln w="12700">
              <a:solidFill>
                <a:srgbClr val="000000"/>
              </a:solidFill>
              <a:prstDash val="solid"/>
            </a:ln>
          </c:spPr>
          <c:cat>
            <c:strRef>
              <c:f>[2]CT!$K$29:$K$35</c:f>
              <c:strCache>
                <c:ptCount val="7"/>
                <c:pt idx="0">
                  <c:v>_x0012_Statewide District</c:v>
                </c:pt>
                <c:pt idx="1">
                  <c:v>_x0011_Statewide Charter</c:v>
                </c:pt>
                <c:pt idx="2">
                  <c:v>_x0012_Statewide Weighted</c:v>
                </c:pt>
                <c:pt idx="3">
                  <c:v>_x0013_Bridgeport District</c:v>
                </c:pt>
                <c:pt idx="4">
                  <c:v>_x0012_Bridgeport Charter</c:v>
                </c:pt>
                <c:pt idx="5">
                  <c:v>_x0012_New Haven District</c:v>
                </c:pt>
                <c:pt idx="6">
                  <c:v>_x0011_New Haven Charter</c:v>
                </c:pt>
              </c:strCache>
            </c:strRef>
          </c:cat>
          <c:val>
            <c:numRef>
              <c:f>[2]CT!$P$29:$P$35</c:f>
              <c:numCache>
                <c:formatCode>General</c:formatCode>
                <c:ptCount val="7"/>
                <c:pt idx="0">
                  <c:v>137.6967730869335</c:v>
                </c:pt>
                <c:pt idx="1">
                  <c:v>1997.010787172012</c:v>
                </c:pt>
                <c:pt idx="2">
                  <c:v>177.0</c:v>
                </c:pt>
                <c:pt idx="3">
                  <c:v>69.15907552461077</c:v>
                </c:pt>
                <c:pt idx="4">
                  <c:v>931.8126463700235</c:v>
                </c:pt>
                <c:pt idx="5">
                  <c:v>326.8282004506921</c:v>
                </c:pt>
                <c:pt idx="6">
                  <c:v>2082.764512595838</c:v>
                </c:pt>
              </c:numCache>
            </c:numRef>
          </c:val>
        </c:ser>
        <c:overlap val="100"/>
        <c:axId val="467493832"/>
        <c:axId val="467497592"/>
      </c:barChart>
      <c:catAx>
        <c:axId val="467493832"/>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497592"/>
        <c:crosses val="autoZero"/>
        <c:auto val="1"/>
        <c:lblAlgn val="ctr"/>
        <c:lblOffset val="100"/>
        <c:tickLblSkip val="1"/>
        <c:tickMarkSkip val="1"/>
      </c:catAx>
      <c:valAx>
        <c:axId val="467497592"/>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493832"/>
        <c:crosses val="autoZero"/>
        <c:crossBetween val="between"/>
      </c:valAx>
      <c:spPr>
        <a:solidFill>
          <a:srgbClr val="FFFFFF"/>
        </a:solidFill>
        <a:ln w="12700">
          <a:solidFill>
            <a:srgbClr val="808080"/>
          </a:solidFill>
          <a:prstDash val="solid"/>
        </a:ln>
      </c:spPr>
    </c:plotArea>
    <c:legend>
      <c:legendPos val="t"/>
      <c:layout>
        <c:manualLayout>
          <c:xMode val="edge"/>
          <c:yMode val="edge"/>
          <c:wMode val="edge"/>
          <c:hMode val="edge"/>
          <c:x val="0.285132321422785"/>
          <c:y val="0.0293040293040293"/>
          <c:w val="0.938094404866058"/>
          <c:h val="0.118804380221703"/>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0000000000001" r="0.750000000000001"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0997963340122201"/>
          <c:y val="0.197802905373259"/>
          <c:w val="0.871690427698576"/>
          <c:h val="0.575093632288921"/>
        </c:manualLayout>
      </c:layout>
      <c:barChart>
        <c:barDir val="col"/>
        <c:grouping val="clustered"/>
        <c:ser>
          <c:idx val="0"/>
          <c:order val="0"/>
          <c:tx>
            <c:strRef>
              <c:f>'FY03 Figures 1,2,4'!$J$2</c:f>
              <c:strCache>
                <c:ptCount val="1"/>
                <c:pt idx="0">
                  <c:v>District</c:v>
                </c:pt>
              </c:strCache>
            </c:strRef>
          </c:tx>
          <c:spPr>
            <a:solidFill>
              <a:srgbClr val="000000"/>
            </a:solidFill>
            <a:ln w="12700">
              <a:solidFill>
                <a:srgbClr val="000000"/>
              </a:solidFill>
              <a:prstDash val="solid"/>
            </a:ln>
          </c:spPr>
          <c:cat>
            <c:strRef>
              <c:f>'FY03 Figures 1,2,4'!$I$3:$I$5</c:f>
              <c:strCache>
                <c:ptCount val="3"/>
                <c:pt idx="0">
                  <c:v>State</c:v>
                </c:pt>
                <c:pt idx="1">
                  <c:v>Bridgeport</c:v>
                </c:pt>
                <c:pt idx="2">
                  <c:v>New Haven</c:v>
                </c:pt>
              </c:strCache>
            </c:strRef>
          </c:cat>
          <c:val>
            <c:numRef>
              <c:f>'FY03 Figures 1,2,4'!$J$3:$J$5</c:f>
              <c:numCache>
                <c:formatCode>_(\$* #,##0_);_(\$* \(#,##0\);_(\$* "-"_);_(@_)</c:formatCode>
                <c:ptCount val="3"/>
                <c:pt idx="0">
                  <c:v>11551.26495095202</c:v>
                </c:pt>
                <c:pt idx="1">
                  <c:v>11005.99055872292</c:v>
                </c:pt>
                <c:pt idx="2">
                  <c:v>16963.09102819411</c:v>
                </c:pt>
              </c:numCache>
            </c:numRef>
          </c:val>
        </c:ser>
        <c:ser>
          <c:idx val="1"/>
          <c:order val="1"/>
          <c:tx>
            <c:strRef>
              <c:f>'FY03 Figures 1,2,4'!$K$2</c:f>
              <c:strCache>
                <c:ptCount val="1"/>
                <c:pt idx="0">
                  <c:v>Charter</c:v>
                </c:pt>
              </c:strCache>
            </c:strRef>
          </c:tx>
          <c:spPr>
            <a:solidFill>
              <a:srgbClr val="C0C0C0"/>
            </a:solidFill>
            <a:ln w="12700">
              <a:solidFill>
                <a:srgbClr val="000000"/>
              </a:solidFill>
              <a:prstDash val="solid"/>
            </a:ln>
          </c:spPr>
          <c:cat>
            <c:strRef>
              <c:f>'FY03 Figures 1,2,4'!$I$3:$I$5</c:f>
              <c:strCache>
                <c:ptCount val="3"/>
                <c:pt idx="0">
                  <c:v>State</c:v>
                </c:pt>
                <c:pt idx="1">
                  <c:v>Bridgeport</c:v>
                </c:pt>
                <c:pt idx="2">
                  <c:v>New Haven</c:v>
                </c:pt>
              </c:strCache>
            </c:strRef>
          </c:cat>
          <c:val>
            <c:numRef>
              <c:f>'FY03 Figures 1,2,4'!$K$3:$K$5</c:f>
              <c:numCache>
                <c:formatCode>_(\$* #,##0_);_(\$* \(#,##0\);_(\$* "-"_);_(@_)</c:formatCode>
                <c:ptCount val="3"/>
                <c:pt idx="0">
                  <c:v>11282.61731843575</c:v>
                </c:pt>
                <c:pt idx="1">
                  <c:v>9459.148571428571</c:v>
                </c:pt>
                <c:pt idx="2">
                  <c:v>14354.18018018018</c:v>
                </c:pt>
              </c:numCache>
            </c:numRef>
          </c:val>
        </c:ser>
        <c:ser>
          <c:idx val="2"/>
          <c:order val="2"/>
          <c:tx>
            <c:strRef>
              <c:f>'FY03 Figures 1,2,4'!$L$2</c:f>
              <c:strCache>
                <c:ptCount val="1"/>
                <c:pt idx="0">
                  <c:v>Difference</c:v>
                </c:pt>
              </c:strCache>
            </c:strRef>
          </c:tx>
          <c:spPr>
            <a:solidFill>
              <a:srgbClr val="808080"/>
            </a:solidFill>
            <a:ln w="12700">
              <a:solidFill>
                <a:srgbClr val="000000"/>
              </a:solidFill>
              <a:prstDash val="solid"/>
            </a:ln>
          </c:spPr>
          <c:cat>
            <c:strRef>
              <c:f>'FY03 Figures 1,2,4'!$I$3:$I$5</c:f>
              <c:strCache>
                <c:ptCount val="3"/>
                <c:pt idx="0">
                  <c:v>State</c:v>
                </c:pt>
                <c:pt idx="1">
                  <c:v>Bridgeport</c:v>
                </c:pt>
                <c:pt idx="2">
                  <c:v>New Haven</c:v>
                </c:pt>
              </c:strCache>
            </c:strRef>
          </c:cat>
          <c:val>
            <c:numRef>
              <c:f>'FY03 Figures 1,2,4'!$L$3:$L$5</c:f>
              <c:numCache>
                <c:formatCode>_(\$* #,##0_);_(\$* \(#,##0\);_(\$* "-"_);_(@_)</c:formatCode>
                <c:ptCount val="3"/>
                <c:pt idx="0">
                  <c:v>268.6476325162657</c:v>
                </c:pt>
                <c:pt idx="1">
                  <c:v>1546.841987294345</c:v>
                </c:pt>
                <c:pt idx="2">
                  <c:v>2608.910848013926</c:v>
                </c:pt>
              </c:numCache>
            </c:numRef>
          </c:val>
        </c:ser>
        <c:axId val="467632888"/>
        <c:axId val="467636568"/>
      </c:barChart>
      <c:catAx>
        <c:axId val="467632888"/>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636568"/>
        <c:crosses val="autoZero"/>
        <c:auto val="1"/>
        <c:lblAlgn val="ctr"/>
        <c:lblOffset val="100"/>
        <c:tickLblSkip val="1"/>
        <c:tickMarkSkip val="1"/>
      </c:catAx>
      <c:valAx>
        <c:axId val="467636568"/>
        <c:scaling>
          <c:orientation val="minMax"/>
        </c:scaling>
        <c:axPos val="l"/>
        <c:numFmt formatCode="_(\$* #,##0_);_(\$* \(#,##0\);_(\$* &quot;-&quot;_);_(@_)" sourceLinked="1"/>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67632888"/>
        <c:crosses val="autoZero"/>
        <c:crossBetween val="between"/>
      </c:valAx>
      <c:spPr>
        <a:solidFill>
          <a:srgbClr val="FFFFFF"/>
        </a:solidFill>
        <a:ln w="12700">
          <a:solidFill>
            <a:srgbClr val="808080"/>
          </a:solidFill>
          <a:prstDash val="solid"/>
        </a:ln>
      </c:spPr>
    </c:plotArea>
    <c:legend>
      <c:legendPos val="t"/>
      <c:layout>
        <c:manualLayout>
          <c:xMode val="edge"/>
          <c:yMode val="edge"/>
          <c:x val="0.336048879837067"/>
          <c:y val="0.0293040293040293"/>
          <c:w val="0.39918533604888"/>
          <c:h val="0.0879124724794016"/>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264765784114053"/>
          <c:y val="0.157509720945373"/>
          <c:w val="0.680244399185336"/>
          <c:h val="0.677658101741722"/>
        </c:manualLayout>
      </c:layout>
      <c:barChart>
        <c:barDir val="bar"/>
        <c:grouping val="stacked"/>
        <c:ser>
          <c:idx val="0"/>
          <c:order val="0"/>
          <c:tx>
            <c:strRef>
              <c:f>'FY03 Figures 1,2,4'!$J$27</c:f>
              <c:strCache>
                <c:ptCount val="1"/>
                <c:pt idx="0">
                  <c:v>Federal </c:v>
                </c:pt>
              </c:strCache>
            </c:strRef>
          </c:tx>
          <c:spPr>
            <a:solidFill>
              <a:srgbClr val="000000"/>
            </a:solidFill>
            <a:ln w="12700">
              <a:solidFill>
                <a:srgbClr val="000000"/>
              </a:solidFill>
              <a:prstDash val="solid"/>
            </a:ln>
          </c:spPr>
          <c:cat>
            <c:strRef>
              <c:f>'FY03 Figures 1,2,4'!$I$28:$I$33</c:f>
              <c:strCache>
                <c:ptCount val="6"/>
                <c:pt idx="0">
                  <c:v>Statewide District</c:v>
                </c:pt>
                <c:pt idx="1">
                  <c:v>Statewide Charter</c:v>
                </c:pt>
                <c:pt idx="2">
                  <c:v>Bridgeport  District</c:v>
                </c:pt>
                <c:pt idx="3">
                  <c:v>Bridgeport Charter</c:v>
                </c:pt>
                <c:pt idx="4">
                  <c:v>New Haven District</c:v>
                </c:pt>
                <c:pt idx="5">
                  <c:v>New Haven Charter</c:v>
                </c:pt>
              </c:strCache>
            </c:strRef>
          </c:cat>
          <c:val>
            <c:numRef>
              <c:f>'FY03 Figures 1,2,4'!$J$28:$J$33</c:f>
              <c:numCache>
                <c:formatCode>_(\$* #,##0_);_(\$* \(#,##0\);_(\$* "-"_);_(@_)</c:formatCode>
                <c:ptCount val="6"/>
                <c:pt idx="0">
                  <c:v>456.0039447840474</c:v>
                </c:pt>
                <c:pt idx="1">
                  <c:v>1037.436219739292</c:v>
                </c:pt>
                <c:pt idx="2">
                  <c:v>1115.663808437856</c:v>
                </c:pt>
                <c:pt idx="3">
                  <c:v>1393.857142857143</c:v>
                </c:pt>
                <c:pt idx="4">
                  <c:v>2038.438580861545</c:v>
                </c:pt>
                <c:pt idx="5">
                  <c:v>1317.429429429429</c:v>
                </c:pt>
              </c:numCache>
            </c:numRef>
          </c:val>
        </c:ser>
        <c:ser>
          <c:idx val="1"/>
          <c:order val="1"/>
          <c:tx>
            <c:strRef>
              <c:f>'FY03 Figures 1,2,4'!$K$27</c:f>
              <c:strCache>
                <c:ptCount val="1"/>
                <c:pt idx="0">
                  <c:v>State</c:v>
                </c:pt>
              </c:strCache>
            </c:strRef>
          </c:tx>
          <c:spPr>
            <a:solidFill>
              <a:srgbClr val="C0C0C0"/>
            </a:solidFill>
            <a:ln w="12700">
              <a:solidFill>
                <a:srgbClr val="000000"/>
              </a:solidFill>
              <a:prstDash val="solid"/>
            </a:ln>
          </c:spPr>
          <c:cat>
            <c:strRef>
              <c:f>'FY03 Figures 1,2,4'!$I$28:$I$33</c:f>
              <c:strCache>
                <c:ptCount val="6"/>
                <c:pt idx="0">
                  <c:v>Statewide District</c:v>
                </c:pt>
                <c:pt idx="1">
                  <c:v>Statewide Charter</c:v>
                </c:pt>
                <c:pt idx="2">
                  <c:v>Bridgeport  District</c:v>
                </c:pt>
                <c:pt idx="3">
                  <c:v>Bridgeport Charter</c:v>
                </c:pt>
                <c:pt idx="4">
                  <c:v>New Haven District</c:v>
                </c:pt>
                <c:pt idx="5">
                  <c:v>New Haven Charter</c:v>
                </c:pt>
              </c:strCache>
            </c:strRef>
          </c:cat>
          <c:val>
            <c:numRef>
              <c:f>'FY03 Figures 1,2,4'!$K$28:$K$33</c:f>
              <c:numCache>
                <c:formatCode>_(\$* #,##0_);_(\$* \(#,##0\);_(\$* "-"_);_(@_)</c:formatCode>
                <c:ptCount val="6"/>
                <c:pt idx="0">
                  <c:v>3796.336895949201</c:v>
                </c:pt>
                <c:pt idx="1">
                  <c:v>8167.38966480447</c:v>
                </c:pt>
                <c:pt idx="2">
                  <c:v>7464.614549600912</c:v>
                </c:pt>
                <c:pt idx="3">
                  <c:v>7026.662857142857</c:v>
                </c:pt>
                <c:pt idx="4">
                  <c:v>10965.34362226182</c:v>
                </c:pt>
                <c:pt idx="5">
                  <c:v>8390.321321321322</c:v>
                </c:pt>
              </c:numCache>
            </c:numRef>
          </c:val>
        </c:ser>
        <c:ser>
          <c:idx val="2"/>
          <c:order val="2"/>
          <c:tx>
            <c:strRef>
              <c:f>'FY03 Figures 1,2,4'!$L$27</c:f>
              <c:strCache>
                <c:ptCount val="1"/>
                <c:pt idx="0">
                  <c:v>Local</c:v>
                </c:pt>
              </c:strCache>
            </c:strRef>
          </c:tx>
          <c:spPr>
            <a:solidFill>
              <a:srgbClr val="969696"/>
            </a:solidFill>
            <a:ln w="12700">
              <a:solidFill>
                <a:srgbClr val="000000"/>
              </a:solidFill>
              <a:prstDash val="solid"/>
            </a:ln>
          </c:spPr>
          <c:cat>
            <c:strRef>
              <c:f>'FY03 Figures 1,2,4'!$I$28:$I$33</c:f>
              <c:strCache>
                <c:ptCount val="6"/>
                <c:pt idx="0">
                  <c:v>Statewide District</c:v>
                </c:pt>
                <c:pt idx="1">
                  <c:v>Statewide Charter</c:v>
                </c:pt>
                <c:pt idx="2">
                  <c:v>Bridgeport  District</c:v>
                </c:pt>
                <c:pt idx="3">
                  <c:v>Bridgeport Charter</c:v>
                </c:pt>
                <c:pt idx="4">
                  <c:v>New Haven District</c:v>
                </c:pt>
                <c:pt idx="5">
                  <c:v>New Haven Charter</c:v>
                </c:pt>
              </c:strCache>
            </c:strRef>
          </c:cat>
          <c:val>
            <c:numRef>
              <c:f>'FY03 Figures 1,2,4'!$L$28:$L$33</c:f>
              <c:numCache>
                <c:formatCode>_(\$* #,##0_);_(\$* \(#,##0\);_(\$* "-"_);_(@_)</c:formatCode>
                <c:ptCount val="6"/>
                <c:pt idx="0">
                  <c:v>7193.89183905575</c:v>
                </c:pt>
                <c:pt idx="1">
                  <c:v>148.2886405959032</c:v>
                </c:pt>
                <c:pt idx="2">
                  <c:v>2358.73062713797</c:v>
                </c:pt>
                <c:pt idx="3">
                  <c:v>166.4057142857143</c:v>
                </c:pt>
                <c:pt idx="4">
                  <c:v>3811.030709569227</c:v>
                </c:pt>
                <c:pt idx="5">
                  <c:v>0.0</c:v>
                </c:pt>
              </c:numCache>
            </c:numRef>
          </c:val>
        </c:ser>
        <c:ser>
          <c:idx val="3"/>
          <c:order val="3"/>
          <c:tx>
            <c:strRef>
              <c:f>'FY03 Figures 1,2,4'!$M$27</c:f>
              <c:strCache>
                <c:ptCount val="1"/>
                <c:pt idx="0">
                  <c:v>Other </c:v>
                </c:pt>
              </c:strCache>
            </c:strRef>
          </c:tx>
          <c:spPr>
            <a:solidFill>
              <a:srgbClr val="333333"/>
            </a:solidFill>
            <a:ln w="12700">
              <a:solidFill>
                <a:srgbClr val="000000"/>
              </a:solidFill>
              <a:prstDash val="solid"/>
            </a:ln>
          </c:spPr>
          <c:cat>
            <c:strRef>
              <c:f>'FY03 Figures 1,2,4'!$I$28:$I$33</c:f>
              <c:strCache>
                <c:ptCount val="6"/>
                <c:pt idx="0">
                  <c:v>Statewide District</c:v>
                </c:pt>
                <c:pt idx="1">
                  <c:v>Statewide Charter</c:v>
                </c:pt>
                <c:pt idx="2">
                  <c:v>Bridgeport  District</c:v>
                </c:pt>
                <c:pt idx="3">
                  <c:v>Bridgeport Charter</c:v>
                </c:pt>
                <c:pt idx="4">
                  <c:v>New Haven District</c:v>
                </c:pt>
                <c:pt idx="5">
                  <c:v>New Haven Charter</c:v>
                </c:pt>
              </c:strCache>
            </c:strRef>
          </c:cat>
          <c:val>
            <c:numRef>
              <c:f>'FY03 Figures 1,2,4'!$M$28:$M$33</c:f>
              <c:numCache>
                <c:formatCode>_(\$* #,##0_);_(\$* \(#,##0\);_(\$* "-"_);_(@_)</c:formatCode>
                <c:ptCount val="6"/>
                <c:pt idx="0">
                  <c:v>0.0</c:v>
                </c:pt>
                <c:pt idx="1">
                  <c:v>0.0</c:v>
                </c:pt>
                <c:pt idx="2">
                  <c:v>0.0</c:v>
                </c:pt>
                <c:pt idx="3">
                  <c:v>0.0</c:v>
                </c:pt>
                <c:pt idx="4">
                  <c:v>0.0</c:v>
                </c:pt>
                <c:pt idx="5">
                  <c:v>0.0</c:v>
                </c:pt>
              </c:numCache>
            </c:numRef>
          </c:val>
        </c:ser>
        <c:ser>
          <c:idx val="4"/>
          <c:order val="4"/>
          <c:tx>
            <c:strRef>
              <c:f>'FY03 Figures 1,2,4'!$N$27</c:f>
              <c:strCache>
                <c:ptCount val="1"/>
                <c:pt idx="0">
                  <c:v>Indeterminate</c:v>
                </c:pt>
              </c:strCache>
            </c:strRef>
          </c:tx>
          <c:spPr>
            <a:solidFill>
              <a:srgbClr val="808080"/>
            </a:solidFill>
            <a:ln w="12700">
              <a:solidFill>
                <a:srgbClr val="000000"/>
              </a:solidFill>
              <a:prstDash val="solid"/>
            </a:ln>
          </c:spPr>
          <c:cat>
            <c:strRef>
              <c:f>'FY03 Figures 1,2,4'!$I$28:$I$33</c:f>
              <c:strCache>
                <c:ptCount val="6"/>
                <c:pt idx="0">
                  <c:v>Statewide District</c:v>
                </c:pt>
                <c:pt idx="1">
                  <c:v>Statewide Charter</c:v>
                </c:pt>
                <c:pt idx="2">
                  <c:v>Bridgeport  District</c:v>
                </c:pt>
                <c:pt idx="3">
                  <c:v>Bridgeport Charter</c:v>
                </c:pt>
                <c:pt idx="4">
                  <c:v>New Haven District</c:v>
                </c:pt>
                <c:pt idx="5">
                  <c:v>New Haven Charter</c:v>
                </c:pt>
              </c:strCache>
            </c:strRef>
          </c:cat>
          <c:val>
            <c:numRef>
              <c:f>'FY03 Figures 1,2,4'!$N$28:$N$33</c:f>
              <c:numCache>
                <c:formatCode>_(\$* #,##0_);_(\$* \(#,##0\);_(\$* "-"_);_(@_)</c:formatCode>
                <c:ptCount val="6"/>
                <c:pt idx="0">
                  <c:v>105.0322711630223</c:v>
                </c:pt>
                <c:pt idx="1">
                  <c:v>1929.502793296089</c:v>
                </c:pt>
                <c:pt idx="2">
                  <c:v>66.98157354618015</c:v>
                </c:pt>
                <c:pt idx="3">
                  <c:v>872.2228571428571</c:v>
                </c:pt>
                <c:pt idx="4">
                  <c:v>148.2781155015197</c:v>
                </c:pt>
                <c:pt idx="5">
                  <c:v>4646.42942942943</c:v>
                </c:pt>
              </c:numCache>
            </c:numRef>
          </c:val>
        </c:ser>
        <c:overlap val="100"/>
        <c:axId val="467707608"/>
        <c:axId val="467711368"/>
      </c:barChart>
      <c:catAx>
        <c:axId val="467707608"/>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711368"/>
        <c:crosses val="autoZero"/>
        <c:auto val="1"/>
        <c:lblAlgn val="ctr"/>
        <c:lblOffset val="100"/>
        <c:tickLblSkip val="1"/>
        <c:tickMarkSkip val="1"/>
      </c:catAx>
      <c:valAx>
        <c:axId val="467711368"/>
        <c:scaling>
          <c:orientation val="minMax"/>
        </c:scaling>
        <c:axPos val="b"/>
        <c:numFmt formatCode="_(\$* #,##0_);_(\$* \(#,##0\);_(\$* &quot;-&quot;_);_(@_)"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707608"/>
        <c:crosses val="autoZero"/>
        <c:crossBetween val="between"/>
      </c:valAx>
      <c:spPr>
        <a:solidFill>
          <a:srgbClr val="FFFFFF"/>
        </a:solidFill>
        <a:ln w="12700">
          <a:solidFill>
            <a:srgbClr val="808080"/>
          </a:solidFill>
          <a:prstDash val="solid"/>
        </a:ln>
      </c:spPr>
    </c:plotArea>
    <c:legend>
      <c:legendPos val="t"/>
      <c:layout>
        <c:manualLayout>
          <c:xMode val="edge"/>
          <c:yMode val="edge"/>
          <c:wMode val="edge"/>
          <c:hMode val="edge"/>
          <c:x val="0.285132382892057"/>
          <c:y val="0.0293040293040293"/>
          <c:w val="0.954052739334263"/>
          <c:h val="0.108313383903935"/>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 r="0.75" t="1.0"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533400</xdr:colOff>
      <xdr:row>8</xdr:row>
      <xdr:rowOff>9525</xdr:rowOff>
    </xdr:from>
    <xdr:to>
      <xdr:col>19</xdr:col>
      <xdr:colOff>9525</xdr:colOff>
      <xdr:row>23</xdr:row>
      <xdr:rowOff>19050</xdr:rowOff>
    </xdr:to>
    <xdr:graphicFrame macro="">
      <xdr:nvGraphicFramePr>
        <xdr:cNvPr id="113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38</xdr:row>
      <xdr:rowOff>0</xdr:rowOff>
    </xdr:from>
    <xdr:to>
      <xdr:col>18</xdr:col>
      <xdr:colOff>523875</xdr:colOff>
      <xdr:row>54</xdr:row>
      <xdr:rowOff>9525</xdr:rowOff>
    </xdr:to>
    <xdr:graphicFrame macro="">
      <xdr:nvGraphicFramePr>
        <xdr:cNvPr id="1134"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600075</xdr:colOff>
      <xdr:row>7</xdr:row>
      <xdr:rowOff>9525</xdr:rowOff>
    </xdr:from>
    <xdr:to>
      <xdr:col>15</xdr:col>
      <xdr:colOff>400050</xdr:colOff>
      <xdr:row>22</xdr:row>
      <xdr:rowOff>19050</xdr:rowOff>
    </xdr:to>
    <xdr:graphicFrame macro="">
      <xdr:nvGraphicFramePr>
        <xdr:cNvPr id="5535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36</xdr:row>
      <xdr:rowOff>0</xdr:rowOff>
    </xdr:from>
    <xdr:to>
      <xdr:col>15</xdr:col>
      <xdr:colOff>409575</xdr:colOff>
      <xdr:row>52</xdr:row>
      <xdr:rowOff>9525</xdr:rowOff>
    </xdr:to>
    <xdr:graphicFrame macro="">
      <xdr:nvGraphicFramePr>
        <xdr:cNvPr id="5535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HP_Administrator.ALFRED/Local%20Settings/Temporary%20Internet%20Files/Content.Outlook/5N38OFWC/2006-07SSPdataforLDMaloney%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arry/Documents/Aspire%20Consulting%20LLC/BSU%20Charter%20Revenue%20Study/Monograph%20Production/Figure1withAdjustedValues-04_06/Figure1withAdjustedValues-04_0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006-07 without school constr"/>
      <sheetName val="2006-07 St Dist w school constr"/>
      <sheetName val="FY07 Figures 1,2,4"/>
      <sheetName val="Figure 3"/>
      <sheetName val="Figure 5"/>
      <sheetName val="Figure 6"/>
      <sheetName val="FY07 St Charter w Const"/>
      <sheetName val="2007 ST Fed Grants"/>
      <sheetName val="FY03 Figures 1,2,4"/>
      <sheetName val="FY03 Dist w school constr"/>
      <sheetName val="FY03 Charter w school const"/>
      <sheetName val="FY03 ST Fed Grants"/>
      <sheetName val="2002-03 without school constr "/>
    </sheetNames>
    <sheetDataSet>
      <sheetData sheetId="0" refreshError="1"/>
      <sheetData sheetId="1" refreshError="1">
        <row r="170">
          <cell r="C170">
            <v>536364</v>
          </cell>
        </row>
        <row r="175">
          <cell r="D175">
            <v>7906810321</v>
          </cell>
        </row>
        <row r="176">
          <cell r="E176">
            <v>4829.7456876300421</v>
          </cell>
          <cell r="F176">
            <v>530.55654555488434</v>
          </cell>
          <cell r="G176">
            <v>137.69677308693349</v>
          </cell>
          <cell r="H176">
            <v>9243.5017674564297</v>
          </cell>
        </row>
        <row r="181">
          <cell r="C181">
            <v>20682</v>
          </cell>
        </row>
        <row r="186">
          <cell r="D186">
            <v>290178764</v>
          </cell>
        </row>
        <row r="187">
          <cell r="E187">
            <v>10135.229136447153</v>
          </cell>
          <cell r="F187">
            <v>1215.5531379943914</v>
          </cell>
          <cell r="G187">
            <v>69.15907552461077</v>
          </cell>
          <cell r="H187">
            <v>2610.5568610385844</v>
          </cell>
        </row>
        <row r="190">
          <cell r="C190">
            <v>18638</v>
          </cell>
        </row>
        <row r="195">
          <cell r="D195">
            <v>412997713</v>
          </cell>
        </row>
        <row r="196">
          <cell r="E196">
            <v>15418.923167721858</v>
          </cell>
          <cell r="F196">
            <v>1892.8418821761991</v>
          </cell>
          <cell r="G196">
            <v>326.82820045069212</v>
          </cell>
          <cell r="H196">
            <v>4520.3139821869299</v>
          </cell>
        </row>
      </sheetData>
      <sheetData sheetId="2" refreshError="1"/>
      <sheetData sheetId="3" refreshError="1"/>
      <sheetData sheetId="4" refreshError="1"/>
      <sheetData sheetId="5" refreshError="1"/>
      <sheetData sheetId="6" refreshError="1">
        <row r="18">
          <cell r="C18">
            <v>3430</v>
          </cell>
        </row>
        <row r="21">
          <cell r="I21">
            <v>43324691</v>
          </cell>
        </row>
        <row r="22">
          <cell r="E22">
            <v>9592.2236151603502</v>
          </cell>
          <cell r="F22">
            <v>927.67725947521865</v>
          </cell>
          <cell r="G22">
            <v>1997.0107871720118</v>
          </cell>
          <cell r="H22">
            <v>114.19358600583091</v>
          </cell>
        </row>
        <row r="27">
          <cell r="C27">
            <v>427</v>
          </cell>
        </row>
        <row r="30">
          <cell r="I30">
            <v>4235966</v>
          </cell>
        </row>
        <row r="31">
          <cell r="E31">
            <v>8187.8594847775175</v>
          </cell>
          <cell r="F31">
            <v>751.3747072599532</v>
          </cell>
          <cell r="G31">
            <v>931.81264637002346</v>
          </cell>
          <cell r="H31">
            <v>49.248243559718972</v>
          </cell>
        </row>
        <row r="37">
          <cell r="C37">
            <v>913</v>
          </cell>
        </row>
        <row r="40">
          <cell r="I40">
            <v>11029460</v>
          </cell>
        </row>
        <row r="41">
          <cell r="E41">
            <v>8874.9605695509308</v>
          </cell>
          <cell r="F41">
            <v>1122.7349397590363</v>
          </cell>
          <cell r="G41">
            <v>2082.7645125958379</v>
          </cell>
          <cell r="H41">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Z"/>
      <sheetName val="CA"/>
      <sheetName val="CO"/>
      <sheetName val="CT"/>
      <sheetName val="DE"/>
      <sheetName val="FL"/>
      <sheetName val="GA"/>
      <sheetName val="ID"/>
      <sheetName val="IL"/>
      <sheetName val="MA"/>
      <sheetName val="MI"/>
      <sheetName val="MN"/>
      <sheetName val="NJ"/>
      <sheetName val="NM"/>
      <sheetName val="NY"/>
      <sheetName val="NC"/>
      <sheetName val="OH"/>
      <sheetName val="PA"/>
      <sheetName val="SC"/>
      <sheetName val="TX"/>
      <sheetName val="DC"/>
    </sheetNames>
    <sheetDataSet>
      <sheetData sheetId="0"/>
      <sheetData sheetId="1"/>
      <sheetData sheetId="2"/>
      <sheetData sheetId="3">
        <row r="2">
          <cell r="L2" t="str">
            <v>District</v>
          </cell>
          <cell r="M2" t="str">
            <v>Charter</v>
          </cell>
          <cell r="N2" t="str">
            <v>Difference</v>
          </cell>
        </row>
        <row r="3">
          <cell r="K3" t="str">
            <v>State</v>
          </cell>
          <cell r="L3">
            <v>14741.500773728289</v>
          </cell>
          <cell r="M3">
            <v>12631.105247813412</v>
          </cell>
          <cell r="N3">
            <v>2110.395525914877</v>
          </cell>
        </row>
        <row r="4">
          <cell r="K4" t="str">
            <v>Statewide Weighted</v>
          </cell>
          <cell r="L4">
            <v>16476</v>
          </cell>
          <cell r="M4">
            <v>12631</v>
          </cell>
          <cell r="N4">
            <v>3845</v>
          </cell>
        </row>
        <row r="5">
          <cell r="K5" t="str">
            <v>Bridgeport</v>
          </cell>
          <cell r="L5">
            <v>14030.498211004739</v>
          </cell>
          <cell r="M5">
            <v>9920.2950819672133</v>
          </cell>
          <cell r="N5">
            <v>4110.2031290375253</v>
          </cell>
        </row>
        <row r="6">
          <cell r="K6" t="str">
            <v>New Haven</v>
          </cell>
          <cell r="L6">
            <v>22158.907232535679</v>
          </cell>
          <cell r="M6">
            <v>12080.460021905805</v>
          </cell>
          <cell r="N6">
            <v>10078.447210629874</v>
          </cell>
        </row>
        <row r="28">
          <cell r="L28" t="str">
            <v xml:space="preserve">Federal </v>
          </cell>
          <cell r="M28" t="str">
            <v>State</v>
          </cell>
          <cell r="N28" t="str">
            <v>Local</v>
          </cell>
          <cell r="O28" t="str">
            <v xml:space="preserve">Other </v>
          </cell>
          <cell r="P28" t="str">
            <v>Indeterminate</v>
          </cell>
        </row>
        <row r="29">
          <cell r="K29" t="str">
            <v>Statewide District</v>
          </cell>
          <cell r="L29">
            <v>530.55654555488434</v>
          </cell>
          <cell r="M29">
            <v>4829.7456876300421</v>
          </cell>
          <cell r="N29">
            <v>9243.5017674564297</v>
          </cell>
          <cell r="O29">
            <v>0</v>
          </cell>
          <cell r="P29">
            <v>137.69677308693349</v>
          </cell>
        </row>
        <row r="30">
          <cell r="K30" t="str">
            <v>Statewide Charter</v>
          </cell>
          <cell r="L30">
            <v>927.67725947521865</v>
          </cell>
          <cell r="M30">
            <v>9592.2236151603502</v>
          </cell>
          <cell r="N30">
            <v>114.19358600583091</v>
          </cell>
          <cell r="O30">
            <v>0</v>
          </cell>
          <cell r="P30">
            <v>1997.0107871720118</v>
          </cell>
        </row>
        <row r="31">
          <cell r="K31" t="str">
            <v>Statewide Weighted</v>
          </cell>
          <cell r="L31">
            <v>930</v>
          </cell>
          <cell r="M31">
            <v>7933</v>
          </cell>
          <cell r="N31">
            <v>7437</v>
          </cell>
          <cell r="O31">
            <v>0</v>
          </cell>
          <cell r="P31">
            <v>177</v>
          </cell>
        </row>
        <row r="32">
          <cell r="K32" t="str">
            <v>Bridgeport District</v>
          </cell>
          <cell r="L32">
            <v>1215.5531379943914</v>
          </cell>
          <cell r="M32">
            <v>10135.229136447153</v>
          </cell>
          <cell r="N32">
            <v>2610.5568610385844</v>
          </cell>
          <cell r="O32">
            <v>0</v>
          </cell>
          <cell r="P32">
            <v>69.15907552461077</v>
          </cell>
        </row>
        <row r="33">
          <cell r="K33" t="str">
            <v>Bridgeport Charter</v>
          </cell>
          <cell r="L33">
            <v>751.3747072599532</v>
          </cell>
          <cell r="M33">
            <v>8187.8594847775175</v>
          </cell>
          <cell r="N33">
            <v>49.248243559718972</v>
          </cell>
          <cell r="O33">
            <v>0</v>
          </cell>
          <cell r="P33">
            <v>931.81264637002346</v>
          </cell>
        </row>
        <row r="34">
          <cell r="K34" t="str">
            <v>New Haven District</v>
          </cell>
          <cell r="L34">
            <v>1892.8418821761991</v>
          </cell>
          <cell r="M34">
            <v>15418.923167721858</v>
          </cell>
          <cell r="N34">
            <v>4520.3139821869299</v>
          </cell>
          <cell r="O34">
            <v>0</v>
          </cell>
          <cell r="P34">
            <v>326.82820045069212</v>
          </cell>
        </row>
        <row r="35">
          <cell r="K35" t="str">
            <v>New Haven Charter</v>
          </cell>
          <cell r="L35">
            <v>1122.7349397590363</v>
          </cell>
          <cell r="M35">
            <v>8874.9605695509308</v>
          </cell>
          <cell r="N35">
            <v>0</v>
          </cell>
          <cell r="O35">
            <v>0</v>
          </cell>
          <cell r="P35">
            <v>2082.7645125958379</v>
          </cell>
        </row>
      </sheetData>
      <sheetData sheetId="4">
        <row r="2">
          <cell r="J2" t="str">
            <v>District</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21"/>
  <sheetViews>
    <sheetView tabSelected="1" workbookViewId="0">
      <selection activeCell="F25" sqref="F25"/>
    </sheetView>
  </sheetViews>
  <sheetFormatPr baseColWidth="10" defaultColWidth="8.83203125" defaultRowHeight="12"/>
  <cols>
    <col min="3" max="3" width="1.33203125" customWidth="1"/>
    <col min="4" max="4" width="12.1640625" bestFit="1" customWidth="1"/>
  </cols>
  <sheetData>
    <row r="2" spans="1:4">
      <c r="A2" t="s">
        <v>6</v>
      </c>
    </row>
    <row r="3" spans="1:4">
      <c r="A3" s="87"/>
      <c r="B3" s="88"/>
      <c r="C3" s="90"/>
      <c r="D3" s="91" t="s">
        <v>1684</v>
      </c>
    </row>
    <row r="4" spans="1:4">
      <c r="A4" s="89"/>
      <c r="B4" s="90"/>
      <c r="C4" s="90"/>
      <c r="D4" s="91"/>
    </row>
    <row r="5" spans="1:4">
      <c r="A5" s="92"/>
      <c r="B5" s="93"/>
      <c r="C5" s="90"/>
      <c r="D5" s="91" t="s">
        <v>1681</v>
      </c>
    </row>
    <row r="6" spans="1:4">
      <c r="A6" s="89"/>
      <c r="B6" s="90"/>
      <c r="C6" s="90"/>
      <c r="D6" s="91"/>
    </row>
    <row r="7" spans="1:4">
      <c r="A7" s="94"/>
      <c r="B7" s="95"/>
      <c r="C7" s="90"/>
      <c r="D7" s="91" t="s">
        <v>1682</v>
      </c>
    </row>
    <row r="8" spans="1:4">
      <c r="A8" s="89"/>
      <c r="B8" s="90"/>
      <c r="C8" s="90"/>
      <c r="D8" s="91"/>
    </row>
    <row r="9" spans="1:4">
      <c r="A9" s="96"/>
      <c r="B9" s="97"/>
      <c r="C9" s="90"/>
      <c r="D9" s="91" t="s">
        <v>1694</v>
      </c>
    </row>
    <row r="10" spans="1:4">
      <c r="A10" s="89"/>
      <c r="B10" s="90"/>
      <c r="C10" s="90"/>
      <c r="D10" s="91"/>
    </row>
    <row r="11" spans="1:4">
      <c r="A11" s="98"/>
      <c r="B11" s="99"/>
      <c r="C11" s="90"/>
      <c r="D11" s="91" t="s">
        <v>1695</v>
      </c>
    </row>
    <row r="12" spans="1:4">
      <c r="A12" s="89"/>
      <c r="B12" s="90"/>
      <c r="C12" s="90"/>
      <c r="D12" s="91"/>
    </row>
    <row r="13" spans="1:4">
      <c r="A13" s="100"/>
      <c r="B13" s="101"/>
      <c r="C13" s="90"/>
      <c r="D13" s="91" t="s">
        <v>1554</v>
      </c>
    </row>
    <row r="14" spans="1:4">
      <c r="A14" s="89"/>
      <c r="B14" s="90"/>
      <c r="C14" s="90"/>
      <c r="D14" s="91"/>
    </row>
    <row r="15" spans="1:4">
      <c r="A15" s="102"/>
      <c r="B15" s="103"/>
      <c r="C15" s="90"/>
      <c r="D15" s="91" t="s">
        <v>1555</v>
      </c>
    </row>
    <row r="17" spans="1:2">
      <c r="A17" t="s">
        <v>7</v>
      </c>
      <c r="B17" t="s">
        <v>8</v>
      </c>
    </row>
    <row r="19" spans="1:2">
      <c r="A19" t="s">
        <v>11</v>
      </c>
    </row>
    <row r="20" spans="1:2">
      <c r="A20" t="s">
        <v>9</v>
      </c>
    </row>
    <row r="21" spans="1:2">
      <c r="A21" t="s">
        <v>10</v>
      </c>
    </row>
  </sheetData>
  <phoneticPr fontId="10"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85"/>
  <sheetViews>
    <sheetView workbookViewId="0">
      <selection activeCell="J16" sqref="J16"/>
    </sheetView>
  </sheetViews>
  <sheetFormatPr baseColWidth="10" defaultColWidth="8.83203125" defaultRowHeight="12"/>
  <cols>
    <col min="1" max="1" width="13" customWidth="1"/>
    <col min="2" max="2" width="25" bestFit="1" customWidth="1"/>
    <col min="3" max="3" width="22" style="3" bestFit="1" customWidth="1"/>
    <col min="4" max="4" width="16" style="3" bestFit="1" customWidth="1"/>
    <col min="5" max="6" width="18.5" style="3" bestFit="1" customWidth="1"/>
    <col min="7" max="7" width="16" style="3" bestFit="1" customWidth="1"/>
    <col min="8" max="8" width="14.83203125" customWidth="1"/>
    <col min="9" max="9" width="16" customWidth="1"/>
    <col min="10" max="10" width="15.1640625" customWidth="1"/>
    <col min="11" max="11" width="14.83203125" customWidth="1"/>
  </cols>
  <sheetData>
    <row r="1" spans="1:11">
      <c r="A1" t="s">
        <v>1663</v>
      </c>
    </row>
    <row r="3" spans="1:11" s="1" customFormat="1">
      <c r="A3" s="1" t="s">
        <v>1676</v>
      </c>
      <c r="B3" s="1" t="s">
        <v>1696</v>
      </c>
      <c r="C3" s="4" t="s">
        <v>1669</v>
      </c>
      <c r="D3" s="4" t="s">
        <v>1670</v>
      </c>
      <c r="E3" s="5" t="s">
        <v>1671</v>
      </c>
      <c r="F3" s="4" t="s">
        <v>1672</v>
      </c>
      <c r="G3" s="5" t="s">
        <v>1673</v>
      </c>
      <c r="H3" s="1" t="s">
        <v>1664</v>
      </c>
      <c r="I3" s="1" t="s">
        <v>1665</v>
      </c>
      <c r="J3" s="2" t="s">
        <v>1666</v>
      </c>
      <c r="K3" s="2" t="s">
        <v>1667</v>
      </c>
    </row>
    <row r="4" spans="1:11">
      <c r="A4">
        <v>1</v>
      </c>
      <c r="B4" t="s">
        <v>1697</v>
      </c>
      <c r="C4" s="3">
        <v>3687550</v>
      </c>
      <c r="D4" s="3">
        <v>1114944</v>
      </c>
      <c r="E4" s="3">
        <v>113133</v>
      </c>
      <c r="F4" s="3">
        <v>0</v>
      </c>
      <c r="G4" s="3">
        <v>2459473</v>
      </c>
      <c r="H4">
        <v>66.7</v>
      </c>
      <c r="I4">
        <v>3.1</v>
      </c>
      <c r="J4">
        <v>30.2</v>
      </c>
      <c r="K4">
        <v>0</v>
      </c>
    </row>
    <row r="5" spans="1:11">
      <c r="A5">
        <v>2</v>
      </c>
      <c r="B5" t="s">
        <v>1698</v>
      </c>
      <c r="C5" s="3">
        <v>27155249</v>
      </c>
      <c r="D5" s="3">
        <v>15521279</v>
      </c>
      <c r="E5" s="3">
        <v>1605250</v>
      </c>
      <c r="F5" s="3">
        <v>126610</v>
      </c>
      <c r="G5" s="3">
        <v>9902110</v>
      </c>
      <c r="H5">
        <v>36.5</v>
      </c>
      <c r="I5">
        <v>5.9</v>
      </c>
      <c r="J5">
        <v>57.2</v>
      </c>
      <c r="K5">
        <v>0.5</v>
      </c>
    </row>
    <row r="6" spans="1:11">
      <c r="A6">
        <v>3</v>
      </c>
      <c r="B6" t="s">
        <v>1699</v>
      </c>
      <c r="C6" s="3">
        <v>6585903</v>
      </c>
      <c r="D6" s="3">
        <v>2943116</v>
      </c>
      <c r="E6" s="3">
        <v>263829</v>
      </c>
      <c r="F6" s="3">
        <v>26932</v>
      </c>
      <c r="G6" s="3">
        <v>3352026</v>
      </c>
      <c r="H6">
        <v>50.9</v>
      </c>
      <c r="I6">
        <v>4</v>
      </c>
      <c r="J6">
        <v>44.7</v>
      </c>
      <c r="K6">
        <v>0.4</v>
      </c>
    </row>
    <row r="7" spans="1:11">
      <c r="A7">
        <v>4</v>
      </c>
      <c r="B7" t="s">
        <v>1700</v>
      </c>
      <c r="C7" s="3">
        <v>37769527</v>
      </c>
      <c r="D7" s="3">
        <v>1569268</v>
      </c>
      <c r="E7" s="3">
        <v>613406</v>
      </c>
      <c r="F7" s="3">
        <v>294354</v>
      </c>
      <c r="G7" s="3">
        <v>35292499</v>
      </c>
      <c r="H7">
        <v>93.4</v>
      </c>
      <c r="I7">
        <v>1.6</v>
      </c>
      <c r="J7">
        <v>4.2</v>
      </c>
      <c r="K7">
        <v>0.8</v>
      </c>
    </row>
    <row r="8" spans="1:11">
      <c r="A8">
        <v>5</v>
      </c>
      <c r="B8" t="s">
        <v>1701</v>
      </c>
      <c r="C8" s="3">
        <v>3429220</v>
      </c>
      <c r="D8" s="3">
        <v>681571</v>
      </c>
      <c r="E8" s="3">
        <v>131976</v>
      </c>
      <c r="F8" s="3">
        <v>0</v>
      </c>
      <c r="G8" s="3">
        <v>2615673</v>
      </c>
      <c r="H8">
        <v>76.3</v>
      </c>
      <c r="I8">
        <v>3.8</v>
      </c>
      <c r="J8">
        <v>19.899999999999999</v>
      </c>
      <c r="K8">
        <v>0</v>
      </c>
    </row>
    <row r="9" spans="1:11">
      <c r="A9">
        <v>7</v>
      </c>
      <c r="B9" t="s">
        <v>1702</v>
      </c>
      <c r="C9" s="3">
        <v>36611965</v>
      </c>
      <c r="D9" s="3">
        <v>5553362</v>
      </c>
      <c r="E9" s="3">
        <v>662941</v>
      </c>
      <c r="F9" s="3">
        <v>73584</v>
      </c>
      <c r="G9" s="3">
        <v>30322078</v>
      </c>
      <c r="H9">
        <v>82.8</v>
      </c>
      <c r="I9">
        <v>1.8</v>
      </c>
      <c r="J9">
        <v>15.2</v>
      </c>
      <c r="K9">
        <v>0.2</v>
      </c>
    </row>
    <row r="10" spans="1:11">
      <c r="A10">
        <v>8</v>
      </c>
      <c r="B10" t="s">
        <v>1703</v>
      </c>
      <c r="C10" s="3">
        <v>5811191</v>
      </c>
      <c r="D10" s="3">
        <v>868188</v>
      </c>
      <c r="E10" s="3">
        <v>194483</v>
      </c>
      <c r="F10" s="3">
        <v>0</v>
      </c>
      <c r="G10" s="3">
        <v>4748520</v>
      </c>
      <c r="H10">
        <v>81.7</v>
      </c>
      <c r="I10">
        <v>3.3</v>
      </c>
      <c r="J10">
        <v>14.9</v>
      </c>
      <c r="K10">
        <v>0</v>
      </c>
    </row>
    <row r="11" spans="1:11">
      <c r="A11">
        <v>9</v>
      </c>
      <c r="B11" t="s">
        <v>1704</v>
      </c>
      <c r="C11" s="3">
        <v>38407232</v>
      </c>
      <c r="D11" s="3">
        <v>8474289</v>
      </c>
      <c r="E11" s="3">
        <v>478644</v>
      </c>
      <c r="F11" s="3">
        <v>23116</v>
      </c>
      <c r="G11" s="3">
        <v>29431183</v>
      </c>
      <c r="H11">
        <v>76.599999999999994</v>
      </c>
      <c r="I11">
        <v>1.2</v>
      </c>
      <c r="J11">
        <v>22.1</v>
      </c>
      <c r="K11">
        <v>0.1</v>
      </c>
    </row>
    <row r="12" spans="1:11">
      <c r="A12">
        <v>11</v>
      </c>
      <c r="B12" t="s">
        <v>1705</v>
      </c>
      <c r="C12" s="3">
        <v>38808360</v>
      </c>
      <c r="D12" s="3">
        <v>6115981</v>
      </c>
      <c r="E12" s="3">
        <v>1113173</v>
      </c>
      <c r="F12" s="3">
        <v>217431</v>
      </c>
      <c r="G12" s="3">
        <v>31361775</v>
      </c>
      <c r="H12">
        <v>80.8</v>
      </c>
      <c r="I12">
        <v>2.9</v>
      </c>
      <c r="J12">
        <v>15.8</v>
      </c>
      <c r="K12">
        <v>0.6</v>
      </c>
    </row>
    <row r="13" spans="1:11">
      <c r="A13">
        <v>12</v>
      </c>
      <c r="B13" t="s">
        <v>1706</v>
      </c>
      <c r="C13" s="3">
        <v>11606027</v>
      </c>
      <c r="D13" s="3">
        <v>3150847</v>
      </c>
      <c r="E13" s="3">
        <v>152825</v>
      </c>
      <c r="F13" s="3">
        <v>58280</v>
      </c>
      <c r="G13" s="3">
        <v>8244075</v>
      </c>
      <c r="H13">
        <v>71</v>
      </c>
      <c r="I13">
        <v>1.3</v>
      </c>
      <c r="J13">
        <v>27.1</v>
      </c>
      <c r="K13">
        <v>0.5</v>
      </c>
    </row>
    <row r="14" spans="1:11">
      <c r="A14">
        <v>13</v>
      </c>
      <c r="B14" t="s">
        <v>1707</v>
      </c>
      <c r="C14" s="3">
        <v>4505180</v>
      </c>
      <c r="D14" s="3">
        <v>1189268</v>
      </c>
      <c r="E14" s="3">
        <v>138528</v>
      </c>
      <c r="F14" s="3">
        <v>3800</v>
      </c>
      <c r="G14" s="3">
        <v>3173584</v>
      </c>
      <c r="H14">
        <v>70.400000000000006</v>
      </c>
      <c r="I14">
        <v>3.1</v>
      </c>
      <c r="J14">
        <v>26.4</v>
      </c>
      <c r="K14">
        <v>0.1</v>
      </c>
    </row>
    <row r="15" spans="1:11">
      <c r="A15">
        <v>14</v>
      </c>
      <c r="B15" t="s">
        <v>1708</v>
      </c>
      <c r="C15" s="3">
        <v>44324105</v>
      </c>
      <c r="D15" s="3">
        <v>2353294</v>
      </c>
      <c r="E15" s="3">
        <v>1096491</v>
      </c>
      <c r="F15" s="3">
        <v>25334</v>
      </c>
      <c r="G15" s="3">
        <v>40848986</v>
      </c>
      <c r="H15">
        <v>92.2</v>
      </c>
      <c r="I15">
        <v>2.5</v>
      </c>
      <c r="J15">
        <v>5.3</v>
      </c>
      <c r="K15">
        <v>0.1</v>
      </c>
    </row>
    <row r="16" spans="1:11">
      <c r="A16">
        <v>15</v>
      </c>
      <c r="B16" t="s">
        <v>1709</v>
      </c>
      <c r="C16" s="3">
        <v>258701203</v>
      </c>
      <c r="D16" s="3">
        <v>170373232</v>
      </c>
      <c r="E16" s="3">
        <v>25310070</v>
      </c>
      <c r="F16" s="3">
        <v>1430348</v>
      </c>
      <c r="G16" s="3">
        <v>61587553</v>
      </c>
      <c r="H16">
        <v>23.8</v>
      </c>
      <c r="I16">
        <v>9.8000000000000007</v>
      </c>
      <c r="J16">
        <v>65.900000000000006</v>
      </c>
      <c r="K16">
        <v>0.6</v>
      </c>
    </row>
    <row r="17" spans="1:11">
      <c r="A17">
        <v>17</v>
      </c>
      <c r="B17" t="s">
        <v>1710</v>
      </c>
      <c r="C17" s="3">
        <v>99208566</v>
      </c>
      <c r="D17" s="3">
        <v>40870470</v>
      </c>
      <c r="E17" s="3">
        <v>3621130</v>
      </c>
      <c r="F17" s="3">
        <v>747077</v>
      </c>
      <c r="G17" s="3">
        <v>53969889</v>
      </c>
      <c r="H17">
        <v>54.4</v>
      </c>
      <c r="I17">
        <v>3.7</v>
      </c>
      <c r="J17">
        <v>41.2</v>
      </c>
      <c r="K17">
        <v>0.8</v>
      </c>
    </row>
    <row r="18" spans="1:11">
      <c r="A18">
        <v>18</v>
      </c>
      <c r="B18" t="s">
        <v>1711</v>
      </c>
      <c r="C18" s="3">
        <v>34096550</v>
      </c>
      <c r="D18" s="3">
        <v>1534508</v>
      </c>
      <c r="E18" s="3">
        <v>594025</v>
      </c>
      <c r="F18" s="3">
        <v>24275</v>
      </c>
      <c r="G18" s="3">
        <v>31943742</v>
      </c>
      <c r="H18">
        <v>93.7</v>
      </c>
      <c r="I18">
        <v>1.7</v>
      </c>
      <c r="J18">
        <v>4.5</v>
      </c>
      <c r="K18">
        <v>0.1</v>
      </c>
    </row>
    <row r="19" spans="1:11">
      <c r="A19">
        <v>19</v>
      </c>
      <c r="B19" t="s">
        <v>1712</v>
      </c>
      <c r="C19" s="3">
        <v>14306179</v>
      </c>
      <c r="D19" s="3">
        <v>6538427</v>
      </c>
      <c r="E19" s="3">
        <v>493993</v>
      </c>
      <c r="F19" s="3">
        <v>9354</v>
      </c>
      <c r="G19" s="3">
        <v>7264405</v>
      </c>
      <c r="H19">
        <v>50.8</v>
      </c>
      <c r="I19">
        <v>3.5</v>
      </c>
      <c r="J19">
        <v>45.7</v>
      </c>
      <c r="K19">
        <v>0.1</v>
      </c>
    </row>
    <row r="20" spans="1:11">
      <c r="A20">
        <v>21</v>
      </c>
      <c r="B20" t="s">
        <v>1713</v>
      </c>
      <c r="C20" s="3">
        <v>2042129</v>
      </c>
      <c r="D20" s="3">
        <v>159647</v>
      </c>
      <c r="E20" s="3">
        <v>94836</v>
      </c>
      <c r="F20" s="3">
        <v>1071</v>
      </c>
      <c r="G20" s="3">
        <v>1786575</v>
      </c>
      <c r="H20">
        <v>87.5</v>
      </c>
      <c r="I20">
        <v>4.5999999999999996</v>
      </c>
      <c r="J20">
        <v>7.8</v>
      </c>
      <c r="K20">
        <v>0.1</v>
      </c>
    </row>
    <row r="21" spans="1:11">
      <c r="A21">
        <v>22</v>
      </c>
      <c r="B21" t="s">
        <v>1714</v>
      </c>
      <c r="C21" s="3">
        <v>10694435</v>
      </c>
      <c r="D21" s="3">
        <v>4762172</v>
      </c>
      <c r="E21" s="3">
        <v>285372</v>
      </c>
      <c r="F21" s="3">
        <v>14884</v>
      </c>
      <c r="G21" s="3">
        <v>5632007</v>
      </c>
      <c r="H21">
        <v>52.7</v>
      </c>
      <c r="I21">
        <v>2.7</v>
      </c>
      <c r="J21">
        <v>44.5</v>
      </c>
      <c r="K21">
        <v>0.1</v>
      </c>
    </row>
    <row r="22" spans="1:11">
      <c r="A22">
        <v>23</v>
      </c>
      <c r="B22" t="s">
        <v>1715</v>
      </c>
      <c r="C22" s="3">
        <v>20281287</v>
      </c>
      <c r="D22" s="3">
        <v>2959134</v>
      </c>
      <c r="E22" s="3">
        <v>399774</v>
      </c>
      <c r="F22" s="3">
        <v>199834</v>
      </c>
      <c r="G22" s="3">
        <v>16722545</v>
      </c>
      <c r="H22">
        <v>82.5</v>
      </c>
      <c r="I22">
        <v>2</v>
      </c>
      <c r="J22">
        <v>14.6</v>
      </c>
      <c r="K22">
        <v>1</v>
      </c>
    </row>
    <row r="23" spans="1:11">
      <c r="A23">
        <v>24</v>
      </c>
      <c r="B23" t="s">
        <v>1716</v>
      </c>
      <c r="C23" s="3">
        <v>3165532</v>
      </c>
      <c r="D23" s="3">
        <v>1156144</v>
      </c>
      <c r="E23" s="3">
        <v>72748</v>
      </c>
      <c r="F23" s="3">
        <v>54145</v>
      </c>
      <c r="G23" s="3">
        <v>1882495</v>
      </c>
      <c r="H23">
        <v>59.5</v>
      </c>
      <c r="I23">
        <v>2.2999999999999998</v>
      </c>
      <c r="J23">
        <v>36.5</v>
      </c>
      <c r="K23">
        <v>1.7</v>
      </c>
    </row>
    <row r="24" spans="1:11">
      <c r="A24">
        <v>25</v>
      </c>
      <c r="B24" t="s">
        <v>1717</v>
      </c>
      <c r="C24" s="3">
        <v>55080754</v>
      </c>
      <c r="D24" s="3">
        <v>8465716</v>
      </c>
      <c r="E24" s="3">
        <v>959834</v>
      </c>
      <c r="F24" s="3">
        <v>462366</v>
      </c>
      <c r="G24" s="3">
        <v>45192838</v>
      </c>
      <c r="H24">
        <v>82</v>
      </c>
      <c r="I24">
        <v>1.7</v>
      </c>
      <c r="J24">
        <v>15.4</v>
      </c>
      <c r="K24">
        <v>0.8</v>
      </c>
    </row>
    <row r="25" spans="1:11">
      <c r="A25">
        <v>26</v>
      </c>
      <c r="B25" t="s">
        <v>1718</v>
      </c>
      <c r="C25" s="3">
        <v>3877062</v>
      </c>
      <c r="D25" s="3">
        <v>362695</v>
      </c>
      <c r="E25" s="3">
        <v>71821</v>
      </c>
      <c r="F25" s="3">
        <v>0</v>
      </c>
      <c r="G25" s="3">
        <v>3442546</v>
      </c>
      <c r="H25">
        <v>88.8</v>
      </c>
      <c r="I25">
        <v>1.9</v>
      </c>
      <c r="J25">
        <v>9.4</v>
      </c>
      <c r="K25">
        <v>0</v>
      </c>
    </row>
    <row r="26" spans="1:11">
      <c r="A26">
        <v>27</v>
      </c>
      <c r="B26" t="s">
        <v>1719</v>
      </c>
      <c r="C26" s="3">
        <v>27859882</v>
      </c>
      <c r="D26" s="3">
        <v>6382947</v>
      </c>
      <c r="E26" s="3">
        <v>720791</v>
      </c>
      <c r="F26" s="3">
        <v>0</v>
      </c>
      <c r="G26" s="3">
        <v>20756144</v>
      </c>
      <c r="H26">
        <v>74.5</v>
      </c>
      <c r="I26">
        <v>2.6</v>
      </c>
      <c r="J26">
        <v>22.9</v>
      </c>
      <c r="K26">
        <v>0</v>
      </c>
    </row>
    <row r="27" spans="1:11">
      <c r="A27">
        <v>28</v>
      </c>
      <c r="B27" t="s">
        <v>1720</v>
      </c>
      <c r="C27" s="3">
        <v>33350612</v>
      </c>
      <c r="D27" s="3">
        <v>13100305</v>
      </c>
      <c r="E27" s="3">
        <v>866798</v>
      </c>
      <c r="F27" s="3">
        <v>126662</v>
      </c>
      <c r="G27" s="3">
        <v>19256847</v>
      </c>
      <c r="H27">
        <v>57.7</v>
      </c>
      <c r="I27">
        <v>2.6</v>
      </c>
      <c r="J27">
        <v>39.299999999999997</v>
      </c>
      <c r="K27">
        <v>0.4</v>
      </c>
    </row>
    <row r="28" spans="1:11">
      <c r="A28">
        <v>29</v>
      </c>
      <c r="B28" t="s">
        <v>1721</v>
      </c>
      <c r="C28" s="3">
        <v>1633883</v>
      </c>
      <c r="D28" s="3">
        <v>211679</v>
      </c>
      <c r="E28" s="3">
        <v>49332</v>
      </c>
      <c r="F28" s="3">
        <v>5386</v>
      </c>
      <c r="G28" s="3">
        <v>1367486</v>
      </c>
      <c r="H28">
        <v>83.7</v>
      </c>
      <c r="I28">
        <v>3</v>
      </c>
      <c r="J28">
        <v>13</v>
      </c>
      <c r="K28">
        <v>0.3</v>
      </c>
    </row>
    <row r="29" spans="1:11">
      <c r="A29">
        <v>30</v>
      </c>
      <c r="B29" t="s">
        <v>1722</v>
      </c>
      <c r="C29" s="3">
        <v>11041864</v>
      </c>
      <c r="D29" s="3">
        <v>2395873</v>
      </c>
      <c r="E29" s="3">
        <v>193992</v>
      </c>
      <c r="F29" s="3">
        <v>34456</v>
      </c>
      <c r="G29" s="3">
        <v>8417543</v>
      </c>
      <c r="H29">
        <v>76.2</v>
      </c>
      <c r="I29">
        <v>1.8</v>
      </c>
      <c r="J29">
        <v>21.7</v>
      </c>
      <c r="K29">
        <v>0.3</v>
      </c>
    </row>
    <row r="30" spans="1:11">
      <c r="A30">
        <v>31</v>
      </c>
      <c r="B30" t="s">
        <v>1723</v>
      </c>
      <c r="C30" s="3">
        <v>2566691</v>
      </c>
      <c r="D30" s="3">
        <v>74860</v>
      </c>
      <c r="E30" s="3">
        <v>64039</v>
      </c>
      <c r="F30" s="3">
        <v>1417</v>
      </c>
      <c r="G30" s="3">
        <v>2426375</v>
      </c>
      <c r="H30">
        <v>94.5</v>
      </c>
      <c r="I30">
        <v>2.5</v>
      </c>
      <c r="J30">
        <v>2.9</v>
      </c>
      <c r="K30">
        <v>0.1</v>
      </c>
    </row>
    <row r="31" spans="1:11">
      <c r="A31">
        <v>32</v>
      </c>
      <c r="B31" t="s">
        <v>1724</v>
      </c>
      <c r="C31" s="3">
        <v>22722483</v>
      </c>
      <c r="D31" s="3">
        <v>8537151</v>
      </c>
      <c r="E31" s="3">
        <v>522527</v>
      </c>
      <c r="F31" s="3">
        <v>105609</v>
      </c>
      <c r="G31" s="3">
        <v>13557196</v>
      </c>
      <c r="H31">
        <v>59.7</v>
      </c>
      <c r="I31">
        <v>2.2999999999999998</v>
      </c>
      <c r="J31">
        <v>37.6</v>
      </c>
      <c r="K31">
        <v>0.5</v>
      </c>
    </row>
    <row r="32" spans="1:11">
      <c r="A32">
        <v>33</v>
      </c>
      <c r="B32" t="s">
        <v>1725</v>
      </c>
      <c r="C32" s="3">
        <v>23733278</v>
      </c>
      <c r="D32" s="3">
        <v>3841569</v>
      </c>
      <c r="E32" s="3">
        <v>492498</v>
      </c>
      <c r="F32" s="3">
        <v>62885</v>
      </c>
      <c r="G32" s="3">
        <v>19336326</v>
      </c>
      <c r="H32">
        <v>81.5</v>
      </c>
      <c r="I32">
        <v>2.1</v>
      </c>
      <c r="J32">
        <v>16.2</v>
      </c>
      <c r="K32">
        <v>0.3</v>
      </c>
    </row>
    <row r="33" spans="1:11">
      <c r="A33">
        <v>34</v>
      </c>
      <c r="B33" t="s">
        <v>1726</v>
      </c>
      <c r="C33" s="3">
        <v>112589338</v>
      </c>
      <c r="D33" s="3">
        <v>25532427</v>
      </c>
      <c r="E33" s="3">
        <v>4801421</v>
      </c>
      <c r="F33" s="3">
        <v>859434</v>
      </c>
      <c r="G33" s="3">
        <v>81396056</v>
      </c>
      <c r="H33">
        <v>72.3</v>
      </c>
      <c r="I33">
        <v>4.3</v>
      </c>
      <c r="J33">
        <v>22.7</v>
      </c>
      <c r="K33">
        <v>0.8</v>
      </c>
    </row>
    <row r="34" spans="1:11">
      <c r="A34">
        <v>35</v>
      </c>
      <c r="B34" t="s">
        <v>1727</v>
      </c>
      <c r="C34" s="3">
        <v>61698652</v>
      </c>
      <c r="D34" s="3">
        <v>3260168</v>
      </c>
      <c r="E34" s="3">
        <v>766054</v>
      </c>
      <c r="F34" s="3">
        <v>0</v>
      </c>
      <c r="G34" s="3">
        <v>57672430</v>
      </c>
      <c r="H34">
        <v>93.5</v>
      </c>
      <c r="I34">
        <v>1.2</v>
      </c>
      <c r="J34">
        <v>5.3</v>
      </c>
      <c r="K34">
        <v>0</v>
      </c>
    </row>
    <row r="35" spans="1:11">
      <c r="A35">
        <v>36</v>
      </c>
      <c r="B35" t="s">
        <v>1728</v>
      </c>
      <c r="C35" s="3">
        <v>4426656</v>
      </c>
      <c r="D35" s="3">
        <v>859858</v>
      </c>
      <c r="E35" s="3">
        <v>112850</v>
      </c>
      <c r="F35" s="3">
        <v>0</v>
      </c>
      <c r="G35" s="3">
        <v>3453948</v>
      </c>
      <c r="H35">
        <v>78</v>
      </c>
      <c r="I35">
        <v>2.5</v>
      </c>
      <c r="J35">
        <v>19.399999999999999</v>
      </c>
      <c r="K35">
        <v>0</v>
      </c>
    </row>
    <row r="36" spans="1:11">
      <c r="A36">
        <v>37</v>
      </c>
      <c r="B36" t="s">
        <v>1729</v>
      </c>
      <c r="C36" s="3">
        <v>17023149</v>
      </c>
      <c r="D36" s="3">
        <v>7005117</v>
      </c>
      <c r="E36" s="3">
        <v>621708</v>
      </c>
      <c r="F36" s="3">
        <v>0</v>
      </c>
      <c r="G36" s="3">
        <v>9396324</v>
      </c>
      <c r="H36">
        <v>55.2</v>
      </c>
      <c r="I36">
        <v>3.7</v>
      </c>
      <c r="J36">
        <v>41.2</v>
      </c>
      <c r="K36">
        <v>0</v>
      </c>
    </row>
    <row r="37" spans="1:11">
      <c r="A37">
        <v>39</v>
      </c>
      <c r="B37" t="s">
        <v>1730</v>
      </c>
      <c r="C37" s="3">
        <v>3427280</v>
      </c>
      <c r="D37" s="3">
        <v>1040617</v>
      </c>
      <c r="E37" s="3">
        <v>88573</v>
      </c>
      <c r="F37" s="3">
        <v>13446</v>
      </c>
      <c r="G37" s="3">
        <v>2284644</v>
      </c>
      <c r="H37">
        <v>66.7</v>
      </c>
      <c r="I37">
        <v>2.6</v>
      </c>
      <c r="J37">
        <v>30.4</v>
      </c>
      <c r="K37">
        <v>0.4</v>
      </c>
    </row>
    <row r="38" spans="1:11">
      <c r="A38">
        <v>40</v>
      </c>
      <c r="B38" t="s">
        <v>1731</v>
      </c>
      <c r="C38" s="3">
        <v>11693385</v>
      </c>
      <c r="D38" s="3">
        <v>1100598</v>
      </c>
      <c r="E38" s="3">
        <v>150291</v>
      </c>
      <c r="F38" s="3">
        <v>26835</v>
      </c>
      <c r="G38" s="3">
        <v>10415661</v>
      </c>
      <c r="H38">
        <v>89.1</v>
      </c>
      <c r="I38">
        <v>1.3</v>
      </c>
      <c r="J38">
        <v>9.4</v>
      </c>
      <c r="K38">
        <v>0.2</v>
      </c>
    </row>
    <row r="39" spans="1:11">
      <c r="A39">
        <v>41</v>
      </c>
      <c r="B39" t="s">
        <v>1732</v>
      </c>
      <c r="C39" s="3">
        <v>16959009</v>
      </c>
      <c r="D39" s="3">
        <v>3660485</v>
      </c>
      <c r="E39" s="3">
        <v>418578</v>
      </c>
      <c r="F39" s="3">
        <v>743358</v>
      </c>
      <c r="G39" s="3">
        <v>12136588</v>
      </c>
      <c r="H39">
        <v>71.599999999999994</v>
      </c>
      <c r="I39">
        <v>2.5</v>
      </c>
      <c r="J39">
        <v>21.6</v>
      </c>
      <c r="K39">
        <v>4.4000000000000004</v>
      </c>
    </row>
    <row r="40" spans="1:11">
      <c r="A40">
        <v>42</v>
      </c>
      <c r="B40" t="s">
        <v>1733</v>
      </c>
      <c r="C40" s="3">
        <v>23229845</v>
      </c>
      <c r="D40" s="3">
        <v>7334336</v>
      </c>
      <c r="E40" s="3">
        <v>482320</v>
      </c>
      <c r="F40" s="3">
        <v>59889</v>
      </c>
      <c r="G40" s="3">
        <v>15353300</v>
      </c>
      <c r="H40">
        <v>66.099999999999994</v>
      </c>
      <c r="I40">
        <v>2.1</v>
      </c>
      <c r="J40">
        <v>31.6</v>
      </c>
      <c r="K40">
        <v>0.3</v>
      </c>
    </row>
    <row r="41" spans="1:11">
      <c r="A41">
        <v>43</v>
      </c>
      <c r="B41" t="s">
        <v>1734</v>
      </c>
      <c r="C41" s="3">
        <v>90721217</v>
      </c>
      <c r="D41" s="3">
        <v>42510188</v>
      </c>
      <c r="E41" s="3">
        <v>5056001</v>
      </c>
      <c r="F41" s="3">
        <v>1852517</v>
      </c>
      <c r="G41" s="3">
        <v>41302511</v>
      </c>
      <c r="H41">
        <v>45.5</v>
      </c>
      <c r="I41">
        <v>5.6</v>
      </c>
      <c r="J41">
        <v>46.9</v>
      </c>
      <c r="K41">
        <v>2</v>
      </c>
    </row>
    <row r="42" spans="1:11">
      <c r="A42">
        <v>44</v>
      </c>
      <c r="B42" t="s">
        <v>1735</v>
      </c>
      <c r="C42" s="3">
        <v>45078416</v>
      </c>
      <c r="D42" s="3">
        <v>18694746</v>
      </c>
      <c r="E42" s="3">
        <v>1083019</v>
      </c>
      <c r="F42" s="3">
        <v>1392445</v>
      </c>
      <c r="G42" s="3">
        <v>23908206</v>
      </c>
      <c r="H42">
        <v>53</v>
      </c>
      <c r="I42">
        <v>2.4</v>
      </c>
      <c r="J42">
        <v>41.5</v>
      </c>
      <c r="K42">
        <v>3.1</v>
      </c>
    </row>
    <row r="43" spans="1:11">
      <c r="A43">
        <v>45</v>
      </c>
      <c r="B43" t="s">
        <v>1736</v>
      </c>
      <c r="C43" s="3">
        <v>38323500</v>
      </c>
      <c r="D43" s="3">
        <v>7355504</v>
      </c>
      <c r="E43" s="3">
        <v>809035</v>
      </c>
      <c r="F43" s="3">
        <v>2765196</v>
      </c>
      <c r="G43" s="3">
        <v>27393765</v>
      </c>
      <c r="H43">
        <v>71.5</v>
      </c>
      <c r="I43">
        <v>2.1</v>
      </c>
      <c r="J43">
        <v>19.2</v>
      </c>
      <c r="K43">
        <v>7.2</v>
      </c>
    </row>
    <row r="44" spans="1:11">
      <c r="A44">
        <v>46</v>
      </c>
      <c r="B44" t="s">
        <v>1737</v>
      </c>
      <c r="C44" s="3">
        <v>13794232</v>
      </c>
      <c r="D44" s="3">
        <v>666803</v>
      </c>
      <c r="E44" s="3">
        <v>181207</v>
      </c>
      <c r="F44" s="3">
        <v>50994</v>
      </c>
      <c r="G44" s="3">
        <v>12895228</v>
      </c>
      <c r="H44">
        <v>93.5</v>
      </c>
      <c r="I44">
        <v>1.3</v>
      </c>
      <c r="J44">
        <v>4.8</v>
      </c>
      <c r="K44">
        <v>0.4</v>
      </c>
    </row>
    <row r="45" spans="1:11">
      <c r="A45">
        <v>47</v>
      </c>
      <c r="B45" t="s">
        <v>1738</v>
      </c>
      <c r="C45" s="3">
        <v>17560729</v>
      </c>
      <c r="D45" s="3">
        <v>5918768</v>
      </c>
      <c r="E45" s="3">
        <v>386379</v>
      </c>
      <c r="F45" s="3">
        <v>120166</v>
      </c>
      <c r="G45" s="3">
        <v>11135416</v>
      </c>
      <c r="H45">
        <v>63.4</v>
      </c>
      <c r="I45">
        <v>2.2000000000000002</v>
      </c>
      <c r="J45">
        <v>33.700000000000003</v>
      </c>
      <c r="K45">
        <v>0.7</v>
      </c>
    </row>
    <row r="46" spans="1:11">
      <c r="A46">
        <v>48</v>
      </c>
      <c r="B46" t="s">
        <v>1739</v>
      </c>
      <c r="C46" s="3">
        <v>26474843</v>
      </c>
      <c r="D46" s="3">
        <v>8643339</v>
      </c>
      <c r="E46" s="3">
        <v>556957</v>
      </c>
      <c r="F46" s="3">
        <v>60260</v>
      </c>
      <c r="G46" s="3">
        <v>17214287</v>
      </c>
      <c r="H46">
        <v>65</v>
      </c>
      <c r="I46">
        <v>2.1</v>
      </c>
      <c r="J46">
        <v>32.6</v>
      </c>
      <c r="K46">
        <v>0.2</v>
      </c>
    </row>
    <row r="47" spans="1:11">
      <c r="A47">
        <v>49</v>
      </c>
      <c r="B47" t="s">
        <v>1740</v>
      </c>
      <c r="C47" s="3">
        <v>73516123</v>
      </c>
      <c r="D47" s="3">
        <v>26803722</v>
      </c>
      <c r="E47" s="3">
        <v>2836521</v>
      </c>
      <c r="F47" s="3">
        <v>223817</v>
      </c>
      <c r="G47" s="3">
        <v>43652063</v>
      </c>
      <c r="H47">
        <v>59.4</v>
      </c>
      <c r="I47">
        <v>3.9</v>
      </c>
      <c r="J47">
        <v>36.5</v>
      </c>
      <c r="K47">
        <v>0.3</v>
      </c>
    </row>
    <row r="48" spans="1:11">
      <c r="A48">
        <v>50</v>
      </c>
      <c r="B48" t="s">
        <v>1741</v>
      </c>
      <c r="C48" s="3">
        <v>6110141</v>
      </c>
      <c r="D48" s="3">
        <v>195306</v>
      </c>
      <c r="E48" s="3">
        <v>136352</v>
      </c>
      <c r="F48" s="3">
        <v>0</v>
      </c>
      <c r="G48" s="3">
        <v>5778483</v>
      </c>
      <c r="H48">
        <v>94.6</v>
      </c>
      <c r="I48">
        <v>2.2000000000000002</v>
      </c>
      <c r="J48">
        <v>3.2</v>
      </c>
      <c r="K48">
        <v>0</v>
      </c>
    </row>
    <row r="49" spans="1:11">
      <c r="A49">
        <v>51</v>
      </c>
      <c r="B49" t="s">
        <v>1742</v>
      </c>
      <c r="C49" s="3">
        <v>133771186</v>
      </c>
      <c r="D49" s="3">
        <v>4578797</v>
      </c>
      <c r="E49" s="3">
        <v>2577350</v>
      </c>
      <c r="F49" s="3">
        <v>35790</v>
      </c>
      <c r="G49" s="3">
        <v>126579249</v>
      </c>
      <c r="H49">
        <v>94.6</v>
      </c>
      <c r="I49">
        <v>1.9</v>
      </c>
      <c r="J49">
        <v>3.4</v>
      </c>
      <c r="K49">
        <v>0</v>
      </c>
    </row>
    <row r="50" spans="1:11">
      <c r="A50">
        <v>52</v>
      </c>
      <c r="B50" t="s">
        <v>1743</v>
      </c>
      <c r="C50" s="3">
        <v>49871544</v>
      </c>
      <c r="D50" s="3">
        <v>2093660</v>
      </c>
      <c r="E50" s="3">
        <v>724518</v>
      </c>
      <c r="F50" s="3">
        <v>403430</v>
      </c>
      <c r="G50" s="3">
        <v>46649936</v>
      </c>
      <c r="H50">
        <v>93.5</v>
      </c>
      <c r="I50">
        <v>1.5</v>
      </c>
      <c r="J50">
        <v>4.2</v>
      </c>
      <c r="K50">
        <v>0.8</v>
      </c>
    </row>
    <row r="51" spans="1:11">
      <c r="A51">
        <v>53</v>
      </c>
      <c r="B51" t="s">
        <v>1744</v>
      </c>
      <c r="C51" s="3">
        <v>3990316</v>
      </c>
      <c r="D51" s="3">
        <v>943955</v>
      </c>
      <c r="E51" s="3">
        <v>102136</v>
      </c>
      <c r="F51" s="3">
        <v>14713</v>
      </c>
      <c r="G51" s="3">
        <v>2929512</v>
      </c>
      <c r="H51">
        <v>73.400000000000006</v>
      </c>
      <c r="I51">
        <v>2.6</v>
      </c>
      <c r="J51">
        <v>23.7</v>
      </c>
      <c r="K51">
        <v>0.4</v>
      </c>
    </row>
    <row r="52" spans="1:11">
      <c r="A52">
        <v>54</v>
      </c>
      <c r="B52" t="s">
        <v>1745</v>
      </c>
      <c r="C52" s="3">
        <v>76805956</v>
      </c>
      <c r="D52" s="3">
        <v>6074304</v>
      </c>
      <c r="E52" s="3">
        <v>1478719</v>
      </c>
      <c r="F52" s="3">
        <v>431032</v>
      </c>
      <c r="G52" s="3">
        <v>68821901</v>
      </c>
      <c r="H52">
        <v>89.6</v>
      </c>
      <c r="I52">
        <v>1.9</v>
      </c>
      <c r="J52">
        <v>7.9</v>
      </c>
      <c r="K52">
        <v>0.6</v>
      </c>
    </row>
    <row r="53" spans="1:11">
      <c r="A53">
        <v>56</v>
      </c>
      <c r="B53" t="s">
        <v>1746</v>
      </c>
      <c r="C53" s="3">
        <v>24958094</v>
      </c>
      <c r="D53" s="3">
        <v>4773648</v>
      </c>
      <c r="E53" s="3">
        <v>417800</v>
      </c>
      <c r="F53" s="3">
        <v>553909</v>
      </c>
      <c r="G53" s="3">
        <v>19212737</v>
      </c>
      <c r="H53">
        <v>77</v>
      </c>
      <c r="I53">
        <v>1.7</v>
      </c>
      <c r="J53">
        <v>19.100000000000001</v>
      </c>
      <c r="K53">
        <v>2.2000000000000002</v>
      </c>
    </row>
    <row r="54" spans="1:11">
      <c r="A54">
        <v>57</v>
      </c>
      <c r="B54" t="s">
        <v>1747</v>
      </c>
      <c r="C54" s="3">
        <v>153461936</v>
      </c>
      <c r="D54" s="3">
        <v>3835587</v>
      </c>
      <c r="E54" s="3">
        <v>2668881</v>
      </c>
      <c r="F54" s="3">
        <v>611415</v>
      </c>
      <c r="G54" s="3">
        <v>146346053</v>
      </c>
      <c r="H54">
        <v>95.4</v>
      </c>
      <c r="I54">
        <v>1.7</v>
      </c>
      <c r="J54">
        <v>2.5</v>
      </c>
      <c r="K54">
        <v>0.4</v>
      </c>
    </row>
    <row r="55" spans="1:11">
      <c r="A55">
        <v>58</v>
      </c>
      <c r="B55" t="s">
        <v>1748</v>
      </c>
      <c r="C55" s="3">
        <v>23711334</v>
      </c>
      <c r="D55" s="3">
        <v>10471407</v>
      </c>
      <c r="E55" s="3">
        <v>864686</v>
      </c>
      <c r="F55" s="3">
        <v>2333104</v>
      </c>
      <c r="G55" s="3">
        <v>10042137</v>
      </c>
      <c r="H55">
        <v>42.4</v>
      </c>
      <c r="I55">
        <v>3.6</v>
      </c>
      <c r="J55">
        <v>44.2</v>
      </c>
      <c r="K55">
        <v>9.8000000000000007</v>
      </c>
    </row>
    <row r="56" spans="1:11">
      <c r="A56">
        <v>59</v>
      </c>
      <c r="B56" t="s">
        <v>1749</v>
      </c>
      <c r="C56" s="3">
        <v>71366004</v>
      </c>
      <c r="D56" s="3">
        <v>25357261</v>
      </c>
      <c r="E56" s="3">
        <v>2224284</v>
      </c>
      <c r="F56" s="3">
        <v>117528</v>
      </c>
      <c r="G56" s="3">
        <v>43666931</v>
      </c>
      <c r="H56">
        <v>61.2</v>
      </c>
      <c r="I56">
        <v>3.1</v>
      </c>
      <c r="J56">
        <v>35.5</v>
      </c>
      <c r="K56">
        <v>0.2</v>
      </c>
    </row>
    <row r="57" spans="1:11">
      <c r="A57">
        <v>60</v>
      </c>
      <c r="B57" t="s">
        <v>1750</v>
      </c>
      <c r="C57" s="3">
        <v>45159851</v>
      </c>
      <c r="D57" s="3">
        <v>3588712</v>
      </c>
      <c r="E57" s="3">
        <v>910735</v>
      </c>
      <c r="F57" s="3">
        <v>23437</v>
      </c>
      <c r="G57" s="3">
        <v>40636967</v>
      </c>
      <c r="H57">
        <v>90</v>
      </c>
      <c r="I57">
        <v>2</v>
      </c>
      <c r="J57">
        <v>7.9</v>
      </c>
      <c r="K57">
        <v>0.1</v>
      </c>
    </row>
    <row r="58" spans="1:11">
      <c r="A58">
        <v>62</v>
      </c>
      <c r="B58" t="s">
        <v>1751</v>
      </c>
      <c r="C58" s="3">
        <v>92750726</v>
      </c>
      <c r="D58" s="3">
        <v>22898337</v>
      </c>
      <c r="E58" s="3">
        <v>2838597</v>
      </c>
      <c r="F58" s="3">
        <v>203900</v>
      </c>
      <c r="G58" s="3">
        <v>66809892</v>
      </c>
      <c r="H58">
        <v>72</v>
      </c>
      <c r="I58">
        <v>3.1</v>
      </c>
      <c r="J58">
        <v>24.7</v>
      </c>
      <c r="K58">
        <v>0.2</v>
      </c>
    </row>
    <row r="59" spans="1:11">
      <c r="A59">
        <v>63</v>
      </c>
      <c r="B59" t="s">
        <v>1752</v>
      </c>
      <c r="C59" s="3">
        <v>2235721</v>
      </c>
      <c r="D59" s="3">
        <v>900192</v>
      </c>
      <c r="E59" s="3">
        <v>54016</v>
      </c>
      <c r="F59" s="3">
        <v>34426</v>
      </c>
      <c r="G59" s="3">
        <v>1247087</v>
      </c>
      <c r="H59">
        <v>55.8</v>
      </c>
      <c r="I59">
        <v>2.4</v>
      </c>
      <c r="J59">
        <v>40.299999999999997</v>
      </c>
      <c r="K59">
        <v>1.5</v>
      </c>
    </row>
    <row r="60" spans="1:11">
      <c r="A60">
        <v>64</v>
      </c>
      <c r="B60" t="s">
        <v>1753</v>
      </c>
      <c r="C60" s="3">
        <v>360053076</v>
      </c>
      <c r="D60" s="3">
        <v>216521914</v>
      </c>
      <c r="E60" s="3">
        <v>42222357</v>
      </c>
      <c r="F60" s="3">
        <v>8925857</v>
      </c>
      <c r="G60" s="3">
        <v>92382948</v>
      </c>
      <c r="H60">
        <v>25.7</v>
      </c>
      <c r="I60">
        <v>11.7</v>
      </c>
      <c r="J60">
        <v>60.1</v>
      </c>
      <c r="K60">
        <v>2.5</v>
      </c>
    </row>
    <row r="61" spans="1:11">
      <c r="A61">
        <v>65</v>
      </c>
      <c r="B61" t="s">
        <v>1754</v>
      </c>
      <c r="C61" s="3">
        <v>4492314</v>
      </c>
      <c r="D61" s="3">
        <v>1324182</v>
      </c>
      <c r="E61" s="3">
        <v>86728</v>
      </c>
      <c r="F61" s="3">
        <v>18413</v>
      </c>
      <c r="G61" s="3">
        <v>3062991</v>
      </c>
      <c r="H61">
        <v>68.2</v>
      </c>
      <c r="I61">
        <v>1.9</v>
      </c>
      <c r="J61">
        <v>29.5</v>
      </c>
      <c r="K61">
        <v>0.4</v>
      </c>
    </row>
    <row r="62" spans="1:11">
      <c r="A62">
        <v>67</v>
      </c>
      <c r="B62" t="s">
        <v>1755</v>
      </c>
      <c r="C62" s="3">
        <v>10997136</v>
      </c>
      <c r="D62" s="3">
        <v>3595543</v>
      </c>
      <c r="E62" s="3">
        <v>250790</v>
      </c>
      <c r="F62" s="3">
        <v>0</v>
      </c>
      <c r="G62" s="3">
        <v>7150803</v>
      </c>
      <c r="H62">
        <v>65</v>
      </c>
      <c r="I62">
        <v>2.2999999999999998</v>
      </c>
      <c r="J62">
        <v>32.700000000000003</v>
      </c>
      <c r="K62">
        <v>0</v>
      </c>
    </row>
    <row r="63" spans="1:11">
      <c r="A63">
        <v>68</v>
      </c>
      <c r="B63" t="s">
        <v>1756</v>
      </c>
      <c r="C63" s="3">
        <v>4058916</v>
      </c>
      <c r="D63" s="3">
        <v>138975</v>
      </c>
      <c r="E63" s="3">
        <v>66539</v>
      </c>
      <c r="F63" s="3">
        <v>2970</v>
      </c>
      <c r="G63" s="3">
        <v>3850432</v>
      </c>
      <c r="H63">
        <v>94.9</v>
      </c>
      <c r="I63">
        <v>1.6</v>
      </c>
      <c r="J63">
        <v>3.4</v>
      </c>
      <c r="K63">
        <v>0.1</v>
      </c>
    </row>
    <row r="64" spans="1:11">
      <c r="A64">
        <v>69</v>
      </c>
      <c r="B64" t="s">
        <v>1757</v>
      </c>
      <c r="C64" s="3">
        <v>34486588</v>
      </c>
      <c r="D64" s="3">
        <v>15736865</v>
      </c>
      <c r="E64" s="3">
        <v>1188520</v>
      </c>
      <c r="F64" s="3">
        <v>1603000</v>
      </c>
      <c r="G64" s="3">
        <v>15958203</v>
      </c>
      <c r="H64">
        <v>46.3</v>
      </c>
      <c r="I64">
        <v>3.4</v>
      </c>
      <c r="J64">
        <v>45.6</v>
      </c>
      <c r="K64">
        <v>4.5999999999999996</v>
      </c>
    </row>
    <row r="65" spans="1:11">
      <c r="A65">
        <v>71</v>
      </c>
      <c r="B65" t="s">
        <v>1758</v>
      </c>
      <c r="C65" s="3">
        <v>15624493</v>
      </c>
      <c r="D65" s="3">
        <v>5335597</v>
      </c>
      <c r="E65" s="3">
        <v>393999</v>
      </c>
      <c r="F65" s="3">
        <v>1806968</v>
      </c>
      <c r="G65" s="3">
        <v>8087929</v>
      </c>
      <c r="H65">
        <v>51.8</v>
      </c>
      <c r="I65">
        <v>2.5</v>
      </c>
      <c r="J65">
        <v>34.1</v>
      </c>
      <c r="K65">
        <v>11.6</v>
      </c>
    </row>
    <row r="66" spans="1:11">
      <c r="A66">
        <v>72</v>
      </c>
      <c r="B66" t="s">
        <v>1759</v>
      </c>
      <c r="C66" s="3">
        <v>32452313</v>
      </c>
      <c r="D66" s="3">
        <v>11857141</v>
      </c>
      <c r="E66" s="3">
        <v>286438</v>
      </c>
      <c r="F66" s="3">
        <v>1367167</v>
      </c>
      <c r="G66" s="3">
        <v>18941567</v>
      </c>
      <c r="H66">
        <v>58.4</v>
      </c>
      <c r="I66">
        <v>0.9</v>
      </c>
      <c r="J66">
        <v>36.5</v>
      </c>
      <c r="K66">
        <v>4.2</v>
      </c>
    </row>
    <row r="67" spans="1:11">
      <c r="A67">
        <v>73</v>
      </c>
      <c r="B67" t="s">
        <v>1760</v>
      </c>
      <c r="C67" s="3">
        <v>9085283</v>
      </c>
      <c r="D67" s="3">
        <v>3757765</v>
      </c>
      <c r="E67" s="3">
        <v>213964</v>
      </c>
      <c r="F67" s="3">
        <v>83282</v>
      </c>
      <c r="G67" s="3">
        <v>5030272</v>
      </c>
      <c r="H67">
        <v>55.4</v>
      </c>
      <c r="I67">
        <v>2.4</v>
      </c>
      <c r="J67">
        <v>41.4</v>
      </c>
      <c r="K67">
        <v>0.9</v>
      </c>
    </row>
    <row r="68" spans="1:11">
      <c r="A68">
        <v>74</v>
      </c>
      <c r="B68" t="s">
        <v>1761</v>
      </c>
      <c r="C68" s="3">
        <v>15837587</v>
      </c>
      <c r="D68" s="3">
        <v>1433779</v>
      </c>
      <c r="E68" s="3">
        <v>339532</v>
      </c>
      <c r="F68" s="3">
        <v>19694</v>
      </c>
      <c r="G68" s="3">
        <v>14044582</v>
      </c>
      <c r="H68">
        <v>88.7</v>
      </c>
      <c r="I68">
        <v>2.1</v>
      </c>
      <c r="J68">
        <v>9.1</v>
      </c>
      <c r="K68">
        <v>0.1</v>
      </c>
    </row>
    <row r="69" spans="1:11">
      <c r="A69">
        <v>76</v>
      </c>
      <c r="B69" t="s">
        <v>1762</v>
      </c>
      <c r="C69" s="3">
        <v>40908998</v>
      </c>
      <c r="D69" s="3">
        <v>2189956</v>
      </c>
      <c r="E69" s="3">
        <v>673970</v>
      </c>
      <c r="F69" s="3">
        <v>320818</v>
      </c>
      <c r="G69" s="3">
        <v>37724254</v>
      </c>
      <c r="H69">
        <v>92.2</v>
      </c>
      <c r="I69">
        <v>1.6</v>
      </c>
      <c r="J69">
        <v>5.4</v>
      </c>
      <c r="K69">
        <v>0.8</v>
      </c>
    </row>
    <row r="70" spans="1:11">
      <c r="A70">
        <v>77</v>
      </c>
      <c r="B70" t="s">
        <v>1763</v>
      </c>
      <c r="C70" s="3">
        <v>94192454</v>
      </c>
      <c r="D70" s="3">
        <v>29081787</v>
      </c>
      <c r="E70" s="3">
        <v>4328453</v>
      </c>
      <c r="F70" s="3">
        <v>1136417</v>
      </c>
      <c r="G70" s="3">
        <v>59645797</v>
      </c>
      <c r="H70">
        <v>63.3</v>
      </c>
      <c r="I70">
        <v>4.5999999999999996</v>
      </c>
      <c r="J70">
        <v>30.9</v>
      </c>
      <c r="K70">
        <v>1.2</v>
      </c>
    </row>
    <row r="71" spans="1:11">
      <c r="A71">
        <v>78</v>
      </c>
      <c r="B71" t="s">
        <v>1764</v>
      </c>
      <c r="C71" s="3">
        <v>19870069</v>
      </c>
      <c r="D71" s="3">
        <v>6454228</v>
      </c>
      <c r="E71" s="3">
        <v>472933</v>
      </c>
      <c r="F71" s="3">
        <v>36933</v>
      </c>
      <c r="G71" s="3">
        <v>12905975</v>
      </c>
      <c r="H71">
        <v>65</v>
      </c>
      <c r="I71">
        <v>2.4</v>
      </c>
      <c r="J71">
        <v>32.5</v>
      </c>
      <c r="K71">
        <v>0.2</v>
      </c>
    </row>
    <row r="72" spans="1:11">
      <c r="A72">
        <v>79</v>
      </c>
      <c r="B72" t="s">
        <v>1765</v>
      </c>
      <c r="C72" s="3">
        <v>6837142</v>
      </c>
      <c r="D72" s="3">
        <v>1615378</v>
      </c>
      <c r="E72" s="3">
        <v>107633</v>
      </c>
      <c r="F72" s="3">
        <v>4143</v>
      </c>
      <c r="G72" s="3">
        <v>5109988</v>
      </c>
      <c r="H72">
        <v>74.7</v>
      </c>
      <c r="I72">
        <v>1.6</v>
      </c>
      <c r="J72">
        <v>23.6</v>
      </c>
      <c r="K72">
        <v>0.1</v>
      </c>
    </row>
    <row r="73" spans="1:11">
      <c r="A73">
        <v>80</v>
      </c>
      <c r="B73" t="s">
        <v>1766</v>
      </c>
      <c r="C73" s="3">
        <v>110796254</v>
      </c>
      <c r="D73" s="3">
        <v>52602843</v>
      </c>
      <c r="E73" s="3">
        <v>5262263</v>
      </c>
      <c r="F73" s="3">
        <v>456893</v>
      </c>
      <c r="G73" s="3">
        <v>52474255</v>
      </c>
      <c r="H73">
        <v>47.4</v>
      </c>
      <c r="I73">
        <v>4.7</v>
      </c>
      <c r="J73">
        <v>47.5</v>
      </c>
      <c r="K73">
        <v>0.4</v>
      </c>
    </row>
    <row r="74" spans="1:11">
      <c r="A74">
        <v>83</v>
      </c>
      <c r="B74" t="s">
        <v>1767</v>
      </c>
      <c r="C74" s="3">
        <v>67543943</v>
      </c>
      <c r="D74" s="3">
        <v>17033833</v>
      </c>
      <c r="E74" s="3">
        <v>3060179</v>
      </c>
      <c r="F74" s="3">
        <v>524635</v>
      </c>
      <c r="G74" s="3">
        <v>46925296</v>
      </c>
      <c r="H74">
        <v>69.5</v>
      </c>
      <c r="I74">
        <v>4.5</v>
      </c>
      <c r="J74">
        <v>25.2</v>
      </c>
      <c r="K74">
        <v>0.8</v>
      </c>
    </row>
    <row r="75" spans="1:11">
      <c r="A75">
        <v>84</v>
      </c>
      <c r="B75" t="s">
        <v>1768</v>
      </c>
      <c r="C75" s="3">
        <v>93875289</v>
      </c>
      <c r="D75" s="3">
        <v>10828580</v>
      </c>
      <c r="E75" s="3">
        <v>2330428</v>
      </c>
      <c r="F75" s="3">
        <v>117056</v>
      </c>
      <c r="G75" s="3">
        <v>80599225</v>
      </c>
      <c r="H75">
        <v>85.9</v>
      </c>
      <c r="I75">
        <v>2.5</v>
      </c>
      <c r="J75">
        <v>11.5</v>
      </c>
      <c r="K75">
        <v>0.1</v>
      </c>
    </row>
    <row r="76" spans="1:11">
      <c r="A76">
        <v>85</v>
      </c>
      <c r="B76" t="s">
        <v>1769</v>
      </c>
      <c r="C76" s="3">
        <v>46401377</v>
      </c>
      <c r="D76" s="3">
        <v>6512542</v>
      </c>
      <c r="E76" s="3">
        <v>820021</v>
      </c>
      <c r="F76" s="3">
        <v>2366125</v>
      </c>
      <c r="G76" s="3">
        <v>36702689</v>
      </c>
      <c r="H76">
        <v>79.099999999999994</v>
      </c>
      <c r="I76">
        <v>1.8</v>
      </c>
      <c r="J76">
        <v>14</v>
      </c>
      <c r="K76">
        <v>5.0999999999999996</v>
      </c>
    </row>
    <row r="77" spans="1:11">
      <c r="A77">
        <v>86</v>
      </c>
      <c r="B77" t="s">
        <v>1770</v>
      </c>
      <c r="C77" s="3">
        <v>34364785</v>
      </c>
      <c r="D77" s="3">
        <v>11552720</v>
      </c>
      <c r="E77" s="3">
        <v>987246</v>
      </c>
      <c r="F77" s="3">
        <v>464871</v>
      </c>
      <c r="G77" s="3">
        <v>21359948</v>
      </c>
      <c r="H77">
        <v>62.2</v>
      </c>
      <c r="I77">
        <v>2.9</v>
      </c>
      <c r="J77">
        <v>33.6</v>
      </c>
      <c r="K77">
        <v>1.4</v>
      </c>
    </row>
    <row r="78" spans="1:11">
      <c r="A78">
        <v>88</v>
      </c>
      <c r="B78" t="s">
        <v>1771</v>
      </c>
      <c r="C78" s="3">
        <v>57491551</v>
      </c>
      <c r="D78" s="3">
        <v>27708861</v>
      </c>
      <c r="E78" s="3">
        <v>2484518</v>
      </c>
      <c r="F78" s="3">
        <v>187050</v>
      </c>
      <c r="G78" s="3">
        <v>27111122</v>
      </c>
      <c r="H78">
        <v>47.2</v>
      </c>
      <c r="I78">
        <v>4.3</v>
      </c>
      <c r="J78">
        <v>48.2</v>
      </c>
      <c r="K78">
        <v>0.3</v>
      </c>
    </row>
    <row r="79" spans="1:11">
      <c r="A79">
        <v>89</v>
      </c>
      <c r="B79" t="s">
        <v>1772</v>
      </c>
      <c r="C79" s="3">
        <v>128526117</v>
      </c>
      <c r="D79" s="3">
        <v>74403550</v>
      </c>
      <c r="E79" s="3">
        <v>9839202</v>
      </c>
      <c r="F79" s="3">
        <v>1231321</v>
      </c>
      <c r="G79" s="3">
        <v>43052044</v>
      </c>
      <c r="H79">
        <v>33.5</v>
      </c>
      <c r="I79">
        <v>7.7</v>
      </c>
      <c r="J79">
        <v>57.9</v>
      </c>
      <c r="K79">
        <v>1</v>
      </c>
    </row>
    <row r="80" spans="1:11">
      <c r="A80">
        <v>90</v>
      </c>
      <c r="B80" t="s">
        <v>1773</v>
      </c>
      <c r="C80" s="3">
        <v>65029053</v>
      </c>
      <c r="D80" s="3">
        <v>1956028</v>
      </c>
      <c r="E80" s="3">
        <v>506379</v>
      </c>
      <c r="F80" s="3">
        <v>0</v>
      </c>
      <c r="G80" s="3">
        <v>62566646</v>
      </c>
      <c r="H80">
        <v>96.2</v>
      </c>
      <c r="I80">
        <v>0.8</v>
      </c>
      <c r="J80">
        <v>3</v>
      </c>
      <c r="K80">
        <v>0</v>
      </c>
    </row>
    <row r="81" spans="1:11">
      <c r="A81">
        <v>91</v>
      </c>
      <c r="B81" t="s">
        <v>1774</v>
      </c>
      <c r="C81" s="3">
        <v>32113426</v>
      </c>
      <c r="D81" s="3">
        <v>4423216</v>
      </c>
      <c r="E81" s="3">
        <v>536473</v>
      </c>
      <c r="F81" s="3">
        <v>260604</v>
      </c>
      <c r="G81" s="3">
        <v>26893133</v>
      </c>
      <c r="H81">
        <v>83.7</v>
      </c>
      <c r="I81">
        <v>1.7</v>
      </c>
      <c r="J81">
        <v>13.8</v>
      </c>
      <c r="K81">
        <v>0.8</v>
      </c>
    </row>
    <row r="82" spans="1:11">
      <c r="A82">
        <v>92</v>
      </c>
      <c r="B82" t="s">
        <v>1775</v>
      </c>
      <c r="C82" s="3">
        <v>7099486</v>
      </c>
      <c r="D82" s="3">
        <v>1654026</v>
      </c>
      <c r="E82" s="3">
        <v>163677</v>
      </c>
      <c r="F82" s="3">
        <v>12100</v>
      </c>
      <c r="G82" s="3">
        <v>5269683</v>
      </c>
      <c r="H82">
        <v>74.2</v>
      </c>
      <c r="I82">
        <v>2.2999999999999998</v>
      </c>
      <c r="J82">
        <v>23.3</v>
      </c>
      <c r="K82">
        <v>0.2</v>
      </c>
    </row>
    <row r="83" spans="1:11">
      <c r="A83">
        <v>93</v>
      </c>
      <c r="B83" t="s">
        <v>1776</v>
      </c>
      <c r="C83" s="3">
        <v>296702117</v>
      </c>
      <c r="D83" s="3">
        <v>174171624</v>
      </c>
      <c r="E83" s="3">
        <v>35696779</v>
      </c>
      <c r="F83" s="3">
        <v>6091424</v>
      </c>
      <c r="G83" s="3">
        <v>80742290</v>
      </c>
      <c r="H83">
        <v>27.2</v>
      </c>
      <c r="I83">
        <v>12</v>
      </c>
      <c r="J83">
        <v>58.7</v>
      </c>
      <c r="K83">
        <v>2.1</v>
      </c>
    </row>
    <row r="84" spans="1:11">
      <c r="A84">
        <v>94</v>
      </c>
      <c r="B84" t="s">
        <v>1777</v>
      </c>
      <c r="C84" s="3">
        <v>53599084</v>
      </c>
      <c r="D84" s="3">
        <v>11786775</v>
      </c>
      <c r="E84" s="3">
        <v>962995</v>
      </c>
      <c r="F84" s="3">
        <v>118079</v>
      </c>
      <c r="G84" s="3">
        <v>40731235</v>
      </c>
      <c r="H84">
        <v>76</v>
      </c>
      <c r="I84">
        <v>1.8</v>
      </c>
      <c r="J84">
        <v>22</v>
      </c>
      <c r="K84">
        <v>0.2</v>
      </c>
    </row>
    <row r="85" spans="1:11">
      <c r="A85">
        <v>95</v>
      </c>
      <c r="B85" t="s">
        <v>1778</v>
      </c>
      <c r="C85" s="3">
        <v>45704408</v>
      </c>
      <c r="D85" s="3">
        <v>24575482</v>
      </c>
      <c r="E85" s="3">
        <v>3998402</v>
      </c>
      <c r="F85" s="3">
        <v>288521</v>
      </c>
      <c r="G85" s="3">
        <v>16842003</v>
      </c>
      <c r="H85">
        <v>36.799999999999997</v>
      </c>
      <c r="I85">
        <v>8.6999999999999993</v>
      </c>
      <c r="J85">
        <v>53.8</v>
      </c>
      <c r="K85">
        <v>0.6</v>
      </c>
    </row>
    <row r="86" spans="1:11">
      <c r="A86">
        <v>96</v>
      </c>
      <c r="B86" t="s">
        <v>1779</v>
      </c>
      <c r="C86" s="3">
        <v>55293826</v>
      </c>
      <c r="D86" s="3">
        <v>12349107</v>
      </c>
      <c r="E86" s="3">
        <v>997145</v>
      </c>
      <c r="F86" s="3">
        <v>1193155</v>
      </c>
      <c r="G86" s="3">
        <v>40754419</v>
      </c>
      <c r="H86">
        <v>73.7</v>
      </c>
      <c r="I86">
        <v>1.8</v>
      </c>
      <c r="J86">
        <v>22.3</v>
      </c>
      <c r="K86">
        <v>2.2000000000000002</v>
      </c>
    </row>
    <row r="87" spans="1:11">
      <c r="A87">
        <v>97</v>
      </c>
      <c r="B87" t="s">
        <v>1780</v>
      </c>
      <c r="C87" s="3">
        <v>62897242</v>
      </c>
      <c r="D87" s="3">
        <v>5412353</v>
      </c>
      <c r="E87" s="3">
        <v>1124565</v>
      </c>
      <c r="F87" s="3">
        <v>124445</v>
      </c>
      <c r="G87" s="3">
        <v>56235879</v>
      </c>
      <c r="H87">
        <v>89.4</v>
      </c>
      <c r="I87">
        <v>1.8</v>
      </c>
      <c r="J87">
        <v>8.6</v>
      </c>
      <c r="K87">
        <v>0.2</v>
      </c>
    </row>
    <row r="88" spans="1:11">
      <c r="A88">
        <v>98</v>
      </c>
      <c r="B88" t="s">
        <v>1781</v>
      </c>
      <c r="C88" s="3">
        <v>2403435</v>
      </c>
      <c r="D88" s="3">
        <v>249485</v>
      </c>
      <c r="E88" s="3">
        <v>111494</v>
      </c>
      <c r="F88" s="3">
        <v>6055</v>
      </c>
      <c r="G88" s="3">
        <v>2036401</v>
      </c>
      <c r="H88">
        <v>84.7</v>
      </c>
      <c r="I88">
        <v>4.5999999999999996</v>
      </c>
      <c r="J88">
        <v>10.4</v>
      </c>
      <c r="K88">
        <v>0.3</v>
      </c>
    </row>
    <row r="89" spans="1:11">
      <c r="A89">
        <v>99</v>
      </c>
      <c r="B89" t="s">
        <v>1782</v>
      </c>
      <c r="C89" s="3">
        <v>26923551</v>
      </c>
      <c r="D89" s="3">
        <v>7762194</v>
      </c>
      <c r="E89" s="3">
        <v>570411</v>
      </c>
      <c r="F89" s="3">
        <v>24409</v>
      </c>
      <c r="G89" s="3">
        <v>18566537</v>
      </c>
      <c r="H89">
        <v>69</v>
      </c>
      <c r="I89">
        <v>2.1</v>
      </c>
      <c r="J89">
        <v>28.8</v>
      </c>
      <c r="K89">
        <v>0.1</v>
      </c>
    </row>
    <row r="90" spans="1:11">
      <c r="A90">
        <v>100</v>
      </c>
      <c r="B90" t="s">
        <v>1783</v>
      </c>
      <c r="C90" s="3">
        <v>5008473</v>
      </c>
      <c r="D90" s="3">
        <v>1562897</v>
      </c>
      <c r="E90" s="3">
        <v>136423</v>
      </c>
      <c r="F90" s="3">
        <v>4135</v>
      </c>
      <c r="G90" s="3">
        <v>3305018</v>
      </c>
      <c r="H90">
        <v>66</v>
      </c>
      <c r="I90">
        <v>2.7</v>
      </c>
      <c r="J90">
        <v>31.2</v>
      </c>
      <c r="K90">
        <v>0.1</v>
      </c>
    </row>
    <row r="91" spans="1:11">
      <c r="A91">
        <v>101</v>
      </c>
      <c r="B91" t="s">
        <v>1784</v>
      </c>
      <c r="C91" s="3">
        <v>41534268</v>
      </c>
      <c r="D91" s="3">
        <v>3274265</v>
      </c>
      <c r="E91" s="3">
        <v>733269</v>
      </c>
      <c r="F91" s="3">
        <v>5131</v>
      </c>
      <c r="G91" s="3">
        <v>37521603</v>
      </c>
      <c r="H91">
        <v>90.3</v>
      </c>
      <c r="I91">
        <v>1.8</v>
      </c>
      <c r="J91">
        <v>7.9</v>
      </c>
      <c r="K91">
        <v>0</v>
      </c>
    </row>
    <row r="92" spans="1:11">
      <c r="A92">
        <v>102</v>
      </c>
      <c r="B92" t="s">
        <v>1785</v>
      </c>
      <c r="C92" s="3">
        <v>11830480</v>
      </c>
      <c r="D92" s="3">
        <v>2861586</v>
      </c>
      <c r="E92" s="3">
        <v>399345</v>
      </c>
      <c r="F92" s="3">
        <v>91177</v>
      </c>
      <c r="G92" s="3">
        <v>8478372</v>
      </c>
      <c r="H92">
        <v>71.7</v>
      </c>
      <c r="I92">
        <v>3.4</v>
      </c>
      <c r="J92">
        <v>24.2</v>
      </c>
      <c r="K92">
        <v>0.8</v>
      </c>
    </row>
    <row r="93" spans="1:11">
      <c r="A93">
        <v>103</v>
      </c>
      <c r="B93" t="s">
        <v>1786</v>
      </c>
      <c r="C93" s="3">
        <v>152139655</v>
      </c>
      <c r="D93" s="3">
        <v>15374051</v>
      </c>
      <c r="E93" s="3">
        <v>5105051</v>
      </c>
      <c r="F93" s="3">
        <v>810434</v>
      </c>
      <c r="G93" s="3">
        <v>130850119</v>
      </c>
      <c r="H93">
        <v>86</v>
      </c>
      <c r="I93">
        <v>3.4</v>
      </c>
      <c r="J93">
        <v>10.1</v>
      </c>
      <c r="K93">
        <v>0.5</v>
      </c>
    </row>
    <row r="94" spans="1:11">
      <c r="A94">
        <v>104</v>
      </c>
      <c r="B94" t="s">
        <v>1787</v>
      </c>
      <c r="C94" s="3">
        <v>67756523</v>
      </c>
      <c r="D94" s="3">
        <v>35043849</v>
      </c>
      <c r="E94" s="3">
        <v>3862451</v>
      </c>
      <c r="F94" s="3">
        <v>442326</v>
      </c>
      <c r="G94" s="3">
        <v>28407897</v>
      </c>
      <c r="H94">
        <v>41.9</v>
      </c>
      <c r="I94">
        <v>5.7</v>
      </c>
      <c r="J94">
        <v>51.7</v>
      </c>
      <c r="K94">
        <v>0.7</v>
      </c>
    </row>
    <row r="95" spans="1:11">
      <c r="A95">
        <v>106</v>
      </c>
      <c r="B95" t="s">
        <v>1788</v>
      </c>
      <c r="C95" s="3">
        <v>18873805</v>
      </c>
      <c r="D95" s="3">
        <v>875830</v>
      </c>
      <c r="E95" s="3">
        <v>452530</v>
      </c>
      <c r="F95" s="3">
        <v>168662</v>
      </c>
      <c r="G95" s="3">
        <v>17376783</v>
      </c>
      <c r="H95">
        <v>92.1</v>
      </c>
      <c r="I95">
        <v>2.4</v>
      </c>
      <c r="J95">
        <v>4.5999999999999996</v>
      </c>
      <c r="K95">
        <v>0.9</v>
      </c>
    </row>
    <row r="96" spans="1:11">
      <c r="A96">
        <v>107</v>
      </c>
      <c r="B96" t="s">
        <v>1789</v>
      </c>
      <c r="C96" s="3">
        <v>16231749</v>
      </c>
      <c r="D96" s="3">
        <v>915729</v>
      </c>
      <c r="E96" s="3">
        <v>242291</v>
      </c>
      <c r="F96" s="3">
        <v>0</v>
      </c>
      <c r="G96" s="3">
        <v>15073729</v>
      </c>
      <c r="H96">
        <v>92.9</v>
      </c>
      <c r="I96">
        <v>1.5</v>
      </c>
      <c r="J96">
        <v>5.6</v>
      </c>
      <c r="K96">
        <v>0</v>
      </c>
    </row>
    <row r="97" spans="1:11">
      <c r="A97">
        <v>108</v>
      </c>
      <c r="B97" t="s">
        <v>1790</v>
      </c>
      <c r="C97" s="3">
        <v>23214184</v>
      </c>
      <c r="D97" s="3">
        <v>4390796</v>
      </c>
      <c r="E97" s="3">
        <v>275566</v>
      </c>
      <c r="F97" s="3">
        <v>0</v>
      </c>
      <c r="G97" s="3">
        <v>18547822</v>
      </c>
      <c r="H97">
        <v>79.900000000000006</v>
      </c>
      <c r="I97">
        <v>1.2</v>
      </c>
      <c r="J97">
        <v>18.899999999999999</v>
      </c>
      <c r="K97">
        <v>0</v>
      </c>
    </row>
    <row r="98" spans="1:11">
      <c r="A98">
        <v>109</v>
      </c>
      <c r="B98" t="s">
        <v>1791</v>
      </c>
      <c r="C98" s="3">
        <v>31916883</v>
      </c>
      <c r="D98" s="3">
        <v>15047570</v>
      </c>
      <c r="E98" s="3">
        <v>1468269</v>
      </c>
      <c r="F98" s="3">
        <v>1665338</v>
      </c>
      <c r="G98" s="3">
        <v>13735706</v>
      </c>
      <c r="H98">
        <v>43</v>
      </c>
      <c r="I98">
        <v>4.5999999999999996</v>
      </c>
      <c r="J98">
        <v>47.1</v>
      </c>
      <c r="K98">
        <v>5.2</v>
      </c>
    </row>
    <row r="99" spans="1:11">
      <c r="A99">
        <v>110</v>
      </c>
      <c r="B99" t="s">
        <v>1792</v>
      </c>
      <c r="C99" s="3">
        <v>32301840</v>
      </c>
      <c r="D99" s="3">
        <v>10317502</v>
      </c>
      <c r="E99" s="3">
        <v>851147</v>
      </c>
      <c r="F99" s="3">
        <v>248736</v>
      </c>
      <c r="G99" s="3">
        <v>20884455</v>
      </c>
      <c r="H99">
        <v>64.7</v>
      </c>
      <c r="I99">
        <v>2.6</v>
      </c>
      <c r="J99">
        <v>31.9</v>
      </c>
      <c r="K99">
        <v>0.8</v>
      </c>
    </row>
    <row r="100" spans="1:11">
      <c r="A100">
        <v>111</v>
      </c>
      <c r="B100" t="s">
        <v>1793</v>
      </c>
      <c r="C100" s="3">
        <v>22241209</v>
      </c>
      <c r="D100" s="3">
        <v>9674391</v>
      </c>
      <c r="E100" s="3">
        <v>543655</v>
      </c>
      <c r="F100" s="3">
        <v>40146</v>
      </c>
      <c r="G100" s="3">
        <v>11983017</v>
      </c>
      <c r="H100">
        <v>53.9</v>
      </c>
      <c r="I100">
        <v>2.4</v>
      </c>
      <c r="J100">
        <v>43.5</v>
      </c>
      <c r="K100">
        <v>0.2</v>
      </c>
    </row>
    <row r="101" spans="1:11">
      <c r="A101">
        <v>112</v>
      </c>
      <c r="B101" t="s">
        <v>1794</v>
      </c>
      <c r="C101" s="3">
        <v>8452171</v>
      </c>
      <c r="D101" s="3">
        <v>3166787</v>
      </c>
      <c r="E101" s="3">
        <v>257017</v>
      </c>
      <c r="F101" s="3">
        <v>63335</v>
      </c>
      <c r="G101" s="3">
        <v>4965032</v>
      </c>
      <c r="H101">
        <v>58.7</v>
      </c>
      <c r="I101">
        <v>3</v>
      </c>
      <c r="J101">
        <v>37.5</v>
      </c>
      <c r="K101">
        <v>0.7</v>
      </c>
    </row>
    <row r="102" spans="1:11">
      <c r="A102">
        <v>113</v>
      </c>
      <c r="B102" t="s">
        <v>1795</v>
      </c>
      <c r="C102" s="3">
        <v>17253817</v>
      </c>
      <c r="D102" s="3">
        <v>4074876</v>
      </c>
      <c r="E102" s="3">
        <v>368503</v>
      </c>
      <c r="F102" s="3">
        <v>51996</v>
      </c>
      <c r="G102" s="3">
        <v>12758442</v>
      </c>
      <c r="H102">
        <v>73.900000000000006</v>
      </c>
      <c r="I102">
        <v>2.1</v>
      </c>
      <c r="J102">
        <v>23.6</v>
      </c>
      <c r="K102">
        <v>0.3</v>
      </c>
    </row>
    <row r="103" spans="1:11">
      <c r="A103">
        <v>114</v>
      </c>
      <c r="B103" t="s">
        <v>1796</v>
      </c>
      <c r="C103" s="3">
        <v>10501629</v>
      </c>
      <c r="D103" s="3">
        <v>3196489</v>
      </c>
      <c r="E103" s="3">
        <v>266448</v>
      </c>
      <c r="F103" s="3">
        <v>96875</v>
      </c>
      <c r="G103" s="3">
        <v>6941817</v>
      </c>
      <c r="H103">
        <v>66.099999999999994</v>
      </c>
      <c r="I103">
        <v>2.5</v>
      </c>
      <c r="J103">
        <v>30.4</v>
      </c>
      <c r="K103">
        <v>0.9</v>
      </c>
    </row>
    <row r="104" spans="1:11">
      <c r="A104">
        <v>116</v>
      </c>
      <c r="B104" t="s">
        <v>1797</v>
      </c>
      <c r="C104" s="3">
        <v>16756089</v>
      </c>
      <c r="D104" s="3">
        <v>8242629</v>
      </c>
      <c r="E104" s="3">
        <v>946652</v>
      </c>
      <c r="F104" s="3">
        <v>260760</v>
      </c>
      <c r="G104" s="3">
        <v>7306048</v>
      </c>
      <c r="H104">
        <v>43.6</v>
      </c>
      <c r="I104">
        <v>5.6</v>
      </c>
      <c r="J104">
        <v>49.2</v>
      </c>
      <c r="K104">
        <v>1.6</v>
      </c>
    </row>
    <row r="105" spans="1:11">
      <c r="A105">
        <v>117</v>
      </c>
      <c r="B105" t="s">
        <v>1798</v>
      </c>
      <c r="C105" s="3">
        <v>18142693</v>
      </c>
      <c r="D105" s="3">
        <v>456149</v>
      </c>
      <c r="E105" s="3">
        <v>306114</v>
      </c>
      <c r="F105" s="3">
        <v>141030</v>
      </c>
      <c r="G105" s="3">
        <v>17239400</v>
      </c>
      <c r="H105">
        <v>95</v>
      </c>
      <c r="I105">
        <v>1.7</v>
      </c>
      <c r="J105">
        <v>2.5</v>
      </c>
      <c r="K105">
        <v>0.8</v>
      </c>
    </row>
    <row r="106" spans="1:11">
      <c r="A106">
        <v>118</v>
      </c>
      <c r="B106" t="s">
        <v>1799</v>
      </c>
      <c r="C106" s="3">
        <v>70681192</v>
      </c>
      <c r="D106" s="3">
        <v>2346419</v>
      </c>
      <c r="E106" s="3">
        <v>881137</v>
      </c>
      <c r="F106" s="3">
        <v>249652</v>
      </c>
      <c r="G106" s="3">
        <v>67203984</v>
      </c>
      <c r="H106">
        <v>95.1</v>
      </c>
      <c r="I106">
        <v>1.2</v>
      </c>
      <c r="J106">
        <v>3.3</v>
      </c>
      <c r="K106">
        <v>0.4</v>
      </c>
    </row>
    <row r="107" spans="1:11">
      <c r="A107">
        <v>119</v>
      </c>
      <c r="B107" t="s">
        <v>1800</v>
      </c>
      <c r="C107" s="3">
        <v>28786609</v>
      </c>
      <c r="D107" s="3">
        <v>2857661</v>
      </c>
      <c r="E107" s="3">
        <v>397135</v>
      </c>
      <c r="F107" s="3">
        <v>7678</v>
      </c>
      <c r="G107" s="3">
        <v>25524135</v>
      </c>
      <c r="H107">
        <v>88.7</v>
      </c>
      <c r="I107">
        <v>1.4</v>
      </c>
      <c r="J107">
        <v>9.9</v>
      </c>
      <c r="K107">
        <v>0</v>
      </c>
    </row>
    <row r="108" spans="1:11">
      <c r="A108">
        <v>121</v>
      </c>
      <c r="B108" t="s">
        <v>1801</v>
      </c>
      <c r="C108" s="3">
        <v>9649653</v>
      </c>
      <c r="D108" s="3">
        <v>3031122</v>
      </c>
      <c r="E108" s="3">
        <v>116704</v>
      </c>
      <c r="F108" s="3">
        <v>880</v>
      </c>
      <c r="G108" s="3">
        <v>6500947</v>
      </c>
      <c r="H108">
        <v>67.400000000000006</v>
      </c>
      <c r="I108">
        <v>1.2</v>
      </c>
      <c r="J108">
        <v>31.4</v>
      </c>
      <c r="K108">
        <v>0</v>
      </c>
    </row>
    <row r="109" spans="1:11">
      <c r="A109">
        <v>122</v>
      </c>
      <c r="B109" t="s">
        <v>1802</v>
      </c>
      <c r="C109" s="3">
        <v>5185321</v>
      </c>
      <c r="D109" s="3">
        <v>99852</v>
      </c>
      <c r="E109" s="3">
        <v>161082</v>
      </c>
      <c r="F109" s="3">
        <v>11049</v>
      </c>
      <c r="G109" s="3">
        <v>4913338</v>
      </c>
      <c r="H109">
        <v>94.8</v>
      </c>
      <c r="I109">
        <v>3.1</v>
      </c>
      <c r="J109">
        <v>1.9</v>
      </c>
      <c r="K109">
        <v>0.2</v>
      </c>
    </row>
    <row r="110" spans="1:11">
      <c r="A110">
        <v>123</v>
      </c>
      <c r="B110" t="s">
        <v>1803</v>
      </c>
      <c r="C110" s="3">
        <v>2295431</v>
      </c>
      <c r="D110" s="3">
        <v>1025910</v>
      </c>
      <c r="E110" s="3">
        <v>75052</v>
      </c>
      <c r="F110" s="3">
        <v>22030</v>
      </c>
      <c r="G110" s="3">
        <v>1172439</v>
      </c>
      <c r="H110">
        <v>51.1</v>
      </c>
      <c r="I110">
        <v>3.3</v>
      </c>
      <c r="J110">
        <v>44.7</v>
      </c>
      <c r="K110">
        <v>1</v>
      </c>
    </row>
    <row r="111" spans="1:11">
      <c r="A111">
        <v>124</v>
      </c>
      <c r="B111" t="s">
        <v>1804</v>
      </c>
      <c r="C111" s="3">
        <v>28194770</v>
      </c>
      <c r="D111" s="3">
        <v>9156312</v>
      </c>
      <c r="E111" s="3">
        <v>741083</v>
      </c>
      <c r="F111" s="3">
        <v>2541753</v>
      </c>
      <c r="G111" s="3">
        <v>15755622</v>
      </c>
      <c r="H111">
        <v>55.9</v>
      </c>
      <c r="I111">
        <v>2.6</v>
      </c>
      <c r="J111">
        <v>32.5</v>
      </c>
      <c r="K111">
        <v>9</v>
      </c>
    </row>
    <row r="112" spans="1:11">
      <c r="A112">
        <v>125</v>
      </c>
      <c r="B112" t="s">
        <v>1805</v>
      </c>
      <c r="C112" s="3">
        <v>3920014</v>
      </c>
      <c r="D112" s="3">
        <v>74115</v>
      </c>
      <c r="E112" s="3">
        <v>174920</v>
      </c>
      <c r="F112" s="3">
        <v>2509</v>
      </c>
      <c r="G112" s="3">
        <v>3668470</v>
      </c>
      <c r="H112">
        <v>93.6</v>
      </c>
      <c r="I112">
        <v>4.5</v>
      </c>
      <c r="J112">
        <v>1.9</v>
      </c>
      <c r="K112">
        <v>0.1</v>
      </c>
    </row>
    <row r="113" spans="1:11">
      <c r="A113">
        <v>126</v>
      </c>
      <c r="B113" t="s">
        <v>1806</v>
      </c>
      <c r="C113" s="3">
        <v>62237776</v>
      </c>
      <c r="D113" s="3">
        <v>6048078</v>
      </c>
      <c r="E113" s="3">
        <v>1647693</v>
      </c>
      <c r="F113" s="3">
        <v>6141</v>
      </c>
      <c r="G113" s="3">
        <v>54535864</v>
      </c>
      <c r="H113">
        <v>87.6</v>
      </c>
      <c r="I113">
        <v>2.6</v>
      </c>
      <c r="J113">
        <v>9.6999999999999993</v>
      </c>
      <c r="K113">
        <v>0</v>
      </c>
    </row>
    <row r="114" spans="1:11">
      <c r="A114">
        <v>127</v>
      </c>
      <c r="B114" t="s">
        <v>1807</v>
      </c>
      <c r="C114" s="3">
        <v>7693513</v>
      </c>
      <c r="D114" s="3">
        <v>284982</v>
      </c>
      <c r="E114" s="3">
        <v>164383</v>
      </c>
      <c r="F114" s="3">
        <v>13384</v>
      </c>
      <c r="G114" s="3">
        <v>7230764</v>
      </c>
      <c r="H114">
        <v>94</v>
      </c>
      <c r="I114">
        <v>2.1</v>
      </c>
      <c r="J114">
        <v>3.7</v>
      </c>
      <c r="K114">
        <v>0.2</v>
      </c>
    </row>
    <row r="115" spans="1:11">
      <c r="A115">
        <v>128</v>
      </c>
      <c r="B115" t="s">
        <v>1808</v>
      </c>
      <c r="C115" s="3">
        <v>57779063</v>
      </c>
      <c r="D115" s="3">
        <v>4419745</v>
      </c>
      <c r="E115" s="3">
        <v>1124263</v>
      </c>
      <c r="F115" s="3">
        <v>149891</v>
      </c>
      <c r="G115" s="3">
        <v>52085164</v>
      </c>
      <c r="H115">
        <v>90.1</v>
      </c>
      <c r="I115">
        <v>1.9</v>
      </c>
      <c r="J115">
        <v>7.6</v>
      </c>
      <c r="K115">
        <v>0.3</v>
      </c>
    </row>
    <row r="116" spans="1:11">
      <c r="A116">
        <v>129</v>
      </c>
      <c r="B116" t="s">
        <v>1809</v>
      </c>
      <c r="C116" s="3">
        <v>17921819</v>
      </c>
      <c r="D116" s="3">
        <v>5443391</v>
      </c>
      <c r="E116" s="3">
        <v>412107</v>
      </c>
      <c r="F116" s="3">
        <v>72425</v>
      </c>
      <c r="G116" s="3">
        <v>11993896</v>
      </c>
      <c r="H116">
        <v>66.900000000000006</v>
      </c>
      <c r="I116">
        <v>2.2999999999999998</v>
      </c>
      <c r="J116">
        <v>30.4</v>
      </c>
      <c r="K116">
        <v>0.4</v>
      </c>
    </row>
    <row r="117" spans="1:11">
      <c r="A117">
        <v>131</v>
      </c>
      <c r="B117" t="s">
        <v>1810</v>
      </c>
      <c r="C117" s="3">
        <v>75875331</v>
      </c>
      <c r="D117" s="3">
        <v>18110061</v>
      </c>
      <c r="E117" s="3">
        <v>2211719</v>
      </c>
      <c r="F117" s="3">
        <v>3043717</v>
      </c>
      <c r="G117" s="3">
        <v>52509834</v>
      </c>
      <c r="H117">
        <v>69.2</v>
      </c>
      <c r="I117">
        <v>2.9</v>
      </c>
      <c r="J117">
        <v>23.9</v>
      </c>
      <c r="K117">
        <v>4</v>
      </c>
    </row>
    <row r="118" spans="1:11">
      <c r="A118">
        <v>132</v>
      </c>
      <c r="B118" t="s">
        <v>1811</v>
      </c>
      <c r="C118" s="3">
        <v>56912796</v>
      </c>
      <c r="D118" s="3">
        <v>11545112</v>
      </c>
      <c r="E118" s="3">
        <v>1226639</v>
      </c>
      <c r="F118" s="3">
        <v>98702</v>
      </c>
      <c r="G118" s="3">
        <v>44042343</v>
      </c>
      <c r="H118">
        <v>77.400000000000006</v>
      </c>
      <c r="I118">
        <v>2.2000000000000002</v>
      </c>
      <c r="J118">
        <v>20.3</v>
      </c>
      <c r="K118">
        <v>0.2</v>
      </c>
    </row>
    <row r="119" spans="1:11">
      <c r="A119">
        <v>133</v>
      </c>
      <c r="B119" t="s">
        <v>1812</v>
      </c>
      <c r="C119" s="3">
        <v>6332981</v>
      </c>
      <c r="D119" s="3">
        <v>2973660</v>
      </c>
      <c r="E119" s="3">
        <v>205623</v>
      </c>
      <c r="F119" s="3">
        <v>11229</v>
      </c>
      <c r="G119" s="3">
        <v>3142469</v>
      </c>
      <c r="H119">
        <v>49.6</v>
      </c>
      <c r="I119">
        <v>3.2</v>
      </c>
      <c r="J119">
        <v>47</v>
      </c>
      <c r="K119">
        <v>0.2</v>
      </c>
    </row>
    <row r="120" spans="1:11">
      <c r="A120">
        <v>134</v>
      </c>
      <c r="B120" t="s">
        <v>1813</v>
      </c>
      <c r="C120" s="3">
        <v>22996797</v>
      </c>
      <c r="D120" s="3">
        <v>9849185</v>
      </c>
      <c r="E120" s="3">
        <v>813071</v>
      </c>
      <c r="F120" s="3">
        <v>234357</v>
      </c>
      <c r="G120" s="3">
        <v>12100184</v>
      </c>
      <c r="H120">
        <v>52.6</v>
      </c>
      <c r="I120">
        <v>3.5</v>
      </c>
      <c r="J120">
        <v>42.8</v>
      </c>
      <c r="K120">
        <v>1</v>
      </c>
    </row>
    <row r="121" spans="1:11">
      <c r="A121">
        <v>135</v>
      </c>
      <c r="B121" t="s">
        <v>1814</v>
      </c>
      <c r="C121" s="3">
        <v>224757708</v>
      </c>
      <c r="D121" s="3">
        <v>17661306</v>
      </c>
      <c r="E121" s="3">
        <v>8539496</v>
      </c>
      <c r="F121" s="3">
        <v>1821757</v>
      </c>
      <c r="G121" s="3">
        <v>196735149</v>
      </c>
      <c r="H121">
        <v>87.5</v>
      </c>
      <c r="I121">
        <v>3.8</v>
      </c>
      <c r="J121">
        <v>7.9</v>
      </c>
      <c r="K121">
        <v>0.8</v>
      </c>
    </row>
    <row r="122" spans="1:11">
      <c r="A122">
        <v>136</v>
      </c>
      <c r="B122" t="s">
        <v>1815</v>
      </c>
      <c r="C122" s="3">
        <v>6923878</v>
      </c>
      <c r="D122" s="3">
        <v>2946495</v>
      </c>
      <c r="E122" s="3">
        <v>229852</v>
      </c>
      <c r="F122" s="3">
        <v>166048</v>
      </c>
      <c r="G122" s="3">
        <v>3581483</v>
      </c>
      <c r="H122">
        <v>51.7</v>
      </c>
      <c r="I122">
        <v>3.3</v>
      </c>
      <c r="J122">
        <v>42.6</v>
      </c>
      <c r="K122">
        <v>2.4</v>
      </c>
    </row>
    <row r="123" spans="1:11">
      <c r="A123">
        <v>137</v>
      </c>
      <c r="B123" t="s">
        <v>1816</v>
      </c>
      <c r="C123" s="3">
        <v>29787792</v>
      </c>
      <c r="D123" s="3">
        <v>2656747</v>
      </c>
      <c r="E123" s="3">
        <v>773747</v>
      </c>
      <c r="F123" s="3">
        <v>84359</v>
      </c>
      <c r="G123" s="3">
        <v>26272939</v>
      </c>
      <c r="H123">
        <v>88.2</v>
      </c>
      <c r="I123">
        <v>2.6</v>
      </c>
      <c r="J123">
        <v>8.9</v>
      </c>
      <c r="K123">
        <v>0.3</v>
      </c>
    </row>
    <row r="124" spans="1:11">
      <c r="A124">
        <v>138</v>
      </c>
      <c r="B124" t="s">
        <v>1817</v>
      </c>
      <c r="C124" s="3">
        <v>86123543</v>
      </c>
      <c r="D124" s="3">
        <v>19088127</v>
      </c>
      <c r="E124" s="3">
        <v>2372497</v>
      </c>
      <c r="F124" s="3">
        <v>113472</v>
      </c>
      <c r="G124" s="3">
        <v>64549447</v>
      </c>
      <c r="H124">
        <v>74.900000000000006</v>
      </c>
      <c r="I124">
        <v>2.8</v>
      </c>
      <c r="J124">
        <v>22.2</v>
      </c>
      <c r="K124">
        <v>0.1</v>
      </c>
    </row>
    <row r="125" spans="1:11">
      <c r="A125">
        <v>139</v>
      </c>
      <c r="B125" t="s">
        <v>1818</v>
      </c>
      <c r="C125" s="3">
        <v>26949858</v>
      </c>
      <c r="D125" s="3">
        <v>5272884</v>
      </c>
      <c r="E125" s="3">
        <v>522120</v>
      </c>
      <c r="F125" s="3">
        <v>882008</v>
      </c>
      <c r="G125" s="3">
        <v>20272846</v>
      </c>
      <c r="H125">
        <v>75.2</v>
      </c>
      <c r="I125">
        <v>1.9</v>
      </c>
      <c r="J125">
        <v>19.600000000000001</v>
      </c>
      <c r="K125">
        <v>3.3</v>
      </c>
    </row>
    <row r="126" spans="1:11">
      <c r="A126">
        <v>140</v>
      </c>
      <c r="B126" t="s">
        <v>1819</v>
      </c>
      <c r="C126" s="3">
        <v>14597594</v>
      </c>
      <c r="D126" s="3">
        <v>5445299</v>
      </c>
      <c r="E126" s="3">
        <v>483423</v>
      </c>
      <c r="F126" s="3">
        <v>12719</v>
      </c>
      <c r="G126" s="3">
        <v>8656153</v>
      </c>
      <c r="H126">
        <v>59.3</v>
      </c>
      <c r="I126">
        <v>3.3</v>
      </c>
      <c r="J126">
        <v>37.299999999999997</v>
      </c>
      <c r="K126">
        <v>0.1</v>
      </c>
    </row>
    <row r="127" spans="1:11">
      <c r="A127">
        <v>141</v>
      </c>
      <c r="B127" t="s">
        <v>1820</v>
      </c>
      <c r="C127" s="3">
        <v>15684849</v>
      </c>
      <c r="D127" s="3">
        <v>7866565</v>
      </c>
      <c r="E127" s="3">
        <v>560519</v>
      </c>
      <c r="F127" s="3">
        <v>93965</v>
      </c>
      <c r="G127" s="3">
        <v>7163800</v>
      </c>
      <c r="H127">
        <v>45.7</v>
      </c>
      <c r="I127">
        <v>3.6</v>
      </c>
      <c r="J127">
        <v>50.2</v>
      </c>
      <c r="K127">
        <v>0.6</v>
      </c>
    </row>
    <row r="128" spans="1:11">
      <c r="A128">
        <v>142</v>
      </c>
      <c r="B128" t="s">
        <v>1821</v>
      </c>
      <c r="C128" s="3">
        <v>32336986</v>
      </c>
      <c r="D128" s="3">
        <v>10066736</v>
      </c>
      <c r="E128" s="3">
        <v>808759</v>
      </c>
      <c r="F128" s="3">
        <v>65690</v>
      </c>
      <c r="G128" s="3">
        <v>21395801</v>
      </c>
      <c r="H128">
        <v>66.2</v>
      </c>
      <c r="I128">
        <v>2.5</v>
      </c>
      <c r="J128">
        <v>31.1</v>
      </c>
      <c r="K128">
        <v>0.2</v>
      </c>
    </row>
    <row r="129" spans="1:11">
      <c r="A129">
        <v>143</v>
      </c>
      <c r="B129" t="s">
        <v>1822</v>
      </c>
      <c r="C129" s="3">
        <v>57899660</v>
      </c>
      <c r="D129" s="3">
        <v>23233850</v>
      </c>
      <c r="E129" s="3">
        <v>2083282</v>
      </c>
      <c r="F129" s="3">
        <v>148891</v>
      </c>
      <c r="G129" s="3">
        <v>32433637</v>
      </c>
      <c r="H129">
        <v>56</v>
      </c>
      <c r="I129">
        <v>3.6</v>
      </c>
      <c r="J129">
        <v>40.1</v>
      </c>
      <c r="K129">
        <v>0.3</v>
      </c>
    </row>
    <row r="130" spans="1:11">
      <c r="A130">
        <v>144</v>
      </c>
      <c r="B130" t="s">
        <v>1823</v>
      </c>
      <c r="C130" s="3">
        <v>78741455</v>
      </c>
      <c r="D130" s="3">
        <v>3836295</v>
      </c>
      <c r="E130" s="3">
        <v>1889167</v>
      </c>
      <c r="F130" s="3">
        <v>1802876</v>
      </c>
      <c r="G130" s="3">
        <v>71213117</v>
      </c>
      <c r="H130">
        <v>90.4</v>
      </c>
      <c r="I130">
        <v>2.4</v>
      </c>
      <c r="J130">
        <v>4.9000000000000004</v>
      </c>
      <c r="K130">
        <v>2.2999999999999998</v>
      </c>
    </row>
    <row r="131" spans="1:11">
      <c r="A131">
        <v>145</v>
      </c>
      <c r="B131" t="s">
        <v>1824</v>
      </c>
      <c r="C131" s="3">
        <v>1384019</v>
      </c>
      <c r="D131" s="3">
        <v>246416</v>
      </c>
      <c r="E131" s="3">
        <v>48360</v>
      </c>
      <c r="F131" s="3">
        <v>9261</v>
      </c>
      <c r="G131" s="3">
        <v>1079982</v>
      </c>
      <c r="H131">
        <v>78</v>
      </c>
      <c r="I131">
        <v>3.5</v>
      </c>
      <c r="J131">
        <v>17.8</v>
      </c>
      <c r="K131">
        <v>0.7</v>
      </c>
    </row>
    <row r="132" spans="1:11">
      <c r="A132">
        <v>146</v>
      </c>
      <c r="B132" t="s">
        <v>1825</v>
      </c>
      <c r="C132" s="3">
        <v>46063332</v>
      </c>
      <c r="D132" s="3">
        <v>17306287</v>
      </c>
      <c r="E132" s="3">
        <v>1563170</v>
      </c>
      <c r="F132" s="3">
        <v>579931</v>
      </c>
      <c r="G132" s="3">
        <v>26613944</v>
      </c>
      <c r="H132">
        <v>57.8</v>
      </c>
      <c r="I132">
        <v>3.4</v>
      </c>
      <c r="J132">
        <v>37.6</v>
      </c>
      <c r="K132">
        <v>1.3</v>
      </c>
    </row>
    <row r="133" spans="1:11">
      <c r="A133">
        <v>147</v>
      </c>
      <c r="B133" t="s">
        <v>1826</v>
      </c>
      <c r="C133" s="3">
        <v>5846786</v>
      </c>
      <c r="D133" s="3">
        <v>2574231</v>
      </c>
      <c r="E133" s="3">
        <v>138690</v>
      </c>
      <c r="F133" s="3">
        <v>4600</v>
      </c>
      <c r="G133" s="3">
        <v>3129265</v>
      </c>
      <c r="H133">
        <v>53.5</v>
      </c>
      <c r="I133">
        <v>2.4</v>
      </c>
      <c r="J133">
        <v>44</v>
      </c>
      <c r="K133">
        <v>0.1</v>
      </c>
    </row>
    <row r="134" spans="1:11">
      <c r="A134">
        <v>148</v>
      </c>
      <c r="B134" t="s">
        <v>1827</v>
      </c>
      <c r="C134" s="3">
        <v>81539660</v>
      </c>
      <c r="D134" s="3">
        <v>21266749</v>
      </c>
      <c r="E134" s="3">
        <v>1708962</v>
      </c>
      <c r="F134" s="3">
        <v>1125789</v>
      </c>
      <c r="G134" s="3">
        <v>57438160</v>
      </c>
      <c r="H134">
        <v>70.400000000000006</v>
      </c>
      <c r="I134">
        <v>2.1</v>
      </c>
      <c r="J134">
        <v>26.1</v>
      </c>
      <c r="K134">
        <v>1.4</v>
      </c>
    </row>
    <row r="135" spans="1:11">
      <c r="A135">
        <v>151</v>
      </c>
      <c r="B135" t="s">
        <v>1611</v>
      </c>
      <c r="C135" s="3">
        <v>219985716</v>
      </c>
      <c r="D135" s="3">
        <v>117185859</v>
      </c>
      <c r="E135" s="3">
        <v>15964828</v>
      </c>
      <c r="F135" s="3">
        <v>1946276</v>
      </c>
      <c r="G135" s="3">
        <v>84888753</v>
      </c>
      <c r="H135">
        <v>38.6</v>
      </c>
      <c r="I135">
        <v>7.3</v>
      </c>
      <c r="J135">
        <v>53.3</v>
      </c>
      <c r="K135">
        <v>0.9</v>
      </c>
    </row>
    <row r="136" spans="1:11">
      <c r="A136">
        <v>152</v>
      </c>
      <c r="B136" t="s">
        <v>1612</v>
      </c>
      <c r="C136" s="3">
        <v>39046284</v>
      </c>
      <c r="D136" s="3">
        <v>1766283</v>
      </c>
      <c r="E136" s="3">
        <v>931908</v>
      </c>
      <c r="F136" s="3">
        <v>81817</v>
      </c>
      <c r="G136" s="3">
        <v>36266276</v>
      </c>
      <c r="H136">
        <v>92.9</v>
      </c>
      <c r="I136">
        <v>2.4</v>
      </c>
      <c r="J136">
        <v>4.5</v>
      </c>
      <c r="K136">
        <v>0.2</v>
      </c>
    </row>
    <row r="137" spans="1:11">
      <c r="A137">
        <v>153</v>
      </c>
      <c r="B137" t="s">
        <v>1613</v>
      </c>
      <c r="C137" s="3">
        <v>32372595</v>
      </c>
      <c r="D137" s="3">
        <v>10772977</v>
      </c>
      <c r="E137" s="3">
        <v>833473</v>
      </c>
      <c r="F137" s="3">
        <v>238606</v>
      </c>
      <c r="G137" s="3">
        <v>20527539</v>
      </c>
      <c r="H137">
        <v>63.4</v>
      </c>
      <c r="I137">
        <v>2.6</v>
      </c>
      <c r="J137">
        <v>33.299999999999997</v>
      </c>
      <c r="K137">
        <v>0.7</v>
      </c>
    </row>
    <row r="138" spans="1:11">
      <c r="A138">
        <v>154</v>
      </c>
      <c r="B138" t="s">
        <v>1614</v>
      </c>
      <c r="C138" s="3">
        <v>12079972</v>
      </c>
      <c r="D138" s="3">
        <v>433894</v>
      </c>
      <c r="E138" s="3">
        <v>218590</v>
      </c>
      <c r="F138" s="3">
        <v>0</v>
      </c>
      <c r="G138" s="3">
        <v>11427488</v>
      </c>
      <c r="H138">
        <v>94.6</v>
      </c>
      <c r="I138">
        <v>1.8</v>
      </c>
      <c r="J138">
        <v>3.6</v>
      </c>
      <c r="K138">
        <v>0</v>
      </c>
    </row>
    <row r="139" spans="1:11">
      <c r="A139">
        <v>155</v>
      </c>
      <c r="B139" t="s">
        <v>1615</v>
      </c>
      <c r="C139" s="3">
        <v>118857043</v>
      </c>
      <c r="D139" s="3">
        <v>13507317</v>
      </c>
      <c r="E139" s="3">
        <v>2960269</v>
      </c>
      <c r="F139" s="3">
        <v>267963</v>
      </c>
      <c r="G139" s="3">
        <v>102121494</v>
      </c>
      <c r="H139">
        <v>85.9</v>
      </c>
      <c r="I139">
        <v>2.5</v>
      </c>
      <c r="J139">
        <v>11.4</v>
      </c>
      <c r="K139">
        <v>0.2</v>
      </c>
    </row>
    <row r="140" spans="1:11">
      <c r="A140">
        <v>156</v>
      </c>
      <c r="B140" t="s">
        <v>1616</v>
      </c>
      <c r="C140" s="3">
        <v>81012315</v>
      </c>
      <c r="D140" s="3">
        <v>41314346</v>
      </c>
      <c r="E140" s="3">
        <v>2939224</v>
      </c>
      <c r="F140" s="3">
        <v>257388</v>
      </c>
      <c r="G140" s="3">
        <v>36501357</v>
      </c>
      <c r="H140">
        <v>45.1</v>
      </c>
      <c r="I140">
        <v>3.6</v>
      </c>
      <c r="J140">
        <v>51</v>
      </c>
      <c r="K140">
        <v>0.3</v>
      </c>
    </row>
    <row r="141" spans="1:11">
      <c r="A141">
        <v>157</v>
      </c>
      <c r="B141" t="s">
        <v>1617</v>
      </c>
      <c r="C141" s="3">
        <v>41449538</v>
      </c>
      <c r="D141" s="3">
        <v>1440937</v>
      </c>
      <c r="E141" s="3">
        <v>365687</v>
      </c>
      <c r="F141" s="3">
        <v>115405</v>
      </c>
      <c r="G141" s="3">
        <v>39527509</v>
      </c>
      <c r="H141">
        <v>95.4</v>
      </c>
      <c r="I141">
        <v>0.9</v>
      </c>
      <c r="J141">
        <v>3.5</v>
      </c>
      <c r="K141">
        <v>0.3</v>
      </c>
    </row>
    <row r="142" spans="1:11">
      <c r="A142">
        <v>158</v>
      </c>
      <c r="B142" t="s">
        <v>1618</v>
      </c>
      <c r="C142" s="3">
        <v>85969363</v>
      </c>
      <c r="D142" s="3">
        <v>2279894</v>
      </c>
      <c r="E142" s="3">
        <v>1190205</v>
      </c>
      <c r="F142" s="3">
        <v>308046</v>
      </c>
      <c r="G142" s="3">
        <v>82191218</v>
      </c>
      <c r="H142">
        <v>95.6</v>
      </c>
      <c r="I142">
        <v>1.4</v>
      </c>
      <c r="J142">
        <v>2.7</v>
      </c>
      <c r="K142">
        <v>0.4</v>
      </c>
    </row>
    <row r="143" spans="1:11">
      <c r="A143">
        <v>159</v>
      </c>
      <c r="B143" t="s">
        <v>1619</v>
      </c>
      <c r="C143" s="3">
        <v>45405527</v>
      </c>
      <c r="D143" s="3">
        <v>6655260</v>
      </c>
      <c r="E143" s="3">
        <v>1112601</v>
      </c>
      <c r="F143" s="3">
        <v>69041</v>
      </c>
      <c r="G143" s="3">
        <v>37568625</v>
      </c>
      <c r="H143">
        <v>82.7</v>
      </c>
      <c r="I143">
        <v>2.5</v>
      </c>
      <c r="J143">
        <v>14.7</v>
      </c>
      <c r="K143">
        <v>0.2</v>
      </c>
    </row>
    <row r="144" spans="1:11">
      <c r="A144">
        <v>160</v>
      </c>
      <c r="B144" t="s">
        <v>1620</v>
      </c>
      <c r="C144" s="3">
        <v>7363284</v>
      </c>
      <c r="D144" s="3">
        <v>2357191</v>
      </c>
      <c r="E144" s="3">
        <v>204497</v>
      </c>
      <c r="F144" s="3">
        <v>8095</v>
      </c>
      <c r="G144" s="3">
        <v>4793501</v>
      </c>
      <c r="H144">
        <v>65.099999999999994</v>
      </c>
      <c r="I144">
        <v>2.8</v>
      </c>
      <c r="J144">
        <v>32</v>
      </c>
      <c r="K144">
        <v>0.1</v>
      </c>
    </row>
    <row r="145" spans="1:11">
      <c r="A145">
        <v>161</v>
      </c>
      <c r="B145" t="s">
        <v>1621</v>
      </c>
      <c r="C145" s="3">
        <v>61362765</v>
      </c>
      <c r="D145" s="3">
        <v>2722772</v>
      </c>
      <c r="E145" s="3">
        <v>773423</v>
      </c>
      <c r="F145" s="3">
        <v>193570</v>
      </c>
      <c r="G145" s="3">
        <v>57673000</v>
      </c>
      <c r="H145">
        <v>94</v>
      </c>
      <c r="I145">
        <v>1.3</v>
      </c>
      <c r="J145">
        <v>4.4000000000000004</v>
      </c>
      <c r="K145">
        <v>0.3</v>
      </c>
    </row>
    <row r="146" spans="1:11">
      <c r="A146">
        <v>162</v>
      </c>
      <c r="B146" t="s">
        <v>1622</v>
      </c>
      <c r="C146" s="3">
        <v>20398962</v>
      </c>
      <c r="D146" s="3">
        <v>8103371</v>
      </c>
      <c r="E146" s="3">
        <v>562534</v>
      </c>
      <c r="F146" s="3">
        <v>52019</v>
      </c>
      <c r="G146" s="3">
        <v>11681038</v>
      </c>
      <c r="H146">
        <v>57.3</v>
      </c>
      <c r="I146">
        <v>2.8</v>
      </c>
      <c r="J146">
        <v>39.700000000000003</v>
      </c>
      <c r="K146">
        <v>0.3</v>
      </c>
    </row>
    <row r="147" spans="1:11">
      <c r="A147">
        <v>163</v>
      </c>
      <c r="B147" t="s">
        <v>1623</v>
      </c>
      <c r="C147" s="3">
        <v>47437323</v>
      </c>
      <c r="D147" s="3">
        <v>25769265</v>
      </c>
      <c r="E147" s="3">
        <v>5204213</v>
      </c>
      <c r="F147" s="3">
        <v>1838960</v>
      </c>
      <c r="G147" s="3">
        <v>14624885</v>
      </c>
      <c r="H147">
        <v>30.8</v>
      </c>
      <c r="I147">
        <v>11</v>
      </c>
      <c r="J147">
        <v>54.3</v>
      </c>
      <c r="K147">
        <v>3.9</v>
      </c>
    </row>
    <row r="148" spans="1:11">
      <c r="A148">
        <v>164</v>
      </c>
      <c r="B148" t="s">
        <v>1624</v>
      </c>
      <c r="C148" s="3">
        <v>57106237</v>
      </c>
      <c r="D148" s="3">
        <v>10418681</v>
      </c>
      <c r="E148" s="3">
        <v>1429668</v>
      </c>
      <c r="F148" s="3">
        <v>101828</v>
      </c>
      <c r="G148" s="3">
        <v>45156060</v>
      </c>
      <c r="H148">
        <v>79.099999999999994</v>
      </c>
      <c r="I148">
        <v>2.5</v>
      </c>
      <c r="J148">
        <v>18.2</v>
      </c>
      <c r="K148">
        <v>0.2</v>
      </c>
    </row>
    <row r="149" spans="1:11">
      <c r="A149">
        <v>165</v>
      </c>
      <c r="B149" t="s">
        <v>1625</v>
      </c>
      <c r="C149" s="3">
        <v>26323881</v>
      </c>
      <c r="D149" s="3">
        <v>3826468</v>
      </c>
      <c r="E149" s="3">
        <v>511455</v>
      </c>
      <c r="F149" s="3">
        <v>175512</v>
      </c>
      <c r="G149" s="3">
        <v>21810446</v>
      </c>
      <c r="H149">
        <v>82.9</v>
      </c>
      <c r="I149">
        <v>1.9</v>
      </c>
      <c r="J149">
        <v>14.5</v>
      </c>
      <c r="K149">
        <v>0.7</v>
      </c>
    </row>
    <row r="150" spans="1:11">
      <c r="A150">
        <v>166</v>
      </c>
      <c r="B150" t="s">
        <v>1626</v>
      </c>
      <c r="C150" s="3">
        <v>31023389</v>
      </c>
      <c r="D150" s="3">
        <v>12674138</v>
      </c>
      <c r="E150" s="3">
        <v>758036</v>
      </c>
      <c r="F150" s="3">
        <v>127503</v>
      </c>
      <c r="G150" s="3">
        <v>17463712</v>
      </c>
      <c r="H150">
        <v>56.3</v>
      </c>
      <c r="I150">
        <v>2.4</v>
      </c>
      <c r="J150">
        <v>40.9</v>
      </c>
      <c r="K150">
        <v>0.4</v>
      </c>
    </row>
    <row r="151" spans="1:11">
      <c r="A151">
        <v>167</v>
      </c>
      <c r="B151" t="s">
        <v>1627</v>
      </c>
      <c r="C151" s="3">
        <v>10856168</v>
      </c>
      <c r="D151" s="3">
        <v>435382</v>
      </c>
      <c r="E151" s="3">
        <v>248572</v>
      </c>
      <c r="F151" s="3">
        <v>13950</v>
      </c>
      <c r="G151" s="3">
        <v>10158264</v>
      </c>
      <c r="H151">
        <v>93.6</v>
      </c>
      <c r="I151">
        <v>2.2999999999999998</v>
      </c>
      <c r="J151">
        <v>4</v>
      </c>
      <c r="K151">
        <v>0.1</v>
      </c>
    </row>
    <row r="152" spans="1:11">
      <c r="A152">
        <v>169</v>
      </c>
      <c r="B152" t="s">
        <v>1628</v>
      </c>
      <c r="C152" s="3">
        <v>14499919</v>
      </c>
      <c r="D152" s="3">
        <v>4835058</v>
      </c>
      <c r="E152" s="3">
        <v>442652</v>
      </c>
      <c r="F152" s="3">
        <v>49354</v>
      </c>
      <c r="G152" s="3">
        <v>9172855</v>
      </c>
      <c r="H152">
        <v>63.3</v>
      </c>
      <c r="I152">
        <v>3.1</v>
      </c>
      <c r="J152">
        <v>33.299999999999997</v>
      </c>
      <c r="K152">
        <v>0.3</v>
      </c>
    </row>
    <row r="153" spans="1:11">
      <c r="A153">
        <v>201</v>
      </c>
      <c r="B153" t="s">
        <v>1629</v>
      </c>
      <c r="C153" s="3">
        <v>9471696</v>
      </c>
      <c r="D153" s="3">
        <v>1035006</v>
      </c>
      <c r="E153" s="3">
        <v>337638</v>
      </c>
      <c r="F153" s="3">
        <v>60415</v>
      </c>
      <c r="G153" s="3">
        <v>8038637</v>
      </c>
      <c r="H153">
        <v>84.9</v>
      </c>
      <c r="I153">
        <v>3.6</v>
      </c>
      <c r="J153">
        <v>10.9</v>
      </c>
      <c r="K153">
        <v>0.6</v>
      </c>
    </row>
    <row r="154" spans="1:11">
      <c r="A154">
        <v>204</v>
      </c>
      <c r="B154" t="s">
        <v>1630</v>
      </c>
      <c r="C154" s="3">
        <v>13226857</v>
      </c>
      <c r="D154" s="3">
        <v>1310208</v>
      </c>
      <c r="E154" s="3">
        <v>198990</v>
      </c>
      <c r="F154" s="3">
        <v>0</v>
      </c>
      <c r="G154" s="3">
        <v>11717659</v>
      </c>
      <c r="H154">
        <v>88.6</v>
      </c>
      <c r="I154">
        <v>1.5</v>
      </c>
      <c r="J154">
        <v>9.9</v>
      </c>
      <c r="K154">
        <v>0</v>
      </c>
    </row>
    <row r="155" spans="1:11">
      <c r="A155">
        <v>205</v>
      </c>
      <c r="B155" t="s">
        <v>1631</v>
      </c>
      <c r="C155" s="3">
        <v>33319272</v>
      </c>
      <c r="D155" s="3">
        <v>1864374</v>
      </c>
      <c r="E155" s="3">
        <v>498880</v>
      </c>
      <c r="F155" s="3">
        <v>7777</v>
      </c>
      <c r="G155" s="3">
        <v>30948241</v>
      </c>
      <c r="H155">
        <v>92.9</v>
      </c>
      <c r="I155">
        <v>1.5</v>
      </c>
      <c r="J155">
        <v>5.6</v>
      </c>
      <c r="K155">
        <v>0</v>
      </c>
    </row>
    <row r="156" spans="1:11">
      <c r="A156">
        <v>206</v>
      </c>
      <c r="B156" t="s">
        <v>1632</v>
      </c>
      <c r="C156" s="3">
        <v>14561349</v>
      </c>
      <c r="D156" s="3">
        <v>1304456</v>
      </c>
      <c r="E156" s="3">
        <v>342360</v>
      </c>
      <c r="F156" s="3">
        <v>749293</v>
      </c>
      <c r="G156" s="3">
        <v>12165240</v>
      </c>
      <c r="H156">
        <v>83.5</v>
      </c>
      <c r="I156">
        <v>2.4</v>
      </c>
      <c r="J156">
        <v>9</v>
      </c>
      <c r="K156">
        <v>5.0999999999999996</v>
      </c>
    </row>
    <row r="157" spans="1:11">
      <c r="A157">
        <v>207</v>
      </c>
      <c r="B157" t="s">
        <v>1633</v>
      </c>
      <c r="C157" s="3">
        <v>15268743</v>
      </c>
      <c r="D157" s="3">
        <v>2647526</v>
      </c>
      <c r="E157" s="3">
        <v>212666</v>
      </c>
      <c r="F157" s="3">
        <v>674029</v>
      </c>
      <c r="G157" s="3">
        <v>11734522</v>
      </c>
      <c r="H157">
        <v>76.900000000000006</v>
      </c>
      <c r="I157">
        <v>1.4</v>
      </c>
      <c r="J157">
        <v>17.3</v>
      </c>
      <c r="K157">
        <v>4.4000000000000004</v>
      </c>
    </row>
    <row r="158" spans="1:11">
      <c r="A158">
        <v>208</v>
      </c>
      <c r="B158" t="s">
        <v>1634</v>
      </c>
      <c r="C158" s="3">
        <v>19642951</v>
      </c>
      <c r="D158" s="3">
        <v>5285701</v>
      </c>
      <c r="E158" s="3">
        <v>433939</v>
      </c>
      <c r="F158" s="3">
        <v>0</v>
      </c>
      <c r="G158" s="3">
        <v>13923311</v>
      </c>
      <c r="H158">
        <v>70.900000000000006</v>
      </c>
      <c r="I158">
        <v>2.2000000000000002</v>
      </c>
      <c r="J158">
        <v>26.9</v>
      </c>
      <c r="K158">
        <v>0</v>
      </c>
    </row>
    <row r="159" spans="1:11">
      <c r="A159">
        <v>209</v>
      </c>
      <c r="B159" t="s">
        <v>1635</v>
      </c>
      <c r="C159" s="3">
        <v>16224524</v>
      </c>
      <c r="D159" s="3">
        <v>948675</v>
      </c>
      <c r="E159" s="3">
        <v>241230</v>
      </c>
      <c r="F159" s="3">
        <v>0</v>
      </c>
      <c r="G159" s="3">
        <v>15034619</v>
      </c>
      <c r="H159">
        <v>92.7</v>
      </c>
      <c r="I159">
        <v>1.5</v>
      </c>
      <c r="J159">
        <v>5.8</v>
      </c>
      <c r="K159">
        <v>0</v>
      </c>
    </row>
    <row r="160" spans="1:11">
      <c r="A160">
        <v>210</v>
      </c>
      <c r="B160" t="s">
        <v>1636</v>
      </c>
      <c r="C160" s="3">
        <v>30327561</v>
      </c>
      <c r="D160" s="3">
        <v>7633690</v>
      </c>
      <c r="E160" s="3">
        <v>540265</v>
      </c>
      <c r="F160" s="3">
        <v>36841</v>
      </c>
      <c r="G160" s="3">
        <v>22116765</v>
      </c>
      <c r="H160">
        <v>72.900000000000006</v>
      </c>
      <c r="I160">
        <v>1.8</v>
      </c>
      <c r="J160">
        <v>25.2</v>
      </c>
      <c r="K160">
        <v>0.1</v>
      </c>
    </row>
    <row r="161" spans="1:11">
      <c r="A161">
        <v>211</v>
      </c>
      <c r="B161" t="s">
        <v>1637</v>
      </c>
      <c r="C161" s="3">
        <v>6812759</v>
      </c>
      <c r="D161" s="3">
        <v>1837748</v>
      </c>
      <c r="E161" s="3">
        <v>137510</v>
      </c>
      <c r="F161" s="3">
        <v>47554</v>
      </c>
      <c r="G161" s="3">
        <v>4789947</v>
      </c>
      <c r="H161">
        <v>70.3</v>
      </c>
      <c r="I161">
        <v>2</v>
      </c>
      <c r="J161">
        <v>27</v>
      </c>
      <c r="K161">
        <v>0.7</v>
      </c>
    </row>
    <row r="162" spans="1:11">
      <c r="A162">
        <v>212</v>
      </c>
      <c r="B162" t="s">
        <v>1638</v>
      </c>
      <c r="C162" s="3">
        <v>18544285</v>
      </c>
      <c r="D162" s="3">
        <v>574980</v>
      </c>
      <c r="E162" s="3">
        <v>376723</v>
      </c>
      <c r="F162" s="3">
        <v>524638</v>
      </c>
      <c r="G162" s="3">
        <v>17067944</v>
      </c>
      <c r="H162">
        <v>92</v>
      </c>
      <c r="I162">
        <v>2</v>
      </c>
      <c r="J162">
        <v>3.1</v>
      </c>
      <c r="K162">
        <v>2.8</v>
      </c>
    </row>
    <row r="163" spans="1:11">
      <c r="A163">
        <v>213</v>
      </c>
      <c r="B163" t="s">
        <v>1639</v>
      </c>
      <c r="C163" s="3">
        <v>26986966</v>
      </c>
      <c r="D163" s="3">
        <v>6068254</v>
      </c>
      <c r="E163" s="3">
        <v>368138</v>
      </c>
      <c r="F163" s="3">
        <v>76094</v>
      </c>
      <c r="G163" s="3">
        <v>20474480</v>
      </c>
      <c r="H163">
        <v>75.900000000000006</v>
      </c>
      <c r="I163">
        <v>1.4</v>
      </c>
      <c r="J163">
        <v>22.5</v>
      </c>
      <c r="K163">
        <v>0.3</v>
      </c>
    </row>
    <row r="164" spans="1:11">
      <c r="A164">
        <v>214</v>
      </c>
      <c r="B164" t="s">
        <v>1640</v>
      </c>
      <c r="C164" s="3">
        <v>27399599</v>
      </c>
      <c r="D164" s="3">
        <v>2996304</v>
      </c>
      <c r="E164" s="3">
        <v>836398</v>
      </c>
      <c r="F164" s="3">
        <v>1572543</v>
      </c>
      <c r="G164" s="3">
        <v>21994354</v>
      </c>
      <c r="H164">
        <v>80.3</v>
      </c>
      <c r="I164">
        <v>3.1</v>
      </c>
      <c r="J164">
        <v>10.9</v>
      </c>
      <c r="K164">
        <v>5.7</v>
      </c>
    </row>
    <row r="165" spans="1:11">
      <c r="A165">
        <v>215</v>
      </c>
      <c r="B165" t="s">
        <v>1641</v>
      </c>
      <c r="C165" s="3">
        <v>52510060</v>
      </c>
      <c r="D165" s="3">
        <v>2836665</v>
      </c>
      <c r="E165" s="3">
        <v>1053408</v>
      </c>
      <c r="F165" s="3">
        <v>229309</v>
      </c>
      <c r="G165" s="3">
        <v>48390678</v>
      </c>
      <c r="H165">
        <v>92.2</v>
      </c>
      <c r="I165">
        <v>2</v>
      </c>
      <c r="J165">
        <v>5.4</v>
      </c>
      <c r="K165">
        <v>0.4</v>
      </c>
    </row>
    <row r="166" spans="1:11">
      <c r="A166">
        <v>216</v>
      </c>
      <c r="B166" t="s">
        <v>1642</v>
      </c>
      <c r="C166" s="3">
        <v>28600876</v>
      </c>
      <c r="D166" s="3">
        <v>8822704</v>
      </c>
      <c r="E166" s="3">
        <v>644889</v>
      </c>
      <c r="F166" s="3">
        <v>54008</v>
      </c>
      <c r="G166" s="3">
        <v>19079275</v>
      </c>
      <c r="H166">
        <v>66.7</v>
      </c>
      <c r="I166">
        <v>2.2999999999999998</v>
      </c>
      <c r="J166">
        <v>30.8</v>
      </c>
      <c r="K166">
        <v>0.2</v>
      </c>
    </row>
    <row r="167" spans="1:11">
      <c r="A167">
        <v>217</v>
      </c>
      <c r="B167" t="s">
        <v>1643</v>
      </c>
      <c r="C167" s="3">
        <v>31416229</v>
      </c>
      <c r="D167" s="3">
        <v>4198552</v>
      </c>
      <c r="E167" s="3">
        <v>615485</v>
      </c>
      <c r="F167" s="3">
        <v>23388</v>
      </c>
      <c r="G167" s="3">
        <v>26578804</v>
      </c>
      <c r="H167">
        <v>84.6</v>
      </c>
      <c r="I167">
        <v>2</v>
      </c>
      <c r="J167">
        <v>13.4</v>
      </c>
      <c r="K167">
        <v>0.1</v>
      </c>
    </row>
    <row r="168" spans="1:11">
      <c r="A168">
        <v>218</v>
      </c>
      <c r="B168" t="s">
        <v>1644</v>
      </c>
      <c r="C168" s="3">
        <v>24338344</v>
      </c>
      <c r="D168" s="3">
        <v>1233776</v>
      </c>
      <c r="E168" s="3">
        <v>284771</v>
      </c>
      <c r="F168" s="3">
        <v>15107</v>
      </c>
      <c r="G168" s="3">
        <v>22804690</v>
      </c>
      <c r="H168">
        <v>93.7</v>
      </c>
      <c r="I168">
        <v>1.2</v>
      </c>
      <c r="J168">
        <v>5.0999999999999996</v>
      </c>
      <c r="K168">
        <v>0.1</v>
      </c>
    </row>
    <row r="169" spans="1:11">
      <c r="A169">
        <v>219</v>
      </c>
      <c r="B169" t="s">
        <v>1645</v>
      </c>
      <c r="C169" s="3">
        <v>16686804</v>
      </c>
      <c r="D169" s="3">
        <v>5724015</v>
      </c>
      <c r="E169" s="3">
        <v>260076</v>
      </c>
      <c r="F169" s="3">
        <v>619763</v>
      </c>
      <c r="G169" s="3">
        <v>10082950</v>
      </c>
      <c r="H169">
        <v>60.4</v>
      </c>
      <c r="I169">
        <v>1.6</v>
      </c>
      <c r="J169">
        <v>34.299999999999997</v>
      </c>
      <c r="K169">
        <v>3.7</v>
      </c>
    </row>
    <row r="170" spans="1:11">
      <c r="A170">
        <v>261</v>
      </c>
      <c r="B170" t="s">
        <v>1646</v>
      </c>
      <c r="C170" s="3">
        <v>2936590</v>
      </c>
      <c r="D170" s="3">
        <v>2505513</v>
      </c>
      <c r="E170" s="3">
        <v>421008</v>
      </c>
      <c r="F170" s="3">
        <v>10069</v>
      </c>
      <c r="G170" s="3">
        <v>0</v>
      </c>
      <c r="H170">
        <v>0</v>
      </c>
      <c r="I170">
        <v>14.3</v>
      </c>
      <c r="J170">
        <v>85.3</v>
      </c>
      <c r="K170">
        <v>0.3</v>
      </c>
    </row>
    <row r="171" spans="1:11">
      <c r="A171">
        <v>263</v>
      </c>
      <c r="B171" t="s">
        <v>1647</v>
      </c>
      <c r="C171" s="3">
        <v>1412998</v>
      </c>
      <c r="D171" s="3">
        <v>1398644</v>
      </c>
      <c r="E171" s="3">
        <v>8318</v>
      </c>
      <c r="F171" s="3">
        <v>6036</v>
      </c>
      <c r="G171" s="3">
        <v>0</v>
      </c>
      <c r="H171">
        <v>0</v>
      </c>
      <c r="I171">
        <v>0.6</v>
      </c>
      <c r="J171">
        <v>99</v>
      </c>
      <c r="K171">
        <v>0.4</v>
      </c>
    </row>
    <row r="172" spans="1:11">
      <c r="A172">
        <v>264</v>
      </c>
      <c r="B172" t="s">
        <v>1648</v>
      </c>
      <c r="C172" s="3">
        <v>2801819</v>
      </c>
      <c r="D172" s="3">
        <v>2571618</v>
      </c>
      <c r="E172" s="3">
        <v>347229</v>
      </c>
      <c r="F172" s="3">
        <v>-273877</v>
      </c>
      <c r="G172" s="3">
        <v>156849</v>
      </c>
      <c r="H172">
        <v>5.6</v>
      </c>
      <c r="I172">
        <v>12.4</v>
      </c>
      <c r="J172">
        <v>91.8</v>
      </c>
      <c r="K172">
        <v>-9.8000000000000007</v>
      </c>
    </row>
    <row r="173" spans="1:11">
      <c r="A173">
        <v>265</v>
      </c>
      <c r="B173" t="s">
        <v>1649</v>
      </c>
      <c r="C173" s="3">
        <v>1666917</v>
      </c>
      <c r="D173" s="3">
        <v>1628741</v>
      </c>
      <c r="E173" s="3">
        <v>30889</v>
      </c>
      <c r="F173" s="3">
        <v>7287</v>
      </c>
      <c r="G173" s="3">
        <v>0</v>
      </c>
      <c r="H173">
        <v>0</v>
      </c>
      <c r="I173">
        <v>1.9</v>
      </c>
      <c r="J173">
        <v>97.7</v>
      </c>
      <c r="K173">
        <v>0.4</v>
      </c>
    </row>
    <row r="174" spans="1:11">
      <c r="A174">
        <v>268</v>
      </c>
      <c r="B174" t="s">
        <v>1650</v>
      </c>
      <c r="C174" s="3">
        <v>1617998</v>
      </c>
      <c r="D174" s="3">
        <v>1253743</v>
      </c>
      <c r="E174" s="3">
        <v>199017</v>
      </c>
      <c r="F174" s="3">
        <v>165238</v>
      </c>
      <c r="G174" s="3">
        <v>0</v>
      </c>
      <c r="H174">
        <v>0</v>
      </c>
      <c r="I174">
        <v>12.3</v>
      </c>
      <c r="J174">
        <v>77.5</v>
      </c>
      <c r="K174">
        <v>10.199999999999999</v>
      </c>
    </row>
    <row r="175" spans="1:11">
      <c r="A175">
        <v>269</v>
      </c>
      <c r="B175" t="s">
        <v>1651</v>
      </c>
      <c r="C175" s="3">
        <v>2387542</v>
      </c>
      <c r="D175" s="3">
        <v>2023429</v>
      </c>
      <c r="E175" s="3">
        <v>137046</v>
      </c>
      <c r="F175" s="3">
        <v>206038</v>
      </c>
      <c r="G175" s="3">
        <v>21029</v>
      </c>
      <c r="H175">
        <v>0.9</v>
      </c>
      <c r="I175">
        <v>5.7</v>
      </c>
      <c r="J175">
        <v>84.7</v>
      </c>
      <c r="K175">
        <v>8.6</v>
      </c>
    </row>
    <row r="176" spans="1:11">
      <c r="A176">
        <v>270</v>
      </c>
      <c r="B176" t="s">
        <v>1652</v>
      </c>
      <c r="C176" s="3">
        <v>2301792</v>
      </c>
      <c r="D176" s="3">
        <v>1909688</v>
      </c>
      <c r="E176" s="3">
        <v>40014</v>
      </c>
      <c r="F176" s="3">
        <v>352090</v>
      </c>
      <c r="G176" s="3">
        <v>0</v>
      </c>
      <c r="H176">
        <v>0</v>
      </c>
      <c r="I176">
        <v>1.7</v>
      </c>
      <c r="J176">
        <v>83</v>
      </c>
      <c r="K176">
        <v>15.3</v>
      </c>
    </row>
    <row r="177" spans="1:11">
      <c r="A177">
        <v>272</v>
      </c>
      <c r="B177" t="s">
        <v>1653</v>
      </c>
      <c r="C177" s="3">
        <v>783542</v>
      </c>
      <c r="D177" s="3">
        <v>669810</v>
      </c>
      <c r="E177" s="3">
        <v>34922</v>
      </c>
      <c r="F177" s="3">
        <v>78810</v>
      </c>
      <c r="G177" s="3">
        <v>0</v>
      </c>
      <c r="H177">
        <v>0</v>
      </c>
      <c r="I177">
        <v>4.5</v>
      </c>
      <c r="J177">
        <v>85.5</v>
      </c>
      <c r="K177">
        <v>10.1</v>
      </c>
    </row>
    <row r="178" spans="1:11">
      <c r="A178">
        <v>277</v>
      </c>
      <c r="B178" t="s">
        <v>1654</v>
      </c>
      <c r="C178" s="3">
        <v>3087888</v>
      </c>
      <c r="D178" s="3">
        <v>2421139</v>
      </c>
      <c r="E178" s="3">
        <v>197545</v>
      </c>
      <c r="F178" s="3">
        <v>294630</v>
      </c>
      <c r="G178" s="3">
        <v>174574</v>
      </c>
      <c r="H178">
        <v>5.7</v>
      </c>
      <c r="I178">
        <v>6.4</v>
      </c>
      <c r="J178">
        <v>78.400000000000006</v>
      </c>
      <c r="K178">
        <v>9.5</v>
      </c>
    </row>
    <row r="179" spans="1:11">
      <c r="A179">
        <v>278</v>
      </c>
      <c r="B179" t="s">
        <v>1655</v>
      </c>
      <c r="C179" s="3">
        <v>2735867</v>
      </c>
      <c r="D179" s="3">
        <v>1215701</v>
      </c>
      <c r="E179" s="3">
        <v>108019</v>
      </c>
      <c r="F179" s="3">
        <v>1372915</v>
      </c>
      <c r="G179" s="3">
        <v>39232</v>
      </c>
      <c r="H179">
        <v>1.4</v>
      </c>
      <c r="I179">
        <v>3.9</v>
      </c>
      <c r="J179">
        <v>44.4</v>
      </c>
      <c r="K179">
        <v>50.2</v>
      </c>
    </row>
    <row r="180" spans="1:11">
      <c r="A180">
        <v>279</v>
      </c>
      <c r="B180" t="s">
        <v>1656</v>
      </c>
      <c r="C180" s="3">
        <v>4913000</v>
      </c>
      <c r="D180" s="3">
        <v>3257930</v>
      </c>
      <c r="E180" s="3">
        <v>439052</v>
      </c>
      <c r="F180" s="3">
        <v>1216018</v>
      </c>
      <c r="G180" s="3">
        <v>0</v>
      </c>
      <c r="H180">
        <v>0</v>
      </c>
      <c r="I180">
        <v>8.9</v>
      </c>
      <c r="J180">
        <v>66.3</v>
      </c>
      <c r="K180">
        <v>24.8</v>
      </c>
    </row>
    <row r="181" spans="1:11">
      <c r="A181">
        <v>280</v>
      </c>
      <c r="B181" t="s">
        <v>1657</v>
      </c>
      <c r="C181" s="3">
        <v>3332395</v>
      </c>
      <c r="D181" s="3">
        <v>2428029</v>
      </c>
      <c r="E181" s="3">
        <v>338601</v>
      </c>
      <c r="F181" s="3">
        <v>565765</v>
      </c>
      <c r="G181" s="3">
        <v>0</v>
      </c>
      <c r="H181">
        <v>0</v>
      </c>
      <c r="I181">
        <v>10.199999999999999</v>
      </c>
      <c r="J181">
        <v>72.900000000000006</v>
      </c>
      <c r="K181">
        <v>17</v>
      </c>
    </row>
    <row r="182" spans="1:11">
      <c r="A182">
        <v>281</v>
      </c>
      <c r="B182" t="s">
        <v>1658</v>
      </c>
      <c r="C182" s="3">
        <v>3411833</v>
      </c>
      <c r="D182" s="3">
        <v>2976138</v>
      </c>
      <c r="E182" s="3">
        <v>386988</v>
      </c>
      <c r="F182" s="3">
        <v>48707</v>
      </c>
      <c r="G182" s="3">
        <v>0</v>
      </c>
      <c r="H182">
        <v>0</v>
      </c>
      <c r="I182">
        <v>11.3</v>
      </c>
      <c r="J182">
        <v>87.2</v>
      </c>
      <c r="K182">
        <v>1.4</v>
      </c>
    </row>
    <row r="183" spans="1:11">
      <c r="A183">
        <v>282</v>
      </c>
      <c r="B183" t="s">
        <v>1659</v>
      </c>
      <c r="C183" s="3">
        <v>2380204</v>
      </c>
      <c r="D183" s="3">
        <v>990150</v>
      </c>
      <c r="E183" s="3">
        <v>190869</v>
      </c>
      <c r="F183" s="3">
        <v>1199185</v>
      </c>
      <c r="G183" s="3">
        <v>0</v>
      </c>
      <c r="H183">
        <v>0</v>
      </c>
      <c r="I183">
        <v>8</v>
      </c>
      <c r="J183">
        <v>41.6</v>
      </c>
      <c r="K183">
        <v>50.4</v>
      </c>
    </row>
    <row r="184" spans="1:11">
      <c r="A184">
        <v>283</v>
      </c>
      <c r="B184" t="s">
        <v>1660</v>
      </c>
      <c r="C184" s="3">
        <v>1513365</v>
      </c>
      <c r="D184" s="3">
        <v>1316826</v>
      </c>
      <c r="E184" s="3">
        <v>183791</v>
      </c>
      <c r="F184" s="3">
        <v>12748</v>
      </c>
      <c r="G184" s="3">
        <v>0</v>
      </c>
      <c r="H184">
        <v>0</v>
      </c>
      <c r="I184">
        <v>12.1</v>
      </c>
      <c r="J184">
        <v>87</v>
      </c>
      <c r="K184">
        <v>0.8</v>
      </c>
    </row>
    <row r="185" spans="1:11">
      <c r="A185">
        <v>284</v>
      </c>
      <c r="B185" t="s">
        <v>1661</v>
      </c>
      <c r="C185" s="3">
        <v>568917</v>
      </c>
      <c r="D185" s="3">
        <v>403500</v>
      </c>
      <c r="E185" s="3">
        <v>118625</v>
      </c>
      <c r="F185" s="3">
        <v>46792</v>
      </c>
      <c r="G185" s="3">
        <v>0</v>
      </c>
      <c r="H185">
        <v>0</v>
      </c>
      <c r="I185">
        <v>20.9</v>
      </c>
      <c r="J185">
        <v>70.900000000000006</v>
      </c>
      <c r="K185">
        <v>8.1999999999999993</v>
      </c>
    </row>
  </sheetData>
  <phoneticPr fontId="2"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910"/>
  <sheetViews>
    <sheetView topLeftCell="A68" workbookViewId="0">
      <selection activeCell="E83" sqref="E83"/>
    </sheetView>
  </sheetViews>
  <sheetFormatPr baseColWidth="10" defaultColWidth="8.83203125" defaultRowHeight="12"/>
  <cols>
    <col min="1" max="1" width="6.1640625" customWidth="1"/>
    <col min="2" max="3" width="15" customWidth="1"/>
    <col min="4" max="4" width="13.1640625" style="3" customWidth="1"/>
    <col min="5" max="5" width="16" style="12" bestFit="1" customWidth="1"/>
    <col min="6" max="6" width="18.5" style="6" bestFit="1" customWidth="1"/>
    <col min="7" max="7" width="16.5" style="35" customWidth="1"/>
    <col min="8" max="8" width="16" style="16" bestFit="1" customWidth="1"/>
    <col min="9" max="9" width="16" bestFit="1" customWidth="1"/>
    <col min="10" max="10" width="18.5" bestFit="1" customWidth="1"/>
    <col min="11" max="11" width="16" bestFit="1" customWidth="1"/>
    <col min="12" max="12" width="18.5" bestFit="1" customWidth="1"/>
  </cols>
  <sheetData>
    <row r="1" spans="1:12">
      <c r="A1" t="s">
        <v>1668</v>
      </c>
    </row>
    <row r="3" spans="1:12" s="1" customFormat="1">
      <c r="A3" s="1" t="s">
        <v>1676</v>
      </c>
      <c r="B3" s="1" t="s">
        <v>1696</v>
      </c>
      <c r="D3" s="4" t="s">
        <v>1669</v>
      </c>
      <c r="E3" s="13" t="s">
        <v>1670</v>
      </c>
      <c r="F3" s="14" t="s">
        <v>1671</v>
      </c>
      <c r="G3" s="36" t="s">
        <v>1672</v>
      </c>
      <c r="H3" s="17" t="s">
        <v>1673</v>
      </c>
      <c r="I3" s="1" t="s">
        <v>1664</v>
      </c>
      <c r="J3" s="1" t="s">
        <v>1665</v>
      </c>
      <c r="K3" s="2" t="s">
        <v>1666</v>
      </c>
      <c r="L3" s="2" t="s">
        <v>1667</v>
      </c>
    </row>
    <row r="4" spans="1:12">
      <c r="A4">
        <v>1</v>
      </c>
      <c r="B4" t="s">
        <v>1697</v>
      </c>
      <c r="C4">
        <v>328</v>
      </c>
      <c r="D4" s="3">
        <v>5033625</v>
      </c>
      <c r="E4" s="12">
        <v>1325669</v>
      </c>
      <c r="F4" s="6">
        <v>113133</v>
      </c>
      <c r="G4" s="35">
        <v>0</v>
      </c>
      <c r="H4" s="16">
        <v>3594823</v>
      </c>
      <c r="I4">
        <v>71.400000000000006</v>
      </c>
      <c r="J4">
        <v>2.2000000000000002</v>
      </c>
      <c r="K4">
        <v>26.3</v>
      </c>
      <c r="L4">
        <v>0</v>
      </c>
    </row>
    <row r="5" spans="1:12">
      <c r="A5">
        <v>2</v>
      </c>
      <c r="B5" t="s">
        <v>1698</v>
      </c>
      <c r="C5">
        <v>2640</v>
      </c>
      <c r="D5" s="3">
        <v>30923338</v>
      </c>
      <c r="E5" s="12">
        <v>18311249</v>
      </c>
      <c r="F5" s="6">
        <v>1605250</v>
      </c>
      <c r="G5" s="35">
        <v>126610</v>
      </c>
      <c r="H5" s="16">
        <v>10880229</v>
      </c>
      <c r="I5">
        <v>35.200000000000003</v>
      </c>
      <c r="J5">
        <v>5.2</v>
      </c>
      <c r="K5">
        <v>59.2</v>
      </c>
      <c r="L5">
        <v>0.4</v>
      </c>
    </row>
    <row r="6" spans="1:12">
      <c r="A6">
        <v>3</v>
      </c>
      <c r="B6" t="s">
        <v>1699</v>
      </c>
      <c r="C6">
        <v>486</v>
      </c>
      <c r="D6" s="3">
        <v>6710979</v>
      </c>
      <c r="E6" s="12">
        <v>3068193</v>
      </c>
      <c r="F6" s="6">
        <v>263829</v>
      </c>
      <c r="G6" s="35">
        <v>26932</v>
      </c>
      <c r="H6" s="16">
        <v>3352025</v>
      </c>
      <c r="I6">
        <v>49.9</v>
      </c>
      <c r="J6">
        <v>3.9</v>
      </c>
      <c r="K6">
        <v>45.7</v>
      </c>
      <c r="L6">
        <v>0.4</v>
      </c>
    </row>
    <row r="7" spans="1:12">
      <c r="A7">
        <v>4</v>
      </c>
      <c r="B7" t="s">
        <v>1700</v>
      </c>
      <c r="C7">
        <v>3458</v>
      </c>
      <c r="D7" s="3">
        <v>42554998</v>
      </c>
      <c r="E7" s="12">
        <v>2039867</v>
      </c>
      <c r="F7" s="6">
        <v>613406</v>
      </c>
      <c r="G7" s="35">
        <v>294354</v>
      </c>
      <c r="H7" s="16">
        <v>39607371</v>
      </c>
      <c r="I7">
        <v>93.1</v>
      </c>
      <c r="J7">
        <v>1.4</v>
      </c>
      <c r="K7">
        <v>4.8</v>
      </c>
      <c r="L7">
        <v>0.7</v>
      </c>
    </row>
    <row r="8" spans="1:12">
      <c r="A8">
        <v>5</v>
      </c>
      <c r="B8" t="s">
        <v>1701</v>
      </c>
      <c r="C8">
        <v>336</v>
      </c>
      <c r="D8" s="3">
        <v>3677020</v>
      </c>
      <c r="E8" s="12">
        <v>809224</v>
      </c>
      <c r="F8" s="6">
        <v>131976</v>
      </c>
      <c r="G8" s="35">
        <v>0</v>
      </c>
      <c r="H8" s="16">
        <v>2735820</v>
      </c>
      <c r="I8">
        <v>74.400000000000006</v>
      </c>
      <c r="J8">
        <v>3.6</v>
      </c>
      <c r="K8">
        <v>22</v>
      </c>
      <c r="L8">
        <v>0</v>
      </c>
    </row>
    <row r="9" spans="1:12">
      <c r="A9">
        <v>7</v>
      </c>
      <c r="B9" t="s">
        <v>1702</v>
      </c>
      <c r="C9">
        <v>3217</v>
      </c>
      <c r="D9" s="3">
        <v>37806653</v>
      </c>
      <c r="E9" s="12">
        <v>6147336</v>
      </c>
      <c r="F9" s="6">
        <v>662941</v>
      </c>
      <c r="G9" s="35">
        <v>73584</v>
      </c>
      <c r="H9" s="16">
        <v>30922792</v>
      </c>
      <c r="I9">
        <v>81.8</v>
      </c>
      <c r="J9">
        <v>1.8</v>
      </c>
      <c r="K9">
        <v>16.3</v>
      </c>
      <c r="L9">
        <v>0.2</v>
      </c>
    </row>
    <row r="10" spans="1:12">
      <c r="A10">
        <v>8</v>
      </c>
      <c r="B10" t="s">
        <v>1703</v>
      </c>
      <c r="C10">
        <v>537</v>
      </c>
      <c r="D10" s="3">
        <v>6346071</v>
      </c>
      <c r="E10" s="12">
        <v>1064447</v>
      </c>
      <c r="F10" s="6">
        <v>194483</v>
      </c>
      <c r="G10" s="35">
        <v>0</v>
      </c>
      <c r="H10" s="16">
        <v>5087141</v>
      </c>
      <c r="I10">
        <v>80.2</v>
      </c>
      <c r="J10">
        <v>3.1</v>
      </c>
      <c r="K10">
        <v>16.8</v>
      </c>
      <c r="L10">
        <v>0</v>
      </c>
    </row>
    <row r="11" spans="1:12">
      <c r="A11">
        <v>9</v>
      </c>
      <c r="B11" t="s">
        <v>1704</v>
      </c>
      <c r="C11">
        <v>3170</v>
      </c>
      <c r="D11" s="3">
        <v>40711740</v>
      </c>
      <c r="E11" s="12">
        <v>8955572</v>
      </c>
      <c r="F11" s="6">
        <v>478644</v>
      </c>
      <c r="G11" s="35">
        <v>23116</v>
      </c>
      <c r="H11" s="16">
        <v>31254408</v>
      </c>
      <c r="I11">
        <v>76.8</v>
      </c>
      <c r="J11">
        <v>1.2</v>
      </c>
      <c r="K11">
        <v>22</v>
      </c>
      <c r="L11">
        <v>0.1</v>
      </c>
    </row>
    <row r="12" spans="1:12">
      <c r="A12">
        <v>11</v>
      </c>
      <c r="B12" t="s">
        <v>1705</v>
      </c>
      <c r="C12">
        <v>2214</v>
      </c>
      <c r="D12" s="3">
        <v>42926057</v>
      </c>
      <c r="E12" s="12">
        <v>9320012</v>
      </c>
      <c r="F12" s="6">
        <v>1113173</v>
      </c>
      <c r="G12" s="35">
        <v>217431</v>
      </c>
      <c r="H12" s="16">
        <v>32275441</v>
      </c>
      <c r="I12">
        <v>75.2</v>
      </c>
      <c r="J12">
        <v>2.6</v>
      </c>
      <c r="K12">
        <v>21.7</v>
      </c>
      <c r="L12">
        <v>0.5</v>
      </c>
    </row>
    <row r="13" spans="1:12">
      <c r="A13">
        <v>12</v>
      </c>
      <c r="B13" t="s">
        <v>1706</v>
      </c>
      <c r="C13">
        <v>907</v>
      </c>
      <c r="D13" s="3">
        <v>12258286</v>
      </c>
      <c r="E13" s="12">
        <v>3519188</v>
      </c>
      <c r="F13" s="6">
        <v>152825</v>
      </c>
      <c r="G13" s="35">
        <v>58280</v>
      </c>
      <c r="H13" s="16">
        <v>8527993</v>
      </c>
      <c r="I13">
        <v>69.599999999999994</v>
      </c>
      <c r="J13">
        <v>1.2</v>
      </c>
      <c r="K13">
        <v>28.7</v>
      </c>
      <c r="L13">
        <v>0.5</v>
      </c>
    </row>
    <row r="14" spans="1:12">
      <c r="A14">
        <v>13</v>
      </c>
      <c r="B14" t="s">
        <v>1707</v>
      </c>
      <c r="C14">
        <v>260</v>
      </c>
      <c r="D14" s="3">
        <v>4863685</v>
      </c>
      <c r="E14" s="12">
        <v>1386562</v>
      </c>
      <c r="F14" s="6">
        <v>138528</v>
      </c>
      <c r="G14" s="35">
        <v>3800</v>
      </c>
      <c r="H14" s="16">
        <v>3334795</v>
      </c>
      <c r="I14">
        <v>68.599999999999994</v>
      </c>
      <c r="J14">
        <v>2.8</v>
      </c>
      <c r="K14">
        <v>28.5</v>
      </c>
      <c r="L14">
        <v>0.1</v>
      </c>
    </row>
    <row r="15" spans="1:12">
      <c r="A15">
        <v>14</v>
      </c>
      <c r="B15" t="s">
        <v>1708</v>
      </c>
      <c r="C15">
        <v>3517</v>
      </c>
      <c r="D15" s="3">
        <v>47372447</v>
      </c>
      <c r="E15" s="12">
        <v>3427346</v>
      </c>
      <c r="F15" s="6">
        <v>1096491</v>
      </c>
      <c r="G15" s="35">
        <v>25334</v>
      </c>
      <c r="H15" s="16">
        <v>42823276</v>
      </c>
      <c r="I15">
        <v>90.4</v>
      </c>
      <c r="J15">
        <v>2.2999999999999998</v>
      </c>
      <c r="K15">
        <v>7.2</v>
      </c>
      <c r="L15">
        <v>0.1</v>
      </c>
    </row>
    <row r="16" spans="1:12" s="7" customFormat="1">
      <c r="A16" s="7">
        <v>15</v>
      </c>
      <c r="B16" s="7" t="s">
        <v>1709</v>
      </c>
      <c r="C16" s="7">
        <v>20682</v>
      </c>
      <c r="D16" s="8">
        <v>299448214</v>
      </c>
      <c r="E16" s="8">
        <v>218716259</v>
      </c>
      <c r="F16" s="8">
        <v>25310070</v>
      </c>
      <c r="G16" s="8">
        <v>1430348</v>
      </c>
      <c r="H16" s="8">
        <v>53991537</v>
      </c>
      <c r="I16" s="7">
        <v>18</v>
      </c>
      <c r="J16" s="7">
        <v>8.5</v>
      </c>
      <c r="K16" s="7">
        <v>73</v>
      </c>
      <c r="L16" s="7">
        <v>0.5</v>
      </c>
    </row>
    <row r="17" spans="1:12">
      <c r="A17">
        <v>17</v>
      </c>
      <c r="B17" t="s">
        <v>1710</v>
      </c>
      <c r="C17">
        <v>8738</v>
      </c>
      <c r="D17" s="3">
        <v>114069553</v>
      </c>
      <c r="E17" s="12">
        <v>53658419</v>
      </c>
      <c r="F17" s="6">
        <v>3629777</v>
      </c>
      <c r="G17" s="35">
        <v>747077</v>
      </c>
      <c r="H17" s="16">
        <v>56034280</v>
      </c>
      <c r="I17">
        <v>49.1</v>
      </c>
      <c r="J17">
        <v>3.2</v>
      </c>
      <c r="K17">
        <v>47</v>
      </c>
      <c r="L17">
        <v>0.7</v>
      </c>
    </row>
    <row r="18" spans="1:12">
      <c r="A18">
        <v>18</v>
      </c>
      <c r="B18" t="s">
        <v>1711</v>
      </c>
      <c r="C18">
        <v>3000</v>
      </c>
      <c r="D18" s="3">
        <v>40798341</v>
      </c>
      <c r="E18" s="12">
        <v>6019643</v>
      </c>
      <c r="F18" s="6">
        <v>594025</v>
      </c>
      <c r="G18" s="35">
        <v>24275</v>
      </c>
      <c r="H18" s="16">
        <v>34160398</v>
      </c>
      <c r="I18">
        <v>83.7</v>
      </c>
      <c r="J18">
        <v>1.5</v>
      </c>
      <c r="K18">
        <v>14.8</v>
      </c>
      <c r="L18">
        <v>0.1</v>
      </c>
    </row>
    <row r="19" spans="1:12">
      <c r="A19">
        <v>19</v>
      </c>
      <c r="B19" t="s">
        <v>1712</v>
      </c>
      <c r="C19">
        <v>898</v>
      </c>
      <c r="D19" s="3">
        <v>15929490</v>
      </c>
      <c r="E19" s="12">
        <v>7291448</v>
      </c>
      <c r="F19" s="6">
        <v>493993</v>
      </c>
      <c r="G19" s="35">
        <v>9354</v>
      </c>
      <c r="H19" s="16">
        <v>8134695</v>
      </c>
      <c r="I19">
        <v>51.1</v>
      </c>
      <c r="J19">
        <v>3.1</v>
      </c>
      <c r="K19">
        <v>45.8</v>
      </c>
      <c r="L19">
        <v>0.1</v>
      </c>
    </row>
    <row r="20" spans="1:12">
      <c r="A20">
        <v>21</v>
      </c>
      <c r="B20" t="s">
        <v>1713</v>
      </c>
      <c r="C20">
        <v>101</v>
      </c>
      <c r="D20" s="3">
        <v>2149105</v>
      </c>
      <c r="E20" s="12">
        <v>187487</v>
      </c>
      <c r="F20" s="6">
        <v>94836</v>
      </c>
      <c r="G20" s="35">
        <v>1071</v>
      </c>
      <c r="H20" s="16">
        <v>1865711</v>
      </c>
      <c r="I20">
        <v>86.8</v>
      </c>
      <c r="J20">
        <v>4.4000000000000004</v>
      </c>
      <c r="K20">
        <v>8.6999999999999993</v>
      </c>
      <c r="L20">
        <v>0</v>
      </c>
    </row>
    <row r="21" spans="1:12">
      <c r="A21">
        <v>22</v>
      </c>
      <c r="B21" t="s">
        <v>1714</v>
      </c>
      <c r="C21">
        <v>524</v>
      </c>
      <c r="D21" s="3">
        <v>11219300</v>
      </c>
      <c r="E21" s="12">
        <v>5169364</v>
      </c>
      <c r="F21" s="6">
        <v>285372</v>
      </c>
      <c r="G21" s="35">
        <v>14884</v>
      </c>
      <c r="H21" s="16">
        <v>5749680</v>
      </c>
      <c r="I21">
        <v>51.2</v>
      </c>
      <c r="J21">
        <v>2.5</v>
      </c>
      <c r="K21">
        <v>46.1</v>
      </c>
      <c r="L21">
        <v>0.1</v>
      </c>
    </row>
    <row r="22" spans="1:12">
      <c r="A22">
        <v>23</v>
      </c>
      <c r="B22" t="s">
        <v>1715</v>
      </c>
      <c r="C22">
        <v>1699</v>
      </c>
      <c r="D22" s="3">
        <v>22265177</v>
      </c>
      <c r="E22" s="12">
        <v>3202223</v>
      </c>
      <c r="F22" s="6">
        <v>399774</v>
      </c>
      <c r="G22" s="35">
        <v>199834</v>
      </c>
      <c r="H22" s="16">
        <v>18463346</v>
      </c>
      <c r="I22">
        <v>82.9</v>
      </c>
      <c r="J22">
        <v>1.8</v>
      </c>
      <c r="K22">
        <v>14.4</v>
      </c>
      <c r="L22">
        <v>0.9</v>
      </c>
    </row>
    <row r="23" spans="1:12">
      <c r="A23">
        <v>24</v>
      </c>
      <c r="B23" t="s">
        <v>1716</v>
      </c>
      <c r="C23">
        <v>184</v>
      </c>
      <c r="D23" s="3">
        <v>3511157</v>
      </c>
      <c r="E23" s="12">
        <v>1431593</v>
      </c>
      <c r="F23" s="6">
        <v>72748</v>
      </c>
      <c r="G23" s="35">
        <v>54145</v>
      </c>
      <c r="H23" s="16">
        <v>1952671</v>
      </c>
      <c r="I23">
        <v>55.6</v>
      </c>
      <c r="J23">
        <v>2.1</v>
      </c>
      <c r="K23">
        <v>40.799999999999997</v>
      </c>
      <c r="L23">
        <v>1.5</v>
      </c>
    </row>
    <row r="24" spans="1:12">
      <c r="A24">
        <v>25</v>
      </c>
      <c r="B24" t="s">
        <v>1717</v>
      </c>
      <c r="C24">
        <v>5081</v>
      </c>
      <c r="D24" s="3">
        <v>58465958</v>
      </c>
      <c r="E24" s="12">
        <v>9416137</v>
      </c>
      <c r="F24" s="6">
        <v>1080799</v>
      </c>
      <c r="G24" s="35">
        <v>462366</v>
      </c>
      <c r="H24" s="16">
        <v>47506656</v>
      </c>
      <c r="I24">
        <v>81.3</v>
      </c>
      <c r="J24">
        <v>1.8</v>
      </c>
      <c r="K24">
        <v>16.100000000000001</v>
      </c>
      <c r="L24">
        <v>0.8</v>
      </c>
    </row>
    <row r="25" spans="1:12">
      <c r="A25">
        <v>26</v>
      </c>
      <c r="B25" t="s">
        <v>1718</v>
      </c>
      <c r="C25">
        <v>335</v>
      </c>
      <c r="D25" s="3">
        <v>4114583</v>
      </c>
      <c r="E25" s="12">
        <v>451319</v>
      </c>
      <c r="F25" s="6">
        <v>71821</v>
      </c>
      <c r="G25" s="35">
        <v>0</v>
      </c>
      <c r="H25" s="16">
        <v>3591443</v>
      </c>
      <c r="I25">
        <v>87.3</v>
      </c>
      <c r="J25">
        <v>1.7</v>
      </c>
      <c r="K25">
        <v>11</v>
      </c>
      <c r="L25">
        <v>0</v>
      </c>
    </row>
    <row r="26" spans="1:12">
      <c r="A26">
        <v>27</v>
      </c>
      <c r="B26" t="s">
        <v>1719</v>
      </c>
      <c r="C26">
        <v>2083</v>
      </c>
      <c r="D26" s="3">
        <v>28773187</v>
      </c>
      <c r="E26" s="12">
        <v>8496418</v>
      </c>
      <c r="F26" s="6">
        <v>720791</v>
      </c>
      <c r="G26" s="35">
        <v>0</v>
      </c>
      <c r="H26" s="16">
        <v>19555978</v>
      </c>
      <c r="I26">
        <v>68</v>
      </c>
      <c r="J26">
        <v>2.5</v>
      </c>
      <c r="K26">
        <v>29.5</v>
      </c>
      <c r="L26">
        <v>0</v>
      </c>
    </row>
    <row r="27" spans="1:12">
      <c r="A27">
        <v>28</v>
      </c>
      <c r="B27" t="s">
        <v>1720</v>
      </c>
      <c r="C27">
        <v>3164</v>
      </c>
      <c r="D27" s="3">
        <v>38409923</v>
      </c>
      <c r="E27" s="12">
        <v>27896504</v>
      </c>
      <c r="F27" s="6">
        <v>866798</v>
      </c>
      <c r="G27" s="35">
        <v>126662</v>
      </c>
      <c r="H27" s="16">
        <v>9519959</v>
      </c>
      <c r="I27">
        <v>24.8</v>
      </c>
      <c r="J27">
        <v>2.2999999999999998</v>
      </c>
      <c r="K27">
        <v>72.599999999999994</v>
      </c>
      <c r="L27">
        <v>0.3</v>
      </c>
    </row>
    <row r="28" spans="1:12">
      <c r="A28">
        <v>29</v>
      </c>
      <c r="B28" t="s">
        <v>1721</v>
      </c>
      <c r="C28">
        <v>121</v>
      </c>
      <c r="D28" s="3">
        <v>1728401</v>
      </c>
      <c r="E28" s="12">
        <v>241821</v>
      </c>
      <c r="F28" s="6">
        <v>49332</v>
      </c>
      <c r="G28" s="35">
        <v>5386</v>
      </c>
      <c r="H28" s="16">
        <v>1431862</v>
      </c>
      <c r="I28">
        <v>82.8</v>
      </c>
      <c r="J28">
        <v>2.9</v>
      </c>
      <c r="K28">
        <v>14</v>
      </c>
      <c r="L28">
        <v>0.3</v>
      </c>
    </row>
    <row r="29" spans="1:12">
      <c r="A29">
        <v>30</v>
      </c>
      <c r="B29" t="s">
        <v>1722</v>
      </c>
      <c r="C29">
        <v>614</v>
      </c>
      <c r="D29" s="3">
        <v>12096597</v>
      </c>
      <c r="E29" s="12">
        <v>2799281</v>
      </c>
      <c r="F29" s="6">
        <v>193992</v>
      </c>
      <c r="G29" s="35">
        <v>34456</v>
      </c>
      <c r="H29" s="16">
        <v>9068868</v>
      </c>
      <c r="I29">
        <v>75</v>
      </c>
      <c r="J29">
        <v>1.6</v>
      </c>
      <c r="K29">
        <v>23.1</v>
      </c>
      <c r="L29">
        <v>0.3</v>
      </c>
    </row>
    <row r="30" spans="1:12">
      <c r="A30">
        <v>31</v>
      </c>
      <c r="B30" t="s">
        <v>1723</v>
      </c>
      <c r="C30">
        <v>129</v>
      </c>
      <c r="D30" s="3">
        <v>2985298</v>
      </c>
      <c r="E30" s="12">
        <v>144080</v>
      </c>
      <c r="F30" s="6">
        <v>64039</v>
      </c>
      <c r="G30" s="35">
        <v>1417</v>
      </c>
      <c r="H30" s="16">
        <v>2775762</v>
      </c>
      <c r="I30">
        <v>93</v>
      </c>
      <c r="J30">
        <v>2.1</v>
      </c>
      <c r="K30">
        <v>4.8</v>
      </c>
      <c r="L30">
        <v>0</v>
      </c>
    </row>
    <row r="31" spans="1:12">
      <c r="A31">
        <v>32</v>
      </c>
      <c r="B31" t="s">
        <v>1724</v>
      </c>
      <c r="C31">
        <v>2034</v>
      </c>
      <c r="D31" s="3">
        <v>23094525</v>
      </c>
      <c r="E31" s="12">
        <v>8897357</v>
      </c>
      <c r="F31" s="6">
        <v>522527</v>
      </c>
      <c r="G31" s="35">
        <v>105609</v>
      </c>
      <c r="H31" s="16">
        <v>13569032</v>
      </c>
      <c r="I31">
        <v>58.8</v>
      </c>
      <c r="J31">
        <v>2.2999999999999998</v>
      </c>
      <c r="K31">
        <v>38.5</v>
      </c>
      <c r="L31">
        <v>0.5</v>
      </c>
    </row>
    <row r="32" spans="1:12">
      <c r="A32">
        <v>33</v>
      </c>
      <c r="B32" t="s">
        <v>1725</v>
      </c>
      <c r="C32">
        <v>1978</v>
      </c>
      <c r="D32" s="3">
        <v>26219766</v>
      </c>
      <c r="E32" s="12">
        <v>4581723</v>
      </c>
      <c r="F32" s="6">
        <v>492498</v>
      </c>
      <c r="G32" s="35">
        <v>62885</v>
      </c>
      <c r="H32" s="16">
        <v>21082660</v>
      </c>
      <c r="I32">
        <v>80.400000000000006</v>
      </c>
      <c r="J32">
        <v>1.9</v>
      </c>
      <c r="K32">
        <v>17.5</v>
      </c>
      <c r="L32">
        <v>0.2</v>
      </c>
    </row>
    <row r="33" spans="1:12">
      <c r="A33">
        <v>34</v>
      </c>
      <c r="B33" t="s">
        <v>1726</v>
      </c>
      <c r="C33">
        <v>9537</v>
      </c>
      <c r="D33" s="3">
        <v>124931404</v>
      </c>
      <c r="E33" s="12">
        <v>33644942</v>
      </c>
      <c r="F33" s="6">
        <v>4851755</v>
      </c>
      <c r="G33" s="35">
        <v>859434</v>
      </c>
      <c r="H33" s="16">
        <v>85575273</v>
      </c>
      <c r="I33">
        <v>68.5</v>
      </c>
      <c r="J33">
        <v>3.9</v>
      </c>
      <c r="K33">
        <v>26.9</v>
      </c>
      <c r="L33">
        <v>0.7</v>
      </c>
    </row>
    <row r="34" spans="1:12">
      <c r="A34">
        <v>35</v>
      </c>
      <c r="B34" t="s">
        <v>1727</v>
      </c>
      <c r="C34">
        <v>4553</v>
      </c>
      <c r="D34" s="3">
        <v>72563210</v>
      </c>
      <c r="E34" s="12">
        <v>4612492</v>
      </c>
      <c r="F34" s="6">
        <v>766054</v>
      </c>
      <c r="G34" s="35">
        <v>0</v>
      </c>
      <c r="H34" s="16">
        <v>67184664</v>
      </c>
      <c r="I34">
        <v>92.6</v>
      </c>
      <c r="J34">
        <v>1.1000000000000001</v>
      </c>
      <c r="K34">
        <v>6.4</v>
      </c>
      <c r="L34">
        <v>0</v>
      </c>
    </row>
    <row r="35" spans="1:12">
      <c r="A35">
        <v>36</v>
      </c>
      <c r="B35" t="s">
        <v>1728</v>
      </c>
      <c r="C35">
        <v>358</v>
      </c>
      <c r="D35" s="3">
        <v>4856946</v>
      </c>
      <c r="E35" s="12">
        <v>864044</v>
      </c>
      <c r="F35" s="6">
        <v>112850</v>
      </c>
      <c r="G35" s="35">
        <v>0</v>
      </c>
      <c r="H35" s="16">
        <v>3880052</v>
      </c>
      <c r="I35">
        <v>79.900000000000006</v>
      </c>
      <c r="J35">
        <v>2.2999999999999998</v>
      </c>
      <c r="K35">
        <v>17.8</v>
      </c>
      <c r="L35">
        <v>0</v>
      </c>
    </row>
    <row r="36" spans="1:12">
      <c r="A36">
        <v>37</v>
      </c>
      <c r="B36" t="s">
        <v>1729</v>
      </c>
      <c r="C36">
        <v>1446</v>
      </c>
      <c r="D36" s="3">
        <v>17692949</v>
      </c>
      <c r="E36" s="12">
        <v>7290029</v>
      </c>
      <c r="F36" s="6">
        <v>621708</v>
      </c>
      <c r="G36" s="35">
        <v>0</v>
      </c>
      <c r="H36" s="16">
        <v>9781212</v>
      </c>
      <c r="I36">
        <v>55.3</v>
      </c>
      <c r="J36">
        <v>3.5</v>
      </c>
      <c r="K36">
        <v>41.2</v>
      </c>
      <c r="L36">
        <v>0</v>
      </c>
    </row>
    <row r="37" spans="1:12">
      <c r="A37">
        <v>39</v>
      </c>
      <c r="B37" t="s">
        <v>1730</v>
      </c>
      <c r="C37">
        <v>173</v>
      </c>
      <c r="D37" s="3">
        <v>3427280</v>
      </c>
      <c r="E37" s="12">
        <v>1040617</v>
      </c>
      <c r="F37" s="6">
        <v>88573</v>
      </c>
      <c r="G37" s="35">
        <v>13446</v>
      </c>
      <c r="H37" s="16">
        <v>2284644</v>
      </c>
      <c r="I37">
        <v>66.7</v>
      </c>
      <c r="J37">
        <v>2.6</v>
      </c>
      <c r="K37">
        <v>30.4</v>
      </c>
      <c r="L37">
        <v>0.4</v>
      </c>
    </row>
    <row r="38" spans="1:12">
      <c r="A38">
        <v>40</v>
      </c>
      <c r="B38" t="s">
        <v>1731</v>
      </c>
      <c r="C38">
        <v>924</v>
      </c>
      <c r="D38" s="3">
        <v>12480686</v>
      </c>
      <c r="E38" s="12">
        <v>1208911</v>
      </c>
      <c r="F38" s="6">
        <v>150291</v>
      </c>
      <c r="G38" s="35">
        <v>26835</v>
      </c>
      <c r="H38" s="16">
        <v>11094649</v>
      </c>
      <c r="I38">
        <v>88.9</v>
      </c>
      <c r="J38">
        <v>1.2</v>
      </c>
      <c r="K38">
        <v>9.6999999999999993</v>
      </c>
      <c r="L38">
        <v>0.2</v>
      </c>
    </row>
    <row r="39" spans="1:12">
      <c r="A39">
        <v>41</v>
      </c>
      <c r="B39" t="s">
        <v>1732</v>
      </c>
      <c r="C39">
        <v>1381</v>
      </c>
      <c r="D39" s="3">
        <v>20495370</v>
      </c>
      <c r="E39" s="12">
        <v>6727507</v>
      </c>
      <c r="F39" s="6">
        <v>418578</v>
      </c>
      <c r="G39" s="35">
        <v>743358</v>
      </c>
      <c r="H39" s="16">
        <v>12605927</v>
      </c>
      <c r="I39">
        <v>61.5</v>
      </c>
      <c r="J39">
        <v>2</v>
      </c>
      <c r="K39">
        <v>32.799999999999997</v>
      </c>
      <c r="L39">
        <v>3.6</v>
      </c>
    </row>
    <row r="40" spans="1:12">
      <c r="A40">
        <v>42</v>
      </c>
      <c r="B40" t="s">
        <v>1733</v>
      </c>
      <c r="C40">
        <v>2055</v>
      </c>
      <c r="D40" s="3">
        <v>24894783</v>
      </c>
      <c r="E40" s="12">
        <v>8067683</v>
      </c>
      <c r="F40" s="6">
        <v>482320</v>
      </c>
      <c r="G40" s="35">
        <v>59889</v>
      </c>
      <c r="H40" s="16">
        <v>16284891</v>
      </c>
      <c r="I40">
        <v>65.400000000000006</v>
      </c>
      <c r="J40">
        <v>1.9</v>
      </c>
      <c r="K40">
        <v>32.4</v>
      </c>
      <c r="L40">
        <v>0.2</v>
      </c>
    </row>
    <row r="41" spans="1:12">
      <c r="A41">
        <v>43</v>
      </c>
      <c r="B41" t="s">
        <v>1734</v>
      </c>
      <c r="C41">
        <v>7496</v>
      </c>
      <c r="D41" s="3">
        <v>93892497</v>
      </c>
      <c r="E41" s="12">
        <v>46828224</v>
      </c>
      <c r="F41" s="6">
        <v>5346473</v>
      </c>
      <c r="G41" s="35">
        <v>1852517</v>
      </c>
      <c r="H41" s="16">
        <v>39865283</v>
      </c>
      <c r="I41">
        <v>42.5</v>
      </c>
      <c r="J41">
        <v>5.7</v>
      </c>
      <c r="K41">
        <v>49.9</v>
      </c>
      <c r="L41">
        <v>2</v>
      </c>
    </row>
    <row r="42" spans="1:12">
      <c r="A42">
        <v>44</v>
      </c>
      <c r="B42" t="s">
        <v>1735</v>
      </c>
      <c r="C42">
        <v>3625</v>
      </c>
      <c r="D42" s="3">
        <v>49875977</v>
      </c>
      <c r="E42" s="12">
        <v>20976280</v>
      </c>
      <c r="F42" s="6">
        <v>1083019</v>
      </c>
      <c r="G42" s="35">
        <v>1392445</v>
      </c>
      <c r="H42" s="16">
        <v>26424233</v>
      </c>
      <c r="I42">
        <v>53</v>
      </c>
      <c r="J42">
        <v>2.2000000000000002</v>
      </c>
      <c r="K42">
        <v>42.1</v>
      </c>
      <c r="L42">
        <v>2.8</v>
      </c>
    </row>
    <row r="43" spans="1:12">
      <c r="A43">
        <v>45</v>
      </c>
      <c r="B43" t="s">
        <v>1736</v>
      </c>
      <c r="C43">
        <v>3163</v>
      </c>
      <c r="D43" s="3">
        <v>41967122</v>
      </c>
      <c r="E43" s="12">
        <v>7424208</v>
      </c>
      <c r="F43" s="6">
        <v>809035</v>
      </c>
      <c r="G43" s="35">
        <v>2765196</v>
      </c>
      <c r="H43" s="16">
        <v>30968683</v>
      </c>
      <c r="I43">
        <v>73.8</v>
      </c>
      <c r="J43">
        <v>1.9</v>
      </c>
      <c r="K43">
        <v>17.7</v>
      </c>
      <c r="L43">
        <v>6.6</v>
      </c>
    </row>
    <row r="44" spans="1:12">
      <c r="A44">
        <v>46</v>
      </c>
      <c r="B44" t="s">
        <v>1737</v>
      </c>
      <c r="C44">
        <v>1117</v>
      </c>
      <c r="D44" s="3">
        <v>17097644</v>
      </c>
      <c r="E44" s="12">
        <v>835715</v>
      </c>
      <c r="F44" s="6">
        <v>181207</v>
      </c>
      <c r="G44" s="35">
        <v>50994</v>
      </c>
      <c r="H44" s="16">
        <v>16029728</v>
      </c>
      <c r="I44">
        <v>93.8</v>
      </c>
      <c r="J44">
        <v>1.1000000000000001</v>
      </c>
      <c r="K44">
        <v>4.9000000000000004</v>
      </c>
      <c r="L44">
        <v>0.3</v>
      </c>
    </row>
    <row r="45" spans="1:12">
      <c r="A45">
        <v>47</v>
      </c>
      <c r="B45" t="s">
        <v>1738</v>
      </c>
      <c r="C45">
        <v>1458</v>
      </c>
      <c r="D45" s="3">
        <v>18119429</v>
      </c>
      <c r="E45" s="12">
        <v>6168817</v>
      </c>
      <c r="F45" s="6">
        <v>420446</v>
      </c>
      <c r="G45" s="35">
        <v>120166</v>
      </c>
      <c r="H45" s="16">
        <v>11410000</v>
      </c>
      <c r="I45">
        <v>63</v>
      </c>
      <c r="J45">
        <v>2.2999999999999998</v>
      </c>
      <c r="K45">
        <v>34</v>
      </c>
      <c r="L45">
        <v>0.7</v>
      </c>
    </row>
    <row r="46" spans="1:12">
      <c r="A46">
        <v>48</v>
      </c>
      <c r="B46" t="s">
        <v>1739</v>
      </c>
      <c r="C46">
        <v>2484</v>
      </c>
      <c r="D46" s="3">
        <v>28693718</v>
      </c>
      <c r="E46" s="12">
        <v>8923522</v>
      </c>
      <c r="F46" s="6">
        <v>556957</v>
      </c>
      <c r="G46" s="35">
        <v>60260</v>
      </c>
      <c r="H46" s="16">
        <v>19152979</v>
      </c>
      <c r="I46">
        <v>66.7</v>
      </c>
      <c r="J46">
        <v>1.9</v>
      </c>
      <c r="K46">
        <v>31.1</v>
      </c>
      <c r="L46">
        <v>0.2</v>
      </c>
    </row>
    <row r="47" spans="1:12">
      <c r="A47">
        <v>49</v>
      </c>
      <c r="B47" t="s">
        <v>1740</v>
      </c>
      <c r="C47">
        <v>6334</v>
      </c>
      <c r="D47" s="3">
        <v>75811751</v>
      </c>
      <c r="E47" s="12">
        <v>28463679</v>
      </c>
      <c r="F47" s="6">
        <v>2836521</v>
      </c>
      <c r="G47" s="35">
        <v>223817</v>
      </c>
      <c r="H47" s="16">
        <v>44287734</v>
      </c>
      <c r="I47">
        <v>58.4</v>
      </c>
      <c r="J47">
        <v>3.7</v>
      </c>
      <c r="K47">
        <v>37.5</v>
      </c>
      <c r="L47">
        <v>0.3</v>
      </c>
    </row>
    <row r="48" spans="1:12">
      <c r="A48">
        <v>50</v>
      </c>
      <c r="B48" t="s">
        <v>1741</v>
      </c>
      <c r="C48">
        <v>550</v>
      </c>
      <c r="D48" s="3">
        <v>6393524</v>
      </c>
      <c r="E48" s="12">
        <v>308419</v>
      </c>
      <c r="F48" s="6">
        <v>136352</v>
      </c>
      <c r="G48" s="35">
        <v>0</v>
      </c>
      <c r="H48" s="16">
        <v>5948753</v>
      </c>
      <c r="I48">
        <v>93</v>
      </c>
      <c r="J48">
        <v>2.1</v>
      </c>
      <c r="K48">
        <v>4.8</v>
      </c>
      <c r="L48">
        <v>0</v>
      </c>
    </row>
    <row r="49" spans="1:12">
      <c r="A49">
        <v>51</v>
      </c>
      <c r="B49" t="s">
        <v>1742</v>
      </c>
      <c r="C49">
        <v>9352</v>
      </c>
      <c r="D49" s="3">
        <v>153558711</v>
      </c>
      <c r="E49" s="12">
        <v>7311950</v>
      </c>
      <c r="F49" s="6">
        <v>2577350</v>
      </c>
      <c r="G49" s="35">
        <v>35790</v>
      </c>
      <c r="H49" s="16">
        <v>143633621</v>
      </c>
      <c r="I49">
        <v>93.5</v>
      </c>
      <c r="J49">
        <v>1.7</v>
      </c>
      <c r="K49">
        <v>4.8</v>
      </c>
      <c r="L49">
        <v>0</v>
      </c>
    </row>
    <row r="50" spans="1:12">
      <c r="A50">
        <v>52</v>
      </c>
      <c r="B50" t="s">
        <v>1743</v>
      </c>
      <c r="C50">
        <v>4193</v>
      </c>
      <c r="D50" s="3">
        <v>54859121</v>
      </c>
      <c r="E50" s="12">
        <v>3154782</v>
      </c>
      <c r="F50" s="6">
        <v>822986</v>
      </c>
      <c r="G50" s="35">
        <v>403430</v>
      </c>
      <c r="H50" s="16">
        <v>50477923</v>
      </c>
      <c r="I50">
        <v>92</v>
      </c>
      <c r="J50">
        <v>1.5</v>
      </c>
      <c r="K50">
        <v>5.8</v>
      </c>
      <c r="L50">
        <v>0.7</v>
      </c>
    </row>
    <row r="51" spans="1:12">
      <c r="A51">
        <v>53</v>
      </c>
      <c r="B51" t="s">
        <v>1744</v>
      </c>
      <c r="C51">
        <v>210</v>
      </c>
      <c r="D51" s="3">
        <v>4328191</v>
      </c>
      <c r="E51" s="12">
        <v>1114920</v>
      </c>
      <c r="F51" s="6">
        <v>102136</v>
      </c>
      <c r="G51" s="35">
        <v>14713</v>
      </c>
      <c r="H51" s="16">
        <v>3096422</v>
      </c>
      <c r="I51">
        <v>71.5</v>
      </c>
      <c r="J51">
        <v>2.4</v>
      </c>
      <c r="K51">
        <v>25.8</v>
      </c>
      <c r="L51">
        <v>0.3</v>
      </c>
    </row>
    <row r="52" spans="1:12">
      <c r="A52">
        <v>54</v>
      </c>
      <c r="B52" t="s">
        <v>1745</v>
      </c>
      <c r="C52">
        <v>6698</v>
      </c>
      <c r="D52" s="3">
        <v>93319645</v>
      </c>
      <c r="E52" s="12">
        <v>15122235</v>
      </c>
      <c r="F52" s="6">
        <v>1478719</v>
      </c>
      <c r="G52" s="35">
        <v>431032</v>
      </c>
      <c r="H52" s="16">
        <v>76287659</v>
      </c>
      <c r="I52">
        <v>81.7</v>
      </c>
      <c r="J52">
        <v>1.6</v>
      </c>
      <c r="K52">
        <v>16.2</v>
      </c>
      <c r="L52">
        <v>0.5</v>
      </c>
    </row>
    <row r="53" spans="1:12">
      <c r="A53">
        <v>56</v>
      </c>
      <c r="B53" t="s">
        <v>1746</v>
      </c>
      <c r="C53">
        <v>2278</v>
      </c>
      <c r="D53" s="3">
        <v>29314807</v>
      </c>
      <c r="E53" s="12">
        <v>7143961</v>
      </c>
      <c r="F53" s="6">
        <v>417800</v>
      </c>
      <c r="G53" s="35">
        <v>553909</v>
      </c>
      <c r="H53" s="16">
        <v>21199137</v>
      </c>
      <c r="I53">
        <v>72.3</v>
      </c>
      <c r="J53">
        <v>1.4</v>
      </c>
      <c r="K53">
        <v>24.4</v>
      </c>
      <c r="L53">
        <v>1.9</v>
      </c>
    </row>
    <row r="54" spans="1:12">
      <c r="A54">
        <v>57</v>
      </c>
      <c r="B54" t="s">
        <v>1747</v>
      </c>
      <c r="C54">
        <v>8818</v>
      </c>
      <c r="D54" s="3">
        <v>175147100</v>
      </c>
      <c r="E54" s="12">
        <v>6001132</v>
      </c>
      <c r="F54" s="6">
        <v>2668881</v>
      </c>
      <c r="G54" s="35">
        <v>611415</v>
      </c>
      <c r="H54" s="16">
        <v>165865672</v>
      </c>
      <c r="I54">
        <v>94.7</v>
      </c>
      <c r="J54">
        <v>1.5</v>
      </c>
      <c r="K54">
        <v>3.4</v>
      </c>
      <c r="L54">
        <v>0.3</v>
      </c>
    </row>
    <row r="55" spans="1:12">
      <c r="A55">
        <v>58</v>
      </c>
      <c r="B55" t="s">
        <v>1748</v>
      </c>
      <c r="C55">
        <v>2094</v>
      </c>
      <c r="D55" s="3">
        <v>25711190</v>
      </c>
      <c r="E55" s="12">
        <v>11737657</v>
      </c>
      <c r="F55" s="6">
        <v>864686</v>
      </c>
      <c r="G55" s="35">
        <v>2333104</v>
      </c>
      <c r="H55" s="16">
        <v>10775743</v>
      </c>
      <c r="I55">
        <v>41.9</v>
      </c>
      <c r="J55">
        <v>3.4</v>
      </c>
      <c r="K55">
        <v>45.7</v>
      </c>
      <c r="L55">
        <v>9.1</v>
      </c>
    </row>
    <row r="56" spans="1:12">
      <c r="A56">
        <v>59</v>
      </c>
      <c r="B56" t="s">
        <v>1749</v>
      </c>
      <c r="C56">
        <v>4986</v>
      </c>
      <c r="D56" s="3">
        <v>95317502</v>
      </c>
      <c r="E56" s="12">
        <v>48956911</v>
      </c>
      <c r="F56" s="6">
        <v>2224284</v>
      </c>
      <c r="G56" s="35">
        <v>117528</v>
      </c>
      <c r="H56" s="16">
        <v>44018779</v>
      </c>
      <c r="I56">
        <v>46.2</v>
      </c>
      <c r="J56">
        <v>2.2999999999999998</v>
      </c>
      <c r="K56">
        <v>51.4</v>
      </c>
      <c r="L56">
        <v>0.1</v>
      </c>
    </row>
    <row r="57" spans="1:12">
      <c r="A57">
        <v>60</v>
      </c>
      <c r="B57" t="s">
        <v>1750</v>
      </c>
      <c r="C57">
        <v>3735</v>
      </c>
      <c r="D57" s="3">
        <v>48573148</v>
      </c>
      <c r="E57" s="12">
        <v>4831646</v>
      </c>
      <c r="F57" s="6">
        <v>910735</v>
      </c>
      <c r="G57" s="35">
        <v>23437</v>
      </c>
      <c r="H57" s="16">
        <v>42807330</v>
      </c>
      <c r="I57">
        <v>88.1</v>
      </c>
      <c r="J57">
        <v>1.9</v>
      </c>
      <c r="K57">
        <v>9.9</v>
      </c>
      <c r="L57">
        <v>0</v>
      </c>
    </row>
    <row r="58" spans="1:12">
      <c r="A58">
        <v>62</v>
      </c>
      <c r="B58" t="s">
        <v>1751</v>
      </c>
      <c r="C58">
        <v>6161</v>
      </c>
      <c r="D58" s="3">
        <v>103592564</v>
      </c>
      <c r="E58" s="12">
        <v>28733329</v>
      </c>
      <c r="F58" s="6">
        <v>2838597</v>
      </c>
      <c r="G58" s="35">
        <v>203900</v>
      </c>
      <c r="H58" s="16">
        <v>71816738</v>
      </c>
      <c r="I58">
        <v>69.3</v>
      </c>
      <c r="J58">
        <v>2.7</v>
      </c>
      <c r="K58">
        <v>27.7</v>
      </c>
      <c r="L58">
        <v>0.2</v>
      </c>
    </row>
    <row r="59" spans="1:12">
      <c r="A59">
        <v>63</v>
      </c>
      <c r="B59" t="s">
        <v>1752</v>
      </c>
      <c r="C59">
        <v>144</v>
      </c>
      <c r="D59" s="3">
        <v>2499611</v>
      </c>
      <c r="E59" s="12">
        <v>1043716</v>
      </c>
      <c r="F59" s="6">
        <v>54016</v>
      </c>
      <c r="G59" s="35">
        <v>34426</v>
      </c>
      <c r="H59" s="16">
        <v>1367453</v>
      </c>
      <c r="I59">
        <v>54.7</v>
      </c>
      <c r="J59">
        <v>2.2000000000000002</v>
      </c>
      <c r="K59">
        <v>41.8</v>
      </c>
      <c r="L59">
        <v>1.4</v>
      </c>
    </row>
    <row r="60" spans="1:12">
      <c r="A60">
        <v>64</v>
      </c>
      <c r="B60" t="s">
        <v>1753</v>
      </c>
      <c r="C60">
        <v>21520</v>
      </c>
      <c r="D60" s="3">
        <v>451237452</v>
      </c>
      <c r="E60" s="12">
        <v>296221651</v>
      </c>
      <c r="F60" s="6">
        <v>42254074</v>
      </c>
      <c r="G60" s="35">
        <v>8925857</v>
      </c>
      <c r="H60" s="16">
        <v>103835870</v>
      </c>
      <c r="I60">
        <v>23</v>
      </c>
      <c r="J60">
        <v>9.4</v>
      </c>
      <c r="K60">
        <v>65.599999999999994</v>
      </c>
      <c r="L60">
        <v>2</v>
      </c>
    </row>
    <row r="61" spans="1:12">
      <c r="A61">
        <v>65</v>
      </c>
      <c r="B61" t="s">
        <v>1754</v>
      </c>
      <c r="C61">
        <v>219</v>
      </c>
      <c r="D61" s="3">
        <v>4656964</v>
      </c>
      <c r="E61" s="12">
        <v>1402378</v>
      </c>
      <c r="F61" s="6">
        <v>86728</v>
      </c>
      <c r="G61" s="35">
        <v>18413</v>
      </c>
      <c r="H61" s="16">
        <v>3149445</v>
      </c>
      <c r="I61">
        <v>67.599999999999994</v>
      </c>
      <c r="J61">
        <v>1.9</v>
      </c>
      <c r="K61">
        <v>30.1</v>
      </c>
      <c r="L61">
        <v>0.4</v>
      </c>
    </row>
    <row r="62" spans="1:12">
      <c r="A62">
        <v>67</v>
      </c>
      <c r="B62" t="s">
        <v>1755</v>
      </c>
      <c r="C62">
        <v>1155</v>
      </c>
      <c r="D62" s="3">
        <v>11574374</v>
      </c>
      <c r="E62" s="12">
        <v>3597448</v>
      </c>
      <c r="F62" s="6">
        <v>250790</v>
      </c>
      <c r="G62" s="35">
        <v>0</v>
      </c>
      <c r="H62" s="16">
        <v>7726136</v>
      </c>
      <c r="I62">
        <v>66.8</v>
      </c>
      <c r="J62">
        <v>2.2000000000000002</v>
      </c>
      <c r="K62">
        <v>31.1</v>
      </c>
      <c r="L62">
        <v>0</v>
      </c>
    </row>
    <row r="63" spans="1:12">
      <c r="A63">
        <v>68</v>
      </c>
      <c r="B63" t="s">
        <v>1756</v>
      </c>
      <c r="C63">
        <v>258</v>
      </c>
      <c r="D63" s="3">
        <v>4579729</v>
      </c>
      <c r="E63" s="12">
        <v>138975</v>
      </c>
      <c r="F63" s="6">
        <v>66539</v>
      </c>
      <c r="G63" s="35">
        <v>2970</v>
      </c>
      <c r="H63" s="16">
        <v>4371245</v>
      </c>
      <c r="I63">
        <v>95.4</v>
      </c>
      <c r="J63">
        <v>1.5</v>
      </c>
      <c r="K63">
        <v>3</v>
      </c>
      <c r="L63">
        <v>0.1</v>
      </c>
    </row>
    <row r="64" spans="1:12">
      <c r="A64">
        <v>69</v>
      </c>
      <c r="B64" t="s">
        <v>1757</v>
      </c>
      <c r="C64">
        <v>2696</v>
      </c>
      <c r="D64" s="3">
        <v>36132365</v>
      </c>
      <c r="E64" s="12">
        <v>16810843</v>
      </c>
      <c r="F64" s="6">
        <v>1313357</v>
      </c>
      <c r="G64" s="35">
        <v>1603000</v>
      </c>
      <c r="H64" s="16">
        <v>16405165</v>
      </c>
      <c r="I64">
        <v>45.4</v>
      </c>
      <c r="J64">
        <v>3.6</v>
      </c>
      <c r="K64">
        <v>46.5</v>
      </c>
      <c r="L64">
        <v>4.4000000000000004</v>
      </c>
    </row>
    <row r="65" spans="1:12">
      <c r="A65">
        <v>71</v>
      </c>
      <c r="B65" t="s">
        <v>1758</v>
      </c>
      <c r="C65">
        <v>1502</v>
      </c>
      <c r="D65" s="3">
        <v>18112083</v>
      </c>
      <c r="E65" s="12">
        <v>5847678</v>
      </c>
      <c r="F65" s="6">
        <v>393999</v>
      </c>
      <c r="G65" s="35">
        <v>1806968</v>
      </c>
      <c r="H65" s="16">
        <v>10063438</v>
      </c>
      <c r="I65">
        <v>55.6</v>
      </c>
      <c r="J65">
        <v>2.2000000000000002</v>
      </c>
      <c r="K65">
        <v>32.299999999999997</v>
      </c>
      <c r="L65">
        <v>10</v>
      </c>
    </row>
    <row r="66" spans="1:12">
      <c r="A66">
        <v>72</v>
      </c>
      <c r="B66" t="s">
        <v>1759</v>
      </c>
      <c r="C66">
        <v>2876</v>
      </c>
      <c r="D66" s="3">
        <v>34080665</v>
      </c>
      <c r="E66" s="12">
        <v>12449782</v>
      </c>
      <c r="F66" s="6">
        <v>671039</v>
      </c>
      <c r="G66" s="35">
        <v>1367167</v>
      </c>
      <c r="H66" s="16">
        <v>19592677</v>
      </c>
      <c r="I66">
        <v>57.5</v>
      </c>
      <c r="J66">
        <v>2</v>
      </c>
      <c r="K66">
        <v>36.5</v>
      </c>
      <c r="L66">
        <v>4</v>
      </c>
    </row>
    <row r="67" spans="1:12">
      <c r="A67">
        <v>73</v>
      </c>
      <c r="B67" t="s">
        <v>1760</v>
      </c>
      <c r="C67">
        <v>558</v>
      </c>
      <c r="D67" s="3">
        <v>9395777</v>
      </c>
      <c r="E67" s="12">
        <v>3974934</v>
      </c>
      <c r="F67" s="6">
        <v>213964</v>
      </c>
      <c r="G67" s="35">
        <v>83282</v>
      </c>
      <c r="H67" s="16">
        <v>5123597</v>
      </c>
      <c r="I67">
        <v>54.5</v>
      </c>
      <c r="J67">
        <v>2.2999999999999998</v>
      </c>
      <c r="K67">
        <v>42.3</v>
      </c>
      <c r="L67">
        <v>0.9</v>
      </c>
    </row>
    <row r="68" spans="1:12">
      <c r="A68">
        <v>74</v>
      </c>
      <c r="B68" t="s">
        <v>1761</v>
      </c>
      <c r="C68">
        <v>1244</v>
      </c>
      <c r="D68" s="3">
        <v>35229046</v>
      </c>
      <c r="E68" s="12">
        <v>5290869</v>
      </c>
      <c r="F68" s="6">
        <v>339532</v>
      </c>
      <c r="G68" s="35">
        <v>19694</v>
      </c>
      <c r="H68" s="16">
        <v>29578951</v>
      </c>
      <c r="I68">
        <v>84</v>
      </c>
      <c r="J68">
        <v>1</v>
      </c>
      <c r="K68">
        <v>15</v>
      </c>
      <c r="L68">
        <v>0.1</v>
      </c>
    </row>
    <row r="69" spans="1:12">
      <c r="A69">
        <v>76</v>
      </c>
      <c r="B69" t="s">
        <v>1762</v>
      </c>
      <c r="C69">
        <v>3837</v>
      </c>
      <c r="D69" s="3">
        <v>44121905</v>
      </c>
      <c r="E69" s="12">
        <v>2224266</v>
      </c>
      <c r="F69" s="6">
        <v>673970</v>
      </c>
      <c r="G69" s="35">
        <v>320818</v>
      </c>
      <c r="H69" s="16">
        <v>40902851</v>
      </c>
      <c r="I69">
        <v>92.7</v>
      </c>
      <c r="J69">
        <v>1.5</v>
      </c>
      <c r="K69">
        <v>5</v>
      </c>
      <c r="L69">
        <v>0.7</v>
      </c>
    </row>
    <row r="70" spans="1:12">
      <c r="A70">
        <v>77</v>
      </c>
      <c r="B70" t="s">
        <v>1763</v>
      </c>
      <c r="C70">
        <v>6855</v>
      </c>
      <c r="D70" s="3">
        <v>95396001</v>
      </c>
      <c r="E70" s="12">
        <v>47983484</v>
      </c>
      <c r="F70" s="6">
        <v>4328453</v>
      </c>
      <c r="G70" s="35">
        <v>1136417</v>
      </c>
      <c r="H70" s="16">
        <v>41947647</v>
      </c>
      <c r="I70">
        <v>44</v>
      </c>
      <c r="J70">
        <v>4.5</v>
      </c>
      <c r="K70">
        <v>50.3</v>
      </c>
      <c r="L70">
        <v>1.2</v>
      </c>
    </row>
    <row r="71" spans="1:12">
      <c r="A71">
        <v>78</v>
      </c>
      <c r="B71" t="s">
        <v>1764</v>
      </c>
      <c r="C71">
        <v>1272</v>
      </c>
      <c r="D71" s="3">
        <v>20445642</v>
      </c>
      <c r="E71" s="12">
        <v>6749690</v>
      </c>
      <c r="F71" s="6">
        <v>472933</v>
      </c>
      <c r="G71" s="35">
        <v>36933</v>
      </c>
      <c r="H71" s="16">
        <v>13186086</v>
      </c>
      <c r="I71">
        <v>64.5</v>
      </c>
      <c r="J71">
        <v>2.2999999999999998</v>
      </c>
      <c r="K71">
        <v>33</v>
      </c>
      <c r="L71">
        <v>0.2</v>
      </c>
    </row>
    <row r="72" spans="1:12">
      <c r="A72">
        <v>79</v>
      </c>
      <c r="B72" t="s">
        <v>1765</v>
      </c>
      <c r="C72">
        <v>631</v>
      </c>
      <c r="D72" s="3">
        <v>7660825</v>
      </c>
      <c r="E72" s="12">
        <v>1615378</v>
      </c>
      <c r="F72" s="6">
        <v>107633</v>
      </c>
      <c r="G72" s="35">
        <v>4143</v>
      </c>
      <c r="H72" s="16">
        <v>5933671</v>
      </c>
      <c r="I72">
        <v>77.5</v>
      </c>
      <c r="J72">
        <v>1.4</v>
      </c>
      <c r="K72">
        <v>21.1</v>
      </c>
      <c r="L72">
        <v>0.1</v>
      </c>
    </row>
    <row r="73" spans="1:12">
      <c r="A73">
        <v>80</v>
      </c>
      <c r="B73" t="s">
        <v>1766</v>
      </c>
      <c r="C73">
        <v>8535</v>
      </c>
      <c r="D73" s="3">
        <v>115332374</v>
      </c>
      <c r="E73" s="12">
        <v>56095141</v>
      </c>
      <c r="F73" s="6">
        <v>5262263</v>
      </c>
      <c r="G73" s="35">
        <v>456893</v>
      </c>
      <c r="H73" s="16">
        <v>53518077</v>
      </c>
      <c r="I73">
        <v>46.4</v>
      </c>
      <c r="J73">
        <v>4.5999999999999996</v>
      </c>
      <c r="K73">
        <v>48.6</v>
      </c>
      <c r="L73">
        <v>0.4</v>
      </c>
    </row>
    <row r="74" spans="1:12">
      <c r="A74">
        <v>83</v>
      </c>
      <c r="B74" t="s">
        <v>1767</v>
      </c>
      <c r="C74">
        <v>4964</v>
      </c>
      <c r="D74" s="3">
        <v>103461323</v>
      </c>
      <c r="E74" s="12">
        <v>40117140</v>
      </c>
      <c r="F74" s="6">
        <v>3060179</v>
      </c>
      <c r="G74" s="35">
        <v>524635</v>
      </c>
      <c r="H74" s="16">
        <v>59759369</v>
      </c>
      <c r="I74">
        <v>57.8</v>
      </c>
      <c r="J74">
        <v>3</v>
      </c>
      <c r="K74">
        <v>38.799999999999997</v>
      </c>
      <c r="L74">
        <v>0.5</v>
      </c>
    </row>
    <row r="75" spans="1:12">
      <c r="A75">
        <v>84</v>
      </c>
      <c r="B75" t="s">
        <v>1768</v>
      </c>
      <c r="C75">
        <v>7320</v>
      </c>
      <c r="D75" s="3">
        <v>99149313</v>
      </c>
      <c r="E75" s="12">
        <v>12367418</v>
      </c>
      <c r="F75" s="6">
        <v>2330428</v>
      </c>
      <c r="G75" s="35">
        <v>117056</v>
      </c>
      <c r="H75" s="16">
        <v>84334411</v>
      </c>
      <c r="I75">
        <v>85.1</v>
      </c>
      <c r="J75">
        <v>2.4</v>
      </c>
      <c r="K75">
        <v>12.5</v>
      </c>
      <c r="L75">
        <v>0.1</v>
      </c>
    </row>
    <row r="76" spans="1:12">
      <c r="A76">
        <v>85</v>
      </c>
      <c r="B76" t="s">
        <v>1769</v>
      </c>
      <c r="C76">
        <v>4318</v>
      </c>
      <c r="D76" s="3">
        <v>50159765</v>
      </c>
      <c r="E76" s="12">
        <v>7112638</v>
      </c>
      <c r="F76" s="6">
        <v>820021</v>
      </c>
      <c r="G76" s="35">
        <v>2366125</v>
      </c>
      <c r="H76" s="16">
        <v>39860981</v>
      </c>
      <c r="I76">
        <v>79.5</v>
      </c>
      <c r="J76">
        <v>1.6</v>
      </c>
      <c r="K76">
        <v>14.2</v>
      </c>
      <c r="L76">
        <v>4.7</v>
      </c>
    </row>
    <row r="77" spans="1:12">
      <c r="A77">
        <v>86</v>
      </c>
      <c r="B77" t="s">
        <v>1770</v>
      </c>
      <c r="C77">
        <v>2883</v>
      </c>
      <c r="D77" s="3">
        <v>47310526</v>
      </c>
      <c r="E77" s="12">
        <v>23290239</v>
      </c>
      <c r="F77" s="6">
        <v>987246</v>
      </c>
      <c r="G77" s="35">
        <v>464871</v>
      </c>
      <c r="H77" s="16">
        <v>22568170</v>
      </c>
      <c r="I77">
        <v>47.7</v>
      </c>
      <c r="J77">
        <v>2.1</v>
      </c>
      <c r="K77">
        <v>49.2</v>
      </c>
      <c r="L77">
        <v>1</v>
      </c>
    </row>
    <row r="78" spans="1:12">
      <c r="A78">
        <v>88</v>
      </c>
      <c r="B78" t="s">
        <v>1771</v>
      </c>
      <c r="C78">
        <v>4932</v>
      </c>
      <c r="D78" s="3">
        <v>59145037</v>
      </c>
      <c r="E78" s="12">
        <v>28301610</v>
      </c>
      <c r="F78" s="6">
        <v>2484518</v>
      </c>
      <c r="G78" s="35">
        <v>187050</v>
      </c>
      <c r="H78" s="16">
        <v>28171859</v>
      </c>
      <c r="I78">
        <v>47.6</v>
      </c>
      <c r="J78">
        <v>4.2</v>
      </c>
      <c r="K78">
        <v>47.9</v>
      </c>
      <c r="L78">
        <v>0.3</v>
      </c>
    </row>
    <row r="79" spans="1:12">
      <c r="A79">
        <v>89</v>
      </c>
      <c r="B79" t="s">
        <v>1772</v>
      </c>
      <c r="C79">
        <v>10635</v>
      </c>
      <c r="D79" s="3">
        <v>143890644</v>
      </c>
      <c r="E79" s="12">
        <v>85262879</v>
      </c>
      <c r="F79" s="6">
        <v>9839202</v>
      </c>
      <c r="G79" s="35">
        <v>1231321</v>
      </c>
      <c r="H79" s="16">
        <v>47557242</v>
      </c>
      <c r="I79">
        <v>33.1</v>
      </c>
      <c r="J79">
        <v>6.8</v>
      </c>
      <c r="K79">
        <v>59.3</v>
      </c>
      <c r="L79">
        <v>0.9</v>
      </c>
    </row>
    <row r="80" spans="1:12">
      <c r="A80">
        <v>90</v>
      </c>
      <c r="B80" t="s">
        <v>1773</v>
      </c>
      <c r="C80">
        <v>4069</v>
      </c>
      <c r="D80" s="3">
        <v>67857923</v>
      </c>
      <c r="E80" s="12">
        <v>4781444</v>
      </c>
      <c r="F80" s="6">
        <v>506379</v>
      </c>
      <c r="G80" s="35">
        <v>0</v>
      </c>
      <c r="H80" s="16">
        <v>62570100</v>
      </c>
      <c r="I80">
        <v>92.2</v>
      </c>
      <c r="J80">
        <v>0.7</v>
      </c>
      <c r="K80">
        <v>7</v>
      </c>
      <c r="L80">
        <v>0</v>
      </c>
    </row>
    <row r="81" spans="1:12">
      <c r="A81">
        <v>91</v>
      </c>
      <c r="B81" t="s">
        <v>1774</v>
      </c>
      <c r="C81">
        <v>2990</v>
      </c>
      <c r="D81" s="3">
        <v>34467079</v>
      </c>
      <c r="E81" s="12">
        <v>4989262</v>
      </c>
      <c r="F81" s="6">
        <v>536473</v>
      </c>
      <c r="G81" s="35">
        <v>260604</v>
      </c>
      <c r="H81" s="16">
        <v>28680740</v>
      </c>
      <c r="I81">
        <v>83.2</v>
      </c>
      <c r="J81">
        <v>1.6</v>
      </c>
      <c r="K81">
        <v>14.5</v>
      </c>
      <c r="L81">
        <v>0.8</v>
      </c>
    </row>
    <row r="82" spans="1:12">
      <c r="A82">
        <v>92</v>
      </c>
      <c r="B82" t="s">
        <v>1775</v>
      </c>
      <c r="C82">
        <v>599</v>
      </c>
      <c r="D82" s="3">
        <v>8682376</v>
      </c>
      <c r="E82" s="12">
        <v>2036197</v>
      </c>
      <c r="F82" s="6">
        <v>163677</v>
      </c>
      <c r="G82" s="35">
        <v>12100</v>
      </c>
      <c r="H82" s="16">
        <v>6470402</v>
      </c>
      <c r="I82">
        <v>74.5</v>
      </c>
      <c r="J82">
        <v>1.9</v>
      </c>
      <c r="K82">
        <v>23.5</v>
      </c>
      <c r="L82">
        <v>0.1</v>
      </c>
    </row>
    <row r="83" spans="1:12" s="9" customFormat="1">
      <c r="A83" s="9">
        <v>93</v>
      </c>
      <c r="B83" s="9" t="s">
        <v>1776</v>
      </c>
      <c r="C83" s="9">
        <v>18638</v>
      </c>
      <c r="D83" s="10">
        <v>422788415</v>
      </c>
      <c r="E83" s="10">
        <v>296750600</v>
      </c>
      <c r="F83" s="10">
        <v>35696779</v>
      </c>
      <c r="G83" s="10">
        <v>6091424</v>
      </c>
      <c r="H83" s="10">
        <v>84249612</v>
      </c>
      <c r="I83" s="9">
        <v>19.899999999999999</v>
      </c>
      <c r="J83" s="9">
        <v>8.4</v>
      </c>
      <c r="K83" s="9">
        <v>70.2</v>
      </c>
      <c r="L83" s="9">
        <v>1.4</v>
      </c>
    </row>
    <row r="84" spans="1:12">
      <c r="A84">
        <v>94</v>
      </c>
      <c r="B84" t="s">
        <v>1777</v>
      </c>
      <c r="C84">
        <v>4513</v>
      </c>
      <c r="D84" s="3">
        <v>55952740</v>
      </c>
      <c r="E84" s="12">
        <v>12012268</v>
      </c>
      <c r="F84" s="6">
        <v>962995</v>
      </c>
      <c r="G84" s="35">
        <v>118079</v>
      </c>
      <c r="H84" s="16">
        <v>42859398</v>
      </c>
      <c r="I84">
        <v>76.599999999999994</v>
      </c>
      <c r="J84">
        <v>1.7</v>
      </c>
      <c r="K84">
        <v>21.5</v>
      </c>
      <c r="L84">
        <v>0.2</v>
      </c>
    </row>
    <row r="85" spans="1:12">
      <c r="A85">
        <v>95</v>
      </c>
      <c r="B85" t="s">
        <v>1778</v>
      </c>
      <c r="C85">
        <v>2924</v>
      </c>
      <c r="D85" s="3">
        <v>67287461</v>
      </c>
      <c r="E85" s="12">
        <v>36653269</v>
      </c>
      <c r="F85" s="6">
        <v>3998402</v>
      </c>
      <c r="G85" s="35">
        <v>288521</v>
      </c>
      <c r="H85" s="16">
        <v>26347269</v>
      </c>
      <c r="I85">
        <v>39.200000000000003</v>
      </c>
      <c r="J85">
        <v>5.9</v>
      </c>
      <c r="K85">
        <v>54.5</v>
      </c>
      <c r="L85">
        <v>0.4</v>
      </c>
    </row>
    <row r="86" spans="1:12">
      <c r="A86">
        <v>96</v>
      </c>
      <c r="B86" t="s">
        <v>1779</v>
      </c>
      <c r="C86">
        <v>4949</v>
      </c>
      <c r="D86" s="3">
        <v>61344787</v>
      </c>
      <c r="E86" s="12">
        <v>14181523</v>
      </c>
      <c r="F86" s="6">
        <v>997145</v>
      </c>
      <c r="G86" s="35">
        <v>1193155</v>
      </c>
      <c r="H86" s="16">
        <v>44972964</v>
      </c>
      <c r="I86">
        <v>73.3</v>
      </c>
      <c r="J86">
        <v>1.6</v>
      </c>
      <c r="K86">
        <v>23.1</v>
      </c>
      <c r="L86">
        <v>1.9</v>
      </c>
    </row>
    <row r="87" spans="1:12">
      <c r="A87">
        <v>97</v>
      </c>
      <c r="B87" t="s">
        <v>1780</v>
      </c>
      <c r="C87">
        <v>5609</v>
      </c>
      <c r="D87" s="3">
        <v>67821956</v>
      </c>
      <c r="E87" s="12">
        <v>6397813</v>
      </c>
      <c r="F87" s="6">
        <v>1124565</v>
      </c>
      <c r="G87" s="35">
        <v>124445</v>
      </c>
      <c r="H87" s="16">
        <v>60175133</v>
      </c>
      <c r="I87">
        <v>88.7</v>
      </c>
      <c r="J87">
        <v>1.7</v>
      </c>
      <c r="K87">
        <v>9.4</v>
      </c>
      <c r="L87">
        <v>0.2</v>
      </c>
    </row>
    <row r="88" spans="1:12">
      <c r="A88">
        <v>98</v>
      </c>
      <c r="B88" t="s">
        <v>1781</v>
      </c>
      <c r="C88">
        <v>159</v>
      </c>
      <c r="D88" s="3">
        <v>2591973</v>
      </c>
      <c r="E88" s="12">
        <v>314144</v>
      </c>
      <c r="F88" s="6">
        <v>111494</v>
      </c>
      <c r="G88" s="35">
        <v>6055</v>
      </c>
      <c r="H88" s="16">
        <v>2160280</v>
      </c>
      <c r="I88">
        <v>83.3</v>
      </c>
      <c r="J88">
        <v>4.3</v>
      </c>
      <c r="K88">
        <v>12.1</v>
      </c>
      <c r="L88">
        <v>0.2</v>
      </c>
    </row>
    <row r="89" spans="1:12">
      <c r="A89">
        <v>99</v>
      </c>
      <c r="B89" t="s">
        <v>1782</v>
      </c>
      <c r="C89">
        <v>2432</v>
      </c>
      <c r="D89" s="3">
        <v>28425469</v>
      </c>
      <c r="E89" s="12">
        <v>8300125</v>
      </c>
      <c r="F89" s="6">
        <v>570411</v>
      </c>
      <c r="G89" s="35">
        <v>24409</v>
      </c>
      <c r="H89" s="16">
        <v>19530524</v>
      </c>
      <c r="I89">
        <v>68.7</v>
      </c>
      <c r="J89">
        <v>2</v>
      </c>
      <c r="K89">
        <v>29.2</v>
      </c>
      <c r="L89">
        <v>0.1</v>
      </c>
    </row>
    <row r="90" spans="1:12">
      <c r="A90">
        <v>100</v>
      </c>
      <c r="B90" t="s">
        <v>1783</v>
      </c>
      <c r="C90">
        <v>351</v>
      </c>
      <c r="D90" s="3">
        <v>5400477</v>
      </c>
      <c r="E90" s="12">
        <v>1714791</v>
      </c>
      <c r="F90" s="6">
        <v>136423</v>
      </c>
      <c r="G90" s="35">
        <v>4135</v>
      </c>
      <c r="H90" s="16">
        <v>3545128</v>
      </c>
      <c r="I90">
        <v>65.599999999999994</v>
      </c>
      <c r="J90">
        <v>2.5</v>
      </c>
      <c r="K90">
        <v>31.8</v>
      </c>
      <c r="L90">
        <v>0.1</v>
      </c>
    </row>
    <row r="91" spans="1:12">
      <c r="A91">
        <v>101</v>
      </c>
      <c r="B91" t="s">
        <v>1784</v>
      </c>
      <c r="C91">
        <v>3904</v>
      </c>
      <c r="D91" s="3">
        <v>45139870</v>
      </c>
      <c r="E91" s="12">
        <v>6328923</v>
      </c>
      <c r="F91" s="6">
        <v>733269</v>
      </c>
      <c r="G91" s="35">
        <v>5131</v>
      </c>
      <c r="H91" s="16">
        <v>38072547</v>
      </c>
      <c r="I91">
        <v>84.3</v>
      </c>
      <c r="J91">
        <v>1.6</v>
      </c>
      <c r="K91">
        <v>14</v>
      </c>
      <c r="L91">
        <v>0</v>
      </c>
    </row>
    <row r="92" spans="1:12">
      <c r="A92">
        <v>102</v>
      </c>
      <c r="B92" t="s">
        <v>1785</v>
      </c>
      <c r="C92">
        <v>791</v>
      </c>
      <c r="D92" s="3">
        <v>12629705</v>
      </c>
      <c r="E92" s="12">
        <v>3306951</v>
      </c>
      <c r="F92" s="6">
        <v>399345</v>
      </c>
      <c r="G92" s="35">
        <v>91177</v>
      </c>
      <c r="H92" s="16">
        <v>8832232</v>
      </c>
      <c r="I92">
        <v>69.900000000000006</v>
      </c>
      <c r="J92">
        <v>3.2</v>
      </c>
      <c r="K92">
        <v>26.2</v>
      </c>
      <c r="L92">
        <v>0.7</v>
      </c>
    </row>
    <row r="93" spans="1:12">
      <c r="A93">
        <v>103</v>
      </c>
      <c r="B93" t="s">
        <v>1786</v>
      </c>
      <c r="C93">
        <v>10592</v>
      </c>
      <c r="D93" s="3">
        <v>169486218</v>
      </c>
      <c r="E93" s="12">
        <v>24026092</v>
      </c>
      <c r="F93" s="6">
        <v>5105051</v>
      </c>
      <c r="G93" s="35">
        <v>810434</v>
      </c>
      <c r="H93" s="16">
        <v>139544641</v>
      </c>
      <c r="I93">
        <v>82.3</v>
      </c>
      <c r="J93">
        <v>3</v>
      </c>
      <c r="K93">
        <v>14.2</v>
      </c>
      <c r="L93">
        <v>0.5</v>
      </c>
    </row>
    <row r="94" spans="1:12">
      <c r="A94">
        <v>104</v>
      </c>
      <c r="B94" t="s">
        <v>1787</v>
      </c>
      <c r="C94">
        <v>3718</v>
      </c>
      <c r="D94" s="3">
        <v>69254912</v>
      </c>
      <c r="E94" s="12">
        <v>36244899</v>
      </c>
      <c r="F94" s="6">
        <v>3862451</v>
      </c>
      <c r="G94" s="35">
        <v>442326</v>
      </c>
      <c r="H94" s="16">
        <v>28705236</v>
      </c>
      <c r="I94">
        <v>41.4</v>
      </c>
      <c r="J94">
        <v>5.6</v>
      </c>
      <c r="K94">
        <v>52.3</v>
      </c>
      <c r="L94">
        <v>0.6</v>
      </c>
    </row>
    <row r="95" spans="1:12">
      <c r="A95">
        <v>106</v>
      </c>
      <c r="B95" t="s">
        <v>1788</v>
      </c>
      <c r="C95">
        <v>1542</v>
      </c>
      <c r="D95" s="3">
        <v>23359513</v>
      </c>
      <c r="E95" s="12">
        <v>4057879</v>
      </c>
      <c r="F95" s="6">
        <v>452530</v>
      </c>
      <c r="G95" s="35">
        <v>168662</v>
      </c>
      <c r="H95" s="16">
        <v>18680442</v>
      </c>
      <c r="I95">
        <v>80</v>
      </c>
      <c r="J95">
        <v>1.9</v>
      </c>
      <c r="K95">
        <v>17.399999999999999</v>
      </c>
      <c r="L95">
        <v>0.7</v>
      </c>
    </row>
    <row r="96" spans="1:12">
      <c r="A96">
        <v>107</v>
      </c>
      <c r="B96" t="s">
        <v>1789</v>
      </c>
      <c r="C96">
        <v>1371</v>
      </c>
      <c r="D96" s="3">
        <v>16608688</v>
      </c>
      <c r="E96" s="12">
        <v>1434963</v>
      </c>
      <c r="F96" s="6">
        <v>242291</v>
      </c>
      <c r="G96" s="35">
        <v>0</v>
      </c>
      <c r="H96" s="16">
        <v>14931434</v>
      </c>
      <c r="I96">
        <v>89.9</v>
      </c>
      <c r="J96">
        <v>1.5</v>
      </c>
      <c r="K96">
        <v>8.6</v>
      </c>
      <c r="L96">
        <v>0</v>
      </c>
    </row>
    <row r="97" spans="1:12">
      <c r="A97">
        <v>108</v>
      </c>
      <c r="B97" t="s">
        <v>1790</v>
      </c>
      <c r="C97">
        <v>1552</v>
      </c>
      <c r="D97" s="3">
        <v>35929055</v>
      </c>
      <c r="E97" s="12">
        <v>16010342</v>
      </c>
      <c r="F97" s="6">
        <v>275566</v>
      </c>
      <c r="G97" s="35">
        <v>0</v>
      </c>
      <c r="H97" s="16">
        <v>19643147</v>
      </c>
      <c r="I97">
        <v>54.7</v>
      </c>
      <c r="J97">
        <v>0.8</v>
      </c>
      <c r="K97">
        <v>44.6</v>
      </c>
      <c r="L97">
        <v>0</v>
      </c>
    </row>
    <row r="98" spans="1:12">
      <c r="A98">
        <v>109</v>
      </c>
      <c r="B98" t="s">
        <v>1791</v>
      </c>
      <c r="C98">
        <v>2710</v>
      </c>
      <c r="D98" s="3">
        <v>35125554</v>
      </c>
      <c r="E98" s="12">
        <v>18664275</v>
      </c>
      <c r="F98" s="6">
        <v>1468269</v>
      </c>
      <c r="G98" s="35">
        <v>1665338</v>
      </c>
      <c r="H98" s="16">
        <v>13327672</v>
      </c>
      <c r="I98">
        <v>37.9</v>
      </c>
      <c r="J98">
        <v>4.2</v>
      </c>
      <c r="K98">
        <v>53.1</v>
      </c>
      <c r="L98">
        <v>4.7</v>
      </c>
    </row>
    <row r="99" spans="1:12">
      <c r="A99">
        <v>110</v>
      </c>
      <c r="B99" t="s">
        <v>1792</v>
      </c>
      <c r="C99">
        <v>2589</v>
      </c>
      <c r="D99" s="3">
        <v>37177756</v>
      </c>
      <c r="E99" s="12">
        <v>13535288</v>
      </c>
      <c r="F99" s="6">
        <v>851147</v>
      </c>
      <c r="G99" s="35">
        <v>248736</v>
      </c>
      <c r="H99" s="16">
        <v>22542585</v>
      </c>
      <c r="I99">
        <v>60.6</v>
      </c>
      <c r="J99">
        <v>2.2999999999999998</v>
      </c>
      <c r="K99">
        <v>36.4</v>
      </c>
      <c r="L99">
        <v>0.7</v>
      </c>
    </row>
    <row r="100" spans="1:12">
      <c r="A100">
        <v>111</v>
      </c>
      <c r="B100" t="s">
        <v>1793</v>
      </c>
      <c r="C100">
        <v>1823</v>
      </c>
      <c r="D100" s="3">
        <v>37210762</v>
      </c>
      <c r="E100" s="12">
        <v>22071296</v>
      </c>
      <c r="F100" s="6">
        <v>543655</v>
      </c>
      <c r="G100" s="35">
        <v>40146</v>
      </c>
      <c r="H100" s="16">
        <v>14555665</v>
      </c>
      <c r="I100">
        <v>39.1</v>
      </c>
      <c r="J100">
        <v>1.5</v>
      </c>
      <c r="K100">
        <v>59.3</v>
      </c>
      <c r="L100">
        <v>0.1</v>
      </c>
    </row>
    <row r="101" spans="1:12">
      <c r="A101">
        <v>112</v>
      </c>
      <c r="B101" t="s">
        <v>1794</v>
      </c>
      <c r="C101">
        <v>499</v>
      </c>
      <c r="D101" s="3">
        <v>8709972</v>
      </c>
      <c r="E101" s="12">
        <v>3424588</v>
      </c>
      <c r="F101" s="6">
        <v>257017</v>
      </c>
      <c r="G101" s="35">
        <v>63335</v>
      </c>
      <c r="H101" s="16">
        <v>4965032</v>
      </c>
      <c r="I101">
        <v>57</v>
      </c>
      <c r="J101">
        <v>3</v>
      </c>
      <c r="K101">
        <v>39.299999999999997</v>
      </c>
      <c r="L101">
        <v>0.7</v>
      </c>
    </row>
    <row r="102" spans="1:12">
      <c r="A102">
        <v>113</v>
      </c>
      <c r="B102" t="s">
        <v>1795</v>
      </c>
      <c r="C102">
        <v>1437</v>
      </c>
      <c r="D102" s="3">
        <v>19479533</v>
      </c>
      <c r="E102" s="12">
        <v>4412974</v>
      </c>
      <c r="F102" s="6">
        <v>368503</v>
      </c>
      <c r="G102" s="35">
        <v>51996</v>
      </c>
      <c r="H102" s="16">
        <v>14646060</v>
      </c>
      <c r="I102">
        <v>75.2</v>
      </c>
      <c r="J102">
        <v>1.9</v>
      </c>
      <c r="K102">
        <v>22.7</v>
      </c>
      <c r="L102">
        <v>0.3</v>
      </c>
    </row>
    <row r="103" spans="1:12">
      <c r="A103">
        <v>114</v>
      </c>
      <c r="B103" t="s">
        <v>1796</v>
      </c>
      <c r="C103">
        <v>469</v>
      </c>
      <c r="D103" s="3">
        <v>10501629</v>
      </c>
      <c r="E103" s="12">
        <v>3481965</v>
      </c>
      <c r="F103" s="6">
        <v>266448</v>
      </c>
      <c r="G103" s="35">
        <v>96875</v>
      </c>
      <c r="H103" s="16">
        <v>6656341</v>
      </c>
      <c r="I103">
        <v>63.4</v>
      </c>
      <c r="J103">
        <v>2.5</v>
      </c>
      <c r="K103">
        <v>33.200000000000003</v>
      </c>
      <c r="L103">
        <v>0.9</v>
      </c>
    </row>
    <row r="104" spans="1:12">
      <c r="A104">
        <v>116</v>
      </c>
      <c r="B104" t="s">
        <v>1797</v>
      </c>
      <c r="C104">
        <v>1263</v>
      </c>
      <c r="D104" s="3">
        <v>16828109</v>
      </c>
      <c r="E104" s="12">
        <v>8242629</v>
      </c>
      <c r="F104" s="6">
        <v>946652</v>
      </c>
      <c r="G104" s="35">
        <v>260760</v>
      </c>
      <c r="H104" s="16">
        <v>7378068</v>
      </c>
      <c r="I104">
        <v>43.8</v>
      </c>
      <c r="J104">
        <v>5.6</v>
      </c>
      <c r="K104">
        <v>49</v>
      </c>
      <c r="L104">
        <v>1.5</v>
      </c>
    </row>
    <row r="105" spans="1:12">
      <c r="A105">
        <v>117</v>
      </c>
      <c r="B105" t="s">
        <v>1798</v>
      </c>
      <c r="C105">
        <v>1227</v>
      </c>
      <c r="D105" s="3">
        <v>20049997</v>
      </c>
      <c r="E105" s="12">
        <v>542445</v>
      </c>
      <c r="F105" s="6">
        <v>306114</v>
      </c>
      <c r="G105" s="35">
        <v>141030</v>
      </c>
      <c r="H105" s="16">
        <v>19060408</v>
      </c>
      <c r="I105">
        <v>95.1</v>
      </c>
      <c r="J105">
        <v>1.5</v>
      </c>
      <c r="K105">
        <v>2.7</v>
      </c>
      <c r="L105">
        <v>0.7</v>
      </c>
    </row>
    <row r="106" spans="1:12">
      <c r="A106">
        <v>118</v>
      </c>
      <c r="B106" t="s">
        <v>1799</v>
      </c>
      <c r="C106">
        <v>5498</v>
      </c>
      <c r="D106" s="3">
        <v>80041248</v>
      </c>
      <c r="E106" s="12">
        <v>3224403</v>
      </c>
      <c r="F106" s="6">
        <v>881137</v>
      </c>
      <c r="G106" s="35">
        <v>249652</v>
      </c>
      <c r="H106" s="16">
        <v>75686056</v>
      </c>
      <c r="I106">
        <v>94.6</v>
      </c>
      <c r="J106">
        <v>1.1000000000000001</v>
      </c>
      <c r="K106">
        <v>4</v>
      </c>
      <c r="L106">
        <v>0.3</v>
      </c>
    </row>
    <row r="107" spans="1:12">
      <c r="A107">
        <v>119</v>
      </c>
      <c r="B107" t="s">
        <v>1800</v>
      </c>
      <c r="C107">
        <v>2520</v>
      </c>
      <c r="D107" s="3">
        <v>29100049</v>
      </c>
      <c r="E107" s="12">
        <v>3129350</v>
      </c>
      <c r="F107" s="6">
        <v>397135</v>
      </c>
      <c r="G107" s="35">
        <v>7678</v>
      </c>
      <c r="H107" s="16">
        <v>25565886</v>
      </c>
      <c r="I107">
        <v>87.9</v>
      </c>
      <c r="J107">
        <v>1.4</v>
      </c>
      <c r="K107">
        <v>10.8</v>
      </c>
      <c r="L107">
        <v>0</v>
      </c>
    </row>
    <row r="108" spans="1:12">
      <c r="A108">
        <v>121</v>
      </c>
      <c r="B108" t="s">
        <v>1801</v>
      </c>
      <c r="C108">
        <v>518</v>
      </c>
      <c r="D108" s="3">
        <v>10088498</v>
      </c>
      <c r="E108" s="12">
        <v>3333989</v>
      </c>
      <c r="F108" s="6">
        <v>116704</v>
      </c>
      <c r="G108" s="35">
        <v>880</v>
      </c>
      <c r="H108" s="16">
        <v>6636925</v>
      </c>
      <c r="I108">
        <v>65.8</v>
      </c>
      <c r="J108">
        <v>1.2</v>
      </c>
      <c r="K108">
        <v>33</v>
      </c>
      <c r="L108">
        <v>0</v>
      </c>
    </row>
    <row r="109" spans="1:12">
      <c r="A109">
        <v>122</v>
      </c>
      <c r="B109" t="s">
        <v>1802</v>
      </c>
      <c r="C109">
        <v>304</v>
      </c>
      <c r="D109" s="3">
        <v>5537284</v>
      </c>
      <c r="E109" s="12">
        <v>206533</v>
      </c>
      <c r="F109" s="6">
        <v>161082</v>
      </c>
      <c r="G109" s="35">
        <v>11049</v>
      </c>
      <c r="H109" s="16">
        <v>5158620</v>
      </c>
      <c r="I109">
        <v>93.2</v>
      </c>
      <c r="J109">
        <v>2.9</v>
      </c>
      <c r="K109">
        <v>3.7</v>
      </c>
      <c r="L109">
        <v>0.2</v>
      </c>
    </row>
    <row r="110" spans="1:12">
      <c r="A110">
        <v>123</v>
      </c>
      <c r="B110" t="s">
        <v>1803</v>
      </c>
      <c r="C110">
        <v>173</v>
      </c>
      <c r="D110" s="3">
        <v>2442324</v>
      </c>
      <c r="E110" s="12">
        <v>1119781</v>
      </c>
      <c r="F110" s="6">
        <v>75052</v>
      </c>
      <c r="G110" s="35">
        <v>22030</v>
      </c>
      <c r="H110" s="16">
        <v>1225461</v>
      </c>
      <c r="I110">
        <v>50.2</v>
      </c>
      <c r="J110">
        <v>3.1</v>
      </c>
      <c r="K110">
        <v>45.8</v>
      </c>
      <c r="L110">
        <v>0.9</v>
      </c>
    </row>
    <row r="111" spans="1:12">
      <c r="A111">
        <v>124</v>
      </c>
      <c r="B111" t="s">
        <v>1804</v>
      </c>
      <c r="C111">
        <v>2703</v>
      </c>
      <c r="D111" s="3">
        <v>30423839</v>
      </c>
      <c r="E111" s="12">
        <v>9940318</v>
      </c>
      <c r="F111" s="6">
        <v>741083</v>
      </c>
      <c r="G111" s="35">
        <v>2541753</v>
      </c>
      <c r="H111" s="16">
        <v>17200685</v>
      </c>
      <c r="I111">
        <v>56.5</v>
      </c>
      <c r="J111">
        <v>2.4</v>
      </c>
      <c r="K111">
        <v>32.700000000000003</v>
      </c>
      <c r="L111">
        <v>8.4</v>
      </c>
    </row>
    <row r="112" spans="1:12">
      <c r="A112">
        <v>125</v>
      </c>
      <c r="B112" t="s">
        <v>1805</v>
      </c>
      <c r="C112">
        <v>221</v>
      </c>
      <c r="D112" s="3">
        <v>4195639</v>
      </c>
      <c r="E112" s="12">
        <v>123376</v>
      </c>
      <c r="F112" s="6">
        <v>174920</v>
      </c>
      <c r="G112" s="35">
        <v>2509</v>
      </c>
      <c r="H112" s="16">
        <v>3894834</v>
      </c>
      <c r="I112">
        <v>92.8</v>
      </c>
      <c r="J112">
        <v>4.2</v>
      </c>
      <c r="K112">
        <v>2.9</v>
      </c>
      <c r="L112">
        <v>0.1</v>
      </c>
    </row>
    <row r="113" spans="1:12">
      <c r="A113">
        <v>126</v>
      </c>
      <c r="B113" t="s">
        <v>1806</v>
      </c>
      <c r="C113">
        <v>5633</v>
      </c>
      <c r="D113" s="3">
        <v>66132659</v>
      </c>
      <c r="E113" s="12">
        <v>8018392</v>
      </c>
      <c r="F113" s="6">
        <v>1647693</v>
      </c>
      <c r="G113" s="35">
        <v>6141</v>
      </c>
      <c r="H113" s="16">
        <v>56460433</v>
      </c>
      <c r="I113">
        <v>85.4</v>
      </c>
      <c r="J113">
        <v>2.5</v>
      </c>
      <c r="K113">
        <v>12.1</v>
      </c>
      <c r="L113">
        <v>0</v>
      </c>
    </row>
    <row r="114" spans="1:12">
      <c r="A114">
        <v>127</v>
      </c>
      <c r="B114" t="s">
        <v>1807</v>
      </c>
      <c r="C114">
        <v>459</v>
      </c>
      <c r="D114" s="3">
        <v>8546808</v>
      </c>
      <c r="E114" s="12">
        <v>284982</v>
      </c>
      <c r="F114" s="6">
        <v>164383</v>
      </c>
      <c r="G114" s="35">
        <v>13384</v>
      </c>
      <c r="H114" s="16">
        <v>8084059</v>
      </c>
      <c r="I114">
        <v>94.6</v>
      </c>
      <c r="J114">
        <v>1.9</v>
      </c>
      <c r="K114">
        <v>3.3</v>
      </c>
      <c r="L114">
        <v>0.2</v>
      </c>
    </row>
    <row r="115" spans="1:12">
      <c r="A115">
        <v>128</v>
      </c>
      <c r="B115" t="s">
        <v>1808</v>
      </c>
      <c r="C115">
        <v>4950</v>
      </c>
      <c r="D115" s="3">
        <v>62129209</v>
      </c>
      <c r="E115" s="12">
        <v>4474420</v>
      </c>
      <c r="F115" s="6">
        <v>1124263</v>
      </c>
      <c r="G115" s="35">
        <v>149891</v>
      </c>
      <c r="H115" s="16">
        <v>56380635</v>
      </c>
      <c r="I115">
        <v>90.7</v>
      </c>
      <c r="J115">
        <v>1.8</v>
      </c>
      <c r="K115">
        <v>7.2</v>
      </c>
      <c r="L115">
        <v>0.2</v>
      </c>
    </row>
    <row r="116" spans="1:12">
      <c r="A116">
        <v>129</v>
      </c>
      <c r="B116" t="s">
        <v>1809</v>
      </c>
      <c r="C116">
        <v>1716</v>
      </c>
      <c r="D116" s="3">
        <v>21585509</v>
      </c>
      <c r="E116" s="12">
        <v>8154454</v>
      </c>
      <c r="F116" s="6">
        <v>412107</v>
      </c>
      <c r="G116" s="35">
        <v>72425</v>
      </c>
      <c r="H116" s="16">
        <v>12946523</v>
      </c>
      <c r="I116">
        <v>60</v>
      </c>
      <c r="J116">
        <v>1.9</v>
      </c>
      <c r="K116">
        <v>37.799999999999997</v>
      </c>
      <c r="L116">
        <v>0.3</v>
      </c>
    </row>
    <row r="117" spans="1:12">
      <c r="A117">
        <v>131</v>
      </c>
      <c r="B117" t="s">
        <v>1810</v>
      </c>
      <c r="C117">
        <v>6836</v>
      </c>
      <c r="D117" s="3">
        <v>85677742</v>
      </c>
      <c r="E117" s="12">
        <v>26233300</v>
      </c>
      <c r="F117" s="6">
        <v>2211719</v>
      </c>
      <c r="G117" s="35">
        <v>3043717</v>
      </c>
      <c r="H117" s="16">
        <v>54189006</v>
      </c>
      <c r="I117">
        <v>63.2</v>
      </c>
      <c r="J117">
        <v>2.6</v>
      </c>
      <c r="K117">
        <v>30.6</v>
      </c>
      <c r="L117">
        <v>3.6</v>
      </c>
    </row>
    <row r="118" spans="1:12">
      <c r="A118">
        <v>132</v>
      </c>
      <c r="B118" t="s">
        <v>1811</v>
      </c>
      <c r="C118">
        <v>4958</v>
      </c>
      <c r="D118" s="3">
        <v>59620226</v>
      </c>
      <c r="E118" s="12">
        <v>12607586</v>
      </c>
      <c r="F118" s="6">
        <v>1226639</v>
      </c>
      <c r="G118" s="35">
        <v>98702</v>
      </c>
      <c r="H118" s="16">
        <v>45687299</v>
      </c>
      <c r="I118">
        <v>76.599999999999994</v>
      </c>
      <c r="J118">
        <v>2.1</v>
      </c>
      <c r="K118">
        <v>21.1</v>
      </c>
      <c r="L118">
        <v>0.2</v>
      </c>
    </row>
    <row r="119" spans="1:12">
      <c r="A119">
        <v>133</v>
      </c>
      <c r="B119" t="s">
        <v>1812</v>
      </c>
      <c r="C119">
        <v>301</v>
      </c>
      <c r="D119" s="3">
        <v>6515450</v>
      </c>
      <c r="E119" s="12">
        <v>2973660</v>
      </c>
      <c r="F119" s="6">
        <v>205623</v>
      </c>
      <c r="G119" s="35">
        <v>11229</v>
      </c>
      <c r="H119" s="16">
        <v>3324938</v>
      </c>
      <c r="I119">
        <v>51</v>
      </c>
      <c r="J119">
        <v>3.2</v>
      </c>
      <c r="K119">
        <v>45.6</v>
      </c>
      <c r="L119">
        <v>0.2</v>
      </c>
    </row>
    <row r="120" spans="1:12">
      <c r="A120">
        <v>134</v>
      </c>
      <c r="B120" t="s">
        <v>1813</v>
      </c>
      <c r="C120">
        <v>1806</v>
      </c>
      <c r="D120" s="3">
        <v>37588774</v>
      </c>
      <c r="E120" s="12">
        <v>23165969</v>
      </c>
      <c r="F120" s="6">
        <v>813071</v>
      </c>
      <c r="G120" s="35">
        <v>234357</v>
      </c>
      <c r="H120" s="16">
        <v>13375377</v>
      </c>
      <c r="I120">
        <v>35.6</v>
      </c>
      <c r="J120">
        <v>2.2000000000000002</v>
      </c>
      <c r="K120">
        <v>61.6</v>
      </c>
      <c r="L120">
        <v>0.6</v>
      </c>
    </row>
    <row r="121" spans="1:12">
      <c r="A121">
        <v>135</v>
      </c>
      <c r="B121" t="s">
        <v>1814</v>
      </c>
      <c r="C121">
        <v>14954</v>
      </c>
      <c r="D121" s="3">
        <v>271637137</v>
      </c>
      <c r="E121" s="12">
        <v>48590577</v>
      </c>
      <c r="F121" s="6">
        <v>8539496</v>
      </c>
      <c r="G121" s="35">
        <v>1821757</v>
      </c>
      <c r="H121" s="16">
        <v>212685307</v>
      </c>
      <c r="I121">
        <v>78.3</v>
      </c>
      <c r="J121">
        <v>3.1</v>
      </c>
      <c r="K121">
        <v>17.899999999999999</v>
      </c>
      <c r="L121">
        <v>0.7</v>
      </c>
    </row>
    <row r="122" spans="1:12">
      <c r="A122">
        <v>136</v>
      </c>
      <c r="B122" t="s">
        <v>1815</v>
      </c>
      <c r="C122">
        <v>447</v>
      </c>
      <c r="D122" s="3">
        <v>16958327</v>
      </c>
      <c r="E122" s="12">
        <v>13021378</v>
      </c>
      <c r="F122" s="6">
        <v>229852</v>
      </c>
      <c r="G122" s="35">
        <v>166048</v>
      </c>
      <c r="H122" s="16">
        <v>3541049</v>
      </c>
      <c r="I122">
        <v>20.9</v>
      </c>
      <c r="J122">
        <v>1.4</v>
      </c>
      <c r="K122">
        <v>76.8</v>
      </c>
      <c r="L122">
        <v>1</v>
      </c>
    </row>
    <row r="123" spans="1:12">
      <c r="A123">
        <v>137</v>
      </c>
      <c r="B123" t="s">
        <v>1816</v>
      </c>
      <c r="C123">
        <v>2524</v>
      </c>
      <c r="D123" s="3">
        <v>32887696</v>
      </c>
      <c r="E123" s="12">
        <v>2872656</v>
      </c>
      <c r="F123" s="6">
        <v>773747</v>
      </c>
      <c r="G123" s="35">
        <v>84359</v>
      </c>
      <c r="H123" s="16">
        <v>29156934</v>
      </c>
      <c r="I123">
        <v>88.7</v>
      </c>
      <c r="J123">
        <v>2.4</v>
      </c>
      <c r="K123">
        <v>8.6999999999999993</v>
      </c>
      <c r="L123">
        <v>0.3</v>
      </c>
    </row>
    <row r="124" spans="1:12">
      <c r="A124">
        <v>138</v>
      </c>
      <c r="B124" t="s">
        <v>1817</v>
      </c>
      <c r="C124">
        <v>7274</v>
      </c>
      <c r="D124" s="3">
        <v>95181481</v>
      </c>
      <c r="E124" s="12">
        <v>22828267</v>
      </c>
      <c r="F124" s="6">
        <v>2372497</v>
      </c>
      <c r="G124" s="35">
        <v>113472</v>
      </c>
      <c r="H124" s="16">
        <v>69867245</v>
      </c>
      <c r="I124">
        <v>73.400000000000006</v>
      </c>
      <c r="J124">
        <v>2.5</v>
      </c>
      <c r="K124">
        <v>24</v>
      </c>
      <c r="L124">
        <v>0.1</v>
      </c>
    </row>
    <row r="125" spans="1:12">
      <c r="A125">
        <v>139</v>
      </c>
      <c r="B125" t="s">
        <v>1818</v>
      </c>
      <c r="C125">
        <v>2574</v>
      </c>
      <c r="D125" s="3">
        <v>29510927</v>
      </c>
      <c r="E125" s="12">
        <v>5360829</v>
      </c>
      <c r="F125" s="6">
        <v>522120</v>
      </c>
      <c r="G125" s="35">
        <v>882008</v>
      </c>
      <c r="H125" s="16">
        <v>22745970</v>
      </c>
      <c r="I125">
        <v>77.099999999999994</v>
      </c>
      <c r="J125">
        <v>1.8</v>
      </c>
      <c r="K125">
        <v>18.2</v>
      </c>
      <c r="L125">
        <v>3</v>
      </c>
    </row>
    <row r="126" spans="1:12">
      <c r="A126">
        <v>140</v>
      </c>
      <c r="B126" t="s">
        <v>1819</v>
      </c>
      <c r="C126">
        <v>1252</v>
      </c>
      <c r="D126" s="3">
        <v>16160884</v>
      </c>
      <c r="E126" s="12">
        <v>5866975</v>
      </c>
      <c r="F126" s="6">
        <v>483423</v>
      </c>
      <c r="G126" s="35">
        <v>12719</v>
      </c>
      <c r="H126" s="16">
        <v>9797767</v>
      </c>
      <c r="I126">
        <v>60.6</v>
      </c>
      <c r="J126">
        <v>3</v>
      </c>
      <c r="K126">
        <v>36.299999999999997</v>
      </c>
      <c r="L126">
        <v>0.1</v>
      </c>
    </row>
    <row r="127" spans="1:12">
      <c r="A127">
        <v>141</v>
      </c>
      <c r="B127" t="s">
        <v>1820</v>
      </c>
      <c r="C127">
        <v>1454</v>
      </c>
      <c r="D127" s="3">
        <v>24652498</v>
      </c>
      <c r="E127" s="12">
        <v>16663593</v>
      </c>
      <c r="F127" s="6">
        <v>560519</v>
      </c>
      <c r="G127" s="35">
        <v>93965</v>
      </c>
      <c r="H127" s="16">
        <v>7334421</v>
      </c>
      <c r="I127">
        <v>29.8</v>
      </c>
      <c r="J127">
        <v>2.2999999999999998</v>
      </c>
      <c r="K127">
        <v>67.599999999999994</v>
      </c>
      <c r="L127">
        <v>0.4</v>
      </c>
    </row>
    <row r="128" spans="1:12">
      <c r="A128">
        <v>142</v>
      </c>
      <c r="B128" t="s">
        <v>1821</v>
      </c>
      <c r="C128">
        <v>3095</v>
      </c>
      <c r="D128" s="3">
        <v>37087817</v>
      </c>
      <c r="E128" s="12">
        <v>12392698</v>
      </c>
      <c r="F128" s="6">
        <v>808759</v>
      </c>
      <c r="G128" s="35">
        <v>65690</v>
      </c>
      <c r="H128" s="16">
        <v>23820670</v>
      </c>
      <c r="I128">
        <v>64.2</v>
      </c>
      <c r="J128">
        <v>2.2000000000000002</v>
      </c>
      <c r="K128">
        <v>33.4</v>
      </c>
      <c r="L128">
        <v>0.2</v>
      </c>
    </row>
    <row r="129" spans="1:12">
      <c r="A129">
        <v>143</v>
      </c>
      <c r="B129" t="s">
        <v>1822</v>
      </c>
      <c r="C129">
        <v>4834</v>
      </c>
      <c r="D129" s="3">
        <v>65367217</v>
      </c>
      <c r="E129" s="12">
        <v>29509927</v>
      </c>
      <c r="F129" s="6">
        <v>2083282</v>
      </c>
      <c r="G129" s="35">
        <v>148891</v>
      </c>
      <c r="H129" s="16">
        <v>33625117</v>
      </c>
      <c r="I129">
        <v>51.4</v>
      </c>
      <c r="J129">
        <v>3.2</v>
      </c>
      <c r="K129">
        <v>45.1</v>
      </c>
      <c r="L129">
        <v>0.2</v>
      </c>
    </row>
    <row r="130" spans="1:12">
      <c r="A130">
        <v>144</v>
      </c>
      <c r="B130" t="s">
        <v>1823</v>
      </c>
      <c r="C130">
        <v>6721</v>
      </c>
      <c r="D130" s="3">
        <v>84701538</v>
      </c>
      <c r="E130" s="12">
        <v>5276587</v>
      </c>
      <c r="F130" s="6">
        <v>1889167</v>
      </c>
      <c r="G130" s="35">
        <v>1802876</v>
      </c>
      <c r="H130" s="16">
        <v>75732908</v>
      </c>
      <c r="I130">
        <v>89.4</v>
      </c>
      <c r="J130">
        <v>2.2000000000000002</v>
      </c>
      <c r="K130">
        <v>6.2</v>
      </c>
      <c r="L130">
        <v>2.1</v>
      </c>
    </row>
    <row r="131" spans="1:12">
      <c r="A131">
        <v>145</v>
      </c>
      <c r="B131" t="s">
        <v>1824</v>
      </c>
      <c r="C131">
        <v>69</v>
      </c>
      <c r="D131" s="3">
        <v>1384019</v>
      </c>
      <c r="E131" s="12">
        <v>246416</v>
      </c>
      <c r="F131" s="6">
        <v>48360</v>
      </c>
      <c r="G131" s="35">
        <v>9261</v>
      </c>
      <c r="H131" s="16">
        <v>1079982</v>
      </c>
      <c r="I131">
        <v>78</v>
      </c>
      <c r="J131">
        <v>3.5</v>
      </c>
      <c r="K131">
        <v>17.8</v>
      </c>
      <c r="L131">
        <v>0.7</v>
      </c>
    </row>
    <row r="132" spans="1:12">
      <c r="A132">
        <v>146</v>
      </c>
      <c r="B132" t="s">
        <v>1825</v>
      </c>
      <c r="C132">
        <v>3758</v>
      </c>
      <c r="D132" s="3">
        <v>49469272</v>
      </c>
      <c r="E132" s="12">
        <v>20395845</v>
      </c>
      <c r="F132" s="6">
        <v>1563170</v>
      </c>
      <c r="G132" s="35">
        <v>579931</v>
      </c>
      <c r="H132" s="16">
        <v>26930326</v>
      </c>
      <c r="I132">
        <v>54.4</v>
      </c>
      <c r="J132">
        <v>3.2</v>
      </c>
      <c r="K132">
        <v>41.2</v>
      </c>
      <c r="L132">
        <v>1.2</v>
      </c>
    </row>
    <row r="133" spans="1:12">
      <c r="A133">
        <v>147</v>
      </c>
      <c r="B133" t="s">
        <v>1826</v>
      </c>
      <c r="C133">
        <v>287</v>
      </c>
      <c r="D133" s="3">
        <v>6203054</v>
      </c>
      <c r="E133" s="12">
        <v>2765984</v>
      </c>
      <c r="F133" s="6">
        <v>138690</v>
      </c>
      <c r="G133" s="35">
        <v>4600</v>
      </c>
      <c r="H133" s="16">
        <v>3293780</v>
      </c>
      <c r="I133">
        <v>53.1</v>
      </c>
      <c r="J133">
        <v>2.2000000000000002</v>
      </c>
      <c r="K133">
        <v>44.6</v>
      </c>
      <c r="L133">
        <v>0.1</v>
      </c>
    </row>
    <row r="134" spans="1:12">
      <c r="A134">
        <v>148</v>
      </c>
      <c r="B134" t="s">
        <v>1827</v>
      </c>
      <c r="C134">
        <v>6800</v>
      </c>
      <c r="D134" s="3">
        <v>88474666</v>
      </c>
      <c r="E134" s="12">
        <v>22521021</v>
      </c>
      <c r="F134" s="6">
        <v>1708962</v>
      </c>
      <c r="G134" s="35">
        <v>1125789</v>
      </c>
      <c r="H134" s="16">
        <v>63118894</v>
      </c>
      <c r="I134">
        <v>71.3</v>
      </c>
      <c r="J134">
        <v>1.9</v>
      </c>
      <c r="K134">
        <v>25.5</v>
      </c>
      <c r="L134">
        <v>1.3</v>
      </c>
    </row>
    <row r="135" spans="1:12">
      <c r="A135">
        <v>151</v>
      </c>
      <c r="B135" t="s">
        <v>1611</v>
      </c>
      <c r="C135">
        <v>17665</v>
      </c>
      <c r="D135" s="3">
        <v>225416824</v>
      </c>
      <c r="E135" s="12">
        <v>122420791</v>
      </c>
      <c r="F135" s="6">
        <v>15964828</v>
      </c>
      <c r="G135" s="35">
        <v>1946276</v>
      </c>
      <c r="H135" s="16">
        <v>85084929</v>
      </c>
      <c r="I135">
        <v>37.700000000000003</v>
      </c>
      <c r="J135">
        <v>7.1</v>
      </c>
      <c r="K135">
        <v>54.3</v>
      </c>
      <c r="L135">
        <v>0.9</v>
      </c>
    </row>
    <row r="136" spans="1:12">
      <c r="A136">
        <v>152</v>
      </c>
      <c r="B136" t="s">
        <v>1612</v>
      </c>
      <c r="C136">
        <v>2965</v>
      </c>
      <c r="D136" s="3">
        <v>55118454</v>
      </c>
      <c r="E136" s="12">
        <v>10345240</v>
      </c>
      <c r="F136" s="6">
        <v>931908</v>
      </c>
      <c r="G136" s="35">
        <v>81817</v>
      </c>
      <c r="H136" s="16">
        <v>43759489</v>
      </c>
      <c r="I136">
        <v>79.400000000000006</v>
      </c>
      <c r="J136">
        <v>1.7</v>
      </c>
      <c r="K136">
        <v>18.8</v>
      </c>
      <c r="L136">
        <v>0.1</v>
      </c>
    </row>
    <row r="137" spans="1:12">
      <c r="A137">
        <v>153</v>
      </c>
      <c r="B137" t="s">
        <v>1613</v>
      </c>
      <c r="C137">
        <v>3419</v>
      </c>
      <c r="D137" s="3">
        <v>44152213</v>
      </c>
      <c r="E137" s="12">
        <v>20499948</v>
      </c>
      <c r="F137" s="6">
        <v>833473</v>
      </c>
      <c r="G137" s="35">
        <v>238606</v>
      </c>
      <c r="H137" s="16">
        <v>22580186</v>
      </c>
      <c r="I137">
        <v>51.1</v>
      </c>
      <c r="J137">
        <v>1.9</v>
      </c>
      <c r="K137">
        <v>46.4</v>
      </c>
      <c r="L137">
        <v>0.5</v>
      </c>
    </row>
    <row r="138" spans="1:12">
      <c r="A138">
        <v>154</v>
      </c>
      <c r="B138" t="s">
        <v>1614</v>
      </c>
      <c r="C138">
        <v>977</v>
      </c>
      <c r="D138" s="3">
        <v>14418994</v>
      </c>
      <c r="E138" s="12">
        <v>950736</v>
      </c>
      <c r="F138" s="6">
        <v>218590</v>
      </c>
      <c r="G138" s="35">
        <v>0</v>
      </c>
      <c r="H138" s="16">
        <v>13249668</v>
      </c>
      <c r="I138">
        <v>91.9</v>
      </c>
      <c r="J138">
        <v>1.5</v>
      </c>
      <c r="K138">
        <v>6.6</v>
      </c>
      <c r="L138">
        <v>0</v>
      </c>
    </row>
    <row r="139" spans="1:12">
      <c r="A139">
        <v>155</v>
      </c>
      <c r="B139" t="s">
        <v>1615</v>
      </c>
      <c r="C139">
        <v>9931</v>
      </c>
      <c r="D139" s="3">
        <v>127132846</v>
      </c>
      <c r="E139" s="12">
        <v>15306680</v>
      </c>
      <c r="F139" s="6">
        <v>2960269</v>
      </c>
      <c r="G139" s="35">
        <v>267963</v>
      </c>
      <c r="H139" s="16">
        <v>108597934</v>
      </c>
      <c r="I139">
        <v>85.4</v>
      </c>
      <c r="J139">
        <v>2.2999999999999998</v>
      </c>
      <c r="K139">
        <v>12</v>
      </c>
      <c r="L139">
        <v>0.2</v>
      </c>
    </row>
    <row r="140" spans="1:12">
      <c r="A140">
        <v>156</v>
      </c>
      <c r="B140" t="s">
        <v>1616</v>
      </c>
      <c r="C140">
        <v>6678</v>
      </c>
      <c r="D140" s="3">
        <v>86373573</v>
      </c>
      <c r="E140" s="12">
        <v>43579298</v>
      </c>
      <c r="F140" s="6">
        <v>2939224</v>
      </c>
      <c r="G140" s="35">
        <v>257388</v>
      </c>
      <c r="H140" s="16">
        <v>39597663</v>
      </c>
      <c r="I140">
        <v>45.8</v>
      </c>
      <c r="J140">
        <v>3.4</v>
      </c>
      <c r="K140">
        <v>50.5</v>
      </c>
      <c r="L140">
        <v>0.3</v>
      </c>
    </row>
    <row r="141" spans="1:12">
      <c r="A141">
        <v>157</v>
      </c>
      <c r="B141" t="s">
        <v>1617</v>
      </c>
      <c r="C141">
        <v>2570</v>
      </c>
      <c r="D141" s="3">
        <v>47301767</v>
      </c>
      <c r="E141" s="12">
        <v>1690224</v>
      </c>
      <c r="F141" s="6">
        <v>365687</v>
      </c>
      <c r="G141" s="35">
        <v>115405</v>
      </c>
      <c r="H141" s="16">
        <v>45130451</v>
      </c>
      <c r="I141">
        <v>95.4</v>
      </c>
      <c r="J141">
        <v>0.8</v>
      </c>
      <c r="K141">
        <v>3.6</v>
      </c>
      <c r="L141">
        <v>0.2</v>
      </c>
    </row>
    <row r="142" spans="1:12">
      <c r="A142">
        <v>158</v>
      </c>
      <c r="B142" t="s">
        <v>1618</v>
      </c>
      <c r="C142">
        <v>5511</v>
      </c>
      <c r="D142" s="3">
        <v>99892663</v>
      </c>
      <c r="E142" s="12">
        <v>2757665</v>
      </c>
      <c r="F142" s="6">
        <v>1190205</v>
      </c>
      <c r="G142" s="35">
        <v>308046</v>
      </c>
      <c r="H142" s="16">
        <v>95636747</v>
      </c>
      <c r="I142">
        <v>95.7</v>
      </c>
      <c r="J142">
        <v>1.2</v>
      </c>
      <c r="K142">
        <v>2.8</v>
      </c>
      <c r="L142">
        <v>0.3</v>
      </c>
    </row>
    <row r="143" spans="1:12">
      <c r="A143">
        <v>159</v>
      </c>
      <c r="B143" t="s">
        <v>1619</v>
      </c>
      <c r="C143">
        <v>3758</v>
      </c>
      <c r="D143" s="3">
        <v>47731518</v>
      </c>
      <c r="E143" s="12">
        <v>7154037</v>
      </c>
      <c r="F143" s="6">
        <v>1112601</v>
      </c>
      <c r="G143" s="35">
        <v>69041</v>
      </c>
      <c r="H143" s="16">
        <v>39395839</v>
      </c>
      <c r="I143">
        <v>82.5</v>
      </c>
      <c r="J143">
        <v>2.2999999999999998</v>
      </c>
      <c r="K143">
        <v>15</v>
      </c>
      <c r="L143">
        <v>0.1</v>
      </c>
    </row>
    <row r="144" spans="1:12">
      <c r="A144">
        <v>160</v>
      </c>
      <c r="B144" t="s">
        <v>1620</v>
      </c>
      <c r="C144">
        <v>574</v>
      </c>
      <c r="D144" s="3">
        <v>7567352</v>
      </c>
      <c r="E144" s="12">
        <v>2453208</v>
      </c>
      <c r="F144" s="6">
        <v>226440</v>
      </c>
      <c r="G144" s="35">
        <v>8095</v>
      </c>
      <c r="H144" s="16">
        <v>4879609</v>
      </c>
      <c r="I144">
        <v>64.5</v>
      </c>
      <c r="J144">
        <v>3</v>
      </c>
      <c r="K144">
        <v>32.4</v>
      </c>
      <c r="L144">
        <v>0.1</v>
      </c>
    </row>
    <row r="145" spans="1:12">
      <c r="A145">
        <v>161</v>
      </c>
      <c r="B145" t="s">
        <v>1621</v>
      </c>
      <c r="C145">
        <v>4313</v>
      </c>
      <c r="D145" s="3">
        <v>66800264</v>
      </c>
      <c r="E145" s="12">
        <v>3050763</v>
      </c>
      <c r="F145" s="6">
        <v>773423</v>
      </c>
      <c r="G145" s="35">
        <v>193570</v>
      </c>
      <c r="H145" s="16">
        <v>62782508</v>
      </c>
      <c r="I145">
        <v>94</v>
      </c>
      <c r="J145">
        <v>1.2</v>
      </c>
      <c r="K145">
        <v>4.5999999999999996</v>
      </c>
      <c r="L145">
        <v>0.3</v>
      </c>
    </row>
    <row r="146" spans="1:12">
      <c r="A146">
        <v>162</v>
      </c>
      <c r="B146" t="s">
        <v>1622</v>
      </c>
      <c r="C146">
        <v>1055</v>
      </c>
      <c r="D146" s="3">
        <v>21204079</v>
      </c>
      <c r="E146" s="12">
        <v>8756360</v>
      </c>
      <c r="F146" s="6">
        <v>562534</v>
      </c>
      <c r="G146" s="35">
        <v>52019</v>
      </c>
      <c r="H146" s="16">
        <v>11833166</v>
      </c>
      <c r="I146">
        <v>55.8</v>
      </c>
      <c r="J146">
        <v>2.7</v>
      </c>
      <c r="K146">
        <v>41.3</v>
      </c>
      <c r="L146">
        <v>0.2</v>
      </c>
    </row>
    <row r="147" spans="1:12">
      <c r="A147">
        <v>163</v>
      </c>
      <c r="B147" t="s">
        <v>1623</v>
      </c>
      <c r="C147">
        <v>3412</v>
      </c>
      <c r="D147" s="3">
        <v>49602257</v>
      </c>
      <c r="E147" s="12">
        <v>27291692</v>
      </c>
      <c r="F147" s="6">
        <v>5204213</v>
      </c>
      <c r="G147" s="35">
        <v>1838960</v>
      </c>
      <c r="H147" s="16">
        <v>15267392</v>
      </c>
      <c r="I147">
        <v>30.8</v>
      </c>
      <c r="J147">
        <v>10.5</v>
      </c>
      <c r="K147">
        <v>55</v>
      </c>
      <c r="L147">
        <v>3.7</v>
      </c>
    </row>
    <row r="148" spans="1:12">
      <c r="A148">
        <v>164</v>
      </c>
      <c r="B148" t="s">
        <v>1624</v>
      </c>
      <c r="C148">
        <v>4095</v>
      </c>
      <c r="D148" s="3">
        <v>60275061</v>
      </c>
      <c r="E148" s="12">
        <v>11463885</v>
      </c>
      <c r="F148" s="6">
        <v>1429668</v>
      </c>
      <c r="G148" s="35">
        <v>101828</v>
      </c>
      <c r="H148" s="16">
        <v>47279680</v>
      </c>
      <c r="I148">
        <v>78.400000000000006</v>
      </c>
      <c r="J148">
        <v>2.4</v>
      </c>
      <c r="K148">
        <v>19</v>
      </c>
      <c r="L148">
        <v>0.2</v>
      </c>
    </row>
    <row r="149" spans="1:12">
      <c r="A149">
        <v>165</v>
      </c>
      <c r="B149" t="s">
        <v>1625</v>
      </c>
      <c r="C149">
        <v>1875</v>
      </c>
      <c r="D149" s="3">
        <v>28045494</v>
      </c>
      <c r="E149" s="12">
        <v>4149238</v>
      </c>
      <c r="F149" s="6">
        <v>511455</v>
      </c>
      <c r="G149" s="35">
        <v>175512</v>
      </c>
      <c r="H149" s="16">
        <v>23209289</v>
      </c>
      <c r="I149">
        <v>82.8</v>
      </c>
      <c r="J149">
        <v>1.8</v>
      </c>
      <c r="K149">
        <v>14.8</v>
      </c>
      <c r="L149">
        <v>0.6</v>
      </c>
    </row>
    <row r="150" spans="1:12">
      <c r="A150">
        <v>166</v>
      </c>
      <c r="B150" t="s">
        <v>1626</v>
      </c>
      <c r="C150">
        <v>2857</v>
      </c>
      <c r="D150" s="3">
        <v>33691761</v>
      </c>
      <c r="E150" s="12">
        <v>13935497</v>
      </c>
      <c r="F150" s="6">
        <v>758036</v>
      </c>
      <c r="G150" s="35">
        <v>127503</v>
      </c>
      <c r="H150" s="16">
        <v>18870725</v>
      </c>
      <c r="I150">
        <v>56</v>
      </c>
      <c r="J150">
        <v>2.2000000000000002</v>
      </c>
      <c r="K150">
        <v>41.4</v>
      </c>
      <c r="L150">
        <v>0.4</v>
      </c>
    </row>
    <row r="151" spans="1:12">
      <c r="A151">
        <v>167</v>
      </c>
      <c r="B151" t="s">
        <v>1627</v>
      </c>
      <c r="C151">
        <v>775</v>
      </c>
      <c r="D151" s="3">
        <v>11724328</v>
      </c>
      <c r="E151" s="12">
        <v>574937</v>
      </c>
      <c r="F151" s="6">
        <v>248572</v>
      </c>
      <c r="G151" s="35">
        <v>13950</v>
      </c>
      <c r="H151" s="16">
        <v>10886869</v>
      </c>
      <c r="I151">
        <v>92.9</v>
      </c>
      <c r="J151">
        <v>2.1</v>
      </c>
      <c r="K151">
        <v>4.9000000000000004</v>
      </c>
      <c r="L151">
        <v>0.1</v>
      </c>
    </row>
    <row r="152" spans="1:12">
      <c r="A152">
        <v>169</v>
      </c>
      <c r="B152" t="s">
        <v>1628</v>
      </c>
      <c r="C152">
        <v>934</v>
      </c>
      <c r="D152" s="3">
        <v>15537599</v>
      </c>
      <c r="E152" s="12">
        <v>5257047</v>
      </c>
      <c r="F152" s="6">
        <v>442652</v>
      </c>
      <c r="G152" s="35">
        <v>49354</v>
      </c>
      <c r="H152" s="16">
        <v>9788546</v>
      </c>
      <c r="I152">
        <v>63</v>
      </c>
      <c r="J152">
        <v>2.8</v>
      </c>
      <c r="K152">
        <v>33.799999999999997</v>
      </c>
      <c r="L152">
        <v>0.3</v>
      </c>
    </row>
    <row r="153" spans="1:12">
      <c r="A153">
        <v>201</v>
      </c>
      <c r="B153" t="s">
        <v>1629</v>
      </c>
      <c r="C153">
        <v>565</v>
      </c>
      <c r="D153" s="3">
        <v>10026419</v>
      </c>
      <c r="E153" s="12">
        <v>1035006</v>
      </c>
      <c r="F153" s="6">
        <v>337638</v>
      </c>
      <c r="G153" s="35">
        <v>60415</v>
      </c>
      <c r="H153" s="16">
        <v>8593360</v>
      </c>
      <c r="I153">
        <v>85.7</v>
      </c>
      <c r="J153">
        <v>3.4</v>
      </c>
      <c r="K153">
        <v>10.3</v>
      </c>
      <c r="L153">
        <v>0.6</v>
      </c>
    </row>
    <row r="154" spans="1:12">
      <c r="A154">
        <v>204</v>
      </c>
      <c r="B154" t="s">
        <v>1630</v>
      </c>
      <c r="C154">
        <v>946</v>
      </c>
      <c r="D154" s="3">
        <v>15341349</v>
      </c>
      <c r="E154" s="12">
        <v>1392580</v>
      </c>
      <c r="F154" s="6">
        <v>198990</v>
      </c>
      <c r="G154" s="35">
        <v>0</v>
      </c>
      <c r="H154" s="16">
        <v>13749779</v>
      </c>
      <c r="I154">
        <v>89.6</v>
      </c>
      <c r="J154">
        <v>1.3</v>
      </c>
      <c r="K154">
        <v>9.1</v>
      </c>
      <c r="L154">
        <v>0</v>
      </c>
    </row>
    <row r="155" spans="1:12">
      <c r="A155">
        <v>205</v>
      </c>
      <c r="B155" t="s">
        <v>1631</v>
      </c>
      <c r="C155">
        <v>2509</v>
      </c>
      <c r="D155" s="3">
        <v>47689715</v>
      </c>
      <c r="E155" s="12">
        <v>12740109</v>
      </c>
      <c r="F155" s="6">
        <v>498880</v>
      </c>
      <c r="G155" s="35">
        <v>7777</v>
      </c>
      <c r="H155" s="16">
        <v>34442949</v>
      </c>
      <c r="I155">
        <v>72.2</v>
      </c>
      <c r="J155">
        <v>1</v>
      </c>
      <c r="K155">
        <v>26.7</v>
      </c>
      <c r="L155">
        <v>0</v>
      </c>
    </row>
    <row r="156" spans="1:12">
      <c r="A156">
        <v>206</v>
      </c>
      <c r="B156" t="s">
        <v>1632</v>
      </c>
      <c r="C156">
        <v>1077</v>
      </c>
      <c r="D156" s="3">
        <v>15933704</v>
      </c>
      <c r="E156" s="12">
        <v>2058593</v>
      </c>
      <c r="F156" s="6">
        <v>342360</v>
      </c>
      <c r="G156" s="35">
        <v>749293</v>
      </c>
      <c r="H156" s="16">
        <v>12783458</v>
      </c>
      <c r="I156">
        <v>80.2</v>
      </c>
      <c r="J156">
        <v>2.1</v>
      </c>
      <c r="K156">
        <v>12.9</v>
      </c>
      <c r="L156">
        <v>4.7</v>
      </c>
    </row>
    <row r="157" spans="1:12">
      <c r="A157">
        <v>207</v>
      </c>
      <c r="B157" t="s">
        <v>1633</v>
      </c>
      <c r="C157">
        <v>1161</v>
      </c>
      <c r="D157" s="3">
        <v>16244270</v>
      </c>
      <c r="E157" s="12">
        <v>2648021</v>
      </c>
      <c r="F157" s="6">
        <v>212666</v>
      </c>
      <c r="G157" s="35">
        <v>674029</v>
      </c>
      <c r="H157" s="16">
        <v>12709554</v>
      </c>
      <c r="I157">
        <v>78.2</v>
      </c>
      <c r="J157">
        <v>1.3</v>
      </c>
      <c r="K157">
        <v>16.3</v>
      </c>
      <c r="L157">
        <v>4.0999999999999996</v>
      </c>
    </row>
    <row r="158" spans="1:12">
      <c r="A158">
        <v>208</v>
      </c>
      <c r="B158" t="s">
        <v>1634</v>
      </c>
      <c r="C158">
        <v>1645</v>
      </c>
      <c r="D158" s="3">
        <v>21887404</v>
      </c>
      <c r="E158" s="12">
        <v>5760193</v>
      </c>
      <c r="F158" s="6">
        <v>433939</v>
      </c>
      <c r="G158" s="35">
        <v>0</v>
      </c>
      <c r="H158" s="16">
        <v>15693272</v>
      </c>
      <c r="I158">
        <v>71.7</v>
      </c>
      <c r="J158">
        <v>2</v>
      </c>
      <c r="K158">
        <v>26.3</v>
      </c>
      <c r="L158">
        <v>0</v>
      </c>
    </row>
    <row r="159" spans="1:12">
      <c r="A159">
        <v>209</v>
      </c>
      <c r="B159" t="s">
        <v>1635</v>
      </c>
      <c r="C159">
        <v>962</v>
      </c>
      <c r="D159" s="3">
        <v>18596675</v>
      </c>
      <c r="E159" s="12">
        <v>979216</v>
      </c>
      <c r="F159" s="6">
        <v>241230</v>
      </c>
      <c r="G159" s="35">
        <v>0</v>
      </c>
      <c r="H159" s="16">
        <v>17376229</v>
      </c>
      <c r="I159">
        <v>93.4</v>
      </c>
      <c r="J159">
        <v>1.3</v>
      </c>
      <c r="K159">
        <v>5.3</v>
      </c>
      <c r="L159">
        <v>0</v>
      </c>
    </row>
    <row r="160" spans="1:12">
      <c r="A160">
        <v>210</v>
      </c>
      <c r="B160" t="s">
        <v>1636</v>
      </c>
      <c r="C160">
        <v>2770</v>
      </c>
      <c r="D160" s="3">
        <v>44187895</v>
      </c>
      <c r="E160" s="12">
        <v>20211223</v>
      </c>
      <c r="F160" s="6">
        <v>540265</v>
      </c>
      <c r="G160" s="35">
        <v>36841</v>
      </c>
      <c r="H160" s="16">
        <v>23399566</v>
      </c>
      <c r="I160">
        <v>53</v>
      </c>
      <c r="J160">
        <v>1.2</v>
      </c>
      <c r="K160">
        <v>45.7</v>
      </c>
      <c r="L160">
        <v>0.1</v>
      </c>
    </row>
    <row r="161" spans="1:12">
      <c r="A161">
        <v>211</v>
      </c>
      <c r="B161" t="s">
        <v>1637</v>
      </c>
      <c r="C161">
        <v>325</v>
      </c>
      <c r="D161" s="3">
        <v>7419010</v>
      </c>
      <c r="E161" s="12">
        <v>2345310</v>
      </c>
      <c r="F161" s="6">
        <v>137510</v>
      </c>
      <c r="G161" s="35">
        <v>47554</v>
      </c>
      <c r="H161" s="16">
        <v>4888636</v>
      </c>
      <c r="I161">
        <v>65.900000000000006</v>
      </c>
      <c r="J161">
        <v>1.9</v>
      </c>
      <c r="K161">
        <v>31.6</v>
      </c>
      <c r="L161">
        <v>0.6</v>
      </c>
    </row>
    <row r="162" spans="1:12">
      <c r="A162">
        <v>212</v>
      </c>
      <c r="B162" t="s">
        <v>1638</v>
      </c>
      <c r="C162">
        <v>1062</v>
      </c>
      <c r="D162" s="3">
        <v>19307951</v>
      </c>
      <c r="E162" s="12">
        <v>686186</v>
      </c>
      <c r="F162" s="6">
        <v>376723</v>
      </c>
      <c r="G162" s="35">
        <v>524638</v>
      </c>
      <c r="H162" s="16">
        <v>17720404</v>
      </c>
      <c r="I162">
        <v>91.8</v>
      </c>
      <c r="J162">
        <v>2</v>
      </c>
      <c r="K162">
        <v>3.6</v>
      </c>
      <c r="L162">
        <v>2.7</v>
      </c>
    </row>
    <row r="163" spans="1:12">
      <c r="A163">
        <v>213</v>
      </c>
      <c r="B163" t="s">
        <v>1639</v>
      </c>
      <c r="C163">
        <v>2133</v>
      </c>
      <c r="D163" s="3">
        <v>29921408</v>
      </c>
      <c r="E163" s="12">
        <v>6792113</v>
      </c>
      <c r="F163" s="6">
        <v>467970</v>
      </c>
      <c r="G163" s="35">
        <v>76094</v>
      </c>
      <c r="H163" s="16">
        <v>22585231</v>
      </c>
      <c r="I163">
        <v>75.5</v>
      </c>
      <c r="J163">
        <v>1.6</v>
      </c>
      <c r="K163">
        <v>22.7</v>
      </c>
      <c r="L163">
        <v>0.3</v>
      </c>
    </row>
    <row r="164" spans="1:12">
      <c r="A164">
        <v>214</v>
      </c>
      <c r="B164" t="s">
        <v>1640</v>
      </c>
      <c r="C164">
        <v>2265</v>
      </c>
      <c r="D164" s="3">
        <v>29072914</v>
      </c>
      <c r="E164" s="12">
        <v>3835937</v>
      </c>
      <c r="F164" s="6">
        <v>836398</v>
      </c>
      <c r="G164" s="35">
        <v>1572543</v>
      </c>
      <c r="H164" s="16">
        <v>22828036</v>
      </c>
      <c r="I164">
        <v>78.5</v>
      </c>
      <c r="J164">
        <v>2.9</v>
      </c>
      <c r="K164">
        <v>13.2</v>
      </c>
      <c r="L164">
        <v>5.4</v>
      </c>
    </row>
    <row r="165" spans="1:12">
      <c r="A165">
        <v>215</v>
      </c>
      <c r="B165" t="s">
        <v>1641</v>
      </c>
      <c r="C165">
        <v>4506</v>
      </c>
      <c r="D165" s="3">
        <v>56177622</v>
      </c>
      <c r="E165" s="12">
        <v>3382702</v>
      </c>
      <c r="F165" s="6">
        <v>1053408</v>
      </c>
      <c r="G165" s="35">
        <v>229309</v>
      </c>
      <c r="H165" s="16">
        <v>51512203</v>
      </c>
      <c r="I165">
        <v>91.7</v>
      </c>
      <c r="J165">
        <v>1.9</v>
      </c>
      <c r="K165">
        <v>6</v>
      </c>
      <c r="L165">
        <v>0.4</v>
      </c>
    </row>
    <row r="166" spans="1:12">
      <c r="A166">
        <v>216</v>
      </c>
      <c r="B166" t="s">
        <v>1642</v>
      </c>
      <c r="C166">
        <v>2611</v>
      </c>
      <c r="D166" s="3">
        <v>33202305</v>
      </c>
      <c r="E166" s="12">
        <v>11596921</v>
      </c>
      <c r="F166" s="6">
        <v>644889</v>
      </c>
      <c r="G166" s="35">
        <v>54008</v>
      </c>
      <c r="H166" s="16">
        <v>20906487</v>
      </c>
      <c r="I166">
        <v>63</v>
      </c>
      <c r="J166">
        <v>1.9</v>
      </c>
      <c r="K166">
        <v>34.9</v>
      </c>
      <c r="L166">
        <v>0.2</v>
      </c>
    </row>
    <row r="167" spans="1:12">
      <c r="A167">
        <v>217</v>
      </c>
      <c r="B167" t="s">
        <v>1643</v>
      </c>
      <c r="C167">
        <v>2452</v>
      </c>
      <c r="D167" s="3">
        <v>41677152</v>
      </c>
      <c r="E167" s="12">
        <v>12067694</v>
      </c>
      <c r="F167" s="6">
        <v>615485</v>
      </c>
      <c r="G167" s="35">
        <v>23388</v>
      </c>
      <c r="H167" s="16">
        <v>28970585</v>
      </c>
      <c r="I167">
        <v>69.5</v>
      </c>
      <c r="J167">
        <v>1.5</v>
      </c>
      <c r="K167">
        <v>29</v>
      </c>
      <c r="L167">
        <v>0.1</v>
      </c>
    </row>
    <row r="168" spans="1:12">
      <c r="A168">
        <v>218</v>
      </c>
      <c r="B168" t="s">
        <v>1644</v>
      </c>
      <c r="C168">
        <v>1483</v>
      </c>
      <c r="D168" s="3">
        <v>26389500</v>
      </c>
      <c r="E168" s="12">
        <v>1282133</v>
      </c>
      <c r="F168" s="6">
        <v>284771</v>
      </c>
      <c r="G168" s="35">
        <v>15107</v>
      </c>
      <c r="H168" s="16">
        <v>24807489</v>
      </c>
      <c r="I168">
        <v>94</v>
      </c>
      <c r="J168">
        <v>1.1000000000000001</v>
      </c>
      <c r="K168">
        <v>4.9000000000000004</v>
      </c>
      <c r="L168">
        <v>0.1</v>
      </c>
    </row>
    <row r="169" spans="1:12">
      <c r="A169">
        <v>219</v>
      </c>
      <c r="B169" t="s">
        <v>1645</v>
      </c>
      <c r="C169">
        <v>1201</v>
      </c>
      <c r="D169" s="3">
        <v>19309584</v>
      </c>
      <c r="E169" s="12">
        <v>7558980</v>
      </c>
      <c r="F169" s="6">
        <v>260076</v>
      </c>
      <c r="G169" s="35">
        <v>619763</v>
      </c>
      <c r="H169" s="16">
        <v>10870765</v>
      </c>
      <c r="I169">
        <v>56.3</v>
      </c>
      <c r="J169">
        <v>1.3</v>
      </c>
      <c r="K169">
        <v>39.1</v>
      </c>
      <c r="L169">
        <v>3.2</v>
      </c>
    </row>
    <row r="170" spans="1:12">
      <c r="B170" t="s">
        <v>449</v>
      </c>
      <c r="C170">
        <f t="shared" ref="C170:H170" si="0">SUM(C4:C169)</f>
        <v>536364</v>
      </c>
      <c r="D170" s="3">
        <f t="shared" si="0"/>
        <v>7980736808</v>
      </c>
      <c r="E170" s="15">
        <f t="shared" si="0"/>
        <v>2660597884</v>
      </c>
      <c r="F170" s="14">
        <f t="shared" si="0"/>
        <v>288401750</v>
      </c>
      <c r="G170" s="37">
        <f t="shared" si="0"/>
        <v>73855592</v>
      </c>
      <c r="H170" s="17">
        <f t="shared" si="0"/>
        <v>4957881582</v>
      </c>
    </row>
    <row r="171" spans="1:12">
      <c r="D171" s="3" t="s">
        <v>448</v>
      </c>
      <c r="E171" s="15">
        <f>'2007 ST Fed Grants'!C165</f>
        <v>18167318</v>
      </c>
      <c r="F171" s="14">
        <f>'2007 ST Fed Grants'!C244</f>
        <v>2176308</v>
      </c>
      <c r="G171" s="37"/>
      <c r="H171" s="17"/>
    </row>
    <row r="172" spans="1:12">
      <c r="D172" s="3" t="s">
        <v>380</v>
      </c>
      <c r="E172" s="15"/>
      <c r="F172" s="14">
        <v>34548</v>
      </c>
      <c r="G172" s="37"/>
      <c r="H172" s="17"/>
    </row>
    <row r="173" spans="1:12">
      <c r="D173" s="3" t="s">
        <v>381</v>
      </c>
      <c r="E173" s="15"/>
      <c r="F173" s="14">
        <v>1003815</v>
      </c>
      <c r="G173" s="37"/>
      <c r="H173" s="17"/>
    </row>
    <row r="174" spans="1:12">
      <c r="D174" s="3" t="s">
        <v>447</v>
      </c>
      <c r="E174" s="15">
        <f>'2007 ST Fed Grants'!C343</f>
        <v>51928850</v>
      </c>
      <c r="F174" s="14">
        <f>'2007 ST Fed Grants'!C354</f>
        <v>615648</v>
      </c>
      <c r="G174" s="37"/>
      <c r="H174" s="17"/>
    </row>
    <row r="175" spans="1:12">
      <c r="B175" t="s">
        <v>1543</v>
      </c>
      <c r="D175" s="3">
        <f>SUM(E175:H175)</f>
        <v>7906810321</v>
      </c>
      <c r="E175" s="18">
        <f>E170-(E171+E174)</f>
        <v>2590501716</v>
      </c>
      <c r="F175" s="18">
        <f>F170-(F171+F172+F173+F174)</f>
        <v>284571431</v>
      </c>
      <c r="G175" s="18">
        <f>G170-(G171+G174)</f>
        <v>73855592</v>
      </c>
      <c r="H175" s="18">
        <f>H170-(H171+H174)</f>
        <v>4957881582</v>
      </c>
    </row>
    <row r="176" spans="1:12">
      <c r="C176" t="s">
        <v>382</v>
      </c>
      <c r="D176" s="3">
        <f>C170</f>
        <v>536364</v>
      </c>
      <c r="E176" s="18">
        <f>E175/D176</f>
        <v>4829.7456876300421</v>
      </c>
      <c r="F176" s="18">
        <f>F175/D176</f>
        <v>530.55654555488434</v>
      </c>
      <c r="G176" s="18">
        <f>G175/D176</f>
        <v>137.69677308693349</v>
      </c>
      <c r="H176" s="18">
        <f>H175/D176</f>
        <v>9243.5017674564297</v>
      </c>
    </row>
    <row r="177" spans="1:12">
      <c r="E177" s="19">
        <f>E175/D175</f>
        <v>0.3276291716673394</v>
      </c>
      <c r="F177" s="19">
        <f>F175/D175</f>
        <v>3.5990673792211235E-2</v>
      </c>
      <c r="G177" s="19">
        <f>G175/D175</f>
        <v>9.340756765575128E-3</v>
      </c>
      <c r="H177" s="19">
        <f>H175/D175</f>
        <v>0.62703939777487427</v>
      </c>
    </row>
    <row r="178" spans="1:12">
      <c r="E178" s="15" t="s">
        <v>1681</v>
      </c>
      <c r="F178" s="14" t="s">
        <v>1682</v>
      </c>
      <c r="G178" s="37" t="s">
        <v>1683</v>
      </c>
      <c r="H178" s="17" t="s">
        <v>1684</v>
      </c>
    </row>
    <row r="179" spans="1:12">
      <c r="E179" s="15"/>
      <c r="F179" s="14"/>
      <c r="G179" s="37"/>
      <c r="H179" s="17"/>
    </row>
    <row r="180" spans="1:12">
      <c r="A180" t="s">
        <v>1554</v>
      </c>
      <c r="E180" s="15"/>
      <c r="F180" s="14"/>
      <c r="G180" s="37"/>
      <c r="H180" s="17"/>
    </row>
    <row r="181" spans="1:12" s="7" customFormat="1">
      <c r="A181" s="7">
        <v>15</v>
      </c>
      <c r="B181" s="7" t="s">
        <v>1709</v>
      </c>
      <c r="C181" s="7">
        <v>20682</v>
      </c>
      <c r="D181" s="8">
        <v>299448214</v>
      </c>
      <c r="E181" s="15">
        <v>218716259</v>
      </c>
      <c r="F181" s="14">
        <v>25310070</v>
      </c>
      <c r="G181" s="37">
        <v>1430348</v>
      </c>
      <c r="H181" s="17">
        <v>53991537</v>
      </c>
      <c r="I181" s="7">
        <v>18</v>
      </c>
      <c r="J181" s="7">
        <v>8.5</v>
      </c>
      <c r="K181" s="7">
        <v>73</v>
      </c>
      <c r="L181" s="7">
        <v>0.5</v>
      </c>
    </row>
    <row r="182" spans="1:12">
      <c r="D182" s="3" t="s">
        <v>448</v>
      </c>
      <c r="E182" s="15">
        <f>'2007 ST Fed Grants'!C166</f>
        <v>1167363</v>
      </c>
      <c r="F182" s="14">
        <f>'2007 ST Fed Grants'!C245</f>
        <v>170000</v>
      </c>
      <c r="G182" s="37"/>
      <c r="H182" s="17"/>
    </row>
    <row r="183" spans="1:12">
      <c r="D183" s="3" t="s">
        <v>380</v>
      </c>
      <c r="E183" s="15"/>
      <c r="F183" s="14"/>
      <c r="G183" s="37"/>
      <c r="H183" s="17"/>
    </row>
    <row r="184" spans="1:12">
      <c r="D184" s="3" t="s">
        <v>381</v>
      </c>
      <c r="E184" s="15"/>
      <c r="F184" s="14"/>
      <c r="G184" s="37"/>
      <c r="H184" s="17"/>
    </row>
    <row r="185" spans="1:12">
      <c r="D185" s="3" t="s">
        <v>447</v>
      </c>
      <c r="E185" s="15">
        <f>'2007 ST Fed Grants'!C344</f>
        <v>7932087</v>
      </c>
      <c r="F185" s="14">
        <f>'2007 ST Fed Grants'!C355</f>
        <v>0</v>
      </c>
      <c r="G185" s="37"/>
      <c r="H185" s="17"/>
    </row>
    <row r="186" spans="1:12">
      <c r="B186" t="s">
        <v>1543</v>
      </c>
      <c r="D186" s="3">
        <f>SUM(E186:H186)</f>
        <v>290178764</v>
      </c>
      <c r="E186" s="18">
        <f>E181-(E182+E185)</f>
        <v>209616809</v>
      </c>
      <c r="F186" s="18">
        <f>F181-(F182+F183+F184+F185)</f>
        <v>25140070</v>
      </c>
      <c r="G186" s="18">
        <f>G181-(G182+G185)</f>
        <v>1430348</v>
      </c>
      <c r="H186" s="18">
        <f>H181-(H182+H185)</f>
        <v>53991537</v>
      </c>
    </row>
    <row r="187" spans="1:12">
      <c r="C187" t="s">
        <v>382</v>
      </c>
      <c r="D187" s="3">
        <f>C181</f>
        <v>20682</v>
      </c>
      <c r="E187" s="18">
        <f>E186/D187</f>
        <v>10135.229136447153</v>
      </c>
      <c r="F187" s="18">
        <f>F186/D187</f>
        <v>1215.5531379943914</v>
      </c>
      <c r="G187" s="18">
        <f>G186/D187</f>
        <v>69.15907552461077</v>
      </c>
      <c r="H187" s="18">
        <f>H186/D187</f>
        <v>2610.5568610385844</v>
      </c>
    </row>
    <row r="188" spans="1:12">
      <c r="E188" s="19">
        <f>E186/D186</f>
        <v>0.72237129316602922</v>
      </c>
      <c r="F188" s="19">
        <f>F186/D186</f>
        <v>8.6636491428435478E-2</v>
      </c>
      <c r="G188" s="19">
        <f>G186/D186</f>
        <v>4.9291959903723344E-3</v>
      </c>
      <c r="H188" s="19">
        <f>H186/D186</f>
        <v>0.18606301941516298</v>
      </c>
    </row>
    <row r="189" spans="1:12">
      <c r="A189" t="s">
        <v>1555</v>
      </c>
      <c r="E189" s="3"/>
      <c r="F189" s="3"/>
      <c r="G189" s="3"/>
      <c r="H189" s="3"/>
      <c r="I189" s="3"/>
    </row>
    <row r="190" spans="1:12" s="9" customFormat="1">
      <c r="A190" s="9">
        <v>93</v>
      </c>
      <c r="B190" s="9" t="s">
        <v>1776</v>
      </c>
      <c r="C190" s="9">
        <v>18638</v>
      </c>
      <c r="D190" s="10">
        <v>422788415</v>
      </c>
      <c r="E190" s="15">
        <v>296750600</v>
      </c>
      <c r="F190" s="14">
        <v>35696779</v>
      </c>
      <c r="G190" s="37">
        <v>6091424</v>
      </c>
      <c r="H190" s="17">
        <v>84249612</v>
      </c>
      <c r="I190" s="9">
        <v>19.899999999999999</v>
      </c>
      <c r="J190" s="9">
        <v>8.4</v>
      </c>
      <c r="K190" s="9">
        <v>70.2</v>
      </c>
      <c r="L190" s="9">
        <v>1.4</v>
      </c>
    </row>
    <row r="191" spans="1:12">
      <c r="D191" s="3" t="s">
        <v>448</v>
      </c>
      <c r="E191" s="15">
        <f>'2007 ST Fed Grants'!C167</f>
        <v>2380784</v>
      </c>
      <c r="F191" s="14">
        <f>'2007 ST Fed Grants'!C246</f>
        <v>120000</v>
      </c>
      <c r="G191" s="37"/>
      <c r="H191" s="17"/>
    </row>
    <row r="192" spans="1:12">
      <c r="D192" s="3" t="s">
        <v>380</v>
      </c>
      <c r="E192" s="15"/>
      <c r="F192" s="14">
        <v>0</v>
      </c>
      <c r="G192" s="37"/>
      <c r="H192" s="17"/>
    </row>
    <row r="193" spans="1:8">
      <c r="D193" s="3" t="s">
        <v>381</v>
      </c>
      <c r="E193" s="15"/>
      <c r="F193" s="14">
        <v>297992</v>
      </c>
      <c r="G193" s="37"/>
      <c r="H193" s="17"/>
    </row>
    <row r="194" spans="1:8">
      <c r="D194" s="3" t="s">
        <v>447</v>
      </c>
      <c r="E194" s="15">
        <f>'2007 ST Fed Grants'!C345</f>
        <v>6991926</v>
      </c>
      <c r="F194" s="14">
        <f>'2007 ST Fed Grants'!C356</f>
        <v>0</v>
      </c>
      <c r="G194" s="37"/>
      <c r="H194" s="17"/>
    </row>
    <row r="195" spans="1:8">
      <c r="B195" t="s">
        <v>1543</v>
      </c>
      <c r="D195" s="3">
        <f>SUM(E195:H195)</f>
        <v>412997713</v>
      </c>
      <c r="E195" s="18">
        <f>E190-(E191+E194)</f>
        <v>287377890</v>
      </c>
      <c r="F195" s="18">
        <f>F190-(F191+F192+F193+F194)</f>
        <v>35278787</v>
      </c>
      <c r="G195" s="18">
        <f>G190-(G191+G194)</f>
        <v>6091424</v>
      </c>
      <c r="H195" s="18">
        <f>H190-(H191+H194)</f>
        <v>84249612</v>
      </c>
    </row>
    <row r="196" spans="1:8">
      <c r="C196" t="s">
        <v>382</v>
      </c>
      <c r="D196" s="3">
        <f>C190</f>
        <v>18638</v>
      </c>
      <c r="E196" s="18">
        <f>E195/D196</f>
        <v>15418.923167721858</v>
      </c>
      <c r="F196" s="18">
        <f>F195/D196</f>
        <v>1892.8418821761991</v>
      </c>
      <c r="G196" s="18">
        <f>G195/D196</f>
        <v>326.82820045069212</v>
      </c>
      <c r="H196" s="18">
        <f>H195/D196</f>
        <v>4520.3139821869299</v>
      </c>
    </row>
    <row r="197" spans="1:8">
      <c r="E197" s="19">
        <f>E195/D195</f>
        <v>0.69583409533311391</v>
      </c>
      <c r="F197" s="19">
        <f>F195/D195</f>
        <v>8.542126479039365E-2</v>
      </c>
      <c r="G197" s="19">
        <f>G195/D195</f>
        <v>1.4749292328405703E-2</v>
      </c>
      <c r="H197" s="19">
        <f>H195/D195</f>
        <v>0.20399534754808679</v>
      </c>
    </row>
    <row r="198" spans="1:8" s="11" customFormat="1">
      <c r="D198" s="18"/>
      <c r="E198" s="38"/>
      <c r="F198" s="38"/>
      <c r="G198" s="38"/>
      <c r="H198" s="38"/>
    </row>
    <row r="199" spans="1:8" s="11" customFormat="1">
      <c r="D199" s="18"/>
      <c r="E199" s="38"/>
      <c r="F199" s="38"/>
      <c r="G199" s="38"/>
      <c r="H199" s="38"/>
    </row>
    <row r="200" spans="1:8" s="11" customFormat="1">
      <c r="D200" s="18"/>
      <c r="E200" s="38"/>
      <c r="F200" s="38"/>
      <c r="G200" s="38"/>
      <c r="H200" s="38"/>
    </row>
    <row r="201" spans="1:8" s="11" customFormat="1">
      <c r="A201" s="11" t="s">
        <v>361</v>
      </c>
      <c r="D201" s="18"/>
      <c r="E201" s="18"/>
      <c r="F201" s="18"/>
      <c r="G201" s="18"/>
      <c r="H201" s="18"/>
    </row>
    <row r="202" spans="1:8" s="11" customFormat="1">
      <c r="A202" s="11" t="s">
        <v>362</v>
      </c>
      <c r="D202" s="18"/>
      <c r="E202" s="18"/>
      <c r="F202" s="18"/>
      <c r="G202" s="18"/>
      <c r="H202" s="18"/>
    </row>
    <row r="203" spans="1:8" s="11" customFormat="1">
      <c r="A203" s="11" t="s">
        <v>363</v>
      </c>
      <c r="D203" s="18"/>
      <c r="E203" s="18"/>
      <c r="F203" s="18"/>
      <c r="G203" s="18"/>
      <c r="H203" s="18"/>
    </row>
    <row r="204" spans="1:8" s="11" customFormat="1">
      <c r="A204" s="11" t="s">
        <v>364</v>
      </c>
      <c r="D204" s="18"/>
      <c r="E204" s="18"/>
      <c r="F204" s="18"/>
      <c r="G204" s="18"/>
      <c r="H204" s="18"/>
    </row>
    <row r="205" spans="1:8" s="11" customFormat="1">
      <c r="A205" s="11" t="s">
        <v>365</v>
      </c>
      <c r="D205" s="18"/>
      <c r="E205" s="18"/>
      <c r="F205" s="18"/>
      <c r="G205" s="18"/>
      <c r="H205" s="18"/>
    </row>
    <row r="206" spans="1:8" s="11" customFormat="1">
      <c r="A206" s="11" t="s">
        <v>366</v>
      </c>
      <c r="D206" s="18"/>
      <c r="E206" s="18"/>
      <c r="F206" s="18"/>
      <c r="G206" s="18"/>
      <c r="H206" s="18"/>
    </row>
    <row r="207" spans="1:8" s="11" customFormat="1">
      <c r="A207" s="11" t="s">
        <v>367</v>
      </c>
      <c r="D207" s="18"/>
      <c r="E207" s="18"/>
      <c r="F207" s="18"/>
      <c r="G207" s="18"/>
      <c r="H207" s="18"/>
    </row>
    <row r="208" spans="1:8" s="11" customFormat="1">
      <c r="D208" s="18"/>
      <c r="E208" s="18"/>
      <c r="F208" s="18"/>
      <c r="G208" s="18"/>
      <c r="H208" s="18"/>
    </row>
    <row r="209" spans="4:8" s="11" customFormat="1">
      <c r="D209" s="18"/>
      <c r="E209" s="18"/>
      <c r="F209" s="18"/>
      <c r="G209" s="18"/>
      <c r="H209" s="18"/>
    </row>
    <row r="210" spans="4:8" s="11" customFormat="1">
      <c r="D210" s="18"/>
      <c r="E210" s="18"/>
      <c r="F210" s="18"/>
      <c r="G210" s="18"/>
      <c r="H210" s="18"/>
    </row>
    <row r="211" spans="4:8" s="11" customFormat="1">
      <c r="D211" s="18"/>
      <c r="E211" s="18"/>
      <c r="F211" s="18"/>
      <c r="G211" s="18"/>
      <c r="H211" s="18"/>
    </row>
    <row r="212" spans="4:8" s="11" customFormat="1">
      <c r="D212" s="18"/>
      <c r="E212" s="18"/>
      <c r="F212" s="18"/>
      <c r="G212" s="18"/>
      <c r="H212" s="18"/>
    </row>
    <row r="213" spans="4:8" s="11" customFormat="1">
      <c r="D213" s="18"/>
      <c r="E213" s="18"/>
      <c r="F213" s="18"/>
      <c r="G213" s="18"/>
      <c r="H213" s="18"/>
    </row>
    <row r="214" spans="4:8" s="11" customFormat="1">
      <c r="D214" s="18"/>
      <c r="E214" s="18"/>
      <c r="F214" s="18"/>
      <c r="G214" s="18"/>
      <c r="H214" s="18"/>
    </row>
    <row r="215" spans="4:8" s="11" customFormat="1">
      <c r="D215" s="18"/>
      <c r="E215" s="18"/>
      <c r="F215" s="18"/>
      <c r="G215" s="18"/>
      <c r="H215" s="18"/>
    </row>
    <row r="216" spans="4:8" s="11" customFormat="1">
      <c r="D216" s="18"/>
      <c r="E216" s="18"/>
      <c r="F216" s="18"/>
      <c r="G216" s="18"/>
      <c r="H216" s="18"/>
    </row>
    <row r="217" spans="4:8" s="11" customFormat="1">
      <c r="D217" s="18"/>
      <c r="E217" s="18"/>
      <c r="F217" s="18"/>
      <c r="G217" s="18"/>
      <c r="H217" s="18"/>
    </row>
    <row r="218" spans="4:8" s="11" customFormat="1">
      <c r="D218" s="18"/>
      <c r="E218" s="18"/>
      <c r="F218" s="18"/>
      <c r="G218" s="18"/>
      <c r="H218" s="18"/>
    </row>
    <row r="219" spans="4:8" s="11" customFormat="1">
      <c r="D219" s="18"/>
      <c r="E219" s="18"/>
      <c r="F219" s="18"/>
      <c r="G219" s="18"/>
      <c r="H219" s="18"/>
    </row>
    <row r="220" spans="4:8" s="11" customFormat="1">
      <c r="D220" s="18"/>
      <c r="E220" s="18"/>
      <c r="F220" s="18"/>
      <c r="G220" s="18"/>
      <c r="H220" s="18"/>
    </row>
    <row r="221" spans="4:8" s="11" customFormat="1">
      <c r="D221" s="18"/>
      <c r="E221" s="18"/>
      <c r="F221" s="18"/>
      <c r="G221" s="18"/>
      <c r="H221" s="18"/>
    </row>
    <row r="222" spans="4:8" s="11" customFormat="1">
      <c r="D222" s="18"/>
      <c r="E222" s="18"/>
      <c r="F222" s="18"/>
      <c r="G222" s="18"/>
      <c r="H222" s="18"/>
    </row>
    <row r="223" spans="4:8" s="11" customFormat="1">
      <c r="D223" s="18"/>
      <c r="E223" s="18"/>
      <c r="F223" s="18"/>
      <c r="G223" s="18"/>
      <c r="H223" s="18"/>
    </row>
    <row r="224" spans="4:8" s="11" customFormat="1">
      <c r="D224" s="18"/>
      <c r="E224" s="18"/>
      <c r="F224" s="18"/>
      <c r="G224" s="18"/>
      <c r="H224" s="18"/>
    </row>
    <row r="225" spans="4:8" s="11" customFormat="1">
      <c r="D225" s="18"/>
      <c r="E225" s="18"/>
      <c r="F225" s="18"/>
      <c r="G225" s="18"/>
      <c r="H225" s="18"/>
    </row>
    <row r="226" spans="4:8" s="11" customFormat="1">
      <c r="D226" s="18"/>
      <c r="E226" s="18"/>
      <c r="F226" s="18"/>
      <c r="G226" s="18"/>
      <c r="H226" s="18"/>
    </row>
    <row r="227" spans="4:8" s="11" customFormat="1">
      <c r="D227" s="18"/>
      <c r="E227" s="18"/>
      <c r="F227" s="18"/>
      <c r="G227" s="18"/>
      <c r="H227" s="18"/>
    </row>
    <row r="228" spans="4:8" s="11" customFormat="1">
      <c r="D228" s="18"/>
      <c r="E228" s="18"/>
      <c r="F228" s="18"/>
      <c r="G228" s="18"/>
      <c r="H228" s="18"/>
    </row>
    <row r="229" spans="4:8" s="11" customFormat="1">
      <c r="D229" s="18"/>
      <c r="E229" s="18"/>
      <c r="F229" s="18"/>
      <c r="G229" s="18"/>
      <c r="H229" s="18"/>
    </row>
    <row r="230" spans="4:8" s="11" customFormat="1">
      <c r="D230" s="18"/>
      <c r="E230" s="18"/>
      <c r="F230" s="18"/>
      <c r="G230" s="18"/>
      <c r="H230" s="18"/>
    </row>
    <row r="231" spans="4:8" s="11" customFormat="1">
      <c r="D231" s="18"/>
      <c r="E231" s="18"/>
      <c r="F231" s="18"/>
      <c r="G231" s="18"/>
      <c r="H231" s="18"/>
    </row>
    <row r="232" spans="4:8" s="11" customFormat="1">
      <c r="D232" s="18"/>
      <c r="E232" s="18"/>
      <c r="F232" s="18"/>
      <c r="G232" s="18"/>
      <c r="H232" s="18"/>
    </row>
    <row r="233" spans="4:8" s="11" customFormat="1">
      <c r="D233" s="18"/>
      <c r="E233" s="18"/>
      <c r="F233" s="18"/>
      <c r="G233" s="18"/>
      <c r="H233" s="18"/>
    </row>
    <row r="234" spans="4:8" s="11" customFormat="1">
      <c r="D234" s="18"/>
      <c r="E234" s="18"/>
      <c r="F234" s="18"/>
      <c r="G234" s="18"/>
      <c r="H234" s="18"/>
    </row>
    <row r="235" spans="4:8" s="11" customFormat="1">
      <c r="D235" s="18"/>
      <c r="E235" s="18"/>
      <c r="F235" s="18"/>
      <c r="G235" s="18"/>
      <c r="H235" s="18"/>
    </row>
    <row r="236" spans="4:8" s="11" customFormat="1">
      <c r="D236" s="18"/>
      <c r="E236" s="18"/>
      <c r="F236" s="18"/>
      <c r="G236" s="18"/>
      <c r="H236" s="18"/>
    </row>
    <row r="237" spans="4:8" s="11" customFormat="1">
      <c r="D237" s="18"/>
      <c r="E237" s="18"/>
      <c r="F237" s="18"/>
      <c r="G237" s="18"/>
      <c r="H237" s="18"/>
    </row>
    <row r="238" spans="4:8" s="11" customFormat="1">
      <c r="D238" s="18"/>
      <c r="E238" s="18"/>
      <c r="F238" s="18"/>
      <c r="G238" s="18"/>
      <c r="H238" s="18"/>
    </row>
    <row r="239" spans="4:8" s="11" customFormat="1">
      <c r="D239" s="18"/>
      <c r="E239" s="18"/>
      <c r="F239" s="18"/>
      <c r="G239" s="18"/>
      <c r="H239" s="18"/>
    </row>
    <row r="240" spans="4:8" s="11" customFormat="1">
      <c r="D240" s="18"/>
      <c r="E240" s="18"/>
      <c r="F240" s="18"/>
      <c r="G240" s="18"/>
      <c r="H240" s="18"/>
    </row>
    <row r="241" spans="4:8" s="11" customFormat="1">
      <c r="D241" s="18"/>
      <c r="E241" s="18"/>
      <c r="F241" s="18"/>
      <c r="G241" s="18"/>
      <c r="H241" s="18"/>
    </row>
    <row r="242" spans="4:8" s="11" customFormat="1">
      <c r="D242" s="18"/>
      <c r="E242" s="18"/>
      <c r="F242" s="18"/>
      <c r="G242" s="18"/>
      <c r="H242" s="18"/>
    </row>
    <row r="243" spans="4:8" s="11" customFormat="1">
      <c r="D243" s="18"/>
      <c r="E243" s="18"/>
      <c r="F243" s="18"/>
      <c r="G243" s="18"/>
      <c r="H243" s="18"/>
    </row>
    <row r="244" spans="4:8" s="11" customFormat="1">
      <c r="D244" s="18"/>
      <c r="E244" s="18"/>
      <c r="F244" s="18"/>
      <c r="G244" s="18"/>
      <c r="H244" s="18"/>
    </row>
    <row r="245" spans="4:8" s="11" customFormat="1">
      <c r="D245" s="18"/>
      <c r="E245" s="18"/>
      <c r="F245" s="18"/>
      <c r="G245" s="18"/>
      <c r="H245" s="18"/>
    </row>
    <row r="246" spans="4:8" s="11" customFormat="1">
      <c r="D246" s="18"/>
      <c r="E246" s="18"/>
      <c r="F246" s="18"/>
      <c r="G246" s="18"/>
      <c r="H246" s="18"/>
    </row>
    <row r="247" spans="4:8" s="11" customFormat="1">
      <c r="D247" s="18"/>
      <c r="E247" s="18"/>
      <c r="F247" s="18"/>
      <c r="G247" s="18"/>
      <c r="H247" s="18"/>
    </row>
    <row r="248" spans="4:8" s="11" customFormat="1">
      <c r="D248" s="18"/>
      <c r="E248" s="18"/>
      <c r="F248" s="18"/>
      <c r="G248" s="18"/>
      <c r="H248" s="18"/>
    </row>
    <row r="249" spans="4:8" s="11" customFormat="1">
      <c r="D249" s="18"/>
      <c r="E249" s="18"/>
      <c r="F249" s="18"/>
      <c r="G249" s="18"/>
      <c r="H249" s="18"/>
    </row>
    <row r="250" spans="4:8" s="11" customFormat="1">
      <c r="D250" s="18"/>
      <c r="E250" s="18"/>
      <c r="F250" s="18"/>
      <c r="G250" s="18"/>
      <c r="H250" s="18"/>
    </row>
    <row r="251" spans="4:8" s="11" customFormat="1">
      <c r="D251" s="18"/>
      <c r="E251" s="18"/>
      <c r="F251" s="18"/>
      <c r="G251" s="18"/>
      <c r="H251" s="18"/>
    </row>
    <row r="252" spans="4:8" s="11" customFormat="1">
      <c r="D252" s="18"/>
      <c r="E252" s="18"/>
      <c r="F252" s="18"/>
      <c r="G252" s="18"/>
      <c r="H252" s="18"/>
    </row>
    <row r="253" spans="4:8" s="11" customFormat="1">
      <c r="D253" s="18"/>
      <c r="E253" s="18"/>
      <c r="F253" s="18"/>
      <c r="G253" s="18"/>
      <c r="H253" s="18"/>
    </row>
    <row r="254" spans="4:8" s="11" customFormat="1">
      <c r="D254" s="18"/>
      <c r="E254" s="18"/>
      <c r="F254" s="18"/>
      <c r="G254" s="18"/>
      <c r="H254" s="18"/>
    </row>
    <row r="255" spans="4:8" s="11" customFormat="1">
      <c r="D255" s="18"/>
      <c r="E255" s="18"/>
      <c r="F255" s="18"/>
      <c r="G255" s="18"/>
      <c r="H255" s="18"/>
    </row>
    <row r="256" spans="4:8" s="11" customFormat="1">
      <c r="D256" s="18"/>
      <c r="E256" s="18"/>
      <c r="F256" s="18"/>
      <c r="G256" s="18"/>
      <c r="H256" s="18"/>
    </row>
    <row r="257" spans="4:8" s="11" customFormat="1">
      <c r="D257" s="18"/>
      <c r="E257" s="18"/>
      <c r="F257" s="18"/>
      <c r="G257" s="18"/>
      <c r="H257" s="18"/>
    </row>
    <row r="258" spans="4:8" s="11" customFormat="1">
      <c r="D258" s="18"/>
      <c r="E258" s="18"/>
      <c r="F258" s="18"/>
      <c r="G258" s="18"/>
      <c r="H258" s="18"/>
    </row>
    <row r="259" spans="4:8" s="11" customFormat="1">
      <c r="D259" s="18"/>
      <c r="E259" s="18"/>
      <c r="F259" s="18"/>
      <c r="G259" s="18"/>
      <c r="H259" s="18"/>
    </row>
    <row r="260" spans="4:8" s="11" customFormat="1">
      <c r="D260" s="18"/>
      <c r="E260" s="18"/>
      <c r="F260" s="18"/>
      <c r="G260" s="18"/>
      <c r="H260" s="18"/>
    </row>
    <row r="261" spans="4:8" s="11" customFormat="1">
      <c r="D261" s="18"/>
      <c r="E261" s="18"/>
      <c r="F261" s="18"/>
      <c r="G261" s="18"/>
      <c r="H261" s="18"/>
    </row>
    <row r="262" spans="4:8" s="11" customFormat="1">
      <c r="D262" s="18"/>
      <c r="E262" s="18"/>
      <c r="F262" s="18"/>
      <c r="G262" s="18"/>
      <c r="H262" s="18"/>
    </row>
    <row r="263" spans="4:8" s="11" customFormat="1">
      <c r="D263" s="18"/>
      <c r="E263" s="18"/>
      <c r="F263" s="18"/>
      <c r="G263" s="18"/>
      <c r="H263" s="18"/>
    </row>
    <row r="264" spans="4:8" s="11" customFormat="1">
      <c r="D264" s="18"/>
      <c r="E264" s="18"/>
      <c r="F264" s="18"/>
      <c r="G264" s="18"/>
      <c r="H264" s="18"/>
    </row>
    <row r="265" spans="4:8" s="11" customFormat="1">
      <c r="D265" s="18"/>
      <c r="E265" s="18"/>
      <c r="F265" s="18"/>
      <c r="G265" s="18"/>
      <c r="H265" s="18"/>
    </row>
    <row r="266" spans="4:8" s="11" customFormat="1">
      <c r="D266" s="18"/>
      <c r="E266" s="18"/>
      <c r="F266" s="18"/>
      <c r="G266" s="18"/>
      <c r="H266" s="18"/>
    </row>
    <row r="267" spans="4:8" s="11" customFormat="1">
      <c r="D267" s="18"/>
      <c r="E267" s="18"/>
      <c r="F267" s="18"/>
      <c r="G267" s="18"/>
      <c r="H267" s="18"/>
    </row>
    <row r="268" spans="4:8" s="11" customFormat="1">
      <c r="D268" s="18"/>
      <c r="E268" s="18"/>
      <c r="F268" s="18"/>
      <c r="G268" s="18"/>
      <c r="H268" s="18"/>
    </row>
    <row r="269" spans="4:8" s="11" customFormat="1">
      <c r="D269" s="18"/>
      <c r="E269" s="18"/>
      <c r="F269" s="18"/>
      <c r="G269" s="18"/>
      <c r="H269" s="18"/>
    </row>
    <row r="270" spans="4:8" s="11" customFormat="1">
      <c r="D270" s="18"/>
      <c r="E270" s="18"/>
      <c r="F270" s="18"/>
      <c r="G270" s="18"/>
      <c r="H270" s="18"/>
    </row>
    <row r="271" spans="4:8" s="11" customFormat="1">
      <c r="D271" s="18"/>
      <c r="E271" s="18"/>
      <c r="F271" s="18"/>
      <c r="G271" s="18"/>
      <c r="H271" s="18"/>
    </row>
    <row r="272" spans="4:8" s="11" customFormat="1">
      <c r="D272" s="18"/>
      <c r="E272" s="18"/>
      <c r="F272" s="18"/>
      <c r="G272" s="18"/>
      <c r="H272" s="18"/>
    </row>
    <row r="273" spans="4:8" s="11" customFormat="1">
      <c r="D273" s="18"/>
      <c r="E273" s="18"/>
      <c r="F273" s="18"/>
      <c r="G273" s="18"/>
      <c r="H273" s="18"/>
    </row>
    <row r="274" spans="4:8" s="11" customFormat="1">
      <c r="D274" s="18"/>
      <c r="E274" s="18"/>
      <c r="F274" s="18"/>
      <c r="G274" s="18"/>
      <c r="H274" s="18"/>
    </row>
    <row r="275" spans="4:8" s="11" customFormat="1">
      <c r="D275" s="18"/>
      <c r="E275" s="18"/>
      <c r="F275" s="18"/>
      <c r="G275" s="18"/>
      <c r="H275" s="18"/>
    </row>
    <row r="276" spans="4:8" s="11" customFormat="1">
      <c r="D276" s="18"/>
      <c r="E276" s="18"/>
      <c r="F276" s="18"/>
      <c r="G276" s="18"/>
      <c r="H276" s="18"/>
    </row>
    <row r="277" spans="4:8" s="11" customFormat="1">
      <c r="D277" s="18"/>
      <c r="E277" s="18"/>
      <c r="F277" s="18"/>
      <c r="G277" s="18"/>
      <c r="H277" s="18"/>
    </row>
    <row r="278" spans="4:8" s="11" customFormat="1">
      <c r="D278" s="18"/>
      <c r="E278" s="18"/>
      <c r="F278" s="18"/>
      <c r="G278" s="18"/>
      <c r="H278" s="18"/>
    </row>
    <row r="279" spans="4:8" s="11" customFormat="1">
      <c r="D279" s="18"/>
      <c r="E279" s="18"/>
      <c r="F279" s="18"/>
      <c r="G279" s="18"/>
      <c r="H279" s="18"/>
    </row>
    <row r="280" spans="4:8" s="11" customFormat="1">
      <c r="D280" s="18"/>
      <c r="E280" s="18"/>
      <c r="F280" s="18"/>
      <c r="G280" s="18"/>
      <c r="H280" s="18"/>
    </row>
    <row r="281" spans="4:8" s="11" customFormat="1">
      <c r="D281" s="18"/>
      <c r="E281" s="18"/>
      <c r="F281" s="18"/>
      <c r="G281" s="18"/>
      <c r="H281" s="18"/>
    </row>
    <row r="282" spans="4:8" s="11" customFormat="1">
      <c r="D282" s="18"/>
      <c r="E282" s="18"/>
      <c r="F282" s="18"/>
      <c r="G282" s="18"/>
      <c r="H282" s="18"/>
    </row>
    <row r="283" spans="4:8" s="11" customFormat="1">
      <c r="D283" s="18"/>
      <c r="E283" s="18"/>
      <c r="F283" s="18"/>
      <c r="G283" s="18"/>
      <c r="H283" s="18"/>
    </row>
    <row r="284" spans="4:8" s="11" customFormat="1">
      <c r="D284" s="18"/>
      <c r="E284" s="18"/>
      <c r="F284" s="18"/>
      <c r="G284" s="18"/>
      <c r="H284" s="18"/>
    </row>
    <row r="285" spans="4:8" s="11" customFormat="1">
      <c r="D285" s="18"/>
      <c r="E285" s="18"/>
      <c r="F285" s="18"/>
      <c r="G285" s="18"/>
      <c r="H285" s="18"/>
    </row>
    <row r="286" spans="4:8" s="11" customFormat="1">
      <c r="D286" s="18"/>
      <c r="E286" s="18"/>
      <c r="F286" s="18"/>
      <c r="G286" s="18"/>
      <c r="H286" s="18"/>
    </row>
    <row r="287" spans="4:8" s="11" customFormat="1">
      <c r="D287" s="18"/>
      <c r="E287" s="18"/>
      <c r="F287" s="18"/>
      <c r="G287" s="18"/>
      <c r="H287" s="18"/>
    </row>
    <row r="288" spans="4:8" s="11" customFormat="1">
      <c r="D288" s="18"/>
      <c r="E288" s="18"/>
      <c r="F288" s="18"/>
      <c r="G288" s="18"/>
      <c r="H288" s="18"/>
    </row>
    <row r="289" spans="4:8" s="11" customFormat="1">
      <c r="D289" s="18"/>
      <c r="E289" s="18"/>
      <c r="F289" s="18"/>
      <c r="G289" s="18"/>
      <c r="H289" s="18"/>
    </row>
    <row r="290" spans="4:8" s="11" customFormat="1">
      <c r="D290" s="18"/>
      <c r="E290" s="18"/>
      <c r="F290" s="18"/>
      <c r="G290" s="18"/>
      <c r="H290" s="18"/>
    </row>
    <row r="291" spans="4:8" s="11" customFormat="1">
      <c r="D291" s="18"/>
      <c r="E291" s="18"/>
      <c r="F291" s="18"/>
      <c r="G291" s="18"/>
      <c r="H291" s="18"/>
    </row>
    <row r="292" spans="4:8" s="11" customFormat="1">
      <c r="D292" s="18"/>
      <c r="E292" s="18"/>
      <c r="F292" s="18"/>
      <c r="G292" s="18"/>
      <c r="H292" s="18"/>
    </row>
    <row r="293" spans="4:8" s="11" customFormat="1">
      <c r="D293" s="18"/>
      <c r="E293" s="18"/>
      <c r="F293" s="18"/>
      <c r="G293" s="18"/>
      <c r="H293" s="18"/>
    </row>
    <row r="294" spans="4:8" s="11" customFormat="1">
      <c r="D294" s="18"/>
      <c r="E294" s="18"/>
      <c r="F294" s="18"/>
      <c r="G294" s="18"/>
      <c r="H294" s="18"/>
    </row>
    <row r="295" spans="4:8" s="11" customFormat="1">
      <c r="D295" s="18"/>
      <c r="E295" s="18"/>
      <c r="F295" s="18"/>
      <c r="G295" s="18"/>
      <c r="H295" s="18"/>
    </row>
    <row r="296" spans="4:8" s="11" customFormat="1">
      <c r="D296" s="18"/>
      <c r="E296" s="18"/>
      <c r="F296" s="18"/>
      <c r="G296" s="18"/>
      <c r="H296" s="18"/>
    </row>
    <row r="297" spans="4:8" s="11" customFormat="1">
      <c r="D297" s="18"/>
      <c r="E297" s="18"/>
      <c r="F297" s="18"/>
      <c r="G297" s="18"/>
      <c r="H297" s="18"/>
    </row>
    <row r="298" spans="4:8" s="11" customFormat="1">
      <c r="D298" s="18"/>
      <c r="E298" s="18"/>
      <c r="F298" s="18"/>
      <c r="G298" s="18"/>
      <c r="H298" s="18"/>
    </row>
    <row r="299" spans="4:8" s="11" customFormat="1">
      <c r="D299" s="18"/>
      <c r="E299" s="18"/>
      <c r="F299" s="18"/>
      <c r="G299" s="18"/>
      <c r="H299" s="18"/>
    </row>
    <row r="300" spans="4:8" s="11" customFormat="1">
      <c r="D300" s="18"/>
      <c r="E300" s="18"/>
      <c r="F300" s="18"/>
      <c r="G300" s="18"/>
      <c r="H300" s="18"/>
    </row>
    <row r="301" spans="4:8" s="11" customFormat="1">
      <c r="D301" s="18"/>
      <c r="E301" s="18"/>
      <c r="F301" s="18"/>
      <c r="G301" s="18"/>
      <c r="H301" s="18"/>
    </row>
    <row r="302" spans="4:8" s="11" customFormat="1">
      <c r="D302" s="18"/>
      <c r="E302" s="18"/>
      <c r="F302" s="18"/>
      <c r="G302" s="18"/>
      <c r="H302" s="18"/>
    </row>
    <row r="303" spans="4:8" s="11" customFormat="1">
      <c r="D303" s="18"/>
      <c r="E303" s="18"/>
      <c r="F303" s="18"/>
      <c r="G303" s="18"/>
      <c r="H303" s="18"/>
    </row>
    <row r="304" spans="4:8" s="11" customFormat="1">
      <c r="D304" s="18"/>
      <c r="E304" s="18"/>
      <c r="F304" s="18"/>
      <c r="G304" s="18"/>
      <c r="H304" s="18"/>
    </row>
    <row r="305" spans="4:8" s="11" customFormat="1">
      <c r="D305" s="18"/>
      <c r="E305" s="18"/>
      <c r="F305" s="18"/>
      <c r="G305" s="18"/>
      <c r="H305" s="18"/>
    </row>
    <row r="306" spans="4:8" s="11" customFormat="1">
      <c r="D306" s="18"/>
      <c r="E306" s="18"/>
      <c r="F306" s="18"/>
      <c r="G306" s="18"/>
      <c r="H306" s="18"/>
    </row>
    <row r="307" spans="4:8" s="11" customFormat="1">
      <c r="D307" s="18"/>
      <c r="E307" s="18"/>
      <c r="F307" s="18"/>
      <c r="G307" s="18"/>
      <c r="H307" s="18"/>
    </row>
    <row r="308" spans="4:8" s="11" customFormat="1">
      <c r="D308" s="18"/>
      <c r="E308" s="18"/>
      <c r="F308" s="18"/>
      <c r="G308" s="18"/>
      <c r="H308" s="18"/>
    </row>
    <row r="309" spans="4:8" s="11" customFormat="1">
      <c r="D309" s="18"/>
      <c r="E309" s="18"/>
      <c r="F309" s="18"/>
      <c r="G309" s="18"/>
      <c r="H309" s="18"/>
    </row>
    <row r="310" spans="4:8" s="11" customFormat="1">
      <c r="D310" s="18"/>
      <c r="E310" s="18"/>
      <c r="F310" s="18"/>
      <c r="G310" s="18"/>
      <c r="H310" s="18"/>
    </row>
    <row r="311" spans="4:8" s="11" customFormat="1">
      <c r="D311" s="18"/>
      <c r="E311" s="18"/>
      <c r="F311" s="18"/>
      <c r="G311" s="18"/>
      <c r="H311" s="18"/>
    </row>
    <row r="312" spans="4:8" s="11" customFormat="1">
      <c r="D312" s="18"/>
      <c r="E312" s="18"/>
      <c r="F312" s="18"/>
      <c r="G312" s="18"/>
      <c r="H312" s="18"/>
    </row>
    <row r="313" spans="4:8" s="11" customFormat="1">
      <c r="D313" s="18"/>
      <c r="E313" s="18"/>
      <c r="F313" s="18"/>
      <c r="G313" s="18"/>
      <c r="H313" s="18"/>
    </row>
    <row r="314" spans="4:8" s="11" customFormat="1">
      <c r="D314" s="18"/>
      <c r="E314" s="18"/>
      <c r="F314" s="18"/>
      <c r="G314" s="18"/>
      <c r="H314" s="18"/>
    </row>
    <row r="315" spans="4:8" s="11" customFormat="1">
      <c r="D315" s="18"/>
      <c r="E315" s="18"/>
      <c r="F315" s="18"/>
      <c r="G315" s="18"/>
      <c r="H315" s="18"/>
    </row>
    <row r="316" spans="4:8" s="11" customFormat="1">
      <c r="D316" s="18"/>
      <c r="E316" s="18"/>
      <c r="F316" s="18"/>
      <c r="G316" s="18"/>
      <c r="H316" s="18"/>
    </row>
    <row r="317" spans="4:8" s="11" customFormat="1">
      <c r="D317" s="18"/>
      <c r="E317" s="18"/>
      <c r="F317" s="18"/>
      <c r="G317" s="18"/>
      <c r="H317" s="18"/>
    </row>
    <row r="318" spans="4:8" s="11" customFormat="1">
      <c r="D318" s="18"/>
      <c r="E318" s="18"/>
      <c r="F318" s="18"/>
      <c r="G318" s="18"/>
      <c r="H318" s="18"/>
    </row>
    <row r="319" spans="4:8" s="11" customFormat="1">
      <c r="D319" s="18"/>
      <c r="E319" s="18"/>
      <c r="F319" s="18"/>
      <c r="G319" s="18"/>
      <c r="H319" s="18"/>
    </row>
    <row r="320" spans="4:8" s="11" customFormat="1">
      <c r="D320" s="18"/>
      <c r="E320" s="18"/>
      <c r="F320" s="18"/>
      <c r="G320" s="18"/>
      <c r="H320" s="18"/>
    </row>
    <row r="321" spans="4:8" s="11" customFormat="1">
      <c r="D321" s="18"/>
      <c r="E321" s="18"/>
      <c r="F321" s="18"/>
      <c r="G321" s="18"/>
      <c r="H321" s="18"/>
    </row>
    <row r="322" spans="4:8" s="11" customFormat="1">
      <c r="D322" s="18"/>
      <c r="E322" s="18"/>
      <c r="F322" s="18"/>
      <c r="G322" s="18"/>
      <c r="H322" s="18"/>
    </row>
    <row r="323" spans="4:8" s="11" customFormat="1">
      <c r="D323" s="18"/>
      <c r="E323" s="18"/>
      <c r="F323" s="18"/>
      <c r="G323" s="18"/>
      <c r="H323" s="18"/>
    </row>
    <row r="324" spans="4:8" s="11" customFormat="1">
      <c r="D324" s="18"/>
      <c r="E324" s="18"/>
      <c r="F324" s="18"/>
      <c r="G324" s="18"/>
      <c r="H324" s="18"/>
    </row>
    <row r="325" spans="4:8" s="11" customFormat="1">
      <c r="D325" s="18"/>
      <c r="E325" s="18"/>
      <c r="F325" s="18"/>
      <c r="G325" s="18"/>
      <c r="H325" s="18"/>
    </row>
    <row r="326" spans="4:8" s="11" customFormat="1">
      <c r="D326" s="18"/>
      <c r="E326" s="18"/>
      <c r="F326" s="18"/>
      <c r="G326" s="18"/>
      <c r="H326" s="18"/>
    </row>
    <row r="327" spans="4:8" s="11" customFormat="1">
      <c r="D327" s="18"/>
      <c r="E327" s="18"/>
      <c r="F327" s="18"/>
      <c r="G327" s="18"/>
      <c r="H327" s="18"/>
    </row>
    <row r="328" spans="4:8" s="11" customFormat="1">
      <c r="D328" s="18"/>
      <c r="E328" s="18"/>
      <c r="F328" s="18"/>
      <c r="G328" s="18"/>
      <c r="H328" s="18"/>
    </row>
    <row r="329" spans="4:8" s="11" customFormat="1">
      <c r="D329" s="18"/>
      <c r="E329" s="18"/>
      <c r="F329" s="18"/>
      <c r="G329" s="18"/>
      <c r="H329" s="18"/>
    </row>
    <row r="330" spans="4:8" s="11" customFormat="1">
      <c r="D330" s="18"/>
      <c r="E330" s="18"/>
      <c r="F330" s="18"/>
      <c r="G330" s="18"/>
      <c r="H330" s="18"/>
    </row>
    <row r="331" spans="4:8" s="11" customFormat="1">
      <c r="D331" s="18"/>
      <c r="E331" s="18"/>
      <c r="F331" s="18"/>
      <c r="G331" s="18"/>
      <c r="H331" s="18"/>
    </row>
    <row r="332" spans="4:8" s="11" customFormat="1">
      <c r="D332" s="18"/>
      <c r="E332" s="18"/>
      <c r="F332" s="18"/>
      <c r="G332" s="18"/>
      <c r="H332" s="18"/>
    </row>
    <row r="333" spans="4:8" s="11" customFormat="1">
      <c r="D333" s="18"/>
      <c r="E333" s="18"/>
      <c r="F333" s="18"/>
      <c r="G333" s="18"/>
      <c r="H333" s="18"/>
    </row>
    <row r="334" spans="4:8" s="11" customFormat="1">
      <c r="D334" s="18"/>
      <c r="E334" s="18"/>
      <c r="F334" s="18"/>
      <c r="G334" s="18"/>
      <c r="H334" s="18"/>
    </row>
    <row r="335" spans="4:8" s="11" customFormat="1">
      <c r="D335" s="18"/>
      <c r="E335" s="18"/>
      <c r="F335" s="18"/>
      <c r="G335" s="18"/>
      <c r="H335" s="18"/>
    </row>
    <row r="336" spans="4:8" s="11" customFormat="1">
      <c r="D336" s="18"/>
      <c r="E336" s="18"/>
      <c r="F336" s="18"/>
      <c r="G336" s="18"/>
      <c r="H336" s="18"/>
    </row>
    <row r="337" spans="4:8" s="11" customFormat="1">
      <c r="D337" s="18"/>
      <c r="E337" s="18"/>
      <c r="F337" s="18"/>
      <c r="G337" s="18"/>
      <c r="H337" s="18"/>
    </row>
    <row r="338" spans="4:8" s="11" customFormat="1">
      <c r="D338" s="18"/>
      <c r="E338" s="18"/>
      <c r="F338" s="18"/>
      <c r="G338" s="18"/>
      <c r="H338" s="18"/>
    </row>
    <row r="339" spans="4:8" s="11" customFormat="1">
      <c r="D339" s="18"/>
      <c r="E339" s="18"/>
      <c r="F339" s="18"/>
      <c r="G339" s="18"/>
      <c r="H339" s="18"/>
    </row>
    <row r="340" spans="4:8" s="11" customFormat="1">
      <c r="D340" s="18"/>
      <c r="E340" s="18"/>
      <c r="F340" s="18"/>
      <c r="G340" s="18"/>
      <c r="H340" s="18"/>
    </row>
    <row r="341" spans="4:8" s="11" customFormat="1">
      <c r="D341" s="18"/>
      <c r="E341" s="18"/>
      <c r="F341" s="18"/>
      <c r="G341" s="18"/>
      <c r="H341" s="18"/>
    </row>
    <row r="342" spans="4:8" s="11" customFormat="1">
      <c r="D342" s="18"/>
      <c r="E342" s="18"/>
      <c r="F342" s="18"/>
      <c r="G342" s="18"/>
      <c r="H342" s="18"/>
    </row>
    <row r="343" spans="4:8" s="11" customFormat="1">
      <c r="D343" s="18"/>
      <c r="E343" s="18"/>
      <c r="F343" s="18"/>
      <c r="G343" s="18"/>
      <c r="H343" s="18"/>
    </row>
    <row r="344" spans="4:8" s="11" customFormat="1">
      <c r="D344" s="18"/>
      <c r="E344" s="18"/>
      <c r="F344" s="18"/>
      <c r="G344" s="18"/>
      <c r="H344" s="18"/>
    </row>
    <row r="345" spans="4:8" s="11" customFormat="1">
      <c r="D345" s="18"/>
      <c r="E345" s="18"/>
      <c r="F345" s="18"/>
      <c r="G345" s="18"/>
      <c r="H345" s="18"/>
    </row>
    <row r="346" spans="4:8" s="11" customFormat="1">
      <c r="D346" s="18"/>
      <c r="E346" s="18"/>
      <c r="F346" s="18"/>
      <c r="G346" s="18"/>
      <c r="H346" s="18"/>
    </row>
    <row r="347" spans="4:8" s="11" customFormat="1">
      <c r="D347" s="18"/>
      <c r="E347" s="18"/>
      <c r="F347" s="18"/>
      <c r="G347" s="18"/>
      <c r="H347" s="18"/>
    </row>
    <row r="348" spans="4:8" s="11" customFormat="1">
      <c r="D348" s="18"/>
      <c r="E348" s="18"/>
      <c r="F348" s="18"/>
      <c r="G348" s="18"/>
      <c r="H348" s="18"/>
    </row>
    <row r="349" spans="4:8" s="11" customFormat="1">
      <c r="D349" s="18"/>
      <c r="E349" s="18"/>
      <c r="F349" s="18"/>
      <c r="G349" s="18"/>
      <c r="H349" s="18"/>
    </row>
    <row r="350" spans="4:8" s="11" customFormat="1">
      <c r="D350" s="18"/>
      <c r="E350" s="18"/>
      <c r="F350" s="18"/>
      <c r="G350" s="18"/>
      <c r="H350" s="18"/>
    </row>
    <row r="351" spans="4:8" s="11" customFormat="1">
      <c r="D351" s="18"/>
      <c r="E351" s="18"/>
      <c r="F351" s="18"/>
      <c r="G351" s="18"/>
      <c r="H351" s="18"/>
    </row>
    <row r="352" spans="4:8" s="11" customFormat="1">
      <c r="D352" s="18"/>
      <c r="E352" s="18"/>
      <c r="F352" s="18"/>
      <c r="G352" s="18"/>
      <c r="H352" s="18"/>
    </row>
    <row r="353" spans="4:8" s="11" customFormat="1">
      <c r="D353" s="18"/>
      <c r="E353" s="18"/>
      <c r="F353" s="18"/>
      <c r="G353" s="18"/>
      <c r="H353" s="18"/>
    </row>
    <row r="354" spans="4:8" s="11" customFormat="1">
      <c r="D354" s="18"/>
      <c r="E354" s="18"/>
      <c r="F354" s="18"/>
      <c r="G354" s="18"/>
      <c r="H354" s="18"/>
    </row>
    <row r="355" spans="4:8" s="11" customFormat="1">
      <c r="D355" s="18"/>
      <c r="E355" s="18"/>
      <c r="F355" s="18"/>
      <c r="G355" s="18"/>
      <c r="H355" s="18"/>
    </row>
    <row r="356" spans="4:8" s="11" customFormat="1">
      <c r="D356" s="18"/>
      <c r="E356" s="18"/>
      <c r="F356" s="18"/>
      <c r="G356" s="18"/>
      <c r="H356" s="18"/>
    </row>
    <row r="357" spans="4:8" s="11" customFormat="1">
      <c r="D357" s="18"/>
      <c r="E357" s="18"/>
      <c r="F357" s="18"/>
      <c r="G357" s="18"/>
      <c r="H357" s="18"/>
    </row>
    <row r="358" spans="4:8" s="11" customFormat="1">
      <c r="D358" s="18"/>
      <c r="E358" s="18"/>
      <c r="F358" s="18"/>
      <c r="G358" s="18"/>
      <c r="H358" s="18"/>
    </row>
    <row r="359" spans="4:8" s="11" customFormat="1">
      <c r="D359" s="18"/>
      <c r="E359" s="18"/>
      <c r="F359" s="18"/>
      <c r="G359" s="18"/>
      <c r="H359" s="18"/>
    </row>
    <row r="360" spans="4:8" s="11" customFormat="1">
      <c r="D360" s="18"/>
      <c r="E360" s="18"/>
      <c r="F360" s="18"/>
      <c r="G360" s="18"/>
      <c r="H360" s="18"/>
    </row>
    <row r="361" spans="4:8" s="11" customFormat="1">
      <c r="D361" s="18"/>
      <c r="E361" s="18"/>
      <c r="F361" s="18"/>
      <c r="G361" s="18"/>
      <c r="H361" s="18"/>
    </row>
    <row r="362" spans="4:8" s="11" customFormat="1">
      <c r="D362" s="18"/>
      <c r="E362" s="18"/>
      <c r="F362" s="18"/>
      <c r="G362" s="18"/>
      <c r="H362" s="18"/>
    </row>
    <row r="363" spans="4:8" s="11" customFormat="1">
      <c r="D363" s="18"/>
      <c r="E363" s="18"/>
      <c r="F363" s="18"/>
      <c r="G363" s="18"/>
      <c r="H363" s="18"/>
    </row>
    <row r="364" spans="4:8" s="11" customFormat="1">
      <c r="D364" s="18"/>
      <c r="E364" s="18"/>
      <c r="F364" s="18"/>
      <c r="G364" s="18"/>
      <c r="H364" s="18"/>
    </row>
    <row r="365" spans="4:8" s="11" customFormat="1">
      <c r="D365" s="18"/>
      <c r="E365" s="18"/>
      <c r="F365" s="18"/>
      <c r="G365" s="18"/>
      <c r="H365" s="18"/>
    </row>
    <row r="366" spans="4:8" s="11" customFormat="1">
      <c r="D366" s="18"/>
      <c r="E366" s="18"/>
      <c r="F366" s="18"/>
      <c r="G366" s="18"/>
      <c r="H366" s="18"/>
    </row>
    <row r="367" spans="4:8" s="11" customFormat="1">
      <c r="D367" s="18"/>
      <c r="E367" s="18"/>
      <c r="F367" s="18"/>
      <c r="G367" s="18"/>
      <c r="H367" s="18"/>
    </row>
    <row r="368" spans="4:8" s="11" customFormat="1">
      <c r="D368" s="18"/>
      <c r="E368" s="18"/>
      <c r="F368" s="18"/>
      <c r="G368" s="18"/>
      <c r="H368" s="18"/>
    </row>
    <row r="369" spans="4:8" s="11" customFormat="1">
      <c r="D369" s="18"/>
      <c r="E369" s="18"/>
      <c r="F369" s="18"/>
      <c r="G369" s="18"/>
      <c r="H369" s="18"/>
    </row>
    <row r="370" spans="4:8" s="11" customFormat="1">
      <c r="D370" s="18"/>
      <c r="E370" s="18"/>
      <c r="F370" s="18"/>
      <c r="G370" s="18"/>
      <c r="H370" s="18"/>
    </row>
    <row r="371" spans="4:8" s="11" customFormat="1">
      <c r="D371" s="18"/>
      <c r="E371" s="18"/>
      <c r="F371" s="18"/>
      <c r="G371" s="18"/>
      <c r="H371" s="18"/>
    </row>
    <row r="372" spans="4:8" s="11" customFormat="1">
      <c r="D372" s="18"/>
      <c r="E372" s="18"/>
      <c r="F372" s="18"/>
      <c r="G372" s="18"/>
      <c r="H372" s="18"/>
    </row>
    <row r="373" spans="4:8" s="11" customFormat="1">
      <c r="D373" s="18"/>
      <c r="E373" s="18"/>
      <c r="F373" s="18"/>
      <c r="G373" s="18"/>
      <c r="H373" s="18"/>
    </row>
    <row r="374" spans="4:8" s="11" customFormat="1">
      <c r="D374" s="18"/>
      <c r="E374" s="18"/>
      <c r="F374" s="18"/>
      <c r="G374" s="18"/>
      <c r="H374" s="18"/>
    </row>
    <row r="375" spans="4:8" s="11" customFormat="1">
      <c r="D375" s="18"/>
      <c r="E375" s="18"/>
      <c r="F375" s="18"/>
      <c r="G375" s="18"/>
      <c r="H375" s="18"/>
    </row>
    <row r="376" spans="4:8" s="11" customFormat="1">
      <c r="D376" s="18"/>
      <c r="E376" s="18"/>
      <c r="F376" s="18"/>
      <c r="G376" s="18"/>
      <c r="H376" s="18"/>
    </row>
    <row r="377" spans="4:8" s="11" customFormat="1">
      <c r="D377" s="18"/>
      <c r="E377" s="18"/>
      <c r="F377" s="18"/>
      <c r="G377" s="18"/>
      <c r="H377" s="18"/>
    </row>
    <row r="378" spans="4:8" s="11" customFormat="1">
      <c r="D378" s="18"/>
      <c r="E378" s="18"/>
      <c r="F378" s="18"/>
      <c r="G378" s="18"/>
      <c r="H378" s="18"/>
    </row>
    <row r="379" spans="4:8" s="11" customFormat="1">
      <c r="D379" s="18"/>
      <c r="E379" s="18"/>
      <c r="F379" s="18"/>
      <c r="G379" s="18"/>
      <c r="H379" s="18"/>
    </row>
    <row r="380" spans="4:8" s="11" customFormat="1">
      <c r="D380" s="18"/>
      <c r="E380" s="18"/>
      <c r="F380" s="18"/>
      <c r="G380" s="18"/>
      <c r="H380" s="18"/>
    </row>
    <row r="381" spans="4:8" s="11" customFormat="1">
      <c r="D381" s="18"/>
      <c r="E381" s="18"/>
      <c r="F381" s="18"/>
      <c r="G381" s="18"/>
      <c r="H381" s="18"/>
    </row>
    <row r="382" spans="4:8" s="11" customFormat="1">
      <c r="D382" s="18"/>
      <c r="E382" s="18"/>
      <c r="F382" s="18"/>
      <c r="G382" s="18"/>
      <c r="H382" s="18"/>
    </row>
    <row r="383" spans="4:8" s="11" customFormat="1">
      <c r="D383" s="18"/>
      <c r="E383" s="18"/>
      <c r="F383" s="18"/>
      <c r="G383" s="18"/>
      <c r="H383" s="18"/>
    </row>
    <row r="384" spans="4:8" s="11" customFormat="1">
      <c r="D384" s="18"/>
      <c r="E384" s="18"/>
      <c r="F384" s="18"/>
      <c r="G384" s="18"/>
      <c r="H384" s="18"/>
    </row>
    <row r="385" spans="4:8" s="11" customFormat="1">
      <c r="D385" s="18"/>
      <c r="E385" s="18"/>
      <c r="F385" s="18"/>
      <c r="G385" s="18"/>
      <c r="H385" s="18"/>
    </row>
    <row r="386" spans="4:8" s="11" customFormat="1">
      <c r="D386" s="18"/>
      <c r="E386" s="18"/>
      <c r="F386" s="18"/>
      <c r="G386" s="18"/>
      <c r="H386" s="18"/>
    </row>
    <row r="387" spans="4:8" s="11" customFormat="1">
      <c r="D387" s="18"/>
      <c r="E387" s="18"/>
      <c r="F387" s="18"/>
      <c r="G387" s="18"/>
      <c r="H387" s="18"/>
    </row>
    <row r="388" spans="4:8" s="11" customFormat="1">
      <c r="D388" s="18"/>
      <c r="E388" s="18"/>
      <c r="F388" s="18"/>
      <c r="G388" s="18"/>
      <c r="H388" s="18"/>
    </row>
    <row r="389" spans="4:8" s="11" customFormat="1">
      <c r="D389" s="18"/>
      <c r="E389" s="18"/>
      <c r="F389" s="18"/>
      <c r="G389" s="18"/>
      <c r="H389" s="18"/>
    </row>
    <row r="390" spans="4:8" s="11" customFormat="1">
      <c r="D390" s="18"/>
      <c r="E390" s="18"/>
      <c r="F390" s="18"/>
      <c r="G390" s="18"/>
      <c r="H390" s="18"/>
    </row>
    <row r="391" spans="4:8" s="11" customFormat="1">
      <c r="D391" s="18"/>
      <c r="E391" s="18"/>
      <c r="F391" s="18"/>
      <c r="G391" s="18"/>
      <c r="H391" s="18"/>
    </row>
    <row r="392" spans="4:8" s="11" customFormat="1">
      <c r="D392" s="18"/>
      <c r="E392" s="18"/>
      <c r="F392" s="18"/>
      <c r="G392" s="18"/>
      <c r="H392" s="18"/>
    </row>
    <row r="393" spans="4:8" s="11" customFormat="1">
      <c r="D393" s="18"/>
      <c r="E393" s="18"/>
      <c r="F393" s="18"/>
      <c r="G393" s="18"/>
      <c r="H393" s="18"/>
    </row>
    <row r="394" spans="4:8" s="11" customFormat="1">
      <c r="D394" s="18"/>
      <c r="E394" s="18"/>
      <c r="F394" s="18"/>
      <c r="G394" s="18"/>
      <c r="H394" s="18"/>
    </row>
    <row r="395" spans="4:8" s="11" customFormat="1">
      <c r="D395" s="18"/>
      <c r="E395" s="18"/>
      <c r="F395" s="18"/>
      <c r="G395" s="18"/>
      <c r="H395" s="18"/>
    </row>
    <row r="396" spans="4:8" s="11" customFormat="1">
      <c r="D396" s="18"/>
      <c r="E396" s="18"/>
      <c r="F396" s="18"/>
      <c r="G396" s="18"/>
      <c r="H396" s="18"/>
    </row>
    <row r="397" spans="4:8" s="11" customFormat="1">
      <c r="D397" s="18"/>
      <c r="E397" s="18"/>
      <c r="F397" s="18"/>
      <c r="G397" s="18"/>
      <c r="H397" s="18"/>
    </row>
    <row r="398" spans="4:8" s="11" customFormat="1">
      <c r="D398" s="18"/>
      <c r="E398" s="18"/>
      <c r="F398" s="18"/>
      <c r="G398" s="18"/>
      <c r="H398" s="18"/>
    </row>
    <row r="399" spans="4:8" s="11" customFormat="1">
      <c r="D399" s="18"/>
      <c r="E399" s="18"/>
      <c r="F399" s="18"/>
      <c r="G399" s="18"/>
      <c r="H399" s="18"/>
    </row>
    <row r="400" spans="4:8" s="11" customFormat="1">
      <c r="D400" s="18"/>
      <c r="E400" s="18"/>
      <c r="F400" s="18"/>
      <c r="G400" s="18"/>
      <c r="H400" s="18"/>
    </row>
    <row r="401" spans="4:8" s="11" customFormat="1">
      <c r="D401" s="18"/>
      <c r="E401" s="18"/>
      <c r="F401" s="18"/>
      <c r="G401" s="18"/>
      <c r="H401" s="18"/>
    </row>
    <row r="402" spans="4:8" s="11" customFormat="1">
      <c r="D402" s="18"/>
      <c r="E402" s="18"/>
      <c r="F402" s="18"/>
      <c r="G402" s="18"/>
      <c r="H402" s="18"/>
    </row>
    <row r="403" spans="4:8" s="11" customFormat="1">
      <c r="D403" s="18"/>
      <c r="E403" s="18"/>
      <c r="F403" s="18"/>
      <c r="G403" s="18"/>
      <c r="H403" s="18"/>
    </row>
    <row r="404" spans="4:8" s="11" customFormat="1">
      <c r="D404" s="18"/>
      <c r="E404" s="18"/>
      <c r="F404" s="18"/>
      <c r="G404" s="18"/>
      <c r="H404" s="18"/>
    </row>
    <row r="405" spans="4:8" s="11" customFormat="1">
      <c r="D405" s="18"/>
      <c r="E405" s="18"/>
      <c r="F405" s="18"/>
      <c r="G405" s="18"/>
      <c r="H405" s="18"/>
    </row>
    <row r="406" spans="4:8" s="11" customFormat="1">
      <c r="D406" s="18"/>
      <c r="E406" s="18"/>
      <c r="F406" s="18"/>
      <c r="G406" s="18"/>
      <c r="H406" s="18"/>
    </row>
    <row r="407" spans="4:8" s="11" customFormat="1">
      <c r="D407" s="18"/>
      <c r="E407" s="18"/>
      <c r="F407" s="18"/>
      <c r="G407" s="18"/>
      <c r="H407" s="18"/>
    </row>
    <row r="408" spans="4:8" s="11" customFormat="1">
      <c r="D408" s="18"/>
      <c r="E408" s="18"/>
      <c r="F408" s="18"/>
      <c r="G408" s="18"/>
      <c r="H408" s="18"/>
    </row>
    <row r="409" spans="4:8" s="11" customFormat="1">
      <c r="D409" s="18"/>
      <c r="E409" s="18"/>
      <c r="F409" s="18"/>
      <c r="G409" s="18"/>
      <c r="H409" s="18"/>
    </row>
    <row r="410" spans="4:8" s="11" customFormat="1">
      <c r="D410" s="18"/>
      <c r="E410" s="18"/>
      <c r="F410" s="18"/>
      <c r="G410" s="18"/>
      <c r="H410" s="18"/>
    </row>
    <row r="411" spans="4:8" s="11" customFormat="1">
      <c r="D411" s="18"/>
      <c r="E411" s="18"/>
      <c r="F411" s="18"/>
      <c r="G411" s="18"/>
      <c r="H411" s="18"/>
    </row>
    <row r="412" spans="4:8" s="11" customFormat="1">
      <c r="D412" s="18"/>
      <c r="E412" s="18"/>
      <c r="F412" s="18"/>
      <c r="G412" s="18"/>
      <c r="H412" s="18"/>
    </row>
    <row r="413" spans="4:8" s="11" customFormat="1">
      <c r="D413" s="18"/>
      <c r="E413" s="18"/>
      <c r="F413" s="18"/>
      <c r="G413" s="18"/>
      <c r="H413" s="18"/>
    </row>
    <row r="414" spans="4:8" s="11" customFormat="1">
      <c r="D414" s="18"/>
      <c r="E414" s="18"/>
      <c r="F414" s="18"/>
      <c r="G414" s="18"/>
      <c r="H414" s="18"/>
    </row>
    <row r="415" spans="4:8" s="11" customFormat="1">
      <c r="D415" s="18"/>
      <c r="E415" s="18"/>
      <c r="F415" s="18"/>
      <c r="G415" s="18"/>
      <c r="H415" s="18"/>
    </row>
    <row r="416" spans="4:8" s="11" customFormat="1">
      <c r="D416" s="18"/>
      <c r="E416" s="18"/>
      <c r="F416" s="18"/>
      <c r="G416" s="18"/>
      <c r="H416" s="18"/>
    </row>
    <row r="417" spans="4:8" s="11" customFormat="1">
      <c r="D417" s="18"/>
      <c r="E417" s="18"/>
      <c r="F417" s="18"/>
      <c r="G417" s="18"/>
      <c r="H417" s="18"/>
    </row>
    <row r="418" spans="4:8" s="11" customFormat="1">
      <c r="D418" s="18"/>
      <c r="E418" s="18"/>
      <c r="F418" s="18"/>
      <c r="G418" s="18"/>
      <c r="H418" s="18"/>
    </row>
    <row r="419" spans="4:8" s="11" customFormat="1">
      <c r="D419" s="18"/>
      <c r="E419" s="18"/>
      <c r="F419" s="18"/>
      <c r="G419" s="18"/>
      <c r="H419" s="18"/>
    </row>
    <row r="420" spans="4:8" s="11" customFormat="1">
      <c r="D420" s="18"/>
      <c r="E420" s="18"/>
      <c r="F420" s="18"/>
      <c r="G420" s="18"/>
      <c r="H420" s="18"/>
    </row>
    <row r="421" spans="4:8" s="11" customFormat="1">
      <c r="D421" s="18"/>
      <c r="E421" s="18"/>
      <c r="F421" s="18"/>
      <c r="G421" s="18"/>
      <c r="H421" s="18"/>
    </row>
    <row r="422" spans="4:8" s="11" customFormat="1">
      <c r="D422" s="18"/>
      <c r="E422" s="18"/>
      <c r="F422" s="18"/>
      <c r="G422" s="18"/>
      <c r="H422" s="18"/>
    </row>
    <row r="423" spans="4:8" s="11" customFormat="1">
      <c r="D423" s="18"/>
      <c r="E423" s="18"/>
      <c r="F423" s="18"/>
      <c r="G423" s="18"/>
      <c r="H423" s="18"/>
    </row>
    <row r="424" spans="4:8" s="11" customFormat="1">
      <c r="D424" s="18"/>
      <c r="E424" s="18"/>
      <c r="F424" s="18"/>
      <c r="G424" s="18"/>
      <c r="H424" s="18"/>
    </row>
    <row r="425" spans="4:8" s="11" customFormat="1">
      <c r="D425" s="18"/>
      <c r="E425" s="18"/>
      <c r="F425" s="18"/>
      <c r="G425" s="18"/>
      <c r="H425" s="18"/>
    </row>
    <row r="426" spans="4:8" s="11" customFormat="1">
      <c r="D426" s="18"/>
      <c r="E426" s="18"/>
      <c r="F426" s="18"/>
      <c r="G426" s="18"/>
      <c r="H426" s="18"/>
    </row>
    <row r="427" spans="4:8" s="11" customFormat="1">
      <c r="D427" s="18"/>
      <c r="E427" s="18"/>
      <c r="F427" s="18"/>
      <c r="G427" s="18"/>
      <c r="H427" s="18"/>
    </row>
    <row r="428" spans="4:8" s="11" customFormat="1">
      <c r="D428" s="18"/>
      <c r="E428" s="18"/>
      <c r="F428" s="18"/>
      <c r="G428" s="18"/>
      <c r="H428" s="18"/>
    </row>
    <row r="429" spans="4:8" s="11" customFormat="1">
      <c r="D429" s="18"/>
      <c r="E429" s="18"/>
      <c r="F429" s="18"/>
      <c r="G429" s="18"/>
      <c r="H429" s="18"/>
    </row>
    <row r="430" spans="4:8" s="11" customFormat="1">
      <c r="D430" s="18"/>
      <c r="E430" s="18"/>
      <c r="F430" s="18"/>
      <c r="G430" s="18"/>
      <c r="H430" s="18"/>
    </row>
    <row r="431" spans="4:8" s="11" customFormat="1">
      <c r="D431" s="18"/>
      <c r="E431" s="18"/>
      <c r="F431" s="18"/>
      <c r="G431" s="18"/>
      <c r="H431" s="18"/>
    </row>
    <row r="432" spans="4:8" s="11" customFormat="1">
      <c r="D432" s="18"/>
      <c r="E432" s="18"/>
      <c r="F432" s="18"/>
      <c r="G432" s="18"/>
      <c r="H432" s="18"/>
    </row>
    <row r="433" spans="4:8" s="11" customFormat="1">
      <c r="D433" s="18"/>
      <c r="E433" s="18"/>
      <c r="F433" s="18"/>
      <c r="G433" s="18"/>
      <c r="H433" s="18"/>
    </row>
    <row r="434" spans="4:8" s="11" customFormat="1">
      <c r="D434" s="18"/>
      <c r="E434" s="18"/>
      <c r="F434" s="18"/>
      <c r="G434" s="18"/>
      <c r="H434" s="18"/>
    </row>
    <row r="435" spans="4:8" s="11" customFormat="1">
      <c r="D435" s="18"/>
      <c r="E435" s="18"/>
      <c r="F435" s="18"/>
      <c r="G435" s="18"/>
      <c r="H435" s="18"/>
    </row>
    <row r="436" spans="4:8" s="11" customFormat="1">
      <c r="D436" s="18"/>
      <c r="E436" s="18"/>
      <c r="F436" s="18"/>
      <c r="G436" s="18"/>
      <c r="H436" s="18"/>
    </row>
    <row r="437" spans="4:8" s="11" customFormat="1">
      <c r="D437" s="18"/>
      <c r="E437" s="18"/>
      <c r="F437" s="18"/>
      <c r="G437" s="18"/>
      <c r="H437" s="18"/>
    </row>
    <row r="438" spans="4:8" s="11" customFormat="1">
      <c r="D438" s="18"/>
      <c r="E438" s="18"/>
      <c r="F438" s="18"/>
      <c r="G438" s="18"/>
      <c r="H438" s="18"/>
    </row>
    <row r="439" spans="4:8" s="11" customFormat="1">
      <c r="D439" s="18"/>
      <c r="E439" s="18"/>
      <c r="F439" s="18"/>
      <c r="G439" s="18"/>
      <c r="H439" s="18"/>
    </row>
    <row r="440" spans="4:8" s="11" customFormat="1">
      <c r="D440" s="18"/>
      <c r="E440" s="18"/>
      <c r="F440" s="18"/>
      <c r="G440" s="18"/>
      <c r="H440" s="18"/>
    </row>
    <row r="441" spans="4:8" s="11" customFormat="1">
      <c r="D441" s="18"/>
      <c r="E441" s="18"/>
      <c r="F441" s="18"/>
      <c r="G441" s="18"/>
      <c r="H441" s="18"/>
    </row>
    <row r="442" spans="4:8" s="11" customFormat="1">
      <c r="D442" s="18"/>
      <c r="E442" s="18"/>
      <c r="F442" s="18"/>
      <c r="G442" s="18"/>
      <c r="H442" s="18"/>
    </row>
    <row r="443" spans="4:8" s="11" customFormat="1">
      <c r="D443" s="18"/>
      <c r="E443" s="18"/>
      <c r="F443" s="18"/>
      <c r="G443" s="18"/>
      <c r="H443" s="18"/>
    </row>
    <row r="444" spans="4:8" s="11" customFormat="1">
      <c r="D444" s="18"/>
      <c r="E444" s="18"/>
      <c r="F444" s="18"/>
      <c r="G444" s="18"/>
      <c r="H444" s="18"/>
    </row>
    <row r="445" spans="4:8" s="11" customFormat="1">
      <c r="D445" s="18"/>
      <c r="E445" s="18"/>
      <c r="F445" s="18"/>
      <c r="G445" s="18"/>
      <c r="H445" s="18"/>
    </row>
    <row r="446" spans="4:8" s="11" customFormat="1">
      <c r="D446" s="18"/>
      <c r="E446" s="18"/>
      <c r="F446" s="18"/>
      <c r="G446" s="18"/>
      <c r="H446" s="18"/>
    </row>
    <row r="447" spans="4:8" s="11" customFormat="1">
      <c r="D447" s="18"/>
      <c r="E447" s="18"/>
      <c r="F447" s="18"/>
      <c r="G447" s="18"/>
      <c r="H447" s="18"/>
    </row>
    <row r="448" spans="4:8" s="11" customFormat="1">
      <c r="D448" s="18"/>
      <c r="E448" s="18"/>
      <c r="F448" s="18"/>
      <c r="G448" s="18"/>
      <c r="H448" s="18"/>
    </row>
    <row r="449" spans="4:8" s="11" customFormat="1">
      <c r="D449" s="18"/>
      <c r="E449" s="18"/>
      <c r="F449" s="18"/>
      <c r="G449" s="18"/>
      <c r="H449" s="18"/>
    </row>
    <row r="450" spans="4:8" s="11" customFormat="1">
      <c r="D450" s="18"/>
      <c r="E450" s="18"/>
      <c r="F450" s="18"/>
      <c r="G450" s="18"/>
      <c r="H450" s="18"/>
    </row>
    <row r="451" spans="4:8" s="11" customFormat="1">
      <c r="D451" s="18"/>
      <c r="E451" s="18"/>
      <c r="F451" s="18"/>
      <c r="G451" s="18"/>
      <c r="H451" s="18"/>
    </row>
    <row r="452" spans="4:8" s="11" customFormat="1">
      <c r="D452" s="18"/>
      <c r="E452" s="18"/>
      <c r="F452" s="18"/>
      <c r="G452" s="18"/>
      <c r="H452" s="18"/>
    </row>
    <row r="453" spans="4:8" s="11" customFormat="1">
      <c r="D453" s="18"/>
      <c r="E453" s="18"/>
      <c r="F453" s="18"/>
      <c r="G453" s="18"/>
      <c r="H453" s="18"/>
    </row>
    <row r="454" spans="4:8" s="11" customFormat="1">
      <c r="D454" s="18"/>
      <c r="E454" s="18"/>
      <c r="F454" s="18"/>
      <c r="G454" s="18"/>
      <c r="H454" s="18"/>
    </row>
    <row r="455" spans="4:8" s="11" customFormat="1">
      <c r="D455" s="18"/>
      <c r="E455" s="18"/>
      <c r="F455" s="18"/>
      <c r="G455" s="18"/>
      <c r="H455" s="18"/>
    </row>
    <row r="456" spans="4:8" s="11" customFormat="1">
      <c r="D456" s="18"/>
      <c r="E456" s="18"/>
      <c r="F456" s="18"/>
      <c r="G456" s="18"/>
      <c r="H456" s="18"/>
    </row>
    <row r="457" spans="4:8" s="11" customFormat="1">
      <c r="D457" s="18"/>
      <c r="E457" s="18"/>
      <c r="F457" s="18"/>
      <c r="G457" s="18"/>
      <c r="H457" s="18"/>
    </row>
    <row r="458" spans="4:8" s="11" customFormat="1">
      <c r="D458" s="18"/>
      <c r="E458" s="18"/>
      <c r="F458" s="18"/>
      <c r="G458" s="18"/>
      <c r="H458" s="18"/>
    </row>
    <row r="459" spans="4:8" s="11" customFormat="1">
      <c r="D459" s="18"/>
      <c r="E459" s="18"/>
      <c r="F459" s="18"/>
      <c r="G459" s="18"/>
      <c r="H459" s="18"/>
    </row>
    <row r="460" spans="4:8" s="11" customFormat="1">
      <c r="D460" s="18"/>
      <c r="E460" s="18"/>
      <c r="F460" s="18"/>
      <c r="G460" s="18"/>
      <c r="H460" s="18"/>
    </row>
    <row r="461" spans="4:8" s="11" customFormat="1">
      <c r="D461" s="18"/>
      <c r="E461" s="18"/>
      <c r="F461" s="18"/>
      <c r="G461" s="18"/>
      <c r="H461" s="18"/>
    </row>
    <row r="462" spans="4:8" s="11" customFormat="1">
      <c r="D462" s="18"/>
      <c r="E462" s="18"/>
      <c r="F462" s="18"/>
      <c r="G462" s="18"/>
      <c r="H462" s="18"/>
    </row>
    <row r="463" spans="4:8" s="11" customFormat="1">
      <c r="D463" s="18"/>
      <c r="E463" s="18"/>
      <c r="F463" s="18"/>
      <c r="G463" s="18"/>
      <c r="H463" s="18"/>
    </row>
    <row r="464" spans="4:8" s="11" customFormat="1">
      <c r="D464" s="18"/>
      <c r="E464" s="18"/>
      <c r="F464" s="18"/>
      <c r="G464" s="18"/>
      <c r="H464" s="18"/>
    </row>
    <row r="465" spans="4:8" s="11" customFormat="1">
      <c r="D465" s="18"/>
      <c r="E465" s="18"/>
      <c r="F465" s="18"/>
      <c r="G465" s="18"/>
      <c r="H465" s="18"/>
    </row>
    <row r="466" spans="4:8" s="11" customFormat="1">
      <c r="D466" s="18"/>
      <c r="E466" s="18"/>
      <c r="F466" s="18"/>
      <c r="G466" s="18"/>
      <c r="H466" s="18"/>
    </row>
    <row r="467" spans="4:8" s="11" customFormat="1">
      <c r="D467" s="18"/>
      <c r="E467" s="18"/>
      <c r="F467" s="18"/>
      <c r="G467" s="18"/>
      <c r="H467" s="18"/>
    </row>
    <row r="468" spans="4:8" s="11" customFormat="1">
      <c r="D468" s="18"/>
      <c r="E468" s="18"/>
      <c r="F468" s="18"/>
      <c r="G468" s="18"/>
      <c r="H468" s="18"/>
    </row>
    <row r="469" spans="4:8" s="11" customFormat="1">
      <c r="D469" s="18"/>
      <c r="E469" s="18"/>
      <c r="F469" s="18"/>
      <c r="G469" s="18"/>
      <c r="H469" s="18"/>
    </row>
    <row r="470" spans="4:8" s="11" customFormat="1">
      <c r="D470" s="18"/>
      <c r="E470" s="18"/>
      <c r="F470" s="18"/>
      <c r="G470" s="18"/>
      <c r="H470" s="18"/>
    </row>
    <row r="471" spans="4:8" s="11" customFormat="1">
      <c r="D471" s="18"/>
      <c r="E471" s="18"/>
      <c r="F471" s="18"/>
      <c r="G471" s="18"/>
      <c r="H471" s="18"/>
    </row>
    <row r="472" spans="4:8" s="11" customFormat="1">
      <c r="D472" s="18"/>
      <c r="E472" s="18"/>
      <c r="F472" s="18"/>
      <c r="G472" s="18"/>
      <c r="H472" s="18"/>
    </row>
    <row r="473" spans="4:8" s="11" customFormat="1">
      <c r="D473" s="18"/>
      <c r="E473" s="18"/>
      <c r="F473" s="18"/>
      <c r="G473" s="18"/>
      <c r="H473" s="18"/>
    </row>
    <row r="474" spans="4:8" s="11" customFormat="1">
      <c r="D474" s="18"/>
      <c r="E474" s="18"/>
      <c r="F474" s="18"/>
      <c r="G474" s="18"/>
      <c r="H474" s="18"/>
    </row>
    <row r="475" spans="4:8" s="11" customFormat="1">
      <c r="D475" s="18"/>
      <c r="E475" s="18"/>
      <c r="F475" s="18"/>
      <c r="G475" s="18"/>
      <c r="H475" s="18"/>
    </row>
    <row r="476" spans="4:8" s="11" customFormat="1">
      <c r="D476" s="18"/>
      <c r="E476" s="18"/>
      <c r="F476" s="18"/>
      <c r="G476" s="18"/>
      <c r="H476" s="18"/>
    </row>
    <row r="477" spans="4:8" s="11" customFormat="1">
      <c r="D477" s="18"/>
      <c r="E477" s="18"/>
      <c r="F477" s="18"/>
      <c r="G477" s="18"/>
      <c r="H477" s="18"/>
    </row>
    <row r="478" spans="4:8" s="11" customFormat="1">
      <c r="D478" s="18"/>
      <c r="E478" s="18"/>
      <c r="F478" s="18"/>
      <c r="G478" s="18"/>
      <c r="H478" s="18"/>
    </row>
    <row r="479" spans="4:8" s="11" customFormat="1">
      <c r="D479" s="18"/>
      <c r="E479" s="18"/>
      <c r="F479" s="18"/>
      <c r="G479" s="18"/>
      <c r="H479" s="18"/>
    </row>
    <row r="480" spans="4:8" s="11" customFormat="1">
      <c r="D480" s="18"/>
      <c r="E480" s="18"/>
      <c r="F480" s="18"/>
      <c r="G480" s="18"/>
      <c r="H480" s="18"/>
    </row>
    <row r="481" spans="4:8" s="11" customFormat="1">
      <c r="D481" s="18"/>
      <c r="E481" s="18"/>
      <c r="F481" s="18"/>
      <c r="G481" s="18"/>
      <c r="H481" s="18"/>
    </row>
    <row r="482" spans="4:8" s="11" customFormat="1">
      <c r="D482" s="18"/>
      <c r="E482" s="18"/>
      <c r="F482" s="18"/>
      <c r="G482" s="18"/>
      <c r="H482" s="18"/>
    </row>
    <row r="483" spans="4:8" s="11" customFormat="1">
      <c r="D483" s="18"/>
      <c r="E483" s="18"/>
      <c r="F483" s="18"/>
      <c r="G483" s="18"/>
      <c r="H483" s="18"/>
    </row>
    <row r="484" spans="4:8" s="11" customFormat="1">
      <c r="D484" s="18"/>
      <c r="E484" s="18"/>
      <c r="F484" s="18"/>
      <c r="G484" s="18"/>
      <c r="H484" s="18"/>
    </row>
    <row r="485" spans="4:8" s="11" customFormat="1">
      <c r="D485" s="18"/>
      <c r="E485" s="18"/>
      <c r="F485" s="18"/>
      <c r="G485" s="18"/>
      <c r="H485" s="18"/>
    </row>
    <row r="486" spans="4:8" s="11" customFormat="1">
      <c r="D486" s="18"/>
      <c r="E486" s="18"/>
      <c r="F486" s="18"/>
      <c r="G486" s="18"/>
      <c r="H486" s="18"/>
    </row>
    <row r="487" spans="4:8" s="11" customFormat="1">
      <c r="D487" s="18"/>
      <c r="E487" s="18"/>
      <c r="F487" s="18"/>
      <c r="G487" s="18"/>
      <c r="H487" s="18"/>
    </row>
    <row r="488" spans="4:8" s="11" customFormat="1">
      <c r="D488" s="18"/>
      <c r="E488" s="18"/>
      <c r="F488" s="18"/>
      <c r="G488" s="18"/>
      <c r="H488" s="18"/>
    </row>
    <row r="489" spans="4:8" s="11" customFormat="1">
      <c r="D489" s="18"/>
      <c r="E489" s="18"/>
      <c r="F489" s="18"/>
      <c r="G489" s="18"/>
      <c r="H489" s="18"/>
    </row>
    <row r="490" spans="4:8" s="11" customFormat="1">
      <c r="D490" s="18"/>
      <c r="E490" s="18"/>
      <c r="F490" s="18"/>
      <c r="G490" s="18"/>
      <c r="H490" s="18"/>
    </row>
    <row r="491" spans="4:8" s="11" customFormat="1">
      <c r="D491" s="18"/>
      <c r="E491" s="18"/>
      <c r="F491" s="18"/>
      <c r="G491" s="18"/>
      <c r="H491" s="18"/>
    </row>
    <row r="492" spans="4:8" s="11" customFormat="1">
      <c r="D492" s="18"/>
      <c r="E492" s="18"/>
      <c r="F492" s="18"/>
      <c r="G492" s="18"/>
      <c r="H492" s="18"/>
    </row>
    <row r="493" spans="4:8" s="11" customFormat="1">
      <c r="D493" s="18"/>
      <c r="E493" s="18"/>
      <c r="F493" s="18"/>
      <c r="G493" s="18"/>
      <c r="H493" s="18"/>
    </row>
    <row r="494" spans="4:8" s="11" customFormat="1">
      <c r="D494" s="18"/>
      <c r="E494" s="18"/>
      <c r="F494" s="18"/>
      <c r="G494" s="18"/>
      <c r="H494" s="18"/>
    </row>
    <row r="495" spans="4:8" s="11" customFormat="1">
      <c r="D495" s="18"/>
      <c r="E495" s="18"/>
      <c r="F495" s="18"/>
      <c r="G495" s="18"/>
      <c r="H495" s="18"/>
    </row>
    <row r="496" spans="4:8" s="11" customFormat="1">
      <c r="D496" s="18"/>
      <c r="E496" s="18"/>
      <c r="F496" s="18"/>
      <c r="G496" s="18"/>
      <c r="H496" s="18"/>
    </row>
    <row r="497" spans="4:8" s="11" customFormat="1">
      <c r="D497" s="18"/>
      <c r="E497" s="18"/>
      <c r="F497" s="18"/>
      <c r="G497" s="18"/>
      <c r="H497" s="18"/>
    </row>
    <row r="498" spans="4:8" s="11" customFormat="1">
      <c r="D498" s="18"/>
      <c r="E498" s="18"/>
      <c r="F498" s="18"/>
      <c r="G498" s="18"/>
      <c r="H498" s="18"/>
    </row>
    <row r="499" spans="4:8" s="11" customFormat="1">
      <c r="D499" s="18"/>
      <c r="E499" s="18"/>
      <c r="F499" s="18"/>
      <c r="G499" s="18"/>
      <c r="H499" s="18"/>
    </row>
    <row r="500" spans="4:8" s="11" customFormat="1">
      <c r="D500" s="18"/>
      <c r="E500" s="18"/>
      <c r="F500" s="18"/>
      <c r="G500" s="18"/>
      <c r="H500" s="18"/>
    </row>
    <row r="501" spans="4:8" s="11" customFormat="1">
      <c r="D501" s="18"/>
      <c r="E501" s="18"/>
      <c r="F501" s="18"/>
      <c r="G501" s="18"/>
      <c r="H501" s="18"/>
    </row>
    <row r="502" spans="4:8" s="11" customFormat="1">
      <c r="D502" s="18"/>
      <c r="E502" s="18"/>
      <c r="F502" s="18"/>
      <c r="G502" s="18"/>
      <c r="H502" s="18"/>
    </row>
    <row r="503" spans="4:8" s="11" customFormat="1">
      <c r="D503" s="18"/>
      <c r="E503" s="18"/>
      <c r="F503" s="18"/>
      <c r="G503" s="18"/>
      <c r="H503" s="18"/>
    </row>
    <row r="504" spans="4:8" s="11" customFormat="1">
      <c r="D504" s="18"/>
      <c r="E504" s="18"/>
      <c r="F504" s="18"/>
      <c r="G504" s="18"/>
      <c r="H504" s="18"/>
    </row>
    <row r="505" spans="4:8" s="11" customFormat="1">
      <c r="D505" s="18"/>
      <c r="E505" s="18"/>
      <c r="F505" s="18"/>
      <c r="G505" s="18"/>
      <c r="H505" s="18"/>
    </row>
    <row r="506" spans="4:8" s="11" customFormat="1">
      <c r="D506" s="18"/>
      <c r="E506" s="18"/>
      <c r="F506" s="18"/>
      <c r="G506" s="18"/>
      <c r="H506" s="18"/>
    </row>
    <row r="507" spans="4:8" s="11" customFormat="1">
      <c r="D507" s="18"/>
      <c r="E507" s="18"/>
      <c r="F507" s="18"/>
      <c r="G507" s="18"/>
      <c r="H507" s="18"/>
    </row>
    <row r="508" spans="4:8" s="11" customFormat="1">
      <c r="D508" s="18"/>
      <c r="E508" s="18"/>
      <c r="F508" s="18"/>
      <c r="G508" s="18"/>
      <c r="H508" s="18"/>
    </row>
    <row r="509" spans="4:8" s="11" customFormat="1">
      <c r="D509" s="18"/>
      <c r="E509" s="18"/>
      <c r="F509" s="18"/>
      <c r="G509" s="18"/>
      <c r="H509" s="18"/>
    </row>
    <row r="510" spans="4:8" s="11" customFormat="1">
      <c r="D510" s="18"/>
      <c r="E510" s="18"/>
      <c r="F510" s="18"/>
      <c r="G510" s="18"/>
      <c r="H510" s="18"/>
    </row>
    <row r="511" spans="4:8" s="11" customFormat="1">
      <c r="D511" s="18"/>
      <c r="E511" s="18"/>
      <c r="F511" s="18"/>
      <c r="G511" s="18"/>
      <c r="H511" s="18"/>
    </row>
    <row r="512" spans="4:8" s="11" customFormat="1">
      <c r="D512" s="18"/>
      <c r="E512" s="18"/>
      <c r="F512" s="18"/>
      <c r="G512" s="18"/>
      <c r="H512" s="18"/>
    </row>
    <row r="513" spans="4:8" s="11" customFormat="1">
      <c r="D513" s="18"/>
      <c r="E513" s="18"/>
      <c r="F513" s="18"/>
      <c r="G513" s="18"/>
      <c r="H513" s="18"/>
    </row>
    <row r="514" spans="4:8" s="11" customFormat="1">
      <c r="D514" s="18"/>
      <c r="E514" s="18"/>
      <c r="F514" s="18"/>
      <c r="G514" s="18"/>
      <c r="H514" s="18"/>
    </row>
    <row r="515" spans="4:8" s="11" customFormat="1">
      <c r="D515" s="18"/>
      <c r="E515" s="18"/>
      <c r="F515" s="18"/>
      <c r="G515" s="18"/>
      <c r="H515" s="18"/>
    </row>
    <row r="516" spans="4:8" s="11" customFormat="1">
      <c r="D516" s="18"/>
      <c r="E516" s="18"/>
      <c r="F516" s="18"/>
      <c r="G516" s="18"/>
      <c r="H516" s="18"/>
    </row>
    <row r="517" spans="4:8" s="11" customFormat="1">
      <c r="D517" s="18"/>
      <c r="E517" s="18"/>
      <c r="F517" s="18"/>
      <c r="G517" s="18"/>
      <c r="H517" s="18"/>
    </row>
    <row r="518" spans="4:8" s="11" customFormat="1">
      <c r="D518" s="18"/>
      <c r="E518" s="18"/>
      <c r="F518" s="18"/>
      <c r="G518" s="18"/>
      <c r="H518" s="18"/>
    </row>
    <row r="519" spans="4:8" s="11" customFormat="1">
      <c r="D519" s="18"/>
      <c r="E519" s="18"/>
      <c r="F519" s="18"/>
      <c r="G519" s="18"/>
      <c r="H519" s="18"/>
    </row>
    <row r="520" spans="4:8" s="11" customFormat="1">
      <c r="D520" s="18"/>
      <c r="E520" s="18"/>
      <c r="F520" s="18"/>
      <c r="G520" s="18"/>
      <c r="H520" s="18"/>
    </row>
    <row r="521" spans="4:8" s="11" customFormat="1">
      <c r="D521" s="18"/>
      <c r="E521" s="18"/>
      <c r="F521" s="18"/>
      <c r="G521" s="18"/>
      <c r="H521" s="18"/>
    </row>
    <row r="522" spans="4:8" s="11" customFormat="1">
      <c r="D522" s="18"/>
      <c r="E522" s="18"/>
      <c r="F522" s="18"/>
      <c r="G522" s="18"/>
      <c r="H522" s="18"/>
    </row>
    <row r="523" spans="4:8" s="11" customFormat="1">
      <c r="D523" s="18"/>
      <c r="E523" s="18"/>
      <c r="F523" s="18"/>
      <c r="G523" s="18"/>
      <c r="H523" s="18"/>
    </row>
    <row r="524" spans="4:8" s="11" customFormat="1">
      <c r="D524" s="18"/>
      <c r="E524" s="18"/>
      <c r="F524" s="18"/>
      <c r="G524" s="18"/>
      <c r="H524" s="18"/>
    </row>
    <row r="525" spans="4:8" s="11" customFormat="1">
      <c r="D525" s="18"/>
      <c r="E525" s="18"/>
      <c r="F525" s="18"/>
      <c r="G525" s="18"/>
      <c r="H525" s="18"/>
    </row>
    <row r="526" spans="4:8" s="11" customFormat="1">
      <c r="D526" s="18"/>
      <c r="E526" s="18"/>
      <c r="F526" s="18"/>
      <c r="G526" s="18"/>
      <c r="H526" s="18"/>
    </row>
    <row r="527" spans="4:8" s="11" customFormat="1">
      <c r="D527" s="18"/>
      <c r="E527" s="18"/>
      <c r="F527" s="18"/>
      <c r="G527" s="18"/>
      <c r="H527" s="18"/>
    </row>
    <row r="528" spans="4:8" s="11" customFormat="1">
      <c r="D528" s="18"/>
      <c r="E528" s="18"/>
      <c r="F528" s="18"/>
      <c r="G528" s="18"/>
      <c r="H528" s="18"/>
    </row>
    <row r="529" spans="4:8" s="11" customFormat="1">
      <c r="D529" s="18"/>
      <c r="E529" s="18"/>
      <c r="F529" s="18"/>
      <c r="G529" s="18"/>
      <c r="H529" s="18"/>
    </row>
    <row r="530" spans="4:8" s="11" customFormat="1">
      <c r="D530" s="18"/>
      <c r="E530" s="18"/>
      <c r="F530" s="18"/>
      <c r="G530" s="18"/>
      <c r="H530" s="18"/>
    </row>
    <row r="531" spans="4:8" s="11" customFormat="1">
      <c r="D531" s="18"/>
      <c r="E531" s="18"/>
      <c r="F531" s="18"/>
      <c r="G531" s="18"/>
      <c r="H531" s="18"/>
    </row>
    <row r="532" spans="4:8" s="11" customFormat="1">
      <c r="D532" s="18"/>
      <c r="E532" s="18"/>
      <c r="F532" s="18"/>
      <c r="G532" s="18"/>
      <c r="H532" s="18"/>
    </row>
    <row r="533" spans="4:8" s="11" customFormat="1">
      <c r="D533" s="18"/>
      <c r="E533" s="18"/>
      <c r="F533" s="18"/>
      <c r="G533" s="18"/>
      <c r="H533" s="18"/>
    </row>
    <row r="534" spans="4:8" s="11" customFormat="1">
      <c r="D534" s="18"/>
      <c r="E534" s="18"/>
      <c r="F534" s="18"/>
      <c r="G534" s="18"/>
      <c r="H534" s="18"/>
    </row>
    <row r="535" spans="4:8" s="11" customFormat="1">
      <c r="D535" s="18"/>
      <c r="E535" s="18"/>
      <c r="F535" s="18"/>
      <c r="G535" s="18"/>
      <c r="H535" s="18"/>
    </row>
    <row r="536" spans="4:8" s="11" customFormat="1">
      <c r="D536" s="18"/>
      <c r="E536" s="18"/>
      <c r="F536" s="18"/>
      <c r="G536" s="18"/>
      <c r="H536" s="18"/>
    </row>
    <row r="537" spans="4:8" s="11" customFormat="1">
      <c r="D537" s="18"/>
      <c r="E537" s="18"/>
      <c r="F537" s="18"/>
      <c r="G537" s="18"/>
      <c r="H537" s="18"/>
    </row>
    <row r="538" spans="4:8" s="11" customFormat="1">
      <c r="D538" s="18"/>
      <c r="E538" s="18"/>
      <c r="F538" s="18"/>
      <c r="G538" s="18"/>
      <c r="H538" s="18"/>
    </row>
    <row r="539" spans="4:8" s="11" customFormat="1">
      <c r="D539" s="18"/>
      <c r="E539" s="18"/>
      <c r="F539" s="18"/>
      <c r="G539" s="18"/>
      <c r="H539" s="18"/>
    </row>
    <row r="540" spans="4:8" s="11" customFormat="1">
      <c r="D540" s="18"/>
      <c r="E540" s="18"/>
      <c r="F540" s="18"/>
      <c r="G540" s="18"/>
      <c r="H540" s="18"/>
    </row>
    <row r="541" spans="4:8" s="11" customFormat="1">
      <c r="D541" s="18"/>
      <c r="E541" s="18"/>
      <c r="F541" s="18"/>
      <c r="G541" s="18"/>
      <c r="H541" s="18"/>
    </row>
    <row r="542" spans="4:8" s="11" customFormat="1">
      <c r="D542" s="18"/>
      <c r="E542" s="18"/>
      <c r="F542" s="18"/>
      <c r="G542" s="18"/>
      <c r="H542" s="18"/>
    </row>
    <row r="543" spans="4:8" s="11" customFormat="1">
      <c r="D543" s="18"/>
      <c r="E543" s="18"/>
      <c r="F543" s="18"/>
      <c r="G543" s="18"/>
      <c r="H543" s="18"/>
    </row>
    <row r="544" spans="4:8" s="11" customFormat="1">
      <c r="D544" s="18"/>
      <c r="E544" s="18"/>
      <c r="F544" s="18"/>
      <c r="G544" s="18"/>
      <c r="H544" s="18"/>
    </row>
    <row r="545" spans="4:8" s="11" customFormat="1">
      <c r="D545" s="18"/>
      <c r="E545" s="18"/>
      <c r="F545" s="18"/>
      <c r="G545" s="18"/>
      <c r="H545" s="18"/>
    </row>
    <row r="546" spans="4:8" s="11" customFormat="1">
      <c r="D546" s="18"/>
      <c r="E546" s="18"/>
      <c r="F546" s="18"/>
      <c r="G546" s="18"/>
      <c r="H546" s="18"/>
    </row>
    <row r="547" spans="4:8" s="11" customFormat="1">
      <c r="D547" s="18"/>
      <c r="E547" s="18"/>
      <c r="F547" s="18"/>
      <c r="G547" s="18"/>
      <c r="H547" s="18"/>
    </row>
    <row r="548" spans="4:8" s="11" customFormat="1">
      <c r="D548" s="18"/>
      <c r="E548" s="18"/>
      <c r="F548" s="18"/>
      <c r="G548" s="18"/>
      <c r="H548" s="18"/>
    </row>
    <row r="549" spans="4:8" s="11" customFormat="1">
      <c r="D549" s="18"/>
      <c r="E549" s="18"/>
      <c r="F549" s="18"/>
      <c r="G549" s="18"/>
      <c r="H549" s="18"/>
    </row>
    <row r="550" spans="4:8" s="11" customFormat="1">
      <c r="D550" s="18"/>
      <c r="E550" s="18"/>
      <c r="F550" s="18"/>
      <c r="G550" s="18"/>
      <c r="H550" s="18"/>
    </row>
    <row r="551" spans="4:8" s="11" customFormat="1">
      <c r="D551" s="18"/>
      <c r="E551" s="18"/>
      <c r="F551" s="18"/>
      <c r="G551" s="18"/>
      <c r="H551" s="18"/>
    </row>
    <row r="552" spans="4:8" s="11" customFormat="1">
      <c r="D552" s="18"/>
      <c r="E552" s="18"/>
      <c r="F552" s="18"/>
      <c r="G552" s="18"/>
      <c r="H552" s="18"/>
    </row>
    <row r="553" spans="4:8" s="11" customFormat="1">
      <c r="D553" s="18"/>
      <c r="E553" s="18"/>
      <c r="F553" s="18"/>
      <c r="G553" s="18"/>
      <c r="H553" s="18"/>
    </row>
    <row r="554" spans="4:8" s="11" customFormat="1">
      <c r="D554" s="18"/>
      <c r="E554" s="18"/>
      <c r="F554" s="18"/>
      <c r="G554" s="18"/>
      <c r="H554" s="18"/>
    </row>
    <row r="555" spans="4:8" s="11" customFormat="1">
      <c r="D555" s="18"/>
      <c r="E555" s="18"/>
      <c r="F555" s="18"/>
      <c r="G555" s="18"/>
      <c r="H555" s="18"/>
    </row>
    <row r="556" spans="4:8" s="11" customFormat="1">
      <c r="D556" s="18"/>
      <c r="E556" s="18"/>
      <c r="F556" s="18"/>
      <c r="G556" s="18"/>
      <c r="H556" s="18"/>
    </row>
    <row r="557" spans="4:8" s="11" customFormat="1">
      <c r="D557" s="18"/>
      <c r="E557" s="18"/>
      <c r="F557" s="18"/>
      <c r="G557" s="18"/>
      <c r="H557" s="18"/>
    </row>
    <row r="558" spans="4:8" s="11" customFormat="1">
      <c r="D558" s="18"/>
      <c r="E558" s="18"/>
      <c r="F558" s="18"/>
      <c r="G558" s="18"/>
      <c r="H558" s="18"/>
    </row>
    <row r="559" spans="4:8" s="11" customFormat="1">
      <c r="D559" s="18"/>
      <c r="E559" s="18"/>
      <c r="F559" s="18"/>
      <c r="G559" s="18"/>
      <c r="H559" s="18"/>
    </row>
    <row r="560" spans="4:8" s="11" customFormat="1">
      <c r="D560" s="18"/>
      <c r="E560" s="18"/>
      <c r="F560" s="18"/>
      <c r="G560" s="18"/>
      <c r="H560" s="18"/>
    </row>
    <row r="561" spans="4:8" s="11" customFormat="1">
      <c r="D561" s="18"/>
      <c r="E561" s="18"/>
      <c r="F561" s="18"/>
      <c r="G561" s="18"/>
      <c r="H561" s="18"/>
    </row>
    <row r="562" spans="4:8" s="11" customFormat="1">
      <c r="D562" s="18"/>
      <c r="E562" s="18"/>
      <c r="F562" s="18"/>
      <c r="G562" s="18"/>
      <c r="H562" s="18"/>
    </row>
    <row r="563" spans="4:8" s="11" customFormat="1">
      <c r="D563" s="18"/>
      <c r="E563" s="18"/>
      <c r="F563" s="18"/>
      <c r="G563" s="18"/>
      <c r="H563" s="18"/>
    </row>
    <row r="564" spans="4:8" s="11" customFormat="1">
      <c r="D564" s="18"/>
      <c r="E564" s="18"/>
      <c r="F564" s="18"/>
      <c r="G564" s="18"/>
      <c r="H564" s="18"/>
    </row>
    <row r="565" spans="4:8" s="11" customFormat="1">
      <c r="D565" s="18"/>
      <c r="E565" s="18"/>
      <c r="F565" s="18"/>
      <c r="G565" s="18"/>
      <c r="H565" s="18"/>
    </row>
    <row r="566" spans="4:8" s="11" customFormat="1">
      <c r="D566" s="18"/>
      <c r="E566" s="18"/>
      <c r="F566" s="18"/>
      <c r="G566" s="18"/>
      <c r="H566" s="18"/>
    </row>
    <row r="567" spans="4:8" s="11" customFormat="1">
      <c r="D567" s="18"/>
      <c r="E567" s="18"/>
      <c r="F567" s="18"/>
      <c r="G567" s="18"/>
      <c r="H567" s="18"/>
    </row>
    <row r="568" spans="4:8" s="11" customFormat="1">
      <c r="D568" s="18"/>
      <c r="E568" s="18"/>
      <c r="F568" s="18"/>
      <c r="G568" s="18"/>
      <c r="H568" s="18"/>
    </row>
    <row r="569" spans="4:8" s="11" customFormat="1">
      <c r="D569" s="18"/>
      <c r="E569" s="18"/>
      <c r="F569" s="18"/>
      <c r="G569" s="18"/>
      <c r="H569" s="18"/>
    </row>
    <row r="570" spans="4:8" s="11" customFormat="1">
      <c r="D570" s="18"/>
      <c r="E570" s="18"/>
      <c r="F570" s="18"/>
      <c r="G570" s="18"/>
      <c r="H570" s="18"/>
    </row>
    <row r="571" spans="4:8" s="11" customFormat="1">
      <c r="D571" s="18"/>
      <c r="E571" s="18"/>
      <c r="F571" s="18"/>
      <c r="G571" s="18"/>
      <c r="H571" s="18"/>
    </row>
    <row r="572" spans="4:8" s="11" customFormat="1">
      <c r="D572" s="18"/>
      <c r="E572" s="18"/>
      <c r="F572" s="18"/>
      <c r="G572" s="18"/>
      <c r="H572" s="18"/>
    </row>
    <row r="573" spans="4:8" s="11" customFormat="1">
      <c r="D573" s="18"/>
      <c r="E573" s="18"/>
      <c r="F573" s="18"/>
      <c r="G573" s="18"/>
      <c r="H573" s="18"/>
    </row>
    <row r="574" spans="4:8" s="11" customFormat="1">
      <c r="D574" s="18"/>
      <c r="E574" s="18"/>
      <c r="F574" s="18"/>
      <c r="G574" s="18"/>
      <c r="H574" s="18"/>
    </row>
    <row r="575" spans="4:8" s="11" customFormat="1">
      <c r="D575" s="18"/>
      <c r="E575" s="18"/>
      <c r="F575" s="18"/>
      <c r="G575" s="18"/>
      <c r="H575" s="18"/>
    </row>
    <row r="576" spans="4:8" s="11" customFormat="1">
      <c r="D576" s="18"/>
      <c r="E576" s="18"/>
      <c r="F576" s="18"/>
      <c r="G576" s="18"/>
      <c r="H576" s="18"/>
    </row>
    <row r="577" spans="4:8" s="11" customFormat="1">
      <c r="D577" s="18"/>
      <c r="E577" s="18"/>
      <c r="F577" s="18"/>
      <c r="G577" s="18"/>
      <c r="H577" s="18"/>
    </row>
    <row r="578" spans="4:8" s="11" customFormat="1">
      <c r="D578" s="18"/>
      <c r="E578" s="18"/>
      <c r="F578" s="18"/>
      <c r="G578" s="18"/>
      <c r="H578" s="18"/>
    </row>
    <row r="579" spans="4:8" s="11" customFormat="1">
      <c r="D579" s="18"/>
      <c r="E579" s="18"/>
      <c r="F579" s="18"/>
      <c r="G579" s="18"/>
      <c r="H579" s="18"/>
    </row>
    <row r="580" spans="4:8" s="11" customFormat="1">
      <c r="D580" s="18"/>
      <c r="E580" s="18"/>
      <c r="F580" s="18"/>
      <c r="G580" s="18"/>
      <c r="H580" s="18"/>
    </row>
    <row r="581" spans="4:8" s="11" customFormat="1">
      <c r="D581" s="18"/>
      <c r="E581" s="18"/>
      <c r="F581" s="18"/>
      <c r="G581" s="18"/>
      <c r="H581" s="18"/>
    </row>
    <row r="582" spans="4:8" s="11" customFormat="1">
      <c r="D582" s="18"/>
      <c r="E582" s="18"/>
      <c r="F582" s="18"/>
      <c r="G582" s="18"/>
      <c r="H582" s="18"/>
    </row>
    <row r="583" spans="4:8" s="11" customFormat="1">
      <c r="D583" s="18"/>
      <c r="E583" s="18"/>
      <c r="F583" s="18"/>
      <c r="G583" s="18"/>
      <c r="H583" s="18"/>
    </row>
    <row r="584" spans="4:8" s="11" customFormat="1">
      <c r="D584" s="18"/>
      <c r="E584" s="18"/>
      <c r="F584" s="18"/>
      <c r="G584" s="18"/>
      <c r="H584" s="18"/>
    </row>
    <row r="585" spans="4:8" s="11" customFormat="1">
      <c r="D585" s="18"/>
      <c r="E585" s="18"/>
      <c r="F585" s="18"/>
      <c r="G585" s="18"/>
      <c r="H585" s="18"/>
    </row>
    <row r="586" spans="4:8" s="11" customFormat="1">
      <c r="D586" s="18"/>
      <c r="E586" s="18"/>
      <c r="F586" s="18"/>
      <c r="G586" s="18"/>
      <c r="H586" s="18"/>
    </row>
    <row r="587" spans="4:8" s="11" customFormat="1">
      <c r="D587" s="18"/>
      <c r="E587" s="18"/>
      <c r="F587" s="18"/>
      <c r="G587" s="18"/>
      <c r="H587" s="18"/>
    </row>
    <row r="588" spans="4:8" s="11" customFormat="1">
      <c r="D588" s="18"/>
      <c r="E588" s="18"/>
      <c r="F588" s="18"/>
      <c r="G588" s="18"/>
      <c r="H588" s="18"/>
    </row>
    <row r="589" spans="4:8" s="11" customFormat="1">
      <c r="D589" s="18"/>
      <c r="E589" s="18"/>
      <c r="F589" s="18"/>
      <c r="G589" s="18"/>
      <c r="H589" s="18"/>
    </row>
    <row r="590" spans="4:8" s="11" customFormat="1">
      <c r="D590" s="18"/>
      <c r="E590" s="18"/>
      <c r="F590" s="18"/>
      <c r="G590" s="18"/>
      <c r="H590" s="18"/>
    </row>
    <row r="591" spans="4:8" s="11" customFormat="1">
      <c r="D591" s="18"/>
      <c r="E591" s="18"/>
      <c r="F591" s="18"/>
      <c r="G591" s="18"/>
      <c r="H591" s="18"/>
    </row>
    <row r="592" spans="4:8" s="11" customFormat="1">
      <c r="D592" s="18"/>
      <c r="E592" s="18"/>
      <c r="F592" s="18"/>
      <c r="G592" s="18"/>
      <c r="H592" s="18"/>
    </row>
    <row r="593" spans="4:8" s="11" customFormat="1">
      <c r="D593" s="18"/>
      <c r="E593" s="18"/>
      <c r="F593" s="18"/>
      <c r="G593" s="18"/>
      <c r="H593" s="18"/>
    </row>
    <row r="594" spans="4:8" s="11" customFormat="1">
      <c r="D594" s="18"/>
      <c r="E594" s="18"/>
      <c r="F594" s="18"/>
      <c r="G594" s="18"/>
      <c r="H594" s="18"/>
    </row>
    <row r="595" spans="4:8" s="11" customFormat="1">
      <c r="D595" s="18"/>
      <c r="E595" s="18"/>
      <c r="F595" s="18"/>
      <c r="G595" s="18"/>
      <c r="H595" s="18"/>
    </row>
    <row r="596" spans="4:8" s="11" customFormat="1">
      <c r="D596" s="18"/>
      <c r="E596" s="18"/>
      <c r="F596" s="18"/>
      <c r="G596" s="18"/>
      <c r="H596" s="18"/>
    </row>
    <row r="597" spans="4:8" s="11" customFormat="1">
      <c r="D597" s="18"/>
      <c r="E597" s="18"/>
      <c r="F597" s="18"/>
      <c r="G597" s="18"/>
      <c r="H597" s="18"/>
    </row>
    <row r="598" spans="4:8" s="11" customFormat="1">
      <c r="D598" s="18"/>
      <c r="E598" s="18"/>
      <c r="F598" s="18"/>
      <c r="G598" s="18"/>
      <c r="H598" s="18"/>
    </row>
    <row r="599" spans="4:8" s="11" customFormat="1">
      <c r="D599" s="18"/>
      <c r="E599" s="18"/>
      <c r="F599" s="18"/>
      <c r="G599" s="18"/>
      <c r="H599" s="18"/>
    </row>
    <row r="600" spans="4:8" s="11" customFormat="1">
      <c r="D600" s="18"/>
      <c r="E600" s="18"/>
      <c r="F600" s="18"/>
      <c r="G600" s="18"/>
      <c r="H600" s="18"/>
    </row>
    <row r="601" spans="4:8" s="11" customFormat="1">
      <c r="D601" s="18"/>
      <c r="E601" s="18"/>
      <c r="F601" s="18"/>
      <c r="G601" s="18"/>
      <c r="H601" s="18"/>
    </row>
    <row r="602" spans="4:8" s="11" customFormat="1">
      <c r="D602" s="18"/>
      <c r="E602" s="18"/>
      <c r="F602" s="18"/>
      <c r="G602" s="18"/>
      <c r="H602" s="18"/>
    </row>
    <row r="603" spans="4:8" s="11" customFormat="1">
      <c r="D603" s="18"/>
      <c r="E603" s="18"/>
      <c r="F603" s="18"/>
      <c r="G603" s="18"/>
      <c r="H603" s="18"/>
    </row>
    <row r="604" spans="4:8" s="11" customFormat="1">
      <c r="D604" s="18"/>
      <c r="E604" s="18"/>
      <c r="F604" s="18"/>
      <c r="G604" s="18"/>
      <c r="H604" s="18"/>
    </row>
    <row r="605" spans="4:8" s="11" customFormat="1">
      <c r="D605" s="18"/>
      <c r="E605" s="18"/>
      <c r="F605" s="18"/>
      <c r="G605" s="18"/>
      <c r="H605" s="18"/>
    </row>
    <row r="606" spans="4:8" s="11" customFormat="1">
      <c r="D606" s="18"/>
      <c r="E606" s="18"/>
      <c r="F606" s="18"/>
      <c r="G606" s="18"/>
      <c r="H606" s="18"/>
    </row>
    <row r="607" spans="4:8" s="11" customFormat="1">
      <c r="D607" s="18"/>
      <c r="E607" s="18"/>
      <c r="F607" s="18"/>
      <c r="G607" s="18"/>
      <c r="H607" s="18"/>
    </row>
    <row r="608" spans="4:8" s="11" customFormat="1">
      <c r="D608" s="18"/>
      <c r="E608" s="18"/>
      <c r="F608" s="18"/>
      <c r="G608" s="18"/>
      <c r="H608" s="18"/>
    </row>
    <row r="609" spans="4:8" s="11" customFormat="1">
      <c r="D609" s="18"/>
      <c r="E609" s="18"/>
      <c r="F609" s="18"/>
      <c r="G609" s="18"/>
      <c r="H609" s="18"/>
    </row>
    <row r="610" spans="4:8" s="11" customFormat="1">
      <c r="D610" s="18"/>
      <c r="E610" s="18"/>
      <c r="F610" s="18"/>
      <c r="G610" s="18"/>
      <c r="H610" s="18"/>
    </row>
    <row r="611" spans="4:8" s="11" customFormat="1">
      <c r="D611" s="18"/>
      <c r="E611" s="18"/>
      <c r="F611" s="18"/>
      <c r="G611" s="18"/>
      <c r="H611" s="18"/>
    </row>
    <row r="612" spans="4:8" s="11" customFormat="1">
      <c r="D612" s="18"/>
      <c r="E612" s="18"/>
      <c r="F612" s="18"/>
      <c r="G612" s="18"/>
      <c r="H612" s="18"/>
    </row>
    <row r="613" spans="4:8" s="11" customFormat="1">
      <c r="D613" s="18"/>
      <c r="E613" s="18"/>
      <c r="F613" s="18"/>
      <c r="G613" s="18"/>
      <c r="H613" s="18"/>
    </row>
    <row r="614" spans="4:8" s="11" customFormat="1">
      <c r="D614" s="18"/>
      <c r="E614" s="18"/>
      <c r="F614" s="18"/>
      <c r="G614" s="18"/>
      <c r="H614" s="18"/>
    </row>
    <row r="615" spans="4:8" s="11" customFormat="1">
      <c r="D615" s="18"/>
      <c r="E615" s="18"/>
      <c r="F615" s="18"/>
      <c r="G615" s="18"/>
      <c r="H615" s="18"/>
    </row>
    <row r="616" spans="4:8" s="11" customFormat="1">
      <c r="D616" s="18"/>
      <c r="E616" s="18"/>
      <c r="F616" s="18"/>
      <c r="G616" s="18"/>
      <c r="H616" s="18"/>
    </row>
    <row r="617" spans="4:8" s="11" customFormat="1">
      <c r="D617" s="18"/>
      <c r="E617" s="18"/>
      <c r="F617" s="18"/>
      <c r="G617" s="18"/>
      <c r="H617" s="18"/>
    </row>
    <row r="618" spans="4:8" s="11" customFormat="1">
      <c r="D618" s="18"/>
      <c r="E618" s="18"/>
      <c r="F618" s="18"/>
      <c r="G618" s="18"/>
      <c r="H618" s="18"/>
    </row>
    <row r="619" spans="4:8" s="11" customFormat="1">
      <c r="D619" s="18"/>
      <c r="E619" s="18"/>
      <c r="F619" s="18"/>
      <c r="G619" s="18"/>
      <c r="H619" s="18"/>
    </row>
    <row r="620" spans="4:8" s="11" customFormat="1">
      <c r="D620" s="18"/>
      <c r="E620" s="18"/>
      <c r="F620" s="18"/>
      <c r="G620" s="18"/>
      <c r="H620" s="18"/>
    </row>
    <row r="621" spans="4:8" s="11" customFormat="1">
      <c r="D621" s="18"/>
      <c r="E621" s="18"/>
      <c r="F621" s="18"/>
      <c r="G621" s="18"/>
      <c r="H621" s="18"/>
    </row>
    <row r="622" spans="4:8" s="11" customFormat="1">
      <c r="D622" s="18"/>
      <c r="E622" s="18"/>
      <c r="F622" s="18"/>
      <c r="G622" s="18"/>
      <c r="H622" s="18"/>
    </row>
    <row r="623" spans="4:8" s="11" customFormat="1">
      <c r="D623" s="18"/>
      <c r="E623" s="18"/>
      <c r="F623" s="18"/>
      <c r="G623" s="18"/>
      <c r="H623" s="18"/>
    </row>
    <row r="624" spans="4:8" s="11" customFormat="1">
      <c r="D624" s="18"/>
      <c r="E624" s="18"/>
      <c r="F624" s="18"/>
      <c r="G624" s="18"/>
      <c r="H624" s="18"/>
    </row>
    <row r="625" spans="4:8" s="11" customFormat="1">
      <c r="D625" s="18"/>
      <c r="E625" s="18"/>
      <c r="F625" s="18"/>
      <c r="G625" s="18"/>
      <c r="H625" s="18"/>
    </row>
    <row r="626" spans="4:8" s="11" customFormat="1">
      <c r="D626" s="18"/>
      <c r="E626" s="18"/>
      <c r="F626" s="18"/>
      <c r="G626" s="18"/>
      <c r="H626" s="18"/>
    </row>
    <row r="627" spans="4:8" s="11" customFormat="1">
      <c r="D627" s="18"/>
      <c r="E627" s="18"/>
      <c r="F627" s="18"/>
      <c r="G627" s="18"/>
      <c r="H627" s="18"/>
    </row>
    <row r="628" spans="4:8" s="11" customFormat="1">
      <c r="D628" s="18"/>
      <c r="E628" s="18"/>
      <c r="F628" s="18"/>
      <c r="G628" s="18"/>
      <c r="H628" s="18"/>
    </row>
    <row r="629" spans="4:8" s="11" customFormat="1">
      <c r="D629" s="18"/>
      <c r="E629" s="18"/>
      <c r="F629" s="18"/>
      <c r="G629" s="18"/>
      <c r="H629" s="18"/>
    </row>
    <row r="630" spans="4:8" s="11" customFormat="1">
      <c r="D630" s="18"/>
      <c r="E630" s="18"/>
      <c r="F630" s="18"/>
      <c r="G630" s="18"/>
      <c r="H630" s="18"/>
    </row>
    <row r="631" spans="4:8" s="11" customFormat="1">
      <c r="D631" s="18"/>
      <c r="E631" s="18"/>
      <c r="F631" s="18"/>
      <c r="G631" s="18"/>
      <c r="H631" s="18"/>
    </row>
    <row r="632" spans="4:8" s="11" customFormat="1">
      <c r="D632" s="18"/>
      <c r="E632" s="18"/>
      <c r="F632" s="18"/>
      <c r="G632" s="18"/>
      <c r="H632" s="18"/>
    </row>
    <row r="633" spans="4:8" s="11" customFormat="1">
      <c r="D633" s="18"/>
      <c r="E633" s="18"/>
      <c r="F633" s="18"/>
      <c r="G633" s="18"/>
      <c r="H633" s="18"/>
    </row>
    <row r="634" spans="4:8" s="11" customFormat="1">
      <c r="D634" s="18"/>
      <c r="E634" s="18"/>
      <c r="F634" s="18"/>
      <c r="G634" s="18"/>
      <c r="H634" s="18"/>
    </row>
    <row r="635" spans="4:8" s="11" customFormat="1">
      <c r="D635" s="18"/>
      <c r="E635" s="18"/>
      <c r="F635" s="18"/>
      <c r="G635" s="18"/>
      <c r="H635" s="18"/>
    </row>
    <row r="636" spans="4:8" s="11" customFormat="1">
      <c r="D636" s="18"/>
      <c r="E636" s="18"/>
      <c r="F636" s="18"/>
      <c r="G636" s="18"/>
      <c r="H636" s="18"/>
    </row>
    <row r="637" spans="4:8" s="11" customFormat="1">
      <c r="D637" s="18"/>
      <c r="E637" s="18"/>
      <c r="F637" s="18"/>
      <c r="G637" s="18"/>
      <c r="H637" s="18"/>
    </row>
    <row r="638" spans="4:8" s="11" customFormat="1">
      <c r="D638" s="18"/>
      <c r="E638" s="18"/>
      <c r="F638" s="18"/>
      <c r="G638" s="18"/>
      <c r="H638" s="18"/>
    </row>
    <row r="639" spans="4:8" s="11" customFormat="1">
      <c r="D639" s="18"/>
      <c r="E639" s="18"/>
      <c r="F639" s="18"/>
      <c r="G639" s="18"/>
      <c r="H639" s="18"/>
    </row>
    <row r="640" spans="4:8" s="11" customFormat="1">
      <c r="D640" s="18"/>
      <c r="E640" s="18"/>
      <c r="F640" s="18"/>
      <c r="G640" s="18"/>
      <c r="H640" s="18"/>
    </row>
    <row r="641" spans="4:8" s="11" customFormat="1">
      <c r="D641" s="18"/>
      <c r="E641" s="18"/>
      <c r="F641" s="18"/>
      <c r="G641" s="18"/>
      <c r="H641" s="18"/>
    </row>
    <row r="642" spans="4:8" s="11" customFormat="1">
      <c r="D642" s="18"/>
      <c r="E642" s="18"/>
      <c r="F642" s="18"/>
      <c r="G642" s="18"/>
      <c r="H642" s="18"/>
    </row>
    <row r="643" spans="4:8" s="11" customFormat="1">
      <c r="D643" s="18"/>
      <c r="E643" s="18"/>
      <c r="F643" s="18"/>
      <c r="G643" s="18"/>
      <c r="H643" s="18"/>
    </row>
    <row r="644" spans="4:8" s="11" customFormat="1">
      <c r="D644" s="18"/>
      <c r="E644" s="18"/>
      <c r="F644" s="18"/>
      <c r="G644" s="18"/>
      <c r="H644" s="18"/>
    </row>
    <row r="645" spans="4:8" s="11" customFormat="1">
      <c r="D645" s="18"/>
      <c r="E645" s="18"/>
      <c r="F645" s="18"/>
      <c r="G645" s="18"/>
      <c r="H645" s="18"/>
    </row>
    <row r="646" spans="4:8" s="11" customFormat="1">
      <c r="D646" s="18"/>
      <c r="E646" s="18"/>
      <c r="F646" s="18"/>
      <c r="G646" s="18"/>
      <c r="H646" s="18"/>
    </row>
    <row r="647" spans="4:8" s="11" customFormat="1">
      <c r="D647" s="18"/>
      <c r="E647" s="18"/>
      <c r="F647" s="18"/>
      <c r="G647" s="18"/>
      <c r="H647" s="18"/>
    </row>
    <row r="648" spans="4:8" s="11" customFormat="1">
      <c r="D648" s="18"/>
      <c r="E648" s="18"/>
      <c r="F648" s="18"/>
      <c r="G648" s="18"/>
      <c r="H648" s="18"/>
    </row>
    <row r="649" spans="4:8" s="11" customFormat="1">
      <c r="D649" s="18"/>
      <c r="E649" s="18"/>
      <c r="F649" s="18"/>
      <c r="G649" s="18"/>
      <c r="H649" s="18"/>
    </row>
    <row r="650" spans="4:8" s="11" customFormat="1">
      <c r="D650" s="18"/>
      <c r="E650" s="18"/>
      <c r="F650" s="18"/>
      <c r="G650" s="18"/>
      <c r="H650" s="18"/>
    </row>
    <row r="651" spans="4:8" s="11" customFormat="1">
      <c r="D651" s="18"/>
      <c r="E651" s="18"/>
      <c r="F651" s="18"/>
      <c r="G651" s="18"/>
      <c r="H651" s="18"/>
    </row>
    <row r="652" spans="4:8" s="11" customFormat="1">
      <c r="D652" s="18"/>
      <c r="E652" s="18"/>
      <c r="F652" s="18"/>
      <c r="G652" s="18"/>
      <c r="H652" s="18"/>
    </row>
    <row r="653" spans="4:8" s="11" customFormat="1">
      <c r="D653" s="18"/>
      <c r="E653" s="18"/>
      <c r="F653" s="18"/>
      <c r="G653" s="18"/>
      <c r="H653" s="18"/>
    </row>
    <row r="654" spans="4:8" s="11" customFormat="1">
      <c r="D654" s="18"/>
      <c r="E654" s="18"/>
      <c r="F654" s="18"/>
      <c r="G654" s="18"/>
      <c r="H654" s="18"/>
    </row>
    <row r="655" spans="4:8" s="11" customFormat="1">
      <c r="D655" s="18"/>
      <c r="E655" s="18"/>
      <c r="F655" s="18"/>
      <c r="G655" s="18"/>
      <c r="H655" s="18"/>
    </row>
    <row r="656" spans="4:8" s="11" customFormat="1">
      <c r="D656" s="18"/>
      <c r="E656" s="18"/>
      <c r="F656" s="18"/>
      <c r="G656" s="18"/>
      <c r="H656" s="18"/>
    </row>
    <row r="657" spans="4:8" s="11" customFormat="1">
      <c r="D657" s="18"/>
      <c r="E657" s="18"/>
      <c r="F657" s="18"/>
      <c r="G657" s="18"/>
      <c r="H657" s="18"/>
    </row>
    <row r="658" spans="4:8" s="11" customFormat="1">
      <c r="D658" s="18"/>
      <c r="E658" s="18"/>
      <c r="F658" s="18"/>
      <c r="G658" s="18"/>
      <c r="H658" s="18"/>
    </row>
    <row r="659" spans="4:8" s="11" customFormat="1">
      <c r="D659" s="18"/>
      <c r="E659" s="18"/>
      <c r="F659" s="18"/>
      <c r="G659" s="18"/>
      <c r="H659" s="18"/>
    </row>
    <row r="660" spans="4:8" s="11" customFormat="1">
      <c r="D660" s="18"/>
      <c r="E660" s="18"/>
      <c r="F660" s="18"/>
      <c r="G660" s="18"/>
      <c r="H660" s="18"/>
    </row>
    <row r="661" spans="4:8" s="11" customFormat="1">
      <c r="D661" s="18"/>
      <c r="E661" s="18"/>
      <c r="F661" s="18"/>
      <c r="G661" s="18"/>
      <c r="H661" s="18"/>
    </row>
    <row r="662" spans="4:8" s="11" customFormat="1">
      <c r="D662" s="18"/>
      <c r="E662" s="18"/>
      <c r="F662" s="18"/>
      <c r="G662" s="18"/>
      <c r="H662" s="18"/>
    </row>
    <row r="663" spans="4:8" s="11" customFormat="1">
      <c r="D663" s="18"/>
      <c r="E663" s="18"/>
      <c r="F663" s="18"/>
      <c r="G663" s="18"/>
      <c r="H663" s="18"/>
    </row>
    <row r="664" spans="4:8" s="11" customFormat="1">
      <c r="D664" s="18"/>
      <c r="E664" s="18"/>
      <c r="F664" s="18"/>
      <c r="G664" s="18"/>
      <c r="H664" s="18"/>
    </row>
    <row r="665" spans="4:8" s="11" customFormat="1">
      <c r="D665" s="18"/>
      <c r="E665" s="18"/>
      <c r="F665" s="18"/>
      <c r="G665" s="18"/>
      <c r="H665" s="18"/>
    </row>
    <row r="666" spans="4:8" s="11" customFormat="1">
      <c r="D666" s="18"/>
      <c r="E666" s="18"/>
      <c r="F666" s="18"/>
      <c r="G666" s="18"/>
      <c r="H666" s="18"/>
    </row>
    <row r="667" spans="4:8" s="11" customFormat="1">
      <c r="D667" s="18"/>
      <c r="E667" s="18"/>
      <c r="F667" s="18"/>
      <c r="G667" s="18"/>
      <c r="H667" s="18"/>
    </row>
    <row r="668" spans="4:8" s="11" customFormat="1">
      <c r="D668" s="18"/>
      <c r="E668" s="18"/>
      <c r="F668" s="18"/>
      <c r="G668" s="18"/>
      <c r="H668" s="18"/>
    </row>
    <row r="669" spans="4:8" s="11" customFormat="1">
      <c r="D669" s="18"/>
      <c r="E669" s="18"/>
      <c r="F669" s="18"/>
      <c r="G669" s="18"/>
      <c r="H669" s="18"/>
    </row>
    <row r="670" spans="4:8" s="11" customFormat="1">
      <c r="D670" s="18"/>
      <c r="E670" s="18"/>
      <c r="F670" s="18"/>
      <c r="G670" s="18"/>
      <c r="H670" s="18"/>
    </row>
    <row r="671" spans="4:8" s="11" customFormat="1">
      <c r="D671" s="18"/>
      <c r="E671" s="18"/>
      <c r="F671" s="18"/>
      <c r="G671" s="18"/>
      <c r="H671" s="18"/>
    </row>
    <row r="672" spans="4:8" s="11" customFormat="1">
      <c r="D672" s="18"/>
      <c r="E672" s="18"/>
      <c r="F672" s="18"/>
      <c r="G672" s="18"/>
      <c r="H672" s="18"/>
    </row>
    <row r="673" spans="4:8" s="11" customFormat="1">
      <c r="D673" s="18"/>
      <c r="E673" s="18"/>
      <c r="F673" s="18"/>
      <c r="G673" s="18"/>
      <c r="H673" s="18"/>
    </row>
    <row r="674" spans="4:8" s="11" customFormat="1">
      <c r="D674" s="18"/>
      <c r="E674" s="18"/>
      <c r="F674" s="18"/>
      <c r="G674" s="18"/>
      <c r="H674" s="18"/>
    </row>
    <row r="675" spans="4:8" s="11" customFormat="1">
      <c r="D675" s="18"/>
      <c r="E675" s="18"/>
      <c r="F675" s="18"/>
      <c r="G675" s="18"/>
      <c r="H675" s="18"/>
    </row>
    <row r="676" spans="4:8" s="11" customFormat="1">
      <c r="D676" s="18"/>
      <c r="E676" s="18"/>
      <c r="F676" s="18"/>
      <c r="G676" s="18"/>
      <c r="H676" s="18"/>
    </row>
    <row r="677" spans="4:8" s="11" customFormat="1">
      <c r="D677" s="18"/>
      <c r="E677" s="18"/>
      <c r="F677" s="18"/>
      <c r="G677" s="18"/>
      <c r="H677" s="18"/>
    </row>
    <row r="678" spans="4:8" s="11" customFormat="1">
      <c r="D678" s="18"/>
      <c r="E678" s="18"/>
      <c r="F678" s="18"/>
      <c r="G678" s="18"/>
      <c r="H678" s="18"/>
    </row>
    <row r="679" spans="4:8" s="11" customFormat="1">
      <c r="D679" s="18"/>
      <c r="E679" s="18"/>
      <c r="F679" s="18"/>
      <c r="G679" s="18"/>
      <c r="H679" s="18"/>
    </row>
    <row r="680" spans="4:8" s="11" customFormat="1">
      <c r="D680" s="18"/>
      <c r="E680" s="18"/>
      <c r="F680" s="18"/>
      <c r="G680" s="18"/>
      <c r="H680" s="18"/>
    </row>
    <row r="681" spans="4:8" s="11" customFormat="1">
      <c r="D681" s="18"/>
      <c r="E681" s="18"/>
      <c r="F681" s="18"/>
      <c r="G681" s="18"/>
      <c r="H681" s="18"/>
    </row>
    <row r="682" spans="4:8" s="11" customFormat="1">
      <c r="D682" s="18"/>
      <c r="E682" s="18"/>
      <c r="F682" s="18"/>
      <c r="G682" s="18"/>
      <c r="H682" s="18"/>
    </row>
    <row r="683" spans="4:8" s="11" customFormat="1">
      <c r="D683" s="18"/>
      <c r="E683" s="18"/>
      <c r="F683" s="18"/>
      <c r="G683" s="18"/>
      <c r="H683" s="18"/>
    </row>
    <row r="684" spans="4:8" s="11" customFormat="1">
      <c r="D684" s="18"/>
      <c r="E684" s="18"/>
      <c r="F684" s="18"/>
      <c r="G684" s="18"/>
      <c r="H684" s="18"/>
    </row>
    <row r="685" spans="4:8" s="11" customFormat="1">
      <c r="D685" s="18"/>
      <c r="E685" s="18"/>
      <c r="F685" s="18"/>
      <c r="G685" s="18"/>
      <c r="H685" s="18"/>
    </row>
    <row r="686" spans="4:8" s="11" customFormat="1">
      <c r="D686" s="18"/>
      <c r="E686" s="18"/>
      <c r="F686" s="18"/>
      <c r="G686" s="18"/>
      <c r="H686" s="18"/>
    </row>
    <row r="687" spans="4:8" s="11" customFormat="1">
      <c r="D687" s="18"/>
      <c r="E687" s="18"/>
      <c r="F687" s="18"/>
      <c r="G687" s="18"/>
      <c r="H687" s="18"/>
    </row>
    <row r="688" spans="4:8" s="11" customFormat="1">
      <c r="D688" s="18"/>
      <c r="E688" s="18"/>
      <c r="F688" s="18"/>
      <c r="G688" s="18"/>
      <c r="H688" s="18"/>
    </row>
    <row r="689" spans="4:8" s="11" customFormat="1">
      <c r="D689" s="18"/>
      <c r="E689" s="18"/>
      <c r="F689" s="18"/>
      <c r="G689" s="18"/>
      <c r="H689" s="18"/>
    </row>
    <row r="690" spans="4:8" s="11" customFormat="1">
      <c r="D690" s="18"/>
      <c r="E690" s="18"/>
      <c r="F690" s="18"/>
      <c r="G690" s="18"/>
      <c r="H690" s="18"/>
    </row>
    <row r="691" spans="4:8" s="11" customFormat="1">
      <c r="D691" s="18"/>
      <c r="E691" s="18"/>
      <c r="F691" s="18"/>
      <c r="G691" s="18"/>
      <c r="H691" s="18"/>
    </row>
    <row r="692" spans="4:8" s="11" customFormat="1">
      <c r="D692" s="18"/>
      <c r="E692" s="18"/>
      <c r="F692" s="18"/>
      <c r="G692" s="18"/>
      <c r="H692" s="18"/>
    </row>
    <row r="693" spans="4:8" s="11" customFormat="1">
      <c r="D693" s="18"/>
      <c r="E693" s="18"/>
      <c r="F693" s="18"/>
      <c r="G693" s="18"/>
      <c r="H693" s="18"/>
    </row>
    <row r="694" spans="4:8" s="11" customFormat="1">
      <c r="D694" s="18"/>
      <c r="E694" s="18"/>
      <c r="F694" s="18"/>
      <c r="G694" s="18"/>
      <c r="H694" s="18"/>
    </row>
    <row r="695" spans="4:8" s="11" customFormat="1">
      <c r="D695" s="18"/>
      <c r="E695" s="18"/>
      <c r="F695" s="18"/>
      <c r="G695" s="18"/>
      <c r="H695" s="18"/>
    </row>
    <row r="696" spans="4:8" s="11" customFormat="1">
      <c r="D696" s="18"/>
      <c r="E696" s="18"/>
      <c r="F696" s="18"/>
      <c r="G696" s="18"/>
      <c r="H696" s="18"/>
    </row>
    <row r="697" spans="4:8" s="11" customFormat="1">
      <c r="D697" s="18"/>
      <c r="E697" s="18"/>
      <c r="F697" s="18"/>
      <c r="G697" s="18"/>
      <c r="H697" s="18"/>
    </row>
    <row r="698" spans="4:8" s="11" customFormat="1">
      <c r="D698" s="18"/>
      <c r="E698" s="18"/>
      <c r="F698" s="18"/>
      <c r="G698" s="18"/>
      <c r="H698" s="18"/>
    </row>
    <row r="699" spans="4:8" s="11" customFormat="1">
      <c r="D699" s="18"/>
      <c r="E699" s="18"/>
      <c r="F699" s="18"/>
      <c r="G699" s="18"/>
      <c r="H699" s="18"/>
    </row>
    <row r="700" spans="4:8" s="11" customFormat="1">
      <c r="D700" s="18"/>
      <c r="E700" s="18"/>
      <c r="F700" s="18"/>
      <c r="G700" s="18"/>
      <c r="H700" s="18"/>
    </row>
    <row r="701" spans="4:8" s="11" customFormat="1">
      <c r="D701" s="18"/>
      <c r="E701" s="18"/>
      <c r="F701" s="18"/>
      <c r="G701" s="18"/>
      <c r="H701" s="18"/>
    </row>
    <row r="702" spans="4:8" s="11" customFormat="1">
      <c r="D702" s="18"/>
      <c r="E702" s="18"/>
      <c r="F702" s="18"/>
      <c r="G702" s="18"/>
      <c r="H702" s="18"/>
    </row>
    <row r="703" spans="4:8" s="11" customFormat="1">
      <c r="D703" s="18"/>
      <c r="E703" s="18"/>
      <c r="F703" s="18"/>
      <c r="G703" s="18"/>
      <c r="H703" s="18"/>
    </row>
    <row r="704" spans="4:8" s="11" customFormat="1">
      <c r="D704" s="18"/>
      <c r="E704" s="18"/>
      <c r="F704" s="18"/>
      <c r="G704" s="18"/>
      <c r="H704" s="18"/>
    </row>
    <row r="705" spans="4:8" s="11" customFormat="1">
      <c r="D705" s="18"/>
      <c r="E705" s="18"/>
      <c r="F705" s="18"/>
      <c r="G705" s="18"/>
      <c r="H705" s="18"/>
    </row>
    <row r="706" spans="4:8" s="11" customFormat="1">
      <c r="D706" s="18"/>
      <c r="E706" s="18"/>
      <c r="F706" s="18"/>
      <c r="G706" s="18"/>
      <c r="H706" s="18"/>
    </row>
    <row r="707" spans="4:8" s="11" customFormat="1">
      <c r="D707" s="18"/>
      <c r="E707" s="18"/>
      <c r="F707" s="18"/>
      <c r="G707" s="18"/>
      <c r="H707" s="18"/>
    </row>
    <row r="708" spans="4:8" s="11" customFormat="1">
      <c r="D708" s="18"/>
      <c r="E708" s="18"/>
      <c r="F708" s="18"/>
      <c r="G708" s="18"/>
      <c r="H708" s="18"/>
    </row>
    <row r="709" spans="4:8" s="11" customFormat="1">
      <c r="D709" s="18"/>
      <c r="E709" s="18"/>
      <c r="F709" s="18"/>
      <c r="G709" s="18"/>
      <c r="H709" s="18"/>
    </row>
    <row r="710" spans="4:8" s="11" customFormat="1">
      <c r="D710" s="18"/>
      <c r="E710" s="18"/>
      <c r="F710" s="18"/>
      <c r="G710" s="18"/>
      <c r="H710" s="18"/>
    </row>
    <row r="711" spans="4:8" s="11" customFormat="1">
      <c r="D711" s="18"/>
      <c r="E711" s="18"/>
      <c r="F711" s="18"/>
      <c r="G711" s="18"/>
      <c r="H711" s="18"/>
    </row>
    <row r="712" spans="4:8" s="11" customFormat="1">
      <c r="D712" s="18"/>
      <c r="E712" s="18"/>
      <c r="F712" s="18"/>
      <c r="G712" s="18"/>
      <c r="H712" s="18"/>
    </row>
    <row r="713" spans="4:8" s="11" customFormat="1">
      <c r="D713" s="18"/>
      <c r="E713" s="18"/>
      <c r="F713" s="18"/>
      <c r="G713" s="18"/>
      <c r="H713" s="18"/>
    </row>
    <row r="714" spans="4:8" s="11" customFormat="1">
      <c r="D714" s="18"/>
      <c r="E714" s="18"/>
      <c r="F714" s="18"/>
      <c r="G714" s="18"/>
      <c r="H714" s="18"/>
    </row>
    <row r="715" spans="4:8" s="11" customFormat="1">
      <c r="D715" s="18"/>
      <c r="E715" s="18"/>
      <c r="F715" s="18"/>
      <c r="G715" s="18"/>
      <c r="H715" s="18"/>
    </row>
    <row r="716" spans="4:8" s="11" customFormat="1">
      <c r="D716" s="18"/>
      <c r="E716" s="18"/>
      <c r="F716" s="18"/>
      <c r="G716" s="18"/>
      <c r="H716" s="18"/>
    </row>
    <row r="717" spans="4:8" s="11" customFormat="1">
      <c r="D717" s="18"/>
      <c r="E717" s="18"/>
      <c r="F717" s="18"/>
      <c r="G717" s="18"/>
      <c r="H717" s="18"/>
    </row>
    <row r="718" spans="4:8" s="11" customFormat="1">
      <c r="D718" s="18"/>
      <c r="E718" s="18"/>
      <c r="F718" s="18"/>
      <c r="G718" s="18"/>
      <c r="H718" s="18"/>
    </row>
    <row r="719" spans="4:8" s="11" customFormat="1">
      <c r="D719" s="18"/>
      <c r="E719" s="18"/>
      <c r="F719" s="18"/>
      <c r="G719" s="18"/>
      <c r="H719" s="18"/>
    </row>
    <row r="720" spans="4:8" s="11" customFormat="1">
      <c r="D720" s="18"/>
      <c r="E720" s="18"/>
      <c r="F720" s="18"/>
      <c r="G720" s="18"/>
      <c r="H720" s="18"/>
    </row>
    <row r="721" spans="4:8" s="11" customFormat="1">
      <c r="D721" s="18"/>
      <c r="E721" s="18"/>
      <c r="F721" s="18"/>
      <c r="G721" s="18"/>
      <c r="H721" s="18"/>
    </row>
    <row r="722" spans="4:8" s="11" customFormat="1">
      <c r="D722" s="18"/>
      <c r="E722" s="18"/>
      <c r="F722" s="18"/>
      <c r="G722" s="18"/>
      <c r="H722" s="18"/>
    </row>
    <row r="723" spans="4:8" s="11" customFormat="1">
      <c r="D723" s="18"/>
      <c r="E723" s="18"/>
      <c r="F723" s="18"/>
      <c r="G723" s="18"/>
      <c r="H723" s="18"/>
    </row>
    <row r="724" spans="4:8" s="11" customFormat="1">
      <c r="D724" s="18"/>
      <c r="E724" s="18"/>
      <c r="F724" s="18"/>
      <c r="G724" s="18"/>
      <c r="H724" s="18"/>
    </row>
    <row r="725" spans="4:8" s="11" customFormat="1">
      <c r="D725" s="18"/>
      <c r="E725" s="18"/>
      <c r="F725" s="18"/>
      <c r="G725" s="18"/>
      <c r="H725" s="18"/>
    </row>
    <row r="726" spans="4:8" s="11" customFormat="1">
      <c r="D726" s="18"/>
      <c r="E726" s="18"/>
      <c r="F726" s="18"/>
      <c r="G726" s="18"/>
      <c r="H726" s="18"/>
    </row>
    <row r="727" spans="4:8" s="11" customFormat="1">
      <c r="D727" s="18"/>
      <c r="E727" s="18"/>
      <c r="F727" s="18"/>
      <c r="G727" s="18"/>
      <c r="H727" s="18"/>
    </row>
    <row r="728" spans="4:8" s="11" customFormat="1">
      <c r="D728" s="18"/>
      <c r="E728" s="18"/>
      <c r="F728" s="18"/>
      <c r="G728" s="18"/>
      <c r="H728" s="18"/>
    </row>
    <row r="729" spans="4:8" s="11" customFormat="1">
      <c r="D729" s="18"/>
      <c r="E729" s="18"/>
      <c r="F729" s="18"/>
      <c r="G729" s="18"/>
      <c r="H729" s="18"/>
    </row>
    <row r="730" spans="4:8" s="11" customFormat="1">
      <c r="D730" s="18"/>
      <c r="E730" s="18"/>
      <c r="F730" s="18"/>
      <c r="G730" s="18"/>
      <c r="H730" s="18"/>
    </row>
    <row r="731" spans="4:8" s="11" customFormat="1">
      <c r="D731" s="18"/>
      <c r="E731" s="18"/>
      <c r="F731" s="18"/>
      <c r="G731" s="18"/>
      <c r="H731" s="18"/>
    </row>
    <row r="732" spans="4:8" s="11" customFormat="1">
      <c r="D732" s="18"/>
      <c r="E732" s="18"/>
      <c r="F732" s="18"/>
      <c r="G732" s="18"/>
      <c r="H732" s="18"/>
    </row>
    <row r="733" spans="4:8" s="11" customFormat="1">
      <c r="D733" s="18"/>
      <c r="E733" s="18"/>
      <c r="F733" s="18"/>
      <c r="G733" s="18"/>
      <c r="H733" s="18"/>
    </row>
    <row r="734" spans="4:8" s="11" customFormat="1">
      <c r="D734" s="18"/>
      <c r="E734" s="18"/>
      <c r="F734" s="18"/>
      <c r="G734" s="18"/>
      <c r="H734" s="18"/>
    </row>
    <row r="735" spans="4:8" s="11" customFormat="1">
      <c r="D735" s="18"/>
      <c r="E735" s="18"/>
      <c r="F735" s="18"/>
      <c r="G735" s="18"/>
      <c r="H735" s="18"/>
    </row>
    <row r="736" spans="4:8" s="11" customFormat="1">
      <c r="D736" s="18"/>
      <c r="E736" s="18"/>
      <c r="F736" s="18"/>
      <c r="G736" s="18"/>
      <c r="H736" s="18"/>
    </row>
    <row r="737" spans="4:8" s="11" customFormat="1">
      <c r="D737" s="18"/>
      <c r="E737" s="18"/>
      <c r="F737" s="18"/>
      <c r="G737" s="18"/>
      <c r="H737" s="18"/>
    </row>
    <row r="738" spans="4:8" s="11" customFormat="1">
      <c r="D738" s="18"/>
      <c r="E738" s="18"/>
      <c r="F738" s="18"/>
      <c r="G738" s="18"/>
      <c r="H738" s="18"/>
    </row>
    <row r="739" spans="4:8" s="11" customFormat="1">
      <c r="D739" s="18"/>
      <c r="E739" s="18"/>
      <c r="F739" s="18"/>
      <c r="G739" s="18"/>
      <c r="H739" s="18"/>
    </row>
    <row r="740" spans="4:8" s="11" customFormat="1">
      <c r="D740" s="18"/>
      <c r="E740" s="18"/>
      <c r="F740" s="18"/>
      <c r="G740" s="18"/>
      <c r="H740" s="18"/>
    </row>
    <row r="741" spans="4:8" s="11" customFormat="1">
      <c r="D741" s="18"/>
      <c r="E741" s="18"/>
      <c r="F741" s="18"/>
      <c r="G741" s="18"/>
      <c r="H741" s="18"/>
    </row>
    <row r="742" spans="4:8" s="11" customFormat="1">
      <c r="D742" s="18"/>
      <c r="E742" s="18"/>
      <c r="F742" s="18"/>
      <c r="G742" s="18"/>
      <c r="H742" s="18"/>
    </row>
    <row r="743" spans="4:8" s="11" customFormat="1">
      <c r="D743" s="18"/>
      <c r="E743" s="18"/>
      <c r="F743" s="18"/>
      <c r="G743" s="18"/>
      <c r="H743" s="18"/>
    </row>
    <row r="744" spans="4:8" s="11" customFormat="1">
      <c r="D744" s="18"/>
      <c r="E744" s="18"/>
      <c r="F744" s="18"/>
      <c r="G744" s="18"/>
      <c r="H744" s="18"/>
    </row>
    <row r="745" spans="4:8" s="11" customFormat="1">
      <c r="D745" s="18"/>
      <c r="E745" s="18"/>
      <c r="F745" s="18"/>
      <c r="G745" s="18"/>
      <c r="H745" s="18"/>
    </row>
    <row r="746" spans="4:8" s="11" customFormat="1">
      <c r="D746" s="18"/>
      <c r="E746" s="18"/>
      <c r="F746" s="18"/>
      <c r="G746" s="18"/>
      <c r="H746" s="18"/>
    </row>
    <row r="747" spans="4:8" s="11" customFormat="1">
      <c r="D747" s="18"/>
      <c r="E747" s="18"/>
      <c r="F747" s="18"/>
      <c r="G747" s="18"/>
      <c r="H747" s="18"/>
    </row>
    <row r="748" spans="4:8" s="11" customFormat="1">
      <c r="D748" s="18"/>
      <c r="E748" s="18"/>
      <c r="F748" s="18"/>
      <c r="G748" s="18"/>
      <c r="H748" s="18"/>
    </row>
    <row r="749" spans="4:8" s="11" customFormat="1">
      <c r="D749" s="18"/>
      <c r="E749" s="18"/>
      <c r="F749" s="18"/>
      <c r="G749" s="18"/>
      <c r="H749" s="18"/>
    </row>
    <row r="750" spans="4:8" s="11" customFormat="1">
      <c r="D750" s="18"/>
      <c r="E750" s="18"/>
      <c r="F750" s="18"/>
      <c r="G750" s="18"/>
      <c r="H750" s="18"/>
    </row>
    <row r="751" spans="4:8" s="11" customFormat="1">
      <c r="D751" s="18"/>
      <c r="E751" s="18"/>
      <c r="F751" s="18"/>
      <c r="G751" s="18"/>
      <c r="H751" s="18"/>
    </row>
    <row r="752" spans="4:8" s="11" customFormat="1">
      <c r="D752" s="18"/>
      <c r="E752" s="18"/>
      <c r="F752" s="18"/>
      <c r="G752" s="18"/>
      <c r="H752" s="18"/>
    </row>
    <row r="753" spans="4:8" s="11" customFormat="1">
      <c r="D753" s="18"/>
      <c r="E753" s="18"/>
      <c r="F753" s="18"/>
      <c r="G753" s="18"/>
      <c r="H753" s="18"/>
    </row>
    <row r="754" spans="4:8" s="11" customFormat="1">
      <c r="D754" s="18"/>
      <c r="E754" s="18"/>
      <c r="F754" s="18"/>
      <c r="G754" s="18"/>
      <c r="H754" s="18"/>
    </row>
    <row r="755" spans="4:8" s="11" customFormat="1">
      <c r="D755" s="18"/>
      <c r="E755" s="18"/>
      <c r="F755" s="18"/>
      <c r="G755" s="18"/>
      <c r="H755" s="18"/>
    </row>
    <row r="756" spans="4:8" s="11" customFormat="1">
      <c r="D756" s="18"/>
      <c r="E756" s="18"/>
      <c r="F756" s="18"/>
      <c r="G756" s="18"/>
      <c r="H756" s="18"/>
    </row>
    <row r="757" spans="4:8" s="11" customFormat="1">
      <c r="D757" s="18"/>
      <c r="E757" s="18"/>
      <c r="F757" s="18"/>
      <c r="G757" s="18"/>
      <c r="H757" s="18"/>
    </row>
    <row r="758" spans="4:8" s="11" customFormat="1">
      <c r="D758" s="18"/>
      <c r="E758" s="18"/>
      <c r="F758" s="18"/>
      <c r="G758" s="18"/>
      <c r="H758" s="18"/>
    </row>
    <row r="759" spans="4:8" s="11" customFormat="1">
      <c r="D759" s="18"/>
      <c r="E759" s="18"/>
      <c r="F759" s="18"/>
      <c r="G759" s="18"/>
      <c r="H759" s="18"/>
    </row>
    <row r="760" spans="4:8" s="11" customFormat="1">
      <c r="D760" s="18"/>
      <c r="E760" s="18"/>
      <c r="F760" s="18"/>
      <c r="G760" s="18"/>
      <c r="H760" s="18"/>
    </row>
    <row r="761" spans="4:8" s="11" customFormat="1">
      <c r="D761" s="18"/>
      <c r="E761" s="18"/>
      <c r="F761" s="18"/>
      <c r="G761" s="18"/>
      <c r="H761" s="18"/>
    </row>
    <row r="762" spans="4:8" s="11" customFormat="1">
      <c r="D762" s="18"/>
      <c r="E762" s="18"/>
      <c r="F762" s="18"/>
      <c r="G762" s="18"/>
      <c r="H762" s="18"/>
    </row>
    <row r="763" spans="4:8" s="11" customFormat="1">
      <c r="D763" s="18"/>
      <c r="E763" s="18"/>
      <c r="F763" s="18"/>
      <c r="G763" s="18"/>
      <c r="H763" s="18"/>
    </row>
    <row r="764" spans="4:8" s="11" customFormat="1">
      <c r="D764" s="18"/>
      <c r="E764" s="18"/>
      <c r="F764" s="18"/>
      <c r="G764" s="18"/>
      <c r="H764" s="18"/>
    </row>
    <row r="765" spans="4:8" s="11" customFormat="1">
      <c r="D765" s="18"/>
      <c r="E765" s="18"/>
      <c r="F765" s="18"/>
      <c r="G765" s="18"/>
      <c r="H765" s="18"/>
    </row>
    <row r="766" spans="4:8" s="11" customFormat="1">
      <c r="D766" s="18"/>
      <c r="E766" s="18"/>
      <c r="F766" s="18"/>
      <c r="G766" s="18"/>
      <c r="H766" s="18"/>
    </row>
    <row r="767" spans="4:8" s="11" customFormat="1">
      <c r="D767" s="18"/>
      <c r="E767" s="18"/>
      <c r="F767" s="18"/>
      <c r="G767" s="18"/>
      <c r="H767" s="18"/>
    </row>
    <row r="768" spans="4:8" s="11" customFormat="1">
      <c r="D768" s="18"/>
      <c r="E768" s="18"/>
      <c r="F768" s="18"/>
      <c r="G768" s="18"/>
      <c r="H768" s="18"/>
    </row>
    <row r="769" spans="4:8" s="11" customFormat="1">
      <c r="D769" s="18"/>
      <c r="E769" s="18"/>
      <c r="F769" s="18"/>
      <c r="G769" s="18"/>
      <c r="H769" s="18"/>
    </row>
    <row r="770" spans="4:8" s="11" customFormat="1">
      <c r="D770" s="18"/>
      <c r="E770" s="18"/>
      <c r="F770" s="18"/>
      <c r="G770" s="18"/>
      <c r="H770" s="18"/>
    </row>
    <row r="771" spans="4:8" s="11" customFormat="1">
      <c r="D771" s="18"/>
      <c r="E771" s="18"/>
      <c r="F771" s="18"/>
      <c r="G771" s="18"/>
      <c r="H771" s="18"/>
    </row>
    <row r="772" spans="4:8" s="11" customFormat="1">
      <c r="D772" s="18"/>
      <c r="E772" s="18"/>
      <c r="F772" s="18"/>
      <c r="G772" s="18"/>
      <c r="H772" s="18"/>
    </row>
    <row r="773" spans="4:8" s="11" customFormat="1">
      <c r="D773" s="18"/>
      <c r="E773" s="18"/>
      <c r="F773" s="18"/>
      <c r="G773" s="18"/>
      <c r="H773" s="18"/>
    </row>
    <row r="774" spans="4:8" s="11" customFormat="1">
      <c r="D774" s="18"/>
      <c r="E774" s="18"/>
      <c r="F774" s="18"/>
      <c r="G774" s="18"/>
      <c r="H774" s="18"/>
    </row>
    <row r="775" spans="4:8" s="11" customFormat="1">
      <c r="D775" s="18"/>
      <c r="E775" s="18"/>
      <c r="F775" s="18"/>
      <c r="G775" s="18"/>
      <c r="H775" s="18"/>
    </row>
    <row r="776" spans="4:8" s="11" customFormat="1">
      <c r="D776" s="18"/>
      <c r="E776" s="18"/>
      <c r="F776" s="18"/>
      <c r="G776" s="18"/>
      <c r="H776" s="18"/>
    </row>
    <row r="777" spans="4:8" s="11" customFormat="1">
      <c r="D777" s="18"/>
      <c r="E777" s="18"/>
      <c r="F777" s="18"/>
      <c r="G777" s="18"/>
      <c r="H777" s="18"/>
    </row>
    <row r="778" spans="4:8" s="11" customFormat="1">
      <c r="D778" s="18"/>
      <c r="E778" s="18"/>
      <c r="F778" s="18"/>
      <c r="G778" s="18"/>
      <c r="H778" s="18"/>
    </row>
    <row r="779" spans="4:8" s="11" customFormat="1">
      <c r="D779" s="18"/>
      <c r="E779" s="18"/>
      <c r="F779" s="18"/>
      <c r="G779" s="18"/>
      <c r="H779" s="18"/>
    </row>
    <row r="780" spans="4:8" s="11" customFormat="1">
      <c r="D780" s="18"/>
      <c r="E780" s="18"/>
      <c r="F780" s="18"/>
      <c r="G780" s="18"/>
      <c r="H780" s="18"/>
    </row>
    <row r="781" spans="4:8" s="11" customFormat="1">
      <c r="D781" s="18"/>
      <c r="E781" s="18"/>
      <c r="F781" s="18"/>
      <c r="G781" s="18"/>
      <c r="H781" s="18"/>
    </row>
    <row r="782" spans="4:8" s="11" customFormat="1">
      <c r="D782" s="18"/>
      <c r="E782" s="18"/>
      <c r="F782" s="18"/>
      <c r="G782" s="18"/>
      <c r="H782" s="18"/>
    </row>
    <row r="783" spans="4:8" s="11" customFormat="1">
      <c r="D783" s="18"/>
      <c r="E783" s="18"/>
      <c r="F783" s="18"/>
      <c r="G783" s="18"/>
      <c r="H783" s="18"/>
    </row>
    <row r="784" spans="4:8" s="11" customFormat="1">
      <c r="D784" s="18"/>
      <c r="E784" s="18"/>
      <c r="F784" s="18"/>
      <c r="G784" s="18"/>
      <c r="H784" s="18"/>
    </row>
    <row r="785" spans="4:8" s="11" customFormat="1">
      <c r="D785" s="18"/>
      <c r="E785" s="18"/>
      <c r="F785" s="18"/>
      <c r="G785" s="18"/>
      <c r="H785" s="18"/>
    </row>
    <row r="786" spans="4:8" s="11" customFormat="1">
      <c r="D786" s="18"/>
      <c r="E786" s="18"/>
      <c r="F786" s="18"/>
      <c r="G786" s="18"/>
      <c r="H786" s="18"/>
    </row>
    <row r="787" spans="4:8" s="11" customFormat="1">
      <c r="D787" s="18"/>
      <c r="E787" s="18"/>
      <c r="F787" s="18"/>
      <c r="G787" s="18"/>
      <c r="H787" s="18"/>
    </row>
    <row r="788" spans="4:8" s="11" customFormat="1">
      <c r="D788" s="18"/>
      <c r="E788" s="18"/>
      <c r="F788" s="18"/>
      <c r="G788" s="18"/>
      <c r="H788" s="18"/>
    </row>
    <row r="789" spans="4:8" s="11" customFormat="1">
      <c r="D789" s="18"/>
      <c r="E789" s="18"/>
      <c r="F789" s="18"/>
      <c r="G789" s="18"/>
      <c r="H789" s="18"/>
    </row>
    <row r="790" spans="4:8" s="11" customFormat="1">
      <c r="D790" s="18"/>
      <c r="E790" s="18"/>
      <c r="F790" s="18"/>
      <c r="G790" s="18"/>
      <c r="H790" s="18"/>
    </row>
    <row r="791" spans="4:8" s="11" customFormat="1">
      <c r="D791" s="18"/>
      <c r="E791" s="18"/>
      <c r="F791" s="18"/>
      <c r="G791" s="18"/>
      <c r="H791" s="18"/>
    </row>
    <row r="792" spans="4:8" s="11" customFormat="1">
      <c r="D792" s="18"/>
      <c r="E792" s="18"/>
      <c r="F792" s="18"/>
      <c r="G792" s="18"/>
      <c r="H792" s="18"/>
    </row>
    <row r="793" spans="4:8" s="11" customFormat="1">
      <c r="D793" s="18"/>
      <c r="E793" s="18"/>
      <c r="F793" s="18"/>
      <c r="G793" s="18"/>
      <c r="H793" s="18"/>
    </row>
    <row r="794" spans="4:8" s="11" customFormat="1">
      <c r="D794" s="18"/>
      <c r="E794" s="18"/>
      <c r="F794" s="18"/>
      <c r="G794" s="18"/>
      <c r="H794" s="18"/>
    </row>
    <row r="795" spans="4:8" s="11" customFormat="1">
      <c r="D795" s="18"/>
      <c r="E795" s="18"/>
      <c r="F795" s="18"/>
      <c r="G795" s="18"/>
      <c r="H795" s="18"/>
    </row>
    <row r="796" spans="4:8" s="11" customFormat="1">
      <c r="D796" s="18"/>
      <c r="E796" s="18"/>
      <c r="F796" s="18"/>
      <c r="G796" s="18"/>
      <c r="H796" s="18"/>
    </row>
    <row r="797" spans="4:8" s="11" customFormat="1">
      <c r="D797" s="18"/>
      <c r="E797" s="18"/>
      <c r="F797" s="18"/>
      <c r="G797" s="18"/>
      <c r="H797" s="18"/>
    </row>
    <row r="798" spans="4:8" s="11" customFormat="1">
      <c r="D798" s="18"/>
      <c r="E798" s="18"/>
      <c r="F798" s="18"/>
      <c r="G798" s="18"/>
      <c r="H798" s="18"/>
    </row>
    <row r="799" spans="4:8" s="11" customFormat="1">
      <c r="D799" s="18"/>
      <c r="E799" s="18"/>
      <c r="F799" s="18"/>
      <c r="G799" s="18"/>
      <c r="H799" s="18"/>
    </row>
    <row r="800" spans="4:8" s="11" customFormat="1">
      <c r="D800" s="18"/>
      <c r="E800" s="18"/>
      <c r="F800" s="18"/>
      <c r="G800" s="18"/>
      <c r="H800" s="18"/>
    </row>
    <row r="801" spans="4:8" s="11" customFormat="1">
      <c r="D801" s="18"/>
      <c r="E801" s="18"/>
      <c r="F801" s="18"/>
      <c r="G801" s="18"/>
      <c r="H801" s="18"/>
    </row>
    <row r="802" spans="4:8" s="11" customFormat="1">
      <c r="D802" s="18"/>
      <c r="E802" s="18"/>
      <c r="F802" s="18"/>
      <c r="G802" s="18"/>
      <c r="H802" s="18"/>
    </row>
    <row r="803" spans="4:8" s="11" customFormat="1">
      <c r="D803" s="18"/>
      <c r="E803" s="18"/>
      <c r="F803" s="18"/>
      <c r="G803" s="18"/>
      <c r="H803" s="18"/>
    </row>
    <row r="804" spans="4:8" s="11" customFormat="1">
      <c r="D804" s="18"/>
      <c r="E804" s="18"/>
      <c r="F804" s="18"/>
      <c r="G804" s="18"/>
      <c r="H804" s="18"/>
    </row>
    <row r="805" spans="4:8" s="11" customFormat="1">
      <c r="D805" s="18"/>
      <c r="E805" s="18"/>
      <c r="F805" s="18"/>
      <c r="G805" s="18"/>
      <c r="H805" s="18"/>
    </row>
    <row r="806" spans="4:8" s="11" customFormat="1">
      <c r="D806" s="18"/>
      <c r="E806" s="18"/>
      <c r="F806" s="18"/>
      <c r="G806" s="18"/>
      <c r="H806" s="18"/>
    </row>
    <row r="807" spans="4:8" s="11" customFormat="1">
      <c r="D807" s="18"/>
      <c r="E807" s="18"/>
      <c r="F807" s="18"/>
      <c r="G807" s="18"/>
      <c r="H807" s="18"/>
    </row>
    <row r="808" spans="4:8" s="11" customFormat="1">
      <c r="D808" s="18"/>
      <c r="E808" s="18"/>
      <c r="F808" s="18"/>
      <c r="G808" s="18"/>
      <c r="H808" s="18"/>
    </row>
    <row r="809" spans="4:8" s="11" customFormat="1">
      <c r="D809" s="18"/>
      <c r="E809" s="18"/>
      <c r="F809" s="18"/>
      <c r="G809" s="18"/>
      <c r="H809" s="18"/>
    </row>
    <row r="810" spans="4:8" s="11" customFormat="1">
      <c r="D810" s="18"/>
      <c r="E810" s="18"/>
      <c r="F810" s="18"/>
      <c r="G810" s="18"/>
      <c r="H810" s="18"/>
    </row>
    <row r="811" spans="4:8" s="11" customFormat="1">
      <c r="D811" s="18"/>
      <c r="E811" s="18"/>
      <c r="F811" s="18"/>
      <c r="G811" s="18"/>
      <c r="H811" s="18"/>
    </row>
    <row r="812" spans="4:8" s="11" customFormat="1">
      <c r="D812" s="18"/>
      <c r="E812" s="18"/>
      <c r="F812" s="18"/>
      <c r="G812" s="18"/>
      <c r="H812" s="18"/>
    </row>
    <row r="813" spans="4:8" s="11" customFormat="1">
      <c r="D813" s="18"/>
      <c r="E813" s="18"/>
      <c r="F813" s="18"/>
      <c r="G813" s="18"/>
      <c r="H813" s="18"/>
    </row>
    <row r="814" spans="4:8" s="11" customFormat="1">
      <c r="D814" s="18"/>
      <c r="E814" s="18"/>
      <c r="F814" s="18"/>
      <c r="G814" s="18"/>
      <c r="H814" s="18"/>
    </row>
    <row r="815" spans="4:8" s="11" customFormat="1">
      <c r="D815" s="18"/>
      <c r="E815" s="18"/>
      <c r="F815" s="18"/>
      <c r="G815" s="18"/>
      <c r="H815" s="18"/>
    </row>
    <row r="816" spans="4:8" s="11" customFormat="1">
      <c r="D816" s="18"/>
      <c r="E816" s="18"/>
      <c r="F816" s="18"/>
      <c r="G816" s="18"/>
      <c r="H816" s="18"/>
    </row>
    <row r="817" spans="4:8" s="11" customFormat="1">
      <c r="D817" s="18"/>
      <c r="E817" s="18"/>
      <c r="F817" s="18"/>
      <c r="G817" s="18"/>
      <c r="H817" s="18"/>
    </row>
    <row r="818" spans="4:8" s="11" customFormat="1">
      <c r="D818" s="18"/>
      <c r="E818" s="18"/>
      <c r="F818" s="18"/>
      <c r="G818" s="18"/>
      <c r="H818" s="18"/>
    </row>
    <row r="819" spans="4:8" s="11" customFormat="1">
      <c r="D819" s="18"/>
      <c r="E819" s="18"/>
      <c r="F819" s="18"/>
      <c r="G819" s="18"/>
      <c r="H819" s="18"/>
    </row>
    <row r="820" spans="4:8" s="11" customFormat="1">
      <c r="D820" s="18"/>
      <c r="E820" s="18"/>
      <c r="F820" s="18"/>
      <c r="G820" s="18"/>
      <c r="H820" s="18"/>
    </row>
    <row r="821" spans="4:8" s="11" customFormat="1">
      <c r="D821" s="18"/>
      <c r="E821" s="18"/>
      <c r="F821" s="18"/>
      <c r="G821" s="18"/>
      <c r="H821" s="18"/>
    </row>
    <row r="822" spans="4:8" s="11" customFormat="1">
      <c r="D822" s="18"/>
      <c r="E822" s="18"/>
      <c r="F822" s="18"/>
      <c r="G822" s="18"/>
      <c r="H822" s="18"/>
    </row>
    <row r="823" spans="4:8" s="11" customFormat="1">
      <c r="D823" s="18"/>
      <c r="E823" s="18"/>
      <c r="F823" s="18"/>
      <c r="G823" s="18"/>
      <c r="H823" s="18"/>
    </row>
    <row r="824" spans="4:8" s="11" customFormat="1">
      <c r="D824" s="18"/>
      <c r="E824" s="18"/>
      <c r="F824" s="18"/>
      <c r="G824" s="18"/>
      <c r="H824" s="18"/>
    </row>
    <row r="825" spans="4:8" s="11" customFormat="1">
      <c r="D825" s="18"/>
      <c r="E825" s="18"/>
      <c r="F825" s="18"/>
      <c r="G825" s="18"/>
      <c r="H825" s="18"/>
    </row>
    <row r="826" spans="4:8" s="11" customFormat="1">
      <c r="D826" s="18"/>
      <c r="E826" s="18"/>
      <c r="F826" s="18"/>
      <c r="G826" s="18"/>
      <c r="H826" s="18"/>
    </row>
    <row r="827" spans="4:8" s="11" customFormat="1">
      <c r="D827" s="18"/>
      <c r="E827" s="18"/>
      <c r="F827" s="18"/>
      <c r="G827" s="18"/>
      <c r="H827" s="18"/>
    </row>
    <row r="828" spans="4:8" s="11" customFormat="1">
      <c r="D828" s="18"/>
      <c r="E828" s="18"/>
      <c r="F828" s="18"/>
      <c r="G828" s="18"/>
      <c r="H828" s="18"/>
    </row>
    <row r="829" spans="4:8" s="11" customFormat="1">
      <c r="D829" s="18"/>
      <c r="E829" s="18"/>
      <c r="F829" s="18"/>
      <c r="G829" s="18"/>
      <c r="H829" s="18"/>
    </row>
    <row r="830" spans="4:8" s="11" customFormat="1">
      <c r="D830" s="18"/>
      <c r="E830" s="18"/>
      <c r="F830" s="18"/>
      <c r="G830" s="18"/>
      <c r="H830" s="18"/>
    </row>
    <row r="831" spans="4:8" s="11" customFormat="1">
      <c r="D831" s="18"/>
      <c r="E831" s="18"/>
      <c r="F831" s="18"/>
      <c r="G831" s="18"/>
      <c r="H831" s="18"/>
    </row>
    <row r="832" spans="4:8" s="11" customFormat="1">
      <c r="D832" s="18"/>
      <c r="E832" s="18"/>
      <c r="F832" s="18"/>
      <c r="G832" s="18"/>
      <c r="H832" s="18"/>
    </row>
    <row r="833" spans="4:8" s="11" customFormat="1">
      <c r="D833" s="18"/>
      <c r="E833" s="18"/>
      <c r="F833" s="18"/>
      <c r="G833" s="18"/>
      <c r="H833" s="18"/>
    </row>
    <row r="834" spans="4:8" s="11" customFormat="1">
      <c r="D834" s="18"/>
      <c r="E834" s="18"/>
      <c r="F834" s="18"/>
      <c r="G834" s="18"/>
      <c r="H834" s="18"/>
    </row>
    <row r="835" spans="4:8" s="11" customFormat="1">
      <c r="D835" s="18"/>
      <c r="E835" s="18"/>
      <c r="F835" s="18"/>
      <c r="G835" s="18"/>
      <c r="H835" s="18"/>
    </row>
    <row r="836" spans="4:8" s="11" customFormat="1">
      <c r="D836" s="18"/>
      <c r="E836" s="18"/>
      <c r="F836" s="18"/>
      <c r="G836" s="18"/>
      <c r="H836" s="18"/>
    </row>
    <row r="837" spans="4:8" s="11" customFormat="1">
      <c r="D837" s="18"/>
      <c r="E837" s="18"/>
      <c r="F837" s="18"/>
      <c r="G837" s="18"/>
      <c r="H837" s="18"/>
    </row>
    <row r="838" spans="4:8" s="11" customFormat="1">
      <c r="D838" s="18"/>
      <c r="E838" s="18"/>
      <c r="F838" s="18"/>
      <c r="G838" s="18"/>
      <c r="H838" s="18"/>
    </row>
    <row r="839" spans="4:8" s="11" customFormat="1">
      <c r="D839" s="18"/>
      <c r="E839" s="18"/>
      <c r="F839" s="18"/>
      <c r="G839" s="18"/>
      <c r="H839" s="18"/>
    </row>
    <row r="840" spans="4:8" s="11" customFormat="1">
      <c r="D840" s="18"/>
      <c r="E840" s="18"/>
      <c r="F840" s="18"/>
      <c r="G840" s="18"/>
      <c r="H840" s="18"/>
    </row>
    <row r="841" spans="4:8" s="11" customFormat="1">
      <c r="D841" s="18"/>
      <c r="E841" s="18"/>
      <c r="F841" s="18"/>
      <c r="G841" s="18"/>
      <c r="H841" s="18"/>
    </row>
    <row r="842" spans="4:8" s="11" customFormat="1">
      <c r="D842" s="18"/>
      <c r="E842" s="18"/>
      <c r="F842" s="18"/>
      <c r="G842" s="18"/>
      <c r="H842" s="18"/>
    </row>
    <row r="843" spans="4:8" s="11" customFormat="1">
      <c r="D843" s="18"/>
      <c r="E843" s="18"/>
      <c r="F843" s="18"/>
      <c r="G843" s="18"/>
      <c r="H843" s="18"/>
    </row>
    <row r="844" spans="4:8" s="11" customFormat="1">
      <c r="D844" s="18"/>
      <c r="E844" s="18"/>
      <c r="F844" s="18"/>
      <c r="G844" s="18"/>
      <c r="H844" s="18"/>
    </row>
    <row r="845" spans="4:8" s="11" customFormat="1">
      <c r="D845" s="18"/>
      <c r="E845" s="18"/>
      <c r="F845" s="18"/>
      <c r="G845" s="18"/>
      <c r="H845" s="18"/>
    </row>
    <row r="846" spans="4:8" s="11" customFormat="1">
      <c r="D846" s="18"/>
      <c r="E846" s="18"/>
      <c r="F846" s="18"/>
      <c r="G846" s="18"/>
      <c r="H846" s="18"/>
    </row>
    <row r="847" spans="4:8" s="11" customFormat="1">
      <c r="D847" s="18"/>
      <c r="E847" s="18"/>
      <c r="F847" s="18"/>
      <c r="G847" s="18"/>
      <c r="H847" s="18"/>
    </row>
    <row r="848" spans="4:8" s="11" customFormat="1">
      <c r="D848" s="18"/>
      <c r="E848" s="18"/>
      <c r="F848" s="18"/>
      <c r="G848" s="18"/>
      <c r="H848" s="18"/>
    </row>
    <row r="849" spans="4:8" s="11" customFormat="1">
      <c r="D849" s="18"/>
      <c r="E849" s="18"/>
      <c r="F849" s="18"/>
      <c r="G849" s="18"/>
      <c r="H849" s="18"/>
    </row>
    <row r="850" spans="4:8" s="11" customFormat="1">
      <c r="D850" s="18"/>
      <c r="E850" s="18"/>
      <c r="F850" s="18"/>
      <c r="G850" s="18"/>
      <c r="H850" s="18"/>
    </row>
    <row r="851" spans="4:8" s="11" customFormat="1">
      <c r="D851" s="18"/>
      <c r="E851" s="18"/>
      <c r="F851" s="18"/>
      <c r="G851" s="18"/>
      <c r="H851" s="18"/>
    </row>
    <row r="852" spans="4:8" s="11" customFormat="1">
      <c r="D852" s="18"/>
      <c r="E852" s="18"/>
      <c r="F852" s="18"/>
      <c r="G852" s="18"/>
      <c r="H852" s="18"/>
    </row>
    <row r="853" spans="4:8" s="11" customFormat="1">
      <c r="D853" s="18"/>
      <c r="E853" s="18"/>
      <c r="F853" s="18"/>
      <c r="G853" s="18"/>
      <c r="H853" s="18"/>
    </row>
    <row r="854" spans="4:8" s="11" customFormat="1">
      <c r="D854" s="18"/>
      <c r="E854" s="18"/>
      <c r="F854" s="18"/>
      <c r="G854" s="18"/>
      <c r="H854" s="18"/>
    </row>
    <row r="855" spans="4:8" s="11" customFormat="1">
      <c r="D855" s="18"/>
      <c r="E855" s="18"/>
      <c r="F855" s="18"/>
      <c r="G855" s="18"/>
      <c r="H855" s="18"/>
    </row>
    <row r="856" spans="4:8" s="11" customFormat="1">
      <c r="D856" s="18"/>
      <c r="E856" s="18"/>
      <c r="F856" s="18"/>
      <c r="G856" s="18"/>
      <c r="H856" s="18"/>
    </row>
    <row r="857" spans="4:8" s="11" customFormat="1">
      <c r="D857" s="18"/>
      <c r="E857" s="18"/>
      <c r="F857" s="18"/>
      <c r="G857" s="18"/>
      <c r="H857" s="18"/>
    </row>
    <row r="858" spans="4:8" s="11" customFormat="1">
      <c r="D858" s="18"/>
      <c r="E858" s="18"/>
      <c r="F858" s="18"/>
      <c r="G858" s="18"/>
      <c r="H858" s="18"/>
    </row>
    <row r="859" spans="4:8" s="11" customFormat="1">
      <c r="D859" s="18"/>
      <c r="E859" s="18"/>
      <c r="F859" s="18"/>
      <c r="G859" s="18"/>
      <c r="H859" s="18"/>
    </row>
    <row r="860" spans="4:8" s="11" customFormat="1">
      <c r="D860" s="18"/>
      <c r="E860" s="18"/>
      <c r="F860" s="18"/>
      <c r="G860" s="18"/>
      <c r="H860" s="18"/>
    </row>
    <row r="861" spans="4:8" s="11" customFormat="1">
      <c r="D861" s="18"/>
      <c r="E861" s="18"/>
      <c r="F861" s="18"/>
      <c r="G861" s="18"/>
      <c r="H861" s="18"/>
    </row>
    <row r="862" spans="4:8" s="11" customFormat="1">
      <c r="D862" s="18"/>
      <c r="E862" s="18"/>
      <c r="F862" s="18"/>
      <c r="G862" s="18"/>
      <c r="H862" s="18"/>
    </row>
    <row r="863" spans="4:8" s="11" customFormat="1">
      <c r="D863" s="18"/>
      <c r="E863" s="18"/>
      <c r="F863" s="18"/>
      <c r="G863" s="18"/>
      <c r="H863" s="18"/>
    </row>
    <row r="864" spans="4:8" s="11" customFormat="1">
      <c r="D864" s="18"/>
      <c r="E864" s="18"/>
      <c r="F864" s="18"/>
      <c r="G864" s="18"/>
      <c r="H864" s="18"/>
    </row>
    <row r="865" spans="4:8" s="11" customFormat="1">
      <c r="D865" s="18"/>
      <c r="E865" s="18"/>
      <c r="F865" s="18"/>
      <c r="G865" s="18"/>
      <c r="H865" s="18"/>
    </row>
    <row r="866" spans="4:8" s="11" customFormat="1">
      <c r="D866" s="18"/>
      <c r="E866" s="18"/>
      <c r="F866" s="18"/>
      <c r="G866" s="18"/>
      <c r="H866" s="18"/>
    </row>
    <row r="867" spans="4:8" s="11" customFormat="1">
      <c r="D867" s="18"/>
      <c r="E867" s="18"/>
      <c r="F867" s="18"/>
      <c r="G867" s="18"/>
      <c r="H867" s="18"/>
    </row>
    <row r="868" spans="4:8" s="11" customFormat="1">
      <c r="D868" s="18"/>
      <c r="E868" s="18"/>
      <c r="F868" s="18"/>
      <c r="G868" s="18"/>
      <c r="H868" s="18"/>
    </row>
    <row r="869" spans="4:8" s="11" customFormat="1">
      <c r="D869" s="18"/>
      <c r="E869" s="18"/>
      <c r="F869" s="18"/>
      <c r="G869" s="18"/>
      <c r="H869" s="18"/>
    </row>
    <row r="870" spans="4:8" s="11" customFormat="1">
      <c r="D870" s="18"/>
      <c r="E870" s="18"/>
      <c r="F870" s="18"/>
      <c r="G870" s="18"/>
      <c r="H870" s="18"/>
    </row>
    <row r="871" spans="4:8" s="11" customFormat="1">
      <c r="D871" s="18"/>
      <c r="E871" s="18"/>
      <c r="F871" s="18"/>
      <c r="G871" s="18"/>
      <c r="H871" s="18"/>
    </row>
    <row r="872" spans="4:8" s="11" customFormat="1">
      <c r="D872" s="18"/>
      <c r="E872" s="18"/>
      <c r="F872" s="18"/>
      <c r="G872" s="18"/>
      <c r="H872" s="18"/>
    </row>
    <row r="873" spans="4:8" s="11" customFormat="1">
      <c r="D873" s="18"/>
      <c r="E873" s="18"/>
      <c r="F873" s="18"/>
      <c r="G873" s="18"/>
      <c r="H873" s="18"/>
    </row>
    <row r="874" spans="4:8" s="11" customFormat="1">
      <c r="D874" s="18"/>
      <c r="E874" s="18"/>
      <c r="F874" s="18"/>
      <c r="G874" s="18"/>
      <c r="H874" s="18"/>
    </row>
    <row r="875" spans="4:8" s="11" customFormat="1">
      <c r="D875" s="18"/>
      <c r="E875" s="18"/>
      <c r="F875" s="18"/>
      <c r="G875" s="18"/>
      <c r="H875" s="18"/>
    </row>
    <row r="876" spans="4:8" s="11" customFormat="1">
      <c r="D876" s="18"/>
      <c r="E876" s="18"/>
      <c r="F876" s="18"/>
      <c r="G876" s="18"/>
      <c r="H876" s="18"/>
    </row>
    <row r="877" spans="4:8" s="11" customFormat="1">
      <c r="D877" s="18"/>
      <c r="E877" s="18"/>
      <c r="F877" s="18"/>
      <c r="G877" s="18"/>
      <c r="H877" s="18"/>
    </row>
    <row r="878" spans="4:8" s="11" customFormat="1">
      <c r="D878" s="18"/>
      <c r="E878" s="18"/>
      <c r="F878" s="18"/>
      <c r="G878" s="18"/>
      <c r="H878" s="18"/>
    </row>
    <row r="879" spans="4:8" s="11" customFormat="1">
      <c r="D879" s="18"/>
      <c r="E879" s="18"/>
      <c r="F879" s="18"/>
      <c r="G879" s="18"/>
      <c r="H879" s="18"/>
    </row>
    <row r="880" spans="4:8" s="11" customFormat="1">
      <c r="D880" s="18"/>
      <c r="E880" s="18"/>
      <c r="F880" s="18"/>
      <c r="G880" s="18"/>
      <c r="H880" s="18"/>
    </row>
    <row r="881" spans="4:8" s="11" customFormat="1">
      <c r="D881" s="18"/>
      <c r="E881" s="18"/>
      <c r="F881" s="18"/>
      <c r="G881" s="18"/>
      <c r="H881" s="18"/>
    </row>
    <row r="882" spans="4:8" s="11" customFormat="1">
      <c r="D882" s="18"/>
      <c r="E882" s="18"/>
      <c r="F882" s="18"/>
      <c r="G882" s="18"/>
      <c r="H882" s="18"/>
    </row>
    <row r="883" spans="4:8" s="11" customFormat="1">
      <c r="D883" s="18"/>
      <c r="E883" s="18"/>
      <c r="F883" s="18"/>
      <c r="G883" s="18"/>
      <c r="H883" s="18"/>
    </row>
    <row r="884" spans="4:8" s="11" customFormat="1">
      <c r="D884" s="18"/>
      <c r="E884" s="18"/>
      <c r="F884" s="18"/>
      <c r="G884" s="18"/>
      <c r="H884" s="18"/>
    </row>
    <row r="885" spans="4:8" s="11" customFormat="1">
      <c r="D885" s="18"/>
      <c r="E885" s="18"/>
      <c r="F885" s="18"/>
      <c r="G885" s="18"/>
      <c r="H885" s="18"/>
    </row>
    <row r="886" spans="4:8" s="11" customFormat="1">
      <c r="D886" s="18"/>
      <c r="E886" s="18"/>
      <c r="F886" s="18"/>
      <c r="G886" s="18"/>
      <c r="H886" s="18"/>
    </row>
    <row r="887" spans="4:8" s="11" customFormat="1">
      <c r="D887" s="18"/>
      <c r="E887" s="18"/>
      <c r="F887" s="18"/>
      <c r="G887" s="18"/>
      <c r="H887" s="18"/>
    </row>
    <row r="888" spans="4:8" s="11" customFormat="1">
      <c r="D888" s="18"/>
      <c r="E888" s="18"/>
      <c r="F888" s="18"/>
      <c r="G888" s="18"/>
      <c r="H888" s="18"/>
    </row>
    <row r="889" spans="4:8" s="11" customFormat="1">
      <c r="D889" s="18"/>
      <c r="E889" s="18"/>
      <c r="F889" s="18"/>
      <c r="G889" s="18"/>
      <c r="H889" s="18"/>
    </row>
    <row r="890" spans="4:8" s="11" customFormat="1">
      <c r="D890" s="18"/>
      <c r="E890" s="18"/>
      <c r="F890" s="18"/>
      <c r="G890" s="18"/>
      <c r="H890" s="18"/>
    </row>
    <row r="891" spans="4:8" s="11" customFormat="1">
      <c r="D891" s="18"/>
      <c r="E891" s="18"/>
      <c r="F891" s="18"/>
      <c r="G891" s="18"/>
      <c r="H891" s="18"/>
    </row>
    <row r="892" spans="4:8" s="11" customFormat="1">
      <c r="D892" s="18"/>
      <c r="E892" s="18"/>
      <c r="F892" s="18"/>
      <c r="G892" s="18"/>
      <c r="H892" s="18"/>
    </row>
    <row r="893" spans="4:8" s="11" customFormat="1">
      <c r="D893" s="18"/>
      <c r="E893" s="18"/>
      <c r="F893" s="18"/>
      <c r="G893" s="18"/>
      <c r="H893" s="18"/>
    </row>
    <row r="894" spans="4:8" s="11" customFormat="1">
      <c r="D894" s="18"/>
      <c r="E894" s="18"/>
      <c r="F894" s="18"/>
      <c r="G894" s="18"/>
      <c r="H894" s="18"/>
    </row>
    <row r="895" spans="4:8" s="11" customFormat="1">
      <c r="D895" s="18"/>
      <c r="E895" s="18"/>
      <c r="F895" s="18"/>
      <c r="G895" s="18"/>
      <c r="H895" s="18"/>
    </row>
    <row r="896" spans="4:8" s="11" customFormat="1">
      <c r="D896" s="18"/>
      <c r="E896" s="18"/>
      <c r="F896" s="18"/>
      <c r="G896" s="18"/>
      <c r="H896" s="18"/>
    </row>
    <row r="897" spans="4:8" s="11" customFormat="1">
      <c r="D897" s="18"/>
      <c r="E897" s="18"/>
      <c r="F897" s="18"/>
      <c r="G897" s="18"/>
      <c r="H897" s="18"/>
    </row>
    <row r="898" spans="4:8" s="11" customFormat="1">
      <c r="D898" s="18"/>
      <c r="E898" s="18"/>
      <c r="F898" s="18"/>
      <c r="G898" s="18"/>
      <c r="H898" s="18"/>
    </row>
    <row r="899" spans="4:8" s="11" customFormat="1">
      <c r="D899" s="18"/>
      <c r="E899" s="18"/>
      <c r="F899" s="18"/>
      <c r="G899" s="18"/>
      <c r="H899" s="18"/>
    </row>
    <row r="900" spans="4:8" s="11" customFormat="1">
      <c r="D900" s="18"/>
      <c r="E900" s="18"/>
      <c r="F900" s="18"/>
      <c r="G900" s="18"/>
      <c r="H900" s="18"/>
    </row>
    <row r="901" spans="4:8" s="11" customFormat="1">
      <c r="D901" s="18"/>
      <c r="E901" s="18"/>
      <c r="F901" s="18"/>
      <c r="G901" s="18"/>
      <c r="H901" s="18"/>
    </row>
    <row r="902" spans="4:8" s="11" customFormat="1">
      <c r="D902" s="18"/>
      <c r="E902" s="18"/>
      <c r="F902" s="18"/>
      <c r="G902" s="18"/>
      <c r="H902" s="18"/>
    </row>
    <row r="903" spans="4:8" s="11" customFormat="1">
      <c r="D903" s="18"/>
      <c r="E903" s="18"/>
      <c r="F903" s="18"/>
      <c r="G903" s="18"/>
      <c r="H903" s="18"/>
    </row>
    <row r="904" spans="4:8" s="11" customFormat="1">
      <c r="D904" s="18"/>
      <c r="E904" s="18"/>
      <c r="F904" s="18"/>
      <c r="G904" s="18"/>
      <c r="H904" s="18"/>
    </row>
    <row r="905" spans="4:8" s="11" customFormat="1">
      <c r="D905" s="18"/>
      <c r="E905" s="18"/>
      <c r="F905" s="18"/>
      <c r="G905" s="18"/>
      <c r="H905" s="18"/>
    </row>
    <row r="906" spans="4:8" s="11" customFormat="1">
      <c r="D906" s="18"/>
      <c r="E906" s="18"/>
      <c r="F906" s="18"/>
      <c r="G906" s="18"/>
      <c r="H906" s="18"/>
    </row>
    <row r="907" spans="4:8" s="11" customFormat="1">
      <c r="D907" s="18"/>
      <c r="E907" s="18"/>
      <c r="F907" s="18"/>
      <c r="G907" s="18"/>
      <c r="H907" s="18"/>
    </row>
    <row r="908" spans="4:8" s="11" customFormat="1">
      <c r="D908" s="18"/>
      <c r="E908" s="18"/>
      <c r="F908" s="18"/>
      <c r="G908" s="18"/>
      <c r="H908" s="18"/>
    </row>
    <row r="909" spans="4:8" s="11" customFormat="1">
      <c r="D909" s="18"/>
      <c r="E909" s="18"/>
      <c r="F909" s="18"/>
      <c r="G909" s="18"/>
      <c r="H909" s="18"/>
    </row>
    <row r="910" spans="4:8" s="11" customFormat="1">
      <c r="D910" s="18"/>
      <c r="E910" s="18"/>
      <c r="F910" s="18"/>
      <c r="G910" s="18"/>
      <c r="H910" s="18"/>
    </row>
    <row r="911" spans="4:8" s="11" customFormat="1">
      <c r="D911" s="18"/>
      <c r="E911" s="18"/>
      <c r="F911" s="18"/>
      <c r="G911" s="18"/>
      <c r="H911" s="18"/>
    </row>
    <row r="912" spans="4:8" s="11" customFormat="1">
      <c r="D912" s="18"/>
      <c r="E912" s="18"/>
      <c r="F912" s="18"/>
      <c r="G912" s="18"/>
      <c r="H912" s="18"/>
    </row>
    <row r="913" spans="4:8" s="11" customFormat="1">
      <c r="D913" s="18"/>
      <c r="E913" s="18"/>
      <c r="F913" s="18"/>
      <c r="G913" s="18"/>
      <c r="H913" s="18"/>
    </row>
    <row r="914" spans="4:8" s="11" customFormat="1">
      <c r="D914" s="18"/>
      <c r="E914" s="18"/>
      <c r="F914" s="18"/>
      <c r="G914" s="18"/>
      <c r="H914" s="18"/>
    </row>
    <row r="915" spans="4:8" s="11" customFormat="1">
      <c r="D915" s="18"/>
      <c r="E915" s="18"/>
      <c r="F915" s="18"/>
      <c r="G915" s="18"/>
      <c r="H915" s="18"/>
    </row>
    <row r="916" spans="4:8" s="11" customFormat="1">
      <c r="D916" s="18"/>
      <c r="E916" s="18"/>
      <c r="F916" s="18"/>
      <c r="G916" s="18"/>
      <c r="H916" s="18"/>
    </row>
    <row r="917" spans="4:8" s="11" customFormat="1">
      <c r="D917" s="18"/>
      <c r="E917" s="18"/>
      <c r="F917" s="18"/>
      <c r="G917" s="18"/>
      <c r="H917" s="18"/>
    </row>
    <row r="918" spans="4:8" s="11" customFormat="1">
      <c r="D918" s="18"/>
      <c r="E918" s="18"/>
      <c r="F918" s="18"/>
      <c r="G918" s="18"/>
      <c r="H918" s="18"/>
    </row>
    <row r="919" spans="4:8" s="11" customFormat="1">
      <c r="D919" s="18"/>
      <c r="E919" s="18"/>
      <c r="F919" s="18"/>
      <c r="G919" s="18"/>
      <c r="H919" s="18"/>
    </row>
    <row r="920" spans="4:8" s="11" customFormat="1">
      <c r="D920" s="18"/>
      <c r="E920" s="18"/>
      <c r="F920" s="18"/>
      <c r="G920" s="18"/>
      <c r="H920" s="18"/>
    </row>
    <row r="921" spans="4:8" s="11" customFormat="1">
      <c r="D921" s="18"/>
      <c r="E921" s="18"/>
      <c r="F921" s="18"/>
      <c r="G921" s="18"/>
      <c r="H921" s="18"/>
    </row>
    <row r="922" spans="4:8" s="11" customFormat="1">
      <c r="D922" s="18"/>
      <c r="E922" s="18"/>
      <c r="F922" s="18"/>
      <c r="G922" s="18"/>
      <c r="H922" s="18"/>
    </row>
    <row r="923" spans="4:8" s="11" customFormat="1">
      <c r="D923" s="18"/>
      <c r="E923" s="18"/>
      <c r="F923" s="18"/>
      <c r="G923" s="18"/>
      <c r="H923" s="18"/>
    </row>
    <row r="924" spans="4:8" s="11" customFormat="1">
      <c r="D924" s="18"/>
      <c r="E924" s="18"/>
      <c r="F924" s="18"/>
      <c r="G924" s="18"/>
      <c r="H924" s="18"/>
    </row>
    <row r="925" spans="4:8" s="11" customFormat="1">
      <c r="D925" s="18"/>
      <c r="E925" s="18"/>
      <c r="F925" s="18"/>
      <c r="G925" s="18"/>
      <c r="H925" s="18"/>
    </row>
    <row r="926" spans="4:8" s="11" customFormat="1">
      <c r="D926" s="18"/>
      <c r="E926" s="18"/>
      <c r="F926" s="18"/>
      <c r="G926" s="18"/>
      <c r="H926" s="18"/>
    </row>
    <row r="927" spans="4:8" s="11" customFormat="1">
      <c r="D927" s="18"/>
      <c r="E927" s="18"/>
      <c r="F927" s="18"/>
      <c r="G927" s="18"/>
      <c r="H927" s="18"/>
    </row>
    <row r="928" spans="4:8" s="11" customFormat="1">
      <c r="D928" s="18"/>
      <c r="E928" s="18"/>
      <c r="F928" s="18"/>
      <c r="G928" s="18"/>
      <c r="H928" s="18"/>
    </row>
    <row r="929" spans="4:8" s="11" customFormat="1">
      <c r="D929" s="18"/>
      <c r="E929" s="18"/>
      <c r="F929" s="18"/>
      <c r="G929" s="18"/>
      <c r="H929" s="18"/>
    </row>
    <row r="930" spans="4:8" s="11" customFormat="1">
      <c r="D930" s="18"/>
      <c r="E930" s="18"/>
      <c r="F930" s="18"/>
      <c r="G930" s="18"/>
      <c r="H930" s="18"/>
    </row>
    <row r="931" spans="4:8" s="11" customFormat="1">
      <c r="D931" s="18"/>
      <c r="E931" s="18"/>
      <c r="F931" s="18"/>
      <c r="G931" s="18"/>
      <c r="H931" s="18"/>
    </row>
    <row r="932" spans="4:8" s="11" customFormat="1">
      <c r="D932" s="18"/>
      <c r="E932" s="18"/>
      <c r="F932" s="18"/>
      <c r="G932" s="18"/>
      <c r="H932" s="18"/>
    </row>
    <row r="933" spans="4:8" s="11" customFormat="1">
      <c r="D933" s="18"/>
      <c r="E933" s="18"/>
      <c r="F933" s="18"/>
      <c r="G933" s="18"/>
      <c r="H933" s="18"/>
    </row>
    <row r="934" spans="4:8" s="11" customFormat="1">
      <c r="D934" s="18"/>
      <c r="E934" s="18"/>
      <c r="F934" s="18"/>
      <c r="G934" s="18"/>
      <c r="H934" s="18"/>
    </row>
    <row r="935" spans="4:8" s="11" customFormat="1">
      <c r="D935" s="18"/>
      <c r="E935" s="18"/>
      <c r="F935" s="18"/>
      <c r="G935" s="18"/>
      <c r="H935" s="18"/>
    </row>
    <row r="936" spans="4:8" s="11" customFormat="1">
      <c r="D936" s="18"/>
      <c r="E936" s="18"/>
      <c r="F936" s="18"/>
      <c r="G936" s="18"/>
      <c r="H936" s="18"/>
    </row>
    <row r="937" spans="4:8" s="11" customFormat="1">
      <c r="D937" s="18"/>
      <c r="E937" s="18"/>
      <c r="F937" s="18"/>
      <c r="G937" s="18"/>
      <c r="H937" s="18"/>
    </row>
    <row r="938" spans="4:8" s="11" customFormat="1">
      <c r="D938" s="18"/>
      <c r="E938" s="18"/>
      <c r="F938" s="18"/>
      <c r="G938" s="18"/>
      <c r="H938" s="18"/>
    </row>
    <row r="939" spans="4:8" s="11" customFormat="1">
      <c r="D939" s="18"/>
      <c r="E939" s="18"/>
      <c r="F939" s="18"/>
      <c r="G939" s="18"/>
      <c r="H939" s="18"/>
    </row>
    <row r="940" spans="4:8" s="11" customFormat="1">
      <c r="D940" s="18"/>
      <c r="E940" s="18"/>
      <c r="F940" s="18"/>
      <c r="G940" s="18"/>
      <c r="H940" s="18"/>
    </row>
    <row r="941" spans="4:8" s="11" customFormat="1">
      <c r="D941" s="18"/>
      <c r="E941" s="18"/>
      <c r="F941" s="18"/>
      <c r="G941" s="18"/>
      <c r="H941" s="18"/>
    </row>
    <row r="942" spans="4:8" s="11" customFormat="1">
      <c r="D942" s="18"/>
      <c r="E942" s="18"/>
      <c r="F942" s="18"/>
      <c r="G942" s="18"/>
      <c r="H942" s="18"/>
    </row>
    <row r="943" spans="4:8" s="11" customFormat="1">
      <c r="D943" s="18"/>
      <c r="E943" s="18"/>
      <c r="F943" s="18"/>
      <c r="G943" s="18"/>
      <c r="H943" s="18"/>
    </row>
    <row r="944" spans="4:8" s="11" customFormat="1">
      <c r="D944" s="18"/>
      <c r="E944" s="18"/>
      <c r="F944" s="18"/>
      <c r="G944" s="18"/>
      <c r="H944" s="18"/>
    </row>
    <row r="945" spans="4:8" s="11" customFormat="1">
      <c r="D945" s="18"/>
      <c r="E945" s="18"/>
      <c r="F945" s="18"/>
      <c r="G945" s="18"/>
      <c r="H945" s="18"/>
    </row>
    <row r="946" spans="4:8" s="11" customFormat="1">
      <c r="D946" s="18"/>
      <c r="E946" s="18"/>
      <c r="F946" s="18"/>
      <c r="G946" s="18"/>
      <c r="H946" s="18"/>
    </row>
    <row r="947" spans="4:8" s="11" customFormat="1">
      <c r="D947" s="18"/>
      <c r="E947" s="18"/>
      <c r="F947" s="18"/>
      <c r="G947" s="18"/>
      <c r="H947" s="18"/>
    </row>
    <row r="948" spans="4:8" s="11" customFormat="1">
      <c r="D948" s="18"/>
      <c r="E948" s="18"/>
      <c r="F948" s="18"/>
      <c r="G948" s="18"/>
      <c r="H948" s="18"/>
    </row>
    <row r="949" spans="4:8" s="11" customFormat="1">
      <c r="D949" s="18"/>
      <c r="E949" s="18"/>
      <c r="F949" s="18"/>
      <c r="G949" s="18"/>
      <c r="H949" s="18"/>
    </row>
    <row r="950" spans="4:8" s="11" customFormat="1">
      <c r="D950" s="18"/>
      <c r="E950" s="18"/>
      <c r="F950" s="18"/>
      <c r="G950" s="18"/>
      <c r="H950" s="18"/>
    </row>
    <row r="951" spans="4:8" s="11" customFormat="1">
      <c r="D951" s="18"/>
      <c r="E951" s="18"/>
      <c r="F951" s="18"/>
      <c r="G951" s="18"/>
      <c r="H951" s="18"/>
    </row>
    <row r="952" spans="4:8" s="11" customFormat="1">
      <c r="D952" s="18"/>
      <c r="E952" s="18"/>
      <c r="F952" s="18"/>
      <c r="G952" s="18"/>
      <c r="H952" s="18"/>
    </row>
    <row r="953" spans="4:8" s="11" customFormat="1">
      <c r="D953" s="18"/>
      <c r="E953" s="18"/>
      <c r="F953" s="18"/>
      <c r="G953" s="18"/>
      <c r="H953" s="18"/>
    </row>
    <row r="954" spans="4:8" s="11" customFormat="1">
      <c r="D954" s="18"/>
      <c r="E954" s="18"/>
      <c r="F954" s="18"/>
      <c r="G954" s="18"/>
      <c r="H954" s="18"/>
    </row>
    <row r="955" spans="4:8" s="11" customFormat="1">
      <c r="D955" s="18"/>
      <c r="E955" s="18"/>
      <c r="F955" s="18"/>
      <c r="G955" s="18"/>
      <c r="H955" s="18"/>
    </row>
    <row r="956" spans="4:8" s="11" customFormat="1">
      <c r="D956" s="18"/>
      <c r="E956" s="18"/>
      <c r="F956" s="18"/>
      <c r="G956" s="18"/>
      <c r="H956" s="18"/>
    </row>
    <row r="957" spans="4:8" s="11" customFormat="1">
      <c r="D957" s="18"/>
      <c r="E957" s="18"/>
      <c r="F957" s="18"/>
      <c r="G957" s="18"/>
      <c r="H957" s="18"/>
    </row>
    <row r="958" spans="4:8" s="11" customFormat="1">
      <c r="D958" s="18"/>
      <c r="E958" s="18"/>
      <c r="F958" s="18"/>
      <c r="G958" s="18"/>
      <c r="H958" s="18"/>
    </row>
    <row r="959" spans="4:8" s="11" customFormat="1">
      <c r="D959" s="18"/>
      <c r="E959" s="18"/>
      <c r="F959" s="18"/>
      <c r="G959" s="18"/>
      <c r="H959" s="18"/>
    </row>
    <row r="960" spans="4:8" s="11" customFormat="1">
      <c r="D960" s="18"/>
      <c r="E960" s="18"/>
      <c r="F960" s="18"/>
      <c r="G960" s="18"/>
      <c r="H960" s="18"/>
    </row>
    <row r="961" spans="4:8" s="11" customFormat="1">
      <c r="D961" s="18"/>
      <c r="E961" s="18"/>
      <c r="F961" s="18"/>
      <c r="G961" s="18"/>
      <c r="H961" s="18"/>
    </row>
    <row r="962" spans="4:8" s="11" customFormat="1">
      <c r="D962" s="18"/>
      <c r="E962" s="18"/>
      <c r="F962" s="18"/>
      <c r="G962" s="18"/>
      <c r="H962" s="18"/>
    </row>
    <row r="963" spans="4:8" s="11" customFormat="1">
      <c r="D963" s="18"/>
      <c r="E963" s="18"/>
      <c r="F963" s="18"/>
      <c r="G963" s="18"/>
      <c r="H963" s="18"/>
    </row>
    <row r="964" spans="4:8" s="11" customFormat="1">
      <c r="D964" s="18"/>
      <c r="E964" s="18"/>
      <c r="F964" s="18"/>
      <c r="G964" s="18"/>
      <c r="H964" s="18"/>
    </row>
    <row r="965" spans="4:8" s="11" customFormat="1">
      <c r="D965" s="18"/>
      <c r="E965" s="18"/>
      <c r="F965" s="18"/>
      <c r="G965" s="18"/>
      <c r="H965" s="18"/>
    </row>
    <row r="966" spans="4:8" s="11" customFormat="1">
      <c r="D966" s="18"/>
      <c r="E966" s="18"/>
      <c r="F966" s="18"/>
      <c r="G966" s="18"/>
      <c r="H966" s="18"/>
    </row>
    <row r="967" spans="4:8" s="11" customFormat="1">
      <c r="D967" s="18"/>
      <c r="E967" s="18"/>
      <c r="F967" s="18"/>
      <c r="G967" s="18"/>
      <c r="H967" s="18"/>
    </row>
    <row r="968" spans="4:8" s="11" customFormat="1">
      <c r="D968" s="18"/>
      <c r="E968" s="18"/>
      <c r="F968" s="18"/>
      <c r="G968" s="18"/>
      <c r="H968" s="18"/>
    </row>
    <row r="969" spans="4:8" s="11" customFormat="1">
      <c r="D969" s="18"/>
      <c r="E969" s="18"/>
      <c r="F969" s="18"/>
      <c r="G969" s="18"/>
      <c r="H969" s="18"/>
    </row>
    <row r="970" spans="4:8" s="11" customFormat="1">
      <c r="D970" s="18"/>
      <c r="E970" s="18"/>
      <c r="F970" s="18"/>
      <c r="G970" s="18"/>
      <c r="H970" s="18"/>
    </row>
    <row r="971" spans="4:8" s="11" customFormat="1">
      <c r="D971" s="18"/>
      <c r="E971" s="18"/>
      <c r="F971" s="18"/>
      <c r="G971" s="18"/>
      <c r="H971" s="18"/>
    </row>
    <row r="972" spans="4:8" s="11" customFormat="1">
      <c r="D972" s="18"/>
      <c r="E972" s="18"/>
      <c r="F972" s="18"/>
      <c r="G972" s="18"/>
      <c r="H972" s="18"/>
    </row>
    <row r="973" spans="4:8" s="11" customFormat="1">
      <c r="D973" s="18"/>
      <c r="E973" s="18"/>
      <c r="F973" s="18"/>
      <c r="G973" s="18"/>
      <c r="H973" s="18"/>
    </row>
    <row r="974" spans="4:8" s="11" customFormat="1">
      <c r="D974" s="18"/>
      <c r="E974" s="18"/>
      <c r="F974" s="18"/>
      <c r="G974" s="18"/>
      <c r="H974" s="18"/>
    </row>
    <row r="975" spans="4:8" s="11" customFormat="1">
      <c r="D975" s="18"/>
      <c r="E975" s="18"/>
      <c r="F975" s="18"/>
      <c r="G975" s="18"/>
      <c r="H975" s="18"/>
    </row>
    <row r="976" spans="4:8" s="11" customFormat="1">
      <c r="D976" s="18"/>
      <c r="E976" s="18"/>
      <c r="F976" s="18"/>
      <c r="G976" s="18"/>
      <c r="H976" s="18"/>
    </row>
    <row r="977" spans="4:8" s="11" customFormat="1">
      <c r="D977" s="18"/>
      <c r="E977" s="18"/>
      <c r="F977" s="18"/>
      <c r="G977" s="18"/>
      <c r="H977" s="18"/>
    </row>
    <row r="978" spans="4:8" s="11" customFormat="1">
      <c r="D978" s="18"/>
      <c r="E978" s="18"/>
      <c r="F978" s="18"/>
      <c r="G978" s="18"/>
      <c r="H978" s="18"/>
    </row>
    <row r="979" spans="4:8" s="11" customFormat="1">
      <c r="D979" s="18"/>
      <c r="E979" s="18"/>
      <c r="F979" s="18"/>
      <c r="G979" s="18"/>
      <c r="H979" s="18"/>
    </row>
    <row r="980" spans="4:8" s="11" customFormat="1">
      <c r="D980" s="18"/>
      <c r="E980" s="18"/>
      <c r="F980" s="18"/>
      <c r="G980" s="18"/>
      <c r="H980" s="18"/>
    </row>
    <row r="981" spans="4:8" s="11" customFormat="1">
      <c r="D981" s="18"/>
      <c r="E981" s="18"/>
      <c r="F981" s="18"/>
      <c r="G981" s="18"/>
      <c r="H981" s="18"/>
    </row>
    <row r="982" spans="4:8" s="11" customFormat="1">
      <c r="D982" s="18"/>
      <c r="E982" s="18"/>
      <c r="F982" s="18"/>
      <c r="G982" s="18"/>
      <c r="H982" s="18"/>
    </row>
    <row r="983" spans="4:8" s="11" customFormat="1">
      <c r="D983" s="18"/>
      <c r="E983" s="18"/>
      <c r="F983" s="18"/>
      <c r="G983" s="18"/>
      <c r="H983" s="18"/>
    </row>
    <row r="984" spans="4:8" s="11" customFormat="1">
      <c r="D984" s="18"/>
      <c r="E984" s="18"/>
      <c r="F984" s="18"/>
      <c r="G984" s="18"/>
      <c r="H984" s="18"/>
    </row>
    <row r="985" spans="4:8" s="11" customFormat="1">
      <c r="D985" s="18"/>
      <c r="E985" s="18"/>
      <c r="F985" s="18"/>
      <c r="G985" s="18"/>
      <c r="H985" s="18"/>
    </row>
    <row r="986" spans="4:8" s="11" customFormat="1">
      <c r="D986" s="18"/>
      <c r="E986" s="18"/>
      <c r="F986" s="18"/>
      <c r="G986" s="18"/>
      <c r="H986" s="18"/>
    </row>
    <row r="987" spans="4:8" s="11" customFormat="1">
      <c r="D987" s="18"/>
      <c r="E987" s="18"/>
      <c r="F987" s="18"/>
      <c r="G987" s="18"/>
      <c r="H987" s="18"/>
    </row>
    <row r="988" spans="4:8" s="11" customFormat="1">
      <c r="D988" s="18"/>
      <c r="E988" s="18"/>
      <c r="F988" s="18"/>
      <c r="G988" s="18"/>
      <c r="H988" s="18"/>
    </row>
    <row r="989" spans="4:8" s="11" customFormat="1">
      <c r="D989" s="18"/>
      <c r="E989" s="18"/>
      <c r="F989" s="18"/>
      <c r="G989" s="18"/>
      <c r="H989" s="18"/>
    </row>
    <row r="990" spans="4:8" s="11" customFormat="1">
      <c r="D990" s="18"/>
      <c r="E990" s="18"/>
      <c r="F990" s="18"/>
      <c r="G990" s="18"/>
      <c r="H990" s="18"/>
    </row>
    <row r="991" spans="4:8" s="11" customFormat="1">
      <c r="D991" s="18"/>
      <c r="E991" s="18"/>
      <c r="F991" s="18"/>
      <c r="G991" s="18"/>
      <c r="H991" s="18"/>
    </row>
    <row r="992" spans="4:8" s="11" customFormat="1">
      <c r="D992" s="18"/>
      <c r="E992" s="18"/>
      <c r="F992" s="18"/>
      <c r="G992" s="18"/>
      <c r="H992" s="18"/>
    </row>
    <row r="993" spans="4:8" s="11" customFormat="1">
      <c r="D993" s="18"/>
      <c r="E993" s="18"/>
      <c r="F993" s="18"/>
      <c r="G993" s="18"/>
      <c r="H993" s="18"/>
    </row>
    <row r="994" spans="4:8" s="11" customFormat="1">
      <c r="D994" s="18"/>
      <c r="E994" s="18"/>
      <c r="F994" s="18"/>
      <c r="G994" s="18"/>
      <c r="H994" s="18"/>
    </row>
    <row r="995" spans="4:8" s="11" customFormat="1">
      <c r="D995" s="18"/>
      <c r="E995" s="18"/>
      <c r="F995" s="18"/>
      <c r="G995" s="18"/>
      <c r="H995" s="18"/>
    </row>
    <row r="996" spans="4:8" s="11" customFormat="1">
      <c r="D996" s="18"/>
      <c r="E996" s="18"/>
      <c r="F996" s="18"/>
      <c r="G996" s="18"/>
      <c r="H996" s="18"/>
    </row>
    <row r="997" spans="4:8" s="11" customFormat="1">
      <c r="D997" s="18"/>
      <c r="E997" s="18"/>
      <c r="F997" s="18"/>
      <c r="G997" s="18"/>
      <c r="H997" s="18"/>
    </row>
    <row r="998" spans="4:8" s="11" customFormat="1">
      <c r="D998" s="18"/>
      <c r="E998" s="18"/>
      <c r="F998" s="18"/>
      <c r="G998" s="18"/>
      <c r="H998" s="18"/>
    </row>
    <row r="999" spans="4:8" s="11" customFormat="1">
      <c r="D999" s="18"/>
      <c r="E999" s="18"/>
      <c r="F999" s="18"/>
      <c r="G999" s="18"/>
      <c r="H999" s="18"/>
    </row>
    <row r="1000" spans="4:8" s="11" customFormat="1">
      <c r="D1000" s="18"/>
      <c r="E1000" s="18"/>
      <c r="F1000" s="18"/>
      <c r="G1000" s="18"/>
      <c r="H1000" s="18"/>
    </row>
    <row r="1001" spans="4:8" s="11" customFormat="1">
      <c r="D1001" s="18"/>
      <c r="E1001" s="18"/>
      <c r="F1001" s="18"/>
      <c r="G1001" s="18"/>
      <c r="H1001" s="18"/>
    </row>
    <row r="1002" spans="4:8" s="11" customFormat="1">
      <c r="D1002" s="18"/>
      <c r="E1002" s="18"/>
      <c r="F1002" s="18"/>
      <c r="G1002" s="18"/>
      <c r="H1002" s="18"/>
    </row>
    <row r="1003" spans="4:8" s="11" customFormat="1">
      <c r="D1003" s="18"/>
      <c r="E1003" s="18"/>
      <c r="F1003" s="18"/>
      <c r="G1003" s="18"/>
      <c r="H1003" s="18"/>
    </row>
    <row r="1004" spans="4:8" s="11" customFormat="1">
      <c r="D1004" s="18"/>
      <c r="E1004" s="18"/>
      <c r="F1004" s="18"/>
      <c r="G1004" s="18"/>
      <c r="H1004" s="18"/>
    </row>
    <row r="1005" spans="4:8" s="11" customFormat="1">
      <c r="D1005" s="18"/>
      <c r="E1005" s="18"/>
      <c r="F1005" s="18"/>
      <c r="G1005" s="18"/>
      <c r="H1005" s="18"/>
    </row>
    <row r="1006" spans="4:8" s="11" customFormat="1">
      <c r="D1006" s="18"/>
      <c r="E1006" s="18"/>
      <c r="F1006" s="18"/>
      <c r="G1006" s="18"/>
      <c r="H1006" s="18"/>
    </row>
    <row r="1007" spans="4:8" s="11" customFormat="1">
      <c r="D1007" s="18"/>
      <c r="E1007" s="18"/>
      <c r="F1007" s="18"/>
      <c r="G1007" s="18"/>
      <c r="H1007" s="18"/>
    </row>
    <row r="1008" spans="4:8" s="11" customFormat="1">
      <c r="D1008" s="18"/>
      <c r="E1008" s="18"/>
      <c r="F1008" s="18"/>
      <c r="G1008" s="18"/>
      <c r="H1008" s="18"/>
    </row>
    <row r="1009" spans="4:8" s="11" customFormat="1">
      <c r="D1009" s="18"/>
      <c r="E1009" s="18"/>
      <c r="F1009" s="18"/>
      <c r="G1009" s="18"/>
      <c r="H1009" s="18"/>
    </row>
    <row r="1010" spans="4:8" s="11" customFormat="1">
      <c r="D1010" s="18"/>
      <c r="E1010" s="18"/>
      <c r="F1010" s="18"/>
      <c r="G1010" s="18"/>
      <c r="H1010" s="18"/>
    </row>
    <row r="1011" spans="4:8" s="11" customFormat="1">
      <c r="D1011" s="18"/>
      <c r="E1011" s="18"/>
      <c r="F1011" s="18"/>
      <c r="G1011" s="18"/>
      <c r="H1011" s="18"/>
    </row>
    <row r="1012" spans="4:8" s="11" customFormat="1">
      <c r="D1012" s="18"/>
      <c r="E1012" s="18"/>
      <c r="F1012" s="18"/>
      <c r="G1012" s="18"/>
      <c r="H1012" s="18"/>
    </row>
    <row r="1013" spans="4:8" s="11" customFormat="1">
      <c r="D1013" s="18"/>
      <c r="E1013" s="18"/>
      <c r="F1013" s="18"/>
      <c r="G1013" s="18"/>
      <c r="H1013" s="18"/>
    </row>
    <row r="1014" spans="4:8" s="11" customFormat="1">
      <c r="D1014" s="18"/>
      <c r="E1014" s="18"/>
      <c r="F1014" s="18"/>
      <c r="G1014" s="18"/>
      <c r="H1014" s="18"/>
    </row>
    <row r="1015" spans="4:8" s="11" customFormat="1">
      <c r="D1015" s="18"/>
      <c r="E1015" s="18"/>
      <c r="F1015" s="18"/>
      <c r="G1015" s="18"/>
      <c r="H1015" s="18"/>
    </row>
    <row r="1016" spans="4:8" s="11" customFormat="1">
      <c r="D1016" s="18"/>
      <c r="E1016" s="18"/>
      <c r="F1016" s="18"/>
      <c r="G1016" s="18"/>
      <c r="H1016" s="18"/>
    </row>
    <row r="1017" spans="4:8" s="11" customFormat="1">
      <c r="D1017" s="18"/>
      <c r="E1017" s="18"/>
      <c r="F1017" s="18"/>
      <c r="G1017" s="18"/>
      <c r="H1017" s="18"/>
    </row>
    <row r="1018" spans="4:8" s="11" customFormat="1">
      <c r="D1018" s="18"/>
      <c r="E1018" s="18"/>
      <c r="F1018" s="18"/>
      <c r="G1018" s="18"/>
      <c r="H1018" s="18"/>
    </row>
    <row r="1019" spans="4:8" s="11" customFormat="1">
      <c r="D1019" s="18"/>
      <c r="E1019" s="18"/>
      <c r="F1019" s="18"/>
      <c r="G1019" s="18"/>
      <c r="H1019" s="18"/>
    </row>
    <row r="1020" spans="4:8" s="11" customFormat="1">
      <c r="D1020" s="18"/>
      <c r="E1020" s="18"/>
      <c r="F1020" s="18"/>
      <c r="G1020" s="18"/>
      <c r="H1020" s="18"/>
    </row>
    <row r="1021" spans="4:8" s="11" customFormat="1">
      <c r="D1021" s="18"/>
      <c r="E1021" s="18"/>
      <c r="F1021" s="18"/>
      <c r="G1021" s="18"/>
      <c r="H1021" s="18"/>
    </row>
    <row r="1022" spans="4:8" s="11" customFormat="1">
      <c r="D1022" s="18"/>
      <c r="E1022" s="18"/>
      <c r="F1022" s="18"/>
      <c r="G1022" s="18"/>
      <c r="H1022" s="18"/>
    </row>
    <row r="1023" spans="4:8" s="11" customFormat="1">
      <c r="D1023" s="18"/>
      <c r="E1023" s="18"/>
      <c r="F1023" s="18"/>
      <c r="G1023" s="18"/>
      <c r="H1023" s="18"/>
    </row>
    <row r="1024" spans="4:8" s="11" customFormat="1">
      <c r="D1024" s="18"/>
      <c r="E1024" s="18"/>
      <c r="F1024" s="18"/>
      <c r="G1024" s="18"/>
      <c r="H1024" s="18"/>
    </row>
    <row r="1025" spans="4:8" s="11" customFormat="1">
      <c r="D1025" s="18"/>
      <c r="E1025" s="18"/>
      <c r="F1025" s="18"/>
      <c r="G1025" s="18"/>
      <c r="H1025" s="18"/>
    </row>
    <row r="1026" spans="4:8" s="11" customFormat="1">
      <c r="D1026" s="18"/>
      <c r="E1026" s="18"/>
      <c r="F1026" s="18"/>
      <c r="G1026" s="18"/>
      <c r="H1026" s="18"/>
    </row>
    <row r="1027" spans="4:8" s="11" customFormat="1">
      <c r="D1027" s="18"/>
      <c r="E1027" s="18"/>
      <c r="F1027" s="18"/>
      <c r="G1027" s="18"/>
      <c r="H1027" s="18"/>
    </row>
    <row r="1028" spans="4:8" s="11" customFormat="1">
      <c r="D1028" s="18"/>
      <c r="E1028" s="18"/>
      <c r="F1028" s="18"/>
      <c r="G1028" s="18"/>
      <c r="H1028" s="18"/>
    </row>
    <row r="1029" spans="4:8" s="11" customFormat="1">
      <c r="D1029" s="18"/>
      <c r="E1029" s="18"/>
      <c r="F1029" s="18"/>
      <c r="G1029" s="18"/>
      <c r="H1029" s="18"/>
    </row>
    <row r="1030" spans="4:8" s="11" customFormat="1">
      <c r="D1030" s="18"/>
      <c r="E1030" s="18"/>
      <c r="F1030" s="18"/>
      <c r="G1030" s="18"/>
      <c r="H1030" s="18"/>
    </row>
    <row r="1031" spans="4:8" s="11" customFormat="1">
      <c r="D1031" s="18"/>
      <c r="E1031" s="18"/>
      <c r="F1031" s="18"/>
      <c r="G1031" s="18"/>
      <c r="H1031" s="18"/>
    </row>
    <row r="1032" spans="4:8" s="11" customFormat="1">
      <c r="D1032" s="18"/>
      <c r="E1032" s="18"/>
      <c r="F1032" s="18"/>
      <c r="G1032" s="18"/>
      <c r="H1032" s="18"/>
    </row>
    <row r="1033" spans="4:8" s="11" customFormat="1">
      <c r="D1033" s="18"/>
      <c r="E1033" s="18"/>
      <c r="F1033" s="18"/>
      <c r="G1033" s="18"/>
      <c r="H1033" s="18"/>
    </row>
    <row r="1034" spans="4:8" s="11" customFormat="1">
      <c r="D1034" s="18"/>
      <c r="E1034" s="18"/>
      <c r="F1034" s="18"/>
      <c r="G1034" s="18"/>
      <c r="H1034" s="18"/>
    </row>
    <row r="1035" spans="4:8" s="11" customFormat="1">
      <c r="D1035" s="18"/>
      <c r="E1035" s="18"/>
      <c r="F1035" s="18"/>
      <c r="G1035" s="18"/>
      <c r="H1035" s="18"/>
    </row>
    <row r="1036" spans="4:8" s="11" customFormat="1">
      <c r="D1036" s="18"/>
      <c r="E1036" s="18"/>
      <c r="F1036" s="18"/>
      <c r="G1036" s="18"/>
      <c r="H1036" s="18"/>
    </row>
    <row r="1037" spans="4:8" s="11" customFormat="1">
      <c r="D1037" s="18"/>
      <c r="E1037" s="18"/>
      <c r="F1037" s="18"/>
      <c r="G1037" s="18"/>
      <c r="H1037" s="18"/>
    </row>
    <row r="1038" spans="4:8" s="11" customFormat="1">
      <c r="D1038" s="18"/>
      <c r="E1038" s="18"/>
      <c r="F1038" s="18"/>
      <c r="G1038" s="18"/>
      <c r="H1038" s="18"/>
    </row>
    <row r="1039" spans="4:8" s="11" customFormat="1">
      <c r="D1039" s="18"/>
      <c r="E1039" s="18"/>
      <c r="F1039" s="18"/>
      <c r="G1039" s="18"/>
      <c r="H1039" s="18"/>
    </row>
    <row r="1040" spans="4:8" s="11" customFormat="1">
      <c r="D1040" s="18"/>
      <c r="E1040" s="18"/>
      <c r="F1040" s="18"/>
      <c r="G1040" s="18"/>
      <c r="H1040" s="18"/>
    </row>
    <row r="1041" spans="4:8" s="11" customFormat="1">
      <c r="D1041" s="18"/>
      <c r="E1041" s="18"/>
      <c r="F1041" s="18"/>
      <c r="G1041" s="18"/>
      <c r="H1041" s="18"/>
    </row>
    <row r="1042" spans="4:8" s="11" customFormat="1">
      <c r="D1042" s="18"/>
      <c r="E1042" s="18"/>
      <c r="F1042" s="18"/>
      <c r="G1042" s="18"/>
      <c r="H1042" s="18"/>
    </row>
    <row r="1043" spans="4:8" s="11" customFormat="1">
      <c r="D1043" s="18"/>
      <c r="E1043" s="18"/>
      <c r="F1043" s="18"/>
      <c r="G1043" s="18"/>
      <c r="H1043" s="18"/>
    </row>
    <row r="1044" spans="4:8" s="11" customFormat="1">
      <c r="D1044" s="18"/>
      <c r="E1044" s="18"/>
      <c r="F1044" s="18"/>
      <c r="G1044" s="18"/>
      <c r="H1044" s="18"/>
    </row>
    <row r="1045" spans="4:8" s="11" customFormat="1">
      <c r="D1045" s="18"/>
      <c r="E1045" s="18"/>
      <c r="F1045" s="18"/>
      <c r="G1045" s="18"/>
      <c r="H1045" s="18"/>
    </row>
    <row r="1046" spans="4:8" s="11" customFormat="1">
      <c r="D1046" s="18"/>
      <c r="E1046" s="18"/>
      <c r="F1046" s="18"/>
      <c r="G1046" s="18"/>
      <c r="H1046" s="18"/>
    </row>
    <row r="1047" spans="4:8" s="11" customFormat="1">
      <c r="D1047" s="18"/>
      <c r="E1047" s="18"/>
      <c r="F1047" s="18"/>
      <c r="G1047" s="18"/>
      <c r="H1047" s="18"/>
    </row>
    <row r="1048" spans="4:8" s="11" customFormat="1">
      <c r="D1048" s="18"/>
      <c r="E1048" s="18"/>
      <c r="F1048" s="18"/>
      <c r="G1048" s="18"/>
      <c r="H1048" s="18"/>
    </row>
    <row r="1049" spans="4:8" s="11" customFormat="1">
      <c r="D1049" s="18"/>
      <c r="E1049" s="18"/>
      <c r="F1049" s="18"/>
      <c r="G1049" s="18"/>
      <c r="H1049" s="18"/>
    </row>
    <row r="1050" spans="4:8" s="11" customFormat="1">
      <c r="D1050" s="18"/>
      <c r="E1050" s="18"/>
      <c r="F1050" s="18"/>
      <c r="G1050" s="18"/>
      <c r="H1050" s="18"/>
    </row>
    <row r="1051" spans="4:8" s="11" customFormat="1">
      <c r="D1051" s="18"/>
      <c r="E1051" s="18"/>
      <c r="F1051" s="18"/>
      <c r="G1051" s="18"/>
      <c r="H1051" s="18"/>
    </row>
    <row r="1052" spans="4:8" s="11" customFormat="1">
      <c r="D1052" s="18"/>
      <c r="E1052" s="18"/>
      <c r="F1052" s="18"/>
      <c r="G1052" s="18"/>
      <c r="H1052" s="18"/>
    </row>
    <row r="1053" spans="4:8" s="11" customFormat="1">
      <c r="D1053" s="18"/>
      <c r="E1053" s="18"/>
      <c r="F1053" s="18"/>
      <c r="G1053" s="18"/>
      <c r="H1053" s="18"/>
    </row>
    <row r="1054" spans="4:8" s="11" customFormat="1">
      <c r="D1054" s="18"/>
      <c r="E1054" s="18"/>
      <c r="F1054" s="18"/>
      <c r="G1054" s="18"/>
      <c r="H1054" s="18"/>
    </row>
    <row r="1055" spans="4:8" s="11" customFormat="1">
      <c r="D1055" s="18"/>
      <c r="E1055" s="18"/>
      <c r="F1055" s="18"/>
      <c r="G1055" s="18"/>
      <c r="H1055" s="18"/>
    </row>
    <row r="1056" spans="4:8" s="11" customFormat="1">
      <c r="D1056" s="18"/>
      <c r="E1056" s="18"/>
      <c r="F1056" s="18"/>
      <c r="G1056" s="18"/>
      <c r="H1056" s="18"/>
    </row>
    <row r="1057" spans="4:8" s="11" customFormat="1">
      <c r="D1057" s="18"/>
      <c r="E1057" s="18"/>
      <c r="F1057" s="18"/>
      <c r="G1057" s="18"/>
      <c r="H1057" s="18"/>
    </row>
    <row r="1058" spans="4:8" s="11" customFormat="1">
      <c r="D1058" s="18"/>
      <c r="E1058" s="18"/>
      <c r="F1058" s="18"/>
      <c r="G1058" s="18"/>
      <c r="H1058" s="18"/>
    </row>
    <row r="1059" spans="4:8" s="11" customFormat="1">
      <c r="D1059" s="18"/>
      <c r="E1059" s="18"/>
      <c r="F1059" s="18"/>
      <c r="G1059" s="18"/>
      <c r="H1059" s="18"/>
    </row>
    <row r="1060" spans="4:8" s="11" customFormat="1">
      <c r="D1060" s="18"/>
      <c r="E1060" s="18"/>
      <c r="F1060" s="18"/>
      <c r="G1060" s="18"/>
      <c r="H1060" s="18"/>
    </row>
    <row r="1061" spans="4:8" s="11" customFormat="1">
      <c r="D1061" s="18"/>
      <c r="E1061" s="18"/>
      <c r="F1061" s="18"/>
      <c r="G1061" s="18"/>
      <c r="H1061" s="18"/>
    </row>
    <row r="1062" spans="4:8" s="11" customFormat="1">
      <c r="D1062" s="18"/>
      <c r="E1062" s="18"/>
      <c r="F1062" s="18"/>
      <c r="G1062" s="18"/>
      <c r="H1062" s="18"/>
    </row>
    <row r="1063" spans="4:8" s="11" customFormat="1">
      <c r="D1063" s="18"/>
      <c r="E1063" s="18"/>
      <c r="F1063" s="18"/>
      <c r="G1063" s="18"/>
      <c r="H1063" s="18"/>
    </row>
    <row r="1064" spans="4:8" s="11" customFormat="1">
      <c r="D1064" s="18"/>
      <c r="E1064" s="18"/>
      <c r="F1064" s="18"/>
      <c r="G1064" s="18"/>
      <c r="H1064" s="18"/>
    </row>
    <row r="1065" spans="4:8" s="11" customFormat="1">
      <c r="D1065" s="18"/>
      <c r="E1065" s="18"/>
      <c r="F1065" s="18"/>
      <c r="G1065" s="18"/>
      <c r="H1065" s="18"/>
    </row>
    <row r="1066" spans="4:8" s="11" customFormat="1">
      <c r="D1066" s="18"/>
      <c r="E1066" s="18"/>
      <c r="F1066" s="18"/>
      <c r="G1066" s="18"/>
      <c r="H1066" s="18"/>
    </row>
    <row r="1067" spans="4:8" s="11" customFormat="1">
      <c r="D1067" s="18"/>
      <c r="E1067" s="18"/>
      <c r="F1067" s="18"/>
      <c r="G1067" s="18"/>
      <c r="H1067" s="18"/>
    </row>
    <row r="1068" spans="4:8" s="11" customFormat="1">
      <c r="D1068" s="18"/>
      <c r="E1068" s="18"/>
      <c r="F1068" s="18"/>
      <c r="G1068" s="18"/>
      <c r="H1068" s="18"/>
    </row>
    <row r="1069" spans="4:8" s="11" customFormat="1">
      <c r="D1069" s="18"/>
      <c r="E1069" s="18"/>
      <c r="F1069" s="18"/>
      <c r="G1069" s="18"/>
      <c r="H1069" s="18"/>
    </row>
    <row r="1070" spans="4:8" s="11" customFormat="1">
      <c r="D1070" s="18"/>
      <c r="E1070" s="18"/>
      <c r="F1070" s="18"/>
      <c r="G1070" s="18"/>
      <c r="H1070" s="18"/>
    </row>
    <row r="1071" spans="4:8" s="11" customFormat="1">
      <c r="D1071" s="18"/>
      <c r="E1071" s="18"/>
      <c r="F1071" s="18"/>
      <c r="G1071" s="18"/>
      <c r="H1071" s="18"/>
    </row>
    <row r="1072" spans="4:8" s="11" customFormat="1">
      <c r="D1072" s="18"/>
      <c r="E1072" s="18"/>
      <c r="F1072" s="18"/>
      <c r="G1072" s="18"/>
      <c r="H1072" s="18"/>
    </row>
    <row r="1073" spans="4:8" s="11" customFormat="1">
      <c r="D1073" s="18"/>
      <c r="E1073" s="18"/>
      <c r="F1073" s="18"/>
      <c r="G1073" s="18"/>
      <c r="H1073" s="18"/>
    </row>
    <row r="1074" spans="4:8" s="11" customFormat="1">
      <c r="D1074" s="18"/>
      <c r="E1074" s="18"/>
      <c r="F1074" s="18"/>
      <c r="G1074" s="18"/>
      <c r="H1074" s="18"/>
    </row>
    <row r="1075" spans="4:8" s="11" customFormat="1">
      <c r="D1075" s="18"/>
      <c r="E1075" s="18"/>
      <c r="F1075" s="18"/>
      <c r="G1075" s="18"/>
      <c r="H1075" s="18"/>
    </row>
    <row r="1076" spans="4:8" s="11" customFormat="1">
      <c r="D1076" s="18"/>
      <c r="E1076" s="18"/>
      <c r="F1076" s="18"/>
      <c r="G1076" s="18"/>
      <c r="H1076" s="18"/>
    </row>
    <row r="1077" spans="4:8" s="11" customFormat="1">
      <c r="D1077" s="18"/>
      <c r="E1077" s="18"/>
      <c r="F1077" s="18"/>
      <c r="G1077" s="18"/>
      <c r="H1077" s="18"/>
    </row>
    <row r="1078" spans="4:8" s="11" customFormat="1">
      <c r="D1078" s="18"/>
      <c r="E1078" s="18"/>
      <c r="F1078" s="18"/>
      <c r="G1078" s="18"/>
      <c r="H1078" s="18"/>
    </row>
    <row r="1079" spans="4:8" s="11" customFormat="1">
      <c r="D1079" s="18"/>
      <c r="E1079" s="18"/>
      <c r="F1079" s="18"/>
      <c r="G1079" s="18"/>
      <c r="H1079" s="18"/>
    </row>
    <row r="1080" spans="4:8" s="11" customFormat="1">
      <c r="D1080" s="18"/>
      <c r="E1080" s="18"/>
      <c r="F1080" s="18"/>
      <c r="G1080" s="18"/>
      <c r="H1080" s="18"/>
    </row>
    <row r="1081" spans="4:8" s="11" customFormat="1">
      <c r="D1081" s="18"/>
      <c r="E1081" s="18"/>
      <c r="F1081" s="18"/>
      <c r="G1081" s="18"/>
      <c r="H1081" s="18"/>
    </row>
    <row r="1082" spans="4:8" s="11" customFormat="1">
      <c r="D1082" s="18"/>
      <c r="E1082" s="18"/>
      <c r="F1082" s="18"/>
      <c r="G1082" s="18"/>
      <c r="H1082" s="18"/>
    </row>
    <row r="1083" spans="4:8" s="11" customFormat="1">
      <c r="D1083" s="18"/>
      <c r="E1083" s="18"/>
      <c r="F1083" s="18"/>
      <c r="G1083" s="18"/>
      <c r="H1083" s="18"/>
    </row>
    <row r="1084" spans="4:8" s="11" customFormat="1">
      <c r="D1084" s="18"/>
      <c r="E1084" s="18"/>
      <c r="F1084" s="18"/>
      <c r="G1084" s="18"/>
      <c r="H1084" s="18"/>
    </row>
    <row r="1085" spans="4:8" s="11" customFormat="1">
      <c r="D1085" s="18"/>
      <c r="E1085" s="18"/>
      <c r="F1085" s="18"/>
      <c r="G1085" s="18"/>
      <c r="H1085" s="18"/>
    </row>
    <row r="1086" spans="4:8" s="11" customFormat="1">
      <c r="D1086" s="18"/>
      <c r="E1086" s="18"/>
      <c r="F1086" s="18"/>
      <c r="G1086" s="18"/>
      <c r="H1086" s="18"/>
    </row>
    <row r="1087" spans="4:8" s="11" customFormat="1">
      <c r="D1087" s="18"/>
      <c r="E1087" s="18"/>
      <c r="F1087" s="18"/>
      <c r="G1087" s="18"/>
      <c r="H1087" s="18"/>
    </row>
    <row r="1088" spans="4:8" s="11" customFormat="1">
      <c r="D1088" s="18"/>
      <c r="E1088" s="18"/>
      <c r="F1088" s="18"/>
      <c r="G1088" s="18"/>
      <c r="H1088" s="18"/>
    </row>
    <row r="1089" spans="4:8" s="11" customFormat="1">
      <c r="D1089" s="18"/>
      <c r="E1089" s="18"/>
      <c r="F1089" s="18"/>
      <c r="G1089" s="18"/>
      <c r="H1089" s="18"/>
    </row>
    <row r="1090" spans="4:8" s="11" customFormat="1">
      <c r="D1090" s="18"/>
      <c r="E1090" s="18"/>
      <c r="F1090" s="18"/>
      <c r="G1090" s="18"/>
      <c r="H1090" s="18"/>
    </row>
    <row r="1091" spans="4:8" s="11" customFormat="1">
      <c r="D1091" s="18"/>
      <c r="E1091" s="18"/>
      <c r="F1091" s="18"/>
      <c r="G1091" s="18"/>
      <c r="H1091" s="18"/>
    </row>
    <row r="1092" spans="4:8" s="11" customFormat="1">
      <c r="D1092" s="18"/>
      <c r="E1092" s="18"/>
      <c r="F1092" s="18"/>
      <c r="G1092" s="18"/>
      <c r="H1092" s="18"/>
    </row>
    <row r="1093" spans="4:8" s="11" customFormat="1">
      <c r="D1093" s="18"/>
      <c r="E1093" s="18"/>
      <c r="F1093" s="18"/>
      <c r="G1093" s="18"/>
      <c r="H1093" s="18"/>
    </row>
    <row r="1094" spans="4:8" s="11" customFormat="1">
      <c r="D1094" s="18"/>
      <c r="E1094" s="18"/>
      <c r="F1094" s="18"/>
      <c r="G1094" s="18"/>
      <c r="H1094" s="18"/>
    </row>
    <row r="1095" spans="4:8" s="11" customFormat="1">
      <c r="D1095" s="18"/>
      <c r="E1095" s="18"/>
      <c r="F1095" s="18"/>
      <c r="G1095" s="18"/>
      <c r="H1095" s="18"/>
    </row>
    <row r="1096" spans="4:8" s="11" customFormat="1">
      <c r="D1096" s="18"/>
      <c r="E1096" s="18"/>
      <c r="F1096" s="18"/>
      <c r="G1096" s="18"/>
      <c r="H1096" s="18"/>
    </row>
    <row r="1097" spans="4:8" s="11" customFormat="1">
      <c r="D1097" s="18"/>
      <c r="E1097" s="18"/>
      <c r="F1097" s="18"/>
      <c r="G1097" s="18"/>
      <c r="H1097" s="18"/>
    </row>
    <row r="1098" spans="4:8" s="11" customFormat="1">
      <c r="D1098" s="18"/>
      <c r="E1098" s="18"/>
      <c r="F1098" s="18"/>
      <c r="G1098" s="18"/>
      <c r="H1098" s="18"/>
    </row>
    <row r="1099" spans="4:8" s="11" customFormat="1">
      <c r="D1099" s="18"/>
      <c r="E1099" s="18"/>
      <c r="F1099" s="18"/>
      <c r="G1099" s="18"/>
      <c r="H1099" s="18"/>
    </row>
    <row r="1100" spans="4:8" s="11" customFormat="1">
      <c r="D1100" s="18"/>
      <c r="E1100" s="18"/>
      <c r="F1100" s="18"/>
      <c r="G1100" s="18"/>
      <c r="H1100" s="18"/>
    </row>
    <row r="1101" spans="4:8" s="11" customFormat="1">
      <c r="D1101" s="18"/>
      <c r="E1101" s="18"/>
      <c r="F1101" s="18"/>
      <c r="G1101" s="18"/>
      <c r="H1101" s="18"/>
    </row>
    <row r="1102" spans="4:8" s="11" customFormat="1">
      <c r="D1102" s="18"/>
      <c r="E1102" s="18"/>
      <c r="F1102" s="18"/>
      <c r="G1102" s="18"/>
      <c r="H1102" s="18"/>
    </row>
    <row r="1103" spans="4:8" s="11" customFormat="1">
      <c r="D1103" s="18"/>
      <c r="E1103" s="18"/>
      <c r="F1103" s="18"/>
      <c r="G1103" s="18"/>
      <c r="H1103" s="18"/>
    </row>
    <row r="1104" spans="4:8" s="11" customFormat="1">
      <c r="D1104" s="18"/>
      <c r="E1104" s="18"/>
      <c r="F1104" s="18"/>
      <c r="G1104" s="18"/>
      <c r="H1104" s="18"/>
    </row>
    <row r="1105" spans="4:8" s="11" customFormat="1">
      <c r="D1105" s="18"/>
      <c r="E1105" s="18"/>
      <c r="F1105" s="18"/>
      <c r="G1105" s="18"/>
      <c r="H1105" s="18"/>
    </row>
    <row r="1106" spans="4:8" s="11" customFormat="1">
      <c r="D1106" s="18"/>
      <c r="E1106" s="18"/>
      <c r="F1106" s="18"/>
      <c r="G1106" s="18"/>
      <c r="H1106" s="18"/>
    </row>
    <row r="1107" spans="4:8" s="11" customFormat="1">
      <c r="D1107" s="18"/>
      <c r="E1107" s="18"/>
      <c r="F1107" s="18"/>
      <c r="G1107" s="18"/>
      <c r="H1107" s="18"/>
    </row>
    <row r="1108" spans="4:8" s="11" customFormat="1">
      <c r="D1108" s="18"/>
      <c r="E1108" s="18"/>
      <c r="F1108" s="18"/>
      <c r="G1108" s="18"/>
      <c r="H1108" s="18"/>
    </row>
    <row r="1109" spans="4:8" s="11" customFormat="1">
      <c r="D1109" s="18"/>
      <c r="E1109" s="18"/>
      <c r="F1109" s="18"/>
      <c r="G1109" s="18"/>
      <c r="H1109" s="18"/>
    </row>
    <row r="1110" spans="4:8" s="11" customFormat="1">
      <c r="D1110" s="18"/>
      <c r="E1110" s="18"/>
      <c r="F1110" s="18"/>
      <c r="G1110" s="18"/>
      <c r="H1110" s="18"/>
    </row>
    <row r="1111" spans="4:8" s="11" customFormat="1">
      <c r="D1111" s="18"/>
      <c r="E1111" s="18"/>
      <c r="F1111" s="18"/>
      <c r="G1111" s="18"/>
      <c r="H1111" s="18"/>
    </row>
    <row r="1112" spans="4:8" s="11" customFormat="1">
      <c r="D1112" s="18"/>
      <c r="E1112" s="18"/>
      <c r="F1112" s="18"/>
      <c r="G1112" s="18"/>
      <c r="H1112" s="18"/>
    </row>
    <row r="1113" spans="4:8" s="11" customFormat="1">
      <c r="D1113" s="18"/>
      <c r="E1113" s="18"/>
      <c r="F1113" s="18"/>
      <c r="G1113" s="18"/>
      <c r="H1113" s="18"/>
    </row>
    <row r="1114" spans="4:8" s="11" customFormat="1">
      <c r="D1114" s="18"/>
      <c r="E1114" s="18"/>
      <c r="F1114" s="18"/>
      <c r="G1114" s="18"/>
      <c r="H1114" s="18"/>
    </row>
    <row r="1115" spans="4:8" s="11" customFormat="1">
      <c r="D1115" s="18"/>
      <c r="E1115" s="18"/>
      <c r="F1115" s="18"/>
      <c r="G1115" s="18"/>
      <c r="H1115" s="18"/>
    </row>
    <row r="1116" spans="4:8" s="11" customFormat="1">
      <c r="D1116" s="18"/>
      <c r="E1116" s="18"/>
      <c r="F1116" s="18"/>
      <c r="G1116" s="18"/>
      <c r="H1116" s="18"/>
    </row>
    <row r="1117" spans="4:8" s="11" customFormat="1">
      <c r="D1117" s="18"/>
      <c r="E1117" s="18"/>
      <c r="F1117" s="18"/>
      <c r="G1117" s="18"/>
      <c r="H1117" s="18"/>
    </row>
    <row r="1118" spans="4:8" s="11" customFormat="1">
      <c r="D1118" s="18"/>
      <c r="E1118" s="18"/>
      <c r="F1118" s="18"/>
      <c r="G1118" s="18"/>
      <c r="H1118" s="18"/>
    </row>
    <row r="1119" spans="4:8" s="11" customFormat="1">
      <c r="D1119" s="18"/>
      <c r="E1119" s="18"/>
      <c r="F1119" s="18"/>
      <c r="G1119" s="18"/>
      <c r="H1119" s="18"/>
    </row>
    <row r="1120" spans="4:8" s="11" customFormat="1">
      <c r="D1120" s="18"/>
      <c r="E1120" s="18"/>
      <c r="F1120" s="18"/>
      <c r="G1120" s="18"/>
      <c r="H1120" s="18"/>
    </row>
    <row r="1121" spans="4:8" s="11" customFormat="1">
      <c r="D1121" s="18"/>
      <c r="E1121" s="18"/>
      <c r="F1121" s="18"/>
      <c r="G1121" s="18"/>
      <c r="H1121" s="18"/>
    </row>
    <row r="1122" spans="4:8" s="11" customFormat="1">
      <c r="D1122" s="18"/>
      <c r="E1122" s="18"/>
      <c r="F1122" s="18"/>
      <c r="G1122" s="18"/>
      <c r="H1122" s="18"/>
    </row>
    <row r="1123" spans="4:8" s="11" customFormat="1">
      <c r="D1123" s="18"/>
      <c r="E1123" s="18"/>
      <c r="F1123" s="18"/>
      <c r="G1123" s="18"/>
      <c r="H1123" s="18"/>
    </row>
    <row r="1124" spans="4:8" s="11" customFormat="1">
      <c r="D1124" s="18"/>
      <c r="E1124" s="18"/>
      <c r="F1124" s="18"/>
      <c r="G1124" s="18"/>
      <c r="H1124" s="18"/>
    </row>
    <row r="1125" spans="4:8" s="11" customFormat="1">
      <c r="D1125" s="18"/>
      <c r="E1125" s="18"/>
      <c r="F1125" s="18"/>
      <c r="G1125" s="18"/>
      <c r="H1125" s="18"/>
    </row>
    <row r="1126" spans="4:8" s="11" customFormat="1">
      <c r="D1126" s="18"/>
      <c r="E1126" s="18"/>
      <c r="F1126" s="18"/>
      <c r="G1126" s="18"/>
      <c r="H1126" s="18"/>
    </row>
    <row r="1127" spans="4:8" s="11" customFormat="1">
      <c r="D1127" s="18"/>
      <c r="E1127" s="18"/>
      <c r="F1127" s="18"/>
      <c r="G1127" s="18"/>
      <c r="H1127" s="18"/>
    </row>
    <row r="1128" spans="4:8" s="11" customFormat="1">
      <c r="D1128" s="18"/>
      <c r="E1128" s="18"/>
      <c r="F1128" s="18"/>
      <c r="G1128" s="18"/>
      <c r="H1128" s="18"/>
    </row>
    <row r="1129" spans="4:8" s="11" customFormat="1">
      <c r="D1129" s="18"/>
      <c r="E1129" s="18"/>
      <c r="F1129" s="18"/>
      <c r="G1129" s="18"/>
      <c r="H1129" s="18"/>
    </row>
    <row r="1130" spans="4:8" s="11" customFormat="1">
      <c r="D1130" s="18"/>
      <c r="E1130" s="18"/>
      <c r="F1130" s="18"/>
      <c r="G1130" s="18"/>
      <c r="H1130" s="18"/>
    </row>
    <row r="1131" spans="4:8" s="11" customFormat="1">
      <c r="D1131" s="18"/>
      <c r="E1131" s="18"/>
      <c r="F1131" s="18"/>
      <c r="G1131" s="18"/>
      <c r="H1131" s="18"/>
    </row>
    <row r="1132" spans="4:8" s="11" customFormat="1">
      <c r="D1132" s="18"/>
      <c r="E1132" s="18"/>
      <c r="F1132" s="18"/>
      <c r="G1132" s="18"/>
      <c r="H1132" s="18"/>
    </row>
    <row r="1133" spans="4:8" s="11" customFormat="1">
      <c r="D1133" s="18"/>
      <c r="E1133" s="18"/>
      <c r="F1133" s="18"/>
      <c r="G1133" s="18"/>
      <c r="H1133" s="18"/>
    </row>
    <row r="1134" spans="4:8" s="11" customFormat="1">
      <c r="D1134" s="18"/>
      <c r="E1134" s="18"/>
      <c r="F1134" s="18"/>
      <c r="G1134" s="18"/>
      <c r="H1134" s="18"/>
    </row>
    <row r="1135" spans="4:8" s="11" customFormat="1">
      <c r="D1135" s="18"/>
      <c r="E1135" s="18"/>
      <c r="F1135" s="18"/>
      <c r="G1135" s="18"/>
      <c r="H1135" s="18"/>
    </row>
    <row r="1136" spans="4:8" s="11" customFormat="1">
      <c r="D1136" s="18"/>
      <c r="E1136" s="18"/>
      <c r="F1136" s="18"/>
      <c r="G1136" s="18"/>
      <c r="H1136" s="18"/>
    </row>
    <row r="1137" spans="4:8" s="11" customFormat="1">
      <c r="D1137" s="18"/>
      <c r="E1137" s="18"/>
      <c r="F1137" s="18"/>
      <c r="G1137" s="18"/>
      <c r="H1137" s="18"/>
    </row>
    <row r="1138" spans="4:8" s="11" customFormat="1">
      <c r="D1138" s="18"/>
      <c r="E1138" s="18"/>
      <c r="F1138" s="18"/>
      <c r="G1138" s="18"/>
      <c r="H1138" s="18"/>
    </row>
    <row r="1139" spans="4:8" s="11" customFormat="1">
      <c r="D1139" s="18"/>
      <c r="E1139" s="18"/>
      <c r="F1139" s="18"/>
      <c r="G1139" s="18"/>
      <c r="H1139" s="18"/>
    </row>
    <row r="1140" spans="4:8" s="11" customFormat="1">
      <c r="D1140" s="18"/>
      <c r="E1140" s="18"/>
      <c r="F1140" s="18"/>
      <c r="G1140" s="18"/>
      <c r="H1140" s="18"/>
    </row>
    <row r="1141" spans="4:8" s="11" customFormat="1">
      <c r="D1141" s="18"/>
      <c r="E1141" s="18"/>
      <c r="F1141" s="18"/>
      <c r="G1141" s="18"/>
      <c r="H1141" s="18"/>
    </row>
    <row r="1142" spans="4:8" s="11" customFormat="1">
      <c r="D1142" s="18"/>
      <c r="E1142" s="18"/>
      <c r="F1142" s="18"/>
      <c r="G1142" s="18"/>
      <c r="H1142" s="18"/>
    </row>
    <row r="1143" spans="4:8" s="11" customFormat="1">
      <c r="D1143" s="18"/>
      <c r="E1143" s="18"/>
      <c r="F1143" s="18"/>
      <c r="G1143" s="18"/>
      <c r="H1143" s="18"/>
    </row>
    <row r="1144" spans="4:8" s="11" customFormat="1">
      <c r="D1144" s="18"/>
      <c r="E1144" s="18"/>
      <c r="F1144" s="18"/>
      <c r="G1144" s="18"/>
      <c r="H1144" s="18"/>
    </row>
    <row r="1145" spans="4:8" s="11" customFormat="1">
      <c r="D1145" s="18"/>
      <c r="E1145" s="18"/>
      <c r="F1145" s="18"/>
      <c r="G1145" s="18"/>
      <c r="H1145" s="18"/>
    </row>
    <row r="1146" spans="4:8" s="11" customFormat="1">
      <c r="D1146" s="18"/>
      <c r="E1146" s="18"/>
      <c r="F1146" s="18"/>
      <c r="G1146" s="18"/>
      <c r="H1146" s="18"/>
    </row>
    <row r="1147" spans="4:8" s="11" customFormat="1">
      <c r="D1147" s="18"/>
      <c r="E1147" s="18"/>
      <c r="F1147" s="18"/>
      <c r="G1147" s="18"/>
      <c r="H1147" s="18"/>
    </row>
    <row r="1148" spans="4:8" s="11" customFormat="1">
      <c r="D1148" s="18"/>
      <c r="E1148" s="18"/>
      <c r="F1148" s="18"/>
      <c r="G1148" s="18"/>
      <c r="H1148" s="18"/>
    </row>
    <row r="1149" spans="4:8" s="11" customFormat="1">
      <c r="D1149" s="18"/>
      <c r="E1149" s="18"/>
      <c r="F1149" s="18"/>
      <c r="G1149" s="18"/>
      <c r="H1149" s="18"/>
    </row>
    <row r="1150" spans="4:8" s="11" customFormat="1">
      <c r="D1150" s="18"/>
      <c r="E1150" s="18"/>
      <c r="F1150" s="18"/>
      <c r="G1150" s="18"/>
      <c r="H1150" s="18"/>
    </row>
    <row r="1151" spans="4:8" s="11" customFormat="1">
      <c r="D1151" s="18"/>
      <c r="E1151" s="18"/>
      <c r="F1151" s="18"/>
      <c r="G1151" s="18"/>
      <c r="H1151" s="18"/>
    </row>
    <row r="1152" spans="4:8" s="11" customFormat="1">
      <c r="D1152" s="18"/>
      <c r="E1152" s="18"/>
      <c r="F1152" s="18"/>
      <c r="G1152" s="18"/>
      <c r="H1152" s="18"/>
    </row>
    <row r="1153" spans="4:8" s="11" customFormat="1">
      <c r="D1153" s="18"/>
      <c r="E1153" s="18"/>
      <c r="F1153" s="18"/>
      <c r="G1153" s="18"/>
      <c r="H1153" s="18"/>
    </row>
    <row r="1154" spans="4:8" s="11" customFormat="1">
      <c r="D1154" s="18"/>
      <c r="E1154" s="18"/>
      <c r="F1154" s="18"/>
      <c r="G1154" s="18"/>
      <c r="H1154" s="18"/>
    </row>
    <row r="1155" spans="4:8" s="11" customFormat="1">
      <c r="D1155" s="18"/>
      <c r="E1155" s="18"/>
      <c r="F1155" s="18"/>
      <c r="G1155" s="18"/>
      <c r="H1155" s="18"/>
    </row>
    <row r="1156" spans="4:8" s="11" customFormat="1">
      <c r="D1156" s="18"/>
      <c r="E1156" s="18"/>
      <c r="F1156" s="18"/>
      <c r="G1156" s="18"/>
      <c r="H1156" s="18"/>
    </row>
    <row r="1157" spans="4:8" s="11" customFormat="1">
      <c r="D1157" s="18"/>
      <c r="E1157" s="18"/>
      <c r="F1157" s="18"/>
      <c r="G1157" s="18"/>
      <c r="H1157" s="18"/>
    </row>
    <row r="1158" spans="4:8" s="11" customFormat="1">
      <c r="D1158" s="18"/>
      <c r="E1158" s="18"/>
      <c r="F1158" s="18"/>
      <c r="G1158" s="18"/>
      <c r="H1158" s="18"/>
    </row>
    <row r="1159" spans="4:8" s="11" customFormat="1">
      <c r="D1159" s="18"/>
      <c r="E1159" s="18"/>
      <c r="F1159" s="18"/>
      <c r="G1159" s="18"/>
      <c r="H1159" s="18"/>
    </row>
    <row r="1160" spans="4:8" s="11" customFormat="1">
      <c r="D1160" s="18"/>
      <c r="E1160" s="18"/>
      <c r="F1160" s="18"/>
      <c r="G1160" s="18"/>
      <c r="H1160" s="18"/>
    </row>
    <row r="1161" spans="4:8" s="11" customFormat="1">
      <c r="D1161" s="18"/>
      <c r="E1161" s="18"/>
      <c r="F1161" s="18"/>
      <c r="G1161" s="18"/>
      <c r="H1161" s="18"/>
    </row>
    <row r="1162" spans="4:8" s="11" customFormat="1">
      <c r="D1162" s="18"/>
      <c r="E1162" s="18"/>
      <c r="F1162" s="18"/>
      <c r="G1162" s="18"/>
      <c r="H1162" s="18"/>
    </row>
    <row r="1163" spans="4:8" s="11" customFormat="1">
      <c r="D1163" s="18"/>
      <c r="E1163" s="18"/>
      <c r="F1163" s="18"/>
      <c r="G1163" s="18"/>
      <c r="H1163" s="18"/>
    </row>
    <row r="1164" spans="4:8" s="11" customFormat="1">
      <c r="D1164" s="18"/>
      <c r="E1164" s="18"/>
      <c r="F1164" s="18"/>
      <c r="G1164" s="18"/>
      <c r="H1164" s="18"/>
    </row>
    <row r="1165" spans="4:8" s="11" customFormat="1">
      <c r="D1165" s="18"/>
      <c r="E1165" s="18"/>
      <c r="F1165" s="18"/>
      <c r="G1165" s="18"/>
      <c r="H1165" s="18"/>
    </row>
    <row r="1166" spans="4:8" s="11" customFormat="1">
      <c r="D1166" s="18"/>
      <c r="E1166" s="18"/>
      <c r="F1166" s="18"/>
      <c r="G1166" s="18"/>
      <c r="H1166" s="18"/>
    </row>
    <row r="1167" spans="4:8" s="11" customFormat="1">
      <c r="D1167" s="18"/>
      <c r="E1167" s="18"/>
      <c r="F1167" s="18"/>
      <c r="G1167" s="18"/>
      <c r="H1167" s="18"/>
    </row>
    <row r="1168" spans="4:8" s="11" customFormat="1">
      <c r="D1168" s="18"/>
      <c r="E1168" s="18"/>
      <c r="F1168" s="18"/>
      <c r="G1168" s="18"/>
      <c r="H1168" s="18"/>
    </row>
    <row r="1169" spans="4:8" s="11" customFormat="1">
      <c r="D1169" s="18"/>
      <c r="E1169" s="18"/>
      <c r="F1169" s="18"/>
      <c r="G1169" s="18"/>
      <c r="H1169" s="18"/>
    </row>
    <row r="1170" spans="4:8" s="11" customFormat="1">
      <c r="D1170" s="18"/>
      <c r="E1170" s="18"/>
      <c r="F1170" s="18"/>
      <c r="G1170" s="18"/>
      <c r="H1170" s="18"/>
    </row>
    <row r="1171" spans="4:8" s="11" customFormat="1">
      <c r="D1171" s="18"/>
      <c r="E1171" s="18"/>
      <c r="F1171" s="18"/>
      <c r="G1171" s="18"/>
      <c r="H1171" s="18"/>
    </row>
    <row r="1172" spans="4:8" s="11" customFormat="1">
      <c r="D1172" s="18"/>
      <c r="E1172" s="18"/>
      <c r="F1172" s="18"/>
      <c r="G1172" s="18"/>
      <c r="H1172" s="18"/>
    </row>
    <row r="1173" spans="4:8" s="11" customFormat="1">
      <c r="D1173" s="18"/>
      <c r="E1173" s="18"/>
      <c r="F1173" s="18"/>
      <c r="G1173" s="18"/>
      <c r="H1173" s="18"/>
    </row>
    <row r="1174" spans="4:8" s="11" customFormat="1">
      <c r="D1174" s="18"/>
      <c r="E1174" s="18"/>
      <c r="F1174" s="18"/>
      <c r="G1174" s="18"/>
      <c r="H1174" s="18"/>
    </row>
    <row r="1175" spans="4:8" s="11" customFormat="1">
      <c r="D1175" s="18"/>
      <c r="E1175" s="18"/>
      <c r="F1175" s="18"/>
      <c r="G1175" s="18"/>
      <c r="H1175" s="18"/>
    </row>
    <row r="1176" spans="4:8" s="11" customFormat="1">
      <c r="D1176" s="18"/>
      <c r="E1176" s="18"/>
      <c r="F1176" s="18"/>
      <c r="G1176" s="18"/>
      <c r="H1176" s="18"/>
    </row>
    <row r="1177" spans="4:8" s="11" customFormat="1">
      <c r="D1177" s="18"/>
      <c r="E1177" s="18"/>
      <c r="F1177" s="18"/>
      <c r="G1177" s="18"/>
      <c r="H1177" s="18"/>
    </row>
    <row r="1178" spans="4:8" s="11" customFormat="1">
      <c r="D1178" s="18"/>
      <c r="E1178" s="18"/>
      <c r="F1178" s="18"/>
      <c r="G1178" s="18"/>
      <c r="H1178" s="18"/>
    </row>
    <row r="1179" spans="4:8" s="11" customFormat="1">
      <c r="D1179" s="18"/>
      <c r="E1179" s="18"/>
      <c r="F1179" s="18"/>
      <c r="G1179" s="18"/>
      <c r="H1179" s="18"/>
    </row>
    <row r="1180" spans="4:8" s="11" customFormat="1">
      <c r="D1180" s="18"/>
      <c r="E1180" s="18"/>
      <c r="F1180" s="18"/>
      <c r="G1180" s="18"/>
      <c r="H1180" s="18"/>
    </row>
    <row r="1181" spans="4:8" s="11" customFormat="1">
      <c r="D1181" s="18"/>
      <c r="E1181" s="18"/>
      <c r="F1181" s="18"/>
      <c r="G1181" s="18"/>
      <c r="H1181" s="18"/>
    </row>
    <row r="1182" spans="4:8" s="11" customFormat="1">
      <c r="D1182" s="18"/>
      <c r="E1182" s="18"/>
      <c r="F1182" s="18"/>
      <c r="G1182" s="18"/>
      <c r="H1182" s="18"/>
    </row>
    <row r="1183" spans="4:8" s="11" customFormat="1">
      <c r="D1183" s="18"/>
      <c r="E1183" s="18"/>
      <c r="F1183" s="18"/>
      <c r="G1183" s="18"/>
      <c r="H1183" s="18"/>
    </row>
    <row r="1184" spans="4:8" s="11" customFormat="1">
      <c r="D1184" s="18"/>
      <c r="E1184" s="18"/>
      <c r="F1184" s="18"/>
      <c r="G1184" s="18"/>
      <c r="H1184" s="18"/>
    </row>
    <row r="1185" spans="4:8" s="11" customFormat="1">
      <c r="D1185" s="18"/>
      <c r="E1185" s="18"/>
      <c r="F1185" s="18"/>
      <c r="G1185" s="18"/>
      <c r="H1185" s="18"/>
    </row>
    <row r="1186" spans="4:8" s="11" customFormat="1">
      <c r="D1186" s="18"/>
      <c r="E1186" s="18"/>
      <c r="F1186" s="18"/>
      <c r="G1186" s="18"/>
      <c r="H1186" s="18"/>
    </row>
    <row r="1187" spans="4:8" s="11" customFormat="1">
      <c r="D1187" s="18"/>
      <c r="E1187" s="18"/>
      <c r="F1187" s="18"/>
      <c r="G1187" s="18"/>
      <c r="H1187" s="18"/>
    </row>
    <row r="1188" spans="4:8" s="11" customFormat="1">
      <c r="D1188" s="18"/>
      <c r="E1188" s="18"/>
      <c r="F1188" s="18"/>
      <c r="G1188" s="18"/>
      <c r="H1188" s="18"/>
    </row>
    <row r="1189" spans="4:8" s="11" customFormat="1">
      <c r="D1189" s="18"/>
      <c r="E1189" s="18"/>
      <c r="F1189" s="18"/>
      <c r="G1189" s="18"/>
      <c r="H1189" s="18"/>
    </row>
    <row r="1190" spans="4:8" s="11" customFormat="1">
      <c r="D1190" s="18"/>
      <c r="E1190" s="18"/>
      <c r="F1190" s="18"/>
      <c r="G1190" s="18"/>
      <c r="H1190" s="18"/>
    </row>
    <row r="1191" spans="4:8" s="11" customFormat="1">
      <c r="D1191" s="18"/>
      <c r="E1191" s="18"/>
      <c r="F1191" s="18"/>
      <c r="G1191" s="18"/>
      <c r="H1191" s="18"/>
    </row>
    <row r="1192" spans="4:8" s="11" customFormat="1">
      <c r="D1192" s="18"/>
      <c r="E1192" s="18"/>
      <c r="F1192" s="18"/>
      <c r="G1192" s="18"/>
      <c r="H1192" s="18"/>
    </row>
    <row r="1193" spans="4:8" s="11" customFormat="1">
      <c r="D1193" s="18"/>
      <c r="E1193" s="18"/>
      <c r="F1193" s="18"/>
      <c r="G1193" s="18"/>
      <c r="H1193" s="18"/>
    </row>
    <row r="1194" spans="4:8" s="11" customFormat="1">
      <c r="D1194" s="18"/>
      <c r="E1194" s="18"/>
      <c r="F1194" s="18"/>
      <c r="G1194" s="18"/>
      <c r="H1194" s="18"/>
    </row>
    <row r="1195" spans="4:8" s="11" customFormat="1">
      <c r="D1195" s="18"/>
      <c r="E1195" s="18"/>
      <c r="F1195" s="18"/>
      <c r="G1195" s="18"/>
      <c r="H1195" s="18"/>
    </row>
    <row r="1196" spans="4:8" s="11" customFormat="1">
      <c r="D1196" s="18"/>
      <c r="E1196" s="18"/>
      <c r="F1196" s="18"/>
      <c r="G1196" s="18"/>
      <c r="H1196" s="18"/>
    </row>
    <row r="1197" spans="4:8" s="11" customFormat="1">
      <c r="D1197" s="18"/>
      <c r="E1197" s="18"/>
      <c r="F1197" s="18"/>
      <c r="G1197" s="18"/>
      <c r="H1197" s="18"/>
    </row>
    <row r="1198" spans="4:8" s="11" customFormat="1">
      <c r="D1198" s="18"/>
      <c r="E1198" s="18"/>
      <c r="F1198" s="18"/>
      <c r="G1198" s="18"/>
      <c r="H1198" s="18"/>
    </row>
    <row r="1199" spans="4:8" s="11" customFormat="1">
      <c r="D1199" s="18"/>
      <c r="E1199" s="18"/>
      <c r="F1199" s="18"/>
      <c r="G1199" s="18"/>
      <c r="H1199" s="18"/>
    </row>
    <row r="1200" spans="4:8" s="11" customFormat="1">
      <c r="D1200" s="18"/>
      <c r="E1200" s="18"/>
      <c r="F1200" s="18"/>
      <c r="G1200" s="18"/>
      <c r="H1200" s="18"/>
    </row>
    <row r="1201" spans="4:8" s="11" customFormat="1">
      <c r="D1201" s="18"/>
      <c r="E1201" s="18"/>
      <c r="F1201" s="18"/>
      <c r="G1201" s="18"/>
      <c r="H1201" s="18"/>
    </row>
    <row r="1202" spans="4:8" s="11" customFormat="1">
      <c r="D1202" s="18"/>
      <c r="E1202" s="18"/>
      <c r="F1202" s="18"/>
      <c r="G1202" s="18"/>
      <c r="H1202" s="18"/>
    </row>
    <row r="1203" spans="4:8" s="11" customFormat="1">
      <c r="D1203" s="18"/>
      <c r="E1203" s="18"/>
      <c r="F1203" s="18"/>
      <c r="G1203" s="18"/>
      <c r="H1203" s="18"/>
    </row>
    <row r="1204" spans="4:8" s="11" customFormat="1">
      <c r="D1204" s="18"/>
      <c r="E1204" s="18"/>
      <c r="F1204" s="18"/>
      <c r="G1204" s="18"/>
      <c r="H1204" s="18"/>
    </row>
    <row r="1205" spans="4:8" s="11" customFormat="1">
      <c r="D1205" s="18"/>
      <c r="E1205" s="18"/>
      <c r="F1205" s="18"/>
      <c r="G1205" s="18"/>
      <c r="H1205" s="18"/>
    </row>
    <row r="1206" spans="4:8" s="11" customFormat="1">
      <c r="D1206" s="18"/>
      <c r="E1206" s="18"/>
      <c r="F1206" s="18"/>
      <c r="G1206" s="18"/>
      <c r="H1206" s="18"/>
    </row>
    <row r="1207" spans="4:8" s="11" customFormat="1">
      <c r="D1207" s="18"/>
      <c r="E1207" s="18"/>
      <c r="F1207" s="18"/>
      <c r="G1207" s="18"/>
      <c r="H1207" s="18"/>
    </row>
    <row r="1208" spans="4:8" s="11" customFormat="1">
      <c r="D1208" s="18"/>
      <c r="E1208" s="18"/>
      <c r="F1208" s="18"/>
      <c r="G1208" s="18"/>
      <c r="H1208" s="18"/>
    </row>
    <row r="1209" spans="4:8" s="11" customFormat="1">
      <c r="D1209" s="18"/>
      <c r="E1209" s="18"/>
      <c r="F1209" s="18"/>
      <c r="G1209" s="18"/>
      <c r="H1209" s="18"/>
    </row>
    <row r="1210" spans="4:8" s="11" customFormat="1">
      <c r="D1210" s="18"/>
      <c r="E1210" s="18"/>
      <c r="F1210" s="18"/>
      <c r="G1210" s="18"/>
      <c r="H1210" s="18"/>
    </row>
    <row r="1211" spans="4:8" s="11" customFormat="1">
      <c r="D1211" s="18"/>
      <c r="E1211" s="18"/>
      <c r="F1211" s="18"/>
      <c r="G1211" s="18"/>
      <c r="H1211" s="18"/>
    </row>
    <row r="1212" spans="4:8" s="11" customFormat="1">
      <c r="D1212" s="18"/>
      <c r="E1212" s="18"/>
      <c r="F1212" s="18"/>
      <c r="G1212" s="18"/>
      <c r="H1212" s="18"/>
    </row>
    <row r="1213" spans="4:8" s="11" customFormat="1">
      <c r="D1213" s="18"/>
      <c r="E1213" s="18"/>
      <c r="F1213" s="18"/>
      <c r="G1213" s="18"/>
      <c r="H1213" s="18"/>
    </row>
    <row r="1214" spans="4:8" s="11" customFormat="1">
      <c r="D1214" s="18"/>
      <c r="E1214" s="18"/>
      <c r="F1214" s="18"/>
      <c r="G1214" s="18"/>
      <c r="H1214" s="18"/>
    </row>
    <row r="1215" spans="4:8" s="11" customFormat="1">
      <c r="D1215" s="18"/>
      <c r="E1215" s="18"/>
      <c r="F1215" s="18"/>
      <c r="G1215" s="18"/>
      <c r="H1215" s="18"/>
    </row>
    <row r="1216" spans="4:8" s="11" customFormat="1">
      <c r="D1216" s="18"/>
      <c r="E1216" s="18"/>
      <c r="F1216" s="18"/>
      <c r="G1216" s="18"/>
      <c r="H1216" s="18"/>
    </row>
    <row r="1217" spans="4:8" s="11" customFormat="1">
      <c r="D1217" s="18"/>
      <c r="E1217" s="18"/>
      <c r="F1217" s="18"/>
      <c r="G1217" s="18"/>
      <c r="H1217" s="18"/>
    </row>
    <row r="1218" spans="4:8" s="11" customFormat="1">
      <c r="D1218" s="18"/>
      <c r="E1218" s="18"/>
      <c r="F1218" s="18"/>
      <c r="G1218" s="18"/>
      <c r="H1218" s="18"/>
    </row>
    <row r="1219" spans="4:8" s="11" customFormat="1">
      <c r="D1219" s="18"/>
      <c r="E1219" s="18"/>
      <c r="F1219" s="18"/>
      <c r="G1219" s="18"/>
      <c r="H1219" s="18"/>
    </row>
    <row r="1220" spans="4:8" s="11" customFormat="1">
      <c r="D1220" s="18"/>
      <c r="E1220" s="18"/>
      <c r="F1220" s="18"/>
      <c r="G1220" s="18"/>
      <c r="H1220" s="18"/>
    </row>
    <row r="1221" spans="4:8" s="11" customFormat="1">
      <c r="D1221" s="18"/>
      <c r="E1221" s="18"/>
      <c r="F1221" s="18"/>
      <c r="G1221" s="18"/>
      <c r="H1221" s="18"/>
    </row>
    <row r="1222" spans="4:8" s="11" customFormat="1">
      <c r="D1222" s="18"/>
      <c r="E1222" s="18"/>
      <c r="F1222" s="18"/>
      <c r="G1222" s="18"/>
      <c r="H1222" s="18"/>
    </row>
    <row r="1223" spans="4:8" s="11" customFormat="1">
      <c r="D1223" s="18"/>
      <c r="E1223" s="18"/>
      <c r="F1223" s="18"/>
      <c r="G1223" s="18"/>
      <c r="H1223" s="18"/>
    </row>
    <row r="1224" spans="4:8" s="11" customFormat="1">
      <c r="D1224" s="18"/>
      <c r="E1224" s="18"/>
      <c r="F1224" s="18"/>
      <c r="G1224" s="18"/>
      <c r="H1224" s="18"/>
    </row>
    <row r="1225" spans="4:8" s="11" customFormat="1">
      <c r="D1225" s="18"/>
      <c r="E1225" s="18"/>
      <c r="F1225" s="18"/>
      <c r="G1225" s="18"/>
      <c r="H1225" s="18"/>
    </row>
    <row r="1226" spans="4:8" s="11" customFormat="1">
      <c r="D1226" s="18"/>
      <c r="E1226" s="18"/>
      <c r="F1226" s="18"/>
      <c r="G1226" s="18"/>
      <c r="H1226" s="18"/>
    </row>
    <row r="1227" spans="4:8" s="11" customFormat="1">
      <c r="D1227" s="18"/>
      <c r="E1227" s="18"/>
      <c r="F1227" s="18"/>
      <c r="G1227" s="18"/>
      <c r="H1227" s="18"/>
    </row>
    <row r="1228" spans="4:8" s="11" customFormat="1">
      <c r="D1228" s="18"/>
      <c r="E1228" s="18"/>
      <c r="F1228" s="18"/>
      <c r="G1228" s="18"/>
      <c r="H1228" s="18"/>
    </row>
    <row r="1229" spans="4:8" s="11" customFormat="1">
      <c r="D1229" s="18"/>
      <c r="E1229" s="18"/>
      <c r="F1229" s="18"/>
      <c r="G1229" s="18"/>
      <c r="H1229" s="18"/>
    </row>
    <row r="1230" spans="4:8" s="11" customFormat="1">
      <c r="D1230" s="18"/>
      <c r="E1230" s="18"/>
      <c r="F1230" s="18"/>
      <c r="G1230" s="18"/>
      <c r="H1230" s="18"/>
    </row>
    <row r="1231" spans="4:8" s="11" customFormat="1">
      <c r="D1231" s="18"/>
      <c r="E1231" s="18"/>
      <c r="F1231" s="18"/>
      <c r="G1231" s="18"/>
      <c r="H1231" s="18"/>
    </row>
    <row r="1232" spans="4:8" s="11" customFormat="1">
      <c r="D1232" s="18"/>
      <c r="E1232" s="18"/>
      <c r="F1232" s="18"/>
      <c r="G1232" s="18"/>
      <c r="H1232" s="18"/>
    </row>
    <row r="1233" spans="4:8" s="11" customFormat="1">
      <c r="D1233" s="18"/>
      <c r="E1233" s="18"/>
      <c r="F1233" s="18"/>
      <c r="G1233" s="18"/>
      <c r="H1233" s="18"/>
    </row>
    <row r="1234" spans="4:8" s="11" customFormat="1">
      <c r="D1234" s="18"/>
      <c r="E1234" s="18"/>
      <c r="F1234" s="18"/>
      <c r="G1234" s="18"/>
      <c r="H1234" s="18"/>
    </row>
    <row r="1235" spans="4:8" s="11" customFormat="1">
      <c r="D1235" s="18"/>
      <c r="E1235" s="18"/>
      <c r="F1235" s="18"/>
      <c r="G1235" s="18"/>
      <c r="H1235" s="18"/>
    </row>
    <row r="1236" spans="4:8" s="11" customFormat="1">
      <c r="D1236" s="18"/>
      <c r="E1236" s="18"/>
      <c r="F1236" s="18"/>
      <c r="G1236" s="18"/>
      <c r="H1236" s="18"/>
    </row>
    <row r="1237" spans="4:8" s="11" customFormat="1">
      <c r="D1237" s="18"/>
      <c r="E1237" s="18"/>
      <c r="F1237" s="18"/>
      <c r="G1237" s="18"/>
      <c r="H1237" s="18"/>
    </row>
    <row r="1238" spans="4:8" s="11" customFormat="1">
      <c r="D1238" s="18"/>
      <c r="E1238" s="18"/>
      <c r="F1238" s="18"/>
      <c r="G1238" s="18"/>
      <c r="H1238" s="18"/>
    </row>
    <row r="1239" spans="4:8" s="11" customFormat="1">
      <c r="D1239" s="18"/>
      <c r="E1239" s="18"/>
      <c r="F1239" s="18"/>
      <c r="G1239" s="18"/>
      <c r="H1239" s="18"/>
    </row>
    <row r="1240" spans="4:8" s="11" customFormat="1">
      <c r="D1240" s="18"/>
      <c r="E1240" s="18"/>
      <c r="F1240" s="18"/>
      <c r="G1240" s="18"/>
      <c r="H1240" s="18"/>
    </row>
    <row r="1241" spans="4:8" s="11" customFormat="1">
      <c r="D1241" s="18"/>
      <c r="E1241" s="18"/>
      <c r="F1241" s="18"/>
      <c r="G1241" s="18"/>
      <c r="H1241" s="18"/>
    </row>
    <row r="1242" spans="4:8" s="11" customFormat="1">
      <c r="D1242" s="18"/>
      <c r="E1242" s="18"/>
      <c r="F1242" s="18"/>
      <c r="G1242" s="18"/>
      <c r="H1242" s="18"/>
    </row>
    <row r="1243" spans="4:8" s="11" customFormat="1">
      <c r="D1243" s="18"/>
      <c r="E1243" s="18"/>
      <c r="F1243" s="18"/>
      <c r="G1243" s="18"/>
      <c r="H1243" s="18"/>
    </row>
    <row r="1244" spans="4:8" s="11" customFormat="1">
      <c r="D1244" s="18"/>
      <c r="E1244" s="18"/>
      <c r="F1244" s="18"/>
      <c r="G1244" s="18"/>
      <c r="H1244" s="18"/>
    </row>
    <row r="1245" spans="4:8" s="11" customFormat="1">
      <c r="D1245" s="18"/>
      <c r="E1245" s="18"/>
      <c r="F1245" s="18"/>
      <c r="G1245" s="18"/>
      <c r="H1245" s="18"/>
    </row>
    <row r="1246" spans="4:8" s="11" customFormat="1">
      <c r="D1246" s="18"/>
      <c r="E1246" s="18"/>
      <c r="F1246" s="18"/>
      <c r="G1246" s="18"/>
      <c r="H1246" s="18"/>
    </row>
    <row r="1247" spans="4:8" s="11" customFormat="1">
      <c r="D1247" s="18"/>
      <c r="E1247" s="18"/>
      <c r="F1247" s="18"/>
      <c r="G1247" s="18"/>
      <c r="H1247" s="18"/>
    </row>
    <row r="1248" spans="4:8" s="11" customFormat="1">
      <c r="D1248" s="18"/>
      <c r="E1248" s="18"/>
      <c r="F1248" s="18"/>
      <c r="G1248" s="18"/>
      <c r="H1248" s="18"/>
    </row>
    <row r="1249" spans="4:8" s="11" customFormat="1">
      <c r="D1249" s="18"/>
      <c r="E1249" s="18"/>
      <c r="F1249" s="18"/>
      <c r="G1249" s="18"/>
      <c r="H1249" s="18"/>
    </row>
    <row r="1250" spans="4:8" s="11" customFormat="1">
      <c r="D1250" s="18"/>
      <c r="E1250" s="18"/>
      <c r="F1250" s="18"/>
      <c r="G1250" s="18"/>
      <c r="H1250" s="18"/>
    </row>
    <row r="1251" spans="4:8" s="11" customFormat="1">
      <c r="D1251" s="18"/>
      <c r="E1251" s="18"/>
      <c r="F1251" s="18"/>
      <c r="G1251" s="18"/>
      <c r="H1251" s="18"/>
    </row>
    <row r="1252" spans="4:8" s="11" customFormat="1">
      <c r="D1252" s="18"/>
      <c r="E1252" s="18"/>
      <c r="F1252" s="18"/>
      <c r="G1252" s="18"/>
      <c r="H1252" s="18"/>
    </row>
    <row r="1253" spans="4:8" s="11" customFormat="1">
      <c r="D1253" s="18"/>
      <c r="E1253" s="18"/>
      <c r="F1253" s="18"/>
      <c r="G1253" s="18"/>
      <c r="H1253" s="18"/>
    </row>
    <row r="1254" spans="4:8" s="11" customFormat="1">
      <c r="D1254" s="18"/>
      <c r="E1254" s="18"/>
      <c r="F1254" s="18"/>
      <c r="G1254" s="18"/>
      <c r="H1254" s="18"/>
    </row>
    <row r="1255" spans="4:8" s="11" customFormat="1">
      <c r="D1255" s="18"/>
      <c r="E1255" s="18"/>
      <c r="F1255" s="18"/>
      <c r="G1255" s="18"/>
      <c r="H1255" s="18"/>
    </row>
    <row r="1256" spans="4:8" s="11" customFormat="1">
      <c r="D1256" s="18"/>
      <c r="E1256" s="18"/>
      <c r="F1256" s="18"/>
      <c r="G1256" s="18"/>
      <c r="H1256" s="18"/>
    </row>
    <row r="1257" spans="4:8" s="11" customFormat="1">
      <c r="D1257" s="18"/>
      <c r="E1257" s="18"/>
      <c r="F1257" s="18"/>
      <c r="G1257" s="18"/>
      <c r="H1257" s="18"/>
    </row>
    <row r="1258" spans="4:8" s="11" customFormat="1">
      <c r="D1258" s="18"/>
      <c r="E1258" s="18"/>
      <c r="F1258" s="18"/>
      <c r="G1258" s="18"/>
      <c r="H1258" s="18"/>
    </row>
    <row r="1259" spans="4:8" s="11" customFormat="1">
      <c r="D1259" s="18"/>
      <c r="E1259" s="18"/>
      <c r="F1259" s="18"/>
      <c r="G1259" s="18"/>
      <c r="H1259" s="18"/>
    </row>
    <row r="1260" spans="4:8" s="11" customFormat="1">
      <c r="D1260" s="18"/>
      <c r="E1260" s="18"/>
      <c r="F1260" s="18"/>
      <c r="G1260" s="18"/>
      <c r="H1260" s="18"/>
    </row>
    <row r="1261" spans="4:8" s="11" customFormat="1">
      <c r="D1261" s="18"/>
      <c r="E1261" s="18"/>
      <c r="F1261" s="18"/>
      <c r="G1261" s="18"/>
      <c r="H1261" s="18"/>
    </row>
    <row r="1262" spans="4:8" s="11" customFormat="1">
      <c r="D1262" s="18"/>
      <c r="E1262" s="18"/>
      <c r="F1262" s="18"/>
      <c r="G1262" s="18"/>
      <c r="H1262" s="18"/>
    </row>
    <row r="1263" spans="4:8" s="11" customFormat="1">
      <c r="D1263" s="18"/>
      <c r="E1263" s="18"/>
      <c r="F1263" s="18"/>
      <c r="G1263" s="18"/>
      <c r="H1263" s="18"/>
    </row>
    <row r="1264" spans="4:8" s="11" customFormat="1">
      <c r="D1264" s="18"/>
      <c r="E1264" s="18"/>
      <c r="F1264" s="18"/>
      <c r="G1264" s="18"/>
      <c r="H1264" s="18"/>
    </row>
    <row r="1265" spans="4:8" s="11" customFormat="1">
      <c r="D1265" s="18"/>
      <c r="E1265" s="18"/>
      <c r="F1265" s="18"/>
      <c r="G1265" s="18"/>
      <c r="H1265" s="18"/>
    </row>
    <row r="1266" spans="4:8" s="11" customFormat="1">
      <c r="D1266" s="18"/>
      <c r="E1266" s="18"/>
      <c r="F1266" s="18"/>
      <c r="G1266" s="18"/>
      <c r="H1266" s="18"/>
    </row>
    <row r="1267" spans="4:8" s="11" customFormat="1">
      <c r="D1267" s="18"/>
      <c r="E1267" s="18"/>
      <c r="F1267" s="18"/>
      <c r="G1267" s="18"/>
      <c r="H1267" s="18"/>
    </row>
    <row r="1268" spans="4:8" s="11" customFormat="1">
      <c r="D1268" s="18"/>
      <c r="E1268" s="18"/>
      <c r="F1268" s="18"/>
      <c r="G1268" s="18"/>
      <c r="H1268" s="18"/>
    </row>
    <row r="1269" spans="4:8" s="11" customFormat="1">
      <c r="D1269" s="18"/>
      <c r="E1269" s="18"/>
      <c r="F1269" s="18"/>
      <c r="G1269" s="18"/>
      <c r="H1269" s="18"/>
    </row>
    <row r="1270" spans="4:8" s="11" customFormat="1">
      <c r="D1270" s="18"/>
      <c r="E1270" s="18"/>
      <c r="F1270" s="18"/>
      <c r="G1270" s="18"/>
      <c r="H1270" s="18"/>
    </row>
    <row r="1271" spans="4:8" s="11" customFormat="1">
      <c r="D1271" s="18"/>
      <c r="E1271" s="18"/>
      <c r="F1271" s="18"/>
      <c r="G1271" s="18"/>
      <c r="H1271" s="18"/>
    </row>
    <row r="1272" spans="4:8" s="11" customFormat="1">
      <c r="D1272" s="18"/>
      <c r="E1272" s="18"/>
      <c r="F1272" s="18"/>
      <c r="G1272" s="18"/>
      <c r="H1272" s="18"/>
    </row>
    <row r="1273" spans="4:8" s="11" customFormat="1">
      <c r="D1273" s="18"/>
      <c r="E1273" s="18"/>
      <c r="F1273" s="18"/>
      <c r="G1273" s="18"/>
      <c r="H1273" s="18"/>
    </row>
    <row r="1274" spans="4:8" s="11" customFormat="1">
      <c r="D1274" s="18"/>
      <c r="E1274" s="18"/>
      <c r="F1274" s="18"/>
      <c r="G1274" s="18"/>
      <c r="H1274" s="18"/>
    </row>
    <row r="1275" spans="4:8" s="11" customFormat="1">
      <c r="D1275" s="18"/>
      <c r="E1275" s="18"/>
      <c r="F1275" s="18"/>
      <c r="G1275" s="18"/>
      <c r="H1275" s="18"/>
    </row>
    <row r="1276" spans="4:8" s="11" customFormat="1">
      <c r="D1276" s="18"/>
      <c r="E1276" s="18"/>
      <c r="F1276" s="18"/>
      <c r="G1276" s="18"/>
      <c r="H1276" s="18"/>
    </row>
    <row r="1277" spans="4:8" s="11" customFormat="1">
      <c r="D1277" s="18"/>
      <c r="E1277" s="18"/>
      <c r="F1277" s="18"/>
      <c r="G1277" s="18"/>
      <c r="H1277" s="18"/>
    </row>
    <row r="1278" spans="4:8" s="11" customFormat="1">
      <c r="D1278" s="18"/>
      <c r="E1278" s="18"/>
      <c r="F1278" s="18"/>
      <c r="G1278" s="18"/>
      <c r="H1278" s="18"/>
    </row>
    <row r="1279" spans="4:8" s="11" customFormat="1">
      <c r="D1279" s="18"/>
      <c r="E1279" s="18"/>
      <c r="F1279" s="18"/>
      <c r="G1279" s="18"/>
      <c r="H1279" s="18"/>
    </row>
    <row r="1280" spans="4:8" s="11" customFormat="1">
      <c r="D1280" s="18"/>
      <c r="E1280" s="18"/>
      <c r="F1280" s="18"/>
      <c r="G1280" s="18"/>
      <c r="H1280" s="18"/>
    </row>
    <row r="1281" spans="4:8" s="11" customFormat="1">
      <c r="D1281" s="18"/>
      <c r="E1281" s="18"/>
      <c r="F1281" s="18"/>
      <c r="G1281" s="18"/>
      <c r="H1281" s="18"/>
    </row>
    <row r="1282" spans="4:8" s="11" customFormat="1">
      <c r="D1282" s="18"/>
      <c r="E1282" s="18"/>
      <c r="F1282" s="18"/>
      <c r="G1282" s="18"/>
      <c r="H1282" s="18"/>
    </row>
    <row r="1283" spans="4:8" s="11" customFormat="1">
      <c r="D1283" s="18"/>
      <c r="E1283" s="18"/>
      <c r="F1283" s="18"/>
      <c r="G1283" s="18"/>
      <c r="H1283" s="18"/>
    </row>
    <row r="1284" spans="4:8" s="11" customFormat="1">
      <c r="D1284" s="18"/>
      <c r="E1284" s="18"/>
      <c r="F1284" s="18"/>
      <c r="G1284" s="18"/>
      <c r="H1284" s="18"/>
    </row>
    <row r="1285" spans="4:8" s="11" customFormat="1">
      <c r="D1285" s="18"/>
      <c r="E1285" s="18"/>
      <c r="F1285" s="18"/>
      <c r="G1285" s="18"/>
      <c r="H1285" s="18"/>
    </row>
    <row r="1286" spans="4:8" s="11" customFormat="1">
      <c r="D1286" s="18"/>
      <c r="E1286" s="18"/>
      <c r="F1286" s="18"/>
      <c r="G1286" s="18"/>
      <c r="H1286" s="18"/>
    </row>
    <row r="1287" spans="4:8" s="11" customFormat="1">
      <c r="D1287" s="18"/>
      <c r="E1287" s="18"/>
      <c r="F1287" s="18"/>
      <c r="G1287" s="18"/>
      <c r="H1287" s="18"/>
    </row>
    <row r="1288" spans="4:8" s="11" customFormat="1">
      <c r="D1288" s="18"/>
      <c r="E1288" s="18"/>
      <c r="F1288" s="18"/>
      <c r="G1288" s="18"/>
      <c r="H1288" s="18"/>
    </row>
    <row r="1289" spans="4:8" s="11" customFormat="1">
      <c r="D1289" s="18"/>
      <c r="E1289" s="18"/>
      <c r="F1289" s="18"/>
      <c r="G1289" s="18"/>
      <c r="H1289" s="18"/>
    </row>
    <row r="1290" spans="4:8" s="11" customFormat="1">
      <c r="D1290" s="18"/>
      <c r="E1290" s="18"/>
      <c r="F1290" s="18"/>
      <c r="G1290" s="18"/>
      <c r="H1290" s="18"/>
    </row>
    <row r="1291" spans="4:8" s="11" customFormat="1">
      <c r="D1291" s="18"/>
      <c r="E1291" s="18"/>
      <c r="F1291" s="18"/>
      <c r="G1291" s="18"/>
      <c r="H1291" s="18"/>
    </row>
    <row r="1292" spans="4:8" s="11" customFormat="1">
      <c r="D1292" s="18"/>
      <c r="E1292" s="18"/>
      <c r="F1292" s="18"/>
      <c r="G1292" s="18"/>
      <c r="H1292" s="18"/>
    </row>
    <row r="1293" spans="4:8" s="11" customFormat="1">
      <c r="D1293" s="18"/>
      <c r="E1293" s="18"/>
      <c r="F1293" s="18"/>
      <c r="G1293" s="18"/>
      <c r="H1293" s="18"/>
    </row>
    <row r="1294" spans="4:8" s="11" customFormat="1">
      <c r="D1294" s="18"/>
      <c r="E1294" s="18"/>
      <c r="F1294" s="18"/>
      <c r="G1294" s="18"/>
      <c r="H1294" s="18"/>
    </row>
    <row r="1295" spans="4:8" s="11" customFormat="1">
      <c r="D1295" s="18"/>
      <c r="E1295" s="18"/>
      <c r="F1295" s="18"/>
      <c r="G1295" s="18"/>
      <c r="H1295" s="18"/>
    </row>
    <row r="1296" spans="4:8" s="11" customFormat="1">
      <c r="D1296" s="18"/>
      <c r="E1296" s="18"/>
      <c r="F1296" s="18"/>
      <c r="G1296" s="18"/>
      <c r="H1296" s="18"/>
    </row>
    <row r="1297" spans="4:8" s="11" customFormat="1">
      <c r="D1297" s="18"/>
      <c r="E1297" s="18"/>
      <c r="F1297" s="18"/>
      <c r="G1297" s="18"/>
      <c r="H1297" s="18"/>
    </row>
    <row r="1298" spans="4:8" s="11" customFormat="1">
      <c r="D1298" s="18"/>
      <c r="E1298" s="18"/>
      <c r="F1298" s="18"/>
      <c r="G1298" s="18"/>
      <c r="H1298" s="18"/>
    </row>
    <row r="1299" spans="4:8" s="11" customFormat="1">
      <c r="D1299" s="18"/>
      <c r="E1299" s="18"/>
      <c r="F1299" s="18"/>
      <c r="G1299" s="18"/>
      <c r="H1299" s="18"/>
    </row>
    <row r="1300" spans="4:8" s="11" customFormat="1">
      <c r="D1300" s="18"/>
      <c r="E1300" s="18"/>
      <c r="F1300" s="18"/>
      <c r="G1300" s="18"/>
      <c r="H1300" s="18"/>
    </row>
    <row r="1301" spans="4:8" s="11" customFormat="1">
      <c r="D1301" s="18"/>
      <c r="E1301" s="18"/>
      <c r="F1301" s="18"/>
      <c r="G1301" s="18"/>
      <c r="H1301" s="18"/>
    </row>
    <row r="1302" spans="4:8" s="11" customFormat="1">
      <c r="D1302" s="18"/>
      <c r="E1302" s="18"/>
      <c r="F1302" s="18"/>
      <c r="G1302" s="18"/>
      <c r="H1302" s="18"/>
    </row>
    <row r="1303" spans="4:8" s="11" customFormat="1">
      <c r="D1303" s="18"/>
      <c r="E1303" s="18"/>
      <c r="F1303" s="18"/>
      <c r="G1303" s="18"/>
      <c r="H1303" s="18"/>
    </row>
    <row r="1304" spans="4:8" s="11" customFormat="1">
      <c r="D1304" s="18"/>
      <c r="E1304" s="18"/>
      <c r="F1304" s="18"/>
      <c r="G1304" s="18"/>
      <c r="H1304" s="18"/>
    </row>
    <row r="1305" spans="4:8" s="11" customFormat="1">
      <c r="D1305" s="18"/>
      <c r="E1305" s="18"/>
      <c r="F1305" s="18"/>
      <c r="G1305" s="18"/>
      <c r="H1305" s="18"/>
    </row>
    <row r="1306" spans="4:8" s="11" customFormat="1">
      <c r="D1306" s="18"/>
      <c r="E1306" s="18"/>
      <c r="F1306" s="18"/>
      <c r="G1306" s="18"/>
      <c r="H1306" s="18"/>
    </row>
    <row r="1307" spans="4:8" s="11" customFormat="1">
      <c r="D1307" s="18"/>
      <c r="E1307" s="18"/>
      <c r="F1307" s="18"/>
      <c r="G1307" s="18"/>
      <c r="H1307" s="18"/>
    </row>
    <row r="1308" spans="4:8" s="11" customFormat="1">
      <c r="D1308" s="18"/>
      <c r="E1308" s="18"/>
      <c r="F1308" s="18"/>
      <c r="G1308" s="18"/>
      <c r="H1308" s="18"/>
    </row>
    <row r="1309" spans="4:8" s="11" customFormat="1">
      <c r="D1309" s="18"/>
      <c r="E1309" s="18"/>
      <c r="F1309" s="18"/>
      <c r="G1309" s="18"/>
      <c r="H1309" s="18"/>
    </row>
    <row r="1310" spans="4:8" s="11" customFormat="1">
      <c r="D1310" s="18"/>
      <c r="E1310" s="18"/>
      <c r="F1310" s="18"/>
      <c r="G1310" s="18"/>
      <c r="H1310" s="18"/>
    </row>
    <row r="1311" spans="4:8" s="11" customFormat="1">
      <c r="D1311" s="18"/>
      <c r="E1311" s="18"/>
      <c r="F1311" s="18"/>
      <c r="G1311" s="18"/>
      <c r="H1311" s="18"/>
    </row>
    <row r="1312" spans="4:8" s="11" customFormat="1">
      <c r="D1312" s="18"/>
      <c r="E1312" s="18"/>
      <c r="F1312" s="18"/>
      <c r="G1312" s="18"/>
      <c r="H1312" s="18"/>
    </row>
    <row r="1313" spans="4:8" s="11" customFormat="1">
      <c r="D1313" s="18"/>
      <c r="E1313" s="18"/>
      <c r="F1313" s="18"/>
      <c r="G1313" s="18"/>
      <c r="H1313" s="18"/>
    </row>
    <row r="1314" spans="4:8" s="11" customFormat="1">
      <c r="D1314" s="18"/>
      <c r="E1314" s="18"/>
      <c r="F1314" s="18"/>
      <c r="G1314" s="18"/>
      <c r="H1314" s="18"/>
    </row>
    <row r="1315" spans="4:8" s="11" customFormat="1">
      <c r="D1315" s="18"/>
      <c r="E1315" s="18"/>
      <c r="F1315" s="18"/>
      <c r="G1315" s="18"/>
      <c r="H1315" s="18"/>
    </row>
    <row r="1316" spans="4:8" s="11" customFormat="1">
      <c r="D1316" s="18"/>
      <c r="E1316" s="18"/>
      <c r="F1316" s="18"/>
      <c r="G1316" s="18"/>
      <c r="H1316" s="18"/>
    </row>
    <row r="1317" spans="4:8" s="11" customFormat="1">
      <c r="D1317" s="18"/>
      <c r="E1317" s="18"/>
      <c r="F1317" s="18"/>
      <c r="G1317" s="18"/>
      <c r="H1317" s="18"/>
    </row>
    <row r="1318" spans="4:8" s="11" customFormat="1">
      <c r="D1318" s="18"/>
      <c r="E1318" s="18"/>
      <c r="F1318" s="18"/>
      <c r="G1318" s="18"/>
      <c r="H1318" s="18"/>
    </row>
    <row r="1319" spans="4:8" s="11" customFormat="1">
      <c r="D1319" s="18"/>
      <c r="E1319" s="18"/>
      <c r="F1319" s="18"/>
      <c r="G1319" s="18"/>
      <c r="H1319" s="18"/>
    </row>
    <row r="1320" spans="4:8" s="11" customFormat="1">
      <c r="D1320" s="18"/>
      <c r="E1320" s="18"/>
      <c r="F1320" s="18"/>
      <c r="G1320" s="18"/>
      <c r="H1320" s="18"/>
    </row>
    <row r="1321" spans="4:8" s="11" customFormat="1">
      <c r="D1321" s="18"/>
      <c r="E1321" s="18"/>
      <c r="F1321" s="18"/>
      <c r="G1321" s="18"/>
      <c r="H1321" s="18"/>
    </row>
    <row r="1322" spans="4:8" s="11" customFormat="1">
      <c r="D1322" s="18"/>
      <c r="E1322" s="18"/>
      <c r="F1322" s="18"/>
      <c r="G1322" s="18"/>
      <c r="H1322" s="18"/>
    </row>
    <row r="1323" spans="4:8" s="11" customFormat="1">
      <c r="D1323" s="18"/>
      <c r="E1323" s="18"/>
      <c r="F1323" s="18"/>
      <c r="G1323" s="18"/>
      <c r="H1323" s="18"/>
    </row>
    <row r="1324" spans="4:8" s="11" customFormat="1">
      <c r="D1324" s="18"/>
      <c r="E1324" s="18"/>
      <c r="F1324" s="18"/>
      <c r="G1324" s="18"/>
      <c r="H1324" s="18"/>
    </row>
    <row r="1325" spans="4:8" s="11" customFormat="1">
      <c r="D1325" s="18"/>
      <c r="E1325" s="18"/>
      <c r="F1325" s="18"/>
      <c r="G1325" s="18"/>
      <c r="H1325" s="18"/>
    </row>
    <row r="1326" spans="4:8" s="11" customFormat="1">
      <c r="D1326" s="18"/>
      <c r="E1326" s="18"/>
      <c r="F1326" s="18"/>
      <c r="G1326" s="18"/>
      <c r="H1326" s="18"/>
    </row>
    <row r="1327" spans="4:8" s="11" customFormat="1">
      <c r="D1327" s="18"/>
      <c r="E1327" s="18"/>
      <c r="F1327" s="18"/>
      <c r="G1327" s="18"/>
      <c r="H1327" s="18"/>
    </row>
    <row r="1328" spans="4:8" s="11" customFormat="1">
      <c r="D1328" s="18"/>
      <c r="E1328" s="18"/>
      <c r="F1328" s="18"/>
      <c r="G1328" s="18"/>
      <c r="H1328" s="18"/>
    </row>
    <row r="1329" spans="4:8" s="11" customFormat="1">
      <c r="D1329" s="18"/>
      <c r="E1329" s="18"/>
      <c r="F1329" s="18"/>
      <c r="G1329" s="18"/>
      <c r="H1329" s="18"/>
    </row>
    <row r="1330" spans="4:8" s="11" customFormat="1">
      <c r="D1330" s="18"/>
      <c r="E1330" s="18"/>
      <c r="F1330" s="18"/>
      <c r="G1330" s="18"/>
      <c r="H1330" s="18"/>
    </row>
    <row r="1331" spans="4:8" s="11" customFormat="1">
      <c r="D1331" s="18"/>
      <c r="E1331" s="18"/>
      <c r="F1331" s="18"/>
      <c r="G1331" s="18"/>
      <c r="H1331" s="18"/>
    </row>
    <row r="1332" spans="4:8" s="11" customFormat="1">
      <c r="D1332" s="18"/>
      <c r="E1332" s="18"/>
      <c r="F1332" s="18"/>
      <c r="G1332" s="18"/>
      <c r="H1332" s="18"/>
    </row>
    <row r="1333" spans="4:8" s="11" customFormat="1">
      <c r="D1333" s="18"/>
      <c r="E1333" s="18"/>
      <c r="F1333" s="18"/>
      <c r="G1333" s="18"/>
      <c r="H1333" s="18"/>
    </row>
    <row r="1334" spans="4:8" s="11" customFormat="1">
      <c r="D1334" s="18"/>
      <c r="E1334" s="18"/>
      <c r="F1334" s="18"/>
      <c r="G1334" s="18"/>
      <c r="H1334" s="18"/>
    </row>
    <row r="1335" spans="4:8" s="11" customFormat="1">
      <c r="D1335" s="18"/>
      <c r="E1335" s="18"/>
      <c r="F1335" s="18"/>
      <c r="G1335" s="18"/>
      <c r="H1335" s="18"/>
    </row>
    <row r="1336" spans="4:8" s="11" customFormat="1">
      <c r="D1336" s="18"/>
      <c r="E1336" s="18"/>
      <c r="F1336" s="18"/>
      <c r="G1336" s="18"/>
      <c r="H1336" s="18"/>
    </row>
    <row r="1337" spans="4:8" s="11" customFormat="1">
      <c r="D1337" s="18"/>
      <c r="E1337" s="18"/>
      <c r="F1337" s="18"/>
      <c r="G1337" s="18"/>
      <c r="H1337" s="18"/>
    </row>
    <row r="1338" spans="4:8" s="11" customFormat="1">
      <c r="D1338" s="18"/>
      <c r="E1338" s="18"/>
      <c r="F1338" s="18"/>
      <c r="G1338" s="18"/>
      <c r="H1338" s="18"/>
    </row>
    <row r="1339" spans="4:8" s="11" customFormat="1">
      <c r="D1339" s="18"/>
      <c r="E1339" s="18"/>
      <c r="F1339" s="18"/>
      <c r="G1339" s="18"/>
      <c r="H1339" s="18"/>
    </row>
    <row r="1340" spans="4:8" s="11" customFormat="1">
      <c r="D1340" s="18"/>
      <c r="E1340" s="18"/>
      <c r="F1340" s="18"/>
      <c r="G1340" s="18"/>
      <c r="H1340" s="18"/>
    </row>
    <row r="1341" spans="4:8" s="11" customFormat="1">
      <c r="D1341" s="18"/>
      <c r="E1341" s="18"/>
      <c r="F1341" s="18"/>
      <c r="G1341" s="18"/>
      <c r="H1341" s="18"/>
    </row>
    <row r="1342" spans="4:8" s="11" customFormat="1">
      <c r="D1342" s="18"/>
      <c r="E1342" s="18"/>
      <c r="F1342" s="18"/>
      <c r="G1342" s="18"/>
      <c r="H1342" s="18"/>
    </row>
    <row r="1343" spans="4:8" s="11" customFormat="1">
      <c r="D1343" s="18"/>
      <c r="E1343" s="18"/>
      <c r="F1343" s="18"/>
      <c r="G1343" s="18"/>
      <c r="H1343" s="18"/>
    </row>
    <row r="1344" spans="4:8" s="11" customFormat="1">
      <c r="D1344" s="18"/>
      <c r="E1344" s="18"/>
      <c r="F1344" s="18"/>
      <c r="G1344" s="18"/>
      <c r="H1344" s="18"/>
    </row>
    <row r="1345" spans="4:8" s="11" customFormat="1">
      <c r="D1345" s="18"/>
      <c r="E1345" s="18"/>
      <c r="F1345" s="18"/>
      <c r="G1345" s="18"/>
      <c r="H1345" s="18"/>
    </row>
    <row r="1346" spans="4:8" s="11" customFormat="1">
      <c r="D1346" s="18"/>
      <c r="E1346" s="18"/>
      <c r="F1346" s="18"/>
      <c r="G1346" s="18"/>
      <c r="H1346" s="18"/>
    </row>
    <row r="1347" spans="4:8" s="11" customFormat="1">
      <c r="D1347" s="18"/>
      <c r="E1347" s="18"/>
      <c r="F1347" s="18"/>
      <c r="G1347" s="18"/>
      <c r="H1347" s="18"/>
    </row>
    <row r="1348" spans="4:8" s="11" customFormat="1">
      <c r="D1348" s="18"/>
      <c r="E1348" s="18"/>
      <c r="F1348" s="18"/>
      <c r="G1348" s="18"/>
      <c r="H1348" s="18"/>
    </row>
    <row r="1349" spans="4:8" s="11" customFormat="1">
      <c r="D1349" s="18"/>
      <c r="E1349" s="18"/>
      <c r="F1349" s="18"/>
      <c r="G1349" s="18"/>
      <c r="H1349" s="18"/>
    </row>
    <row r="1350" spans="4:8" s="11" customFormat="1">
      <c r="D1350" s="18"/>
      <c r="E1350" s="18"/>
      <c r="F1350" s="18"/>
      <c r="G1350" s="18"/>
      <c r="H1350" s="18"/>
    </row>
    <row r="1351" spans="4:8" s="11" customFormat="1">
      <c r="D1351" s="18"/>
      <c r="E1351" s="18"/>
      <c r="F1351" s="18"/>
      <c r="G1351" s="18"/>
      <c r="H1351" s="18"/>
    </row>
    <row r="1352" spans="4:8" s="11" customFormat="1">
      <c r="D1352" s="18"/>
      <c r="E1352" s="18"/>
      <c r="F1352" s="18"/>
      <c r="G1352" s="18"/>
      <c r="H1352" s="18"/>
    </row>
    <row r="1353" spans="4:8" s="11" customFormat="1">
      <c r="D1353" s="18"/>
      <c r="E1353" s="18"/>
      <c r="F1353" s="18"/>
      <c r="G1353" s="18"/>
      <c r="H1353" s="18"/>
    </row>
    <row r="1354" spans="4:8" s="11" customFormat="1">
      <c r="D1354" s="18"/>
      <c r="E1354" s="18"/>
      <c r="F1354" s="18"/>
      <c r="G1354" s="18"/>
      <c r="H1354" s="18"/>
    </row>
    <row r="1355" spans="4:8" s="11" customFormat="1">
      <c r="D1355" s="18"/>
      <c r="E1355" s="18"/>
      <c r="F1355" s="18"/>
      <c r="G1355" s="18"/>
      <c r="H1355" s="18"/>
    </row>
    <row r="1356" spans="4:8" s="11" customFormat="1">
      <c r="D1356" s="18"/>
      <c r="E1356" s="18"/>
      <c r="F1356" s="18"/>
      <c r="G1356" s="18"/>
      <c r="H1356" s="18"/>
    </row>
    <row r="1357" spans="4:8" s="11" customFormat="1">
      <c r="D1357" s="18"/>
      <c r="E1357" s="18"/>
      <c r="F1357" s="18"/>
      <c r="G1357" s="18"/>
      <c r="H1357" s="18"/>
    </row>
    <row r="1358" spans="4:8" s="11" customFormat="1">
      <c r="D1358" s="18"/>
      <c r="E1358" s="18"/>
      <c r="F1358" s="18"/>
      <c r="G1358" s="18"/>
      <c r="H1358" s="18"/>
    </row>
    <row r="1359" spans="4:8" s="11" customFormat="1">
      <c r="D1359" s="18"/>
      <c r="E1359" s="18"/>
      <c r="F1359" s="18"/>
      <c r="G1359" s="18"/>
      <c r="H1359" s="18"/>
    </row>
    <row r="1360" spans="4:8" s="11" customFormat="1">
      <c r="D1360" s="18"/>
      <c r="E1360" s="18"/>
      <c r="F1360" s="18"/>
      <c r="G1360" s="18"/>
      <c r="H1360" s="18"/>
    </row>
    <row r="1361" spans="4:8" s="11" customFormat="1">
      <c r="D1361" s="18"/>
      <c r="E1361" s="18"/>
      <c r="F1361" s="18"/>
      <c r="G1361" s="18"/>
      <c r="H1361" s="18"/>
    </row>
    <row r="1362" spans="4:8" s="11" customFormat="1">
      <c r="D1362" s="18"/>
      <c r="E1362" s="18"/>
      <c r="F1362" s="18"/>
      <c r="G1362" s="18"/>
      <c r="H1362" s="18"/>
    </row>
    <row r="1363" spans="4:8" s="11" customFormat="1">
      <c r="D1363" s="18"/>
      <c r="E1363" s="18"/>
      <c r="F1363" s="18"/>
      <c r="G1363" s="18"/>
      <c r="H1363" s="18"/>
    </row>
    <row r="1364" spans="4:8" s="11" customFormat="1">
      <c r="D1364" s="18"/>
      <c r="E1364" s="18"/>
      <c r="F1364" s="18"/>
      <c r="G1364" s="18"/>
      <c r="H1364" s="18"/>
    </row>
    <row r="1365" spans="4:8" s="11" customFormat="1">
      <c r="D1365" s="18"/>
      <c r="E1365" s="18"/>
      <c r="F1365" s="18"/>
      <c r="G1365" s="18"/>
      <c r="H1365" s="18"/>
    </row>
    <row r="1366" spans="4:8" s="11" customFormat="1">
      <c r="D1366" s="18"/>
      <c r="E1366" s="18"/>
      <c r="F1366" s="18"/>
      <c r="G1366" s="18"/>
      <c r="H1366" s="18"/>
    </row>
    <row r="1367" spans="4:8" s="11" customFormat="1">
      <c r="D1367" s="18"/>
      <c r="E1367" s="18"/>
      <c r="F1367" s="18"/>
      <c r="G1367" s="18"/>
      <c r="H1367" s="18"/>
    </row>
    <row r="1368" spans="4:8" s="11" customFormat="1">
      <c r="D1368" s="18"/>
      <c r="E1368" s="18"/>
      <c r="F1368" s="18"/>
      <c r="G1368" s="18"/>
      <c r="H1368" s="18"/>
    </row>
    <row r="1369" spans="4:8" s="11" customFormat="1">
      <c r="D1369" s="18"/>
      <c r="E1369" s="18"/>
      <c r="F1369" s="18"/>
      <c r="G1369" s="18"/>
      <c r="H1369" s="18"/>
    </row>
    <row r="1370" spans="4:8" s="11" customFormat="1">
      <c r="D1370" s="18"/>
      <c r="E1370" s="18"/>
      <c r="F1370" s="18"/>
      <c r="G1370" s="18"/>
      <c r="H1370" s="18"/>
    </row>
    <row r="1371" spans="4:8" s="11" customFormat="1">
      <c r="D1371" s="18"/>
      <c r="E1371" s="18"/>
      <c r="F1371" s="18"/>
      <c r="G1371" s="18"/>
      <c r="H1371" s="18"/>
    </row>
    <row r="1372" spans="4:8" s="11" customFormat="1">
      <c r="D1372" s="18"/>
      <c r="E1372" s="18"/>
      <c r="F1372" s="18"/>
      <c r="G1372" s="18"/>
      <c r="H1372" s="18"/>
    </row>
    <row r="1373" spans="4:8" s="11" customFormat="1">
      <c r="D1373" s="18"/>
      <c r="E1373" s="18"/>
      <c r="F1373" s="18"/>
      <c r="G1373" s="18"/>
      <c r="H1373" s="18"/>
    </row>
    <row r="1374" spans="4:8" s="11" customFormat="1">
      <c r="D1374" s="18"/>
      <c r="E1374" s="18"/>
      <c r="F1374" s="18"/>
      <c r="G1374" s="18"/>
      <c r="H1374" s="18"/>
    </row>
    <row r="1375" spans="4:8" s="11" customFormat="1">
      <c r="D1375" s="18"/>
      <c r="E1375" s="18"/>
      <c r="F1375" s="18"/>
      <c r="G1375" s="18"/>
      <c r="H1375" s="18"/>
    </row>
    <row r="1376" spans="4:8" s="11" customFormat="1">
      <c r="D1376" s="18"/>
      <c r="E1376" s="18"/>
      <c r="F1376" s="18"/>
      <c r="G1376" s="18"/>
      <c r="H1376" s="18"/>
    </row>
    <row r="1377" spans="4:8" s="11" customFormat="1">
      <c r="D1377" s="18"/>
      <c r="E1377" s="18"/>
      <c r="F1377" s="18"/>
      <c r="G1377" s="18"/>
      <c r="H1377" s="18"/>
    </row>
    <row r="1378" spans="4:8" s="11" customFormat="1">
      <c r="D1378" s="18"/>
      <c r="E1378" s="18"/>
      <c r="F1378" s="18"/>
      <c r="G1378" s="18"/>
      <c r="H1378" s="18"/>
    </row>
    <row r="1379" spans="4:8" s="11" customFormat="1">
      <c r="D1379" s="18"/>
      <c r="E1379" s="18"/>
      <c r="F1379" s="18"/>
      <c r="G1379" s="18"/>
      <c r="H1379" s="18"/>
    </row>
    <row r="1380" spans="4:8" s="11" customFormat="1">
      <c r="D1380" s="18"/>
      <c r="E1380" s="18"/>
      <c r="F1380" s="18"/>
      <c r="G1380" s="18"/>
      <c r="H1380" s="18"/>
    </row>
    <row r="1381" spans="4:8" s="11" customFormat="1">
      <c r="D1381" s="18"/>
      <c r="E1381" s="18"/>
      <c r="F1381" s="18"/>
      <c r="G1381" s="18"/>
      <c r="H1381" s="18"/>
    </row>
    <row r="1382" spans="4:8" s="11" customFormat="1">
      <c r="D1382" s="18"/>
      <c r="E1382" s="18"/>
      <c r="F1382" s="18"/>
      <c r="G1382" s="18"/>
      <c r="H1382" s="18"/>
    </row>
    <row r="1383" spans="4:8" s="11" customFormat="1">
      <c r="D1383" s="18"/>
      <c r="E1383" s="18"/>
      <c r="F1383" s="18"/>
      <c r="G1383" s="18"/>
      <c r="H1383" s="18"/>
    </row>
    <row r="1384" spans="4:8" s="11" customFormat="1">
      <c r="D1384" s="18"/>
      <c r="E1384" s="18"/>
      <c r="F1384" s="18"/>
      <c r="G1384" s="18"/>
      <c r="H1384" s="18"/>
    </row>
    <row r="1385" spans="4:8" s="11" customFormat="1">
      <c r="D1385" s="18"/>
      <c r="E1385" s="18"/>
      <c r="F1385" s="18"/>
      <c r="G1385" s="18"/>
      <c r="H1385" s="18"/>
    </row>
    <row r="1386" spans="4:8" s="11" customFormat="1">
      <c r="D1386" s="18"/>
      <c r="E1386" s="18"/>
      <c r="F1386" s="18"/>
      <c r="G1386" s="18"/>
      <c r="H1386" s="18"/>
    </row>
    <row r="1387" spans="4:8" s="11" customFormat="1">
      <c r="D1387" s="18"/>
      <c r="E1387" s="18"/>
      <c r="F1387" s="18"/>
      <c r="G1387" s="18"/>
      <c r="H1387" s="18"/>
    </row>
    <row r="1388" spans="4:8" s="11" customFormat="1">
      <c r="D1388" s="18"/>
      <c r="E1388" s="18"/>
      <c r="F1388" s="18"/>
      <c r="G1388" s="18"/>
      <c r="H1388" s="18"/>
    </row>
    <row r="1389" spans="4:8" s="11" customFormat="1">
      <c r="D1389" s="18"/>
      <c r="E1389" s="18"/>
      <c r="F1389" s="18"/>
      <c r="G1389" s="18"/>
      <c r="H1389" s="18"/>
    </row>
    <row r="1390" spans="4:8" s="11" customFormat="1">
      <c r="D1390" s="18"/>
      <c r="E1390" s="18"/>
      <c r="F1390" s="18"/>
      <c r="G1390" s="18"/>
      <c r="H1390" s="18"/>
    </row>
    <row r="1391" spans="4:8" s="11" customFormat="1">
      <c r="D1391" s="18"/>
      <c r="E1391" s="18"/>
      <c r="F1391" s="18"/>
      <c r="G1391" s="18"/>
      <c r="H1391" s="18"/>
    </row>
    <row r="1392" spans="4:8" s="11" customFormat="1">
      <c r="D1392" s="18"/>
      <c r="E1392" s="18"/>
      <c r="F1392" s="18"/>
      <c r="G1392" s="18"/>
      <c r="H1392" s="18"/>
    </row>
    <row r="1393" spans="4:8" s="11" customFormat="1">
      <c r="D1393" s="18"/>
      <c r="E1393" s="18"/>
      <c r="F1393" s="18"/>
      <c r="G1393" s="18"/>
      <c r="H1393" s="18"/>
    </row>
    <row r="1394" spans="4:8" s="11" customFormat="1">
      <c r="D1394" s="18"/>
      <c r="E1394" s="18"/>
      <c r="F1394" s="18"/>
      <c r="G1394" s="18"/>
      <c r="H1394" s="18"/>
    </row>
    <row r="1395" spans="4:8" s="11" customFormat="1">
      <c r="D1395" s="18"/>
      <c r="E1395" s="18"/>
      <c r="F1395" s="18"/>
      <c r="G1395" s="18"/>
      <c r="H1395" s="18"/>
    </row>
    <row r="1396" spans="4:8" s="11" customFormat="1">
      <c r="D1396" s="18"/>
      <c r="E1396" s="18"/>
      <c r="F1396" s="18"/>
      <c r="G1396" s="18"/>
      <c r="H1396" s="18"/>
    </row>
    <row r="1397" spans="4:8" s="11" customFormat="1">
      <c r="D1397" s="18"/>
      <c r="E1397" s="18"/>
      <c r="F1397" s="18"/>
      <c r="G1397" s="18"/>
      <c r="H1397" s="18"/>
    </row>
    <row r="1398" spans="4:8" s="11" customFormat="1">
      <c r="D1398" s="18"/>
      <c r="E1398" s="18"/>
      <c r="F1398" s="18"/>
      <c r="G1398" s="18"/>
      <c r="H1398" s="18"/>
    </row>
    <row r="1399" spans="4:8" s="11" customFormat="1">
      <c r="D1399" s="18"/>
      <c r="E1399" s="18"/>
      <c r="F1399" s="18"/>
      <c r="G1399" s="18"/>
      <c r="H1399" s="18"/>
    </row>
    <row r="1400" spans="4:8" s="11" customFormat="1">
      <c r="D1400" s="18"/>
      <c r="E1400" s="18"/>
      <c r="F1400" s="18"/>
      <c r="G1400" s="18"/>
      <c r="H1400" s="18"/>
    </row>
    <row r="1401" spans="4:8" s="11" customFormat="1">
      <c r="D1401" s="18"/>
      <c r="E1401" s="18"/>
      <c r="F1401" s="18"/>
      <c r="G1401" s="18"/>
      <c r="H1401" s="18"/>
    </row>
    <row r="1402" spans="4:8" s="11" customFormat="1">
      <c r="D1402" s="18"/>
      <c r="E1402" s="18"/>
      <c r="F1402" s="18"/>
      <c r="G1402" s="18"/>
      <c r="H1402" s="18"/>
    </row>
    <row r="1403" spans="4:8" s="11" customFormat="1">
      <c r="D1403" s="18"/>
      <c r="E1403" s="18"/>
      <c r="F1403" s="18"/>
      <c r="G1403" s="18"/>
      <c r="H1403" s="18"/>
    </row>
    <row r="1404" spans="4:8" s="11" customFormat="1">
      <c r="D1404" s="18"/>
      <c r="E1404" s="18"/>
      <c r="F1404" s="18"/>
      <c r="G1404" s="18"/>
      <c r="H1404" s="18"/>
    </row>
    <row r="1405" spans="4:8" s="11" customFormat="1">
      <c r="D1405" s="18"/>
      <c r="E1405" s="18"/>
      <c r="F1405" s="18"/>
      <c r="G1405" s="18"/>
      <c r="H1405" s="18"/>
    </row>
    <row r="1406" spans="4:8" s="11" customFormat="1">
      <c r="D1406" s="18"/>
      <c r="E1406" s="18"/>
      <c r="F1406" s="18"/>
      <c r="G1406" s="18"/>
      <c r="H1406" s="18"/>
    </row>
    <row r="1407" spans="4:8" s="11" customFormat="1">
      <c r="D1407" s="18"/>
      <c r="E1407" s="18"/>
      <c r="F1407" s="18"/>
      <c r="G1407" s="18"/>
      <c r="H1407" s="18"/>
    </row>
    <row r="1408" spans="4:8" s="11" customFormat="1">
      <c r="D1408" s="18"/>
      <c r="E1408" s="18"/>
      <c r="F1408" s="18"/>
      <c r="G1408" s="18"/>
      <c r="H1408" s="18"/>
    </row>
    <row r="1409" spans="4:8" s="11" customFormat="1">
      <c r="D1409" s="18"/>
      <c r="E1409" s="18"/>
      <c r="F1409" s="18"/>
      <c r="G1409" s="18"/>
      <c r="H1409" s="18"/>
    </row>
    <row r="1410" spans="4:8" s="11" customFormat="1">
      <c r="D1410" s="18"/>
      <c r="E1410" s="18"/>
      <c r="F1410" s="18"/>
      <c r="G1410" s="18"/>
      <c r="H1410" s="18"/>
    </row>
    <row r="1411" spans="4:8" s="11" customFormat="1">
      <c r="D1411" s="18"/>
      <c r="E1411" s="18"/>
      <c r="F1411" s="18"/>
      <c r="G1411" s="18"/>
      <c r="H1411" s="18"/>
    </row>
    <row r="1412" spans="4:8" s="11" customFormat="1">
      <c r="D1412" s="18"/>
      <c r="E1412" s="18"/>
      <c r="F1412" s="18"/>
      <c r="G1412" s="18"/>
      <c r="H1412" s="18"/>
    </row>
    <row r="1413" spans="4:8" s="11" customFormat="1">
      <c r="D1413" s="18"/>
      <c r="E1413" s="18"/>
      <c r="F1413" s="18"/>
      <c r="G1413" s="18"/>
      <c r="H1413" s="18"/>
    </row>
    <row r="1414" spans="4:8" s="11" customFormat="1">
      <c r="D1414" s="18"/>
      <c r="E1414" s="18"/>
      <c r="F1414" s="18"/>
      <c r="G1414" s="18"/>
      <c r="H1414" s="18"/>
    </row>
    <row r="1415" spans="4:8" s="11" customFormat="1">
      <c r="D1415" s="18"/>
      <c r="E1415" s="18"/>
      <c r="F1415" s="18"/>
      <c r="G1415" s="18"/>
      <c r="H1415" s="18"/>
    </row>
    <row r="1416" spans="4:8" s="11" customFormat="1">
      <c r="D1416" s="18"/>
      <c r="E1416" s="18"/>
      <c r="F1416" s="18"/>
      <c r="G1416" s="18"/>
      <c r="H1416" s="18"/>
    </row>
    <row r="1417" spans="4:8" s="11" customFormat="1">
      <c r="D1417" s="18"/>
      <c r="E1417" s="18"/>
      <c r="F1417" s="18"/>
      <c r="G1417" s="18"/>
      <c r="H1417" s="18"/>
    </row>
    <row r="1418" spans="4:8" s="11" customFormat="1">
      <c r="D1418" s="18"/>
      <c r="E1418" s="18"/>
      <c r="F1418" s="18"/>
      <c r="G1418" s="18"/>
      <c r="H1418" s="18"/>
    </row>
    <row r="1419" spans="4:8" s="11" customFormat="1">
      <c r="D1419" s="18"/>
      <c r="E1419" s="18"/>
      <c r="F1419" s="18"/>
      <c r="G1419" s="18"/>
      <c r="H1419" s="18"/>
    </row>
    <row r="1420" spans="4:8" s="11" customFormat="1">
      <c r="D1420" s="18"/>
      <c r="E1420" s="18"/>
      <c r="F1420" s="18"/>
      <c r="G1420" s="18"/>
      <c r="H1420" s="18"/>
    </row>
    <row r="1421" spans="4:8" s="11" customFormat="1">
      <c r="D1421" s="18"/>
      <c r="E1421" s="18"/>
      <c r="F1421" s="18"/>
      <c r="G1421" s="18"/>
      <c r="H1421" s="18"/>
    </row>
    <row r="1422" spans="4:8" s="11" customFormat="1">
      <c r="D1422" s="18"/>
      <c r="E1422" s="18"/>
      <c r="F1422" s="18"/>
      <c r="G1422" s="18"/>
      <c r="H1422" s="18"/>
    </row>
    <row r="1423" spans="4:8" s="11" customFormat="1">
      <c r="D1423" s="18"/>
      <c r="E1423" s="18"/>
      <c r="F1423" s="18"/>
      <c r="G1423" s="18"/>
      <c r="H1423" s="18"/>
    </row>
    <row r="1424" spans="4:8" s="11" customFormat="1">
      <c r="D1424" s="18"/>
      <c r="E1424" s="18"/>
      <c r="F1424" s="18"/>
      <c r="G1424" s="18"/>
      <c r="H1424" s="18"/>
    </row>
    <row r="1425" spans="4:8" s="11" customFormat="1">
      <c r="D1425" s="18"/>
      <c r="E1425" s="18"/>
      <c r="F1425" s="18"/>
      <c r="G1425" s="18"/>
      <c r="H1425" s="18"/>
    </row>
    <row r="1426" spans="4:8" s="11" customFormat="1">
      <c r="D1426" s="18"/>
      <c r="E1426" s="18"/>
      <c r="F1426" s="18"/>
      <c r="G1426" s="18"/>
      <c r="H1426" s="18"/>
    </row>
    <row r="1427" spans="4:8" s="11" customFormat="1">
      <c r="D1427" s="18"/>
      <c r="E1427" s="18"/>
      <c r="F1427" s="18"/>
      <c r="G1427" s="18"/>
      <c r="H1427" s="18"/>
    </row>
    <row r="1428" spans="4:8" s="11" customFormat="1">
      <c r="D1428" s="18"/>
      <c r="E1428" s="18"/>
      <c r="F1428" s="18"/>
      <c r="G1428" s="18"/>
      <c r="H1428" s="18"/>
    </row>
    <row r="1429" spans="4:8" s="11" customFormat="1">
      <c r="D1429" s="18"/>
      <c r="E1429" s="18"/>
      <c r="F1429" s="18"/>
      <c r="G1429" s="18"/>
      <c r="H1429" s="18"/>
    </row>
    <row r="1430" spans="4:8" s="11" customFormat="1">
      <c r="D1430" s="18"/>
      <c r="E1430" s="18"/>
      <c r="F1430" s="18"/>
      <c r="G1430" s="18"/>
      <c r="H1430" s="18"/>
    </row>
    <row r="1431" spans="4:8" s="11" customFormat="1">
      <c r="D1431" s="18"/>
      <c r="E1431" s="18"/>
      <c r="F1431" s="18"/>
      <c r="G1431" s="18"/>
      <c r="H1431" s="18"/>
    </row>
    <row r="1432" spans="4:8" s="11" customFormat="1">
      <c r="D1432" s="18"/>
      <c r="E1432" s="18"/>
      <c r="F1432" s="18"/>
      <c r="G1432" s="18"/>
      <c r="H1432" s="18"/>
    </row>
    <row r="1433" spans="4:8" s="11" customFormat="1">
      <c r="D1433" s="18"/>
      <c r="E1433" s="18"/>
      <c r="F1433" s="18"/>
      <c r="G1433" s="18"/>
      <c r="H1433" s="18"/>
    </row>
    <row r="1434" spans="4:8" s="11" customFormat="1">
      <c r="D1434" s="18"/>
      <c r="E1434" s="18"/>
      <c r="F1434" s="18"/>
      <c r="G1434" s="18"/>
      <c r="H1434" s="18"/>
    </row>
    <row r="1435" spans="4:8" s="11" customFormat="1">
      <c r="D1435" s="18"/>
      <c r="E1435" s="18"/>
      <c r="F1435" s="18"/>
      <c r="G1435" s="18"/>
      <c r="H1435" s="18"/>
    </row>
    <row r="1436" spans="4:8" s="11" customFormat="1">
      <c r="D1436" s="18"/>
      <c r="E1436" s="18"/>
      <c r="F1436" s="18"/>
      <c r="G1436" s="18"/>
      <c r="H1436" s="18"/>
    </row>
    <row r="1437" spans="4:8" s="11" customFormat="1">
      <c r="D1437" s="18"/>
      <c r="E1437" s="18"/>
      <c r="F1437" s="18"/>
      <c r="G1437" s="18"/>
      <c r="H1437" s="18"/>
    </row>
    <row r="1438" spans="4:8" s="11" customFormat="1">
      <c r="D1438" s="18"/>
      <c r="E1438" s="18"/>
      <c r="F1438" s="18"/>
      <c r="G1438" s="18"/>
      <c r="H1438" s="18"/>
    </row>
    <row r="1439" spans="4:8" s="11" customFormat="1">
      <c r="D1439" s="18"/>
      <c r="E1439" s="18"/>
      <c r="F1439" s="18"/>
      <c r="G1439" s="18"/>
      <c r="H1439" s="18"/>
    </row>
    <row r="1440" spans="4:8" s="11" customFormat="1">
      <c r="D1440" s="18"/>
      <c r="E1440" s="18"/>
      <c r="F1440" s="18"/>
      <c r="G1440" s="18"/>
      <c r="H1440" s="18"/>
    </row>
    <row r="1441" spans="4:8" s="11" customFormat="1">
      <c r="D1441" s="18"/>
      <c r="E1441" s="18"/>
      <c r="F1441" s="18"/>
      <c r="G1441" s="18"/>
      <c r="H1441" s="18"/>
    </row>
    <row r="1442" spans="4:8" s="11" customFormat="1">
      <c r="D1442" s="18"/>
      <c r="E1442" s="18"/>
      <c r="F1442" s="18"/>
      <c r="G1442" s="18"/>
      <c r="H1442" s="18"/>
    </row>
    <row r="1443" spans="4:8" s="11" customFormat="1">
      <c r="D1443" s="18"/>
      <c r="E1443" s="18"/>
      <c r="F1443" s="18"/>
      <c r="G1443" s="18"/>
      <c r="H1443" s="18"/>
    </row>
    <row r="1444" spans="4:8" s="11" customFormat="1">
      <c r="D1444" s="18"/>
      <c r="E1444" s="18"/>
      <c r="F1444" s="18"/>
      <c r="G1444" s="18"/>
      <c r="H1444" s="18"/>
    </row>
    <row r="1445" spans="4:8" s="11" customFormat="1">
      <c r="D1445" s="18"/>
      <c r="E1445" s="18"/>
      <c r="F1445" s="18"/>
      <c r="G1445" s="18"/>
      <c r="H1445" s="18"/>
    </row>
    <row r="1446" spans="4:8" s="11" customFormat="1">
      <c r="D1446" s="18"/>
      <c r="E1446" s="18"/>
      <c r="F1446" s="18"/>
      <c r="G1446" s="18"/>
      <c r="H1446" s="18"/>
    </row>
    <row r="1447" spans="4:8" s="11" customFormat="1">
      <c r="D1447" s="18"/>
      <c r="E1447" s="18"/>
      <c r="F1447" s="18"/>
      <c r="G1447" s="18"/>
      <c r="H1447" s="18"/>
    </row>
    <row r="1448" spans="4:8" s="11" customFormat="1">
      <c r="D1448" s="18"/>
      <c r="E1448" s="18"/>
      <c r="F1448" s="18"/>
      <c r="G1448" s="18"/>
      <c r="H1448" s="18"/>
    </row>
    <row r="1449" spans="4:8" s="11" customFormat="1">
      <c r="D1449" s="18"/>
      <c r="E1449" s="18"/>
      <c r="F1449" s="18"/>
      <c r="G1449" s="18"/>
      <c r="H1449" s="18"/>
    </row>
    <row r="1450" spans="4:8" s="11" customFormat="1">
      <c r="D1450" s="18"/>
      <c r="E1450" s="18"/>
      <c r="F1450" s="18"/>
      <c r="G1450" s="18"/>
      <c r="H1450" s="18"/>
    </row>
    <row r="1451" spans="4:8" s="11" customFormat="1">
      <c r="D1451" s="18"/>
      <c r="E1451" s="18"/>
      <c r="F1451" s="18"/>
      <c r="G1451" s="18"/>
      <c r="H1451" s="18"/>
    </row>
    <row r="1452" spans="4:8" s="11" customFormat="1">
      <c r="D1452" s="18"/>
      <c r="E1452" s="18"/>
      <c r="F1452" s="18"/>
      <c r="G1452" s="18"/>
      <c r="H1452" s="18"/>
    </row>
    <row r="1453" spans="4:8" s="11" customFormat="1">
      <c r="D1453" s="18"/>
      <c r="E1453" s="18"/>
      <c r="F1453" s="18"/>
      <c r="G1453" s="18"/>
      <c r="H1453" s="18"/>
    </row>
    <row r="1454" spans="4:8" s="11" customFormat="1">
      <c r="D1454" s="18"/>
      <c r="E1454" s="18"/>
      <c r="F1454" s="18"/>
      <c r="G1454" s="18"/>
      <c r="H1454" s="18"/>
    </row>
    <row r="1455" spans="4:8" s="11" customFormat="1">
      <c r="D1455" s="18"/>
      <c r="E1455" s="18"/>
      <c r="F1455" s="18"/>
      <c r="G1455" s="18"/>
      <c r="H1455" s="18"/>
    </row>
    <row r="1456" spans="4:8" s="11" customFormat="1">
      <c r="D1456" s="18"/>
      <c r="E1456" s="18"/>
      <c r="F1456" s="18"/>
      <c r="G1456" s="18"/>
      <c r="H1456" s="18"/>
    </row>
    <row r="1457" spans="4:8" s="11" customFormat="1">
      <c r="D1457" s="18"/>
      <c r="E1457" s="18"/>
      <c r="F1457" s="18"/>
      <c r="G1457" s="18"/>
      <c r="H1457" s="18"/>
    </row>
    <row r="1458" spans="4:8" s="11" customFormat="1">
      <c r="D1458" s="18"/>
      <c r="E1458" s="18"/>
      <c r="F1458" s="18"/>
      <c r="G1458" s="18"/>
      <c r="H1458" s="18"/>
    </row>
    <row r="1459" spans="4:8" s="11" customFormat="1">
      <c r="D1459" s="18"/>
      <c r="E1459" s="18"/>
      <c r="F1459" s="18"/>
      <c r="G1459" s="18"/>
      <c r="H1459" s="18"/>
    </row>
    <row r="1460" spans="4:8" s="11" customFormat="1">
      <c r="D1460" s="18"/>
      <c r="E1460" s="18"/>
      <c r="F1460" s="18"/>
      <c r="G1460" s="18"/>
      <c r="H1460" s="18"/>
    </row>
    <row r="1461" spans="4:8" s="11" customFormat="1">
      <c r="D1461" s="18"/>
      <c r="E1461" s="18"/>
      <c r="F1461" s="18"/>
      <c r="G1461" s="18"/>
      <c r="H1461" s="18"/>
    </row>
    <row r="1462" spans="4:8" s="11" customFormat="1">
      <c r="D1462" s="18"/>
      <c r="E1462" s="18"/>
      <c r="F1462" s="18"/>
      <c r="G1462" s="18"/>
      <c r="H1462" s="18"/>
    </row>
    <row r="1463" spans="4:8" s="11" customFormat="1">
      <c r="D1463" s="18"/>
      <c r="E1463" s="18"/>
      <c r="F1463" s="18"/>
      <c r="G1463" s="18"/>
      <c r="H1463" s="18"/>
    </row>
    <row r="1464" spans="4:8" s="11" customFormat="1">
      <c r="D1464" s="18"/>
      <c r="E1464" s="18"/>
      <c r="F1464" s="18"/>
      <c r="G1464" s="18"/>
      <c r="H1464" s="18"/>
    </row>
    <row r="1465" spans="4:8" s="11" customFormat="1">
      <c r="D1465" s="18"/>
      <c r="E1465" s="18"/>
      <c r="F1465" s="18"/>
      <c r="G1465" s="18"/>
      <c r="H1465" s="18"/>
    </row>
    <row r="1466" spans="4:8" s="11" customFormat="1">
      <c r="D1466" s="18"/>
      <c r="E1466" s="18"/>
      <c r="F1466" s="18"/>
      <c r="G1466" s="18"/>
      <c r="H1466" s="18"/>
    </row>
    <row r="1467" spans="4:8" s="11" customFormat="1">
      <c r="D1467" s="18"/>
      <c r="E1467" s="18"/>
      <c r="F1467" s="18"/>
      <c r="G1467" s="18"/>
      <c r="H1467" s="18"/>
    </row>
    <row r="1468" spans="4:8" s="11" customFormat="1">
      <c r="D1468" s="18"/>
      <c r="E1468" s="18"/>
      <c r="F1468" s="18"/>
      <c r="G1468" s="18"/>
      <c r="H1468" s="18"/>
    </row>
    <row r="1469" spans="4:8" s="11" customFormat="1">
      <c r="D1469" s="18"/>
      <c r="E1469" s="18"/>
      <c r="F1469" s="18"/>
      <c r="G1469" s="18"/>
      <c r="H1469" s="18"/>
    </row>
    <row r="1470" spans="4:8" s="11" customFormat="1">
      <c r="D1470" s="18"/>
      <c r="E1470" s="18"/>
      <c r="F1470" s="18"/>
      <c r="G1470" s="18"/>
      <c r="H1470" s="18"/>
    </row>
    <row r="1471" spans="4:8" s="11" customFormat="1">
      <c r="D1471" s="18"/>
      <c r="E1471" s="18"/>
      <c r="F1471" s="18"/>
      <c r="G1471" s="18"/>
      <c r="H1471" s="18"/>
    </row>
    <row r="1472" spans="4:8" s="11" customFormat="1">
      <c r="D1472" s="18"/>
      <c r="E1472" s="18"/>
      <c r="F1472" s="18"/>
      <c r="G1472" s="18"/>
      <c r="H1472" s="18"/>
    </row>
    <row r="1473" spans="4:8" s="11" customFormat="1">
      <c r="D1473" s="18"/>
      <c r="E1473" s="18"/>
      <c r="F1473" s="18"/>
      <c r="G1473" s="18"/>
      <c r="H1473" s="18"/>
    </row>
    <row r="1474" spans="4:8" s="11" customFormat="1">
      <c r="D1474" s="18"/>
      <c r="E1474" s="18"/>
      <c r="F1474" s="18"/>
      <c r="G1474" s="18"/>
      <c r="H1474" s="18"/>
    </row>
    <row r="1475" spans="4:8" s="11" customFormat="1">
      <c r="D1475" s="18"/>
      <c r="E1475" s="18"/>
      <c r="F1475" s="18"/>
      <c r="G1475" s="18"/>
      <c r="H1475" s="18"/>
    </row>
    <row r="1476" spans="4:8" s="11" customFormat="1">
      <c r="D1476" s="18"/>
      <c r="E1476" s="18"/>
      <c r="F1476" s="18"/>
      <c r="G1476" s="18"/>
      <c r="H1476" s="18"/>
    </row>
    <row r="1477" spans="4:8" s="11" customFormat="1">
      <c r="D1477" s="18"/>
      <c r="E1477" s="18"/>
      <c r="F1477" s="18"/>
      <c r="G1477" s="18"/>
      <c r="H1477" s="18"/>
    </row>
    <row r="1478" spans="4:8" s="11" customFormat="1">
      <c r="D1478" s="18"/>
      <c r="E1478" s="18"/>
      <c r="F1478" s="18"/>
      <c r="G1478" s="18"/>
      <c r="H1478" s="18"/>
    </row>
    <row r="1479" spans="4:8" s="11" customFormat="1">
      <c r="D1479" s="18"/>
      <c r="E1479" s="18"/>
      <c r="F1479" s="18"/>
      <c r="G1479" s="18"/>
      <c r="H1479" s="18"/>
    </row>
    <row r="1480" spans="4:8" s="11" customFormat="1">
      <c r="D1480" s="18"/>
      <c r="E1480" s="18"/>
      <c r="F1480" s="18"/>
      <c r="G1480" s="18"/>
      <c r="H1480" s="18"/>
    </row>
    <row r="1481" spans="4:8" s="11" customFormat="1">
      <c r="D1481" s="18"/>
      <c r="E1481" s="18"/>
      <c r="F1481" s="18"/>
      <c r="G1481" s="18"/>
      <c r="H1481" s="18"/>
    </row>
    <row r="1482" spans="4:8" s="11" customFormat="1">
      <c r="D1482" s="18"/>
      <c r="E1482" s="18"/>
      <c r="F1482" s="18"/>
      <c r="G1482" s="18"/>
      <c r="H1482" s="18"/>
    </row>
    <row r="1483" spans="4:8" s="11" customFormat="1">
      <c r="D1483" s="18"/>
      <c r="E1483" s="18"/>
      <c r="F1483" s="18"/>
      <c r="G1483" s="18"/>
      <c r="H1483" s="18"/>
    </row>
    <row r="1484" spans="4:8" s="11" customFormat="1">
      <c r="D1484" s="18"/>
      <c r="E1484" s="18"/>
      <c r="F1484" s="18"/>
      <c r="G1484" s="18"/>
      <c r="H1484" s="18"/>
    </row>
    <row r="1485" spans="4:8" s="11" customFormat="1">
      <c r="D1485" s="18"/>
      <c r="E1485" s="18"/>
      <c r="F1485" s="18"/>
      <c r="G1485" s="18"/>
      <c r="H1485" s="18"/>
    </row>
    <row r="1486" spans="4:8" s="11" customFormat="1">
      <c r="D1486" s="18"/>
      <c r="E1486" s="18"/>
      <c r="F1486" s="18"/>
      <c r="G1486" s="18"/>
      <c r="H1486" s="18"/>
    </row>
    <row r="1487" spans="4:8" s="11" customFormat="1">
      <c r="D1487" s="18"/>
      <c r="E1487" s="18"/>
      <c r="F1487" s="18"/>
      <c r="G1487" s="18"/>
      <c r="H1487" s="18"/>
    </row>
    <row r="1488" spans="4:8" s="11" customFormat="1">
      <c r="D1488" s="18"/>
      <c r="E1488" s="18"/>
      <c r="F1488" s="18"/>
      <c r="G1488" s="18"/>
      <c r="H1488" s="18"/>
    </row>
    <row r="1489" spans="4:8" s="11" customFormat="1">
      <c r="D1489" s="18"/>
      <c r="E1489" s="18"/>
      <c r="F1489" s="18"/>
      <c r="G1489" s="18"/>
      <c r="H1489" s="18"/>
    </row>
    <row r="1490" spans="4:8" s="11" customFormat="1">
      <c r="D1490" s="18"/>
      <c r="E1490" s="18"/>
      <c r="F1490" s="18"/>
      <c r="G1490" s="18"/>
      <c r="H1490" s="18"/>
    </row>
    <row r="1491" spans="4:8" s="11" customFormat="1">
      <c r="D1491" s="18"/>
      <c r="E1491" s="18"/>
      <c r="F1491" s="18"/>
      <c r="G1491" s="18"/>
      <c r="H1491" s="18"/>
    </row>
    <row r="1492" spans="4:8" s="11" customFormat="1">
      <c r="D1492" s="18"/>
      <c r="E1492" s="18"/>
      <c r="F1492" s="18"/>
      <c r="G1492" s="18"/>
      <c r="H1492" s="18"/>
    </row>
    <row r="1493" spans="4:8" s="11" customFormat="1">
      <c r="D1493" s="18"/>
      <c r="E1493" s="18"/>
      <c r="F1493" s="18"/>
      <c r="G1493" s="18"/>
      <c r="H1493" s="18"/>
    </row>
    <row r="1494" spans="4:8" s="11" customFormat="1">
      <c r="D1494" s="18"/>
      <c r="E1494" s="18"/>
      <c r="F1494" s="18"/>
      <c r="G1494" s="18"/>
      <c r="H1494" s="18"/>
    </row>
    <row r="1495" spans="4:8" s="11" customFormat="1">
      <c r="D1495" s="18"/>
      <c r="E1495" s="18"/>
      <c r="F1495" s="18"/>
      <c r="G1495" s="18"/>
      <c r="H1495" s="18"/>
    </row>
    <row r="1496" spans="4:8" s="11" customFormat="1">
      <c r="D1496" s="18"/>
      <c r="E1496" s="18"/>
      <c r="F1496" s="18"/>
      <c r="G1496" s="18"/>
      <c r="H1496" s="18"/>
    </row>
    <row r="1497" spans="4:8" s="11" customFormat="1">
      <c r="D1497" s="18"/>
      <c r="E1497" s="18"/>
      <c r="F1497" s="18"/>
      <c r="G1497" s="18"/>
      <c r="H1497" s="18"/>
    </row>
    <row r="1498" spans="4:8" s="11" customFormat="1">
      <c r="D1498" s="18"/>
      <c r="E1498" s="18"/>
      <c r="F1498" s="18"/>
      <c r="G1498" s="18"/>
      <c r="H1498" s="18"/>
    </row>
    <row r="1499" spans="4:8" s="11" customFormat="1">
      <c r="D1499" s="18"/>
      <c r="E1499" s="18"/>
      <c r="F1499" s="18"/>
      <c r="G1499" s="18"/>
      <c r="H1499" s="18"/>
    </row>
    <row r="1500" spans="4:8" s="11" customFormat="1">
      <c r="D1500" s="18"/>
      <c r="E1500" s="18"/>
      <c r="F1500" s="18"/>
      <c r="G1500" s="18"/>
      <c r="H1500" s="18"/>
    </row>
    <row r="1501" spans="4:8" s="11" customFormat="1">
      <c r="D1501" s="18"/>
      <c r="E1501" s="18"/>
      <c r="F1501" s="18"/>
      <c r="G1501" s="18"/>
      <c r="H1501" s="18"/>
    </row>
    <row r="1502" spans="4:8" s="11" customFormat="1">
      <c r="D1502" s="18"/>
      <c r="E1502" s="18"/>
      <c r="F1502" s="18"/>
      <c r="G1502" s="18"/>
      <c r="H1502" s="18"/>
    </row>
    <row r="1503" spans="4:8" s="11" customFormat="1">
      <c r="D1503" s="18"/>
      <c r="E1503" s="18"/>
      <c r="F1503" s="18"/>
      <c r="G1503" s="18"/>
      <c r="H1503" s="18"/>
    </row>
    <row r="1504" spans="4:8" s="11" customFormat="1">
      <c r="D1504" s="18"/>
      <c r="E1504" s="18"/>
      <c r="F1504" s="18"/>
      <c r="G1504" s="18"/>
      <c r="H1504" s="18"/>
    </row>
    <row r="1505" spans="4:8" s="11" customFormat="1">
      <c r="D1505" s="18"/>
      <c r="E1505" s="18"/>
      <c r="F1505" s="18"/>
      <c r="G1505" s="18"/>
      <c r="H1505" s="18"/>
    </row>
    <row r="1506" spans="4:8" s="11" customFormat="1">
      <c r="D1506" s="18"/>
      <c r="E1506" s="18"/>
      <c r="F1506" s="18"/>
      <c r="G1506" s="18"/>
      <c r="H1506" s="18"/>
    </row>
    <row r="1507" spans="4:8" s="11" customFormat="1">
      <c r="D1507" s="18"/>
      <c r="E1507" s="18"/>
      <c r="F1507" s="18"/>
      <c r="G1507" s="18"/>
      <c r="H1507" s="18"/>
    </row>
    <row r="1508" spans="4:8" s="11" customFormat="1">
      <c r="D1508" s="18"/>
      <c r="E1508" s="18"/>
      <c r="F1508" s="18"/>
      <c r="G1508" s="18"/>
      <c r="H1508" s="18"/>
    </row>
    <row r="1509" spans="4:8" s="11" customFormat="1">
      <c r="D1509" s="18"/>
      <c r="E1509" s="18"/>
      <c r="F1509" s="18"/>
      <c r="G1509" s="18"/>
      <c r="H1509" s="18"/>
    </row>
    <row r="1510" spans="4:8" s="11" customFormat="1">
      <c r="D1510" s="18"/>
      <c r="E1510" s="18"/>
      <c r="F1510" s="18"/>
      <c r="G1510" s="18"/>
      <c r="H1510" s="18"/>
    </row>
    <row r="1511" spans="4:8" s="11" customFormat="1">
      <c r="D1511" s="18"/>
      <c r="E1511" s="18"/>
      <c r="F1511" s="18"/>
      <c r="G1511" s="18"/>
      <c r="H1511" s="18"/>
    </row>
    <row r="1512" spans="4:8" s="11" customFormat="1">
      <c r="D1512" s="18"/>
      <c r="E1512" s="18"/>
      <c r="F1512" s="18"/>
      <c r="G1512" s="18"/>
      <c r="H1512" s="18"/>
    </row>
    <row r="1513" spans="4:8" s="11" customFormat="1">
      <c r="D1513" s="18"/>
      <c r="E1513" s="18"/>
      <c r="F1513" s="18"/>
      <c r="G1513" s="18"/>
      <c r="H1513" s="18"/>
    </row>
    <row r="1514" spans="4:8" s="11" customFormat="1">
      <c r="D1514" s="18"/>
      <c r="E1514" s="18"/>
      <c r="F1514" s="18"/>
      <c r="G1514" s="18"/>
      <c r="H1514" s="18"/>
    </row>
    <row r="1515" spans="4:8" s="11" customFormat="1">
      <c r="D1515" s="18"/>
      <c r="E1515" s="18"/>
      <c r="F1515" s="18"/>
      <c r="G1515" s="18"/>
      <c r="H1515" s="18"/>
    </row>
    <row r="1516" spans="4:8" s="11" customFormat="1">
      <c r="D1516" s="18"/>
      <c r="E1516" s="18"/>
      <c r="F1516" s="18"/>
      <c r="G1516" s="18"/>
      <c r="H1516" s="18"/>
    </row>
    <row r="1517" spans="4:8" s="11" customFormat="1">
      <c r="D1517" s="18"/>
      <c r="E1517" s="18"/>
      <c r="F1517" s="18"/>
      <c r="G1517" s="18"/>
      <c r="H1517" s="18"/>
    </row>
    <row r="1518" spans="4:8" s="11" customFormat="1">
      <c r="D1518" s="18"/>
      <c r="E1518" s="18"/>
      <c r="F1518" s="18"/>
      <c r="G1518" s="18"/>
      <c r="H1518" s="18"/>
    </row>
    <row r="1519" spans="4:8" s="11" customFormat="1">
      <c r="D1519" s="18"/>
      <c r="E1519" s="18"/>
      <c r="F1519" s="18"/>
      <c r="G1519" s="18"/>
      <c r="H1519" s="18"/>
    </row>
    <row r="1520" spans="4:8" s="11" customFormat="1">
      <c r="D1520" s="18"/>
      <c r="E1520" s="18"/>
      <c r="F1520" s="18"/>
      <c r="G1520" s="18"/>
      <c r="H1520" s="18"/>
    </row>
    <row r="1521" spans="4:8" s="11" customFormat="1">
      <c r="D1521" s="18"/>
      <c r="E1521" s="18"/>
      <c r="F1521" s="18"/>
      <c r="G1521" s="18"/>
      <c r="H1521" s="18"/>
    </row>
    <row r="1522" spans="4:8" s="11" customFormat="1">
      <c r="D1522" s="18"/>
      <c r="E1522" s="18"/>
      <c r="F1522" s="18"/>
      <c r="G1522" s="18"/>
      <c r="H1522" s="18"/>
    </row>
    <row r="1523" spans="4:8" s="11" customFormat="1">
      <c r="D1523" s="18"/>
      <c r="E1523" s="18"/>
      <c r="F1523" s="18"/>
      <c r="G1523" s="18"/>
      <c r="H1523" s="18"/>
    </row>
    <row r="1524" spans="4:8" s="11" customFormat="1">
      <c r="D1524" s="18"/>
      <c r="E1524" s="18"/>
      <c r="F1524" s="18"/>
      <c r="G1524" s="18"/>
      <c r="H1524" s="18"/>
    </row>
    <row r="1525" spans="4:8" s="11" customFormat="1">
      <c r="D1525" s="18"/>
      <c r="E1525" s="18"/>
      <c r="F1525" s="18"/>
      <c r="G1525" s="18"/>
      <c r="H1525" s="18"/>
    </row>
    <row r="1526" spans="4:8" s="11" customFormat="1">
      <c r="D1526" s="18"/>
      <c r="E1526" s="18"/>
      <c r="F1526" s="18"/>
      <c r="G1526" s="18"/>
      <c r="H1526" s="18"/>
    </row>
    <row r="1527" spans="4:8" s="11" customFormat="1">
      <c r="D1527" s="18"/>
      <c r="E1527" s="18"/>
      <c r="F1527" s="18"/>
      <c r="G1527" s="18"/>
      <c r="H1527" s="18"/>
    </row>
    <row r="1528" spans="4:8" s="11" customFormat="1">
      <c r="D1528" s="18"/>
      <c r="E1528" s="18"/>
      <c r="F1528" s="18"/>
      <c r="G1528" s="18"/>
      <c r="H1528" s="18"/>
    </row>
    <row r="1529" spans="4:8" s="11" customFormat="1">
      <c r="D1529" s="18"/>
      <c r="E1529" s="18"/>
      <c r="F1529" s="18"/>
      <c r="G1529" s="18"/>
      <c r="H1529" s="18"/>
    </row>
    <row r="1530" spans="4:8" s="11" customFormat="1">
      <c r="D1530" s="18"/>
      <c r="E1530" s="18"/>
      <c r="F1530" s="18"/>
      <c r="G1530" s="18"/>
      <c r="H1530" s="18"/>
    </row>
    <row r="1531" spans="4:8" s="11" customFormat="1">
      <c r="D1531" s="18"/>
      <c r="E1531" s="18"/>
      <c r="F1531" s="18"/>
      <c r="G1531" s="18"/>
      <c r="H1531" s="18"/>
    </row>
    <row r="1532" spans="4:8" s="11" customFormat="1">
      <c r="D1532" s="18"/>
      <c r="E1532" s="18"/>
      <c r="F1532" s="18"/>
      <c r="G1532" s="18"/>
      <c r="H1532" s="18"/>
    </row>
    <row r="1533" spans="4:8" s="11" customFormat="1">
      <c r="D1533" s="18"/>
      <c r="E1533" s="18"/>
      <c r="F1533" s="18"/>
      <c r="G1533" s="18"/>
      <c r="H1533" s="18"/>
    </row>
    <row r="1534" spans="4:8" s="11" customFormat="1">
      <c r="D1534" s="18"/>
      <c r="E1534" s="18"/>
      <c r="F1534" s="18"/>
      <c r="G1534" s="18"/>
      <c r="H1534" s="18"/>
    </row>
    <row r="1535" spans="4:8" s="11" customFormat="1">
      <c r="D1535" s="18"/>
      <c r="E1535" s="18"/>
      <c r="F1535" s="18"/>
      <c r="G1535" s="18"/>
      <c r="H1535" s="18"/>
    </row>
    <row r="1536" spans="4:8" s="11" customFormat="1">
      <c r="D1536" s="18"/>
      <c r="E1536" s="18"/>
      <c r="F1536" s="18"/>
      <c r="G1536" s="18"/>
      <c r="H1536" s="18"/>
    </row>
    <row r="1537" spans="4:8" s="11" customFormat="1">
      <c r="D1537" s="18"/>
      <c r="E1537" s="18"/>
      <c r="F1537" s="18"/>
      <c r="G1537" s="18"/>
      <c r="H1537" s="18"/>
    </row>
    <row r="1538" spans="4:8" s="11" customFormat="1">
      <c r="D1538" s="18"/>
      <c r="E1538" s="18"/>
      <c r="F1538" s="18"/>
      <c r="G1538" s="18"/>
      <c r="H1538" s="18"/>
    </row>
    <row r="1539" spans="4:8" s="11" customFormat="1">
      <c r="D1539" s="18"/>
      <c r="E1539" s="18"/>
      <c r="F1539" s="18"/>
      <c r="G1539" s="18"/>
      <c r="H1539" s="18"/>
    </row>
    <row r="1540" spans="4:8" s="11" customFormat="1">
      <c r="D1540" s="18"/>
      <c r="E1540" s="18"/>
      <c r="F1540" s="18"/>
      <c r="G1540" s="18"/>
      <c r="H1540" s="18"/>
    </row>
    <row r="1541" spans="4:8" s="11" customFormat="1">
      <c r="D1541" s="18"/>
      <c r="E1541" s="18"/>
      <c r="F1541" s="18"/>
      <c r="G1541" s="18"/>
      <c r="H1541" s="18"/>
    </row>
    <row r="1542" spans="4:8" s="11" customFormat="1">
      <c r="D1542" s="18"/>
      <c r="E1542" s="18"/>
      <c r="F1542" s="18"/>
      <c r="G1542" s="18"/>
      <c r="H1542" s="18"/>
    </row>
    <row r="1543" spans="4:8" s="11" customFormat="1">
      <c r="D1543" s="18"/>
      <c r="E1543" s="18"/>
      <c r="F1543" s="18"/>
      <c r="G1543" s="18"/>
      <c r="H1543" s="18"/>
    </row>
    <row r="1544" spans="4:8" s="11" customFormat="1">
      <c r="D1544" s="18"/>
      <c r="E1544" s="18"/>
      <c r="F1544" s="18"/>
      <c r="G1544" s="18"/>
      <c r="H1544" s="18"/>
    </row>
    <row r="1545" spans="4:8" s="11" customFormat="1">
      <c r="D1545" s="18"/>
      <c r="E1545" s="18"/>
      <c r="F1545" s="18"/>
      <c r="G1545" s="18"/>
      <c r="H1545" s="18"/>
    </row>
    <row r="1546" spans="4:8" s="11" customFormat="1">
      <c r="D1546" s="18"/>
      <c r="E1546" s="18"/>
      <c r="F1546" s="18"/>
      <c r="G1546" s="18"/>
      <c r="H1546" s="18"/>
    </row>
    <row r="1547" spans="4:8" s="11" customFormat="1">
      <c r="D1547" s="18"/>
      <c r="E1547" s="18"/>
      <c r="F1547" s="18"/>
      <c r="G1547" s="18"/>
      <c r="H1547" s="18"/>
    </row>
    <row r="1548" spans="4:8" s="11" customFormat="1">
      <c r="D1548" s="18"/>
      <c r="E1548" s="18"/>
      <c r="F1548" s="18"/>
      <c r="G1548" s="18"/>
      <c r="H1548" s="18"/>
    </row>
    <row r="1549" spans="4:8" s="11" customFormat="1">
      <c r="D1549" s="18"/>
      <c r="E1549" s="18"/>
      <c r="F1549" s="18"/>
      <c r="G1549" s="18"/>
      <c r="H1549" s="18"/>
    </row>
    <row r="1550" spans="4:8" s="11" customFormat="1">
      <c r="D1550" s="18"/>
      <c r="E1550" s="18"/>
      <c r="F1550" s="18"/>
      <c r="G1550" s="18"/>
      <c r="H1550" s="18"/>
    </row>
    <row r="1551" spans="4:8" s="11" customFormat="1">
      <c r="D1551" s="18"/>
      <c r="E1551" s="18"/>
      <c r="F1551" s="18"/>
      <c r="G1551" s="18"/>
      <c r="H1551" s="18"/>
    </row>
    <row r="1552" spans="4:8" s="11" customFormat="1">
      <c r="D1552" s="18"/>
      <c r="E1552" s="18"/>
      <c r="F1552" s="18"/>
      <c r="G1552" s="18"/>
      <c r="H1552" s="18"/>
    </row>
    <row r="1553" spans="4:8" s="11" customFormat="1">
      <c r="D1553" s="18"/>
      <c r="E1553" s="18"/>
      <c r="F1553" s="18"/>
      <c r="G1553" s="18"/>
      <c r="H1553" s="18"/>
    </row>
    <row r="1554" spans="4:8" s="11" customFormat="1">
      <c r="D1554" s="18"/>
      <c r="E1554" s="18"/>
      <c r="F1554" s="18"/>
      <c r="G1554" s="18"/>
      <c r="H1554" s="18"/>
    </row>
    <row r="1555" spans="4:8" s="11" customFormat="1">
      <c r="D1555" s="18"/>
      <c r="E1555" s="18"/>
      <c r="F1555" s="18"/>
      <c r="G1555" s="18"/>
      <c r="H1555" s="18"/>
    </row>
    <row r="1556" spans="4:8" s="11" customFormat="1">
      <c r="D1556" s="18"/>
      <c r="E1556" s="18"/>
      <c r="F1556" s="18"/>
      <c r="G1556" s="18"/>
      <c r="H1556" s="18"/>
    </row>
    <row r="1557" spans="4:8" s="11" customFormat="1">
      <c r="D1557" s="18"/>
      <c r="E1557" s="18"/>
      <c r="F1557" s="18"/>
      <c r="G1557" s="18"/>
      <c r="H1557" s="18"/>
    </row>
    <row r="1558" spans="4:8" s="11" customFormat="1">
      <c r="D1558" s="18"/>
      <c r="E1558" s="18"/>
      <c r="F1558" s="18"/>
      <c r="G1558" s="18"/>
      <c r="H1558" s="18"/>
    </row>
    <row r="1559" spans="4:8" s="11" customFormat="1">
      <c r="D1559" s="18"/>
      <c r="E1559" s="18"/>
      <c r="F1559" s="18"/>
      <c r="G1559" s="18"/>
      <c r="H1559" s="18"/>
    </row>
    <row r="1560" spans="4:8" s="11" customFormat="1">
      <c r="D1560" s="18"/>
      <c r="E1560" s="18"/>
      <c r="F1560" s="18"/>
      <c r="G1560" s="18"/>
      <c r="H1560" s="18"/>
    </row>
    <row r="1561" spans="4:8" s="11" customFormat="1">
      <c r="D1561" s="18"/>
      <c r="E1561" s="18"/>
      <c r="F1561" s="18"/>
      <c r="G1561" s="18"/>
      <c r="H1561" s="18"/>
    </row>
    <row r="1562" spans="4:8" s="11" customFormat="1">
      <c r="D1562" s="18"/>
      <c r="E1562" s="18"/>
      <c r="F1562" s="18"/>
      <c r="G1562" s="18"/>
      <c r="H1562" s="18"/>
    </row>
    <row r="1563" spans="4:8" s="11" customFormat="1">
      <c r="D1563" s="18"/>
      <c r="E1563" s="18"/>
      <c r="F1563" s="18"/>
      <c r="G1563" s="18"/>
      <c r="H1563" s="18"/>
    </row>
    <row r="1564" spans="4:8" s="11" customFormat="1">
      <c r="D1564" s="18"/>
      <c r="E1564" s="18"/>
      <c r="F1564" s="18"/>
      <c r="G1564" s="18"/>
      <c r="H1564" s="18"/>
    </row>
    <row r="1565" spans="4:8" s="11" customFormat="1">
      <c r="D1565" s="18"/>
      <c r="E1565" s="18"/>
      <c r="F1565" s="18"/>
      <c r="G1565" s="18"/>
      <c r="H1565" s="18"/>
    </row>
    <row r="1566" spans="4:8" s="11" customFormat="1">
      <c r="D1566" s="18"/>
      <c r="E1566" s="18"/>
      <c r="F1566" s="18"/>
      <c r="G1566" s="18"/>
      <c r="H1566" s="18"/>
    </row>
    <row r="1567" spans="4:8" s="11" customFormat="1">
      <c r="D1567" s="18"/>
      <c r="E1567" s="18"/>
      <c r="F1567" s="18"/>
      <c r="G1567" s="18"/>
      <c r="H1567" s="18"/>
    </row>
    <row r="1568" spans="4:8" s="11" customFormat="1">
      <c r="D1568" s="18"/>
      <c r="E1568" s="18"/>
      <c r="F1568" s="18"/>
      <c r="G1568" s="18"/>
      <c r="H1568" s="18"/>
    </row>
    <row r="1569" spans="4:8" s="11" customFormat="1">
      <c r="D1569" s="18"/>
      <c r="E1569" s="18"/>
      <c r="F1569" s="18"/>
      <c r="G1569" s="18"/>
      <c r="H1569" s="18"/>
    </row>
    <row r="1570" spans="4:8" s="11" customFormat="1">
      <c r="D1570" s="18"/>
      <c r="E1570" s="18"/>
      <c r="F1570" s="18"/>
      <c r="G1570" s="18"/>
      <c r="H1570" s="18"/>
    </row>
    <row r="1571" spans="4:8" s="11" customFormat="1">
      <c r="D1571" s="18"/>
      <c r="E1571" s="18"/>
      <c r="F1571" s="18"/>
      <c r="G1571" s="18"/>
      <c r="H1571" s="18"/>
    </row>
    <row r="1572" spans="4:8" s="11" customFormat="1">
      <c r="D1572" s="18"/>
      <c r="E1572" s="18"/>
      <c r="F1572" s="18"/>
      <c r="G1572" s="18"/>
      <c r="H1572" s="18"/>
    </row>
    <row r="1573" spans="4:8" s="11" customFormat="1">
      <c r="D1573" s="18"/>
      <c r="E1573" s="18"/>
      <c r="F1573" s="18"/>
      <c r="G1573" s="18"/>
      <c r="H1573" s="18"/>
    </row>
    <row r="1574" spans="4:8" s="11" customFormat="1">
      <c r="D1574" s="18"/>
      <c r="E1574" s="18"/>
      <c r="F1574" s="18"/>
      <c r="G1574" s="18"/>
      <c r="H1574" s="18"/>
    </row>
    <row r="1575" spans="4:8" s="11" customFormat="1">
      <c r="D1575" s="18"/>
      <c r="E1575" s="18"/>
      <c r="F1575" s="18"/>
      <c r="G1575" s="18"/>
      <c r="H1575" s="18"/>
    </row>
    <row r="1576" spans="4:8" s="11" customFormat="1">
      <c r="D1576" s="18"/>
      <c r="E1576" s="18"/>
      <c r="F1576" s="18"/>
      <c r="G1576" s="18"/>
      <c r="H1576" s="18"/>
    </row>
    <row r="1577" spans="4:8" s="11" customFormat="1">
      <c r="D1577" s="18"/>
      <c r="E1577" s="18"/>
      <c r="F1577" s="18"/>
      <c r="G1577" s="18"/>
      <c r="H1577" s="18"/>
    </row>
    <row r="1578" spans="4:8" s="11" customFormat="1">
      <c r="D1578" s="18"/>
      <c r="E1578" s="18"/>
      <c r="F1578" s="18"/>
      <c r="G1578" s="18"/>
      <c r="H1578" s="18"/>
    </row>
    <row r="1579" spans="4:8" s="11" customFormat="1">
      <c r="D1579" s="18"/>
      <c r="E1579" s="18"/>
      <c r="F1579" s="18"/>
      <c r="G1579" s="18"/>
      <c r="H1579" s="18"/>
    </row>
    <row r="1580" spans="4:8" s="11" customFormat="1">
      <c r="D1580" s="18"/>
      <c r="E1580" s="18"/>
      <c r="F1580" s="18"/>
      <c r="G1580" s="18"/>
      <c r="H1580" s="18"/>
    </row>
    <row r="1581" spans="4:8" s="11" customFormat="1">
      <c r="D1581" s="18"/>
      <c r="E1581" s="18"/>
      <c r="F1581" s="18"/>
      <c r="G1581" s="18"/>
      <c r="H1581" s="18"/>
    </row>
    <row r="1582" spans="4:8" s="11" customFormat="1">
      <c r="D1582" s="18"/>
      <c r="E1582" s="18"/>
      <c r="F1582" s="18"/>
      <c r="G1582" s="18"/>
      <c r="H1582" s="18"/>
    </row>
    <row r="1583" spans="4:8" s="11" customFormat="1">
      <c r="D1583" s="18"/>
      <c r="E1583" s="18"/>
      <c r="F1583" s="18"/>
      <c r="G1583" s="18"/>
      <c r="H1583" s="18"/>
    </row>
    <row r="1584" spans="4:8" s="11" customFormat="1">
      <c r="D1584" s="18"/>
      <c r="E1584" s="18"/>
      <c r="F1584" s="18"/>
      <c r="G1584" s="18"/>
      <c r="H1584" s="18"/>
    </row>
    <row r="1585" spans="4:8" s="11" customFormat="1">
      <c r="D1585" s="18"/>
      <c r="E1585" s="18"/>
      <c r="F1585" s="18"/>
      <c r="G1585" s="18"/>
      <c r="H1585" s="18"/>
    </row>
    <row r="1586" spans="4:8" s="11" customFormat="1">
      <c r="D1586" s="18"/>
      <c r="E1586" s="18"/>
      <c r="F1586" s="18"/>
      <c r="G1586" s="18"/>
      <c r="H1586" s="18"/>
    </row>
    <row r="1587" spans="4:8" s="11" customFormat="1">
      <c r="D1587" s="18"/>
      <c r="E1587" s="18"/>
      <c r="F1587" s="18"/>
      <c r="G1587" s="18"/>
      <c r="H1587" s="18"/>
    </row>
    <row r="1588" spans="4:8" s="11" customFormat="1">
      <c r="D1588" s="18"/>
      <c r="E1588" s="18"/>
      <c r="F1588" s="18"/>
      <c r="G1588" s="18"/>
      <c r="H1588" s="18"/>
    </row>
    <row r="1589" spans="4:8" s="11" customFormat="1">
      <c r="D1589" s="18"/>
      <c r="E1589" s="18"/>
      <c r="F1589" s="18"/>
      <c r="G1589" s="18"/>
      <c r="H1589" s="18"/>
    </row>
    <row r="1590" spans="4:8" s="11" customFormat="1">
      <c r="D1590" s="18"/>
      <c r="E1590" s="18"/>
      <c r="F1590" s="18"/>
      <c r="G1590" s="18"/>
      <c r="H1590" s="18"/>
    </row>
    <row r="1591" spans="4:8" s="11" customFormat="1">
      <c r="D1591" s="18"/>
      <c r="E1591" s="18"/>
      <c r="F1591" s="18"/>
      <c r="G1591" s="18"/>
      <c r="H1591" s="18"/>
    </row>
    <row r="1592" spans="4:8" s="11" customFormat="1">
      <c r="D1592" s="18"/>
      <c r="E1592" s="18"/>
      <c r="F1592" s="18"/>
      <c r="G1592" s="18"/>
      <c r="H1592" s="18"/>
    </row>
    <row r="1593" spans="4:8" s="11" customFormat="1">
      <c r="D1593" s="18"/>
      <c r="E1593" s="18"/>
      <c r="F1593" s="18"/>
      <c r="G1593" s="18"/>
      <c r="H1593" s="18"/>
    </row>
    <row r="1594" spans="4:8" s="11" customFormat="1">
      <c r="D1594" s="18"/>
      <c r="E1594" s="18"/>
      <c r="F1594" s="18"/>
      <c r="G1594" s="18"/>
      <c r="H1594" s="18"/>
    </row>
    <row r="1595" spans="4:8" s="11" customFormat="1">
      <c r="D1595" s="18"/>
      <c r="E1595" s="18"/>
      <c r="F1595" s="18"/>
      <c r="G1595" s="18"/>
      <c r="H1595" s="18"/>
    </row>
    <row r="1596" spans="4:8" s="11" customFormat="1">
      <c r="D1596" s="18"/>
      <c r="E1596" s="18"/>
      <c r="F1596" s="18"/>
      <c r="G1596" s="18"/>
      <c r="H1596" s="18"/>
    </row>
    <row r="1597" spans="4:8" s="11" customFormat="1">
      <c r="D1597" s="18"/>
      <c r="E1597" s="18"/>
      <c r="F1597" s="18"/>
      <c r="G1597" s="18"/>
      <c r="H1597" s="18"/>
    </row>
    <row r="1598" spans="4:8" s="11" customFormat="1">
      <c r="D1598" s="18"/>
      <c r="E1598" s="18"/>
      <c r="F1598" s="18"/>
      <c r="G1598" s="18"/>
      <c r="H1598" s="18"/>
    </row>
    <row r="1599" spans="4:8" s="11" customFormat="1">
      <c r="D1599" s="18"/>
      <c r="E1599" s="18"/>
      <c r="F1599" s="18"/>
      <c r="G1599" s="18"/>
      <c r="H1599" s="18"/>
    </row>
    <row r="1600" spans="4:8" s="11" customFormat="1">
      <c r="D1600" s="18"/>
      <c r="E1600" s="18"/>
      <c r="F1600" s="18"/>
      <c r="G1600" s="18"/>
      <c r="H1600" s="18"/>
    </row>
    <row r="1601" spans="4:8" s="11" customFormat="1">
      <c r="D1601" s="18"/>
      <c r="E1601" s="18"/>
      <c r="F1601" s="18"/>
      <c r="G1601" s="18"/>
      <c r="H1601" s="18"/>
    </row>
    <row r="1602" spans="4:8" s="11" customFormat="1">
      <c r="D1602" s="18"/>
      <c r="E1602" s="18"/>
      <c r="F1602" s="18"/>
      <c r="G1602" s="18"/>
      <c r="H1602" s="18"/>
    </row>
    <row r="1603" spans="4:8" s="11" customFormat="1">
      <c r="D1603" s="18"/>
      <c r="E1603" s="18"/>
      <c r="F1603" s="18"/>
      <c r="G1603" s="18"/>
      <c r="H1603" s="18"/>
    </row>
    <row r="1604" spans="4:8" s="11" customFormat="1">
      <c r="D1604" s="18"/>
      <c r="E1604" s="18"/>
      <c r="F1604" s="18"/>
      <c r="G1604" s="18"/>
      <c r="H1604" s="18"/>
    </row>
    <row r="1605" spans="4:8" s="11" customFormat="1">
      <c r="D1605" s="18"/>
      <c r="E1605" s="18"/>
      <c r="F1605" s="18"/>
      <c r="G1605" s="18"/>
      <c r="H1605" s="18"/>
    </row>
    <row r="1606" spans="4:8" s="11" customFormat="1">
      <c r="D1606" s="18"/>
      <c r="E1606" s="18"/>
      <c r="F1606" s="18"/>
      <c r="G1606" s="18"/>
      <c r="H1606" s="18"/>
    </row>
    <row r="1607" spans="4:8" s="11" customFormat="1">
      <c r="D1607" s="18"/>
      <c r="E1607" s="18"/>
      <c r="F1607" s="18"/>
      <c r="G1607" s="18"/>
      <c r="H1607" s="18"/>
    </row>
    <row r="1608" spans="4:8" s="11" customFormat="1">
      <c r="D1608" s="18"/>
      <c r="E1608" s="18"/>
      <c r="F1608" s="18"/>
      <c r="G1608" s="18"/>
      <c r="H1608" s="18"/>
    </row>
    <row r="1609" spans="4:8" s="11" customFormat="1">
      <c r="D1609" s="18"/>
      <c r="E1609" s="18"/>
      <c r="F1609" s="18"/>
      <c r="G1609" s="18"/>
      <c r="H1609" s="18"/>
    </row>
    <row r="1610" spans="4:8" s="11" customFormat="1">
      <c r="D1610" s="18"/>
      <c r="E1610" s="18"/>
      <c r="F1610" s="18"/>
      <c r="G1610" s="18"/>
      <c r="H1610" s="18"/>
    </row>
    <row r="1611" spans="4:8" s="11" customFormat="1">
      <c r="D1611" s="18"/>
      <c r="E1611" s="18"/>
      <c r="F1611" s="18"/>
      <c r="G1611" s="18"/>
      <c r="H1611" s="18"/>
    </row>
    <row r="1612" spans="4:8" s="11" customFormat="1">
      <c r="D1612" s="18"/>
      <c r="E1612" s="18"/>
      <c r="F1612" s="18"/>
      <c r="G1612" s="18"/>
      <c r="H1612" s="18"/>
    </row>
    <row r="1613" spans="4:8" s="11" customFormat="1">
      <c r="D1613" s="18"/>
      <c r="E1613" s="18"/>
      <c r="F1613" s="18"/>
      <c r="G1613" s="18"/>
      <c r="H1613" s="18"/>
    </row>
    <row r="1614" spans="4:8" s="11" customFormat="1">
      <c r="D1614" s="18"/>
      <c r="E1614" s="18"/>
      <c r="F1614" s="18"/>
      <c r="G1614" s="18"/>
      <c r="H1614" s="18"/>
    </row>
    <row r="1615" spans="4:8" s="11" customFormat="1">
      <c r="D1615" s="18"/>
      <c r="E1615" s="18"/>
      <c r="F1615" s="18"/>
      <c r="G1615" s="18"/>
      <c r="H1615" s="18"/>
    </row>
    <row r="1616" spans="4:8" s="11" customFormat="1">
      <c r="D1616" s="18"/>
      <c r="E1616" s="18"/>
      <c r="F1616" s="18"/>
      <c r="G1616" s="18"/>
      <c r="H1616" s="18"/>
    </row>
    <row r="1617" spans="4:8" s="11" customFormat="1">
      <c r="D1617" s="18"/>
      <c r="E1617" s="18"/>
      <c r="F1617" s="18"/>
      <c r="G1617" s="18"/>
      <c r="H1617" s="18"/>
    </row>
    <row r="1618" spans="4:8" s="11" customFormat="1">
      <c r="D1618" s="18"/>
      <c r="E1618" s="18"/>
      <c r="F1618" s="18"/>
      <c r="G1618" s="18"/>
      <c r="H1618" s="18"/>
    </row>
    <row r="1619" spans="4:8" s="11" customFormat="1">
      <c r="D1619" s="18"/>
      <c r="E1619" s="18"/>
      <c r="F1619" s="18"/>
      <c r="G1619" s="18"/>
      <c r="H1619" s="18"/>
    </row>
    <row r="1620" spans="4:8" s="11" customFormat="1">
      <c r="D1620" s="18"/>
      <c r="E1620" s="18"/>
      <c r="F1620" s="18"/>
      <c r="G1620" s="18"/>
      <c r="H1620" s="18"/>
    </row>
    <row r="1621" spans="4:8" s="11" customFormat="1">
      <c r="D1621" s="18"/>
      <c r="E1621" s="18"/>
      <c r="F1621" s="18"/>
      <c r="G1621" s="18"/>
      <c r="H1621" s="18"/>
    </row>
    <row r="1622" spans="4:8" s="11" customFormat="1">
      <c r="D1622" s="18"/>
      <c r="E1622" s="18"/>
      <c r="F1622" s="18"/>
      <c r="G1622" s="18"/>
      <c r="H1622" s="18"/>
    </row>
    <row r="1623" spans="4:8" s="11" customFormat="1">
      <c r="D1623" s="18"/>
      <c r="E1623" s="18"/>
      <c r="F1623" s="18"/>
      <c r="G1623" s="18"/>
      <c r="H1623" s="18"/>
    </row>
    <row r="1624" spans="4:8" s="11" customFormat="1">
      <c r="D1624" s="18"/>
      <c r="E1624" s="18"/>
      <c r="F1624" s="18"/>
      <c r="G1624" s="18"/>
      <c r="H1624" s="18"/>
    </row>
    <row r="1625" spans="4:8" s="11" customFormat="1">
      <c r="D1625" s="18"/>
      <c r="E1625" s="18"/>
      <c r="F1625" s="18"/>
      <c r="G1625" s="18"/>
      <c r="H1625" s="18"/>
    </row>
    <row r="1626" spans="4:8" s="11" customFormat="1">
      <c r="D1626" s="18"/>
      <c r="E1626" s="18"/>
      <c r="F1626" s="18"/>
      <c r="G1626" s="18"/>
      <c r="H1626" s="18"/>
    </row>
    <row r="1627" spans="4:8" s="11" customFormat="1">
      <c r="D1627" s="18"/>
      <c r="E1627" s="18"/>
      <c r="F1627" s="18"/>
      <c r="G1627" s="18"/>
      <c r="H1627" s="18"/>
    </row>
    <row r="1628" spans="4:8" s="11" customFormat="1">
      <c r="D1628" s="18"/>
      <c r="E1628" s="18"/>
      <c r="F1628" s="18"/>
      <c r="G1628" s="18"/>
      <c r="H1628" s="18"/>
    </row>
    <row r="1629" spans="4:8" s="11" customFormat="1">
      <c r="D1629" s="18"/>
      <c r="E1629" s="18"/>
      <c r="F1629" s="18"/>
      <c r="G1629" s="18"/>
      <c r="H1629" s="18"/>
    </row>
    <row r="1630" spans="4:8" s="11" customFormat="1">
      <c r="D1630" s="18"/>
      <c r="E1630" s="18"/>
      <c r="F1630" s="18"/>
      <c r="G1630" s="18"/>
      <c r="H1630" s="18"/>
    </row>
    <row r="1631" spans="4:8" s="11" customFormat="1">
      <c r="D1631" s="18"/>
      <c r="E1631" s="18"/>
      <c r="F1631" s="18"/>
      <c r="G1631" s="18"/>
      <c r="H1631" s="18"/>
    </row>
    <row r="1632" spans="4:8" s="11" customFormat="1">
      <c r="D1632" s="18"/>
      <c r="E1632" s="18"/>
      <c r="F1632" s="18"/>
      <c r="G1632" s="18"/>
      <c r="H1632" s="18"/>
    </row>
    <row r="1633" spans="4:8" s="11" customFormat="1">
      <c r="D1633" s="18"/>
      <c r="E1633" s="18"/>
      <c r="F1633" s="18"/>
      <c r="G1633" s="18"/>
      <c r="H1633" s="18"/>
    </row>
    <row r="1634" spans="4:8" s="11" customFormat="1">
      <c r="D1634" s="18"/>
      <c r="E1634" s="18"/>
      <c r="F1634" s="18"/>
      <c r="G1634" s="18"/>
      <c r="H1634" s="18"/>
    </row>
    <row r="1635" spans="4:8" s="11" customFormat="1">
      <c r="D1635" s="18"/>
      <c r="E1635" s="18"/>
      <c r="F1635" s="18"/>
      <c r="G1635" s="18"/>
      <c r="H1635" s="18"/>
    </row>
    <row r="1636" spans="4:8" s="11" customFormat="1">
      <c r="D1636" s="18"/>
      <c r="E1636" s="18"/>
      <c r="F1636" s="18"/>
      <c r="G1636" s="18"/>
      <c r="H1636" s="18"/>
    </row>
    <row r="1637" spans="4:8" s="11" customFormat="1">
      <c r="D1637" s="18"/>
      <c r="E1637" s="18"/>
      <c r="F1637" s="18"/>
      <c r="G1637" s="18"/>
      <c r="H1637" s="18"/>
    </row>
    <row r="1638" spans="4:8" s="11" customFormat="1">
      <c r="D1638" s="18"/>
      <c r="E1638" s="18"/>
      <c r="F1638" s="18"/>
      <c r="G1638" s="18"/>
      <c r="H1638" s="18"/>
    </row>
    <row r="1639" spans="4:8" s="11" customFormat="1">
      <c r="D1639" s="18"/>
      <c r="E1639" s="18"/>
      <c r="F1639" s="18"/>
      <c r="G1639" s="18"/>
      <c r="H1639" s="18"/>
    </row>
    <row r="1640" spans="4:8" s="11" customFormat="1">
      <c r="D1640" s="18"/>
      <c r="E1640" s="18"/>
      <c r="F1640" s="18"/>
      <c r="G1640" s="18"/>
      <c r="H1640" s="18"/>
    </row>
    <row r="1641" spans="4:8" s="11" customFormat="1">
      <c r="D1641" s="18"/>
      <c r="E1641" s="18"/>
      <c r="F1641" s="18"/>
      <c r="G1641" s="18"/>
      <c r="H1641" s="18"/>
    </row>
    <row r="1642" spans="4:8" s="11" customFormat="1">
      <c r="D1642" s="18"/>
      <c r="E1642" s="18"/>
      <c r="F1642" s="18"/>
      <c r="G1642" s="18"/>
      <c r="H1642" s="18"/>
    </row>
    <row r="1643" spans="4:8" s="11" customFormat="1">
      <c r="D1643" s="18"/>
      <c r="E1643" s="18"/>
      <c r="F1643" s="18"/>
      <c r="G1643" s="18"/>
      <c r="H1643" s="18"/>
    </row>
    <row r="1644" spans="4:8" s="11" customFormat="1">
      <c r="D1644" s="18"/>
      <c r="E1644" s="18"/>
      <c r="F1644" s="18"/>
      <c r="G1644" s="18"/>
      <c r="H1644" s="18"/>
    </row>
    <row r="1645" spans="4:8" s="11" customFormat="1">
      <c r="D1645" s="18"/>
      <c r="E1645" s="18"/>
      <c r="F1645" s="18"/>
      <c r="G1645" s="18"/>
      <c r="H1645" s="18"/>
    </row>
    <row r="1646" spans="4:8" s="11" customFormat="1">
      <c r="D1646" s="18"/>
      <c r="E1646" s="18"/>
      <c r="F1646" s="18"/>
      <c r="G1646" s="18"/>
      <c r="H1646" s="18"/>
    </row>
    <row r="1647" spans="4:8" s="11" customFormat="1">
      <c r="D1647" s="18"/>
      <c r="E1647" s="18"/>
      <c r="F1647" s="18"/>
      <c r="G1647" s="18"/>
      <c r="H1647" s="18"/>
    </row>
    <row r="1648" spans="4:8" s="11" customFormat="1">
      <c r="D1648" s="18"/>
      <c r="E1648" s="18"/>
      <c r="F1648" s="18"/>
      <c r="G1648" s="18"/>
      <c r="H1648" s="18"/>
    </row>
    <row r="1649" spans="4:8" s="11" customFormat="1">
      <c r="D1649" s="18"/>
      <c r="E1649" s="18"/>
      <c r="F1649" s="18"/>
      <c r="G1649" s="18"/>
      <c r="H1649" s="18"/>
    </row>
    <row r="1650" spans="4:8" s="11" customFormat="1">
      <c r="D1650" s="18"/>
      <c r="E1650" s="18"/>
      <c r="F1650" s="18"/>
      <c r="G1650" s="18"/>
      <c r="H1650" s="18"/>
    </row>
    <row r="1651" spans="4:8" s="11" customFormat="1">
      <c r="D1651" s="18"/>
      <c r="E1651" s="18"/>
      <c r="F1651" s="18"/>
      <c r="G1651" s="18"/>
      <c r="H1651" s="18"/>
    </row>
    <row r="1652" spans="4:8" s="11" customFormat="1">
      <c r="D1652" s="18"/>
      <c r="E1652" s="18"/>
      <c r="F1652" s="18"/>
      <c r="G1652" s="18"/>
      <c r="H1652" s="18"/>
    </row>
    <row r="1653" spans="4:8" s="11" customFormat="1">
      <c r="D1653" s="18"/>
      <c r="E1653" s="18"/>
      <c r="F1653" s="18"/>
      <c r="G1653" s="18"/>
      <c r="H1653" s="18"/>
    </row>
    <row r="1654" spans="4:8" s="11" customFormat="1">
      <c r="D1654" s="18"/>
      <c r="E1654" s="18"/>
      <c r="F1654" s="18"/>
      <c r="G1654" s="18"/>
      <c r="H1654" s="18"/>
    </row>
    <row r="1655" spans="4:8" s="11" customFormat="1">
      <c r="D1655" s="18"/>
      <c r="E1655" s="18"/>
      <c r="F1655" s="18"/>
      <c r="G1655" s="18"/>
      <c r="H1655" s="18"/>
    </row>
    <row r="1656" spans="4:8" s="11" customFormat="1">
      <c r="D1656" s="18"/>
      <c r="E1656" s="18"/>
      <c r="F1656" s="18"/>
      <c r="G1656" s="18"/>
      <c r="H1656" s="18"/>
    </row>
    <row r="1657" spans="4:8" s="11" customFormat="1">
      <c r="D1657" s="18"/>
      <c r="E1657" s="18"/>
      <c r="F1657" s="18"/>
      <c r="G1657" s="18"/>
      <c r="H1657" s="18"/>
    </row>
    <row r="1658" spans="4:8" s="11" customFormat="1">
      <c r="D1658" s="18"/>
      <c r="E1658" s="18"/>
      <c r="F1658" s="18"/>
      <c r="G1658" s="18"/>
      <c r="H1658" s="18"/>
    </row>
    <row r="1659" spans="4:8" s="11" customFormat="1">
      <c r="D1659" s="18"/>
      <c r="E1659" s="18"/>
      <c r="F1659" s="18"/>
      <c r="G1659" s="18"/>
      <c r="H1659" s="18"/>
    </row>
    <row r="1660" spans="4:8" s="11" customFormat="1">
      <c r="D1660" s="18"/>
      <c r="E1660" s="18"/>
      <c r="F1660" s="18"/>
      <c r="G1660" s="18"/>
      <c r="H1660" s="18"/>
    </row>
    <row r="1661" spans="4:8" s="11" customFormat="1">
      <c r="D1661" s="18"/>
      <c r="E1661" s="18"/>
      <c r="F1661" s="18"/>
      <c r="G1661" s="18"/>
      <c r="H1661" s="18"/>
    </row>
    <row r="1662" spans="4:8" s="11" customFormat="1">
      <c r="D1662" s="18"/>
      <c r="E1662" s="18"/>
      <c r="F1662" s="18"/>
      <c r="G1662" s="18"/>
      <c r="H1662" s="18"/>
    </row>
    <row r="1663" spans="4:8" s="11" customFormat="1">
      <c r="D1663" s="18"/>
      <c r="E1663" s="18"/>
      <c r="F1663" s="18"/>
      <c r="G1663" s="18"/>
      <c r="H1663" s="18"/>
    </row>
    <row r="1664" spans="4:8" s="11" customFormat="1">
      <c r="D1664" s="18"/>
      <c r="E1664" s="18"/>
      <c r="F1664" s="18"/>
      <c r="G1664" s="18"/>
      <c r="H1664" s="18"/>
    </row>
    <row r="1665" spans="4:8" s="11" customFormat="1">
      <c r="D1665" s="18"/>
      <c r="E1665" s="18"/>
      <c r="F1665" s="18"/>
      <c r="G1665" s="18"/>
      <c r="H1665" s="18"/>
    </row>
    <row r="1666" spans="4:8" s="11" customFormat="1">
      <c r="D1666" s="18"/>
      <c r="E1666" s="18"/>
      <c r="F1666" s="18"/>
      <c r="G1666" s="18"/>
      <c r="H1666" s="18"/>
    </row>
    <row r="1667" spans="4:8" s="11" customFormat="1">
      <c r="D1667" s="18"/>
      <c r="E1667" s="18"/>
      <c r="F1667" s="18"/>
      <c r="G1667" s="18"/>
      <c r="H1667" s="18"/>
    </row>
    <row r="1668" spans="4:8" s="11" customFormat="1">
      <c r="D1668" s="18"/>
      <c r="E1668" s="18"/>
      <c r="F1668" s="18"/>
      <c r="G1668" s="18"/>
      <c r="H1668" s="18"/>
    </row>
    <row r="1669" spans="4:8" s="11" customFormat="1">
      <c r="D1669" s="18"/>
      <c r="E1669" s="18"/>
      <c r="F1669" s="18"/>
      <c r="G1669" s="18"/>
      <c r="H1669" s="18"/>
    </row>
    <row r="1670" spans="4:8" s="11" customFormat="1">
      <c r="D1670" s="18"/>
      <c r="E1670" s="18"/>
      <c r="F1670" s="18"/>
      <c r="G1670" s="18"/>
      <c r="H1670" s="18"/>
    </row>
    <row r="1671" spans="4:8" s="11" customFormat="1">
      <c r="D1671" s="18"/>
      <c r="E1671" s="18"/>
      <c r="F1671" s="18"/>
      <c r="G1671" s="18"/>
      <c r="H1671" s="18"/>
    </row>
    <row r="1672" spans="4:8" s="11" customFormat="1">
      <c r="D1672" s="18"/>
      <c r="E1672" s="18"/>
      <c r="F1672" s="18"/>
      <c r="G1672" s="18"/>
      <c r="H1672" s="18"/>
    </row>
    <row r="1673" spans="4:8" s="11" customFormat="1">
      <c r="D1673" s="18"/>
      <c r="E1673" s="18"/>
      <c r="F1673" s="18"/>
      <c r="G1673" s="18"/>
      <c r="H1673" s="18"/>
    </row>
    <row r="1674" spans="4:8" s="11" customFormat="1">
      <c r="D1674" s="18"/>
      <c r="E1674" s="18"/>
      <c r="F1674" s="18"/>
      <c r="G1674" s="18"/>
      <c r="H1674" s="18"/>
    </row>
    <row r="1675" spans="4:8" s="11" customFormat="1">
      <c r="D1675" s="18"/>
      <c r="E1675" s="18"/>
      <c r="F1675" s="18"/>
      <c r="G1675" s="18"/>
      <c r="H1675" s="18"/>
    </row>
    <row r="1676" spans="4:8" s="11" customFormat="1">
      <c r="D1676" s="18"/>
      <c r="E1676" s="18"/>
      <c r="F1676" s="18"/>
      <c r="G1676" s="18"/>
      <c r="H1676" s="18"/>
    </row>
    <row r="1677" spans="4:8" s="11" customFormat="1">
      <c r="D1677" s="18"/>
      <c r="E1677" s="18"/>
      <c r="F1677" s="18"/>
      <c r="G1677" s="18"/>
      <c r="H1677" s="18"/>
    </row>
    <row r="1678" spans="4:8" s="11" customFormat="1">
      <c r="D1678" s="18"/>
      <c r="E1678" s="18"/>
      <c r="F1678" s="18"/>
      <c r="G1678" s="18"/>
      <c r="H1678" s="18"/>
    </row>
    <row r="1679" spans="4:8" s="11" customFormat="1">
      <c r="D1679" s="18"/>
      <c r="E1679" s="18"/>
      <c r="F1679" s="18"/>
      <c r="G1679" s="18"/>
      <c r="H1679" s="18"/>
    </row>
    <row r="1680" spans="4:8" s="11" customFormat="1">
      <c r="D1680" s="18"/>
      <c r="E1680" s="18"/>
      <c r="F1680" s="18"/>
      <c r="G1680" s="18"/>
      <c r="H1680" s="18"/>
    </row>
    <row r="1681" spans="4:8" s="11" customFormat="1">
      <c r="D1681" s="18"/>
      <c r="E1681" s="18"/>
      <c r="F1681" s="18"/>
      <c r="G1681" s="18"/>
      <c r="H1681" s="18"/>
    </row>
    <row r="1682" spans="4:8" s="11" customFormat="1">
      <c r="D1682" s="18"/>
      <c r="E1682" s="18"/>
      <c r="F1682" s="18"/>
      <c r="G1682" s="18"/>
      <c r="H1682" s="18"/>
    </row>
    <row r="1683" spans="4:8" s="11" customFormat="1">
      <c r="D1683" s="18"/>
      <c r="E1683" s="18"/>
      <c r="F1683" s="18"/>
      <c r="G1683" s="18"/>
      <c r="H1683" s="18"/>
    </row>
    <row r="1684" spans="4:8" s="11" customFormat="1">
      <c r="D1684" s="18"/>
      <c r="E1684" s="18"/>
      <c r="F1684" s="18"/>
      <c r="G1684" s="18"/>
      <c r="H1684" s="18"/>
    </row>
    <row r="1685" spans="4:8" s="11" customFormat="1">
      <c r="D1685" s="18"/>
      <c r="E1685" s="18"/>
      <c r="F1685" s="18"/>
      <c r="G1685" s="18"/>
      <c r="H1685" s="18"/>
    </row>
    <row r="1686" spans="4:8" s="11" customFormat="1">
      <c r="D1686" s="18"/>
      <c r="E1686" s="18"/>
      <c r="F1686" s="18"/>
      <c r="G1686" s="18"/>
      <c r="H1686" s="18"/>
    </row>
    <row r="1687" spans="4:8" s="11" customFormat="1">
      <c r="D1687" s="18"/>
      <c r="E1687" s="18"/>
      <c r="F1687" s="18"/>
      <c r="G1687" s="18"/>
      <c r="H1687" s="18"/>
    </row>
    <row r="1688" spans="4:8" s="11" customFormat="1">
      <c r="D1688" s="18"/>
      <c r="E1688" s="18"/>
      <c r="F1688" s="18"/>
      <c r="G1688" s="18"/>
      <c r="H1688" s="18"/>
    </row>
    <row r="1689" spans="4:8" s="11" customFormat="1">
      <c r="D1689" s="18"/>
      <c r="E1689" s="18"/>
      <c r="F1689" s="18"/>
      <c r="G1689" s="18"/>
      <c r="H1689" s="18"/>
    </row>
    <row r="1690" spans="4:8" s="11" customFormat="1">
      <c r="D1690" s="18"/>
      <c r="E1690" s="18"/>
      <c r="F1690" s="18"/>
      <c r="G1690" s="18"/>
      <c r="H1690" s="18"/>
    </row>
    <row r="1691" spans="4:8" s="11" customFormat="1">
      <c r="D1691" s="18"/>
      <c r="E1691" s="18"/>
      <c r="F1691" s="18"/>
      <c r="G1691" s="18"/>
      <c r="H1691" s="18"/>
    </row>
    <row r="1692" spans="4:8" s="11" customFormat="1">
      <c r="D1692" s="18"/>
      <c r="E1692" s="18"/>
      <c r="F1692" s="18"/>
      <c r="G1692" s="18"/>
      <c r="H1692" s="18"/>
    </row>
    <row r="1693" spans="4:8" s="11" customFormat="1">
      <c r="D1693" s="18"/>
      <c r="E1693" s="18"/>
      <c r="F1693" s="18"/>
      <c r="G1693" s="18"/>
      <c r="H1693" s="18"/>
    </row>
    <row r="1694" spans="4:8" s="11" customFormat="1">
      <c r="D1694" s="18"/>
      <c r="E1694" s="18"/>
      <c r="F1694" s="18"/>
      <c r="G1694" s="18"/>
      <c r="H1694" s="18"/>
    </row>
    <row r="1695" spans="4:8" s="11" customFormat="1">
      <c r="D1695" s="18"/>
      <c r="E1695" s="18"/>
      <c r="F1695" s="18"/>
      <c r="G1695" s="18"/>
      <c r="H1695" s="18"/>
    </row>
    <row r="1696" spans="4:8" s="11" customFormat="1">
      <c r="D1696" s="18"/>
      <c r="E1696" s="18"/>
      <c r="F1696" s="18"/>
      <c r="G1696" s="18"/>
      <c r="H1696" s="18"/>
    </row>
    <row r="1697" spans="4:8" s="11" customFormat="1">
      <c r="D1697" s="18"/>
      <c r="E1697" s="18"/>
      <c r="F1697" s="18"/>
      <c r="G1697" s="18"/>
      <c r="H1697" s="18"/>
    </row>
    <row r="1698" spans="4:8" s="11" customFormat="1">
      <c r="D1698" s="18"/>
      <c r="E1698" s="18"/>
      <c r="F1698" s="18"/>
      <c r="G1698" s="18"/>
      <c r="H1698" s="18"/>
    </row>
    <row r="1699" spans="4:8" s="11" customFormat="1">
      <c r="D1699" s="18"/>
      <c r="E1699" s="18"/>
      <c r="F1699" s="18"/>
      <c r="G1699" s="18"/>
      <c r="H1699" s="18"/>
    </row>
    <row r="1700" spans="4:8" s="11" customFormat="1">
      <c r="D1700" s="18"/>
      <c r="E1700" s="18"/>
      <c r="F1700" s="18"/>
      <c r="G1700" s="18"/>
      <c r="H1700" s="18"/>
    </row>
    <row r="1701" spans="4:8" s="11" customFormat="1">
      <c r="D1701" s="18"/>
      <c r="E1701" s="18"/>
      <c r="F1701" s="18"/>
      <c r="G1701" s="18"/>
      <c r="H1701" s="18"/>
    </row>
    <row r="1702" spans="4:8" s="11" customFormat="1">
      <c r="D1702" s="18"/>
      <c r="E1702" s="18"/>
      <c r="F1702" s="18"/>
      <c r="G1702" s="18"/>
      <c r="H1702" s="18"/>
    </row>
    <row r="1703" spans="4:8" s="11" customFormat="1">
      <c r="D1703" s="18"/>
      <c r="E1703" s="18"/>
      <c r="F1703" s="18"/>
      <c r="G1703" s="18"/>
      <c r="H1703" s="18"/>
    </row>
    <row r="1704" spans="4:8" s="11" customFormat="1">
      <c r="D1704" s="18"/>
      <c r="E1704" s="18"/>
      <c r="F1704" s="18"/>
      <c r="G1704" s="18"/>
      <c r="H1704" s="18"/>
    </row>
    <row r="1705" spans="4:8" s="11" customFormat="1">
      <c r="D1705" s="18"/>
      <c r="E1705" s="18"/>
      <c r="F1705" s="18"/>
      <c r="G1705" s="18"/>
      <c r="H1705" s="18"/>
    </row>
    <row r="1706" spans="4:8" s="11" customFormat="1">
      <c r="D1706" s="18"/>
      <c r="E1706" s="18"/>
      <c r="F1706" s="18"/>
      <c r="G1706" s="18"/>
      <c r="H1706" s="18"/>
    </row>
    <row r="1707" spans="4:8" s="11" customFormat="1">
      <c r="D1707" s="18"/>
      <c r="E1707" s="18"/>
      <c r="F1707" s="18"/>
      <c r="G1707" s="18"/>
      <c r="H1707" s="18"/>
    </row>
    <row r="1708" spans="4:8" s="11" customFormat="1">
      <c r="D1708" s="18"/>
      <c r="E1708" s="18"/>
      <c r="F1708" s="18"/>
      <c r="G1708" s="18"/>
      <c r="H1708" s="18"/>
    </row>
    <row r="1709" spans="4:8" s="11" customFormat="1">
      <c r="D1709" s="18"/>
      <c r="E1709" s="18"/>
      <c r="F1709" s="18"/>
      <c r="G1709" s="18"/>
      <c r="H1709" s="18"/>
    </row>
    <row r="1710" spans="4:8" s="11" customFormat="1">
      <c r="D1710" s="18"/>
      <c r="E1710" s="18"/>
      <c r="F1710" s="18"/>
      <c r="G1710" s="18"/>
      <c r="H1710" s="18"/>
    </row>
    <row r="1711" spans="4:8" s="11" customFormat="1">
      <c r="D1711" s="18"/>
      <c r="E1711" s="18"/>
      <c r="F1711" s="18"/>
      <c r="G1711" s="18"/>
      <c r="H1711" s="18"/>
    </row>
    <row r="1712" spans="4:8" s="11" customFormat="1">
      <c r="D1712" s="18"/>
      <c r="E1712" s="18"/>
      <c r="F1712" s="18"/>
      <c r="G1712" s="18"/>
      <c r="H1712" s="18"/>
    </row>
    <row r="1713" spans="4:8" s="11" customFormat="1">
      <c r="D1713" s="18"/>
      <c r="E1713" s="18"/>
      <c r="F1713" s="18"/>
      <c r="G1713" s="18"/>
      <c r="H1713" s="18"/>
    </row>
    <row r="1714" spans="4:8" s="11" customFormat="1">
      <c r="D1714" s="18"/>
      <c r="E1714" s="18"/>
      <c r="F1714" s="18"/>
      <c r="G1714" s="18"/>
      <c r="H1714" s="18"/>
    </row>
    <row r="1715" spans="4:8" s="11" customFormat="1">
      <c r="D1715" s="18"/>
      <c r="E1715" s="18"/>
      <c r="F1715" s="18"/>
      <c r="G1715" s="18"/>
      <c r="H1715" s="18"/>
    </row>
    <row r="1716" spans="4:8" s="11" customFormat="1">
      <c r="D1716" s="18"/>
      <c r="E1716" s="18"/>
      <c r="F1716" s="18"/>
      <c r="G1716" s="18"/>
      <c r="H1716" s="18"/>
    </row>
    <row r="1717" spans="4:8" s="11" customFormat="1">
      <c r="D1717" s="18"/>
      <c r="E1717" s="18"/>
      <c r="F1717" s="18"/>
      <c r="G1717" s="18"/>
      <c r="H1717" s="18"/>
    </row>
    <row r="1718" spans="4:8" s="11" customFormat="1">
      <c r="D1718" s="18"/>
      <c r="E1718" s="18"/>
      <c r="F1718" s="18"/>
      <c r="G1718" s="18"/>
      <c r="H1718" s="18"/>
    </row>
    <row r="1719" spans="4:8" s="11" customFormat="1">
      <c r="D1719" s="18"/>
      <c r="E1719" s="18"/>
      <c r="F1719" s="18"/>
      <c r="G1719" s="18"/>
      <c r="H1719" s="18"/>
    </row>
    <row r="1720" spans="4:8" s="11" customFormat="1">
      <c r="D1720" s="18"/>
      <c r="E1720" s="18"/>
      <c r="F1720" s="18"/>
      <c r="G1720" s="18"/>
      <c r="H1720" s="18"/>
    </row>
    <row r="1721" spans="4:8" s="11" customFormat="1">
      <c r="D1721" s="18"/>
      <c r="E1721" s="18"/>
      <c r="F1721" s="18"/>
      <c r="G1721" s="18"/>
      <c r="H1721" s="18"/>
    </row>
    <row r="1722" spans="4:8" s="11" customFormat="1">
      <c r="D1722" s="18"/>
      <c r="E1722" s="18"/>
      <c r="F1722" s="18"/>
      <c r="G1722" s="18"/>
      <c r="H1722" s="18"/>
    </row>
    <row r="1723" spans="4:8" s="11" customFormat="1">
      <c r="D1723" s="18"/>
      <c r="E1723" s="18"/>
      <c r="F1723" s="18"/>
      <c r="G1723" s="18"/>
      <c r="H1723" s="18"/>
    </row>
    <row r="1724" spans="4:8" s="11" customFormat="1">
      <c r="D1724" s="18"/>
      <c r="E1724" s="18"/>
      <c r="F1724" s="18"/>
      <c r="G1724" s="18"/>
      <c r="H1724" s="18"/>
    </row>
    <row r="1725" spans="4:8" s="11" customFormat="1">
      <c r="D1725" s="18"/>
      <c r="E1725" s="18"/>
      <c r="F1725" s="18"/>
      <c r="G1725" s="18"/>
      <c r="H1725" s="18"/>
    </row>
    <row r="1726" spans="4:8" s="11" customFormat="1">
      <c r="D1726" s="18"/>
      <c r="E1726" s="18"/>
      <c r="F1726" s="18"/>
      <c r="G1726" s="18"/>
      <c r="H1726" s="18"/>
    </row>
    <row r="1727" spans="4:8" s="11" customFormat="1">
      <c r="D1727" s="18"/>
      <c r="E1727" s="18"/>
      <c r="F1727" s="18"/>
      <c r="G1727" s="18"/>
      <c r="H1727" s="18"/>
    </row>
    <row r="1728" spans="4:8" s="11" customFormat="1">
      <c r="D1728" s="18"/>
      <c r="E1728" s="18"/>
      <c r="F1728" s="18"/>
      <c r="G1728" s="18"/>
      <c r="H1728" s="18"/>
    </row>
    <row r="1729" spans="4:8" s="11" customFormat="1">
      <c r="D1729" s="18"/>
      <c r="E1729" s="18"/>
      <c r="F1729" s="18"/>
      <c r="G1729" s="18"/>
      <c r="H1729" s="18"/>
    </row>
    <row r="1730" spans="4:8" s="11" customFormat="1">
      <c r="D1730" s="18"/>
      <c r="E1730" s="18"/>
      <c r="F1730" s="18"/>
      <c r="G1730" s="18"/>
      <c r="H1730" s="18"/>
    </row>
    <row r="1731" spans="4:8" s="11" customFormat="1">
      <c r="D1731" s="18"/>
      <c r="E1731" s="18"/>
      <c r="F1731" s="18"/>
      <c r="G1731" s="18"/>
      <c r="H1731" s="18"/>
    </row>
    <row r="1732" spans="4:8" s="11" customFormat="1">
      <c r="D1732" s="18"/>
      <c r="E1732" s="18"/>
      <c r="F1732" s="18"/>
      <c r="G1732" s="18"/>
      <c r="H1732" s="18"/>
    </row>
    <row r="1733" spans="4:8" s="11" customFormat="1">
      <c r="D1733" s="18"/>
      <c r="E1733" s="18"/>
      <c r="F1733" s="18"/>
      <c r="G1733" s="18"/>
      <c r="H1733" s="18"/>
    </row>
    <row r="1734" spans="4:8" s="11" customFormat="1">
      <c r="D1734" s="18"/>
      <c r="E1734" s="18"/>
      <c r="F1734" s="18"/>
      <c r="G1734" s="18"/>
      <c r="H1734" s="18"/>
    </row>
    <row r="1735" spans="4:8" s="11" customFormat="1">
      <c r="D1735" s="18"/>
      <c r="E1735" s="18"/>
      <c r="F1735" s="18"/>
      <c r="G1735" s="18"/>
      <c r="H1735" s="18"/>
    </row>
    <row r="1736" spans="4:8" s="11" customFormat="1">
      <c r="D1736" s="18"/>
      <c r="E1736" s="18"/>
      <c r="F1736" s="18"/>
      <c r="G1736" s="18"/>
      <c r="H1736" s="18"/>
    </row>
    <row r="1737" spans="4:8" s="11" customFormat="1">
      <c r="D1737" s="18"/>
      <c r="E1737" s="18"/>
      <c r="F1737" s="18"/>
      <c r="G1737" s="18"/>
      <c r="H1737" s="18"/>
    </row>
    <row r="1738" spans="4:8" s="11" customFormat="1">
      <c r="D1738" s="18"/>
      <c r="E1738" s="18"/>
      <c r="F1738" s="18"/>
      <c r="G1738" s="18"/>
      <c r="H1738" s="18"/>
    </row>
    <row r="1739" spans="4:8" s="11" customFormat="1">
      <c r="D1739" s="18"/>
      <c r="E1739" s="18"/>
      <c r="F1739" s="18"/>
      <c r="G1739" s="18"/>
      <c r="H1739" s="18"/>
    </row>
    <row r="1740" spans="4:8" s="11" customFormat="1">
      <c r="D1740" s="18"/>
      <c r="E1740" s="18"/>
      <c r="F1740" s="18"/>
      <c r="G1740" s="18"/>
      <c r="H1740" s="18"/>
    </row>
    <row r="1741" spans="4:8" s="11" customFormat="1">
      <c r="D1741" s="18"/>
      <c r="E1741" s="18"/>
      <c r="F1741" s="18"/>
      <c r="G1741" s="18"/>
      <c r="H1741" s="18"/>
    </row>
    <row r="1742" spans="4:8" s="11" customFormat="1">
      <c r="D1742" s="18"/>
      <c r="E1742" s="18"/>
      <c r="F1742" s="18"/>
      <c r="G1742" s="18"/>
      <c r="H1742" s="18"/>
    </row>
    <row r="1743" spans="4:8" s="11" customFormat="1">
      <c r="D1743" s="18"/>
      <c r="E1743" s="18"/>
      <c r="F1743" s="18"/>
      <c r="G1743" s="18"/>
      <c r="H1743" s="18"/>
    </row>
    <row r="1744" spans="4:8" s="11" customFormat="1">
      <c r="D1744" s="18"/>
      <c r="E1744" s="18"/>
      <c r="F1744" s="18"/>
      <c r="G1744" s="18"/>
      <c r="H1744" s="18"/>
    </row>
    <row r="1745" spans="4:8" s="11" customFormat="1">
      <c r="D1745" s="18"/>
      <c r="E1745" s="18"/>
      <c r="F1745" s="18"/>
      <c r="G1745" s="18"/>
      <c r="H1745" s="18"/>
    </row>
    <row r="1746" spans="4:8" s="11" customFormat="1">
      <c r="D1746" s="18"/>
      <c r="E1746" s="18"/>
      <c r="F1746" s="18"/>
      <c r="G1746" s="18"/>
      <c r="H1746" s="18"/>
    </row>
    <row r="1747" spans="4:8" s="11" customFormat="1">
      <c r="D1747" s="18"/>
      <c r="E1747" s="18"/>
      <c r="F1747" s="18"/>
      <c r="G1747" s="18"/>
      <c r="H1747" s="18"/>
    </row>
    <row r="1748" spans="4:8" s="11" customFormat="1">
      <c r="D1748" s="18"/>
      <c r="E1748" s="18"/>
      <c r="F1748" s="18"/>
      <c r="G1748" s="18"/>
      <c r="H1748" s="18"/>
    </row>
    <row r="1749" spans="4:8" s="11" customFormat="1">
      <c r="D1749" s="18"/>
      <c r="E1749" s="18"/>
      <c r="F1749" s="18"/>
      <c r="G1749" s="18"/>
      <c r="H1749" s="18"/>
    </row>
    <row r="1750" spans="4:8" s="11" customFormat="1">
      <c r="D1750" s="18"/>
      <c r="E1750" s="18"/>
      <c r="F1750" s="18"/>
      <c r="G1750" s="18"/>
      <c r="H1750" s="18"/>
    </row>
    <row r="1751" spans="4:8" s="11" customFormat="1">
      <c r="D1751" s="18"/>
      <c r="E1751" s="18"/>
      <c r="F1751" s="18"/>
      <c r="G1751" s="18"/>
      <c r="H1751" s="18"/>
    </row>
    <row r="1752" spans="4:8" s="11" customFormat="1">
      <c r="D1752" s="18"/>
      <c r="E1752" s="18"/>
      <c r="F1752" s="18"/>
      <c r="G1752" s="18"/>
      <c r="H1752" s="18"/>
    </row>
    <row r="1753" spans="4:8" s="11" customFormat="1">
      <c r="D1753" s="18"/>
      <c r="E1753" s="18"/>
      <c r="F1753" s="18"/>
      <c r="G1753" s="18"/>
      <c r="H1753" s="18"/>
    </row>
    <row r="1754" spans="4:8" s="11" customFormat="1">
      <c r="D1754" s="18"/>
      <c r="E1754" s="18"/>
      <c r="F1754" s="18"/>
      <c r="G1754" s="18"/>
      <c r="H1754" s="18"/>
    </row>
    <row r="1755" spans="4:8" s="11" customFormat="1">
      <c r="D1755" s="18"/>
      <c r="E1755" s="18"/>
      <c r="F1755" s="18"/>
      <c r="G1755" s="18"/>
      <c r="H1755" s="18"/>
    </row>
    <row r="1756" spans="4:8" s="11" customFormat="1">
      <c r="D1756" s="18"/>
      <c r="E1756" s="18"/>
      <c r="F1756" s="18"/>
      <c r="G1756" s="18"/>
      <c r="H1756" s="18"/>
    </row>
    <row r="1757" spans="4:8" s="11" customFormat="1">
      <c r="D1757" s="18"/>
      <c r="E1757" s="18"/>
      <c r="F1757" s="18"/>
      <c r="G1757" s="18"/>
      <c r="H1757" s="18"/>
    </row>
    <row r="1758" spans="4:8" s="11" customFormat="1">
      <c r="D1758" s="18"/>
      <c r="E1758" s="18"/>
      <c r="F1758" s="18"/>
      <c r="G1758" s="18"/>
      <c r="H1758" s="18"/>
    </row>
    <row r="1759" spans="4:8" s="11" customFormat="1">
      <c r="D1759" s="18"/>
      <c r="E1759" s="18"/>
      <c r="F1759" s="18"/>
      <c r="G1759" s="18"/>
      <c r="H1759" s="18"/>
    </row>
    <row r="1760" spans="4:8" s="11" customFormat="1">
      <c r="D1760" s="18"/>
      <c r="E1760" s="18"/>
      <c r="F1760" s="18"/>
      <c r="G1760" s="18"/>
      <c r="H1760" s="18"/>
    </row>
    <row r="1761" spans="4:8" s="11" customFormat="1">
      <c r="D1761" s="18"/>
      <c r="E1761" s="18"/>
      <c r="F1761" s="18"/>
      <c r="G1761" s="18"/>
      <c r="H1761" s="18"/>
    </row>
    <row r="1762" spans="4:8" s="11" customFormat="1">
      <c r="D1762" s="18"/>
      <c r="E1762" s="18"/>
      <c r="F1762" s="18"/>
      <c r="G1762" s="18"/>
      <c r="H1762" s="18"/>
    </row>
    <row r="1763" spans="4:8" s="11" customFormat="1">
      <c r="D1763" s="18"/>
      <c r="E1763" s="18"/>
      <c r="F1763" s="18"/>
      <c r="G1763" s="18"/>
      <c r="H1763" s="18"/>
    </row>
    <row r="1764" spans="4:8" s="11" customFormat="1">
      <c r="D1764" s="18"/>
      <c r="E1764" s="18"/>
      <c r="F1764" s="18"/>
      <c r="G1764" s="18"/>
      <c r="H1764" s="18"/>
    </row>
    <row r="1765" spans="4:8" s="11" customFormat="1">
      <c r="D1765" s="18"/>
      <c r="E1765" s="18"/>
      <c r="F1765" s="18"/>
      <c r="G1765" s="18"/>
      <c r="H1765" s="18"/>
    </row>
    <row r="1766" spans="4:8" s="11" customFormat="1">
      <c r="D1766" s="18"/>
      <c r="E1766" s="18"/>
      <c r="F1766" s="18"/>
      <c r="G1766" s="18"/>
      <c r="H1766" s="18"/>
    </row>
    <row r="1767" spans="4:8" s="11" customFormat="1">
      <c r="D1767" s="18"/>
      <c r="E1767" s="18"/>
      <c r="F1767" s="18"/>
      <c r="G1767" s="18"/>
      <c r="H1767" s="18"/>
    </row>
    <row r="1768" spans="4:8" s="11" customFormat="1">
      <c r="D1768" s="18"/>
      <c r="E1768" s="18"/>
      <c r="F1768" s="18"/>
      <c r="G1768" s="18"/>
      <c r="H1768" s="18"/>
    </row>
    <row r="1769" spans="4:8" s="11" customFormat="1">
      <c r="D1769" s="18"/>
      <c r="E1769" s="18"/>
      <c r="F1769" s="18"/>
      <c r="G1769" s="18"/>
      <c r="H1769" s="18"/>
    </row>
    <row r="1770" spans="4:8" s="11" customFormat="1">
      <c r="D1770" s="18"/>
      <c r="E1770" s="18"/>
      <c r="F1770" s="18"/>
      <c r="G1770" s="18"/>
      <c r="H1770" s="18"/>
    </row>
    <row r="1771" spans="4:8" s="11" customFormat="1">
      <c r="D1771" s="18"/>
      <c r="E1771" s="18"/>
      <c r="F1771" s="18"/>
      <c r="G1771" s="18"/>
      <c r="H1771" s="18"/>
    </row>
    <row r="1772" spans="4:8" s="11" customFormat="1">
      <c r="D1772" s="18"/>
      <c r="E1772" s="18"/>
      <c r="F1772" s="18"/>
      <c r="G1772" s="18"/>
      <c r="H1772" s="18"/>
    </row>
    <row r="1773" spans="4:8" s="11" customFormat="1">
      <c r="D1773" s="18"/>
      <c r="E1773" s="18"/>
      <c r="F1773" s="18"/>
      <c r="G1773" s="18"/>
      <c r="H1773" s="18"/>
    </row>
    <row r="1774" spans="4:8" s="11" customFormat="1">
      <c r="D1774" s="18"/>
      <c r="E1774" s="18"/>
      <c r="F1774" s="18"/>
      <c r="G1774" s="18"/>
      <c r="H1774" s="18"/>
    </row>
    <row r="1775" spans="4:8" s="11" customFormat="1">
      <c r="D1775" s="18"/>
      <c r="E1775" s="18"/>
      <c r="F1775" s="18"/>
      <c r="G1775" s="18"/>
      <c r="H1775" s="18"/>
    </row>
    <row r="1776" spans="4:8" s="11" customFormat="1">
      <c r="D1776" s="18"/>
      <c r="E1776" s="18"/>
      <c r="F1776" s="18"/>
      <c r="G1776" s="18"/>
      <c r="H1776" s="18"/>
    </row>
    <row r="1777" spans="4:8" s="11" customFormat="1">
      <c r="D1777" s="18"/>
      <c r="E1777" s="18"/>
      <c r="F1777" s="18"/>
      <c r="G1777" s="18"/>
      <c r="H1777" s="18"/>
    </row>
    <row r="1778" spans="4:8" s="11" customFormat="1">
      <c r="D1778" s="18"/>
      <c r="E1778" s="18"/>
      <c r="F1778" s="18"/>
      <c r="G1778" s="18"/>
      <c r="H1778" s="18"/>
    </row>
    <row r="1779" spans="4:8" s="11" customFormat="1">
      <c r="D1779" s="18"/>
      <c r="E1779" s="18"/>
      <c r="F1779" s="18"/>
      <c r="G1779" s="18"/>
      <c r="H1779" s="18"/>
    </row>
    <row r="1780" spans="4:8" s="11" customFormat="1">
      <c r="D1780" s="18"/>
      <c r="E1780" s="18"/>
      <c r="F1780" s="18"/>
      <c r="G1780" s="18"/>
      <c r="H1780" s="18"/>
    </row>
    <row r="1781" spans="4:8" s="11" customFormat="1">
      <c r="D1781" s="18"/>
      <c r="E1781" s="18"/>
      <c r="F1781" s="18"/>
      <c r="G1781" s="18"/>
      <c r="H1781" s="18"/>
    </row>
    <row r="1782" spans="4:8" s="11" customFormat="1">
      <c r="D1782" s="18"/>
      <c r="E1782" s="18"/>
      <c r="F1782" s="18"/>
      <c r="G1782" s="18"/>
      <c r="H1782" s="18"/>
    </row>
    <row r="1783" spans="4:8" s="11" customFormat="1">
      <c r="D1783" s="18"/>
      <c r="E1783" s="18"/>
      <c r="F1783" s="18"/>
      <c r="G1783" s="18"/>
      <c r="H1783" s="18"/>
    </row>
    <row r="1784" spans="4:8" s="11" customFormat="1">
      <c r="D1784" s="18"/>
      <c r="E1784" s="18"/>
      <c r="F1784" s="18"/>
      <c r="G1784" s="18"/>
      <c r="H1784" s="18"/>
    </row>
    <row r="1785" spans="4:8" s="11" customFormat="1">
      <c r="D1785" s="18"/>
      <c r="E1785" s="18"/>
      <c r="F1785" s="18"/>
      <c r="G1785" s="18"/>
      <c r="H1785" s="18"/>
    </row>
    <row r="1786" spans="4:8" s="11" customFormat="1">
      <c r="D1786" s="18"/>
      <c r="E1786" s="18"/>
      <c r="F1786" s="18"/>
      <c r="G1786" s="18"/>
      <c r="H1786" s="18"/>
    </row>
    <row r="1787" spans="4:8" s="11" customFormat="1">
      <c r="D1787" s="18"/>
      <c r="E1787" s="18"/>
      <c r="F1787" s="18"/>
      <c r="G1787" s="18"/>
      <c r="H1787" s="18"/>
    </row>
    <row r="1788" spans="4:8" s="11" customFormat="1">
      <c r="D1788" s="18"/>
      <c r="E1788" s="18"/>
      <c r="F1788" s="18"/>
      <c r="G1788" s="18"/>
      <c r="H1788" s="18"/>
    </row>
    <row r="1789" spans="4:8" s="11" customFormat="1">
      <c r="D1789" s="18"/>
      <c r="E1789" s="18"/>
      <c r="F1789" s="18"/>
      <c r="G1789" s="18"/>
      <c r="H1789" s="18"/>
    </row>
    <row r="1790" spans="4:8" s="11" customFormat="1">
      <c r="D1790" s="18"/>
      <c r="E1790" s="18"/>
      <c r="F1790" s="18"/>
      <c r="G1790" s="18"/>
      <c r="H1790" s="18"/>
    </row>
    <row r="1791" spans="4:8" s="11" customFormat="1">
      <c r="D1791" s="18"/>
      <c r="E1791" s="18"/>
      <c r="F1791" s="18"/>
      <c r="G1791" s="18"/>
      <c r="H1791" s="18"/>
    </row>
    <row r="1792" spans="4:8" s="11" customFormat="1">
      <c r="D1792" s="18"/>
      <c r="E1792" s="18"/>
      <c r="F1792" s="18"/>
      <c r="G1792" s="18"/>
      <c r="H1792" s="18"/>
    </row>
    <row r="1793" spans="4:8" s="11" customFormat="1">
      <c r="D1793" s="18"/>
      <c r="E1793" s="18"/>
      <c r="F1793" s="18"/>
      <c r="G1793" s="18"/>
      <c r="H1793" s="18"/>
    </row>
    <row r="1794" spans="4:8" s="11" customFormat="1">
      <c r="D1794" s="18"/>
      <c r="E1794" s="18"/>
      <c r="F1794" s="18"/>
      <c r="G1794" s="18"/>
      <c r="H1794" s="18"/>
    </row>
    <row r="1795" spans="4:8" s="11" customFormat="1">
      <c r="D1795" s="18"/>
      <c r="E1795" s="18"/>
      <c r="F1795" s="18"/>
      <c r="G1795" s="18"/>
      <c r="H1795" s="18"/>
    </row>
    <row r="1796" spans="4:8" s="11" customFormat="1">
      <c r="D1796" s="18"/>
      <c r="E1796" s="18"/>
      <c r="F1796" s="18"/>
      <c r="G1796" s="18"/>
      <c r="H1796" s="18"/>
    </row>
    <row r="1797" spans="4:8" s="11" customFormat="1">
      <c r="D1797" s="18"/>
      <c r="E1797" s="18"/>
      <c r="F1797" s="18"/>
      <c r="G1797" s="18"/>
      <c r="H1797" s="18"/>
    </row>
    <row r="1798" spans="4:8" s="11" customFormat="1">
      <c r="D1798" s="18"/>
      <c r="E1798" s="18"/>
      <c r="F1798" s="18"/>
      <c r="G1798" s="18"/>
      <c r="H1798" s="18"/>
    </row>
    <row r="1799" spans="4:8" s="11" customFormat="1">
      <c r="D1799" s="18"/>
      <c r="E1799" s="18"/>
      <c r="F1799" s="18"/>
      <c r="G1799" s="18"/>
      <c r="H1799" s="18"/>
    </row>
    <row r="1800" spans="4:8" s="11" customFormat="1">
      <c r="D1800" s="18"/>
      <c r="E1800" s="18"/>
      <c r="F1800" s="18"/>
      <c r="G1800" s="18"/>
      <c r="H1800" s="18"/>
    </row>
    <row r="1801" spans="4:8" s="11" customFormat="1">
      <c r="D1801" s="18"/>
      <c r="E1801" s="18"/>
      <c r="F1801" s="18"/>
      <c r="G1801" s="18"/>
      <c r="H1801" s="18"/>
    </row>
    <row r="1802" spans="4:8" s="11" customFormat="1">
      <c r="D1802" s="18"/>
      <c r="E1802" s="18"/>
      <c r="F1802" s="18"/>
      <c r="G1802" s="18"/>
      <c r="H1802" s="18"/>
    </row>
    <row r="1803" spans="4:8" s="11" customFormat="1">
      <c r="D1803" s="18"/>
      <c r="E1803" s="18"/>
      <c r="F1803" s="18"/>
      <c r="G1803" s="18"/>
      <c r="H1803" s="18"/>
    </row>
    <row r="1804" spans="4:8" s="11" customFormat="1">
      <c r="D1804" s="18"/>
      <c r="E1804" s="18"/>
      <c r="F1804" s="18"/>
      <c r="G1804" s="18"/>
      <c r="H1804" s="18"/>
    </row>
    <row r="1805" spans="4:8" s="11" customFormat="1">
      <c r="D1805" s="18"/>
      <c r="E1805" s="18"/>
      <c r="F1805" s="18"/>
      <c r="G1805" s="18"/>
      <c r="H1805" s="18"/>
    </row>
    <row r="1806" spans="4:8" s="11" customFormat="1">
      <c r="D1806" s="18"/>
      <c r="E1806" s="18"/>
      <c r="F1806" s="18"/>
      <c r="G1806" s="18"/>
      <c r="H1806" s="18"/>
    </row>
    <row r="1807" spans="4:8" s="11" customFormat="1">
      <c r="D1807" s="18"/>
      <c r="E1807" s="18"/>
      <c r="F1807" s="18"/>
      <c r="G1807" s="18"/>
      <c r="H1807" s="18"/>
    </row>
    <row r="1808" spans="4:8" s="11" customFormat="1">
      <c r="D1808" s="18"/>
      <c r="E1808" s="18"/>
      <c r="F1808" s="18"/>
      <c r="G1808" s="18"/>
      <c r="H1808" s="18"/>
    </row>
    <row r="1809" spans="4:8" s="11" customFormat="1">
      <c r="D1809" s="18"/>
      <c r="E1809" s="18"/>
      <c r="F1809" s="18"/>
      <c r="G1809" s="18"/>
      <c r="H1809" s="18"/>
    </row>
    <row r="1810" spans="4:8" s="11" customFormat="1">
      <c r="D1810" s="18"/>
      <c r="E1810" s="18"/>
      <c r="F1810" s="18"/>
      <c r="G1810" s="18"/>
      <c r="H1810" s="18"/>
    </row>
    <row r="1811" spans="4:8" s="11" customFormat="1">
      <c r="D1811" s="18"/>
      <c r="E1811" s="18"/>
      <c r="F1811" s="18"/>
      <c r="G1811" s="18"/>
      <c r="H1811" s="18"/>
    </row>
    <row r="1812" spans="4:8" s="11" customFormat="1">
      <c r="D1812" s="18"/>
      <c r="E1812" s="18"/>
      <c r="F1812" s="18"/>
      <c r="G1812" s="18"/>
      <c r="H1812" s="18"/>
    </row>
    <row r="1813" spans="4:8" s="11" customFormat="1">
      <c r="D1813" s="18"/>
      <c r="E1813" s="18"/>
      <c r="F1813" s="18"/>
      <c r="G1813" s="18"/>
      <c r="H1813" s="18"/>
    </row>
    <row r="1814" spans="4:8" s="11" customFormat="1">
      <c r="D1814" s="18"/>
      <c r="E1814" s="18"/>
      <c r="F1814" s="18"/>
      <c r="G1814" s="18"/>
      <c r="H1814" s="18"/>
    </row>
    <row r="1815" spans="4:8" s="11" customFormat="1">
      <c r="D1815" s="18"/>
      <c r="E1815" s="18"/>
      <c r="F1815" s="18"/>
      <c r="G1815" s="18"/>
      <c r="H1815" s="18"/>
    </row>
    <row r="1816" spans="4:8" s="11" customFormat="1">
      <c r="D1816" s="18"/>
      <c r="E1816" s="18"/>
      <c r="F1816" s="18"/>
      <c r="G1816" s="18"/>
      <c r="H1816" s="18"/>
    </row>
    <row r="1817" spans="4:8" s="11" customFormat="1">
      <c r="D1817" s="18"/>
      <c r="E1817" s="18"/>
      <c r="F1817" s="18"/>
      <c r="G1817" s="18"/>
      <c r="H1817" s="18"/>
    </row>
    <row r="1818" spans="4:8" s="11" customFormat="1">
      <c r="D1818" s="18"/>
      <c r="E1818" s="18"/>
      <c r="F1818" s="18"/>
      <c r="G1818" s="18"/>
      <c r="H1818" s="18"/>
    </row>
    <row r="1819" spans="4:8" s="11" customFormat="1">
      <c r="D1819" s="18"/>
      <c r="E1819" s="18"/>
      <c r="F1819" s="18"/>
      <c r="G1819" s="18"/>
      <c r="H1819" s="18"/>
    </row>
    <row r="1820" spans="4:8" s="11" customFormat="1">
      <c r="D1820" s="18"/>
      <c r="E1820" s="18"/>
      <c r="F1820" s="18"/>
      <c r="G1820" s="18"/>
      <c r="H1820" s="18"/>
    </row>
    <row r="1821" spans="4:8" s="11" customFormat="1">
      <c r="D1821" s="18"/>
      <c r="E1821" s="18"/>
      <c r="F1821" s="18"/>
      <c r="G1821" s="18"/>
      <c r="H1821" s="18"/>
    </row>
    <row r="1822" spans="4:8" s="11" customFormat="1">
      <c r="D1822" s="18"/>
      <c r="E1822" s="18"/>
      <c r="F1822" s="18"/>
      <c r="G1822" s="18"/>
      <c r="H1822" s="18"/>
    </row>
    <row r="1823" spans="4:8" s="11" customFormat="1">
      <c r="D1823" s="18"/>
      <c r="E1823" s="18"/>
      <c r="F1823" s="18"/>
      <c r="G1823" s="18"/>
      <c r="H1823" s="18"/>
    </row>
    <row r="1824" spans="4:8" s="11" customFormat="1">
      <c r="D1824" s="18"/>
      <c r="E1824" s="18"/>
      <c r="F1824" s="18"/>
      <c r="G1824" s="18"/>
      <c r="H1824" s="18"/>
    </row>
    <row r="1825" spans="4:8" s="11" customFormat="1">
      <c r="D1825" s="18"/>
      <c r="E1825" s="18"/>
      <c r="F1825" s="18"/>
      <c r="G1825" s="18"/>
      <c r="H1825" s="18"/>
    </row>
    <row r="1826" spans="4:8" s="11" customFormat="1">
      <c r="D1826" s="18"/>
      <c r="E1826" s="18"/>
      <c r="F1826" s="18"/>
      <c r="G1826" s="18"/>
      <c r="H1826" s="18"/>
    </row>
    <row r="1827" spans="4:8" s="11" customFormat="1">
      <c r="D1827" s="18"/>
      <c r="E1827" s="18"/>
      <c r="F1827" s="18"/>
      <c r="G1827" s="18"/>
      <c r="H1827" s="18"/>
    </row>
    <row r="1828" spans="4:8" s="11" customFormat="1">
      <c r="D1828" s="18"/>
      <c r="E1828" s="18"/>
      <c r="F1828" s="18"/>
      <c r="G1828" s="18"/>
      <c r="H1828" s="18"/>
    </row>
    <row r="1829" spans="4:8" s="11" customFormat="1">
      <c r="D1829" s="18"/>
      <c r="E1829" s="18"/>
      <c r="F1829" s="18"/>
      <c r="G1829" s="18"/>
      <c r="H1829" s="18"/>
    </row>
    <row r="1830" spans="4:8" s="11" customFormat="1">
      <c r="D1830" s="18"/>
      <c r="E1830" s="18"/>
      <c r="F1830" s="18"/>
      <c r="G1830" s="18"/>
      <c r="H1830" s="18"/>
    </row>
    <row r="1831" spans="4:8" s="11" customFormat="1">
      <c r="D1831" s="18"/>
      <c r="E1831" s="18"/>
      <c r="F1831" s="18"/>
      <c r="G1831" s="18"/>
      <c r="H1831" s="18"/>
    </row>
    <row r="1832" spans="4:8" s="11" customFormat="1">
      <c r="D1832" s="18"/>
      <c r="E1832" s="18"/>
      <c r="F1832" s="18"/>
      <c r="G1832" s="18"/>
      <c r="H1832" s="18"/>
    </row>
    <row r="1833" spans="4:8" s="11" customFormat="1">
      <c r="D1833" s="18"/>
      <c r="E1833" s="18"/>
      <c r="F1833" s="18"/>
      <c r="G1833" s="18"/>
      <c r="H1833" s="18"/>
    </row>
    <row r="1834" spans="4:8" s="11" customFormat="1">
      <c r="D1834" s="18"/>
      <c r="E1834" s="18"/>
      <c r="F1834" s="18"/>
      <c r="G1834" s="18"/>
      <c r="H1834" s="18"/>
    </row>
    <row r="1835" spans="4:8" s="11" customFormat="1">
      <c r="D1835" s="18"/>
      <c r="E1835" s="18"/>
      <c r="F1835" s="18"/>
      <c r="G1835" s="18"/>
      <c r="H1835" s="18"/>
    </row>
    <row r="1836" spans="4:8" s="11" customFormat="1">
      <c r="D1836" s="18"/>
      <c r="E1836" s="18"/>
      <c r="F1836" s="18"/>
      <c r="G1836" s="18"/>
      <c r="H1836" s="18"/>
    </row>
    <row r="1837" spans="4:8" s="11" customFormat="1">
      <c r="D1837" s="18"/>
      <c r="E1837" s="18"/>
      <c r="F1837" s="18"/>
      <c r="G1837" s="18"/>
      <c r="H1837" s="18"/>
    </row>
    <row r="1838" spans="4:8" s="11" customFormat="1">
      <c r="D1838" s="18"/>
      <c r="E1838" s="18"/>
      <c r="F1838" s="18"/>
      <c r="G1838" s="18"/>
      <c r="H1838" s="18"/>
    </row>
    <row r="1839" spans="4:8" s="11" customFormat="1">
      <c r="D1839" s="18"/>
      <c r="E1839" s="18"/>
      <c r="F1839" s="18"/>
      <c r="G1839" s="18"/>
      <c r="H1839" s="18"/>
    </row>
    <row r="1840" spans="4:8" s="11" customFormat="1">
      <c r="D1840" s="18"/>
      <c r="E1840" s="18"/>
      <c r="F1840" s="18"/>
      <c r="G1840" s="18"/>
      <c r="H1840" s="18"/>
    </row>
    <row r="1841" spans="4:8" s="11" customFormat="1">
      <c r="D1841" s="18"/>
      <c r="E1841" s="18"/>
      <c r="F1841" s="18"/>
      <c r="G1841" s="18"/>
      <c r="H1841" s="18"/>
    </row>
    <row r="1842" spans="4:8" s="11" customFormat="1">
      <c r="D1842" s="18"/>
      <c r="E1842" s="18"/>
      <c r="F1842" s="18"/>
      <c r="G1842" s="18"/>
      <c r="H1842" s="18"/>
    </row>
    <row r="1843" spans="4:8" s="11" customFormat="1">
      <c r="D1843" s="18"/>
      <c r="E1843" s="18"/>
      <c r="F1843" s="18"/>
      <c r="G1843" s="18"/>
      <c r="H1843" s="18"/>
    </row>
    <row r="1844" spans="4:8" s="11" customFormat="1">
      <c r="D1844" s="18"/>
      <c r="E1844" s="18"/>
      <c r="F1844" s="18"/>
      <c r="G1844" s="18"/>
      <c r="H1844" s="18"/>
    </row>
    <row r="1845" spans="4:8" s="11" customFormat="1">
      <c r="D1845" s="18"/>
      <c r="E1845" s="18"/>
      <c r="F1845" s="18"/>
      <c r="G1845" s="18"/>
      <c r="H1845" s="18"/>
    </row>
    <row r="1846" spans="4:8" s="11" customFormat="1">
      <c r="D1846" s="18"/>
      <c r="E1846" s="18"/>
      <c r="F1846" s="18"/>
      <c r="G1846" s="18"/>
      <c r="H1846" s="18"/>
    </row>
    <row r="1847" spans="4:8" s="11" customFormat="1">
      <c r="D1847" s="18"/>
      <c r="E1847" s="18"/>
      <c r="F1847" s="18"/>
      <c r="G1847" s="18"/>
      <c r="H1847" s="18"/>
    </row>
    <row r="1848" spans="4:8" s="11" customFormat="1">
      <c r="D1848" s="18"/>
      <c r="E1848" s="18"/>
      <c r="F1848" s="18"/>
      <c r="G1848" s="18"/>
      <c r="H1848" s="18"/>
    </row>
    <row r="1849" spans="4:8" s="11" customFormat="1">
      <c r="D1849" s="18"/>
      <c r="E1849" s="18"/>
      <c r="F1849" s="18"/>
      <c r="G1849" s="18"/>
      <c r="H1849" s="18"/>
    </row>
    <row r="1850" spans="4:8" s="11" customFormat="1">
      <c r="D1850" s="18"/>
      <c r="E1850" s="18"/>
      <c r="F1850" s="18"/>
      <c r="G1850" s="18"/>
      <c r="H1850" s="18"/>
    </row>
    <row r="1851" spans="4:8" s="11" customFormat="1">
      <c r="D1851" s="18"/>
      <c r="E1851" s="18"/>
      <c r="F1851" s="18"/>
      <c r="G1851" s="18"/>
      <c r="H1851" s="18"/>
    </row>
    <row r="1852" spans="4:8" s="11" customFormat="1">
      <c r="D1852" s="18"/>
      <c r="E1852" s="18"/>
      <c r="F1852" s="18"/>
      <c r="G1852" s="18"/>
      <c r="H1852" s="18"/>
    </row>
    <row r="1853" spans="4:8" s="11" customFormat="1">
      <c r="D1853" s="18"/>
      <c r="E1853" s="18"/>
      <c r="F1853" s="18"/>
      <c r="G1853" s="18"/>
      <c r="H1853" s="18"/>
    </row>
    <row r="1854" spans="4:8" s="11" customFormat="1">
      <c r="D1854" s="18"/>
      <c r="E1854" s="18"/>
      <c r="F1854" s="18"/>
      <c r="G1854" s="18"/>
      <c r="H1854" s="18"/>
    </row>
    <row r="1855" spans="4:8" s="11" customFormat="1">
      <c r="D1855" s="18"/>
      <c r="E1855" s="18"/>
      <c r="F1855" s="18"/>
      <c r="G1855" s="18"/>
      <c r="H1855" s="18"/>
    </row>
    <row r="1856" spans="4:8" s="11" customFormat="1">
      <c r="D1856" s="18"/>
      <c r="E1856" s="18"/>
      <c r="F1856" s="18"/>
      <c r="G1856" s="18"/>
      <c r="H1856" s="18"/>
    </row>
    <row r="1857" spans="4:8" s="11" customFormat="1">
      <c r="D1857" s="18"/>
      <c r="E1857" s="18"/>
      <c r="F1857" s="18"/>
      <c r="G1857" s="18"/>
      <c r="H1857" s="18"/>
    </row>
    <row r="1858" spans="4:8" s="11" customFormat="1">
      <c r="D1858" s="18"/>
      <c r="E1858" s="18"/>
      <c r="F1858" s="18"/>
      <c r="G1858" s="18"/>
      <c r="H1858" s="18"/>
    </row>
    <row r="1859" spans="4:8" s="11" customFormat="1">
      <c r="D1859" s="18"/>
      <c r="E1859" s="18"/>
      <c r="F1859" s="18"/>
      <c r="G1859" s="18"/>
      <c r="H1859" s="18"/>
    </row>
    <row r="1860" spans="4:8" s="11" customFormat="1">
      <c r="D1860" s="18"/>
      <c r="E1860" s="18"/>
      <c r="F1860" s="18"/>
      <c r="G1860" s="18"/>
      <c r="H1860" s="18"/>
    </row>
    <row r="1861" spans="4:8" s="11" customFormat="1">
      <c r="D1861" s="18"/>
      <c r="E1861" s="18"/>
      <c r="F1861" s="18"/>
      <c r="G1861" s="18"/>
      <c r="H1861" s="18"/>
    </row>
    <row r="1862" spans="4:8" s="11" customFormat="1">
      <c r="D1862" s="18"/>
      <c r="E1862" s="18"/>
      <c r="F1862" s="18"/>
      <c r="G1862" s="18"/>
      <c r="H1862" s="18"/>
    </row>
    <row r="1863" spans="4:8" s="11" customFormat="1">
      <c r="D1863" s="18"/>
      <c r="E1863" s="18"/>
      <c r="F1863" s="18"/>
      <c r="G1863" s="18"/>
      <c r="H1863" s="18"/>
    </row>
    <row r="1864" spans="4:8" s="11" customFormat="1">
      <c r="D1864" s="18"/>
      <c r="E1864" s="18"/>
      <c r="F1864" s="18"/>
      <c r="G1864" s="18"/>
      <c r="H1864" s="18"/>
    </row>
    <row r="1865" spans="4:8" s="11" customFormat="1">
      <c r="D1865" s="18"/>
      <c r="E1865" s="18"/>
      <c r="F1865" s="18"/>
      <c r="G1865" s="18"/>
      <c r="H1865" s="18"/>
    </row>
    <row r="1866" spans="4:8" s="11" customFormat="1">
      <c r="D1866" s="18"/>
      <c r="E1866" s="18"/>
      <c r="F1866" s="18"/>
      <c r="G1866" s="18"/>
      <c r="H1866" s="18"/>
    </row>
    <row r="1867" spans="4:8" s="11" customFormat="1">
      <c r="D1867" s="18"/>
      <c r="E1867" s="18"/>
      <c r="F1867" s="18"/>
      <c r="G1867" s="18"/>
      <c r="H1867" s="18"/>
    </row>
    <row r="1868" spans="4:8" s="11" customFormat="1">
      <c r="D1868" s="18"/>
      <c r="E1868" s="18"/>
      <c r="F1868" s="18"/>
      <c r="G1868" s="18"/>
      <c r="H1868" s="18"/>
    </row>
    <row r="1869" spans="4:8" s="11" customFormat="1">
      <c r="D1869" s="18"/>
      <c r="E1869" s="18"/>
      <c r="F1869" s="18"/>
      <c r="G1869" s="18"/>
      <c r="H1869" s="18"/>
    </row>
    <row r="1870" spans="4:8" s="11" customFormat="1">
      <c r="D1870" s="18"/>
      <c r="E1870" s="18"/>
      <c r="F1870" s="18"/>
      <c r="G1870" s="18"/>
      <c r="H1870" s="18"/>
    </row>
    <row r="1871" spans="4:8" s="11" customFormat="1">
      <c r="D1871" s="18"/>
      <c r="E1871" s="18"/>
      <c r="F1871" s="18"/>
      <c r="G1871" s="18"/>
      <c r="H1871" s="18"/>
    </row>
    <row r="1872" spans="4:8" s="11" customFormat="1">
      <c r="D1872" s="18"/>
      <c r="E1872" s="18"/>
      <c r="F1872" s="18"/>
      <c r="G1872" s="18"/>
      <c r="H1872" s="18"/>
    </row>
    <row r="1873" spans="4:8" s="11" customFormat="1">
      <c r="D1873" s="18"/>
      <c r="E1873" s="18"/>
      <c r="F1873" s="18"/>
      <c r="G1873" s="18"/>
      <c r="H1873" s="18"/>
    </row>
    <row r="1874" spans="4:8" s="11" customFormat="1">
      <c r="D1874" s="18"/>
      <c r="E1874" s="18"/>
      <c r="F1874" s="18"/>
      <c r="G1874" s="18"/>
      <c r="H1874" s="18"/>
    </row>
    <row r="1875" spans="4:8" s="11" customFormat="1">
      <c r="D1875" s="18"/>
      <c r="E1875" s="18"/>
      <c r="F1875" s="18"/>
      <c r="G1875" s="18"/>
      <c r="H1875" s="18"/>
    </row>
    <row r="1876" spans="4:8" s="11" customFormat="1">
      <c r="D1876" s="18"/>
      <c r="E1876" s="18"/>
      <c r="F1876" s="18"/>
      <c r="G1876" s="18"/>
      <c r="H1876" s="18"/>
    </row>
    <row r="1877" spans="4:8" s="11" customFormat="1">
      <c r="D1877" s="18"/>
      <c r="E1877" s="18"/>
      <c r="F1877" s="18"/>
      <c r="G1877" s="18"/>
      <c r="H1877" s="18"/>
    </row>
    <row r="1878" spans="4:8" s="11" customFormat="1">
      <c r="D1878" s="18"/>
      <c r="E1878" s="18"/>
      <c r="F1878" s="18"/>
      <c r="G1878" s="18"/>
      <c r="H1878" s="18"/>
    </row>
    <row r="1879" spans="4:8" s="11" customFormat="1">
      <c r="D1879" s="18"/>
      <c r="E1879" s="18"/>
      <c r="F1879" s="18"/>
      <c r="G1879" s="18"/>
      <c r="H1879" s="18"/>
    </row>
    <row r="1880" spans="4:8" s="11" customFormat="1">
      <c r="D1880" s="18"/>
      <c r="E1880" s="18"/>
      <c r="F1880" s="18"/>
      <c r="G1880" s="18"/>
      <c r="H1880" s="18"/>
    </row>
    <row r="1881" spans="4:8" s="11" customFormat="1">
      <c r="D1881" s="18"/>
      <c r="E1881" s="18"/>
      <c r="F1881" s="18"/>
      <c r="G1881" s="18"/>
      <c r="H1881" s="18"/>
    </row>
    <row r="1882" spans="4:8" s="11" customFormat="1">
      <c r="D1882" s="18"/>
      <c r="E1882" s="18"/>
      <c r="F1882" s="18"/>
      <c r="G1882" s="18"/>
      <c r="H1882" s="18"/>
    </row>
    <row r="1883" spans="4:8" s="11" customFormat="1">
      <c r="D1883" s="18"/>
      <c r="E1883" s="18"/>
      <c r="F1883" s="18"/>
      <c r="G1883" s="18"/>
      <c r="H1883" s="18"/>
    </row>
    <row r="1884" spans="4:8" s="11" customFormat="1">
      <c r="D1884" s="18"/>
      <c r="E1884" s="18"/>
      <c r="F1884" s="18"/>
      <c r="G1884" s="18"/>
      <c r="H1884" s="18"/>
    </row>
    <row r="1885" spans="4:8" s="11" customFormat="1">
      <c r="D1885" s="18"/>
      <c r="E1885" s="18"/>
      <c r="F1885" s="18"/>
      <c r="G1885" s="18"/>
      <c r="H1885" s="18"/>
    </row>
    <row r="1886" spans="4:8" s="11" customFormat="1">
      <c r="D1886" s="18"/>
      <c r="E1886" s="18"/>
      <c r="F1886" s="18"/>
      <c r="G1886" s="18"/>
      <c r="H1886" s="18"/>
    </row>
    <row r="1887" spans="4:8" s="11" customFormat="1">
      <c r="D1887" s="18"/>
      <c r="E1887" s="18"/>
      <c r="F1887" s="18"/>
      <c r="G1887" s="18"/>
      <c r="H1887" s="18"/>
    </row>
    <row r="1888" spans="4:8" s="11" customFormat="1">
      <c r="D1888" s="18"/>
      <c r="E1888" s="18"/>
      <c r="F1888" s="18"/>
      <c r="G1888" s="18"/>
      <c r="H1888" s="18"/>
    </row>
    <row r="1889" spans="4:8" s="11" customFormat="1">
      <c r="D1889" s="18"/>
      <c r="E1889" s="18"/>
      <c r="F1889" s="18"/>
      <c r="G1889" s="18"/>
      <c r="H1889" s="18"/>
    </row>
    <row r="1890" spans="4:8" s="11" customFormat="1">
      <c r="D1890" s="18"/>
      <c r="E1890" s="18"/>
      <c r="F1890" s="18"/>
      <c r="G1890" s="18"/>
      <c r="H1890" s="18"/>
    </row>
    <row r="1891" spans="4:8" s="11" customFormat="1">
      <c r="D1891" s="18"/>
      <c r="E1891" s="18"/>
      <c r="F1891" s="18"/>
      <c r="G1891" s="18"/>
      <c r="H1891" s="18"/>
    </row>
    <row r="1892" spans="4:8" s="11" customFormat="1">
      <c r="D1892" s="18"/>
      <c r="E1892" s="18"/>
      <c r="F1892" s="18"/>
      <c r="G1892" s="18"/>
      <c r="H1892" s="18"/>
    </row>
    <row r="1893" spans="4:8" s="11" customFormat="1">
      <c r="D1893" s="18"/>
      <c r="E1893" s="18"/>
      <c r="F1893" s="18"/>
      <c r="G1893" s="18"/>
      <c r="H1893" s="18"/>
    </row>
    <row r="1894" spans="4:8" s="11" customFormat="1">
      <c r="D1894" s="18"/>
      <c r="E1894" s="18"/>
      <c r="F1894" s="18"/>
      <c r="G1894" s="18"/>
      <c r="H1894" s="18"/>
    </row>
    <row r="1895" spans="4:8" s="11" customFormat="1">
      <c r="D1895" s="18"/>
      <c r="E1895" s="18"/>
      <c r="F1895" s="18"/>
      <c r="G1895" s="18"/>
      <c r="H1895" s="18"/>
    </row>
    <row r="1896" spans="4:8" s="11" customFormat="1">
      <c r="D1896" s="18"/>
      <c r="E1896" s="18"/>
      <c r="F1896" s="18"/>
      <c r="G1896" s="18"/>
      <c r="H1896" s="18"/>
    </row>
    <row r="1897" spans="4:8" s="11" customFormat="1">
      <c r="D1897" s="18"/>
      <c r="E1897" s="18"/>
      <c r="F1897" s="18"/>
      <c r="G1897" s="18"/>
      <c r="H1897" s="18"/>
    </row>
    <row r="1898" spans="4:8" s="11" customFormat="1">
      <c r="D1898" s="18"/>
      <c r="E1898" s="18"/>
      <c r="F1898" s="18"/>
      <c r="G1898" s="18"/>
      <c r="H1898" s="18"/>
    </row>
    <row r="1899" spans="4:8" s="11" customFormat="1">
      <c r="D1899" s="18"/>
      <c r="E1899" s="18"/>
      <c r="F1899" s="18"/>
      <c r="G1899" s="18"/>
      <c r="H1899" s="18"/>
    </row>
    <row r="1900" spans="4:8" s="11" customFormat="1">
      <c r="D1900" s="18"/>
      <c r="E1900" s="18"/>
      <c r="F1900" s="18"/>
      <c r="G1900" s="18"/>
      <c r="H1900" s="18"/>
    </row>
    <row r="1901" spans="4:8" s="11" customFormat="1">
      <c r="D1901" s="18"/>
      <c r="E1901" s="18"/>
      <c r="F1901" s="18"/>
      <c r="G1901" s="18"/>
      <c r="H1901" s="18"/>
    </row>
    <row r="1902" spans="4:8" s="11" customFormat="1">
      <c r="D1902" s="18"/>
      <c r="E1902" s="18"/>
      <c r="F1902" s="18"/>
      <c r="G1902" s="18"/>
      <c r="H1902" s="18"/>
    </row>
    <row r="1903" spans="4:8" s="11" customFormat="1">
      <c r="D1903" s="18"/>
      <c r="E1903" s="18"/>
      <c r="F1903" s="18"/>
      <c r="G1903" s="18"/>
      <c r="H1903" s="18"/>
    </row>
    <row r="1904" spans="4:8" s="11" customFormat="1">
      <c r="D1904" s="18"/>
      <c r="E1904" s="18"/>
      <c r="F1904" s="18"/>
      <c r="G1904" s="18"/>
      <c r="H1904" s="18"/>
    </row>
    <row r="1905" spans="4:8" s="11" customFormat="1">
      <c r="D1905" s="18"/>
      <c r="E1905" s="18"/>
      <c r="F1905" s="18"/>
      <c r="G1905" s="18"/>
      <c r="H1905" s="18"/>
    </row>
    <row r="1906" spans="4:8" s="11" customFormat="1">
      <c r="D1906" s="18"/>
      <c r="E1906" s="18"/>
      <c r="F1906" s="18"/>
      <c r="G1906" s="18"/>
      <c r="H1906" s="18"/>
    </row>
    <row r="1907" spans="4:8" s="11" customFormat="1">
      <c r="D1907" s="18"/>
      <c r="E1907" s="18"/>
      <c r="F1907" s="18"/>
      <c r="G1907" s="18"/>
      <c r="H1907" s="18"/>
    </row>
    <row r="1908" spans="4:8" s="11" customFormat="1">
      <c r="D1908" s="18"/>
      <c r="E1908" s="18"/>
      <c r="F1908" s="18"/>
      <c r="G1908" s="18"/>
      <c r="H1908" s="18"/>
    </row>
    <row r="1909" spans="4:8" s="11" customFormat="1">
      <c r="D1909" s="18"/>
      <c r="E1909" s="18"/>
      <c r="F1909" s="18"/>
      <c r="G1909" s="18"/>
      <c r="H1909" s="18"/>
    </row>
    <row r="1910" spans="4:8" s="11" customFormat="1">
      <c r="D1910" s="18"/>
      <c r="E1910" s="18"/>
      <c r="F1910" s="18"/>
      <c r="G1910" s="18"/>
      <c r="H1910" s="18"/>
    </row>
  </sheetData>
  <phoneticPr fontId="2"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U77"/>
  <sheetViews>
    <sheetView workbookViewId="0">
      <selection activeCell="H45" sqref="H45"/>
    </sheetView>
  </sheetViews>
  <sheetFormatPr baseColWidth="10" defaultColWidth="8.83203125" defaultRowHeight="12"/>
  <cols>
    <col min="1" max="1" width="16.6640625" customWidth="1"/>
    <col min="2" max="2" width="17.6640625" bestFit="1" customWidth="1"/>
    <col min="6" max="6" width="15" bestFit="1" customWidth="1"/>
    <col min="8" max="8" width="16" bestFit="1" customWidth="1"/>
  </cols>
  <sheetData>
    <row r="1" spans="1:19">
      <c r="A1" t="s">
        <v>1685</v>
      </c>
      <c r="K1" t="s">
        <v>1686</v>
      </c>
    </row>
    <row r="2" spans="1:19" ht="24">
      <c r="A2" s="41" t="s">
        <v>383</v>
      </c>
      <c r="B2" s="126" t="s">
        <v>1687</v>
      </c>
      <c r="C2" s="126"/>
      <c r="D2" s="130" t="s">
        <v>1</v>
      </c>
      <c r="E2" s="131"/>
      <c r="F2" s="127" t="s">
        <v>1554</v>
      </c>
      <c r="G2" s="126"/>
      <c r="H2" s="127" t="s">
        <v>1555</v>
      </c>
      <c r="I2" s="126"/>
      <c r="L2" t="s">
        <v>1688</v>
      </c>
      <c r="M2" t="s">
        <v>1689</v>
      </c>
      <c r="N2" t="s">
        <v>1690</v>
      </c>
    </row>
    <row r="3" spans="1:19">
      <c r="A3" s="72" t="s">
        <v>1691</v>
      </c>
      <c r="B3" s="73"/>
      <c r="C3" s="73"/>
      <c r="D3" s="74"/>
      <c r="E3" s="74"/>
      <c r="F3" s="73"/>
      <c r="G3" s="73"/>
      <c r="H3" s="73"/>
      <c r="I3" s="75"/>
      <c r="K3" s="48" t="s">
        <v>1681</v>
      </c>
      <c r="L3" s="23">
        <f>B4</f>
        <v>14741.500773728289</v>
      </c>
      <c r="M3" s="23">
        <f>B5</f>
        <v>12631.105247813412</v>
      </c>
      <c r="N3" s="23">
        <f>B6</f>
        <v>2110.395525914877</v>
      </c>
    </row>
    <row r="4" spans="1:19">
      <c r="A4" s="76" t="s">
        <v>1688</v>
      </c>
      <c r="B4" s="128">
        <f>B14</f>
        <v>14741.500773728289</v>
      </c>
      <c r="C4" s="129"/>
      <c r="D4" s="132">
        <v>16476</v>
      </c>
      <c r="E4" s="133"/>
      <c r="F4" s="128">
        <f>F14</f>
        <v>14030.498211004739</v>
      </c>
      <c r="G4" s="129"/>
      <c r="H4" s="128">
        <f>H14</f>
        <v>22158.907232535679</v>
      </c>
      <c r="I4" s="129"/>
      <c r="K4" s="48" t="s">
        <v>4</v>
      </c>
      <c r="L4" s="23">
        <f>D4</f>
        <v>16476</v>
      </c>
      <c r="M4" s="23">
        <f>D5</f>
        <v>12631</v>
      </c>
      <c r="N4" s="23">
        <f>D6</f>
        <v>3845</v>
      </c>
    </row>
    <row r="5" spans="1:19">
      <c r="A5" s="76" t="s">
        <v>1689</v>
      </c>
      <c r="B5" s="120">
        <f>C14</f>
        <v>12631.105247813412</v>
      </c>
      <c r="C5" s="121"/>
      <c r="D5" s="122">
        <v>12631</v>
      </c>
      <c r="E5" s="123"/>
      <c r="F5" s="120">
        <f>G14</f>
        <v>9920.2950819672133</v>
      </c>
      <c r="G5" s="121"/>
      <c r="H5" s="120">
        <f>I14</f>
        <v>12080.460021905805</v>
      </c>
      <c r="I5" s="121"/>
      <c r="K5" s="48" t="str">
        <f>F2</f>
        <v>Bridgeport</v>
      </c>
      <c r="L5" s="23">
        <f>F4</f>
        <v>14030.498211004739</v>
      </c>
      <c r="M5" s="23">
        <f>F5</f>
        <v>9920.2950819672133</v>
      </c>
      <c r="N5" s="23">
        <f>F6</f>
        <v>4110.2031290375253</v>
      </c>
    </row>
    <row r="6" spans="1:19">
      <c r="A6" s="114" t="s">
        <v>1690</v>
      </c>
      <c r="B6" s="120">
        <f>B4-B5</f>
        <v>2110.395525914877</v>
      </c>
      <c r="C6" s="121"/>
      <c r="D6" s="122">
        <v>3845</v>
      </c>
      <c r="E6" s="123"/>
      <c r="F6" s="120">
        <f>F4-F5</f>
        <v>4110.2031290375253</v>
      </c>
      <c r="G6" s="121"/>
      <c r="H6" s="120">
        <f>H4-H5</f>
        <v>10078.447210629874</v>
      </c>
      <c r="I6" s="121"/>
      <c r="K6" s="48" t="str">
        <f>H2</f>
        <v>New Haven</v>
      </c>
      <c r="L6" s="23">
        <f>H4</f>
        <v>22158.907232535679</v>
      </c>
      <c r="M6" s="23">
        <f>H5</f>
        <v>12080.460021905805</v>
      </c>
      <c r="N6" s="23">
        <f>H6</f>
        <v>10078.447210629874</v>
      </c>
    </row>
    <row r="7" spans="1:19">
      <c r="A7" s="115"/>
      <c r="B7" s="106">
        <f>B6/B4</f>
        <v>0.14316015433624907</v>
      </c>
      <c r="C7" s="107"/>
      <c r="D7" s="124">
        <v>0.23300000000000001</v>
      </c>
      <c r="E7" s="125"/>
      <c r="F7" s="106">
        <f>F6/F4</f>
        <v>0.29294776758630792</v>
      </c>
      <c r="G7" s="107"/>
      <c r="H7" s="106">
        <f>H6/H4</f>
        <v>0.45482600314476707</v>
      </c>
      <c r="I7" s="107"/>
      <c r="K7" s="22"/>
      <c r="L7" s="23"/>
      <c r="M7" s="23"/>
      <c r="N7" s="23"/>
    </row>
    <row r="8" spans="1:19" ht="24">
      <c r="A8" s="77" t="s">
        <v>1692</v>
      </c>
      <c r="B8" s="42" t="s">
        <v>1693</v>
      </c>
      <c r="C8" s="42" t="s">
        <v>1689</v>
      </c>
      <c r="D8" s="78" t="s">
        <v>1693</v>
      </c>
      <c r="E8" s="78" t="s">
        <v>1689</v>
      </c>
      <c r="F8" s="42" t="s">
        <v>1693</v>
      </c>
      <c r="G8" s="42" t="s">
        <v>1689</v>
      </c>
      <c r="H8" s="42" t="s">
        <v>1693</v>
      </c>
      <c r="I8" s="42" t="s">
        <v>1689</v>
      </c>
      <c r="K8" s="85" t="s">
        <v>5</v>
      </c>
      <c r="L8" s="86"/>
      <c r="M8" s="86"/>
      <c r="N8" s="86"/>
      <c r="O8" s="86"/>
      <c r="P8" s="86"/>
      <c r="Q8" s="86"/>
      <c r="R8" s="86"/>
      <c r="S8" s="86"/>
    </row>
    <row r="9" spans="1:19">
      <c r="A9" s="76" t="s">
        <v>1682</v>
      </c>
      <c r="B9" s="43">
        <f>'[1]2006-07 St Dist w school constr'!F176</f>
        <v>530.55654555488434</v>
      </c>
      <c r="C9" s="43">
        <f>'[1]FY07 St Charter w Const'!F22</f>
        <v>927.67725947521865</v>
      </c>
      <c r="D9" s="79">
        <v>930</v>
      </c>
      <c r="E9" s="79">
        <f>C9</f>
        <v>927.67725947521865</v>
      </c>
      <c r="F9" s="43">
        <f>'[1]2006-07 St Dist w school constr'!F187</f>
        <v>1215.5531379943914</v>
      </c>
      <c r="G9" s="43">
        <f>'[1]FY07 St Charter w Const'!F31</f>
        <v>751.3747072599532</v>
      </c>
      <c r="H9" s="43">
        <f>'[1]2006-07 St Dist w school constr'!F196</f>
        <v>1892.8418821761991</v>
      </c>
      <c r="I9" s="43">
        <f>'[1]FY07 St Charter w Const'!F41</f>
        <v>1122.7349397590363</v>
      </c>
    </row>
    <row r="10" spans="1:19">
      <c r="A10" s="76" t="s">
        <v>1681</v>
      </c>
      <c r="B10" s="43">
        <f>'[1]2006-07 St Dist w school constr'!E176</f>
        <v>4829.7456876300421</v>
      </c>
      <c r="C10" s="43">
        <f>'[1]FY07 St Charter w Const'!E22</f>
        <v>9592.2236151603502</v>
      </c>
      <c r="D10" s="79">
        <v>7933</v>
      </c>
      <c r="E10" s="79">
        <f>C10</f>
        <v>9592.2236151603502</v>
      </c>
      <c r="F10" s="43">
        <f>'[1]2006-07 St Dist w school constr'!E187</f>
        <v>10135.229136447153</v>
      </c>
      <c r="G10" s="43">
        <f>'[1]FY07 St Charter w Const'!E31</f>
        <v>8187.8594847775175</v>
      </c>
      <c r="H10" s="43">
        <f>'[1]2006-07 St Dist w school constr'!E196</f>
        <v>15418.923167721858</v>
      </c>
      <c r="I10" s="43">
        <f>'[1]FY07 St Charter w Const'!E41</f>
        <v>8874.9605695509308</v>
      </c>
    </row>
    <row r="11" spans="1:19">
      <c r="A11" s="76" t="s">
        <v>1684</v>
      </c>
      <c r="B11" s="43">
        <f>'[1]2006-07 St Dist w school constr'!H176</f>
        <v>9243.5017674564297</v>
      </c>
      <c r="C11" s="43">
        <f>'[1]FY07 St Charter w Const'!H22</f>
        <v>114.19358600583091</v>
      </c>
      <c r="D11" s="79">
        <v>7437</v>
      </c>
      <c r="E11" s="79">
        <f>C11</f>
        <v>114.19358600583091</v>
      </c>
      <c r="F11" s="43">
        <f>'[1]2006-07 St Dist w school constr'!H187</f>
        <v>2610.5568610385844</v>
      </c>
      <c r="G11" s="43">
        <f>'[1]FY07 St Charter w Const'!H31</f>
        <v>49.248243559718972</v>
      </c>
      <c r="H11" s="43">
        <f>'[1]2006-07 St Dist w school constr'!H196</f>
        <v>4520.3139821869299</v>
      </c>
      <c r="I11" s="43">
        <f>'[1]FY07 St Charter w Const'!H41</f>
        <v>0</v>
      </c>
    </row>
    <row r="12" spans="1:19">
      <c r="A12" s="76" t="s">
        <v>1694</v>
      </c>
      <c r="B12" s="43"/>
      <c r="C12" s="43"/>
      <c r="D12" s="79"/>
      <c r="E12" s="79"/>
      <c r="F12" s="43"/>
      <c r="G12" s="43"/>
      <c r="H12" s="43"/>
      <c r="I12" s="43"/>
    </row>
    <row r="13" spans="1:19">
      <c r="A13" s="76" t="s">
        <v>1695</v>
      </c>
      <c r="B13" s="43">
        <f>'[1]2006-07 St Dist w school constr'!G176</f>
        <v>137.69677308693349</v>
      </c>
      <c r="C13" s="43">
        <f>'[1]FY07 St Charter w Const'!G22</f>
        <v>1997.0107871720118</v>
      </c>
      <c r="D13" s="79">
        <v>177</v>
      </c>
      <c r="E13" s="79">
        <f>C13</f>
        <v>1997.0107871720118</v>
      </c>
      <c r="F13" s="43">
        <f>'[1]2006-07 St Dist w school constr'!G187</f>
        <v>69.15907552461077</v>
      </c>
      <c r="G13" s="43">
        <f>'[1]FY07 St Charter w Const'!G31</f>
        <v>931.81264637002346</v>
      </c>
      <c r="H13" s="43">
        <f>'[1]2006-07 St Dist w school constr'!G196</f>
        <v>326.82820045069212</v>
      </c>
      <c r="I13" s="43">
        <f>'[1]FY07 St Charter w Const'!G41</f>
        <v>2082.7645125958379</v>
      </c>
    </row>
    <row r="14" spans="1:19">
      <c r="A14" s="76" t="s">
        <v>1543</v>
      </c>
      <c r="B14" s="43">
        <f t="shared" ref="B14:I14" si="0">SUM(B9:B13)</f>
        <v>14741.500773728289</v>
      </c>
      <c r="C14" s="43">
        <f t="shared" si="0"/>
        <v>12631.105247813412</v>
      </c>
      <c r="D14" s="79">
        <f>D4</f>
        <v>16476</v>
      </c>
      <c r="E14" s="79">
        <f>C14</f>
        <v>12631.105247813412</v>
      </c>
      <c r="F14" s="43">
        <f t="shared" si="0"/>
        <v>14030.498211004739</v>
      </c>
      <c r="G14" s="43">
        <f t="shared" si="0"/>
        <v>9920.2950819672133</v>
      </c>
      <c r="H14" s="43">
        <f t="shared" si="0"/>
        <v>22158.907232535679</v>
      </c>
      <c r="I14" s="43">
        <f t="shared" si="0"/>
        <v>12080.460021905805</v>
      </c>
    </row>
    <row r="15" spans="1:19">
      <c r="A15" s="72" t="s">
        <v>1544</v>
      </c>
      <c r="B15" s="44"/>
      <c r="C15" s="44"/>
      <c r="D15" s="80"/>
      <c r="E15" s="80"/>
      <c r="F15" s="44"/>
      <c r="G15" s="44"/>
      <c r="H15" s="44"/>
      <c r="I15" s="81"/>
    </row>
    <row r="16" spans="1:19">
      <c r="A16" s="114" t="s">
        <v>1688</v>
      </c>
      <c r="B16" s="108">
        <f>'[1]2006-07 St Dist w school constr'!C170</f>
        <v>536364</v>
      </c>
      <c r="C16" s="119"/>
      <c r="D16" s="117" t="s">
        <v>2</v>
      </c>
      <c r="E16" s="118"/>
      <c r="F16" s="108">
        <f>'[1]2006-07 St Dist w school constr'!C181</f>
        <v>20682</v>
      </c>
      <c r="G16" s="119"/>
      <c r="H16" s="108">
        <f>'[1]2006-07 St Dist w school constr'!C190</f>
        <v>18638</v>
      </c>
      <c r="I16" s="119"/>
    </row>
    <row r="17" spans="1:21">
      <c r="A17" s="115"/>
      <c r="B17" s="106">
        <f>B16/(B16+B18)</f>
        <v>0.99364572410956775</v>
      </c>
      <c r="C17" s="107"/>
      <c r="D17" s="117" t="s">
        <v>2</v>
      </c>
      <c r="E17" s="118"/>
      <c r="F17" s="106">
        <f>F16/(F16+F18)</f>
        <v>0.97977166137666394</v>
      </c>
      <c r="G17" s="107"/>
      <c r="H17" s="106">
        <f>H16/(H16+H18)</f>
        <v>0.95330162140043984</v>
      </c>
      <c r="I17" s="107"/>
    </row>
    <row r="18" spans="1:21">
      <c r="A18" s="114" t="s">
        <v>1689</v>
      </c>
      <c r="B18" s="108">
        <f>'[1]FY07 St Charter w Const'!C18</f>
        <v>3430</v>
      </c>
      <c r="C18" s="119"/>
      <c r="D18" s="117" t="s">
        <v>2</v>
      </c>
      <c r="E18" s="118"/>
      <c r="F18" s="108">
        <f>'[1]FY07 St Charter w Const'!C27</f>
        <v>427</v>
      </c>
      <c r="G18" s="119"/>
      <c r="H18" s="108">
        <f>'[1]FY07 St Charter w Const'!C37</f>
        <v>913</v>
      </c>
      <c r="I18" s="119"/>
    </row>
    <row r="19" spans="1:21">
      <c r="A19" s="115"/>
      <c r="B19" s="106">
        <f>B18/(B16+B18)</f>
        <v>6.354275890432276E-3</v>
      </c>
      <c r="C19" s="107"/>
      <c r="D19" s="117" t="s">
        <v>2</v>
      </c>
      <c r="E19" s="118"/>
      <c r="F19" s="106">
        <f>F18/(F16+F18)</f>
        <v>2.0228338623336017E-2</v>
      </c>
      <c r="G19" s="107"/>
      <c r="H19" s="106">
        <f>H18/(H16+H18)</f>
        <v>4.6698378599560122E-2</v>
      </c>
      <c r="I19" s="107"/>
    </row>
    <row r="20" spans="1:21">
      <c r="A20" s="76" t="s">
        <v>1545</v>
      </c>
      <c r="B20" s="116">
        <v>16</v>
      </c>
      <c r="C20" s="109"/>
      <c r="D20" s="117" t="s">
        <v>2</v>
      </c>
      <c r="E20" s="118"/>
      <c r="F20" s="116">
        <v>2</v>
      </c>
      <c r="G20" s="109"/>
      <c r="H20" s="116">
        <v>3</v>
      </c>
      <c r="I20" s="109"/>
    </row>
    <row r="21" spans="1:21">
      <c r="A21" s="72" t="s">
        <v>1546</v>
      </c>
      <c r="B21" s="44"/>
      <c r="C21" s="44"/>
      <c r="D21" s="80"/>
      <c r="E21" s="80"/>
      <c r="F21" s="44"/>
      <c r="G21" s="44"/>
      <c r="H21" s="44"/>
      <c r="I21" s="81"/>
    </row>
    <row r="22" spans="1:21">
      <c r="A22" s="114" t="s">
        <v>1688</v>
      </c>
      <c r="B22" s="108">
        <f>'[1]2006-07 St Dist w school constr'!D175</f>
        <v>7906810321</v>
      </c>
      <c r="C22" s="109"/>
      <c r="D22" s="112" t="s">
        <v>2</v>
      </c>
      <c r="E22" s="113"/>
      <c r="F22" s="108">
        <f>'[1]2006-07 St Dist w school constr'!D186</f>
        <v>290178764</v>
      </c>
      <c r="G22" s="109"/>
      <c r="H22" s="108">
        <f>'[1]2006-07 St Dist w school constr'!D195</f>
        <v>412997713</v>
      </c>
      <c r="I22" s="109"/>
    </row>
    <row r="23" spans="1:21">
      <c r="A23" s="115"/>
      <c r="B23" s="106">
        <f>B22/B26</f>
        <v>0.99455044588115737</v>
      </c>
      <c r="C23" s="107"/>
      <c r="D23" s="112" t="s">
        <v>2</v>
      </c>
      <c r="E23" s="113"/>
      <c r="F23" s="106">
        <f>F22/F26</f>
        <v>0.9856122484089026</v>
      </c>
      <c r="G23" s="107"/>
      <c r="H23" s="106">
        <f>H22/H26</f>
        <v>0.97398878962881941</v>
      </c>
      <c r="I23" s="107"/>
    </row>
    <row r="24" spans="1:21">
      <c r="A24" s="114" t="s">
        <v>1689</v>
      </c>
      <c r="B24" s="108">
        <f>'[1]FY07 St Charter w Const'!I21</f>
        <v>43324691</v>
      </c>
      <c r="C24" s="109"/>
      <c r="D24" s="112" t="s">
        <v>2</v>
      </c>
      <c r="E24" s="113"/>
      <c r="F24" s="108">
        <f>'[1]FY07 St Charter w Const'!I30</f>
        <v>4235966</v>
      </c>
      <c r="G24" s="109"/>
      <c r="H24" s="108">
        <f>'[1]FY07 St Charter w Const'!I40</f>
        <v>11029460</v>
      </c>
      <c r="I24" s="109"/>
    </row>
    <row r="25" spans="1:21">
      <c r="A25" s="115"/>
      <c r="B25" s="106">
        <f>B24/B26</f>
        <v>5.4495541188426802E-3</v>
      </c>
      <c r="C25" s="107"/>
      <c r="D25" s="112" t="s">
        <v>2</v>
      </c>
      <c r="E25" s="113"/>
      <c r="F25" s="106">
        <f>F24/F26</f>
        <v>1.4387751591097361E-2</v>
      </c>
      <c r="G25" s="107"/>
      <c r="H25" s="106">
        <f>H24/H26</f>
        <v>2.6011210371180621E-2</v>
      </c>
      <c r="I25" s="107"/>
    </row>
    <row r="26" spans="1:21">
      <c r="A26" s="76" t="s">
        <v>1543</v>
      </c>
      <c r="B26" s="108">
        <f>B22+B24</f>
        <v>7950135012</v>
      </c>
      <c r="C26" s="109"/>
      <c r="D26" s="112" t="s">
        <v>2</v>
      </c>
      <c r="E26" s="113"/>
      <c r="F26" s="108">
        <f>F22+F24</f>
        <v>294414730</v>
      </c>
      <c r="G26" s="109"/>
      <c r="H26" s="108">
        <f>H22+H24</f>
        <v>424027173</v>
      </c>
      <c r="I26" s="109"/>
    </row>
    <row r="27" spans="1:21" ht="24">
      <c r="A27" s="82" t="s">
        <v>1548</v>
      </c>
      <c r="B27" s="42" t="s">
        <v>1693</v>
      </c>
      <c r="C27" s="42" t="s">
        <v>1689</v>
      </c>
      <c r="D27" s="78" t="s">
        <v>1693</v>
      </c>
      <c r="E27" s="78" t="s">
        <v>1689</v>
      </c>
      <c r="F27" s="42" t="s">
        <v>1693</v>
      </c>
      <c r="G27" s="42" t="s">
        <v>1689</v>
      </c>
      <c r="H27" s="42" t="s">
        <v>1693</v>
      </c>
      <c r="I27" s="42" t="s">
        <v>1689</v>
      </c>
      <c r="K27" t="s">
        <v>1547</v>
      </c>
    </row>
    <row r="28" spans="1:21">
      <c r="A28" s="76" t="s">
        <v>1682</v>
      </c>
      <c r="B28" s="45">
        <f t="shared" ref="B28:I28" si="1">B9/B14</f>
        <v>3.5990673792211235E-2</v>
      </c>
      <c r="C28" s="45">
        <f t="shared" si="1"/>
        <v>7.3443870609486858E-2</v>
      </c>
      <c r="D28" s="83">
        <f>D9/D$14</f>
        <v>5.6445739257101238E-2</v>
      </c>
      <c r="E28" s="83">
        <f>C28</f>
        <v>7.3443870609486858E-2</v>
      </c>
      <c r="F28" s="45">
        <f t="shared" si="1"/>
        <v>8.6636491428435478E-2</v>
      </c>
      <c r="G28" s="45">
        <f t="shared" si="1"/>
        <v>7.5741165061287086E-2</v>
      </c>
      <c r="H28" s="45">
        <f t="shared" si="1"/>
        <v>8.542126479039365E-2</v>
      </c>
      <c r="I28" s="45">
        <f t="shared" si="1"/>
        <v>9.2938094884065056E-2</v>
      </c>
      <c r="L28" s="26" t="s">
        <v>1549</v>
      </c>
      <c r="M28" s="26" t="s">
        <v>1681</v>
      </c>
      <c r="N28" s="26" t="s">
        <v>1684</v>
      </c>
      <c r="O28" s="26" t="s">
        <v>1550</v>
      </c>
      <c r="P28" s="26" t="s">
        <v>1695</v>
      </c>
    </row>
    <row r="29" spans="1:21">
      <c r="A29" s="76" t="s">
        <v>1681</v>
      </c>
      <c r="B29" s="45">
        <f t="shared" ref="B29:I29" si="2">B10/B14</f>
        <v>0.3276291716673394</v>
      </c>
      <c r="C29" s="45">
        <f t="shared" si="2"/>
        <v>0.75941284843785728</v>
      </c>
      <c r="D29" s="83">
        <f>D10/D$14</f>
        <v>0.48148822529740226</v>
      </c>
      <c r="E29" s="83">
        <f>C29</f>
        <v>0.75941284843785728</v>
      </c>
      <c r="F29" s="45">
        <f t="shared" si="2"/>
        <v>0.72237129316602922</v>
      </c>
      <c r="G29" s="45">
        <f t="shared" si="2"/>
        <v>0.82536450953572338</v>
      </c>
      <c r="H29" s="45">
        <f t="shared" si="2"/>
        <v>0.6958340953331138</v>
      </c>
      <c r="I29" s="45">
        <f t="shared" si="2"/>
        <v>0.73465418977900998</v>
      </c>
      <c r="K29" t="s">
        <v>1551</v>
      </c>
      <c r="L29" s="23">
        <f>B9</f>
        <v>530.55654555488434</v>
      </c>
      <c r="M29" s="23">
        <f>B10</f>
        <v>4829.7456876300421</v>
      </c>
      <c r="N29" s="23">
        <f>B11</f>
        <v>9243.5017674564297</v>
      </c>
      <c r="O29" s="23">
        <f>B12</f>
        <v>0</v>
      </c>
      <c r="P29" s="23">
        <f>B13</f>
        <v>137.69677308693349</v>
      </c>
      <c r="U29" s="40"/>
    </row>
    <row r="30" spans="1:21">
      <c r="A30" s="76" t="s">
        <v>1684</v>
      </c>
      <c r="B30" s="45">
        <f t="shared" ref="B30:I30" si="3">B11/B14</f>
        <v>0.62703939777487427</v>
      </c>
      <c r="C30" s="45">
        <f t="shared" si="3"/>
        <v>9.0406645946995903E-3</v>
      </c>
      <c r="D30" s="83">
        <f>D11/D$14</f>
        <v>0.45138383102694829</v>
      </c>
      <c r="E30" s="83">
        <f>C30</f>
        <v>9.0406645946995903E-3</v>
      </c>
      <c r="F30" s="45">
        <f t="shared" si="3"/>
        <v>0.18606301941516301</v>
      </c>
      <c r="G30" s="45">
        <f t="shared" si="3"/>
        <v>4.9643930097644793E-3</v>
      </c>
      <c r="H30" s="45">
        <f t="shared" si="3"/>
        <v>0.20399534754808679</v>
      </c>
      <c r="I30" s="45">
        <f t="shared" si="3"/>
        <v>0</v>
      </c>
      <c r="K30" t="s">
        <v>1552</v>
      </c>
      <c r="L30" s="23">
        <f>C9</f>
        <v>927.67725947521865</v>
      </c>
      <c r="M30" s="23">
        <f>C10</f>
        <v>9592.2236151603502</v>
      </c>
      <c r="N30" s="23">
        <f>C11</f>
        <v>114.19358600583091</v>
      </c>
      <c r="O30" s="23">
        <f>C12</f>
        <v>0</v>
      </c>
      <c r="P30" s="23">
        <f>C13</f>
        <v>1997.0107871720118</v>
      </c>
      <c r="U30" s="40"/>
    </row>
    <row r="31" spans="1:21">
      <c r="A31" s="76" t="s">
        <v>1694</v>
      </c>
      <c r="B31" s="45"/>
      <c r="C31" s="45"/>
      <c r="D31" s="83"/>
      <c r="E31" s="83"/>
      <c r="F31" s="45"/>
      <c r="G31" s="45"/>
      <c r="H31" s="45"/>
      <c r="I31" s="45"/>
      <c r="K31" t="s">
        <v>4</v>
      </c>
      <c r="L31" s="23">
        <f>D9</f>
        <v>930</v>
      </c>
      <c r="M31" s="23">
        <f>D10</f>
        <v>7933</v>
      </c>
      <c r="N31" s="23">
        <f>D11</f>
        <v>7437</v>
      </c>
      <c r="O31" s="23">
        <f>D12</f>
        <v>0</v>
      </c>
      <c r="P31" s="23">
        <f>D13</f>
        <v>177</v>
      </c>
      <c r="U31" s="40"/>
    </row>
    <row r="32" spans="1:21">
      <c r="A32" s="39" t="s">
        <v>1695</v>
      </c>
      <c r="B32" s="45">
        <f t="shared" ref="B32:I32" si="4">B13/B14</f>
        <v>9.340756765575128E-3</v>
      </c>
      <c r="C32" s="45">
        <f t="shared" si="4"/>
        <v>0.15810261635795625</v>
      </c>
      <c r="D32" s="83">
        <f>D13/D$14</f>
        <v>1.0742898761835398E-2</v>
      </c>
      <c r="E32" s="83">
        <f>C32</f>
        <v>0.15810261635795625</v>
      </c>
      <c r="F32" s="45">
        <f t="shared" si="4"/>
        <v>4.9291959903723344E-3</v>
      </c>
      <c r="G32" s="45">
        <f t="shared" si="4"/>
        <v>9.3929932393225071E-2</v>
      </c>
      <c r="H32" s="45">
        <f t="shared" si="4"/>
        <v>1.4749292328405703E-2</v>
      </c>
      <c r="I32" s="45">
        <f t="shared" si="4"/>
        <v>0.17240771533692492</v>
      </c>
      <c r="K32" s="48" t="s">
        <v>1556</v>
      </c>
      <c r="L32" s="23">
        <f>F9</f>
        <v>1215.5531379943914</v>
      </c>
      <c r="M32" s="23">
        <f>F10</f>
        <v>10135.229136447153</v>
      </c>
      <c r="N32" s="23">
        <f>F11</f>
        <v>2610.5568610385844</v>
      </c>
      <c r="O32" s="23">
        <f>F12</f>
        <v>0</v>
      </c>
      <c r="P32" s="23">
        <f>F13</f>
        <v>69.15907552461077</v>
      </c>
      <c r="U32" s="40"/>
    </row>
    <row r="33" spans="1:21">
      <c r="A33" s="72" t="s">
        <v>1553</v>
      </c>
      <c r="B33" s="73"/>
      <c r="C33" s="73"/>
      <c r="D33" s="74"/>
      <c r="E33" s="74"/>
      <c r="F33" s="73"/>
      <c r="G33" s="73"/>
      <c r="H33" s="73"/>
      <c r="I33" s="75"/>
      <c r="K33" s="48" t="s">
        <v>1557</v>
      </c>
      <c r="L33" s="23">
        <f>G9</f>
        <v>751.3747072599532</v>
      </c>
      <c r="M33" s="23">
        <f>G10</f>
        <v>8187.8594847775175</v>
      </c>
      <c r="N33" s="23">
        <f>G11</f>
        <v>49.248243559718972</v>
      </c>
      <c r="O33" s="23">
        <f>G12</f>
        <v>0</v>
      </c>
      <c r="P33" s="23">
        <f>G13</f>
        <v>931.81264637002346</v>
      </c>
      <c r="U33" s="40"/>
    </row>
    <row r="34" spans="1:21">
      <c r="A34" s="84"/>
      <c r="B34" s="104" t="s">
        <v>3</v>
      </c>
      <c r="C34" s="105"/>
      <c r="D34" s="110"/>
      <c r="E34" s="111"/>
      <c r="F34" s="104" t="s">
        <v>384</v>
      </c>
      <c r="G34" s="105"/>
      <c r="H34" s="104" t="s">
        <v>385</v>
      </c>
      <c r="I34" s="105"/>
      <c r="K34" s="48" t="s">
        <v>1558</v>
      </c>
      <c r="L34" s="23">
        <f>H9</f>
        <v>1892.8418821761991</v>
      </c>
      <c r="M34" s="23">
        <f>H10</f>
        <v>15418.923167721858</v>
      </c>
      <c r="N34" s="23">
        <f>H11</f>
        <v>4520.3139821869299</v>
      </c>
      <c r="O34" s="23">
        <f>H12</f>
        <v>0</v>
      </c>
      <c r="P34" s="23">
        <f>H13</f>
        <v>326.82820045069212</v>
      </c>
      <c r="U34" s="40"/>
    </row>
    <row r="35" spans="1:21">
      <c r="B35" s="46">
        <f>B6*B16</f>
        <v>1131940185.8618071</v>
      </c>
      <c r="C35" s="47"/>
      <c r="D35" s="47"/>
      <c r="E35" s="47"/>
      <c r="F35" s="46">
        <f>F6*F16</f>
        <v>85007221.114754096</v>
      </c>
      <c r="G35" s="47"/>
      <c r="H35" s="46">
        <f>H6*H16</f>
        <v>187842099.11171961</v>
      </c>
      <c r="K35" s="48" t="s">
        <v>1559</v>
      </c>
      <c r="L35" s="23">
        <f>I9</f>
        <v>1122.7349397590363</v>
      </c>
      <c r="M35" s="23">
        <f>I10</f>
        <v>8874.9605695509308</v>
      </c>
      <c r="N35" s="23">
        <f>I11</f>
        <v>0</v>
      </c>
      <c r="O35" s="23">
        <f>I12</f>
        <v>0</v>
      </c>
      <c r="P35" s="23">
        <f>I13</f>
        <v>2082.7645125958379</v>
      </c>
    </row>
    <row r="36" spans="1:21">
      <c r="A36" t="s">
        <v>453</v>
      </c>
      <c r="L36" s="23"/>
      <c r="M36" s="23"/>
      <c r="N36" s="23"/>
      <c r="O36" s="23"/>
      <c r="P36" s="23"/>
    </row>
    <row r="37" spans="1:21">
      <c r="A37" t="s">
        <v>454</v>
      </c>
      <c r="L37" s="23"/>
      <c r="M37" s="23"/>
      <c r="N37" s="23"/>
      <c r="O37" s="23"/>
      <c r="P37" s="23"/>
    </row>
    <row r="38" spans="1:21">
      <c r="A38" t="s">
        <v>455</v>
      </c>
    </row>
    <row r="39" spans="1:21">
      <c r="A39" t="s">
        <v>456</v>
      </c>
    </row>
    <row r="40" spans="1:21">
      <c r="A40" t="s">
        <v>457</v>
      </c>
    </row>
    <row r="42" spans="1:21">
      <c r="A42" t="s">
        <v>458</v>
      </c>
    </row>
    <row r="43" spans="1:21">
      <c r="A43" t="s">
        <v>459</v>
      </c>
    </row>
    <row r="45" spans="1:21">
      <c r="A45" t="s">
        <v>460</v>
      </c>
    </row>
    <row r="46" spans="1:21">
      <c r="A46" t="s">
        <v>461</v>
      </c>
    </row>
    <row r="47" spans="1:21">
      <c r="A47" t="s">
        <v>462</v>
      </c>
    </row>
    <row r="49" spans="1:3">
      <c r="A49" t="s">
        <v>359</v>
      </c>
    </row>
    <row r="50" spans="1:3">
      <c r="A50">
        <v>241</v>
      </c>
      <c r="B50" t="s">
        <v>467</v>
      </c>
      <c r="C50">
        <v>2548</v>
      </c>
    </row>
    <row r="51" spans="1:3">
      <c r="A51">
        <v>242</v>
      </c>
      <c r="B51" t="s">
        <v>468</v>
      </c>
      <c r="C51">
        <v>26</v>
      </c>
    </row>
    <row r="52" spans="1:3">
      <c r="A52">
        <v>243</v>
      </c>
      <c r="B52" t="s">
        <v>469</v>
      </c>
      <c r="C52">
        <v>560</v>
      </c>
    </row>
    <row r="53" spans="1:3">
      <c r="A53">
        <v>244</v>
      </c>
      <c r="B53" t="s">
        <v>470</v>
      </c>
      <c r="C53">
        <v>2054</v>
      </c>
    </row>
    <row r="54" spans="1:3">
      <c r="A54">
        <v>245</v>
      </c>
      <c r="B54" t="s">
        <v>471</v>
      </c>
      <c r="C54">
        <v>747</v>
      </c>
    </row>
    <row r="55" spans="1:3">
      <c r="A55">
        <v>253</v>
      </c>
      <c r="B55" t="s">
        <v>472</v>
      </c>
      <c r="C55">
        <v>49</v>
      </c>
    </row>
    <row r="56" spans="1:3">
      <c r="A56">
        <v>336</v>
      </c>
      <c r="B56" t="s">
        <v>473</v>
      </c>
      <c r="C56">
        <v>948</v>
      </c>
    </row>
    <row r="57" spans="1:3">
      <c r="A57">
        <v>347</v>
      </c>
      <c r="B57" t="s">
        <v>474</v>
      </c>
      <c r="C57">
        <v>247</v>
      </c>
    </row>
    <row r="58" spans="1:3">
      <c r="A58">
        <v>900</v>
      </c>
      <c r="B58" t="s">
        <v>475</v>
      </c>
      <c r="C58">
        <v>10130</v>
      </c>
    </row>
    <row r="59" spans="1:3">
      <c r="A59">
        <v>901</v>
      </c>
      <c r="B59" t="s">
        <v>476</v>
      </c>
      <c r="C59">
        <v>2489</v>
      </c>
    </row>
    <row r="60" spans="1:3">
      <c r="A60">
        <v>902</v>
      </c>
      <c r="B60" t="s">
        <v>477</v>
      </c>
      <c r="C60">
        <v>465</v>
      </c>
    </row>
    <row r="61" spans="1:3">
      <c r="A61">
        <v>903</v>
      </c>
      <c r="B61" t="s">
        <v>478</v>
      </c>
      <c r="C61">
        <v>1146</v>
      </c>
    </row>
    <row r="62" spans="1:3">
      <c r="A62" t="s">
        <v>360</v>
      </c>
    </row>
    <row r="64" spans="1:3">
      <c r="A64" t="s">
        <v>368</v>
      </c>
    </row>
    <row r="65" spans="1:1">
      <c r="A65" t="s">
        <v>369</v>
      </c>
    </row>
    <row r="66" spans="1:1">
      <c r="A66" t="s">
        <v>370</v>
      </c>
    </row>
    <row r="67" spans="1:1">
      <c r="A67" t="s">
        <v>371</v>
      </c>
    </row>
    <row r="68" spans="1:1">
      <c r="A68" t="s">
        <v>372</v>
      </c>
    </row>
    <row r="69" spans="1:1">
      <c r="A69" t="s">
        <v>377</v>
      </c>
    </row>
    <row r="70" spans="1:1">
      <c r="A70" t="s">
        <v>378</v>
      </c>
    </row>
    <row r="71" spans="1:1">
      <c r="A71" t="s">
        <v>379</v>
      </c>
    </row>
    <row r="73" spans="1:1">
      <c r="A73" t="s">
        <v>373</v>
      </c>
    </row>
    <row r="75" spans="1:1">
      <c r="A75" t="s">
        <v>374</v>
      </c>
    </row>
    <row r="76" spans="1:1">
      <c r="A76" t="s">
        <v>375</v>
      </c>
    </row>
    <row r="77" spans="1:1">
      <c r="A77" t="s">
        <v>376</v>
      </c>
    </row>
  </sheetData>
  <mergeCells count="69">
    <mergeCell ref="B2:C2"/>
    <mergeCell ref="F2:G2"/>
    <mergeCell ref="H2:I2"/>
    <mergeCell ref="B4:C4"/>
    <mergeCell ref="F4:G4"/>
    <mergeCell ref="H4:I4"/>
    <mergeCell ref="D2:E2"/>
    <mergeCell ref="D4:E4"/>
    <mergeCell ref="B5:C5"/>
    <mergeCell ref="F5:G5"/>
    <mergeCell ref="H5:I5"/>
    <mergeCell ref="A6:A7"/>
    <mergeCell ref="B6:C6"/>
    <mergeCell ref="F6:G6"/>
    <mergeCell ref="H6:I6"/>
    <mergeCell ref="B7:C7"/>
    <mergeCell ref="F7:G7"/>
    <mergeCell ref="H7:I7"/>
    <mergeCell ref="D5:E5"/>
    <mergeCell ref="D6:E6"/>
    <mergeCell ref="D7:E7"/>
    <mergeCell ref="A16:A17"/>
    <mergeCell ref="B16:C16"/>
    <mergeCell ref="F16:G16"/>
    <mergeCell ref="H16:I16"/>
    <mergeCell ref="B17:C17"/>
    <mergeCell ref="F17:G17"/>
    <mergeCell ref="H17:I17"/>
    <mergeCell ref="D16:E16"/>
    <mergeCell ref="D17:E17"/>
    <mergeCell ref="A18:A19"/>
    <mergeCell ref="B18:C18"/>
    <mergeCell ref="F18:G18"/>
    <mergeCell ref="H18:I18"/>
    <mergeCell ref="B19:C19"/>
    <mergeCell ref="F19:G19"/>
    <mergeCell ref="H19:I19"/>
    <mergeCell ref="D18:E18"/>
    <mergeCell ref="D19:E19"/>
    <mergeCell ref="B20:C20"/>
    <mergeCell ref="F20:G20"/>
    <mergeCell ref="H20:I20"/>
    <mergeCell ref="B26:C26"/>
    <mergeCell ref="F26:G26"/>
    <mergeCell ref="D20:E20"/>
    <mergeCell ref="A22:A23"/>
    <mergeCell ref="B22:C22"/>
    <mergeCell ref="F22:G22"/>
    <mergeCell ref="H22:I22"/>
    <mergeCell ref="B23:C23"/>
    <mergeCell ref="F23:G23"/>
    <mergeCell ref="H23:I23"/>
    <mergeCell ref="D22:E22"/>
    <mergeCell ref="D23:E23"/>
    <mergeCell ref="A24:A25"/>
    <mergeCell ref="B24:C24"/>
    <mergeCell ref="F24:G24"/>
    <mergeCell ref="H24:I24"/>
    <mergeCell ref="B25:C25"/>
    <mergeCell ref="D24:E24"/>
    <mergeCell ref="B34:C34"/>
    <mergeCell ref="F34:G34"/>
    <mergeCell ref="H34:I34"/>
    <mergeCell ref="F25:G25"/>
    <mergeCell ref="H25:I25"/>
    <mergeCell ref="H26:I26"/>
    <mergeCell ref="D34:E34"/>
    <mergeCell ref="D25:E25"/>
    <mergeCell ref="D26:E26"/>
  </mergeCells>
  <phoneticPr fontId="10"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23"/>
  <sheetViews>
    <sheetView workbookViewId="0">
      <selection activeCell="C9" sqref="C9:C10"/>
    </sheetView>
  </sheetViews>
  <sheetFormatPr baseColWidth="10" defaultColWidth="8.83203125" defaultRowHeight="12"/>
  <cols>
    <col min="1" max="1" width="39.6640625" customWidth="1"/>
  </cols>
  <sheetData>
    <row r="1" spans="1:4">
      <c r="A1" t="s">
        <v>65</v>
      </c>
    </row>
    <row r="2" spans="1:4">
      <c r="A2" t="s">
        <v>66</v>
      </c>
    </row>
    <row r="3" spans="1:4">
      <c r="A3" s="24" t="s">
        <v>67</v>
      </c>
      <c r="B3" s="24" t="s">
        <v>68</v>
      </c>
      <c r="C3" s="24" t="s">
        <v>69</v>
      </c>
      <c r="D3" s="24" t="s">
        <v>70</v>
      </c>
    </row>
    <row r="4" spans="1:4" ht="24">
      <c r="A4" s="59" t="s">
        <v>71</v>
      </c>
      <c r="B4" s="24"/>
      <c r="C4" s="24"/>
      <c r="D4" s="24">
        <v>3</v>
      </c>
    </row>
    <row r="5" spans="1:4" ht="12.75" customHeight="1">
      <c r="A5" s="59" t="s">
        <v>72</v>
      </c>
      <c r="B5" s="24"/>
      <c r="C5" s="24"/>
      <c r="D5" s="24">
        <v>2</v>
      </c>
    </row>
    <row r="6" spans="1:4" ht="12.75" customHeight="1">
      <c r="A6" s="59" t="s">
        <v>73</v>
      </c>
      <c r="B6" s="24"/>
      <c r="C6" s="39" t="s">
        <v>42</v>
      </c>
      <c r="D6" s="24"/>
    </row>
    <row r="7" spans="1:4" ht="25.5" customHeight="1">
      <c r="A7" s="59" t="s">
        <v>74</v>
      </c>
      <c r="B7" s="39" t="s">
        <v>42</v>
      </c>
      <c r="C7" s="24"/>
      <c r="D7" s="24"/>
    </row>
    <row r="8" spans="1:4" ht="12.75" customHeight="1">
      <c r="A8" s="59" t="s">
        <v>75</v>
      </c>
      <c r="B8" s="39">
        <v>5</v>
      </c>
      <c r="C8" s="24"/>
      <c r="D8" s="24"/>
    </row>
    <row r="9" spans="1:4" ht="39.75" customHeight="1">
      <c r="A9" s="59" t="s">
        <v>76</v>
      </c>
      <c r="B9" s="24"/>
      <c r="C9" s="24" t="s">
        <v>42</v>
      </c>
      <c r="D9" s="24"/>
    </row>
    <row r="10" spans="1:4" ht="24">
      <c r="A10" s="59" t="s">
        <v>77</v>
      </c>
      <c r="B10" s="24"/>
      <c r="C10" s="24" t="s">
        <v>42</v>
      </c>
      <c r="D10" s="24"/>
    </row>
    <row r="11" spans="1:4" ht="25.5" customHeight="1">
      <c r="A11" s="59" t="s">
        <v>78</v>
      </c>
      <c r="B11" s="39" t="s">
        <v>42</v>
      </c>
      <c r="C11" s="24"/>
      <c r="D11" s="24"/>
    </row>
    <row r="12" spans="1:4">
      <c r="A12" s="59" t="s">
        <v>79</v>
      </c>
      <c r="B12" s="24"/>
      <c r="C12" s="39" t="s">
        <v>42</v>
      </c>
      <c r="D12" s="24"/>
    </row>
    <row r="13" spans="1:4" ht="12.75" customHeight="1">
      <c r="A13" s="59" t="s">
        <v>80</v>
      </c>
      <c r="B13" s="24">
        <v>1</v>
      </c>
      <c r="C13" s="24"/>
      <c r="D13" s="24"/>
    </row>
    <row r="14" spans="1:4" ht="24">
      <c r="A14" s="59" t="s">
        <v>81</v>
      </c>
      <c r="B14" s="24"/>
      <c r="C14" s="39" t="s">
        <v>42</v>
      </c>
      <c r="D14" s="24"/>
    </row>
    <row r="15" spans="1:4" ht="24">
      <c r="A15" s="69" t="s">
        <v>19</v>
      </c>
      <c r="B15" s="24">
        <v>4</v>
      </c>
      <c r="C15" s="24"/>
      <c r="D15" s="24"/>
    </row>
    <row r="16" spans="1:4" ht="12.75" customHeight="1">
      <c r="A16" s="59" t="s">
        <v>82</v>
      </c>
      <c r="B16" s="39" t="s">
        <v>42</v>
      </c>
      <c r="C16" s="24"/>
      <c r="D16" s="24"/>
    </row>
    <row r="18" spans="1:1" ht="13">
      <c r="A18" s="66" t="s">
        <v>41</v>
      </c>
    </row>
    <row r="19" spans="1:1" ht="36">
      <c r="A19" s="67" t="s">
        <v>43</v>
      </c>
    </row>
    <row r="20" spans="1:1">
      <c r="A20" s="48" t="s">
        <v>18</v>
      </c>
    </row>
    <row r="21" spans="1:1">
      <c r="A21" s="48" t="s">
        <v>20</v>
      </c>
    </row>
    <row r="22" spans="1:1">
      <c r="A22" s="48" t="s">
        <v>21</v>
      </c>
    </row>
    <row r="23" spans="1:1">
      <c r="A23" s="48"/>
    </row>
  </sheetData>
  <sheetCalcPr fullCalcOnLoad="1"/>
  <phoneticPr fontId="10" type="noConversion"/>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9"/>
  <sheetViews>
    <sheetView workbookViewId="0">
      <selection activeCell="I34" sqref="I34"/>
    </sheetView>
  </sheetViews>
  <sheetFormatPr baseColWidth="10" defaultColWidth="8.83203125" defaultRowHeight="12"/>
  <cols>
    <col min="1" max="1" width="11" customWidth="1"/>
    <col min="2" max="2" width="19.6640625" customWidth="1"/>
  </cols>
  <sheetData>
    <row r="2" spans="1:4" ht="24">
      <c r="A2" s="60"/>
      <c r="B2" s="61"/>
      <c r="C2" s="59" t="s">
        <v>1551</v>
      </c>
      <c r="D2" s="59" t="s">
        <v>1552</v>
      </c>
    </row>
    <row r="3" spans="1:4" ht="38.25" customHeight="1">
      <c r="A3" s="134" t="s">
        <v>83</v>
      </c>
      <c r="B3" s="134"/>
      <c r="C3" s="65">
        <v>0.27100000000000002</v>
      </c>
      <c r="D3" s="65">
        <v>0.59399999999999997</v>
      </c>
    </row>
    <row r="4" spans="1:4" ht="25.5" customHeight="1">
      <c r="A4" s="134" t="s">
        <v>84</v>
      </c>
      <c r="B4" s="134"/>
      <c r="C4" s="40">
        <v>0.40699999999999997</v>
      </c>
      <c r="D4" s="40">
        <v>0.875</v>
      </c>
    </row>
    <row r="5" spans="1:4" ht="25.5" customHeight="1">
      <c r="A5" s="134" t="s">
        <v>85</v>
      </c>
      <c r="B5" s="134"/>
      <c r="C5" s="40"/>
      <c r="D5" s="40"/>
    </row>
    <row r="6" spans="1:4">
      <c r="A6" s="24"/>
      <c r="B6" s="24" t="s">
        <v>86</v>
      </c>
      <c r="C6" s="40">
        <v>0.47899999999999998</v>
      </c>
      <c r="D6" s="40">
        <v>0.51600000000000001</v>
      </c>
    </row>
    <row r="7" spans="1:4">
      <c r="A7" s="24"/>
      <c r="B7" s="24" t="s">
        <v>87</v>
      </c>
      <c r="C7" s="40">
        <v>0.20699999999999999</v>
      </c>
      <c r="D7" s="40">
        <v>0.316</v>
      </c>
    </row>
    <row r="8" spans="1:4">
      <c r="A8" s="24"/>
      <c r="B8" s="24" t="s">
        <v>88</v>
      </c>
      <c r="C8" s="40">
        <v>0.307</v>
      </c>
      <c r="D8" s="40">
        <v>0.16800000000000001</v>
      </c>
    </row>
    <row r="9" spans="1:4">
      <c r="A9" s="24"/>
      <c r="B9" s="24" t="s">
        <v>89</v>
      </c>
      <c r="C9" s="40">
        <v>8.0000000000000002E-3</v>
      </c>
      <c r="D9" s="40">
        <v>0</v>
      </c>
    </row>
  </sheetData>
  <sheetCalcPr fullCalcOnLoad="1"/>
  <mergeCells count="3">
    <mergeCell ref="A3:B3"/>
    <mergeCell ref="A4:B4"/>
    <mergeCell ref="A5:B5"/>
  </mergeCells>
  <phoneticPr fontId="10" type="noConversion"/>
  <pageMargins left="0.7" right="0.7" top="0.75" bottom="0.75" header="0.3" footer="0.3"/>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20"/>
  <sheetViews>
    <sheetView workbookViewId="0">
      <selection sqref="A1:C15"/>
    </sheetView>
  </sheetViews>
  <sheetFormatPr baseColWidth="10" defaultColWidth="8.83203125" defaultRowHeight="12"/>
  <cols>
    <col min="1" max="1" width="5.5" customWidth="1"/>
    <col min="2" max="2" width="46.1640625" customWidth="1"/>
    <col min="3" max="3" width="10.5" customWidth="1"/>
    <col min="7" max="7" width="3.5" customWidth="1"/>
  </cols>
  <sheetData>
    <row r="1" spans="1:8">
      <c r="A1" s="48" t="s">
        <v>22</v>
      </c>
    </row>
    <row r="2" spans="1:8">
      <c r="A2" s="20"/>
      <c r="B2" s="62" t="s">
        <v>90</v>
      </c>
      <c r="C2" s="70" t="s">
        <v>23</v>
      </c>
      <c r="E2" t="s">
        <v>91</v>
      </c>
    </row>
    <row r="3" spans="1:8" ht="24">
      <c r="A3" s="138" t="s">
        <v>92</v>
      </c>
      <c r="B3" s="59" t="s">
        <v>93</v>
      </c>
      <c r="C3" s="63" t="s">
        <v>94</v>
      </c>
      <c r="E3" s="63" t="s">
        <v>94</v>
      </c>
    </row>
    <row r="4" spans="1:8" ht="24">
      <c r="A4" s="139"/>
      <c r="B4" s="69" t="s">
        <v>24</v>
      </c>
      <c r="C4" s="71" t="s">
        <v>16</v>
      </c>
      <c r="E4" s="64" t="s">
        <v>95</v>
      </c>
    </row>
    <row r="5" spans="1:8" ht="24">
      <c r="A5" s="135" t="s">
        <v>97</v>
      </c>
      <c r="B5" s="25" t="s">
        <v>98</v>
      </c>
      <c r="C5" s="63" t="s">
        <v>94</v>
      </c>
      <c r="E5" s="54" t="s">
        <v>96</v>
      </c>
    </row>
    <row r="6" spans="1:8" ht="24">
      <c r="A6" s="137"/>
      <c r="B6" s="57" t="s">
        <v>25</v>
      </c>
      <c r="C6" s="71" t="s">
        <v>16</v>
      </c>
    </row>
    <row r="7" spans="1:8" ht="25.5" customHeight="1">
      <c r="A7" s="138" t="s">
        <v>99</v>
      </c>
      <c r="B7" s="59" t="s">
        <v>27</v>
      </c>
      <c r="C7" s="42" t="s">
        <v>14</v>
      </c>
    </row>
    <row r="8" spans="1:8" ht="24">
      <c r="A8" s="139"/>
      <c r="B8" s="69" t="s">
        <v>26</v>
      </c>
      <c r="C8" s="54" t="s">
        <v>17</v>
      </c>
    </row>
    <row r="9" spans="1:8" ht="25.5" customHeight="1">
      <c r="A9" s="135" t="s">
        <v>28</v>
      </c>
      <c r="B9" s="25" t="s">
        <v>29</v>
      </c>
      <c r="C9" s="63" t="s">
        <v>44</v>
      </c>
    </row>
    <row r="10" spans="1:8" ht="24">
      <c r="A10" s="137"/>
      <c r="B10" s="57" t="s">
        <v>0</v>
      </c>
      <c r="C10" s="68" t="s">
        <v>13</v>
      </c>
    </row>
    <row r="11" spans="1:8" ht="38.25" customHeight="1">
      <c r="A11" s="138" t="s">
        <v>30</v>
      </c>
      <c r="B11" s="59" t="s">
        <v>31</v>
      </c>
      <c r="C11" s="63" t="s">
        <v>94</v>
      </c>
    </row>
    <row r="12" spans="1:8" ht="36">
      <c r="A12" s="139"/>
      <c r="B12" s="59" t="s">
        <v>32</v>
      </c>
      <c r="C12" s="63" t="s">
        <v>94</v>
      </c>
    </row>
    <row r="13" spans="1:8" ht="25.5" customHeight="1">
      <c r="A13" s="135" t="s">
        <v>33</v>
      </c>
      <c r="B13" s="25" t="s">
        <v>34</v>
      </c>
      <c r="C13" s="63" t="s">
        <v>94</v>
      </c>
    </row>
    <row r="14" spans="1:8">
      <c r="A14" s="136"/>
      <c r="B14" s="25" t="s">
        <v>35</v>
      </c>
      <c r="C14" s="63" t="s">
        <v>36</v>
      </c>
      <c r="E14" s="63" t="s">
        <v>36</v>
      </c>
      <c r="F14" s="64" t="s">
        <v>37</v>
      </c>
      <c r="H14" t="s">
        <v>38</v>
      </c>
    </row>
    <row r="15" spans="1:8" ht="24">
      <c r="A15" s="137"/>
      <c r="B15" s="25" t="s">
        <v>39</v>
      </c>
      <c r="C15" s="54" t="s">
        <v>96</v>
      </c>
    </row>
    <row r="17" spans="1:1">
      <c r="A17" t="s">
        <v>40</v>
      </c>
    </row>
    <row r="19" spans="1:1">
      <c r="A19" s="48" t="s">
        <v>12</v>
      </c>
    </row>
    <row r="20" spans="1:1">
      <c r="A20" s="48" t="s">
        <v>15</v>
      </c>
    </row>
  </sheetData>
  <sheetCalcPr fullCalcOnLoad="1"/>
  <mergeCells count="6">
    <mergeCell ref="A13:A15"/>
    <mergeCell ref="A3:A4"/>
    <mergeCell ref="A5:A6"/>
    <mergeCell ref="A7:A8"/>
    <mergeCell ref="A9:A10"/>
    <mergeCell ref="A11:A12"/>
  </mergeCells>
  <phoneticPr fontId="10" type="noConversion"/>
  <pageMargins left="0.7" right="0.7" top="0.75" bottom="0.75" header="0.3" footer="0.3"/>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47"/>
  <sheetViews>
    <sheetView workbookViewId="0">
      <selection activeCell="J1" sqref="J1"/>
    </sheetView>
  </sheetViews>
  <sheetFormatPr baseColWidth="10" defaultColWidth="8.83203125" defaultRowHeight="12"/>
  <cols>
    <col min="2" max="3" width="18.6640625" customWidth="1"/>
    <col min="5" max="5" width="10.33203125" customWidth="1"/>
    <col min="9" max="9" width="10.1640625" bestFit="1" customWidth="1"/>
  </cols>
  <sheetData>
    <row r="1" spans="1:12">
      <c r="D1" t="s">
        <v>1543</v>
      </c>
      <c r="E1" t="s">
        <v>1560</v>
      </c>
      <c r="F1" t="s">
        <v>1682</v>
      </c>
      <c r="G1" t="s">
        <v>1683</v>
      </c>
      <c r="H1" t="s">
        <v>1684</v>
      </c>
    </row>
    <row r="2" spans="1:12">
      <c r="A2">
        <v>261</v>
      </c>
      <c r="B2" t="s">
        <v>1646</v>
      </c>
      <c r="C2">
        <v>325</v>
      </c>
      <c r="D2" s="3">
        <v>3144658</v>
      </c>
      <c r="E2" s="12">
        <v>2586513</v>
      </c>
      <c r="F2" s="6">
        <v>421008</v>
      </c>
      <c r="G2" s="35">
        <v>137137</v>
      </c>
      <c r="H2" s="16">
        <v>0</v>
      </c>
      <c r="I2">
        <v>0</v>
      </c>
      <c r="J2">
        <v>13.4</v>
      </c>
      <c r="K2">
        <v>82.3</v>
      </c>
      <c r="L2">
        <v>4.4000000000000004</v>
      </c>
    </row>
    <row r="3" spans="1:12">
      <c r="A3">
        <v>263</v>
      </c>
      <c r="B3" t="s">
        <v>1647</v>
      </c>
      <c r="C3">
        <v>174</v>
      </c>
      <c r="D3" s="3">
        <v>1518146</v>
      </c>
      <c r="E3" s="12">
        <v>1458903</v>
      </c>
      <c r="F3" s="6">
        <v>8318</v>
      </c>
      <c r="G3" s="35">
        <v>50925</v>
      </c>
      <c r="H3" s="16">
        <v>0</v>
      </c>
      <c r="I3">
        <v>0</v>
      </c>
      <c r="J3">
        <v>0.5</v>
      </c>
      <c r="K3">
        <v>96.1</v>
      </c>
      <c r="L3">
        <v>3.4</v>
      </c>
    </row>
    <row r="4" spans="1:12">
      <c r="A4">
        <v>264</v>
      </c>
      <c r="B4" t="s">
        <v>1648</v>
      </c>
      <c r="C4">
        <v>286</v>
      </c>
      <c r="D4" s="3">
        <v>4717938</v>
      </c>
      <c r="E4" s="12">
        <v>3927235</v>
      </c>
      <c r="F4" s="6">
        <v>347229</v>
      </c>
      <c r="G4" s="35">
        <v>286625</v>
      </c>
      <c r="H4" s="16">
        <v>156849</v>
      </c>
      <c r="I4">
        <v>3.3</v>
      </c>
      <c r="J4">
        <v>7.4</v>
      </c>
      <c r="K4">
        <v>83.2</v>
      </c>
      <c r="L4">
        <v>6.1</v>
      </c>
    </row>
    <row r="5" spans="1:12">
      <c r="A5">
        <v>265</v>
      </c>
      <c r="B5" t="s">
        <v>1649</v>
      </c>
      <c r="C5">
        <v>181</v>
      </c>
      <c r="D5" s="3">
        <v>2770130</v>
      </c>
      <c r="E5" s="12">
        <v>2424709</v>
      </c>
      <c r="F5" s="6">
        <v>30889</v>
      </c>
      <c r="G5" s="35">
        <v>314532</v>
      </c>
      <c r="H5" s="16">
        <v>0</v>
      </c>
      <c r="I5">
        <v>0</v>
      </c>
      <c r="J5">
        <v>1.1000000000000001</v>
      </c>
      <c r="K5">
        <v>87.5</v>
      </c>
      <c r="L5">
        <v>11.4</v>
      </c>
    </row>
    <row r="6" spans="1:12" s="9" customFormat="1">
      <c r="A6" s="9">
        <v>268</v>
      </c>
      <c r="B6" s="9" t="s">
        <v>1650</v>
      </c>
      <c r="C6" s="9">
        <v>145</v>
      </c>
      <c r="D6" s="10">
        <v>1639114</v>
      </c>
      <c r="E6" s="12">
        <v>1368771</v>
      </c>
      <c r="F6" s="6">
        <v>199017</v>
      </c>
      <c r="G6" s="35">
        <v>71326</v>
      </c>
      <c r="H6" s="16">
        <v>0</v>
      </c>
      <c r="I6" s="9">
        <v>0</v>
      </c>
      <c r="J6" s="9">
        <v>12.1</v>
      </c>
      <c r="K6" s="9">
        <v>83.5</v>
      </c>
      <c r="L6" s="9">
        <v>4.4000000000000004</v>
      </c>
    </row>
    <row r="7" spans="1:12" s="7" customFormat="1">
      <c r="A7" s="7">
        <v>269</v>
      </c>
      <c r="B7" s="7" t="s">
        <v>1651</v>
      </c>
      <c r="C7" s="7">
        <v>251</v>
      </c>
      <c r="D7" s="8">
        <v>2722601</v>
      </c>
      <c r="E7" s="12">
        <v>2179390</v>
      </c>
      <c r="F7" s="6">
        <v>137046</v>
      </c>
      <c r="G7" s="35">
        <v>385136</v>
      </c>
      <c r="H7" s="16">
        <v>21029</v>
      </c>
      <c r="I7" s="7">
        <v>0.8</v>
      </c>
      <c r="J7" s="7">
        <v>5</v>
      </c>
      <c r="K7" s="7">
        <v>80</v>
      </c>
      <c r="L7" s="7">
        <v>14.1</v>
      </c>
    </row>
    <row r="8" spans="1:12">
      <c r="A8">
        <v>270</v>
      </c>
      <c r="B8" t="s">
        <v>1652</v>
      </c>
      <c r="C8">
        <v>200</v>
      </c>
      <c r="D8" s="3">
        <v>2301792</v>
      </c>
      <c r="E8" s="12">
        <v>2133591</v>
      </c>
      <c r="F8" s="6">
        <v>40014</v>
      </c>
      <c r="G8" s="35">
        <v>128187</v>
      </c>
      <c r="H8" s="16">
        <v>0</v>
      </c>
      <c r="I8">
        <v>0</v>
      </c>
      <c r="J8">
        <v>1.7</v>
      </c>
      <c r="K8">
        <v>92.7</v>
      </c>
      <c r="L8">
        <v>5.6</v>
      </c>
    </row>
    <row r="9" spans="1:12">
      <c r="A9">
        <v>272</v>
      </c>
      <c r="B9" t="s">
        <v>1653</v>
      </c>
      <c r="C9">
        <v>83</v>
      </c>
      <c r="D9" s="3">
        <v>968965</v>
      </c>
      <c r="E9" s="12">
        <v>863374</v>
      </c>
      <c r="F9" s="6">
        <v>34922</v>
      </c>
      <c r="G9" s="35">
        <v>70669</v>
      </c>
      <c r="H9" s="16">
        <v>0</v>
      </c>
      <c r="I9">
        <v>0</v>
      </c>
      <c r="J9">
        <v>3.6</v>
      </c>
      <c r="K9">
        <v>89.1</v>
      </c>
      <c r="L9">
        <v>7.3</v>
      </c>
    </row>
    <row r="10" spans="1:12">
      <c r="A10">
        <v>277</v>
      </c>
      <c r="B10" t="s">
        <v>1654</v>
      </c>
      <c r="C10">
        <v>217</v>
      </c>
      <c r="D10" s="3">
        <v>3107075</v>
      </c>
      <c r="E10" s="12">
        <v>2421139</v>
      </c>
      <c r="F10" s="6">
        <v>197545</v>
      </c>
      <c r="G10" s="35">
        <v>313817</v>
      </c>
      <c r="H10" s="16">
        <v>174574</v>
      </c>
      <c r="I10">
        <v>5.6</v>
      </c>
      <c r="J10">
        <v>6.4</v>
      </c>
      <c r="K10">
        <v>77.900000000000006</v>
      </c>
      <c r="L10">
        <v>10.1</v>
      </c>
    </row>
    <row r="11" spans="1:12">
      <c r="A11">
        <v>278</v>
      </c>
      <c r="B11" t="s">
        <v>1655</v>
      </c>
      <c r="C11">
        <v>150</v>
      </c>
      <c r="D11" s="3">
        <v>2735867</v>
      </c>
      <c r="E11" s="12">
        <v>1215701</v>
      </c>
      <c r="F11" s="6">
        <v>108019</v>
      </c>
      <c r="G11" s="35">
        <v>1372915</v>
      </c>
      <c r="H11" s="16">
        <v>39232</v>
      </c>
      <c r="I11">
        <v>1.4</v>
      </c>
      <c r="J11">
        <v>3.9</v>
      </c>
      <c r="K11">
        <v>44.4</v>
      </c>
      <c r="L11">
        <v>50.2</v>
      </c>
    </row>
    <row r="12" spans="1:12" s="9" customFormat="1">
      <c r="A12" s="9">
        <v>279</v>
      </c>
      <c r="B12" s="9" t="s">
        <v>1656</v>
      </c>
      <c r="C12" s="9">
        <v>400</v>
      </c>
      <c r="D12" s="10">
        <v>5893887</v>
      </c>
      <c r="E12" s="12">
        <v>3757930</v>
      </c>
      <c r="F12" s="6">
        <v>439052</v>
      </c>
      <c r="G12" s="35">
        <v>1696905</v>
      </c>
      <c r="H12" s="16">
        <v>0</v>
      </c>
      <c r="I12" s="9">
        <v>0</v>
      </c>
      <c r="J12" s="9">
        <v>7.4</v>
      </c>
      <c r="K12" s="9">
        <v>63.8</v>
      </c>
      <c r="L12" s="9">
        <v>28.8</v>
      </c>
    </row>
    <row r="13" spans="1:12">
      <c r="A13">
        <v>280</v>
      </c>
      <c r="B13" t="s">
        <v>1657</v>
      </c>
      <c r="C13">
        <v>302</v>
      </c>
      <c r="D13" s="3">
        <v>3845573</v>
      </c>
      <c r="E13" s="12">
        <v>2877457</v>
      </c>
      <c r="F13" s="6">
        <v>338601</v>
      </c>
      <c r="G13" s="35">
        <v>629515</v>
      </c>
      <c r="H13" s="16">
        <v>0</v>
      </c>
      <c r="I13">
        <v>0</v>
      </c>
      <c r="J13">
        <v>8.8000000000000007</v>
      </c>
      <c r="K13">
        <v>74.8</v>
      </c>
      <c r="L13">
        <v>16.399999999999999</v>
      </c>
    </row>
    <row r="14" spans="1:12" s="9" customFormat="1">
      <c r="A14" s="9">
        <v>281</v>
      </c>
      <c r="B14" s="9" t="s">
        <v>1658</v>
      </c>
      <c r="C14" s="9">
        <v>368</v>
      </c>
      <c r="D14" s="10">
        <v>3496459</v>
      </c>
      <c r="E14" s="12">
        <v>2976138</v>
      </c>
      <c r="F14" s="6">
        <v>386988</v>
      </c>
      <c r="G14" s="35">
        <v>133333</v>
      </c>
      <c r="H14" s="16">
        <v>0</v>
      </c>
      <c r="I14" s="9">
        <v>0</v>
      </c>
      <c r="J14" s="9">
        <v>11.1</v>
      </c>
      <c r="K14" s="9">
        <v>85.1</v>
      </c>
      <c r="L14" s="9">
        <v>3.8</v>
      </c>
    </row>
    <row r="15" spans="1:12">
      <c r="A15">
        <v>282</v>
      </c>
      <c r="B15" t="s">
        <v>1659</v>
      </c>
      <c r="C15">
        <v>122</v>
      </c>
      <c r="D15" s="3">
        <v>2380204</v>
      </c>
      <c r="E15" s="12">
        <v>990150</v>
      </c>
      <c r="F15" s="6">
        <v>190869</v>
      </c>
      <c r="G15" s="35">
        <v>1199185</v>
      </c>
      <c r="H15" s="16">
        <v>0</v>
      </c>
      <c r="I15">
        <v>0</v>
      </c>
      <c r="J15">
        <v>8</v>
      </c>
      <c r="K15">
        <v>41.6</v>
      </c>
      <c r="L15">
        <v>50.4</v>
      </c>
    </row>
    <row r="16" spans="1:12" s="7" customFormat="1">
      <c r="A16" s="7">
        <v>283</v>
      </c>
      <c r="B16" s="7" t="s">
        <v>1660</v>
      </c>
      <c r="C16" s="7">
        <v>176</v>
      </c>
      <c r="D16" s="8">
        <v>1513365</v>
      </c>
      <c r="E16" s="12">
        <v>1316826</v>
      </c>
      <c r="F16" s="6">
        <v>183791</v>
      </c>
      <c r="G16" s="35">
        <v>12748</v>
      </c>
      <c r="H16" s="16">
        <v>0</v>
      </c>
      <c r="I16" s="7">
        <v>0</v>
      </c>
      <c r="J16" s="7">
        <v>12.1</v>
      </c>
      <c r="K16" s="7">
        <v>87</v>
      </c>
      <c r="L16" s="7">
        <v>0.8</v>
      </c>
    </row>
    <row r="17" spans="1:12">
      <c r="A17" s="11">
        <v>284</v>
      </c>
      <c r="B17" s="11" t="s">
        <v>1661</v>
      </c>
      <c r="C17" s="11">
        <v>50</v>
      </c>
      <c r="D17" s="3">
        <v>568917</v>
      </c>
      <c r="E17" s="12">
        <v>403500</v>
      </c>
      <c r="F17" s="6">
        <v>118625</v>
      </c>
      <c r="G17" s="35">
        <v>46792</v>
      </c>
      <c r="H17" s="16">
        <v>0</v>
      </c>
      <c r="I17">
        <v>0</v>
      </c>
      <c r="J17">
        <v>20.9</v>
      </c>
      <c r="K17">
        <v>70.900000000000006</v>
      </c>
      <c r="L17">
        <v>8.1999999999999993</v>
      </c>
    </row>
    <row r="18" spans="1:12" s="11" customFormat="1">
      <c r="C18" s="11">
        <f>SUM(C2:C17)</f>
        <v>3430</v>
      </c>
      <c r="D18" s="18"/>
      <c r="E18" s="18">
        <f>SUM(E2:E17)</f>
        <v>32901327</v>
      </c>
      <c r="F18" s="18">
        <f>SUM(F2:F17)</f>
        <v>3181933</v>
      </c>
      <c r="G18" s="18">
        <f>SUM(G2:G17)</f>
        <v>6849747</v>
      </c>
      <c r="H18" s="18">
        <f>SUM(H2:H17)</f>
        <v>391684</v>
      </c>
    </row>
    <row r="19" spans="1:12" s="11" customFormat="1">
      <c r="B19" s="11" t="s">
        <v>465</v>
      </c>
      <c r="D19" s="18"/>
      <c r="E19" s="18">
        <v>0</v>
      </c>
      <c r="F19" s="18">
        <v>0</v>
      </c>
      <c r="G19" s="18">
        <v>0</v>
      </c>
      <c r="H19" s="18">
        <v>0</v>
      </c>
    </row>
    <row r="20" spans="1:12" s="11" customFormat="1">
      <c r="B20" s="11" t="s">
        <v>466</v>
      </c>
      <c r="D20" s="18"/>
      <c r="E20" s="18">
        <v>0</v>
      </c>
      <c r="F20" s="18">
        <v>0</v>
      </c>
      <c r="G20" s="18">
        <v>0</v>
      </c>
      <c r="H20" s="18">
        <v>0</v>
      </c>
    </row>
    <row r="21" spans="1:12" s="11" customFormat="1">
      <c r="D21" s="18"/>
      <c r="E21" s="18">
        <f>E18-(E19+E20)</f>
        <v>32901327</v>
      </c>
      <c r="F21" s="18">
        <f>F18-(F19+F20)</f>
        <v>3181933</v>
      </c>
      <c r="G21" s="18">
        <f>G18-(G19+G20)</f>
        <v>6849747</v>
      </c>
      <c r="H21" s="18">
        <f>H18-(H19+H20)</f>
        <v>391684</v>
      </c>
      <c r="I21" s="18">
        <f>SUM(E21:H21)</f>
        <v>43324691</v>
      </c>
    </row>
    <row r="22" spans="1:12" s="11" customFormat="1">
      <c r="D22" s="18"/>
      <c r="E22" s="18">
        <f>E21/C18</f>
        <v>9592.2236151603502</v>
      </c>
      <c r="F22" s="18">
        <f>F21/C18</f>
        <v>927.67725947521865</v>
      </c>
      <c r="G22" s="18">
        <f>G21/C18</f>
        <v>1997.0107871720118</v>
      </c>
      <c r="H22" s="18">
        <f>H21/C18</f>
        <v>114.19358600583091</v>
      </c>
    </row>
    <row r="23" spans="1:12" s="11" customFormat="1">
      <c r="D23" s="18"/>
      <c r="E23" s="19">
        <f>E21/I21</f>
        <v>0.75941284843785728</v>
      </c>
      <c r="F23" s="19">
        <f>F21/I21</f>
        <v>7.3443870609486858E-2</v>
      </c>
      <c r="G23" s="19">
        <f>G21/I21</f>
        <v>0.15810261635795625</v>
      </c>
      <c r="H23" s="19">
        <f>H21/I21</f>
        <v>9.0406645946995903E-3</v>
      </c>
    </row>
    <row r="24" spans="1:12" s="11" customFormat="1">
      <c r="A24" s="11" t="s">
        <v>463</v>
      </c>
      <c r="D24" s="18"/>
      <c r="E24" s="18"/>
      <c r="F24" s="18"/>
      <c r="G24" s="18"/>
      <c r="H24" s="18"/>
    </row>
    <row r="25" spans="1:12" s="7" customFormat="1">
      <c r="A25" s="7">
        <v>269</v>
      </c>
      <c r="B25" s="7" t="s">
        <v>1651</v>
      </c>
      <c r="C25" s="7">
        <v>251</v>
      </c>
      <c r="D25" s="8">
        <v>2722601</v>
      </c>
      <c r="E25" s="12">
        <v>2179390</v>
      </c>
      <c r="F25" s="6">
        <v>137046</v>
      </c>
      <c r="G25" s="35">
        <v>385136</v>
      </c>
      <c r="H25" s="16">
        <v>21029</v>
      </c>
      <c r="I25" s="7">
        <v>0.8</v>
      </c>
      <c r="J25" s="7">
        <v>5</v>
      </c>
      <c r="K25" s="7">
        <v>80</v>
      </c>
      <c r="L25" s="7">
        <v>14.1</v>
      </c>
    </row>
    <row r="26" spans="1:12" s="7" customFormat="1">
      <c r="A26" s="7">
        <v>283</v>
      </c>
      <c r="B26" s="7" t="s">
        <v>1660</v>
      </c>
      <c r="C26" s="7">
        <v>176</v>
      </c>
      <c r="D26" s="8">
        <v>1513365</v>
      </c>
      <c r="E26" s="12">
        <v>1316826</v>
      </c>
      <c r="F26" s="6">
        <v>183791</v>
      </c>
      <c r="G26" s="35">
        <v>12748</v>
      </c>
      <c r="H26" s="16">
        <v>0</v>
      </c>
      <c r="I26" s="7">
        <v>0</v>
      </c>
      <c r="J26" s="7">
        <v>12.1</v>
      </c>
      <c r="K26" s="7">
        <v>87</v>
      </c>
      <c r="L26" s="7">
        <v>0.8</v>
      </c>
    </row>
    <row r="27" spans="1:12" s="11" customFormat="1">
      <c r="C27" s="11">
        <f>SUM(C25:C26)</f>
        <v>427</v>
      </c>
      <c r="D27" s="18"/>
      <c r="E27" s="18">
        <f>SUM(E25:E26)</f>
        <v>3496216</v>
      </c>
      <c r="F27" s="18">
        <f>SUM(F25:F26)</f>
        <v>320837</v>
      </c>
      <c r="G27" s="18">
        <f>SUM(G25:G26)</f>
        <v>397884</v>
      </c>
      <c r="H27" s="18">
        <f>SUM(H25:H26)</f>
        <v>21029</v>
      </c>
    </row>
    <row r="28" spans="1:12" s="11" customFormat="1">
      <c r="B28" s="11" t="s">
        <v>465</v>
      </c>
      <c r="D28" s="18"/>
      <c r="E28" s="18">
        <v>0</v>
      </c>
      <c r="F28" s="18">
        <v>0</v>
      </c>
      <c r="G28" s="18">
        <v>0</v>
      </c>
      <c r="H28" s="18">
        <v>0</v>
      </c>
    </row>
    <row r="29" spans="1:12" s="11" customFormat="1">
      <c r="B29" s="11" t="s">
        <v>466</v>
      </c>
      <c r="D29" s="18"/>
      <c r="E29" s="18">
        <v>0</v>
      </c>
      <c r="F29" s="18">
        <v>0</v>
      </c>
      <c r="G29" s="18">
        <v>0</v>
      </c>
      <c r="H29" s="18">
        <v>0</v>
      </c>
    </row>
    <row r="30" spans="1:12" s="11" customFormat="1">
      <c r="D30" s="18"/>
      <c r="E30" s="18">
        <f>E27-(E28+E29)</f>
        <v>3496216</v>
      </c>
      <c r="F30" s="18">
        <f>F27-(F28+F29)</f>
        <v>320837</v>
      </c>
      <c r="G30" s="18">
        <f>G27-(G28+G29)</f>
        <v>397884</v>
      </c>
      <c r="H30" s="18">
        <f>H27-(H28+H29)</f>
        <v>21029</v>
      </c>
      <c r="I30" s="18">
        <f>SUM(E30:H30)</f>
        <v>4235966</v>
      </c>
    </row>
    <row r="31" spans="1:12" s="11" customFormat="1">
      <c r="D31" s="18"/>
      <c r="E31" s="18">
        <f>E30/C27</f>
        <v>8187.8594847775175</v>
      </c>
      <c r="F31" s="18">
        <f>F30/C27</f>
        <v>751.3747072599532</v>
      </c>
      <c r="G31" s="18">
        <f>G30/C27</f>
        <v>931.81264637002346</v>
      </c>
      <c r="H31" s="18">
        <f>H30/C27</f>
        <v>49.248243559718972</v>
      </c>
    </row>
    <row r="32" spans="1:12" s="11" customFormat="1">
      <c r="D32" s="18"/>
      <c r="E32" s="19">
        <f>E30/I30</f>
        <v>0.82536450953572338</v>
      </c>
      <c r="F32" s="19">
        <f>F30/I30</f>
        <v>7.5741165061287086E-2</v>
      </c>
      <c r="G32" s="19">
        <f>G30/I30</f>
        <v>9.3929932393225057E-2</v>
      </c>
      <c r="H32" s="19">
        <f>H30/I30</f>
        <v>4.9643930097644784E-3</v>
      </c>
    </row>
    <row r="33" spans="1:12" s="11" customFormat="1">
      <c r="A33" s="11" t="s">
        <v>464</v>
      </c>
      <c r="D33" s="18"/>
      <c r="E33" s="18"/>
      <c r="F33" s="18"/>
      <c r="G33" s="18"/>
      <c r="H33" s="18"/>
    </row>
    <row r="34" spans="1:12" s="9" customFormat="1">
      <c r="A34" s="9">
        <v>268</v>
      </c>
      <c r="B34" s="9" t="s">
        <v>1650</v>
      </c>
      <c r="C34" s="9">
        <v>145</v>
      </c>
      <c r="D34" s="10">
        <v>1639114</v>
      </c>
      <c r="E34" s="12">
        <v>1368771</v>
      </c>
      <c r="F34" s="6">
        <v>199017</v>
      </c>
      <c r="G34" s="35">
        <v>71326</v>
      </c>
      <c r="H34" s="16">
        <v>0</v>
      </c>
      <c r="I34" s="9">
        <v>0</v>
      </c>
      <c r="J34" s="9">
        <v>12.1</v>
      </c>
      <c r="K34" s="9">
        <v>83.5</v>
      </c>
      <c r="L34" s="9">
        <v>4.4000000000000004</v>
      </c>
    </row>
    <row r="35" spans="1:12" s="9" customFormat="1">
      <c r="A35" s="9">
        <v>279</v>
      </c>
      <c r="B35" s="9" t="s">
        <v>1656</v>
      </c>
      <c r="C35" s="9">
        <v>400</v>
      </c>
      <c r="D35" s="10">
        <v>5893887</v>
      </c>
      <c r="E35" s="12">
        <v>3757930</v>
      </c>
      <c r="F35" s="6">
        <v>439052</v>
      </c>
      <c r="G35" s="35">
        <v>1696905</v>
      </c>
      <c r="H35" s="16">
        <v>0</v>
      </c>
      <c r="I35" s="9">
        <v>0</v>
      </c>
      <c r="J35" s="9">
        <v>7.4</v>
      </c>
      <c r="K35" s="9">
        <v>63.8</v>
      </c>
      <c r="L35" s="9">
        <v>28.8</v>
      </c>
    </row>
    <row r="36" spans="1:12" s="9" customFormat="1">
      <c r="A36" s="9">
        <v>281</v>
      </c>
      <c r="B36" s="9" t="s">
        <v>1658</v>
      </c>
      <c r="C36" s="9">
        <v>368</v>
      </c>
      <c r="D36" s="10">
        <v>3496459</v>
      </c>
      <c r="E36" s="12">
        <v>2976138</v>
      </c>
      <c r="F36" s="6">
        <v>386988</v>
      </c>
      <c r="G36" s="35">
        <v>133333</v>
      </c>
      <c r="H36" s="16">
        <v>0</v>
      </c>
      <c r="I36" s="9">
        <v>0</v>
      </c>
      <c r="J36" s="9">
        <v>11.1</v>
      </c>
      <c r="K36" s="9">
        <v>85.1</v>
      </c>
      <c r="L36" s="9">
        <v>3.8</v>
      </c>
    </row>
    <row r="37" spans="1:12" s="11" customFormat="1">
      <c r="C37" s="11">
        <f>SUM(C34:C36)</f>
        <v>913</v>
      </c>
      <c r="D37" s="18"/>
      <c r="E37" s="18">
        <f>SUM(E34:E36)</f>
        <v>8102839</v>
      </c>
      <c r="F37" s="18">
        <f>SUM(F34:F36)</f>
        <v>1025057</v>
      </c>
      <c r="G37" s="18">
        <f>SUM(G34:G36)</f>
        <v>1901564</v>
      </c>
      <c r="H37" s="18">
        <f>SUM(H34:H36)</f>
        <v>0</v>
      </c>
    </row>
    <row r="38" spans="1:12" s="11" customFormat="1">
      <c r="B38" s="11" t="s">
        <v>465</v>
      </c>
      <c r="D38" s="18"/>
      <c r="E38" s="18">
        <v>0</v>
      </c>
      <c r="F38" s="18">
        <v>0</v>
      </c>
      <c r="G38" s="18">
        <v>0</v>
      </c>
      <c r="H38" s="18">
        <v>0</v>
      </c>
    </row>
    <row r="39" spans="1:12" s="11" customFormat="1">
      <c r="B39" s="11" t="s">
        <v>466</v>
      </c>
      <c r="D39" s="18"/>
      <c r="E39" s="18">
        <v>0</v>
      </c>
      <c r="F39" s="18">
        <v>0</v>
      </c>
      <c r="G39" s="18">
        <v>0</v>
      </c>
      <c r="H39" s="18">
        <v>0</v>
      </c>
    </row>
    <row r="40" spans="1:12" s="11" customFormat="1">
      <c r="D40" s="18"/>
      <c r="E40" s="18">
        <f>E37-(E38+E39)</f>
        <v>8102839</v>
      </c>
      <c r="F40" s="18">
        <f>F37-(F38+F39)</f>
        <v>1025057</v>
      </c>
      <c r="G40" s="18">
        <f>G37-(G38+G39)</f>
        <v>1901564</v>
      </c>
      <c r="H40" s="18">
        <f>H37-(H38+H39)</f>
        <v>0</v>
      </c>
      <c r="I40" s="18">
        <f>SUM(E40:H40)</f>
        <v>11029460</v>
      </c>
    </row>
    <row r="41" spans="1:12" s="11" customFormat="1">
      <c r="D41" s="18"/>
      <c r="E41" s="18">
        <f>E40/C37</f>
        <v>8874.9605695509308</v>
      </c>
      <c r="F41" s="18">
        <f>F40/C37</f>
        <v>1122.7349397590363</v>
      </c>
      <c r="G41" s="18">
        <f>G40/C37</f>
        <v>2082.7645125958379</v>
      </c>
      <c r="H41" s="18">
        <f>H40/C37</f>
        <v>0</v>
      </c>
    </row>
    <row r="42" spans="1:12" s="11" customFormat="1">
      <c r="D42" s="18"/>
      <c r="E42" s="19">
        <f>E40/I40</f>
        <v>0.73465418977900998</v>
      </c>
      <c r="F42" s="19">
        <f>F40/I40</f>
        <v>9.2938094884065042E-2</v>
      </c>
      <c r="G42" s="19">
        <f>G40/I40</f>
        <v>0.17240771533692492</v>
      </c>
      <c r="H42" s="19">
        <f>H40/I40</f>
        <v>0</v>
      </c>
    </row>
    <row r="43" spans="1:12" s="11" customFormat="1">
      <c r="D43" s="18"/>
      <c r="E43" s="18"/>
      <c r="F43" s="18"/>
      <c r="G43" s="18"/>
      <c r="H43" s="18"/>
    </row>
    <row r="44" spans="1:12">
      <c r="A44" t="s">
        <v>1678</v>
      </c>
      <c r="D44" s="3"/>
      <c r="E44" s="3"/>
      <c r="F44" s="3"/>
      <c r="G44" s="3"/>
      <c r="H44" s="3"/>
    </row>
    <row r="45" spans="1:12">
      <c r="B45" t="s">
        <v>1677</v>
      </c>
      <c r="D45" s="3"/>
      <c r="E45" s="3"/>
      <c r="F45" s="3"/>
      <c r="G45" s="3"/>
      <c r="H45" s="3"/>
    </row>
    <row r="46" spans="1:12">
      <c r="A46" t="s">
        <v>1680</v>
      </c>
      <c r="D46" s="3"/>
      <c r="E46" s="3"/>
      <c r="F46" s="3"/>
      <c r="G46" s="3"/>
      <c r="H46" s="3"/>
    </row>
    <row r="47" spans="1:12">
      <c r="A47" t="s">
        <v>1679</v>
      </c>
      <c r="D47" s="3"/>
      <c r="E47" s="3"/>
      <c r="F47" s="3"/>
      <c r="G47" s="3"/>
      <c r="H47" s="3"/>
    </row>
  </sheetData>
  <sheetCalcPr fullCalcOnLoad="1"/>
  <pageMargins left="0.7" right="0.7" top="0.75" bottom="0.75" header="0.3" footer="0.3"/>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7121"/>
  <sheetViews>
    <sheetView workbookViewId="0">
      <selection activeCell="A256" sqref="A256"/>
    </sheetView>
  </sheetViews>
  <sheetFormatPr baseColWidth="10" defaultColWidth="8.83203125" defaultRowHeight="12"/>
  <cols>
    <col min="2" max="2" width="27.5" customWidth="1"/>
    <col min="3" max="3" width="18.1640625" customWidth="1"/>
    <col min="4" max="4" width="21.5" customWidth="1"/>
    <col min="5" max="5" width="57.5" customWidth="1"/>
    <col min="6" max="6" width="27" customWidth="1"/>
  </cols>
  <sheetData>
    <row r="1" spans="1:7">
      <c r="A1" t="s">
        <v>1561</v>
      </c>
      <c r="B1" t="s">
        <v>1562</v>
      </c>
      <c r="C1" t="s">
        <v>1563</v>
      </c>
      <c r="D1" t="s">
        <v>1564</v>
      </c>
      <c r="E1" t="s">
        <v>1565</v>
      </c>
      <c r="F1" t="s">
        <v>1566</v>
      </c>
    </row>
    <row r="2" spans="1:7">
      <c r="A2" s="29">
        <v>7</v>
      </c>
      <c r="B2" s="29" t="s">
        <v>1702</v>
      </c>
      <c r="C2" s="30">
        <v>12347</v>
      </c>
      <c r="D2" s="29" t="s">
        <v>1394</v>
      </c>
      <c r="E2" s="29" t="s">
        <v>1395</v>
      </c>
      <c r="F2" s="29" t="s">
        <v>1396</v>
      </c>
      <c r="G2" s="29" t="s">
        <v>1495</v>
      </c>
    </row>
    <row r="3" spans="1:7">
      <c r="A3" s="29">
        <v>11</v>
      </c>
      <c r="B3" s="29" t="s">
        <v>1705</v>
      </c>
      <c r="C3" s="30">
        <v>21800</v>
      </c>
      <c r="D3" s="29" t="s">
        <v>1394</v>
      </c>
      <c r="E3" s="29" t="s">
        <v>1395</v>
      </c>
      <c r="F3" s="29" t="s">
        <v>1396</v>
      </c>
      <c r="G3" s="29" t="s">
        <v>1495</v>
      </c>
    </row>
    <row r="4" spans="1:7">
      <c r="A4" s="29">
        <v>14</v>
      </c>
      <c r="B4" s="29" t="s">
        <v>1708</v>
      </c>
      <c r="C4" s="30">
        <v>23774</v>
      </c>
      <c r="D4" s="29" t="s">
        <v>1394</v>
      </c>
      <c r="E4" s="29" t="s">
        <v>1395</v>
      </c>
      <c r="F4" s="29" t="s">
        <v>1396</v>
      </c>
      <c r="G4" s="29" t="s">
        <v>1495</v>
      </c>
    </row>
    <row r="5" spans="1:7" s="7" customFormat="1">
      <c r="A5" s="7">
        <v>15</v>
      </c>
      <c r="B5" s="7" t="s">
        <v>1709</v>
      </c>
      <c r="C5" s="34">
        <v>1113537</v>
      </c>
      <c r="D5" s="7" t="s">
        <v>1394</v>
      </c>
      <c r="E5" s="7" t="s">
        <v>1395</v>
      </c>
      <c r="F5" s="7" t="s">
        <v>1396</v>
      </c>
      <c r="G5" s="7" t="s">
        <v>1495</v>
      </c>
    </row>
    <row r="6" spans="1:7">
      <c r="A6" s="29">
        <v>17</v>
      </c>
      <c r="B6" s="29" t="s">
        <v>1710</v>
      </c>
      <c r="C6" s="30">
        <v>293978</v>
      </c>
      <c r="D6" s="29" t="s">
        <v>1394</v>
      </c>
      <c r="E6" s="29" t="s">
        <v>1395</v>
      </c>
      <c r="F6" s="29" t="s">
        <v>1396</v>
      </c>
      <c r="G6" s="29" t="s">
        <v>1495</v>
      </c>
    </row>
    <row r="7" spans="1:7">
      <c r="A7" s="29">
        <v>241</v>
      </c>
      <c r="B7" s="29" t="s">
        <v>1078</v>
      </c>
      <c r="C7" s="30"/>
      <c r="D7" s="29" t="s">
        <v>1394</v>
      </c>
      <c r="E7" s="29" t="s">
        <v>1395</v>
      </c>
      <c r="F7" s="29" t="s">
        <v>1396</v>
      </c>
      <c r="G7" s="29" t="s">
        <v>1495</v>
      </c>
    </row>
    <row r="8" spans="1:7">
      <c r="A8" s="29">
        <v>25</v>
      </c>
      <c r="B8" s="29" t="s">
        <v>1717</v>
      </c>
      <c r="C8" s="30">
        <v>22009</v>
      </c>
      <c r="D8" s="29" t="s">
        <v>1394</v>
      </c>
      <c r="E8" s="29" t="s">
        <v>1395</v>
      </c>
      <c r="F8" s="29" t="s">
        <v>1396</v>
      </c>
      <c r="G8" s="29" t="s">
        <v>1495</v>
      </c>
    </row>
    <row r="9" spans="1:7">
      <c r="A9" s="29">
        <v>34</v>
      </c>
      <c r="B9" s="29" t="s">
        <v>1726</v>
      </c>
      <c r="C9" s="30">
        <v>182193</v>
      </c>
      <c r="D9" s="29" t="s">
        <v>1394</v>
      </c>
      <c r="E9" s="29" t="s">
        <v>1395</v>
      </c>
      <c r="F9" s="29" t="s">
        <v>1396</v>
      </c>
      <c r="G9" s="29" t="s">
        <v>1495</v>
      </c>
    </row>
    <row r="10" spans="1:7">
      <c r="A10" s="29">
        <v>253</v>
      </c>
      <c r="B10" s="29" t="s">
        <v>931</v>
      </c>
      <c r="C10" s="30"/>
      <c r="D10" s="29" t="s">
        <v>1394</v>
      </c>
      <c r="E10" s="29" t="s">
        <v>1395</v>
      </c>
      <c r="F10" s="29" t="s">
        <v>1396</v>
      </c>
      <c r="G10" s="29" t="s">
        <v>1495</v>
      </c>
    </row>
    <row r="11" spans="1:7">
      <c r="A11" s="29">
        <v>43</v>
      </c>
      <c r="B11" s="29" t="s">
        <v>1734</v>
      </c>
      <c r="C11" s="30">
        <v>96940</v>
      </c>
      <c r="D11" s="29" t="s">
        <v>1394</v>
      </c>
      <c r="E11" s="29" t="s">
        <v>1395</v>
      </c>
      <c r="F11" s="29" t="s">
        <v>1396</v>
      </c>
      <c r="G11" s="29" t="s">
        <v>1495</v>
      </c>
    </row>
    <row r="12" spans="1:7">
      <c r="A12" s="29">
        <v>44</v>
      </c>
      <c r="B12" s="29" t="s">
        <v>1735</v>
      </c>
      <c r="C12" s="30">
        <v>370857</v>
      </c>
      <c r="D12" s="29" t="s">
        <v>1394</v>
      </c>
      <c r="E12" s="29" t="s">
        <v>1395</v>
      </c>
      <c r="F12" s="29" t="s">
        <v>1396</v>
      </c>
      <c r="G12" s="29" t="s">
        <v>1495</v>
      </c>
    </row>
    <row r="13" spans="1:7">
      <c r="A13" s="29">
        <v>242</v>
      </c>
      <c r="B13" s="29" t="s">
        <v>1008</v>
      </c>
      <c r="C13" s="30"/>
      <c r="D13" s="29" t="s">
        <v>1394</v>
      </c>
      <c r="E13" s="29" t="s">
        <v>1395</v>
      </c>
      <c r="F13" s="29" t="s">
        <v>1396</v>
      </c>
      <c r="G13" s="29" t="s">
        <v>1495</v>
      </c>
    </row>
    <row r="14" spans="1:7">
      <c r="A14" s="29">
        <v>49</v>
      </c>
      <c r="B14" s="29" t="s">
        <v>1740</v>
      </c>
      <c r="C14" s="30">
        <v>74332</v>
      </c>
      <c r="D14" s="29" t="s">
        <v>1394</v>
      </c>
      <c r="E14" s="29" t="s">
        <v>1395</v>
      </c>
      <c r="F14" s="29" t="s">
        <v>1396</v>
      </c>
      <c r="G14" s="29" t="s">
        <v>1495</v>
      </c>
    </row>
    <row r="15" spans="1:7">
      <c r="A15" s="29">
        <v>51</v>
      </c>
      <c r="B15" s="29" t="s">
        <v>1742</v>
      </c>
      <c r="C15" s="30">
        <v>9286</v>
      </c>
      <c r="D15" s="29" t="s">
        <v>1394</v>
      </c>
      <c r="E15" s="29" t="s">
        <v>1395</v>
      </c>
      <c r="F15" s="29" t="s">
        <v>1396</v>
      </c>
      <c r="G15" s="29" t="s">
        <v>1495</v>
      </c>
    </row>
    <row r="16" spans="1:7">
      <c r="A16" s="29">
        <v>52</v>
      </c>
      <c r="B16" s="29" t="s">
        <v>1743</v>
      </c>
      <c r="C16" s="30">
        <v>3501</v>
      </c>
      <c r="D16" s="29" t="s">
        <v>1394</v>
      </c>
      <c r="E16" s="29" t="s">
        <v>1395</v>
      </c>
      <c r="F16" s="29" t="s">
        <v>1396</v>
      </c>
      <c r="G16" s="29" t="s">
        <v>1495</v>
      </c>
    </row>
    <row r="17" spans="1:7">
      <c r="A17" s="29">
        <v>59</v>
      </c>
      <c r="B17" s="29" t="s">
        <v>1749</v>
      </c>
      <c r="C17" s="30">
        <v>26467</v>
      </c>
      <c r="D17" s="29" t="s">
        <v>1394</v>
      </c>
      <c r="E17" s="29" t="s">
        <v>1395</v>
      </c>
      <c r="F17" s="29" t="s">
        <v>1396</v>
      </c>
      <c r="G17" s="29" t="s">
        <v>1495</v>
      </c>
    </row>
    <row r="18" spans="1:7">
      <c r="A18" s="29">
        <v>62</v>
      </c>
      <c r="B18" s="29" t="s">
        <v>1751</v>
      </c>
      <c r="C18" s="30">
        <v>180820</v>
      </c>
      <c r="D18" s="29" t="s">
        <v>1394</v>
      </c>
      <c r="E18" s="29" t="s">
        <v>1395</v>
      </c>
      <c r="F18" s="29" t="s">
        <v>1396</v>
      </c>
      <c r="G18" s="29" t="s">
        <v>1495</v>
      </c>
    </row>
    <row r="19" spans="1:7">
      <c r="A19" s="29">
        <v>64</v>
      </c>
      <c r="B19" s="29" t="s">
        <v>1753</v>
      </c>
      <c r="C19" s="30">
        <v>3400389</v>
      </c>
      <c r="D19" s="29" t="s">
        <v>1394</v>
      </c>
      <c r="E19" s="29" t="s">
        <v>1395</v>
      </c>
      <c r="F19" s="29" t="s">
        <v>1396</v>
      </c>
      <c r="G19" s="29" t="s">
        <v>1495</v>
      </c>
    </row>
    <row r="20" spans="1:7">
      <c r="A20" s="29">
        <v>80</v>
      </c>
      <c r="B20" s="29" t="s">
        <v>1766</v>
      </c>
      <c r="C20" s="30">
        <v>993379</v>
      </c>
      <c r="D20" s="29" t="s">
        <v>1394</v>
      </c>
      <c r="E20" s="29" t="s">
        <v>1395</v>
      </c>
      <c r="F20" s="29" t="s">
        <v>1396</v>
      </c>
      <c r="G20" s="29" t="s">
        <v>1495</v>
      </c>
    </row>
    <row r="21" spans="1:7">
      <c r="A21" s="29">
        <v>83</v>
      </c>
      <c r="B21" s="29" t="s">
        <v>1767</v>
      </c>
      <c r="C21" s="30">
        <v>1310292</v>
      </c>
      <c r="D21" s="29" t="s">
        <v>1394</v>
      </c>
      <c r="E21" s="29" t="s">
        <v>1395</v>
      </c>
      <c r="F21" s="29" t="s">
        <v>1396</v>
      </c>
      <c r="G21" s="29" t="s">
        <v>1495</v>
      </c>
    </row>
    <row r="22" spans="1:7">
      <c r="A22" s="29">
        <v>84</v>
      </c>
      <c r="B22" s="29" t="s">
        <v>1768</v>
      </c>
      <c r="C22" s="30">
        <v>29100</v>
      </c>
      <c r="D22" s="29" t="s">
        <v>1394</v>
      </c>
      <c r="E22" s="29" t="s">
        <v>1395</v>
      </c>
      <c r="F22" s="29" t="s">
        <v>1396</v>
      </c>
      <c r="G22" s="29" t="s">
        <v>1495</v>
      </c>
    </row>
    <row r="23" spans="1:7">
      <c r="A23" s="29">
        <v>88</v>
      </c>
      <c r="B23" s="29" t="s">
        <v>1771</v>
      </c>
      <c r="C23" s="30">
        <v>200188</v>
      </c>
      <c r="D23" s="29" t="s">
        <v>1394</v>
      </c>
      <c r="E23" s="29" t="s">
        <v>1395</v>
      </c>
      <c r="F23" s="29" t="s">
        <v>1396</v>
      </c>
      <c r="G23" s="29" t="s">
        <v>1495</v>
      </c>
    </row>
    <row r="24" spans="1:7">
      <c r="A24" s="29">
        <v>89</v>
      </c>
      <c r="B24" s="29" t="s">
        <v>1772</v>
      </c>
      <c r="C24" s="30">
        <v>608819</v>
      </c>
      <c r="D24" s="29" t="s">
        <v>1394</v>
      </c>
      <c r="E24" s="29" t="s">
        <v>1395</v>
      </c>
      <c r="F24" s="29" t="s">
        <v>1396</v>
      </c>
      <c r="G24" s="29" t="s">
        <v>1495</v>
      </c>
    </row>
    <row r="25" spans="1:7" s="9" customFormat="1">
      <c r="A25" s="9">
        <v>93</v>
      </c>
      <c r="B25" s="9" t="s">
        <v>1776</v>
      </c>
      <c r="C25" s="33">
        <v>2327089</v>
      </c>
      <c r="D25" s="9" t="s">
        <v>1394</v>
      </c>
      <c r="E25" s="9" t="s">
        <v>1395</v>
      </c>
      <c r="F25" s="9" t="s">
        <v>1396</v>
      </c>
      <c r="G25" s="9" t="s">
        <v>1495</v>
      </c>
    </row>
    <row r="26" spans="1:7">
      <c r="A26" s="29">
        <v>95</v>
      </c>
      <c r="B26" s="29" t="s">
        <v>1778</v>
      </c>
      <c r="C26" s="30">
        <v>880684</v>
      </c>
      <c r="D26" s="29" t="s">
        <v>1394</v>
      </c>
      <c r="E26" s="29" t="s">
        <v>1395</v>
      </c>
      <c r="F26" s="29" t="s">
        <v>1396</v>
      </c>
      <c r="G26" s="29" t="s">
        <v>1495</v>
      </c>
    </row>
    <row r="27" spans="1:7">
      <c r="A27" s="29">
        <v>96</v>
      </c>
      <c r="B27" s="29" t="s">
        <v>1779</v>
      </c>
      <c r="C27" s="30">
        <v>36621</v>
      </c>
      <c r="D27" s="29" t="s">
        <v>1394</v>
      </c>
      <c r="E27" s="29" t="s">
        <v>1395</v>
      </c>
      <c r="F27" s="29" t="s">
        <v>1396</v>
      </c>
      <c r="G27" s="29" t="s">
        <v>1495</v>
      </c>
    </row>
    <row r="28" spans="1:7">
      <c r="A28" s="29">
        <v>94</v>
      </c>
      <c r="B28" s="29" t="s">
        <v>1777</v>
      </c>
      <c r="C28" s="30">
        <v>23176</v>
      </c>
      <c r="D28" s="29" t="s">
        <v>1394</v>
      </c>
      <c r="E28" s="29" t="s">
        <v>1395</v>
      </c>
      <c r="F28" s="29" t="s">
        <v>1396</v>
      </c>
      <c r="G28" s="29" t="s">
        <v>1495</v>
      </c>
    </row>
    <row r="29" spans="1:7">
      <c r="A29" s="29">
        <v>101</v>
      </c>
      <c r="B29" s="29" t="s">
        <v>1784</v>
      </c>
      <c r="C29" s="30">
        <v>10937</v>
      </c>
      <c r="D29" s="29" t="s">
        <v>1394</v>
      </c>
      <c r="E29" s="29" t="s">
        <v>1395</v>
      </c>
      <c r="F29" s="29" t="s">
        <v>1396</v>
      </c>
      <c r="G29" s="29" t="s">
        <v>1495</v>
      </c>
    </row>
    <row r="30" spans="1:7">
      <c r="A30" s="29">
        <v>103</v>
      </c>
      <c r="B30" s="29" t="s">
        <v>1786</v>
      </c>
      <c r="C30" s="30">
        <v>61277</v>
      </c>
      <c r="D30" s="29" t="s">
        <v>1394</v>
      </c>
      <c r="E30" s="29" t="s">
        <v>1395</v>
      </c>
      <c r="F30" s="29" t="s">
        <v>1396</v>
      </c>
      <c r="G30" s="29" t="s">
        <v>1495</v>
      </c>
    </row>
    <row r="31" spans="1:7">
      <c r="A31" s="29">
        <v>104</v>
      </c>
      <c r="B31" s="29" t="s">
        <v>1787</v>
      </c>
      <c r="C31" s="30">
        <v>321324</v>
      </c>
      <c r="D31" s="29" t="s">
        <v>1394</v>
      </c>
      <c r="E31" s="29" t="s">
        <v>1395</v>
      </c>
      <c r="F31" s="29" t="s">
        <v>1396</v>
      </c>
      <c r="G31" s="29" t="s">
        <v>1495</v>
      </c>
    </row>
    <row r="32" spans="1:7">
      <c r="A32" s="29">
        <v>110</v>
      </c>
      <c r="B32" s="29" t="s">
        <v>1792</v>
      </c>
      <c r="C32" s="30">
        <v>224689</v>
      </c>
      <c r="D32" s="29" t="s">
        <v>1394</v>
      </c>
      <c r="E32" s="29" t="s">
        <v>1395</v>
      </c>
      <c r="F32" s="29" t="s">
        <v>1396</v>
      </c>
      <c r="G32" s="29" t="s">
        <v>1495</v>
      </c>
    </row>
    <row r="33" spans="1:7">
      <c r="A33" s="29">
        <v>126</v>
      </c>
      <c r="B33" s="29" t="s">
        <v>1806</v>
      </c>
      <c r="C33" s="30">
        <v>26878</v>
      </c>
      <c r="D33" s="29" t="s">
        <v>1394</v>
      </c>
      <c r="E33" s="29" t="s">
        <v>1395</v>
      </c>
      <c r="F33" s="29" t="s">
        <v>1396</v>
      </c>
      <c r="G33" s="29" t="s">
        <v>1495</v>
      </c>
    </row>
    <row r="34" spans="1:7">
      <c r="A34" s="29">
        <v>128</v>
      </c>
      <c r="B34" s="29" t="s">
        <v>1808</v>
      </c>
      <c r="C34" s="30">
        <v>8171</v>
      </c>
      <c r="D34" s="29" t="s">
        <v>1394</v>
      </c>
      <c r="E34" s="29" t="s">
        <v>1395</v>
      </c>
      <c r="F34" s="29" t="s">
        <v>1396</v>
      </c>
      <c r="G34" s="29" t="s">
        <v>1495</v>
      </c>
    </row>
    <row r="35" spans="1:7">
      <c r="A35" s="29">
        <v>131</v>
      </c>
      <c r="B35" s="29" t="s">
        <v>1810</v>
      </c>
      <c r="C35" s="30">
        <v>18925</v>
      </c>
      <c r="D35" s="29" t="s">
        <v>1394</v>
      </c>
      <c r="E35" s="29" t="s">
        <v>1395</v>
      </c>
      <c r="F35" s="29" t="s">
        <v>1396</v>
      </c>
      <c r="G35" s="29" t="s">
        <v>1495</v>
      </c>
    </row>
    <row r="36" spans="1:7">
      <c r="A36" s="29">
        <v>135</v>
      </c>
      <c r="B36" s="29" t="s">
        <v>1814</v>
      </c>
      <c r="C36" s="30">
        <v>229954</v>
      </c>
      <c r="D36" s="29" t="s">
        <v>1394</v>
      </c>
      <c r="E36" s="29" t="s">
        <v>1395</v>
      </c>
      <c r="F36" s="29" t="s">
        <v>1396</v>
      </c>
      <c r="G36" s="29" t="s">
        <v>1495</v>
      </c>
    </row>
    <row r="37" spans="1:7">
      <c r="A37" s="29">
        <v>138</v>
      </c>
      <c r="B37" s="29" t="s">
        <v>1817</v>
      </c>
      <c r="C37" s="30">
        <v>84128</v>
      </c>
      <c r="D37" s="29" t="s">
        <v>1394</v>
      </c>
      <c r="E37" s="29" t="s">
        <v>1395</v>
      </c>
      <c r="F37" s="29" t="s">
        <v>1396</v>
      </c>
      <c r="G37" s="29" t="s">
        <v>1495</v>
      </c>
    </row>
    <row r="38" spans="1:7">
      <c r="A38" s="29">
        <v>144</v>
      </c>
      <c r="B38" s="29" t="s">
        <v>1823</v>
      </c>
      <c r="C38" s="30">
        <v>12437</v>
      </c>
      <c r="D38" s="29" t="s">
        <v>1394</v>
      </c>
      <c r="E38" s="29" t="s">
        <v>1395</v>
      </c>
      <c r="F38" s="29" t="s">
        <v>1396</v>
      </c>
      <c r="G38" s="29" t="s">
        <v>1495</v>
      </c>
    </row>
    <row r="39" spans="1:7">
      <c r="A39" s="29">
        <v>146</v>
      </c>
      <c r="B39" s="29" t="s">
        <v>1825</v>
      </c>
      <c r="C39" s="30">
        <v>188481</v>
      </c>
      <c r="D39" s="29" t="s">
        <v>1394</v>
      </c>
      <c r="E39" s="29" t="s">
        <v>1395</v>
      </c>
      <c r="F39" s="29" t="s">
        <v>1396</v>
      </c>
      <c r="G39" s="29" t="s">
        <v>1495</v>
      </c>
    </row>
    <row r="40" spans="1:7">
      <c r="A40" s="29">
        <v>148</v>
      </c>
      <c r="B40" s="29" t="s">
        <v>1827</v>
      </c>
      <c r="C40" s="30">
        <v>233884</v>
      </c>
      <c r="D40" s="29" t="s">
        <v>1394</v>
      </c>
      <c r="E40" s="29" t="s">
        <v>1395</v>
      </c>
      <c r="F40" s="29" t="s">
        <v>1396</v>
      </c>
      <c r="G40" s="29" t="s">
        <v>1495</v>
      </c>
    </row>
    <row r="41" spans="1:7">
      <c r="A41" s="29">
        <v>151</v>
      </c>
      <c r="B41" s="29" t="s">
        <v>1611</v>
      </c>
      <c r="C41" s="30">
        <v>1859060</v>
      </c>
      <c r="D41" s="29" t="s">
        <v>1394</v>
      </c>
      <c r="E41" s="29" t="s">
        <v>1395</v>
      </c>
      <c r="F41" s="29" t="s">
        <v>1396</v>
      </c>
      <c r="G41" s="29" t="s">
        <v>1495</v>
      </c>
    </row>
    <row r="42" spans="1:7">
      <c r="A42" s="29">
        <v>155</v>
      </c>
      <c r="B42" s="29" t="s">
        <v>1615</v>
      </c>
      <c r="C42" s="30">
        <v>70116</v>
      </c>
      <c r="D42" s="29" t="s">
        <v>1394</v>
      </c>
      <c r="E42" s="29" t="s">
        <v>1395</v>
      </c>
      <c r="F42" s="29" t="s">
        <v>1396</v>
      </c>
      <c r="G42" s="29" t="s">
        <v>1495</v>
      </c>
    </row>
    <row r="43" spans="1:7">
      <c r="A43" s="29">
        <v>156</v>
      </c>
      <c r="B43" s="29" t="s">
        <v>1616</v>
      </c>
      <c r="C43" s="30">
        <v>177833</v>
      </c>
      <c r="D43" s="29" t="s">
        <v>1394</v>
      </c>
      <c r="E43" s="29" t="s">
        <v>1395</v>
      </c>
      <c r="F43" s="29" t="s">
        <v>1396</v>
      </c>
      <c r="G43" s="29" t="s">
        <v>1495</v>
      </c>
    </row>
    <row r="44" spans="1:7">
      <c r="A44" s="29">
        <v>158</v>
      </c>
      <c r="B44" s="29" t="s">
        <v>1618</v>
      </c>
      <c r="C44" s="30">
        <v>1854</v>
      </c>
      <c r="D44" s="29" t="s">
        <v>1394</v>
      </c>
      <c r="E44" s="29" t="s">
        <v>1395</v>
      </c>
      <c r="F44" s="29" t="s">
        <v>1396</v>
      </c>
      <c r="G44" s="29" t="s">
        <v>1495</v>
      </c>
    </row>
    <row r="45" spans="1:7">
      <c r="A45" s="29">
        <v>159</v>
      </c>
      <c r="B45" s="29" t="s">
        <v>1619</v>
      </c>
      <c r="C45" s="30">
        <v>21229</v>
      </c>
      <c r="D45" s="29" t="s">
        <v>1394</v>
      </c>
      <c r="E45" s="29" t="s">
        <v>1395</v>
      </c>
      <c r="F45" s="29" t="s">
        <v>1396</v>
      </c>
      <c r="G45" s="29" t="s">
        <v>1495</v>
      </c>
    </row>
    <row r="46" spans="1:7">
      <c r="A46" s="29">
        <v>164</v>
      </c>
      <c r="B46" s="29" t="s">
        <v>1624</v>
      </c>
      <c r="C46" s="30">
        <v>49444</v>
      </c>
      <c r="D46" s="29" t="s">
        <v>1394</v>
      </c>
      <c r="E46" s="29" t="s">
        <v>1395</v>
      </c>
      <c r="F46" s="29" t="s">
        <v>1396</v>
      </c>
      <c r="G46" s="29" t="s">
        <v>1495</v>
      </c>
    </row>
    <row r="47" spans="1:7">
      <c r="A47" s="29">
        <v>165</v>
      </c>
      <c r="B47" s="29" t="s">
        <v>1625</v>
      </c>
      <c r="C47" s="30">
        <v>13522</v>
      </c>
      <c r="D47" s="29" t="s">
        <v>1394</v>
      </c>
      <c r="E47" s="29" t="s">
        <v>1395</v>
      </c>
      <c r="F47" s="29" t="s">
        <v>1396</v>
      </c>
      <c r="G47" s="29" t="s">
        <v>1495</v>
      </c>
    </row>
    <row r="48" spans="1:7">
      <c r="A48" s="29">
        <v>2</v>
      </c>
      <c r="B48" s="29" t="s">
        <v>1698</v>
      </c>
      <c r="C48" s="30">
        <v>72776</v>
      </c>
      <c r="D48" s="29" t="s">
        <v>1492</v>
      </c>
      <c r="E48" s="29" t="s">
        <v>1493</v>
      </c>
      <c r="F48" s="29" t="s">
        <v>1494</v>
      </c>
      <c r="G48" s="29" t="s">
        <v>1495</v>
      </c>
    </row>
    <row r="49" spans="1:7">
      <c r="A49" s="29">
        <v>4</v>
      </c>
      <c r="B49" s="29" t="s">
        <v>1700</v>
      </c>
      <c r="C49" s="30">
        <v>1164</v>
      </c>
      <c r="D49" s="29" t="s">
        <v>1492</v>
      </c>
      <c r="E49" s="29" t="s">
        <v>1493</v>
      </c>
      <c r="F49" s="29" t="s">
        <v>1494</v>
      </c>
      <c r="G49" s="29" t="s">
        <v>1495</v>
      </c>
    </row>
    <row r="50" spans="1:7">
      <c r="A50" s="29">
        <v>5</v>
      </c>
      <c r="B50" s="29" t="s">
        <v>1701</v>
      </c>
      <c r="C50" s="30">
        <v>1366</v>
      </c>
      <c r="D50" s="29" t="s">
        <v>1492</v>
      </c>
      <c r="E50" s="29" t="s">
        <v>1493</v>
      </c>
      <c r="F50" s="29" t="s">
        <v>1494</v>
      </c>
      <c r="G50" s="29" t="s">
        <v>1495</v>
      </c>
    </row>
    <row r="51" spans="1:7">
      <c r="A51" s="29">
        <v>9</v>
      </c>
      <c r="B51" s="29" t="s">
        <v>1704</v>
      </c>
      <c r="C51" s="30">
        <v>8455</v>
      </c>
      <c r="D51" s="29" t="s">
        <v>1492</v>
      </c>
      <c r="E51" s="29" t="s">
        <v>1493</v>
      </c>
      <c r="F51" s="29" t="s">
        <v>1494</v>
      </c>
      <c r="G51" s="29" t="s">
        <v>1495</v>
      </c>
    </row>
    <row r="52" spans="1:7">
      <c r="A52" s="29">
        <v>12</v>
      </c>
      <c r="B52" s="29" t="s">
        <v>1706</v>
      </c>
      <c r="C52" s="30">
        <v>4142</v>
      </c>
      <c r="D52" s="29" t="s">
        <v>1492</v>
      </c>
      <c r="E52" s="29" t="s">
        <v>1493</v>
      </c>
      <c r="F52" s="29" t="s">
        <v>1494</v>
      </c>
      <c r="G52" s="29" t="s">
        <v>1495</v>
      </c>
    </row>
    <row r="53" spans="1:7">
      <c r="A53" s="29">
        <v>13</v>
      </c>
      <c r="B53" s="29" t="s">
        <v>1707</v>
      </c>
      <c r="C53" s="30">
        <v>4858</v>
      </c>
      <c r="D53" s="29" t="s">
        <v>1492</v>
      </c>
      <c r="E53" s="29" t="s">
        <v>1493</v>
      </c>
      <c r="F53" s="29" t="s">
        <v>1494</v>
      </c>
      <c r="G53" s="29" t="s">
        <v>1495</v>
      </c>
    </row>
    <row r="54" spans="1:7">
      <c r="A54" s="29">
        <v>18</v>
      </c>
      <c r="B54" s="29" t="s">
        <v>1711</v>
      </c>
      <c r="C54" s="30">
        <v>2029</v>
      </c>
      <c r="D54" s="29" t="s">
        <v>1492</v>
      </c>
      <c r="E54" s="29" t="s">
        <v>1493</v>
      </c>
      <c r="F54" s="29" t="s">
        <v>1494</v>
      </c>
      <c r="G54" s="29" t="s">
        <v>1495</v>
      </c>
    </row>
    <row r="55" spans="1:7">
      <c r="A55" s="29">
        <v>19</v>
      </c>
      <c r="B55" s="29" t="s">
        <v>1712</v>
      </c>
      <c r="C55" s="30">
        <v>26092</v>
      </c>
      <c r="D55" s="29" t="s">
        <v>1492</v>
      </c>
      <c r="E55" s="29" t="s">
        <v>1493</v>
      </c>
      <c r="F55" s="29" t="s">
        <v>1494</v>
      </c>
      <c r="G55" s="29" t="s">
        <v>1495</v>
      </c>
    </row>
    <row r="56" spans="1:7">
      <c r="A56" s="29">
        <v>22</v>
      </c>
      <c r="B56" s="29" t="s">
        <v>1714</v>
      </c>
      <c r="C56" s="30">
        <v>10074</v>
      </c>
      <c r="D56" s="29" t="s">
        <v>1492</v>
      </c>
      <c r="E56" s="29" t="s">
        <v>1493</v>
      </c>
      <c r="F56" s="29" t="s">
        <v>1494</v>
      </c>
      <c r="G56" s="29" t="s">
        <v>1495</v>
      </c>
    </row>
    <row r="57" spans="1:7">
      <c r="A57" s="29">
        <v>23</v>
      </c>
      <c r="B57" s="29" t="s">
        <v>1715</v>
      </c>
      <c r="C57" s="30">
        <v>2216</v>
      </c>
      <c r="D57" s="29" t="s">
        <v>1492</v>
      </c>
      <c r="E57" s="29" t="s">
        <v>1493</v>
      </c>
      <c r="F57" s="29" t="s">
        <v>1494</v>
      </c>
      <c r="G57" s="29" t="s">
        <v>1495</v>
      </c>
    </row>
    <row r="58" spans="1:7">
      <c r="A58" s="29">
        <v>24</v>
      </c>
      <c r="B58" s="29" t="s">
        <v>1716</v>
      </c>
      <c r="C58" s="30">
        <v>2577</v>
      </c>
      <c r="D58" s="29" t="s">
        <v>1492</v>
      </c>
      <c r="E58" s="29" t="s">
        <v>1493</v>
      </c>
      <c r="F58" s="29" t="s">
        <v>1494</v>
      </c>
      <c r="G58" s="29" t="s">
        <v>1495</v>
      </c>
    </row>
    <row r="59" spans="1:7">
      <c r="A59" s="29">
        <v>27</v>
      </c>
      <c r="B59" s="29" t="s">
        <v>1719</v>
      </c>
      <c r="C59" s="30">
        <v>9535</v>
      </c>
      <c r="D59" s="29" t="s">
        <v>1492</v>
      </c>
      <c r="E59" s="29" t="s">
        <v>1493</v>
      </c>
      <c r="F59" s="29" t="s">
        <v>1494</v>
      </c>
      <c r="G59" s="29" t="s">
        <v>1495</v>
      </c>
    </row>
    <row r="60" spans="1:7">
      <c r="A60" s="29">
        <v>28</v>
      </c>
      <c r="B60" s="29" t="s">
        <v>1720</v>
      </c>
      <c r="C60" s="30">
        <v>19708</v>
      </c>
      <c r="D60" s="29" t="s">
        <v>1492</v>
      </c>
      <c r="E60" s="29" t="s">
        <v>1493</v>
      </c>
      <c r="F60" s="29" t="s">
        <v>1494</v>
      </c>
      <c r="G60" s="29" t="s">
        <v>1495</v>
      </c>
    </row>
    <row r="61" spans="1:7">
      <c r="A61" s="29">
        <v>29</v>
      </c>
      <c r="B61" s="29" t="s">
        <v>1721</v>
      </c>
      <c r="C61" s="30">
        <v>280</v>
      </c>
      <c r="D61" s="29" t="s">
        <v>1492</v>
      </c>
      <c r="E61" s="29" t="s">
        <v>1493</v>
      </c>
      <c r="F61" s="29" t="s">
        <v>1494</v>
      </c>
      <c r="G61" s="29" t="s">
        <v>1495</v>
      </c>
    </row>
    <row r="62" spans="1:7">
      <c r="A62" s="29">
        <v>30</v>
      </c>
      <c r="B62" s="29" t="s">
        <v>1722</v>
      </c>
      <c r="C62" s="30">
        <v>1749</v>
      </c>
      <c r="D62" s="29" t="s">
        <v>1492</v>
      </c>
      <c r="E62" s="29" t="s">
        <v>1493</v>
      </c>
      <c r="F62" s="29" t="s">
        <v>1494</v>
      </c>
      <c r="G62" s="29" t="s">
        <v>1495</v>
      </c>
    </row>
    <row r="63" spans="1:7">
      <c r="A63" s="29">
        <v>32</v>
      </c>
      <c r="B63" s="29" t="s">
        <v>1724</v>
      </c>
      <c r="C63" s="30">
        <v>9751</v>
      </c>
      <c r="D63" s="29" t="s">
        <v>1492</v>
      </c>
      <c r="E63" s="29" t="s">
        <v>1493</v>
      </c>
      <c r="F63" s="29" t="s">
        <v>1494</v>
      </c>
      <c r="G63" s="29" t="s">
        <v>1495</v>
      </c>
    </row>
    <row r="64" spans="1:7">
      <c r="A64" s="29">
        <v>33</v>
      </c>
      <c r="B64" s="29" t="s">
        <v>1725</v>
      </c>
      <c r="C64" s="30">
        <v>16448</v>
      </c>
      <c r="D64" s="29" t="s">
        <v>1492</v>
      </c>
      <c r="E64" s="29" t="s">
        <v>1493</v>
      </c>
      <c r="F64" s="29" t="s">
        <v>1494</v>
      </c>
      <c r="G64" s="29" t="s">
        <v>1495</v>
      </c>
    </row>
    <row r="65" spans="1:7">
      <c r="A65" s="29">
        <v>35</v>
      </c>
      <c r="B65" s="29" t="s">
        <v>1727</v>
      </c>
      <c r="C65" s="30">
        <v>54</v>
      </c>
      <c r="D65" s="29" t="s">
        <v>1492</v>
      </c>
      <c r="E65" s="29" t="s">
        <v>1493</v>
      </c>
      <c r="F65" s="29" t="s">
        <v>1494</v>
      </c>
      <c r="G65" s="29" t="s">
        <v>1495</v>
      </c>
    </row>
    <row r="66" spans="1:7">
      <c r="A66" s="29">
        <v>37</v>
      </c>
      <c r="B66" s="29" t="s">
        <v>1729</v>
      </c>
      <c r="C66" s="30">
        <v>71836</v>
      </c>
      <c r="D66" s="29" t="s">
        <v>1492</v>
      </c>
      <c r="E66" s="29" t="s">
        <v>1493</v>
      </c>
      <c r="F66" s="29" t="s">
        <v>1494</v>
      </c>
      <c r="G66" s="29" t="s">
        <v>1495</v>
      </c>
    </row>
    <row r="67" spans="1:7">
      <c r="A67" s="29">
        <v>40</v>
      </c>
      <c r="B67" s="29" t="s">
        <v>1731</v>
      </c>
      <c r="C67" s="30">
        <v>1137</v>
      </c>
      <c r="D67" s="29" t="s">
        <v>1492</v>
      </c>
      <c r="E67" s="29" t="s">
        <v>1493</v>
      </c>
      <c r="F67" s="29" t="s">
        <v>1494</v>
      </c>
      <c r="G67" s="29" t="s">
        <v>1495</v>
      </c>
    </row>
    <row r="68" spans="1:7">
      <c r="A68" s="29">
        <v>41</v>
      </c>
      <c r="B68" s="29" t="s">
        <v>1732</v>
      </c>
      <c r="C68" s="30">
        <v>6342</v>
      </c>
      <c r="D68" s="29" t="s">
        <v>1492</v>
      </c>
      <c r="E68" s="29" t="s">
        <v>1493</v>
      </c>
      <c r="F68" s="29" t="s">
        <v>1494</v>
      </c>
      <c r="G68" s="29" t="s">
        <v>1495</v>
      </c>
    </row>
    <row r="69" spans="1:7">
      <c r="A69" s="29">
        <v>42</v>
      </c>
      <c r="B69" s="29" t="s">
        <v>1733</v>
      </c>
      <c r="C69" s="30">
        <v>22422</v>
      </c>
      <c r="D69" s="29" t="s">
        <v>1492</v>
      </c>
      <c r="E69" s="29" t="s">
        <v>1493</v>
      </c>
      <c r="F69" s="29" t="s">
        <v>1494</v>
      </c>
      <c r="G69" s="29" t="s">
        <v>1495</v>
      </c>
    </row>
    <row r="70" spans="1:7">
      <c r="A70" s="29">
        <v>45</v>
      </c>
      <c r="B70" s="29" t="s">
        <v>1736</v>
      </c>
      <c r="C70" s="30">
        <v>13487</v>
      </c>
      <c r="D70" s="29" t="s">
        <v>1492</v>
      </c>
      <c r="E70" s="29" t="s">
        <v>1493</v>
      </c>
      <c r="F70" s="29" t="s">
        <v>1494</v>
      </c>
      <c r="G70" s="29" t="s">
        <v>1495</v>
      </c>
    </row>
    <row r="71" spans="1:7">
      <c r="A71" s="29">
        <v>47</v>
      </c>
      <c r="B71" s="29" t="s">
        <v>1738</v>
      </c>
      <c r="C71" s="30">
        <v>13247</v>
      </c>
      <c r="D71" s="29" t="s">
        <v>1492</v>
      </c>
      <c r="E71" s="29" t="s">
        <v>1493</v>
      </c>
      <c r="F71" s="29" t="s">
        <v>1494</v>
      </c>
      <c r="G71" s="29" t="s">
        <v>1495</v>
      </c>
    </row>
    <row r="72" spans="1:7">
      <c r="A72" s="29">
        <v>39</v>
      </c>
      <c r="B72" s="29" t="s">
        <v>1730</v>
      </c>
      <c r="C72" s="30">
        <v>2279</v>
      </c>
      <c r="D72" s="29" t="s">
        <v>1492</v>
      </c>
      <c r="E72" s="29" t="s">
        <v>1493</v>
      </c>
      <c r="F72" s="29" t="s">
        <v>1494</v>
      </c>
      <c r="G72" s="29" t="s">
        <v>1495</v>
      </c>
    </row>
    <row r="73" spans="1:7">
      <c r="A73" s="29">
        <v>46</v>
      </c>
      <c r="B73" s="29" t="s">
        <v>1737</v>
      </c>
      <c r="C73" s="30">
        <v>139</v>
      </c>
      <c r="D73" s="29" t="s">
        <v>1492</v>
      </c>
      <c r="E73" s="29" t="s">
        <v>1493</v>
      </c>
      <c r="F73" s="29" t="s">
        <v>1494</v>
      </c>
      <c r="G73" s="29" t="s">
        <v>1495</v>
      </c>
    </row>
    <row r="74" spans="1:7">
      <c r="A74" s="29">
        <v>48</v>
      </c>
      <c r="B74" s="29" t="s">
        <v>1739</v>
      </c>
      <c r="C74" s="30">
        <v>13163</v>
      </c>
      <c r="D74" s="29" t="s">
        <v>1492</v>
      </c>
      <c r="E74" s="29" t="s">
        <v>1493</v>
      </c>
      <c r="F74" s="29" t="s">
        <v>1494</v>
      </c>
      <c r="G74" s="29" t="s">
        <v>1495</v>
      </c>
    </row>
    <row r="75" spans="1:7">
      <c r="A75" s="29">
        <v>53</v>
      </c>
      <c r="B75" s="29" t="s">
        <v>1744</v>
      </c>
      <c r="C75" s="30">
        <v>2703</v>
      </c>
      <c r="D75" s="29" t="s">
        <v>1492</v>
      </c>
      <c r="E75" s="29" t="s">
        <v>1493</v>
      </c>
      <c r="F75" s="29" t="s">
        <v>1494</v>
      </c>
      <c r="G75" s="29" t="s">
        <v>1495</v>
      </c>
    </row>
    <row r="76" spans="1:7">
      <c r="A76" s="29">
        <v>54</v>
      </c>
      <c r="B76" s="29" t="s">
        <v>1745</v>
      </c>
      <c r="C76" s="30">
        <v>5968</v>
      </c>
      <c r="D76" s="29" t="s">
        <v>1492</v>
      </c>
      <c r="E76" s="29" t="s">
        <v>1493</v>
      </c>
      <c r="F76" s="29" t="s">
        <v>1494</v>
      </c>
      <c r="G76" s="29" t="s">
        <v>1495</v>
      </c>
    </row>
    <row r="77" spans="1:7">
      <c r="A77" s="29">
        <v>56</v>
      </c>
      <c r="B77" s="29" t="s">
        <v>1746</v>
      </c>
      <c r="C77" s="30">
        <v>3013</v>
      </c>
      <c r="D77" s="29" t="s">
        <v>1492</v>
      </c>
      <c r="E77" s="29" t="s">
        <v>1493</v>
      </c>
      <c r="F77" s="29" t="s">
        <v>1494</v>
      </c>
      <c r="G77" s="29" t="s">
        <v>1495</v>
      </c>
    </row>
    <row r="78" spans="1:7">
      <c r="A78" s="29">
        <v>58</v>
      </c>
      <c r="B78" s="29" t="s">
        <v>1748</v>
      </c>
      <c r="C78" s="30">
        <v>50886</v>
      </c>
      <c r="D78" s="29" t="s">
        <v>1492</v>
      </c>
      <c r="E78" s="29" t="s">
        <v>1493</v>
      </c>
      <c r="F78" s="29" t="s">
        <v>1494</v>
      </c>
      <c r="G78" s="29" t="s">
        <v>1495</v>
      </c>
    </row>
    <row r="79" spans="1:7">
      <c r="A79" s="29">
        <v>59</v>
      </c>
      <c r="B79" s="29" t="s">
        <v>1749</v>
      </c>
      <c r="C79" s="30">
        <v>65633</v>
      </c>
      <c r="D79" s="29" t="s">
        <v>1492</v>
      </c>
      <c r="E79" s="29" t="s">
        <v>1493</v>
      </c>
      <c r="F79" s="29" t="s">
        <v>1494</v>
      </c>
      <c r="G79" s="29" t="s">
        <v>1495</v>
      </c>
    </row>
    <row r="80" spans="1:7">
      <c r="A80" s="29">
        <v>60</v>
      </c>
      <c r="B80" s="29" t="s">
        <v>1750</v>
      </c>
      <c r="C80" s="30">
        <v>4571</v>
      </c>
      <c r="D80" s="29" t="s">
        <v>1492</v>
      </c>
      <c r="E80" s="29" t="s">
        <v>1493</v>
      </c>
      <c r="F80" s="29" t="s">
        <v>1494</v>
      </c>
      <c r="G80" s="29" t="s">
        <v>1495</v>
      </c>
    </row>
    <row r="81" spans="1:7">
      <c r="A81" s="29">
        <v>63</v>
      </c>
      <c r="B81" s="29" t="s">
        <v>1752</v>
      </c>
      <c r="C81" s="30">
        <v>1290</v>
      </c>
      <c r="D81" s="29" t="s">
        <v>1492</v>
      </c>
      <c r="E81" s="29" t="s">
        <v>1493</v>
      </c>
      <c r="F81" s="29" t="s">
        <v>1494</v>
      </c>
      <c r="G81" s="29" t="s">
        <v>1495</v>
      </c>
    </row>
    <row r="82" spans="1:7">
      <c r="A82" s="29">
        <v>65</v>
      </c>
      <c r="B82" s="29" t="s">
        <v>1754</v>
      </c>
      <c r="C82" s="30">
        <v>1780</v>
      </c>
      <c r="D82" s="29" t="s">
        <v>1492</v>
      </c>
      <c r="E82" s="29" t="s">
        <v>1493</v>
      </c>
      <c r="F82" s="29" t="s">
        <v>1494</v>
      </c>
      <c r="G82" s="29" t="s">
        <v>1495</v>
      </c>
    </row>
    <row r="83" spans="1:7">
      <c r="A83" s="29">
        <v>69</v>
      </c>
      <c r="B83" s="29" t="s">
        <v>1757</v>
      </c>
      <c r="C83" s="30">
        <v>90214</v>
      </c>
      <c r="D83" s="29" t="s">
        <v>1492</v>
      </c>
      <c r="E83" s="29" t="s">
        <v>1493</v>
      </c>
      <c r="F83" s="29" t="s">
        <v>1494</v>
      </c>
      <c r="G83" s="29" t="s">
        <v>1495</v>
      </c>
    </row>
    <row r="84" spans="1:7">
      <c r="A84" s="29">
        <v>71</v>
      </c>
      <c r="B84" s="29" t="s">
        <v>1758</v>
      </c>
      <c r="C84" s="30">
        <v>7436</v>
      </c>
      <c r="D84" s="29" t="s">
        <v>1492</v>
      </c>
      <c r="E84" s="29" t="s">
        <v>1493</v>
      </c>
      <c r="F84" s="29" t="s">
        <v>1494</v>
      </c>
      <c r="G84" s="29" t="s">
        <v>1495</v>
      </c>
    </row>
    <row r="85" spans="1:7">
      <c r="A85" s="29">
        <v>72</v>
      </c>
      <c r="B85" s="29" t="s">
        <v>1759</v>
      </c>
      <c r="C85" s="30">
        <v>17828</v>
      </c>
      <c r="D85" s="29" t="s">
        <v>1492</v>
      </c>
      <c r="E85" s="29" t="s">
        <v>1493</v>
      </c>
      <c r="F85" s="29" t="s">
        <v>1494</v>
      </c>
      <c r="G85" s="29" t="s">
        <v>1495</v>
      </c>
    </row>
    <row r="86" spans="1:7">
      <c r="A86" s="29">
        <v>73</v>
      </c>
      <c r="B86" s="29" t="s">
        <v>1760</v>
      </c>
      <c r="C86" s="30">
        <v>10432</v>
      </c>
      <c r="D86" s="29" t="s">
        <v>1492</v>
      </c>
      <c r="E86" s="29" t="s">
        <v>1493</v>
      </c>
      <c r="F86" s="29" t="s">
        <v>1494</v>
      </c>
      <c r="G86" s="29" t="s">
        <v>1495</v>
      </c>
    </row>
    <row r="87" spans="1:7">
      <c r="A87" s="29">
        <v>74</v>
      </c>
      <c r="B87" s="29" t="s">
        <v>1761</v>
      </c>
      <c r="C87" s="30">
        <v>1318</v>
      </c>
      <c r="D87" s="29" t="s">
        <v>1492</v>
      </c>
      <c r="E87" s="29" t="s">
        <v>1493</v>
      </c>
      <c r="F87" s="29" t="s">
        <v>1494</v>
      </c>
      <c r="G87" s="29" t="s">
        <v>1495</v>
      </c>
    </row>
    <row r="88" spans="1:7">
      <c r="A88" s="29">
        <v>76</v>
      </c>
      <c r="B88" s="29" t="s">
        <v>1762</v>
      </c>
      <c r="C88" s="30">
        <v>2185</v>
      </c>
      <c r="D88" s="29" t="s">
        <v>1492</v>
      </c>
      <c r="E88" s="29" t="s">
        <v>1493</v>
      </c>
      <c r="F88" s="29" t="s">
        <v>1494</v>
      </c>
      <c r="G88" s="29" t="s">
        <v>1495</v>
      </c>
    </row>
    <row r="89" spans="1:7">
      <c r="A89" s="29">
        <v>77</v>
      </c>
      <c r="B89" s="29" t="s">
        <v>1763</v>
      </c>
      <c r="C89" s="30">
        <v>238406</v>
      </c>
      <c r="D89" s="29" t="s">
        <v>1492</v>
      </c>
      <c r="E89" s="29" t="s">
        <v>1493</v>
      </c>
      <c r="F89" s="29" t="s">
        <v>1494</v>
      </c>
      <c r="G89" s="29" t="s">
        <v>1495</v>
      </c>
    </row>
    <row r="90" spans="1:7">
      <c r="A90" s="29">
        <v>85</v>
      </c>
      <c r="B90" s="29" t="s">
        <v>1769</v>
      </c>
      <c r="C90" s="30">
        <v>10059</v>
      </c>
      <c r="D90" s="29" t="s">
        <v>1492</v>
      </c>
      <c r="E90" s="29" t="s">
        <v>1493</v>
      </c>
      <c r="F90" s="29" t="s">
        <v>1494</v>
      </c>
      <c r="G90" s="29" t="s">
        <v>1495</v>
      </c>
    </row>
    <row r="91" spans="1:7">
      <c r="A91" s="29">
        <v>86</v>
      </c>
      <c r="B91" s="29" t="s">
        <v>1770</v>
      </c>
      <c r="C91" s="30">
        <v>27279</v>
      </c>
      <c r="D91" s="29" t="s">
        <v>1492</v>
      </c>
      <c r="E91" s="29" t="s">
        <v>1493</v>
      </c>
      <c r="F91" s="29" t="s">
        <v>1494</v>
      </c>
      <c r="G91" s="29" t="s">
        <v>1495</v>
      </c>
    </row>
    <row r="92" spans="1:7">
      <c r="A92" s="29">
        <v>90</v>
      </c>
      <c r="B92" s="29" t="s">
        <v>1773</v>
      </c>
      <c r="C92" s="30">
        <v>11</v>
      </c>
      <c r="D92" s="29" t="s">
        <v>1492</v>
      </c>
      <c r="E92" s="29" t="s">
        <v>1493</v>
      </c>
      <c r="F92" s="29" t="s">
        <v>1494</v>
      </c>
      <c r="G92" s="29" t="s">
        <v>1495</v>
      </c>
    </row>
    <row r="93" spans="1:7">
      <c r="A93" s="29">
        <v>91</v>
      </c>
      <c r="B93" s="29" t="s">
        <v>1774</v>
      </c>
      <c r="C93" s="30">
        <v>2472</v>
      </c>
      <c r="D93" s="29" t="s">
        <v>1492</v>
      </c>
      <c r="E93" s="29" t="s">
        <v>1493</v>
      </c>
      <c r="F93" s="29" t="s">
        <v>1494</v>
      </c>
      <c r="G93" s="29" t="s">
        <v>1495</v>
      </c>
    </row>
    <row r="94" spans="1:7">
      <c r="A94" s="29">
        <v>92</v>
      </c>
      <c r="B94" s="29" t="s">
        <v>1775</v>
      </c>
      <c r="C94" s="30">
        <v>2099</v>
      </c>
      <c r="D94" s="29" t="s">
        <v>1492</v>
      </c>
      <c r="E94" s="29" t="s">
        <v>1493</v>
      </c>
      <c r="F94" s="29" t="s">
        <v>1494</v>
      </c>
      <c r="G94" s="29" t="s">
        <v>1495</v>
      </c>
    </row>
    <row r="95" spans="1:7">
      <c r="A95" s="29">
        <v>97</v>
      </c>
      <c r="B95" s="29" t="s">
        <v>1780</v>
      </c>
      <c r="C95" s="30">
        <v>3901</v>
      </c>
      <c r="D95" s="29" t="s">
        <v>1492</v>
      </c>
      <c r="E95" s="29" t="s">
        <v>1493</v>
      </c>
      <c r="F95" s="29" t="s">
        <v>1494</v>
      </c>
      <c r="G95" s="29" t="s">
        <v>1495</v>
      </c>
    </row>
    <row r="96" spans="1:7">
      <c r="A96" s="29">
        <v>98</v>
      </c>
      <c r="B96" s="29" t="s">
        <v>1781</v>
      </c>
      <c r="C96" s="30">
        <v>241</v>
      </c>
      <c r="D96" s="29" t="s">
        <v>1492</v>
      </c>
      <c r="E96" s="29" t="s">
        <v>1493</v>
      </c>
      <c r="F96" s="29" t="s">
        <v>1494</v>
      </c>
      <c r="G96" s="29" t="s">
        <v>1495</v>
      </c>
    </row>
    <row r="97" spans="1:7">
      <c r="A97" s="29">
        <v>99</v>
      </c>
      <c r="B97" s="29" t="s">
        <v>1782</v>
      </c>
      <c r="C97" s="30">
        <v>11016</v>
      </c>
      <c r="D97" s="29" t="s">
        <v>1492</v>
      </c>
      <c r="E97" s="29" t="s">
        <v>1493</v>
      </c>
      <c r="F97" s="29" t="s">
        <v>1494</v>
      </c>
      <c r="G97" s="29" t="s">
        <v>1495</v>
      </c>
    </row>
    <row r="98" spans="1:7">
      <c r="A98" s="29">
        <v>101</v>
      </c>
      <c r="B98" s="29" t="s">
        <v>1784</v>
      </c>
      <c r="C98" s="30">
        <v>1880</v>
      </c>
      <c r="D98" s="29" t="s">
        <v>1492</v>
      </c>
      <c r="E98" s="29" t="s">
        <v>1493</v>
      </c>
      <c r="F98" s="29" t="s">
        <v>1494</v>
      </c>
      <c r="G98" s="29" t="s">
        <v>1495</v>
      </c>
    </row>
    <row r="99" spans="1:7">
      <c r="A99" s="29">
        <v>102</v>
      </c>
      <c r="B99" s="29" t="s">
        <v>1785</v>
      </c>
      <c r="C99" s="30">
        <v>6177</v>
      </c>
      <c r="D99" s="29" t="s">
        <v>1492</v>
      </c>
      <c r="E99" s="29" t="s">
        <v>1493</v>
      </c>
      <c r="F99" s="29" t="s">
        <v>1494</v>
      </c>
      <c r="G99" s="29" t="s">
        <v>1495</v>
      </c>
    </row>
    <row r="100" spans="1:7">
      <c r="A100" s="29">
        <v>106</v>
      </c>
      <c r="B100" s="29" t="s">
        <v>1788</v>
      </c>
      <c r="C100" s="30">
        <v>5736</v>
      </c>
      <c r="D100" s="29" t="s">
        <v>1492</v>
      </c>
      <c r="E100" s="29" t="s">
        <v>1493</v>
      </c>
      <c r="F100" s="29" t="s">
        <v>1494</v>
      </c>
      <c r="G100" s="29" t="s">
        <v>1495</v>
      </c>
    </row>
    <row r="101" spans="1:7">
      <c r="A101" s="29">
        <v>108</v>
      </c>
      <c r="B101" s="29" t="s">
        <v>1790</v>
      </c>
      <c r="C101" s="30">
        <v>1267</v>
      </c>
      <c r="D101" s="29" t="s">
        <v>1492</v>
      </c>
      <c r="E101" s="29" t="s">
        <v>1493</v>
      </c>
      <c r="F101" s="29" t="s">
        <v>1494</v>
      </c>
      <c r="G101" s="29" t="s">
        <v>1495</v>
      </c>
    </row>
    <row r="102" spans="1:7">
      <c r="A102" s="29">
        <v>109</v>
      </c>
      <c r="B102" s="29" t="s">
        <v>1791</v>
      </c>
      <c r="C102" s="30">
        <v>96192</v>
      </c>
      <c r="D102" s="29" t="s">
        <v>1492</v>
      </c>
      <c r="E102" s="29" t="s">
        <v>1493</v>
      </c>
      <c r="F102" s="29" t="s">
        <v>1494</v>
      </c>
      <c r="G102" s="29" t="s">
        <v>1495</v>
      </c>
    </row>
    <row r="103" spans="1:7">
      <c r="A103" s="29">
        <v>111</v>
      </c>
      <c r="B103" s="29" t="s">
        <v>1793</v>
      </c>
      <c r="C103" s="30">
        <v>10042</v>
      </c>
      <c r="D103" s="29" t="s">
        <v>1492</v>
      </c>
      <c r="E103" s="29" t="s">
        <v>1493</v>
      </c>
      <c r="F103" s="29" t="s">
        <v>1494</v>
      </c>
      <c r="G103" s="29" t="s">
        <v>1495</v>
      </c>
    </row>
    <row r="104" spans="1:7">
      <c r="A104" s="29">
        <v>112</v>
      </c>
      <c r="B104" s="29" t="s">
        <v>1794</v>
      </c>
      <c r="C104" s="30">
        <v>4273</v>
      </c>
      <c r="D104" s="29" t="s">
        <v>1492</v>
      </c>
      <c r="E104" s="29" t="s">
        <v>1493</v>
      </c>
      <c r="F104" s="29" t="s">
        <v>1494</v>
      </c>
      <c r="G104" s="29" t="s">
        <v>1495</v>
      </c>
    </row>
    <row r="105" spans="1:7">
      <c r="A105" s="29">
        <v>113</v>
      </c>
      <c r="B105" s="29" t="s">
        <v>1795</v>
      </c>
      <c r="C105" s="30">
        <v>12515</v>
      </c>
      <c r="D105" s="29" t="s">
        <v>1492</v>
      </c>
      <c r="E105" s="29" t="s">
        <v>1493</v>
      </c>
      <c r="F105" s="29" t="s">
        <v>1494</v>
      </c>
      <c r="G105" s="29" t="s">
        <v>1495</v>
      </c>
    </row>
    <row r="106" spans="1:7">
      <c r="A106" s="29">
        <v>114</v>
      </c>
      <c r="B106" s="29" t="s">
        <v>1796</v>
      </c>
      <c r="C106" s="30">
        <v>19191</v>
      </c>
      <c r="D106" s="29" t="s">
        <v>1492</v>
      </c>
      <c r="E106" s="29" t="s">
        <v>1493</v>
      </c>
      <c r="F106" s="29" t="s">
        <v>1494</v>
      </c>
      <c r="G106" s="29" t="s">
        <v>1495</v>
      </c>
    </row>
    <row r="107" spans="1:7">
      <c r="A107" s="29">
        <v>116</v>
      </c>
      <c r="B107" s="29" t="s">
        <v>1797</v>
      </c>
      <c r="C107" s="30">
        <v>49489</v>
      </c>
      <c r="D107" s="29" t="s">
        <v>1492</v>
      </c>
      <c r="E107" s="29" t="s">
        <v>1493</v>
      </c>
      <c r="F107" s="29" t="s">
        <v>1494</v>
      </c>
      <c r="G107" s="29" t="s">
        <v>1495</v>
      </c>
    </row>
    <row r="108" spans="1:7">
      <c r="A108" s="29">
        <v>117</v>
      </c>
      <c r="B108" s="29" t="s">
        <v>1798</v>
      </c>
      <c r="C108" s="30">
        <v>379</v>
      </c>
      <c r="D108" s="29" t="s">
        <v>1492</v>
      </c>
      <c r="E108" s="29" t="s">
        <v>1493</v>
      </c>
      <c r="F108" s="29" t="s">
        <v>1494</v>
      </c>
      <c r="G108" s="29" t="s">
        <v>1495</v>
      </c>
    </row>
    <row r="109" spans="1:7">
      <c r="A109" s="29">
        <v>201</v>
      </c>
      <c r="B109" s="29" t="s">
        <v>1054</v>
      </c>
      <c r="C109" s="30">
        <v>9373</v>
      </c>
      <c r="D109" s="29" t="s">
        <v>1492</v>
      </c>
      <c r="E109" s="29" t="s">
        <v>1493</v>
      </c>
      <c r="F109" s="29" t="s">
        <v>1494</v>
      </c>
      <c r="G109" s="29" t="s">
        <v>1495</v>
      </c>
    </row>
    <row r="110" spans="1:7">
      <c r="A110" s="29">
        <v>210</v>
      </c>
      <c r="B110" s="29" t="s">
        <v>1065</v>
      </c>
      <c r="C110" s="30">
        <v>1455</v>
      </c>
      <c r="D110" s="29" t="s">
        <v>1492</v>
      </c>
      <c r="E110" s="29" t="s">
        <v>1493</v>
      </c>
      <c r="F110" s="29" t="s">
        <v>1494</v>
      </c>
      <c r="G110" s="29" t="s">
        <v>1495</v>
      </c>
    </row>
    <row r="111" spans="1:7">
      <c r="A111" s="29">
        <v>212</v>
      </c>
      <c r="B111" s="29" t="s">
        <v>1067</v>
      </c>
      <c r="C111" s="30">
        <v>69</v>
      </c>
      <c r="D111" s="29" t="s">
        <v>1492</v>
      </c>
      <c r="E111" s="29" t="s">
        <v>1493</v>
      </c>
      <c r="F111" s="29" t="s">
        <v>1494</v>
      </c>
      <c r="G111" s="29" t="s">
        <v>1495</v>
      </c>
    </row>
    <row r="112" spans="1:7">
      <c r="A112" s="29">
        <v>213</v>
      </c>
      <c r="B112" s="29" t="s">
        <v>1068</v>
      </c>
      <c r="C112" s="30">
        <v>9779</v>
      </c>
      <c r="D112" s="29" t="s">
        <v>1492</v>
      </c>
      <c r="E112" s="29" t="s">
        <v>1493</v>
      </c>
      <c r="F112" s="29" t="s">
        <v>1494</v>
      </c>
      <c r="G112" s="29" t="s">
        <v>1495</v>
      </c>
    </row>
    <row r="113" spans="1:7">
      <c r="A113" s="29">
        <v>214</v>
      </c>
      <c r="B113" s="29" t="s">
        <v>1069</v>
      </c>
      <c r="C113" s="30">
        <v>3759</v>
      </c>
      <c r="D113" s="29" t="s">
        <v>1492</v>
      </c>
      <c r="E113" s="29" t="s">
        <v>1493</v>
      </c>
      <c r="F113" s="29" t="s">
        <v>1494</v>
      </c>
      <c r="G113" s="29" t="s">
        <v>1495</v>
      </c>
    </row>
    <row r="114" spans="1:7">
      <c r="A114" s="29">
        <v>215</v>
      </c>
      <c r="B114" s="29" t="s">
        <v>1070</v>
      </c>
      <c r="C114" s="30">
        <v>552</v>
      </c>
      <c r="D114" s="29" t="s">
        <v>1492</v>
      </c>
      <c r="E114" s="29" t="s">
        <v>1493</v>
      </c>
      <c r="F114" s="29" t="s">
        <v>1494</v>
      </c>
      <c r="G114" s="29" t="s">
        <v>1495</v>
      </c>
    </row>
    <row r="115" spans="1:7">
      <c r="A115" s="29">
        <v>216</v>
      </c>
      <c r="B115" s="29" t="s">
        <v>1073</v>
      </c>
      <c r="C115" s="30">
        <v>1971</v>
      </c>
      <c r="D115" s="29" t="s">
        <v>1492</v>
      </c>
      <c r="E115" s="29" t="s">
        <v>1493</v>
      </c>
      <c r="F115" s="29" t="s">
        <v>1494</v>
      </c>
      <c r="G115" s="29" t="s">
        <v>1495</v>
      </c>
    </row>
    <row r="116" spans="1:7">
      <c r="A116" s="29">
        <v>217</v>
      </c>
      <c r="B116" s="29" t="s">
        <v>1074</v>
      </c>
      <c r="C116" s="30">
        <v>10601</v>
      </c>
      <c r="D116" s="29" t="s">
        <v>1492</v>
      </c>
      <c r="E116" s="29" t="s">
        <v>1493</v>
      </c>
      <c r="F116" s="29" t="s">
        <v>1494</v>
      </c>
      <c r="G116" s="29" t="s">
        <v>1495</v>
      </c>
    </row>
    <row r="117" spans="1:7">
      <c r="A117" s="29">
        <v>218</v>
      </c>
      <c r="B117" s="29" t="s">
        <v>1075</v>
      </c>
      <c r="C117" s="30">
        <v>1665</v>
      </c>
      <c r="D117" s="29" t="s">
        <v>1492</v>
      </c>
      <c r="E117" s="29" t="s">
        <v>1493</v>
      </c>
      <c r="F117" s="29" t="s">
        <v>1494</v>
      </c>
      <c r="G117" s="29" t="s">
        <v>1495</v>
      </c>
    </row>
    <row r="118" spans="1:7">
      <c r="A118" s="29">
        <v>219</v>
      </c>
      <c r="B118" s="29" t="s">
        <v>1076</v>
      </c>
      <c r="C118" s="30">
        <v>47787</v>
      </c>
      <c r="D118" s="29" t="s">
        <v>1492</v>
      </c>
      <c r="E118" s="29" t="s">
        <v>1493</v>
      </c>
      <c r="F118" s="29" t="s">
        <v>1494</v>
      </c>
      <c r="G118" s="29" t="s">
        <v>1495</v>
      </c>
    </row>
    <row r="119" spans="1:7">
      <c r="A119" s="29">
        <v>204</v>
      </c>
      <c r="B119" s="29" t="s">
        <v>1055</v>
      </c>
      <c r="C119" s="30">
        <v>7430</v>
      </c>
      <c r="D119" s="29" t="s">
        <v>1492</v>
      </c>
      <c r="E119" s="29" t="s">
        <v>1493</v>
      </c>
      <c r="F119" s="29" t="s">
        <v>1494</v>
      </c>
      <c r="G119" s="29" t="s">
        <v>1495</v>
      </c>
    </row>
    <row r="120" spans="1:7">
      <c r="A120" s="29">
        <v>205</v>
      </c>
      <c r="B120" s="29" t="s">
        <v>1056</v>
      </c>
      <c r="C120" s="30">
        <v>2242</v>
      </c>
      <c r="D120" s="29" t="s">
        <v>1492</v>
      </c>
      <c r="E120" s="29" t="s">
        <v>1493</v>
      </c>
      <c r="F120" s="29" t="s">
        <v>1494</v>
      </c>
      <c r="G120" s="29" t="s">
        <v>1495</v>
      </c>
    </row>
    <row r="121" spans="1:7">
      <c r="A121" s="29">
        <v>206</v>
      </c>
      <c r="B121" s="29" t="s">
        <v>1057</v>
      </c>
      <c r="C121" s="30">
        <v>460</v>
      </c>
      <c r="D121" s="29" t="s">
        <v>1492</v>
      </c>
      <c r="E121" s="29" t="s">
        <v>1493</v>
      </c>
      <c r="F121" s="29" t="s">
        <v>1494</v>
      </c>
      <c r="G121" s="29" t="s">
        <v>1495</v>
      </c>
    </row>
    <row r="122" spans="1:7">
      <c r="A122" s="29">
        <v>207</v>
      </c>
      <c r="B122" s="29" t="s">
        <v>1058</v>
      </c>
      <c r="C122" s="30">
        <v>4255</v>
      </c>
      <c r="D122" s="29" t="s">
        <v>1492</v>
      </c>
      <c r="E122" s="29" t="s">
        <v>1493</v>
      </c>
      <c r="F122" s="29" t="s">
        <v>1494</v>
      </c>
      <c r="G122" s="29" t="s">
        <v>1495</v>
      </c>
    </row>
    <row r="123" spans="1:7">
      <c r="A123" s="29">
        <v>208</v>
      </c>
      <c r="B123" s="29" t="s">
        <v>1059</v>
      </c>
      <c r="C123" s="30">
        <v>7200</v>
      </c>
      <c r="D123" s="29" t="s">
        <v>1492</v>
      </c>
      <c r="E123" s="29" t="s">
        <v>1493</v>
      </c>
      <c r="F123" s="29" t="s">
        <v>1494</v>
      </c>
      <c r="G123" s="29" t="s">
        <v>1495</v>
      </c>
    </row>
    <row r="124" spans="1:7">
      <c r="A124" s="29">
        <v>118</v>
      </c>
      <c r="B124" s="29" t="s">
        <v>1799</v>
      </c>
      <c r="C124" s="30">
        <v>542</v>
      </c>
      <c r="D124" s="29" t="s">
        <v>1492</v>
      </c>
      <c r="E124" s="29" t="s">
        <v>1493</v>
      </c>
      <c r="F124" s="29" t="s">
        <v>1494</v>
      </c>
      <c r="G124" s="29" t="s">
        <v>1495</v>
      </c>
    </row>
    <row r="125" spans="1:7">
      <c r="A125" s="29">
        <v>119</v>
      </c>
      <c r="B125" s="29" t="s">
        <v>1800</v>
      </c>
      <c r="C125" s="30">
        <v>9829</v>
      </c>
      <c r="D125" s="29" t="s">
        <v>1492</v>
      </c>
      <c r="E125" s="29" t="s">
        <v>1493</v>
      </c>
      <c r="F125" s="29" t="s">
        <v>1494</v>
      </c>
      <c r="G125" s="29" t="s">
        <v>1495</v>
      </c>
    </row>
    <row r="126" spans="1:7">
      <c r="A126" s="29">
        <v>121</v>
      </c>
      <c r="B126" s="29" t="s">
        <v>1801</v>
      </c>
      <c r="C126" s="30">
        <v>3266</v>
      </c>
      <c r="D126" s="29" t="s">
        <v>1492</v>
      </c>
      <c r="E126" s="29" t="s">
        <v>1493</v>
      </c>
      <c r="F126" s="29" t="s">
        <v>1494</v>
      </c>
      <c r="G126" s="29" t="s">
        <v>1495</v>
      </c>
    </row>
    <row r="127" spans="1:7">
      <c r="A127" s="29">
        <v>123</v>
      </c>
      <c r="B127" s="29" t="s">
        <v>1803</v>
      </c>
      <c r="C127" s="30">
        <v>1586</v>
      </c>
      <c r="D127" s="29" t="s">
        <v>1492</v>
      </c>
      <c r="E127" s="29" t="s">
        <v>1493</v>
      </c>
      <c r="F127" s="29" t="s">
        <v>1494</v>
      </c>
      <c r="G127" s="29" t="s">
        <v>1495</v>
      </c>
    </row>
    <row r="128" spans="1:7">
      <c r="A128" s="29">
        <v>124</v>
      </c>
      <c r="B128" s="29" t="s">
        <v>1804</v>
      </c>
      <c r="C128" s="30">
        <v>46275</v>
      </c>
      <c r="D128" s="29" t="s">
        <v>1492</v>
      </c>
      <c r="E128" s="29" t="s">
        <v>1493</v>
      </c>
      <c r="F128" s="29" t="s">
        <v>1494</v>
      </c>
      <c r="G128" s="29" t="s">
        <v>1495</v>
      </c>
    </row>
    <row r="129" spans="1:7">
      <c r="A129" s="29">
        <v>127</v>
      </c>
      <c r="B129" s="29" t="s">
        <v>1807</v>
      </c>
      <c r="C129" s="30">
        <v>251</v>
      </c>
      <c r="D129" s="29" t="s">
        <v>1492</v>
      </c>
      <c r="E129" s="29" t="s">
        <v>1493</v>
      </c>
      <c r="F129" s="29" t="s">
        <v>1494</v>
      </c>
      <c r="G129" s="29" t="s">
        <v>1495</v>
      </c>
    </row>
    <row r="130" spans="1:7">
      <c r="A130" s="29">
        <v>129</v>
      </c>
      <c r="B130" s="29" t="s">
        <v>1809</v>
      </c>
      <c r="C130" s="30">
        <v>9249</v>
      </c>
      <c r="D130" s="29" t="s">
        <v>1492</v>
      </c>
      <c r="E130" s="29" t="s">
        <v>1493</v>
      </c>
      <c r="F130" s="29" t="s">
        <v>1494</v>
      </c>
      <c r="G130" s="29" t="s">
        <v>1495</v>
      </c>
    </row>
    <row r="131" spans="1:7">
      <c r="A131" s="29">
        <v>132</v>
      </c>
      <c r="B131" s="29" t="s">
        <v>1811</v>
      </c>
      <c r="C131" s="30">
        <v>10546</v>
      </c>
      <c r="D131" s="29" t="s">
        <v>1492</v>
      </c>
      <c r="E131" s="29" t="s">
        <v>1493</v>
      </c>
      <c r="F131" s="29" t="s">
        <v>1494</v>
      </c>
      <c r="G131" s="29" t="s">
        <v>1495</v>
      </c>
    </row>
    <row r="132" spans="1:7">
      <c r="A132" s="29">
        <v>133</v>
      </c>
      <c r="B132" s="29" t="s">
        <v>1812</v>
      </c>
      <c r="C132" s="30">
        <v>11761</v>
      </c>
      <c r="D132" s="29" t="s">
        <v>1492</v>
      </c>
      <c r="E132" s="29" t="s">
        <v>1493</v>
      </c>
      <c r="F132" s="29" t="s">
        <v>1494</v>
      </c>
      <c r="G132" s="29" t="s">
        <v>1495</v>
      </c>
    </row>
    <row r="133" spans="1:7">
      <c r="A133" s="29">
        <v>134</v>
      </c>
      <c r="B133" s="29" t="s">
        <v>1813</v>
      </c>
      <c r="C133" s="30">
        <v>22692</v>
      </c>
      <c r="D133" s="29" t="s">
        <v>1492</v>
      </c>
      <c r="E133" s="29" t="s">
        <v>1493</v>
      </c>
      <c r="F133" s="29" t="s">
        <v>1494</v>
      </c>
      <c r="G133" s="29" t="s">
        <v>1495</v>
      </c>
    </row>
    <row r="134" spans="1:7">
      <c r="A134" s="29">
        <v>136</v>
      </c>
      <c r="B134" s="29" t="s">
        <v>1815</v>
      </c>
      <c r="C134" s="30">
        <v>11528</v>
      </c>
      <c r="D134" s="29" t="s">
        <v>1492</v>
      </c>
      <c r="E134" s="29" t="s">
        <v>1493</v>
      </c>
      <c r="F134" s="29" t="s">
        <v>1494</v>
      </c>
      <c r="G134" s="29" t="s">
        <v>1495</v>
      </c>
    </row>
    <row r="135" spans="1:7">
      <c r="A135" s="29">
        <v>137</v>
      </c>
      <c r="B135" s="29" t="s">
        <v>1816</v>
      </c>
      <c r="C135" s="30">
        <v>19666</v>
      </c>
      <c r="D135" s="29" t="s">
        <v>1492</v>
      </c>
      <c r="E135" s="29" t="s">
        <v>1493</v>
      </c>
      <c r="F135" s="29" t="s">
        <v>1494</v>
      </c>
      <c r="G135" s="29" t="s">
        <v>1495</v>
      </c>
    </row>
    <row r="136" spans="1:7">
      <c r="A136" s="29">
        <v>139</v>
      </c>
      <c r="B136" s="29" t="s">
        <v>1818</v>
      </c>
      <c r="C136" s="30">
        <v>6314</v>
      </c>
      <c r="D136" s="29" t="s">
        <v>1492</v>
      </c>
      <c r="E136" s="29" t="s">
        <v>1493</v>
      </c>
      <c r="F136" s="29" t="s">
        <v>1494</v>
      </c>
      <c r="G136" s="29" t="s">
        <v>1495</v>
      </c>
    </row>
    <row r="137" spans="1:7">
      <c r="A137" s="29">
        <v>140</v>
      </c>
      <c r="B137" s="29" t="s">
        <v>1819</v>
      </c>
      <c r="C137" s="30">
        <v>11617</v>
      </c>
      <c r="D137" s="29" t="s">
        <v>1492</v>
      </c>
      <c r="E137" s="29" t="s">
        <v>1493</v>
      </c>
      <c r="F137" s="29" t="s">
        <v>1494</v>
      </c>
      <c r="G137" s="29" t="s">
        <v>1495</v>
      </c>
    </row>
    <row r="138" spans="1:7">
      <c r="A138" s="29">
        <v>141</v>
      </c>
      <c r="B138" s="29" t="s">
        <v>1820</v>
      </c>
      <c r="C138" s="30">
        <v>37358</v>
      </c>
      <c r="D138" s="29" t="s">
        <v>1492</v>
      </c>
      <c r="E138" s="29" t="s">
        <v>1493</v>
      </c>
      <c r="F138" s="29" t="s">
        <v>1494</v>
      </c>
      <c r="G138" s="29" t="s">
        <v>1495</v>
      </c>
    </row>
    <row r="139" spans="1:7">
      <c r="A139" s="29">
        <v>142</v>
      </c>
      <c r="B139" s="29" t="s">
        <v>1821</v>
      </c>
      <c r="C139" s="30">
        <v>9136</v>
      </c>
      <c r="D139" s="29" t="s">
        <v>1492</v>
      </c>
      <c r="E139" s="29" t="s">
        <v>1493</v>
      </c>
      <c r="F139" s="29" t="s">
        <v>1494</v>
      </c>
      <c r="G139" s="29" t="s">
        <v>1495</v>
      </c>
    </row>
    <row r="140" spans="1:7">
      <c r="A140" s="29">
        <v>143</v>
      </c>
      <c r="B140" s="29" t="s">
        <v>1822</v>
      </c>
      <c r="C140" s="30">
        <v>65592</v>
      </c>
      <c r="D140" s="29" t="s">
        <v>1492</v>
      </c>
      <c r="E140" s="29" t="s">
        <v>1493</v>
      </c>
      <c r="F140" s="29" t="s">
        <v>1494</v>
      </c>
      <c r="G140" s="29" t="s">
        <v>1495</v>
      </c>
    </row>
    <row r="141" spans="1:7">
      <c r="A141" s="29">
        <v>145</v>
      </c>
      <c r="B141" s="29" t="s">
        <v>1824</v>
      </c>
      <c r="C141" s="30">
        <v>1409</v>
      </c>
      <c r="D141" s="29" t="s">
        <v>1492</v>
      </c>
      <c r="E141" s="29" t="s">
        <v>1493</v>
      </c>
      <c r="F141" s="29" t="s">
        <v>1494</v>
      </c>
      <c r="G141" s="29" t="s">
        <v>1495</v>
      </c>
    </row>
    <row r="142" spans="1:7">
      <c r="A142" s="29">
        <v>147</v>
      </c>
      <c r="B142" s="29" t="s">
        <v>1826</v>
      </c>
      <c r="C142" s="30">
        <v>6314</v>
      </c>
      <c r="D142" s="29" t="s">
        <v>1492</v>
      </c>
      <c r="E142" s="29" t="s">
        <v>1493</v>
      </c>
      <c r="F142" s="29" t="s">
        <v>1494</v>
      </c>
      <c r="G142" s="29" t="s">
        <v>1495</v>
      </c>
    </row>
    <row r="143" spans="1:7">
      <c r="A143" s="29">
        <v>152</v>
      </c>
      <c r="B143" s="29" t="s">
        <v>1612</v>
      </c>
      <c r="C143" s="30">
        <v>13187</v>
      </c>
      <c r="D143" s="29" t="s">
        <v>1492</v>
      </c>
      <c r="E143" s="29" t="s">
        <v>1493</v>
      </c>
      <c r="F143" s="29" t="s">
        <v>1494</v>
      </c>
      <c r="G143" s="29" t="s">
        <v>1495</v>
      </c>
    </row>
    <row r="144" spans="1:7">
      <c r="A144" s="29">
        <v>153</v>
      </c>
      <c r="B144" s="29" t="s">
        <v>1613</v>
      </c>
      <c r="C144" s="30">
        <v>4196</v>
      </c>
      <c r="D144" s="29" t="s">
        <v>1492</v>
      </c>
      <c r="E144" s="29" t="s">
        <v>1493</v>
      </c>
      <c r="F144" s="29" t="s">
        <v>1494</v>
      </c>
      <c r="G144" s="29" t="s">
        <v>1495</v>
      </c>
    </row>
    <row r="145" spans="1:7">
      <c r="A145" s="29">
        <v>154</v>
      </c>
      <c r="B145" s="29" t="s">
        <v>1614</v>
      </c>
      <c r="C145" s="30">
        <v>874</v>
      </c>
      <c r="D145" s="29" t="s">
        <v>1492</v>
      </c>
      <c r="E145" s="29" t="s">
        <v>1493</v>
      </c>
      <c r="F145" s="29" t="s">
        <v>1494</v>
      </c>
      <c r="G145" s="29" t="s">
        <v>1495</v>
      </c>
    </row>
    <row r="146" spans="1:7">
      <c r="A146" s="29">
        <v>157</v>
      </c>
      <c r="B146" s="29" t="s">
        <v>1617</v>
      </c>
      <c r="C146" s="30">
        <v>392</v>
      </c>
      <c r="D146" s="29" t="s">
        <v>1492</v>
      </c>
      <c r="E146" s="29" t="s">
        <v>1493</v>
      </c>
      <c r="F146" s="29" t="s">
        <v>1494</v>
      </c>
      <c r="G146" s="29" t="s">
        <v>1495</v>
      </c>
    </row>
    <row r="147" spans="1:7">
      <c r="A147" s="29">
        <v>161</v>
      </c>
      <c r="B147" s="29" t="s">
        <v>1621</v>
      </c>
      <c r="C147" s="30">
        <v>488</v>
      </c>
      <c r="D147" s="29" t="s">
        <v>1492</v>
      </c>
      <c r="E147" s="29" t="s">
        <v>1493</v>
      </c>
      <c r="F147" s="29" t="s">
        <v>1494</v>
      </c>
      <c r="G147" s="29" t="s">
        <v>1495</v>
      </c>
    </row>
    <row r="148" spans="1:7">
      <c r="A148" s="29">
        <v>162</v>
      </c>
      <c r="B148" s="29" t="s">
        <v>1622</v>
      </c>
      <c r="C148" s="30">
        <v>10249</v>
      </c>
      <c r="D148" s="29" t="s">
        <v>1492</v>
      </c>
      <c r="E148" s="29" t="s">
        <v>1493</v>
      </c>
      <c r="F148" s="29" t="s">
        <v>1494</v>
      </c>
      <c r="G148" s="29" t="s">
        <v>1495</v>
      </c>
    </row>
    <row r="149" spans="1:7">
      <c r="A149" s="29">
        <v>163</v>
      </c>
      <c r="B149" s="29" t="s">
        <v>1623</v>
      </c>
      <c r="C149" s="30">
        <v>217992</v>
      </c>
      <c r="D149" s="29" t="s">
        <v>1492</v>
      </c>
      <c r="E149" s="29" t="s">
        <v>1493</v>
      </c>
      <c r="F149" s="29" t="s">
        <v>1494</v>
      </c>
      <c r="G149" s="29" t="s">
        <v>1495</v>
      </c>
    </row>
    <row r="150" spans="1:7">
      <c r="A150" s="29">
        <v>166</v>
      </c>
      <c r="B150" s="29" t="s">
        <v>1626</v>
      </c>
      <c r="C150" s="30">
        <v>4582</v>
      </c>
      <c r="D150" s="29" t="s">
        <v>1492</v>
      </c>
      <c r="E150" s="29" t="s">
        <v>1493</v>
      </c>
      <c r="F150" s="29" t="s">
        <v>1494</v>
      </c>
      <c r="G150" s="29" t="s">
        <v>1495</v>
      </c>
    </row>
    <row r="151" spans="1:7">
      <c r="A151" s="29">
        <v>169</v>
      </c>
      <c r="B151" s="29" t="s">
        <v>1628</v>
      </c>
      <c r="C151" s="30">
        <v>7994</v>
      </c>
      <c r="D151" s="29" t="s">
        <v>1492</v>
      </c>
      <c r="E151" s="29" t="s">
        <v>1493</v>
      </c>
      <c r="F151" s="29" t="s">
        <v>1494</v>
      </c>
      <c r="G151" s="29" t="s">
        <v>1495</v>
      </c>
    </row>
    <row r="152" spans="1:7" s="7" customFormat="1">
      <c r="A152" s="7">
        <v>15</v>
      </c>
      <c r="B152" s="7" t="s">
        <v>1709</v>
      </c>
      <c r="C152" s="34">
        <v>53826</v>
      </c>
      <c r="D152" s="7" t="s">
        <v>1321</v>
      </c>
      <c r="E152" s="7" t="s">
        <v>1322</v>
      </c>
      <c r="F152" s="7" t="s">
        <v>1323</v>
      </c>
      <c r="G152" s="7" t="s">
        <v>1495</v>
      </c>
    </row>
    <row r="153" spans="1:7">
      <c r="A153" s="29">
        <v>34</v>
      </c>
      <c r="B153" s="29" t="s">
        <v>1726</v>
      </c>
      <c r="C153" s="30">
        <v>20972</v>
      </c>
      <c r="D153" s="29" t="s">
        <v>1321</v>
      </c>
      <c r="E153" s="29" t="s">
        <v>1322</v>
      </c>
      <c r="F153" s="29" t="s">
        <v>1323</v>
      </c>
      <c r="G153" s="29" t="s">
        <v>1495</v>
      </c>
    </row>
    <row r="154" spans="1:7">
      <c r="A154" s="29">
        <v>43</v>
      </c>
      <c r="B154" s="29" t="s">
        <v>1734</v>
      </c>
      <c r="C154" s="30">
        <v>18432</v>
      </c>
      <c r="D154" s="29" t="s">
        <v>1321</v>
      </c>
      <c r="E154" s="29" t="s">
        <v>1322</v>
      </c>
      <c r="F154" s="29" t="s">
        <v>1323</v>
      </c>
      <c r="G154" s="29" t="s">
        <v>1495</v>
      </c>
    </row>
    <row r="155" spans="1:7">
      <c r="A155" s="29">
        <v>49</v>
      </c>
      <c r="B155" s="29" t="s">
        <v>1740</v>
      </c>
      <c r="C155" s="30">
        <v>10979</v>
      </c>
      <c r="D155" s="29" t="s">
        <v>1321</v>
      </c>
      <c r="E155" s="29" t="s">
        <v>1322</v>
      </c>
      <c r="F155" s="29" t="s">
        <v>1323</v>
      </c>
      <c r="G155" s="29" t="s">
        <v>1495</v>
      </c>
    </row>
    <row r="156" spans="1:7">
      <c r="A156" s="29">
        <v>64</v>
      </c>
      <c r="B156" s="29" t="s">
        <v>1753</v>
      </c>
      <c r="C156" s="30">
        <v>231356</v>
      </c>
      <c r="D156" s="29" t="s">
        <v>1321</v>
      </c>
      <c r="E156" s="29" t="s">
        <v>1322</v>
      </c>
      <c r="F156" s="29" t="s">
        <v>1323</v>
      </c>
      <c r="G156" s="29" t="s">
        <v>1495</v>
      </c>
    </row>
    <row r="157" spans="1:7">
      <c r="A157" s="29">
        <v>80</v>
      </c>
      <c r="B157" s="29" t="s">
        <v>1766</v>
      </c>
      <c r="C157" s="30">
        <v>23586</v>
      </c>
      <c r="D157" s="29" t="s">
        <v>1321</v>
      </c>
      <c r="E157" s="29" t="s">
        <v>1322</v>
      </c>
      <c r="F157" s="29" t="s">
        <v>1323</v>
      </c>
      <c r="G157" s="29" t="s">
        <v>1495</v>
      </c>
    </row>
    <row r="158" spans="1:7">
      <c r="A158" s="29">
        <v>83</v>
      </c>
      <c r="B158" s="29" t="s">
        <v>1767</v>
      </c>
      <c r="C158" s="30">
        <v>9486</v>
      </c>
      <c r="D158" s="29" t="s">
        <v>1321</v>
      </c>
      <c r="E158" s="29" t="s">
        <v>1322</v>
      </c>
      <c r="F158" s="29" t="s">
        <v>1323</v>
      </c>
      <c r="G158" s="29" t="s">
        <v>1495</v>
      </c>
    </row>
    <row r="159" spans="1:7">
      <c r="A159" s="29">
        <v>89</v>
      </c>
      <c r="B159" s="29" t="s">
        <v>1772</v>
      </c>
      <c r="C159" s="30">
        <v>33182</v>
      </c>
      <c r="D159" s="29" t="s">
        <v>1321</v>
      </c>
      <c r="E159" s="29" t="s">
        <v>1322</v>
      </c>
      <c r="F159" s="29" t="s">
        <v>1323</v>
      </c>
      <c r="G159" s="29" t="s">
        <v>1495</v>
      </c>
    </row>
    <row r="160" spans="1:7" s="9" customFormat="1">
      <c r="A160" s="9">
        <v>93</v>
      </c>
      <c r="B160" s="9" t="s">
        <v>1776</v>
      </c>
      <c r="C160" s="33">
        <v>53695</v>
      </c>
      <c r="D160" s="9" t="s">
        <v>1321</v>
      </c>
      <c r="E160" s="9" t="s">
        <v>1322</v>
      </c>
      <c r="F160" s="9" t="s">
        <v>1323</v>
      </c>
      <c r="G160" s="9" t="s">
        <v>1495</v>
      </c>
    </row>
    <row r="161" spans="1:7">
      <c r="A161" s="29">
        <v>95</v>
      </c>
      <c r="B161" s="29" t="s">
        <v>1778</v>
      </c>
      <c r="C161" s="30">
        <v>31534</v>
      </c>
      <c r="D161" s="29" t="s">
        <v>1321</v>
      </c>
      <c r="E161" s="29" t="s">
        <v>1322</v>
      </c>
      <c r="F161" s="29" t="s">
        <v>1323</v>
      </c>
      <c r="G161" s="29" t="s">
        <v>1495</v>
      </c>
    </row>
    <row r="162" spans="1:7">
      <c r="A162" s="29">
        <v>104</v>
      </c>
      <c r="B162" s="29" t="s">
        <v>1787</v>
      </c>
      <c r="C162" s="30">
        <v>15569</v>
      </c>
      <c r="D162" s="29" t="s">
        <v>1321</v>
      </c>
      <c r="E162" s="29" t="s">
        <v>1322</v>
      </c>
      <c r="F162" s="29" t="s">
        <v>1323</v>
      </c>
      <c r="G162" s="29" t="s">
        <v>1495</v>
      </c>
    </row>
    <row r="163" spans="1:7">
      <c r="A163" s="29">
        <v>135</v>
      </c>
      <c r="B163" s="29" t="s">
        <v>1814</v>
      </c>
      <c r="C163" s="30">
        <v>26429</v>
      </c>
      <c r="D163" s="29" t="s">
        <v>1321</v>
      </c>
      <c r="E163" s="29" t="s">
        <v>1322</v>
      </c>
      <c r="F163" s="29" t="s">
        <v>1323</v>
      </c>
      <c r="G163" s="29" t="s">
        <v>1495</v>
      </c>
    </row>
    <row r="164" spans="1:7">
      <c r="A164" s="29">
        <v>151</v>
      </c>
      <c r="B164" s="29" t="s">
        <v>1611</v>
      </c>
      <c r="C164" s="30">
        <v>23860</v>
      </c>
      <c r="D164" s="29" t="s">
        <v>1321</v>
      </c>
      <c r="E164" s="29" t="s">
        <v>1322</v>
      </c>
      <c r="F164" s="29" t="s">
        <v>1323</v>
      </c>
      <c r="G164" s="29" t="s">
        <v>1495</v>
      </c>
    </row>
    <row r="165" spans="1:7">
      <c r="B165" s="11" t="s">
        <v>450</v>
      </c>
      <c r="C165" s="28">
        <f>SUM(C2:C164)</f>
        <v>18167318</v>
      </c>
    </row>
    <row r="166" spans="1:7">
      <c r="B166" s="11" t="s">
        <v>451</v>
      </c>
      <c r="C166" s="28">
        <f>C5+C152</f>
        <v>1167363</v>
      </c>
    </row>
    <row r="167" spans="1:7">
      <c r="B167" s="11" t="s">
        <v>452</v>
      </c>
      <c r="C167" s="28">
        <f>C25+C160</f>
        <v>2380784</v>
      </c>
    </row>
    <row r="168" spans="1:7">
      <c r="B168" s="11"/>
      <c r="C168" s="28"/>
    </row>
    <row r="169" spans="1:7">
      <c r="A169" s="31">
        <v>62</v>
      </c>
      <c r="B169" s="31" t="s">
        <v>1751</v>
      </c>
      <c r="C169" s="32">
        <v>0</v>
      </c>
      <c r="D169" s="31" t="s">
        <v>1252</v>
      </c>
      <c r="E169" s="31" t="s">
        <v>1398</v>
      </c>
      <c r="F169" s="31" t="s">
        <v>1253</v>
      </c>
      <c r="G169" s="31" t="s">
        <v>1495</v>
      </c>
    </row>
    <row r="170" spans="1:7">
      <c r="A170" s="31">
        <v>62</v>
      </c>
      <c r="B170" s="31" t="s">
        <v>1751</v>
      </c>
      <c r="C170" s="32">
        <v>31053</v>
      </c>
      <c r="D170" s="31" t="s">
        <v>1254</v>
      </c>
      <c r="E170" s="31" t="s">
        <v>1398</v>
      </c>
      <c r="F170" s="31" t="s">
        <v>1253</v>
      </c>
      <c r="G170" s="31" t="s">
        <v>1495</v>
      </c>
    </row>
    <row r="171" spans="1:7" s="7" customFormat="1">
      <c r="A171" s="7">
        <v>15</v>
      </c>
      <c r="B171" s="7" t="s">
        <v>1709</v>
      </c>
      <c r="C171" s="34">
        <v>100000</v>
      </c>
      <c r="D171" s="7" t="s">
        <v>1363</v>
      </c>
      <c r="E171" s="7" t="s">
        <v>1398</v>
      </c>
      <c r="F171" s="7" t="s">
        <v>1399</v>
      </c>
      <c r="G171" s="7" t="s">
        <v>1495</v>
      </c>
    </row>
    <row r="172" spans="1:7">
      <c r="A172" s="31">
        <v>135</v>
      </c>
      <c r="B172" s="31" t="s">
        <v>1814</v>
      </c>
      <c r="C172" s="32">
        <v>35000</v>
      </c>
      <c r="D172" s="31" t="s">
        <v>1363</v>
      </c>
      <c r="E172" s="31" t="s">
        <v>1398</v>
      </c>
      <c r="F172" s="31" t="s">
        <v>1399</v>
      </c>
      <c r="G172" s="31" t="s">
        <v>1495</v>
      </c>
    </row>
    <row r="173" spans="1:7">
      <c r="A173" s="31">
        <v>7</v>
      </c>
      <c r="B173" s="31" t="s">
        <v>1702</v>
      </c>
      <c r="C173" s="32">
        <v>20000</v>
      </c>
      <c r="D173" s="31" t="s">
        <v>1397</v>
      </c>
      <c r="E173" s="31" t="s">
        <v>1398</v>
      </c>
      <c r="F173" s="31" t="s">
        <v>1399</v>
      </c>
      <c r="G173" s="31" t="s">
        <v>1495</v>
      </c>
    </row>
    <row r="174" spans="1:7" s="7" customFormat="1">
      <c r="A174" s="7">
        <v>15</v>
      </c>
      <c r="B174" s="7" t="s">
        <v>1709</v>
      </c>
      <c r="C174" s="34">
        <v>20000</v>
      </c>
      <c r="D174" s="7" t="s">
        <v>1397</v>
      </c>
      <c r="E174" s="7" t="s">
        <v>1398</v>
      </c>
      <c r="F174" s="7" t="s">
        <v>1399</v>
      </c>
      <c r="G174" s="7" t="s">
        <v>1495</v>
      </c>
    </row>
    <row r="175" spans="1:7">
      <c r="A175" s="31">
        <v>44</v>
      </c>
      <c r="B175" s="31" t="s">
        <v>1735</v>
      </c>
      <c r="C175" s="32">
        <v>10562</v>
      </c>
      <c r="D175" s="31" t="s">
        <v>1397</v>
      </c>
      <c r="E175" s="31" t="s">
        <v>1398</v>
      </c>
      <c r="F175" s="31" t="s">
        <v>1399</v>
      </c>
      <c r="G175" s="31" t="s">
        <v>1495</v>
      </c>
    </row>
    <row r="176" spans="1:7">
      <c r="A176" s="31">
        <v>62</v>
      </c>
      <c r="B176" s="31" t="s">
        <v>1751</v>
      </c>
      <c r="C176" s="32">
        <v>20000</v>
      </c>
      <c r="D176" s="31" t="s">
        <v>1397</v>
      </c>
      <c r="E176" s="31" t="s">
        <v>1398</v>
      </c>
      <c r="F176" s="31" t="s">
        <v>1399</v>
      </c>
      <c r="G176" s="31" t="s">
        <v>1495</v>
      </c>
    </row>
    <row r="177" spans="1:7">
      <c r="A177" s="31">
        <v>64</v>
      </c>
      <c r="B177" s="31" t="s">
        <v>1753</v>
      </c>
      <c r="C177" s="32">
        <v>19850</v>
      </c>
      <c r="D177" s="31" t="s">
        <v>1397</v>
      </c>
      <c r="E177" s="31" t="s">
        <v>1398</v>
      </c>
      <c r="F177" s="31" t="s">
        <v>1399</v>
      </c>
      <c r="G177" s="31" t="s">
        <v>1495</v>
      </c>
    </row>
    <row r="178" spans="1:7">
      <c r="A178" s="31">
        <v>83</v>
      </c>
      <c r="B178" s="31" t="s">
        <v>1767</v>
      </c>
      <c r="C178" s="32">
        <v>20000</v>
      </c>
      <c r="D178" s="31" t="s">
        <v>1397</v>
      </c>
      <c r="E178" s="31" t="s">
        <v>1398</v>
      </c>
      <c r="F178" s="31" t="s">
        <v>1399</v>
      </c>
      <c r="G178" s="31" t="s">
        <v>1495</v>
      </c>
    </row>
    <row r="179" spans="1:7">
      <c r="A179" s="31">
        <v>95</v>
      </c>
      <c r="B179" s="31" t="s">
        <v>1778</v>
      </c>
      <c r="C179" s="32">
        <v>20000</v>
      </c>
      <c r="D179" s="31" t="s">
        <v>1397</v>
      </c>
      <c r="E179" s="31" t="s">
        <v>1398</v>
      </c>
      <c r="F179" s="31" t="s">
        <v>1399</v>
      </c>
      <c r="G179" s="31" t="s">
        <v>1495</v>
      </c>
    </row>
    <row r="180" spans="1:7">
      <c r="A180" s="31">
        <v>96</v>
      </c>
      <c r="B180" s="31" t="s">
        <v>1779</v>
      </c>
      <c r="C180" s="32">
        <v>20000</v>
      </c>
      <c r="D180" s="31" t="s">
        <v>1397</v>
      </c>
      <c r="E180" s="31" t="s">
        <v>1398</v>
      </c>
      <c r="F180" s="31" t="s">
        <v>1399</v>
      </c>
      <c r="G180" s="31" t="s">
        <v>1495</v>
      </c>
    </row>
    <row r="181" spans="1:7">
      <c r="A181" s="31">
        <v>135</v>
      </c>
      <c r="B181" s="31" t="s">
        <v>1814</v>
      </c>
      <c r="C181" s="32">
        <v>20000</v>
      </c>
      <c r="D181" s="31" t="s">
        <v>1397</v>
      </c>
      <c r="E181" s="31" t="s">
        <v>1398</v>
      </c>
      <c r="F181" s="31" t="s">
        <v>1399</v>
      </c>
      <c r="G181" s="31" t="s">
        <v>1495</v>
      </c>
    </row>
    <row r="182" spans="1:7">
      <c r="A182" s="31">
        <v>151</v>
      </c>
      <c r="B182" s="31" t="s">
        <v>1611</v>
      </c>
      <c r="C182" s="32">
        <v>50000</v>
      </c>
      <c r="D182" s="31" t="s">
        <v>1397</v>
      </c>
      <c r="E182" s="31" t="s">
        <v>1398</v>
      </c>
      <c r="F182" s="31" t="s">
        <v>1399</v>
      </c>
      <c r="G182" s="31" t="s">
        <v>1495</v>
      </c>
    </row>
    <row r="183" spans="1:7">
      <c r="A183" s="31">
        <v>135</v>
      </c>
      <c r="B183" s="31" t="s">
        <v>1814</v>
      </c>
      <c r="C183" s="32">
        <v>50000</v>
      </c>
      <c r="D183" s="31" t="s">
        <v>1036</v>
      </c>
      <c r="E183" s="31" t="s">
        <v>1398</v>
      </c>
      <c r="F183" s="31" t="s">
        <v>1399</v>
      </c>
      <c r="G183" s="31" t="s">
        <v>1495</v>
      </c>
    </row>
    <row r="184" spans="1:7">
      <c r="A184" s="31">
        <v>62</v>
      </c>
      <c r="B184" s="31" t="s">
        <v>1751</v>
      </c>
      <c r="C184" s="32">
        <v>-31053</v>
      </c>
      <c r="D184" s="31" t="s">
        <v>1255</v>
      </c>
      <c r="E184" s="31" t="s">
        <v>1398</v>
      </c>
      <c r="F184" s="31" t="s">
        <v>1399</v>
      </c>
      <c r="G184" s="31" t="s">
        <v>1495</v>
      </c>
    </row>
    <row r="185" spans="1:7" s="7" customFormat="1">
      <c r="A185" s="7">
        <v>15</v>
      </c>
      <c r="B185" s="7" t="s">
        <v>1709</v>
      </c>
      <c r="C185" s="34">
        <v>50000</v>
      </c>
      <c r="D185" s="7" t="s">
        <v>1364</v>
      </c>
      <c r="E185" s="7" t="s">
        <v>1398</v>
      </c>
      <c r="F185" s="7" t="s">
        <v>1399</v>
      </c>
      <c r="G185" s="7" t="s">
        <v>1495</v>
      </c>
    </row>
    <row r="186" spans="1:7">
      <c r="A186" s="31">
        <v>135</v>
      </c>
      <c r="B186" s="31" t="s">
        <v>1814</v>
      </c>
      <c r="C186" s="32">
        <v>50000</v>
      </c>
      <c r="D186" s="31" t="s">
        <v>1364</v>
      </c>
      <c r="E186" s="31" t="s">
        <v>1398</v>
      </c>
      <c r="F186" s="31" t="s">
        <v>1399</v>
      </c>
      <c r="G186" s="31" t="s">
        <v>1495</v>
      </c>
    </row>
    <row r="187" spans="1:7">
      <c r="A187" s="31">
        <v>64</v>
      </c>
      <c r="B187" s="31" t="s">
        <v>1753</v>
      </c>
      <c r="C187" s="32">
        <v>18895</v>
      </c>
      <c r="D187" s="31" t="s">
        <v>1171</v>
      </c>
      <c r="E187" s="31" t="s">
        <v>1398</v>
      </c>
      <c r="F187" s="31" t="s">
        <v>1399</v>
      </c>
      <c r="G187" s="31" t="s">
        <v>1495</v>
      </c>
    </row>
    <row r="188" spans="1:7">
      <c r="A188" s="31">
        <v>151</v>
      </c>
      <c r="B188" s="31" t="s">
        <v>1611</v>
      </c>
      <c r="C188" s="32">
        <v>25000</v>
      </c>
      <c r="D188" s="31" t="s">
        <v>1171</v>
      </c>
      <c r="E188" s="31" t="s">
        <v>1398</v>
      </c>
      <c r="F188" s="31" t="s">
        <v>1399</v>
      </c>
      <c r="G188" s="31" t="s">
        <v>1495</v>
      </c>
    </row>
    <row r="189" spans="1:7">
      <c r="A189" s="31">
        <v>62</v>
      </c>
      <c r="B189" s="31" t="s">
        <v>1751</v>
      </c>
      <c r="C189" s="32">
        <v>35000</v>
      </c>
      <c r="D189" s="31" t="s">
        <v>1148</v>
      </c>
      <c r="E189" s="31" t="s">
        <v>1398</v>
      </c>
      <c r="F189" s="31" t="s">
        <v>1149</v>
      </c>
      <c r="G189" s="31" t="s">
        <v>1495</v>
      </c>
    </row>
    <row r="190" spans="1:7">
      <c r="A190" s="31">
        <v>83</v>
      </c>
      <c r="B190" s="31" t="s">
        <v>1767</v>
      </c>
      <c r="C190" s="32">
        <v>35000</v>
      </c>
      <c r="D190" s="31" t="s">
        <v>1148</v>
      </c>
      <c r="E190" s="31" t="s">
        <v>1398</v>
      </c>
      <c r="F190" s="31" t="s">
        <v>1149</v>
      </c>
      <c r="G190" s="31" t="s">
        <v>1495</v>
      </c>
    </row>
    <row r="191" spans="1:7" s="9" customFormat="1">
      <c r="A191" s="9">
        <v>93</v>
      </c>
      <c r="B191" s="9" t="s">
        <v>1776</v>
      </c>
      <c r="C191" s="33">
        <v>35000</v>
      </c>
      <c r="D191" s="9" t="s">
        <v>1148</v>
      </c>
      <c r="E191" s="9" t="s">
        <v>1398</v>
      </c>
      <c r="F191" s="9" t="s">
        <v>1149</v>
      </c>
      <c r="G191" s="9" t="s">
        <v>1495</v>
      </c>
    </row>
    <row r="192" spans="1:7">
      <c r="A192" s="31">
        <v>95</v>
      </c>
      <c r="B192" s="31" t="s">
        <v>1778</v>
      </c>
      <c r="C192" s="32">
        <v>35000</v>
      </c>
      <c r="D192" s="31" t="s">
        <v>1148</v>
      </c>
      <c r="E192" s="31" t="s">
        <v>1398</v>
      </c>
      <c r="F192" s="31" t="s">
        <v>1149</v>
      </c>
      <c r="G192" s="31" t="s">
        <v>1495</v>
      </c>
    </row>
    <row r="193" spans="1:7">
      <c r="A193" s="31">
        <v>148</v>
      </c>
      <c r="B193" s="31" t="s">
        <v>1827</v>
      </c>
      <c r="C193" s="32">
        <v>35000</v>
      </c>
      <c r="D193" s="31" t="s">
        <v>1148</v>
      </c>
      <c r="E193" s="31" t="s">
        <v>1398</v>
      </c>
      <c r="F193" s="31" t="s">
        <v>1149</v>
      </c>
      <c r="G193" s="31" t="s">
        <v>1495</v>
      </c>
    </row>
    <row r="194" spans="1:7">
      <c r="A194" s="31">
        <v>151</v>
      </c>
      <c r="B194" s="31" t="s">
        <v>1611</v>
      </c>
      <c r="C194" s="32">
        <v>35000</v>
      </c>
      <c r="D194" s="31" t="s">
        <v>1148</v>
      </c>
      <c r="E194" s="31" t="s">
        <v>1398</v>
      </c>
      <c r="F194" s="31" t="s">
        <v>1149</v>
      </c>
      <c r="G194" s="31" t="s">
        <v>1495</v>
      </c>
    </row>
    <row r="195" spans="1:7">
      <c r="A195" s="31">
        <v>148</v>
      </c>
      <c r="B195" s="31" t="s">
        <v>1827</v>
      </c>
      <c r="C195" s="32">
        <v>17000</v>
      </c>
      <c r="D195" s="31" t="s">
        <v>1041</v>
      </c>
      <c r="E195" s="31" t="s">
        <v>1398</v>
      </c>
      <c r="F195" s="31" t="s">
        <v>1149</v>
      </c>
      <c r="G195" s="31" t="s">
        <v>1495</v>
      </c>
    </row>
    <row r="196" spans="1:7">
      <c r="A196" s="31">
        <v>241</v>
      </c>
      <c r="B196" s="31" t="s">
        <v>1078</v>
      </c>
      <c r="C196" s="32"/>
      <c r="D196" s="31" t="s">
        <v>1150</v>
      </c>
      <c r="E196" s="31" t="s">
        <v>1398</v>
      </c>
      <c r="F196" s="31" t="s">
        <v>1149</v>
      </c>
      <c r="G196" s="31" t="s">
        <v>1495</v>
      </c>
    </row>
    <row r="197" spans="1:7">
      <c r="A197" s="31">
        <v>62</v>
      </c>
      <c r="B197" s="31" t="s">
        <v>1751</v>
      </c>
      <c r="C197" s="32">
        <v>50000</v>
      </c>
      <c r="D197" s="31" t="s">
        <v>1150</v>
      </c>
      <c r="E197" s="31" t="s">
        <v>1398</v>
      </c>
      <c r="F197" s="31" t="s">
        <v>1149</v>
      </c>
      <c r="G197" s="31" t="s">
        <v>1495</v>
      </c>
    </row>
    <row r="198" spans="1:7">
      <c r="A198" s="31">
        <v>64</v>
      </c>
      <c r="B198" s="31" t="s">
        <v>1753</v>
      </c>
      <c r="C198" s="32">
        <v>50000</v>
      </c>
      <c r="D198" s="31" t="s">
        <v>1150</v>
      </c>
      <c r="E198" s="31" t="s">
        <v>1398</v>
      </c>
      <c r="F198" s="31" t="s">
        <v>1149</v>
      </c>
      <c r="G198" s="31" t="s">
        <v>1495</v>
      </c>
    </row>
    <row r="199" spans="1:7" s="9" customFormat="1">
      <c r="A199" s="9">
        <v>93</v>
      </c>
      <c r="B199" s="9" t="s">
        <v>1776</v>
      </c>
      <c r="C199" s="33">
        <v>50000</v>
      </c>
      <c r="D199" s="9" t="s">
        <v>1150</v>
      </c>
      <c r="E199" s="9" t="s">
        <v>1398</v>
      </c>
      <c r="F199" s="9" t="s">
        <v>1149</v>
      </c>
      <c r="G199" s="9" t="s">
        <v>1495</v>
      </c>
    </row>
    <row r="200" spans="1:7">
      <c r="A200" s="31">
        <v>95</v>
      </c>
      <c r="B200" s="31" t="s">
        <v>1778</v>
      </c>
      <c r="C200" s="32">
        <v>50000</v>
      </c>
      <c r="D200" s="31" t="s">
        <v>1150</v>
      </c>
      <c r="E200" s="31" t="s">
        <v>1398</v>
      </c>
      <c r="F200" s="31" t="s">
        <v>1149</v>
      </c>
      <c r="G200" s="31" t="s">
        <v>1495</v>
      </c>
    </row>
    <row r="201" spans="1:7">
      <c r="A201" s="31">
        <v>110</v>
      </c>
      <c r="B201" s="31" t="s">
        <v>1792</v>
      </c>
      <c r="C201" s="32">
        <v>30908</v>
      </c>
      <c r="D201" s="31" t="s">
        <v>1150</v>
      </c>
      <c r="E201" s="31" t="s">
        <v>1398</v>
      </c>
      <c r="F201" s="31" t="s">
        <v>1149</v>
      </c>
      <c r="G201" s="31" t="s">
        <v>1495</v>
      </c>
    </row>
    <row r="202" spans="1:7">
      <c r="A202" s="31">
        <v>155</v>
      </c>
      <c r="B202" s="31" t="s">
        <v>1615</v>
      </c>
      <c r="C202" s="32">
        <v>50000</v>
      </c>
      <c r="D202" s="31" t="s">
        <v>1150</v>
      </c>
      <c r="E202" s="31" t="s">
        <v>1398</v>
      </c>
      <c r="F202" s="31" t="s">
        <v>1149</v>
      </c>
      <c r="G202" s="31" t="s">
        <v>1495</v>
      </c>
    </row>
    <row r="203" spans="1:7">
      <c r="A203" s="31">
        <v>241</v>
      </c>
      <c r="B203" s="31" t="s">
        <v>1078</v>
      </c>
      <c r="C203" s="32"/>
      <c r="D203" s="31" t="s">
        <v>1130</v>
      </c>
      <c r="E203" s="31" t="s">
        <v>1398</v>
      </c>
      <c r="F203" s="31" t="s">
        <v>1149</v>
      </c>
      <c r="G203" s="31" t="s">
        <v>1495</v>
      </c>
    </row>
    <row r="204" spans="1:7">
      <c r="A204" s="31">
        <v>95</v>
      </c>
      <c r="B204" s="31" t="s">
        <v>1778</v>
      </c>
      <c r="C204" s="32">
        <v>12336</v>
      </c>
      <c r="D204" s="31" t="s">
        <v>1130</v>
      </c>
      <c r="E204" s="31" t="s">
        <v>1398</v>
      </c>
      <c r="F204" s="31" t="s">
        <v>1149</v>
      </c>
      <c r="G204" s="31" t="s">
        <v>1495</v>
      </c>
    </row>
    <row r="205" spans="1:7">
      <c r="A205" s="31">
        <v>62</v>
      </c>
      <c r="B205" s="31" t="s">
        <v>1751</v>
      </c>
      <c r="C205" s="32">
        <v>50000</v>
      </c>
      <c r="D205" s="31" t="s">
        <v>1151</v>
      </c>
      <c r="E205" s="31" t="s">
        <v>1398</v>
      </c>
      <c r="F205" s="31" t="s">
        <v>1149</v>
      </c>
      <c r="G205" s="31" t="s">
        <v>1495</v>
      </c>
    </row>
    <row r="206" spans="1:7">
      <c r="A206" s="31">
        <v>83</v>
      </c>
      <c r="B206" s="31" t="s">
        <v>1767</v>
      </c>
      <c r="C206" s="32">
        <v>50000</v>
      </c>
      <c r="D206" s="31" t="s">
        <v>1151</v>
      </c>
      <c r="E206" s="31" t="s">
        <v>1398</v>
      </c>
      <c r="F206" s="31" t="s">
        <v>1149</v>
      </c>
      <c r="G206" s="31" t="s">
        <v>1495</v>
      </c>
    </row>
    <row r="207" spans="1:7">
      <c r="A207" s="31">
        <v>95</v>
      </c>
      <c r="B207" s="31" t="s">
        <v>1778</v>
      </c>
      <c r="C207" s="32">
        <v>50000</v>
      </c>
      <c r="D207" s="31" t="s">
        <v>1151</v>
      </c>
      <c r="E207" s="31" t="s">
        <v>1398</v>
      </c>
      <c r="F207" s="31" t="s">
        <v>1149</v>
      </c>
      <c r="G207" s="31" t="s">
        <v>1495</v>
      </c>
    </row>
    <row r="208" spans="1:7">
      <c r="A208" s="31">
        <v>83</v>
      </c>
      <c r="B208" s="31" t="s">
        <v>1767</v>
      </c>
      <c r="C208" s="32">
        <v>50000</v>
      </c>
      <c r="D208" s="31" t="s">
        <v>1095</v>
      </c>
      <c r="E208" s="31" t="s">
        <v>1398</v>
      </c>
      <c r="F208" s="31" t="s">
        <v>1149</v>
      </c>
      <c r="G208" s="31" t="s">
        <v>1495</v>
      </c>
    </row>
    <row r="209" spans="1:7">
      <c r="A209" s="31">
        <v>83</v>
      </c>
      <c r="B209" s="31" t="s">
        <v>1767</v>
      </c>
      <c r="C209" s="32">
        <v>35000</v>
      </c>
      <c r="D209" s="31" t="s">
        <v>1096</v>
      </c>
      <c r="E209" s="31" t="s">
        <v>1398</v>
      </c>
      <c r="F209" s="31" t="s">
        <v>1149</v>
      </c>
      <c r="G209" s="31" t="s">
        <v>1495</v>
      </c>
    </row>
    <row r="210" spans="1:7">
      <c r="A210" s="31">
        <v>89</v>
      </c>
      <c r="B210" s="31" t="s">
        <v>1772</v>
      </c>
      <c r="C210" s="32">
        <v>35000</v>
      </c>
      <c r="D210" s="31" t="s">
        <v>1096</v>
      </c>
      <c r="E210" s="31" t="s">
        <v>1398</v>
      </c>
      <c r="F210" s="31" t="s">
        <v>1149</v>
      </c>
      <c r="G210" s="31" t="s">
        <v>1495</v>
      </c>
    </row>
    <row r="211" spans="1:7">
      <c r="A211" s="31">
        <v>253</v>
      </c>
      <c r="B211" s="31" t="s">
        <v>931</v>
      </c>
      <c r="C211" s="32"/>
      <c r="D211" s="31" t="s">
        <v>1140</v>
      </c>
      <c r="E211" s="31" t="s">
        <v>1398</v>
      </c>
      <c r="F211" s="31" t="s">
        <v>1422</v>
      </c>
      <c r="G211" s="31" t="s">
        <v>1495</v>
      </c>
    </row>
    <row r="212" spans="1:7">
      <c r="A212" s="31">
        <v>126</v>
      </c>
      <c r="B212" s="31" t="s">
        <v>1806</v>
      </c>
      <c r="C212" s="32">
        <v>35000</v>
      </c>
      <c r="D212" s="31" t="s">
        <v>1140</v>
      </c>
      <c r="E212" s="31" t="s">
        <v>1398</v>
      </c>
      <c r="F212" s="31" t="s">
        <v>1422</v>
      </c>
      <c r="G212" s="31" t="s">
        <v>1495</v>
      </c>
    </row>
    <row r="213" spans="1:7">
      <c r="A213" s="31">
        <v>14</v>
      </c>
      <c r="B213" s="31" t="s">
        <v>1708</v>
      </c>
      <c r="C213" s="32">
        <v>20000</v>
      </c>
      <c r="D213" s="31" t="s">
        <v>1421</v>
      </c>
      <c r="E213" s="31" t="s">
        <v>1398</v>
      </c>
      <c r="F213" s="31" t="s">
        <v>1422</v>
      </c>
      <c r="G213" s="31" t="s">
        <v>1495</v>
      </c>
    </row>
    <row r="214" spans="1:7">
      <c r="A214" s="31">
        <v>34</v>
      </c>
      <c r="B214" s="31" t="s">
        <v>1726</v>
      </c>
      <c r="C214" s="32">
        <v>20000</v>
      </c>
      <c r="D214" s="31" t="s">
        <v>1421</v>
      </c>
      <c r="E214" s="31" t="s">
        <v>1398</v>
      </c>
      <c r="F214" s="31" t="s">
        <v>1422</v>
      </c>
      <c r="G214" s="31" t="s">
        <v>1495</v>
      </c>
    </row>
    <row r="215" spans="1:7">
      <c r="A215" s="31">
        <v>253</v>
      </c>
      <c r="B215" s="31" t="s">
        <v>931</v>
      </c>
      <c r="C215" s="32"/>
      <c r="D215" s="31" t="s">
        <v>1421</v>
      </c>
      <c r="E215" s="31" t="s">
        <v>1398</v>
      </c>
      <c r="F215" s="31" t="s">
        <v>1422</v>
      </c>
      <c r="G215" s="31" t="s">
        <v>1495</v>
      </c>
    </row>
    <row r="216" spans="1:7">
      <c r="A216" s="31">
        <v>242</v>
      </c>
      <c r="B216" s="31" t="s">
        <v>1008</v>
      </c>
      <c r="C216" s="32"/>
      <c r="D216" s="31" t="s">
        <v>1421</v>
      </c>
      <c r="E216" s="31" t="s">
        <v>1398</v>
      </c>
      <c r="F216" s="31" t="s">
        <v>1422</v>
      </c>
      <c r="G216" s="31" t="s">
        <v>1495</v>
      </c>
    </row>
    <row r="217" spans="1:7">
      <c r="A217" s="31">
        <v>104</v>
      </c>
      <c r="B217" s="31" t="s">
        <v>1787</v>
      </c>
      <c r="C217" s="32">
        <v>20000</v>
      </c>
      <c r="D217" s="31" t="s">
        <v>1421</v>
      </c>
      <c r="E217" s="31" t="s">
        <v>1398</v>
      </c>
      <c r="F217" s="31" t="s">
        <v>1422</v>
      </c>
      <c r="G217" s="31" t="s">
        <v>1495</v>
      </c>
    </row>
    <row r="218" spans="1:7">
      <c r="A218" s="31">
        <v>126</v>
      </c>
      <c r="B218" s="31" t="s">
        <v>1806</v>
      </c>
      <c r="C218" s="32">
        <v>20000</v>
      </c>
      <c r="D218" s="31" t="s">
        <v>1421</v>
      </c>
      <c r="E218" s="31" t="s">
        <v>1398</v>
      </c>
      <c r="F218" s="31" t="s">
        <v>1422</v>
      </c>
      <c r="G218" s="31" t="s">
        <v>1495</v>
      </c>
    </row>
    <row r="219" spans="1:7">
      <c r="A219" s="31">
        <v>146</v>
      </c>
      <c r="B219" s="31" t="s">
        <v>1825</v>
      </c>
      <c r="C219" s="32">
        <v>19994</v>
      </c>
      <c r="D219" s="31" t="s">
        <v>1421</v>
      </c>
      <c r="E219" s="31" t="s">
        <v>1398</v>
      </c>
      <c r="F219" s="31" t="s">
        <v>1422</v>
      </c>
      <c r="G219" s="31" t="s">
        <v>1495</v>
      </c>
    </row>
    <row r="220" spans="1:7">
      <c r="A220" s="31">
        <v>34</v>
      </c>
      <c r="B220" s="31" t="s">
        <v>1726</v>
      </c>
      <c r="C220" s="32">
        <v>50000</v>
      </c>
      <c r="D220" s="31" t="s">
        <v>1202</v>
      </c>
      <c r="E220" s="31" t="s">
        <v>1398</v>
      </c>
      <c r="F220" s="31" t="s">
        <v>1422</v>
      </c>
      <c r="G220" s="31" t="s">
        <v>1495</v>
      </c>
    </row>
    <row r="221" spans="1:7">
      <c r="A221" s="31">
        <v>14</v>
      </c>
      <c r="B221" s="31" t="s">
        <v>1708</v>
      </c>
      <c r="C221" s="32">
        <v>91767</v>
      </c>
      <c r="D221" s="31" t="s">
        <v>1423</v>
      </c>
      <c r="E221" s="31" t="s">
        <v>1398</v>
      </c>
      <c r="F221" s="31" t="s">
        <v>1311</v>
      </c>
      <c r="G221" s="31" t="s">
        <v>1495</v>
      </c>
    </row>
    <row r="222" spans="1:7">
      <c r="A222" s="31">
        <v>34</v>
      </c>
      <c r="B222" s="31" t="s">
        <v>1726</v>
      </c>
      <c r="C222" s="32">
        <v>100000</v>
      </c>
      <c r="D222" s="31" t="s">
        <v>1423</v>
      </c>
      <c r="E222" s="31" t="s">
        <v>1398</v>
      </c>
      <c r="F222" s="31" t="s">
        <v>1311</v>
      </c>
      <c r="G222" s="31" t="s">
        <v>1495</v>
      </c>
    </row>
    <row r="223" spans="1:7">
      <c r="A223" s="31">
        <v>242</v>
      </c>
      <c r="B223" s="31" t="s">
        <v>1008</v>
      </c>
      <c r="C223" s="32"/>
      <c r="D223" s="31" t="s">
        <v>1423</v>
      </c>
      <c r="E223" s="31" t="s">
        <v>1398</v>
      </c>
      <c r="F223" s="31" t="s">
        <v>1311</v>
      </c>
      <c r="G223" s="31" t="s">
        <v>1495</v>
      </c>
    </row>
    <row r="224" spans="1:7">
      <c r="A224" s="31">
        <v>104</v>
      </c>
      <c r="B224" s="31" t="s">
        <v>1787</v>
      </c>
      <c r="C224" s="32">
        <v>35000</v>
      </c>
      <c r="D224" s="31" t="s">
        <v>1423</v>
      </c>
      <c r="E224" s="31" t="s">
        <v>1398</v>
      </c>
      <c r="F224" s="31" t="s">
        <v>1311</v>
      </c>
      <c r="G224" s="31" t="s">
        <v>1495</v>
      </c>
    </row>
    <row r="225" spans="1:7">
      <c r="A225" s="31">
        <v>146</v>
      </c>
      <c r="B225" s="31" t="s">
        <v>1825</v>
      </c>
      <c r="C225" s="32">
        <v>35000</v>
      </c>
      <c r="D225" s="31" t="s">
        <v>1423</v>
      </c>
      <c r="E225" s="31" t="s">
        <v>1398</v>
      </c>
      <c r="F225" s="31" t="s">
        <v>1311</v>
      </c>
      <c r="G225" s="31" t="s">
        <v>1495</v>
      </c>
    </row>
    <row r="226" spans="1:7">
      <c r="A226" s="31">
        <v>14</v>
      </c>
      <c r="B226" s="31" t="s">
        <v>1708</v>
      </c>
      <c r="C226" s="32">
        <v>50000</v>
      </c>
      <c r="D226" s="31" t="s">
        <v>1312</v>
      </c>
      <c r="E226" s="31" t="s">
        <v>1398</v>
      </c>
      <c r="F226" s="31" t="s">
        <v>1311</v>
      </c>
      <c r="G226" s="31" t="s">
        <v>1495</v>
      </c>
    </row>
    <row r="227" spans="1:7">
      <c r="A227" s="31">
        <v>253</v>
      </c>
      <c r="B227" s="31" t="s">
        <v>931</v>
      </c>
      <c r="C227" s="32"/>
      <c r="D227" s="31" t="s">
        <v>1312</v>
      </c>
      <c r="E227" s="31" t="s">
        <v>1398</v>
      </c>
      <c r="F227" s="31" t="s">
        <v>1311</v>
      </c>
      <c r="G227" s="31" t="s">
        <v>1495</v>
      </c>
    </row>
    <row r="228" spans="1:7">
      <c r="A228" s="31">
        <v>242</v>
      </c>
      <c r="B228" s="31" t="s">
        <v>1008</v>
      </c>
      <c r="C228" s="32"/>
      <c r="D228" s="31" t="s">
        <v>1312</v>
      </c>
      <c r="E228" s="31" t="s">
        <v>1398</v>
      </c>
      <c r="F228" s="31" t="s">
        <v>1311</v>
      </c>
      <c r="G228" s="31" t="s">
        <v>1495</v>
      </c>
    </row>
    <row r="229" spans="1:7">
      <c r="A229" s="31">
        <v>104</v>
      </c>
      <c r="B229" s="31" t="s">
        <v>1787</v>
      </c>
      <c r="C229" s="32">
        <v>50000</v>
      </c>
      <c r="D229" s="31" t="s">
        <v>1312</v>
      </c>
      <c r="E229" s="31" t="s">
        <v>1398</v>
      </c>
      <c r="F229" s="31" t="s">
        <v>1311</v>
      </c>
      <c r="G229" s="31" t="s">
        <v>1495</v>
      </c>
    </row>
    <row r="230" spans="1:7">
      <c r="A230" s="31">
        <v>242</v>
      </c>
      <c r="B230" s="31" t="s">
        <v>1008</v>
      </c>
      <c r="C230" s="32"/>
      <c r="D230" s="31" t="s">
        <v>1009</v>
      </c>
      <c r="E230" s="31" t="s">
        <v>1398</v>
      </c>
      <c r="F230" s="31" t="s">
        <v>1311</v>
      </c>
      <c r="G230" s="31" t="s">
        <v>1495</v>
      </c>
    </row>
    <row r="231" spans="1:7">
      <c r="A231" s="31">
        <v>14</v>
      </c>
      <c r="B231" s="31" t="s">
        <v>1708</v>
      </c>
      <c r="C231" s="32">
        <v>35000</v>
      </c>
      <c r="D231" s="31" t="s">
        <v>1313</v>
      </c>
      <c r="E231" s="31" t="s">
        <v>1398</v>
      </c>
      <c r="F231" s="31" t="s">
        <v>1311</v>
      </c>
      <c r="G231" s="31" t="s">
        <v>1495</v>
      </c>
    </row>
    <row r="232" spans="1:7">
      <c r="A232" s="31">
        <v>253</v>
      </c>
      <c r="B232" s="31" t="s">
        <v>931</v>
      </c>
      <c r="C232" s="32"/>
      <c r="D232" s="31" t="s">
        <v>1313</v>
      </c>
      <c r="E232" s="31" t="s">
        <v>1398</v>
      </c>
      <c r="F232" s="31" t="s">
        <v>1311</v>
      </c>
      <c r="G232" s="31" t="s">
        <v>1495</v>
      </c>
    </row>
    <row r="233" spans="1:7">
      <c r="A233" s="31">
        <v>242</v>
      </c>
      <c r="B233" s="31" t="s">
        <v>1008</v>
      </c>
      <c r="C233" s="32"/>
      <c r="D233" s="31" t="s">
        <v>1313</v>
      </c>
      <c r="E233" s="31" t="s">
        <v>1398</v>
      </c>
      <c r="F233" s="31" t="s">
        <v>1311</v>
      </c>
      <c r="G233" s="31" t="s">
        <v>1495</v>
      </c>
    </row>
    <row r="234" spans="1:7" s="9" customFormat="1">
      <c r="A234" s="9">
        <v>93</v>
      </c>
      <c r="B234" s="9" t="s">
        <v>1776</v>
      </c>
      <c r="C234" s="33">
        <v>35000</v>
      </c>
      <c r="D234" s="9" t="s">
        <v>1313</v>
      </c>
      <c r="E234" s="9" t="s">
        <v>1398</v>
      </c>
      <c r="F234" s="9" t="s">
        <v>1311</v>
      </c>
      <c r="G234" s="9" t="s">
        <v>1495</v>
      </c>
    </row>
    <row r="235" spans="1:7">
      <c r="A235" s="31">
        <v>104</v>
      </c>
      <c r="B235" s="31" t="s">
        <v>1787</v>
      </c>
      <c r="C235" s="32">
        <v>50000</v>
      </c>
      <c r="D235" s="31" t="s">
        <v>1313</v>
      </c>
      <c r="E235" s="31" t="s">
        <v>1398</v>
      </c>
      <c r="F235" s="31" t="s">
        <v>1311</v>
      </c>
      <c r="G235" s="31" t="s">
        <v>1495</v>
      </c>
    </row>
    <row r="236" spans="1:7">
      <c r="A236" s="31">
        <v>146</v>
      </c>
      <c r="B236" s="31" t="s">
        <v>1825</v>
      </c>
      <c r="C236" s="32">
        <v>25000</v>
      </c>
      <c r="D236" s="31" t="s">
        <v>1313</v>
      </c>
      <c r="E236" s="31" t="s">
        <v>1398</v>
      </c>
      <c r="F236" s="31" t="s">
        <v>1311</v>
      </c>
      <c r="G236" s="31" t="s">
        <v>1495</v>
      </c>
    </row>
    <row r="237" spans="1:7">
      <c r="A237" s="31">
        <v>253</v>
      </c>
      <c r="B237" s="31" t="s">
        <v>931</v>
      </c>
      <c r="C237" s="32"/>
      <c r="D237" s="31" t="s">
        <v>1135</v>
      </c>
      <c r="E237" s="31" t="s">
        <v>1398</v>
      </c>
      <c r="F237" s="31" t="s">
        <v>1311</v>
      </c>
      <c r="G237" s="31" t="s">
        <v>1495</v>
      </c>
    </row>
    <row r="238" spans="1:7">
      <c r="A238" s="31">
        <v>242</v>
      </c>
      <c r="B238" s="31" t="s">
        <v>1008</v>
      </c>
      <c r="C238" s="32"/>
      <c r="D238" s="31" t="s">
        <v>1135</v>
      </c>
      <c r="E238" s="31" t="s">
        <v>1398</v>
      </c>
      <c r="F238" s="31" t="s">
        <v>1311</v>
      </c>
      <c r="G238" s="31" t="s">
        <v>1495</v>
      </c>
    </row>
    <row r="239" spans="1:7">
      <c r="A239" s="31">
        <v>104</v>
      </c>
      <c r="B239" s="31" t="s">
        <v>1787</v>
      </c>
      <c r="C239" s="32">
        <v>25000</v>
      </c>
      <c r="D239" s="31" t="s">
        <v>1135</v>
      </c>
      <c r="E239" s="31" t="s">
        <v>1398</v>
      </c>
      <c r="F239" s="31" t="s">
        <v>1311</v>
      </c>
      <c r="G239" s="31" t="s">
        <v>1495</v>
      </c>
    </row>
    <row r="240" spans="1:7">
      <c r="A240" s="31">
        <v>146</v>
      </c>
      <c r="B240" s="31" t="s">
        <v>1825</v>
      </c>
      <c r="C240" s="32">
        <v>34996</v>
      </c>
      <c r="D240" s="31" t="s">
        <v>1135</v>
      </c>
      <c r="E240" s="31" t="s">
        <v>1398</v>
      </c>
      <c r="F240" s="31" t="s">
        <v>1311</v>
      </c>
      <c r="G240" s="31" t="s">
        <v>1495</v>
      </c>
    </row>
    <row r="241" spans="1:8">
      <c r="A241" s="31">
        <v>104</v>
      </c>
      <c r="B241" s="31" t="s">
        <v>1787</v>
      </c>
      <c r="C241" s="32">
        <v>35000</v>
      </c>
      <c r="D241" s="31" t="s">
        <v>1136</v>
      </c>
      <c r="E241" s="31" t="s">
        <v>1398</v>
      </c>
      <c r="F241" s="31" t="s">
        <v>1311</v>
      </c>
      <c r="G241" s="31" t="s">
        <v>1495</v>
      </c>
    </row>
    <row r="242" spans="1:8">
      <c r="A242" s="31">
        <v>146</v>
      </c>
      <c r="B242" s="31" t="s">
        <v>1825</v>
      </c>
      <c r="C242" s="32">
        <v>50000</v>
      </c>
      <c r="D242" s="31" t="s">
        <v>1136</v>
      </c>
      <c r="E242" s="31" t="s">
        <v>1398</v>
      </c>
      <c r="F242" s="31" t="s">
        <v>1311</v>
      </c>
      <c r="G242" s="31" t="s">
        <v>1495</v>
      </c>
    </row>
    <row r="243" spans="1:8">
      <c r="A243" s="31">
        <v>241</v>
      </c>
      <c r="B243" s="31" t="s">
        <v>1078</v>
      </c>
      <c r="C243" s="32"/>
      <c r="D243" s="31" t="s">
        <v>1003</v>
      </c>
      <c r="E243" s="31" t="s">
        <v>1398</v>
      </c>
      <c r="F243" s="31" t="s">
        <v>1004</v>
      </c>
      <c r="G243" s="31" t="s">
        <v>1495</v>
      </c>
    </row>
    <row r="244" spans="1:8">
      <c r="B244" s="11" t="s">
        <v>450</v>
      </c>
      <c r="C244" s="28">
        <f>SUM(C169:C243)</f>
        <v>2176308</v>
      </c>
    </row>
    <row r="245" spans="1:8">
      <c r="B245" s="11" t="s">
        <v>451</v>
      </c>
      <c r="C245" s="28">
        <f>C171+C174+C185</f>
        <v>170000</v>
      </c>
    </row>
    <row r="246" spans="1:8">
      <c r="B246" s="11" t="s">
        <v>452</v>
      </c>
      <c r="C246" s="28">
        <f>C191+C199+C234</f>
        <v>120000</v>
      </c>
    </row>
    <row r="248" spans="1:8">
      <c r="A248" s="27">
        <v>10110</v>
      </c>
      <c r="B248" s="27" t="s">
        <v>835</v>
      </c>
      <c r="C248" s="27">
        <v>20000</v>
      </c>
      <c r="D248" s="27" t="s">
        <v>836</v>
      </c>
      <c r="E248" s="27" t="s">
        <v>1398</v>
      </c>
      <c r="F248" s="27" t="s">
        <v>837</v>
      </c>
      <c r="G248" s="27" t="s">
        <v>1495</v>
      </c>
      <c r="H248" s="27"/>
    </row>
    <row r="249" spans="1:8">
      <c r="A249" s="27">
        <v>10110</v>
      </c>
      <c r="B249" s="27" t="s">
        <v>835</v>
      </c>
      <c r="C249" s="27">
        <v>25000</v>
      </c>
      <c r="D249" s="27" t="s">
        <v>838</v>
      </c>
      <c r="E249" s="27" t="s">
        <v>1398</v>
      </c>
      <c r="F249" s="27" t="s">
        <v>837</v>
      </c>
      <c r="G249" s="27" t="s">
        <v>1495</v>
      </c>
      <c r="H249" s="27"/>
    </row>
    <row r="250" spans="1:8">
      <c r="A250" s="27">
        <v>10454</v>
      </c>
      <c r="B250" s="27" t="s">
        <v>757</v>
      </c>
      <c r="C250" s="27">
        <v>50000</v>
      </c>
      <c r="D250" s="27" t="s">
        <v>838</v>
      </c>
      <c r="E250" s="27" t="s">
        <v>1398</v>
      </c>
      <c r="F250" s="27" t="s">
        <v>837</v>
      </c>
      <c r="G250" s="27" t="s">
        <v>1495</v>
      </c>
      <c r="H250" s="27"/>
    </row>
    <row r="251" spans="1:8">
      <c r="A251" s="27">
        <v>10953</v>
      </c>
      <c r="B251" s="27" t="s">
        <v>773</v>
      </c>
      <c r="C251" s="27">
        <v>26641</v>
      </c>
      <c r="D251" s="27" t="s">
        <v>774</v>
      </c>
      <c r="E251" s="27" t="s">
        <v>1398</v>
      </c>
      <c r="F251" s="27" t="s">
        <v>775</v>
      </c>
      <c r="G251" s="27" t="s">
        <v>1495</v>
      </c>
      <c r="H251" s="27"/>
    </row>
    <row r="252" spans="1:8">
      <c r="A252" s="27">
        <v>11536</v>
      </c>
      <c r="B252" s="27" t="s">
        <v>795</v>
      </c>
      <c r="C252" s="27">
        <v>12000</v>
      </c>
      <c r="D252" s="27" t="s">
        <v>796</v>
      </c>
      <c r="E252" s="27" t="s">
        <v>1398</v>
      </c>
      <c r="F252" s="27" t="s">
        <v>837</v>
      </c>
      <c r="G252" s="27" t="s">
        <v>1495</v>
      </c>
      <c r="H252" s="27"/>
    </row>
    <row r="253" spans="1:8">
      <c r="A253" s="27">
        <v>11536</v>
      </c>
      <c r="B253" s="27" t="s">
        <v>795</v>
      </c>
      <c r="C253" s="27">
        <v>8000</v>
      </c>
      <c r="D253" s="27" t="s">
        <v>797</v>
      </c>
      <c r="E253" s="27" t="s">
        <v>1398</v>
      </c>
      <c r="F253" s="27" t="s">
        <v>837</v>
      </c>
      <c r="G253" s="27" t="s">
        <v>1495</v>
      </c>
      <c r="H253" s="27"/>
    </row>
    <row r="254" spans="1:8">
      <c r="A254" s="27">
        <v>11536</v>
      </c>
      <c r="B254" s="27" t="s">
        <v>795</v>
      </c>
      <c r="C254" s="27">
        <v>50000</v>
      </c>
      <c r="D254" s="27" t="s">
        <v>798</v>
      </c>
      <c r="E254" s="27" t="s">
        <v>1398</v>
      </c>
      <c r="F254" s="27" t="s">
        <v>775</v>
      </c>
      <c r="G254" s="27" t="s">
        <v>1495</v>
      </c>
      <c r="H254" s="27"/>
    </row>
    <row r="255" spans="1:8">
      <c r="A255" s="27">
        <v>11536</v>
      </c>
      <c r="B255" s="27" t="s">
        <v>795</v>
      </c>
      <c r="C255" s="27">
        <v>35000</v>
      </c>
      <c r="D255" s="27" t="s">
        <v>799</v>
      </c>
      <c r="E255" s="27" t="s">
        <v>1398</v>
      </c>
      <c r="F255" s="27" t="s">
        <v>775</v>
      </c>
      <c r="G255" s="27" t="s">
        <v>1495</v>
      </c>
      <c r="H255" s="27"/>
    </row>
    <row r="256" spans="1:8">
      <c r="A256" s="27">
        <v>11870</v>
      </c>
      <c r="B256" s="27" t="s">
        <v>696</v>
      </c>
      <c r="C256" s="27">
        <v>71393</v>
      </c>
      <c r="D256" s="27" t="s">
        <v>774</v>
      </c>
      <c r="E256" s="27" t="s">
        <v>1398</v>
      </c>
      <c r="F256" s="27" t="s">
        <v>775</v>
      </c>
      <c r="G256" s="27" t="s">
        <v>1495</v>
      </c>
      <c r="H256" s="27"/>
    </row>
    <row r="257" spans="1:8">
      <c r="A257" s="27">
        <v>12074</v>
      </c>
      <c r="B257" s="27" t="s">
        <v>705</v>
      </c>
      <c r="C257" s="27">
        <v>53421</v>
      </c>
      <c r="D257" s="27" t="s">
        <v>774</v>
      </c>
      <c r="E257" s="27" t="s">
        <v>1398</v>
      </c>
      <c r="F257" s="27" t="s">
        <v>775</v>
      </c>
      <c r="G257" s="27" t="s">
        <v>1495</v>
      </c>
      <c r="H257" s="27"/>
    </row>
    <row r="258" spans="1:8">
      <c r="A258" s="27">
        <v>12863</v>
      </c>
      <c r="B258" s="27" t="s">
        <v>745</v>
      </c>
      <c r="C258" s="27">
        <v>45656</v>
      </c>
      <c r="D258" s="27" t="s">
        <v>774</v>
      </c>
      <c r="E258" s="27" t="s">
        <v>1398</v>
      </c>
      <c r="F258" s="27" t="s">
        <v>775</v>
      </c>
      <c r="G258" s="27" t="s">
        <v>1495</v>
      </c>
      <c r="H258" s="27"/>
    </row>
    <row r="259" spans="1:8">
      <c r="A259" s="27">
        <v>14208</v>
      </c>
      <c r="B259" s="27" t="s">
        <v>627</v>
      </c>
      <c r="C259" s="27">
        <v>39466</v>
      </c>
      <c r="D259" s="27" t="s">
        <v>774</v>
      </c>
      <c r="E259" s="27" t="s">
        <v>1398</v>
      </c>
      <c r="F259" s="27" t="s">
        <v>775</v>
      </c>
      <c r="G259" s="27" t="s">
        <v>1495</v>
      </c>
      <c r="H259" s="27"/>
    </row>
    <row r="260" spans="1:8">
      <c r="A260" s="27">
        <v>14492</v>
      </c>
      <c r="B260" s="27" t="s">
        <v>629</v>
      </c>
      <c r="C260" s="27">
        <v>33500</v>
      </c>
      <c r="D260" s="27" t="s">
        <v>630</v>
      </c>
      <c r="E260" s="27" t="s">
        <v>1398</v>
      </c>
      <c r="F260" s="27" t="s">
        <v>837</v>
      </c>
      <c r="G260" s="27" t="s">
        <v>1495</v>
      </c>
      <c r="H260" s="27"/>
    </row>
    <row r="261" spans="1:8">
      <c r="A261" s="27">
        <v>14492</v>
      </c>
      <c r="B261" s="27" t="s">
        <v>629</v>
      </c>
      <c r="C261" s="27">
        <v>19890</v>
      </c>
      <c r="D261" s="27" t="s">
        <v>836</v>
      </c>
      <c r="E261" s="27" t="s">
        <v>1398</v>
      </c>
      <c r="F261" s="27" t="s">
        <v>837</v>
      </c>
      <c r="G261" s="27" t="s">
        <v>1495</v>
      </c>
      <c r="H261" s="27"/>
    </row>
    <row r="262" spans="1:8">
      <c r="A262" s="27">
        <v>14492</v>
      </c>
      <c r="B262" s="27" t="s">
        <v>629</v>
      </c>
      <c r="C262" s="27">
        <v>49140</v>
      </c>
      <c r="D262" s="27" t="s">
        <v>838</v>
      </c>
      <c r="E262" s="27" t="s">
        <v>1398</v>
      </c>
      <c r="F262" s="27" t="s">
        <v>837</v>
      </c>
      <c r="G262" s="27" t="s">
        <v>1495</v>
      </c>
      <c r="H262" s="27"/>
    </row>
    <row r="263" spans="1:8">
      <c r="A263" s="27">
        <v>30207</v>
      </c>
      <c r="B263" s="27" t="s">
        <v>585</v>
      </c>
      <c r="C263" s="27">
        <v>30000</v>
      </c>
      <c r="D263" s="27" t="s">
        <v>586</v>
      </c>
      <c r="E263" s="27" t="s">
        <v>1398</v>
      </c>
      <c r="F263" s="27" t="s">
        <v>837</v>
      </c>
      <c r="G263" s="27" t="s">
        <v>1495</v>
      </c>
      <c r="H263" s="27"/>
    </row>
    <row r="264" spans="1:8">
      <c r="A264" s="27">
        <v>54919</v>
      </c>
      <c r="B264" s="27" t="s">
        <v>597</v>
      </c>
      <c r="C264" s="27">
        <v>50000</v>
      </c>
      <c r="D264" s="27" t="s">
        <v>798</v>
      </c>
      <c r="E264" s="27" t="s">
        <v>1398</v>
      </c>
      <c r="F264" s="27" t="s">
        <v>775</v>
      </c>
      <c r="G264" s="27" t="s">
        <v>1495</v>
      </c>
      <c r="H264" s="27"/>
    </row>
    <row r="265" spans="1:8">
      <c r="A265" s="27">
        <v>67747</v>
      </c>
      <c r="B265" s="27" t="s">
        <v>613</v>
      </c>
      <c r="C265" s="27">
        <v>50000</v>
      </c>
      <c r="D265" s="27" t="s">
        <v>836</v>
      </c>
      <c r="E265" s="27" t="s">
        <v>1398</v>
      </c>
      <c r="F265" s="27" t="s">
        <v>837</v>
      </c>
      <c r="G265" s="27" t="s">
        <v>1495</v>
      </c>
      <c r="H265" s="27"/>
    </row>
    <row r="266" spans="1:8">
      <c r="A266" s="27" t="s">
        <v>503</v>
      </c>
      <c r="B266" s="27" t="s">
        <v>504</v>
      </c>
      <c r="C266" s="27">
        <v>291320</v>
      </c>
      <c r="D266" s="27" t="s">
        <v>586</v>
      </c>
      <c r="E266" s="27" t="s">
        <v>1398</v>
      </c>
      <c r="F266" s="27" t="s">
        <v>837</v>
      </c>
      <c r="G266" s="27" t="s">
        <v>1495</v>
      </c>
      <c r="H266" s="27"/>
    </row>
    <row r="267" spans="1:8">
      <c r="A267" s="27" t="s">
        <v>509</v>
      </c>
      <c r="B267" s="27" t="s">
        <v>510</v>
      </c>
      <c r="C267" s="27">
        <v>20000</v>
      </c>
      <c r="D267" s="27" t="s">
        <v>1397</v>
      </c>
      <c r="E267" s="27" t="s">
        <v>1398</v>
      </c>
      <c r="F267" s="27" t="s">
        <v>1399</v>
      </c>
      <c r="G267" s="27" t="s">
        <v>1495</v>
      </c>
      <c r="H267" s="27"/>
    </row>
    <row r="268" spans="1:8">
      <c r="A268" s="27" t="s">
        <v>509</v>
      </c>
      <c r="B268" s="27" t="s">
        <v>510</v>
      </c>
      <c r="C268" s="27">
        <v>35000</v>
      </c>
      <c r="D268" s="27" t="s">
        <v>1148</v>
      </c>
      <c r="E268" s="27" t="s">
        <v>1398</v>
      </c>
      <c r="F268" s="27" t="s">
        <v>1149</v>
      </c>
      <c r="G268" s="27" t="s">
        <v>1495</v>
      </c>
      <c r="H268" s="27"/>
    </row>
    <row r="269" spans="1:8">
      <c r="A269" s="27" t="s">
        <v>509</v>
      </c>
      <c r="B269" s="27" t="s">
        <v>510</v>
      </c>
      <c r="C269" s="27">
        <v>50000</v>
      </c>
      <c r="D269" s="27" t="s">
        <v>1151</v>
      </c>
      <c r="E269" s="27" t="s">
        <v>1398</v>
      </c>
      <c r="F269" s="27" t="s">
        <v>1149</v>
      </c>
      <c r="G269" s="27" t="s">
        <v>1495</v>
      </c>
      <c r="H269" s="27"/>
    </row>
    <row r="270" spans="1:8">
      <c r="A270" s="27" t="s">
        <v>440</v>
      </c>
      <c r="B270" s="27" t="s">
        <v>441</v>
      </c>
      <c r="C270" s="27">
        <v>35000</v>
      </c>
      <c r="D270" s="27" t="s">
        <v>1363</v>
      </c>
      <c r="E270" s="27" t="s">
        <v>1398</v>
      </c>
      <c r="F270" s="27" t="s">
        <v>1399</v>
      </c>
      <c r="G270" s="27" t="s">
        <v>1495</v>
      </c>
      <c r="H270" s="27"/>
    </row>
    <row r="271" spans="1:8">
      <c r="A271" s="27" t="s">
        <v>440</v>
      </c>
      <c r="B271" s="27" t="s">
        <v>441</v>
      </c>
      <c r="C271" s="27">
        <v>50000</v>
      </c>
      <c r="D271" s="27" t="s">
        <v>442</v>
      </c>
      <c r="E271" s="27" t="s">
        <v>1398</v>
      </c>
      <c r="F271" s="27" t="s">
        <v>1399</v>
      </c>
      <c r="G271" s="27" t="s">
        <v>1495</v>
      </c>
      <c r="H271" s="27"/>
    </row>
    <row r="272" spans="1:8">
      <c r="A272" s="27" t="s">
        <v>440</v>
      </c>
      <c r="B272" s="27" t="s">
        <v>441</v>
      </c>
      <c r="C272" s="27">
        <v>20000</v>
      </c>
      <c r="D272" s="27" t="s">
        <v>1397</v>
      </c>
      <c r="E272" s="27" t="s">
        <v>1398</v>
      </c>
      <c r="F272" s="27" t="s">
        <v>1399</v>
      </c>
      <c r="G272" s="27" t="s">
        <v>1495</v>
      </c>
      <c r="H272" s="27"/>
    </row>
    <row r="273" spans="1:8">
      <c r="A273" s="27" t="s">
        <v>440</v>
      </c>
      <c r="B273" s="27" t="s">
        <v>441</v>
      </c>
      <c r="C273" s="27">
        <v>49921</v>
      </c>
      <c r="D273" s="27" t="s">
        <v>1036</v>
      </c>
      <c r="E273" s="27" t="s">
        <v>1398</v>
      </c>
      <c r="F273" s="27" t="s">
        <v>1399</v>
      </c>
      <c r="G273" s="27" t="s">
        <v>1495</v>
      </c>
      <c r="H273" s="27"/>
    </row>
    <row r="278" spans="1:8">
      <c r="A278" s="29">
        <v>3</v>
      </c>
      <c r="B278" s="29" t="s">
        <v>1699</v>
      </c>
      <c r="C278" s="30">
        <v>107000</v>
      </c>
      <c r="D278" s="29" t="s">
        <v>1368</v>
      </c>
      <c r="E278" s="29" t="s">
        <v>1369</v>
      </c>
      <c r="F278" s="29" t="s">
        <v>1370</v>
      </c>
      <c r="G278" s="29" t="s">
        <v>1514</v>
      </c>
    </row>
    <row r="279" spans="1:8">
      <c r="A279" s="29">
        <v>14</v>
      </c>
      <c r="B279" s="29" t="s">
        <v>1708</v>
      </c>
      <c r="C279" s="30">
        <v>107000</v>
      </c>
      <c r="D279" s="29" t="s">
        <v>1368</v>
      </c>
      <c r="E279" s="29" t="s">
        <v>1369</v>
      </c>
      <c r="F279" s="29" t="s">
        <v>1370</v>
      </c>
      <c r="G279" s="29" t="s">
        <v>1514</v>
      </c>
    </row>
    <row r="280" spans="1:8">
      <c r="A280" s="29">
        <v>19</v>
      </c>
      <c r="B280" s="29" t="s">
        <v>1712</v>
      </c>
      <c r="C280" s="30">
        <v>107000</v>
      </c>
      <c r="D280" s="29" t="s">
        <v>1368</v>
      </c>
      <c r="E280" s="29" t="s">
        <v>1369</v>
      </c>
      <c r="F280" s="29" t="s">
        <v>1370</v>
      </c>
      <c r="G280" s="29" t="s">
        <v>1514</v>
      </c>
    </row>
    <row r="281" spans="1:8">
      <c r="A281" s="29">
        <v>24</v>
      </c>
      <c r="B281" s="29" t="s">
        <v>1716</v>
      </c>
      <c r="C281" s="30">
        <v>107000</v>
      </c>
      <c r="D281" s="29" t="s">
        <v>1368</v>
      </c>
      <c r="E281" s="29" t="s">
        <v>1369</v>
      </c>
      <c r="F281" s="29" t="s">
        <v>1370</v>
      </c>
      <c r="G281" s="29" t="s">
        <v>1514</v>
      </c>
    </row>
    <row r="282" spans="1:8">
      <c r="A282" s="29">
        <v>28</v>
      </c>
      <c r="B282" s="29" t="s">
        <v>1720</v>
      </c>
      <c r="C282" s="30">
        <v>107000</v>
      </c>
      <c r="D282" s="29" t="s">
        <v>1368</v>
      </c>
      <c r="E282" s="29" t="s">
        <v>1369</v>
      </c>
      <c r="F282" s="29" t="s">
        <v>1370</v>
      </c>
      <c r="G282" s="29" t="s">
        <v>1514</v>
      </c>
    </row>
    <row r="283" spans="1:8">
      <c r="A283" s="29">
        <v>32</v>
      </c>
      <c r="B283" s="29" t="s">
        <v>1724</v>
      </c>
      <c r="C283" s="30">
        <v>107000</v>
      </c>
      <c r="D283" s="29" t="s">
        <v>1368</v>
      </c>
      <c r="E283" s="29" t="s">
        <v>1369</v>
      </c>
      <c r="F283" s="29" t="s">
        <v>1370</v>
      </c>
      <c r="G283" s="29" t="s">
        <v>1514</v>
      </c>
    </row>
    <row r="284" spans="1:8">
      <c r="A284" s="29">
        <v>37</v>
      </c>
      <c r="B284" s="29" t="s">
        <v>1729</v>
      </c>
      <c r="C284" s="30">
        <v>107000</v>
      </c>
      <c r="D284" s="29" t="s">
        <v>1368</v>
      </c>
      <c r="E284" s="29" t="s">
        <v>1369</v>
      </c>
      <c r="F284" s="29" t="s">
        <v>1370</v>
      </c>
      <c r="G284" s="29" t="s">
        <v>1514</v>
      </c>
    </row>
    <row r="285" spans="1:8">
      <c r="A285" s="29">
        <v>44</v>
      </c>
      <c r="B285" s="29" t="s">
        <v>1735</v>
      </c>
      <c r="C285" s="30">
        <v>136542</v>
      </c>
      <c r="D285" s="29" t="s">
        <v>1368</v>
      </c>
      <c r="E285" s="29" t="s">
        <v>1369</v>
      </c>
      <c r="F285" s="29" t="s">
        <v>1370</v>
      </c>
      <c r="G285" s="29" t="s">
        <v>1514</v>
      </c>
    </row>
    <row r="286" spans="1:8">
      <c r="A286" s="29">
        <v>49</v>
      </c>
      <c r="B286" s="29" t="s">
        <v>1740</v>
      </c>
      <c r="C286" s="30">
        <v>136542</v>
      </c>
      <c r="D286" s="29" t="s">
        <v>1368</v>
      </c>
      <c r="E286" s="29" t="s">
        <v>1369</v>
      </c>
      <c r="F286" s="29" t="s">
        <v>1370</v>
      </c>
      <c r="G286" s="29" t="s">
        <v>1514</v>
      </c>
    </row>
    <row r="287" spans="1:8">
      <c r="A287" s="29">
        <v>57</v>
      </c>
      <c r="B287" s="29" t="s">
        <v>1747</v>
      </c>
      <c r="C287" s="30">
        <v>107000</v>
      </c>
      <c r="D287" s="29" t="s">
        <v>1368</v>
      </c>
      <c r="E287" s="29" t="s">
        <v>1369</v>
      </c>
      <c r="F287" s="29" t="s">
        <v>1370</v>
      </c>
      <c r="G287" s="29" t="s">
        <v>1514</v>
      </c>
    </row>
    <row r="288" spans="1:8">
      <c r="A288" s="29">
        <v>58</v>
      </c>
      <c r="B288" s="29" t="s">
        <v>1748</v>
      </c>
      <c r="C288" s="30">
        <v>107000</v>
      </c>
      <c r="D288" s="29" t="s">
        <v>1368</v>
      </c>
      <c r="E288" s="29" t="s">
        <v>1369</v>
      </c>
      <c r="F288" s="29" t="s">
        <v>1370</v>
      </c>
      <c r="G288" s="29" t="s">
        <v>1514</v>
      </c>
    </row>
    <row r="289" spans="1:7">
      <c r="A289" s="29">
        <v>59</v>
      </c>
      <c r="B289" s="29" t="s">
        <v>1749</v>
      </c>
      <c r="C289" s="30">
        <v>136542</v>
      </c>
      <c r="D289" s="29" t="s">
        <v>1368</v>
      </c>
      <c r="E289" s="29" t="s">
        <v>1369</v>
      </c>
      <c r="F289" s="29" t="s">
        <v>1370</v>
      </c>
      <c r="G289" s="29" t="s">
        <v>1514</v>
      </c>
    </row>
    <row r="290" spans="1:7">
      <c r="A290" s="29">
        <v>62</v>
      </c>
      <c r="B290" s="29" t="s">
        <v>1751</v>
      </c>
      <c r="C290" s="30">
        <v>136542</v>
      </c>
      <c r="D290" s="29" t="s">
        <v>1368</v>
      </c>
      <c r="E290" s="29" t="s">
        <v>1369</v>
      </c>
      <c r="F290" s="29" t="s">
        <v>1370</v>
      </c>
      <c r="G290" s="29" t="s">
        <v>1514</v>
      </c>
    </row>
    <row r="291" spans="1:7">
      <c r="A291" s="29">
        <v>63</v>
      </c>
      <c r="B291" s="29" t="s">
        <v>1752</v>
      </c>
      <c r="C291" s="30">
        <v>107000</v>
      </c>
      <c r="D291" s="29" t="s">
        <v>1368</v>
      </c>
      <c r="E291" s="29" t="s">
        <v>1369</v>
      </c>
      <c r="F291" s="29" t="s">
        <v>1370</v>
      </c>
      <c r="G291" s="29" t="s">
        <v>1514</v>
      </c>
    </row>
    <row r="292" spans="1:7">
      <c r="A292" s="29">
        <v>69</v>
      </c>
      <c r="B292" s="29" t="s">
        <v>1757</v>
      </c>
      <c r="C292" s="30">
        <v>136542</v>
      </c>
      <c r="D292" s="29" t="s">
        <v>1368</v>
      </c>
      <c r="E292" s="29" t="s">
        <v>1369</v>
      </c>
      <c r="F292" s="29" t="s">
        <v>1370</v>
      </c>
      <c r="G292" s="29" t="s">
        <v>1514</v>
      </c>
    </row>
    <row r="293" spans="1:7">
      <c r="A293" s="29">
        <v>72</v>
      </c>
      <c r="B293" s="29" t="s">
        <v>1759</v>
      </c>
      <c r="C293" s="30">
        <v>107000</v>
      </c>
      <c r="D293" s="29" t="s">
        <v>1368</v>
      </c>
      <c r="E293" s="29" t="s">
        <v>1369</v>
      </c>
      <c r="F293" s="29" t="s">
        <v>1370</v>
      </c>
      <c r="G293" s="29" t="s">
        <v>1514</v>
      </c>
    </row>
    <row r="294" spans="1:7">
      <c r="A294" s="29">
        <v>73</v>
      </c>
      <c r="B294" s="29" t="s">
        <v>1760</v>
      </c>
      <c r="C294" s="30">
        <v>107000</v>
      </c>
      <c r="D294" s="29" t="s">
        <v>1368</v>
      </c>
      <c r="E294" s="29" t="s">
        <v>1369</v>
      </c>
      <c r="F294" s="29" t="s">
        <v>1370</v>
      </c>
      <c r="G294" s="29" t="s">
        <v>1514</v>
      </c>
    </row>
    <row r="295" spans="1:7">
      <c r="A295" s="29">
        <v>77</v>
      </c>
      <c r="B295" s="29" t="s">
        <v>1763</v>
      </c>
      <c r="C295" s="30">
        <v>136542</v>
      </c>
      <c r="D295" s="29" t="s">
        <v>1368</v>
      </c>
      <c r="E295" s="29" t="s">
        <v>1369</v>
      </c>
      <c r="F295" s="29" t="s">
        <v>1370</v>
      </c>
      <c r="G295" s="29" t="s">
        <v>1514</v>
      </c>
    </row>
    <row r="296" spans="1:7">
      <c r="A296" s="29">
        <v>78</v>
      </c>
      <c r="B296" s="29" t="s">
        <v>1764</v>
      </c>
      <c r="C296" s="30">
        <v>107000</v>
      </c>
      <c r="D296" s="29" t="s">
        <v>1368</v>
      </c>
      <c r="E296" s="29" t="s">
        <v>1369</v>
      </c>
      <c r="F296" s="29" t="s">
        <v>1370</v>
      </c>
      <c r="G296" s="29" t="s">
        <v>1514</v>
      </c>
    </row>
    <row r="297" spans="1:7">
      <c r="A297" s="29">
        <v>84</v>
      </c>
      <c r="B297" s="29" t="s">
        <v>1768</v>
      </c>
      <c r="C297" s="30">
        <v>107000</v>
      </c>
      <c r="D297" s="29" t="s">
        <v>1368</v>
      </c>
      <c r="E297" s="29" t="s">
        <v>1369</v>
      </c>
      <c r="F297" s="29" t="s">
        <v>1370</v>
      </c>
      <c r="G297" s="29" t="s">
        <v>1514</v>
      </c>
    </row>
    <row r="298" spans="1:7">
      <c r="A298" s="29">
        <v>88</v>
      </c>
      <c r="B298" s="29" t="s">
        <v>1771</v>
      </c>
      <c r="C298" s="30">
        <v>136542</v>
      </c>
      <c r="D298" s="29" t="s">
        <v>1368</v>
      </c>
      <c r="E298" s="29" t="s">
        <v>1369</v>
      </c>
      <c r="F298" s="29" t="s">
        <v>1370</v>
      </c>
      <c r="G298" s="29" t="s">
        <v>1514</v>
      </c>
    </row>
    <row r="299" spans="1:7">
      <c r="A299" s="29">
        <v>100</v>
      </c>
      <c r="B299" s="29" t="s">
        <v>1783</v>
      </c>
      <c r="C299" s="30">
        <v>107000</v>
      </c>
      <c r="D299" s="29" t="s">
        <v>1368</v>
      </c>
      <c r="E299" s="29" t="s">
        <v>1369</v>
      </c>
      <c r="F299" s="29" t="s">
        <v>1370</v>
      </c>
      <c r="G299" s="29" t="s">
        <v>1514</v>
      </c>
    </row>
    <row r="300" spans="1:7">
      <c r="A300" s="29">
        <v>109</v>
      </c>
      <c r="B300" s="29" t="s">
        <v>1791</v>
      </c>
      <c r="C300" s="30">
        <v>107000</v>
      </c>
      <c r="D300" s="29" t="s">
        <v>1368</v>
      </c>
      <c r="E300" s="29" t="s">
        <v>1369</v>
      </c>
      <c r="F300" s="29" t="s">
        <v>1370</v>
      </c>
      <c r="G300" s="29" t="s">
        <v>1514</v>
      </c>
    </row>
    <row r="301" spans="1:7">
      <c r="A301" s="29">
        <v>111</v>
      </c>
      <c r="B301" s="29" t="s">
        <v>1793</v>
      </c>
      <c r="C301" s="30">
        <v>107000</v>
      </c>
      <c r="D301" s="29" t="s">
        <v>1368</v>
      </c>
      <c r="E301" s="29" t="s">
        <v>1369</v>
      </c>
      <c r="F301" s="29" t="s">
        <v>1370</v>
      </c>
      <c r="G301" s="29" t="s">
        <v>1514</v>
      </c>
    </row>
    <row r="302" spans="1:7">
      <c r="A302" s="29">
        <v>114</v>
      </c>
      <c r="B302" s="29" t="s">
        <v>1796</v>
      </c>
      <c r="C302" s="30">
        <v>107000</v>
      </c>
      <c r="D302" s="29" t="s">
        <v>1368</v>
      </c>
      <c r="E302" s="29" t="s">
        <v>1369</v>
      </c>
      <c r="F302" s="29" t="s">
        <v>1370</v>
      </c>
      <c r="G302" s="29" t="s">
        <v>1514</v>
      </c>
    </row>
    <row r="303" spans="1:7">
      <c r="A303" s="29">
        <v>123</v>
      </c>
      <c r="B303" s="29" t="s">
        <v>1803</v>
      </c>
      <c r="C303" s="30">
        <v>107000</v>
      </c>
      <c r="D303" s="29" t="s">
        <v>1368</v>
      </c>
      <c r="E303" s="29" t="s">
        <v>1369</v>
      </c>
      <c r="F303" s="29" t="s">
        <v>1370</v>
      </c>
      <c r="G303" s="29" t="s">
        <v>1514</v>
      </c>
    </row>
    <row r="304" spans="1:7">
      <c r="A304" s="29">
        <v>124</v>
      </c>
      <c r="B304" s="29" t="s">
        <v>1804</v>
      </c>
      <c r="C304" s="30">
        <v>107000</v>
      </c>
      <c r="D304" s="29" t="s">
        <v>1368</v>
      </c>
      <c r="E304" s="29" t="s">
        <v>1369</v>
      </c>
      <c r="F304" s="29" t="s">
        <v>1370</v>
      </c>
      <c r="G304" s="29" t="s">
        <v>1514</v>
      </c>
    </row>
    <row r="305" spans="1:7">
      <c r="A305" s="29">
        <v>133</v>
      </c>
      <c r="B305" s="29" t="s">
        <v>1812</v>
      </c>
      <c r="C305" s="30">
        <v>107000</v>
      </c>
      <c r="D305" s="29" t="s">
        <v>1368</v>
      </c>
      <c r="E305" s="29" t="s">
        <v>1369</v>
      </c>
      <c r="F305" s="29" t="s">
        <v>1370</v>
      </c>
      <c r="G305" s="29" t="s">
        <v>1514</v>
      </c>
    </row>
    <row r="306" spans="1:7">
      <c r="A306" s="29">
        <v>134</v>
      </c>
      <c r="B306" s="29" t="s">
        <v>1813</v>
      </c>
      <c r="C306" s="30">
        <v>136542</v>
      </c>
      <c r="D306" s="29" t="s">
        <v>1368</v>
      </c>
      <c r="E306" s="29" t="s">
        <v>1369</v>
      </c>
      <c r="F306" s="29" t="s">
        <v>1370</v>
      </c>
      <c r="G306" s="29" t="s">
        <v>1514</v>
      </c>
    </row>
    <row r="307" spans="1:7">
      <c r="A307" s="29">
        <v>138</v>
      </c>
      <c r="B307" s="29" t="s">
        <v>1817</v>
      </c>
      <c r="C307" s="30">
        <v>136542</v>
      </c>
      <c r="D307" s="29" t="s">
        <v>1368</v>
      </c>
      <c r="E307" s="29" t="s">
        <v>1369</v>
      </c>
      <c r="F307" s="29" t="s">
        <v>1370</v>
      </c>
      <c r="G307" s="29" t="s">
        <v>1514</v>
      </c>
    </row>
    <row r="308" spans="1:7">
      <c r="A308" s="29">
        <v>140</v>
      </c>
      <c r="B308" s="29" t="s">
        <v>1819</v>
      </c>
      <c r="C308" s="30">
        <v>107000</v>
      </c>
      <c r="D308" s="29" t="s">
        <v>1368</v>
      </c>
      <c r="E308" s="29" t="s">
        <v>1369</v>
      </c>
      <c r="F308" s="29" t="s">
        <v>1370</v>
      </c>
      <c r="G308" s="29" t="s">
        <v>1514</v>
      </c>
    </row>
    <row r="309" spans="1:7">
      <c r="A309" s="29">
        <v>141</v>
      </c>
      <c r="B309" s="29" t="s">
        <v>1820</v>
      </c>
      <c r="C309" s="30">
        <v>107000</v>
      </c>
      <c r="D309" s="29" t="s">
        <v>1368</v>
      </c>
      <c r="E309" s="29" t="s">
        <v>1369</v>
      </c>
      <c r="F309" s="29" t="s">
        <v>1370</v>
      </c>
      <c r="G309" s="29" t="s">
        <v>1514</v>
      </c>
    </row>
    <row r="310" spans="1:7">
      <c r="A310" s="29">
        <v>143</v>
      </c>
      <c r="B310" s="29" t="s">
        <v>1822</v>
      </c>
      <c r="C310" s="30">
        <v>136542</v>
      </c>
      <c r="D310" s="29" t="s">
        <v>1368</v>
      </c>
      <c r="E310" s="29" t="s">
        <v>1369</v>
      </c>
      <c r="F310" s="29" t="s">
        <v>1370</v>
      </c>
      <c r="G310" s="29" t="s">
        <v>1514</v>
      </c>
    </row>
    <row r="311" spans="1:7">
      <c r="A311" s="29">
        <v>146</v>
      </c>
      <c r="B311" s="29" t="s">
        <v>1825</v>
      </c>
      <c r="C311" s="30">
        <v>107000</v>
      </c>
      <c r="D311" s="29" t="s">
        <v>1368</v>
      </c>
      <c r="E311" s="29" t="s">
        <v>1369</v>
      </c>
      <c r="F311" s="29" t="s">
        <v>1370</v>
      </c>
      <c r="G311" s="29" t="s">
        <v>1514</v>
      </c>
    </row>
    <row r="312" spans="1:7">
      <c r="A312" s="29">
        <v>155</v>
      </c>
      <c r="B312" s="29" t="s">
        <v>1615</v>
      </c>
      <c r="C312" s="30">
        <v>107000</v>
      </c>
      <c r="D312" s="29" t="s">
        <v>1368</v>
      </c>
      <c r="E312" s="29" t="s">
        <v>1369</v>
      </c>
      <c r="F312" s="29" t="s">
        <v>1370</v>
      </c>
      <c r="G312" s="29" t="s">
        <v>1514</v>
      </c>
    </row>
    <row r="313" spans="1:7">
      <c r="A313" s="29">
        <v>162</v>
      </c>
      <c r="B313" s="29" t="s">
        <v>1622</v>
      </c>
      <c r="C313" s="30">
        <v>136542</v>
      </c>
      <c r="D313" s="29" t="s">
        <v>1368</v>
      </c>
      <c r="E313" s="29" t="s">
        <v>1369</v>
      </c>
      <c r="F313" s="29" t="s">
        <v>1370</v>
      </c>
      <c r="G313" s="29" t="s">
        <v>1514</v>
      </c>
    </row>
    <row r="314" spans="1:7">
      <c r="A314" s="29">
        <v>164</v>
      </c>
      <c r="B314" s="29" t="s">
        <v>1624</v>
      </c>
      <c r="C314" s="30">
        <v>107000</v>
      </c>
      <c r="D314" s="29" t="s">
        <v>1368</v>
      </c>
      <c r="E314" s="29" t="s">
        <v>1369</v>
      </c>
      <c r="F314" s="29" t="s">
        <v>1370</v>
      </c>
      <c r="G314" s="29" t="s">
        <v>1514</v>
      </c>
    </row>
    <row r="315" spans="1:7">
      <c r="A315" s="29">
        <v>166</v>
      </c>
      <c r="B315" s="29" t="s">
        <v>1626</v>
      </c>
      <c r="C315" s="30">
        <v>107000</v>
      </c>
      <c r="D315" s="29" t="s">
        <v>1368</v>
      </c>
      <c r="E315" s="29" t="s">
        <v>1369</v>
      </c>
      <c r="F315" s="29" t="s">
        <v>1370</v>
      </c>
      <c r="G315" s="29" t="s">
        <v>1514</v>
      </c>
    </row>
    <row r="316" spans="1:7">
      <c r="A316" s="29">
        <v>169</v>
      </c>
      <c r="B316" s="29" t="s">
        <v>1628</v>
      </c>
      <c r="C316" s="30">
        <v>107000</v>
      </c>
      <c r="D316" s="29" t="s">
        <v>1368</v>
      </c>
      <c r="E316" s="29" t="s">
        <v>1369</v>
      </c>
      <c r="F316" s="29" t="s">
        <v>1370</v>
      </c>
      <c r="G316" s="29" t="s">
        <v>1514</v>
      </c>
    </row>
    <row r="317" spans="1:7">
      <c r="A317" s="29">
        <v>77</v>
      </c>
      <c r="B317" s="29" t="s">
        <v>1763</v>
      </c>
      <c r="C317" s="30">
        <v>147943</v>
      </c>
      <c r="D317" s="29" t="s">
        <v>1184</v>
      </c>
      <c r="E317" s="29" t="s">
        <v>1185</v>
      </c>
      <c r="F317" s="29" t="s">
        <v>1186</v>
      </c>
      <c r="G317" s="29" t="s">
        <v>1514</v>
      </c>
    </row>
    <row r="318" spans="1:7" s="9" customFormat="1">
      <c r="A318" s="9">
        <v>93</v>
      </c>
      <c r="B318" s="9" t="s">
        <v>1776</v>
      </c>
      <c r="C318" s="33">
        <v>212222</v>
      </c>
      <c r="D318" s="9" t="s">
        <v>1184</v>
      </c>
      <c r="E318" s="9" t="s">
        <v>1185</v>
      </c>
      <c r="F318" s="9" t="s">
        <v>1186</v>
      </c>
      <c r="G318" s="9" t="s">
        <v>1514</v>
      </c>
    </row>
    <row r="319" spans="1:7">
      <c r="A319" s="29">
        <v>253</v>
      </c>
      <c r="B319" s="29" t="s">
        <v>931</v>
      </c>
      <c r="C319" s="30"/>
      <c r="D319" s="29" t="s">
        <v>1184</v>
      </c>
      <c r="E319" s="29" t="s">
        <v>1185</v>
      </c>
      <c r="F319" s="29" t="s">
        <v>1186</v>
      </c>
      <c r="G319" s="29" t="s">
        <v>1514</v>
      </c>
    </row>
    <row r="320" spans="1:7">
      <c r="A320" s="29">
        <v>77</v>
      </c>
      <c r="B320" s="29" t="s">
        <v>1763</v>
      </c>
      <c r="C320" s="30">
        <v>96986</v>
      </c>
      <c r="D320" s="29" t="s">
        <v>1187</v>
      </c>
      <c r="E320" s="29" t="s">
        <v>1188</v>
      </c>
      <c r="F320" s="29" t="s">
        <v>1189</v>
      </c>
      <c r="G320" s="29" t="s">
        <v>1514</v>
      </c>
    </row>
    <row r="321" spans="1:7" s="9" customFormat="1">
      <c r="A321" s="9">
        <v>93</v>
      </c>
      <c r="B321" s="9" t="s">
        <v>1776</v>
      </c>
      <c r="C321" s="33">
        <v>145479</v>
      </c>
      <c r="D321" s="9" t="s">
        <v>1187</v>
      </c>
      <c r="E321" s="9" t="s">
        <v>1188</v>
      </c>
      <c r="F321" s="9" t="s">
        <v>1189</v>
      </c>
      <c r="G321" s="9" t="s">
        <v>1514</v>
      </c>
    </row>
    <row r="322" spans="1:7">
      <c r="A322" s="29">
        <v>242</v>
      </c>
      <c r="B322" s="29" t="s">
        <v>1008</v>
      </c>
      <c r="C322" s="30"/>
      <c r="D322" s="29" t="s">
        <v>1187</v>
      </c>
      <c r="E322" s="29" t="s">
        <v>1188</v>
      </c>
      <c r="F322" s="29" t="s">
        <v>1189</v>
      </c>
      <c r="G322" s="29" t="s">
        <v>1514</v>
      </c>
    </row>
    <row r="323" spans="1:7">
      <c r="A323" s="29">
        <v>253</v>
      </c>
      <c r="B323" s="29" t="s">
        <v>931</v>
      </c>
      <c r="C323" s="30"/>
      <c r="D323" s="29" t="s">
        <v>1187</v>
      </c>
      <c r="E323" s="29" t="s">
        <v>1188</v>
      </c>
      <c r="F323" s="29" t="s">
        <v>1189</v>
      </c>
      <c r="G323" s="29" t="s">
        <v>1514</v>
      </c>
    </row>
    <row r="324" spans="1:7">
      <c r="A324" s="29">
        <v>2</v>
      </c>
      <c r="B324" s="29" t="s">
        <v>1698</v>
      </c>
      <c r="C324" s="30">
        <v>667517</v>
      </c>
      <c r="D324" s="29" t="s">
        <v>1511</v>
      </c>
      <c r="E324" s="29" t="s">
        <v>1512</v>
      </c>
      <c r="F324" s="29" t="s">
        <v>1513</v>
      </c>
      <c r="G324" s="29" t="s">
        <v>1514</v>
      </c>
    </row>
    <row r="325" spans="1:7">
      <c r="A325" s="29">
        <v>11</v>
      </c>
      <c r="B325" s="29" t="s">
        <v>1705</v>
      </c>
      <c r="C325" s="30">
        <v>381305</v>
      </c>
      <c r="D325" s="29" t="s">
        <v>1511</v>
      </c>
      <c r="E325" s="29" t="s">
        <v>1512</v>
      </c>
      <c r="F325" s="29" t="s">
        <v>1513</v>
      </c>
      <c r="G325" s="29" t="s">
        <v>1514</v>
      </c>
    </row>
    <row r="326" spans="1:7" s="7" customFormat="1">
      <c r="A326" s="7">
        <v>15</v>
      </c>
      <c r="B326" s="7" t="s">
        <v>1709</v>
      </c>
      <c r="C326" s="34">
        <v>7932087</v>
      </c>
      <c r="D326" s="7" t="s">
        <v>1511</v>
      </c>
      <c r="E326" s="7" t="s">
        <v>1512</v>
      </c>
      <c r="F326" s="7" t="s">
        <v>1513</v>
      </c>
      <c r="G326" s="7" t="s">
        <v>1514</v>
      </c>
    </row>
    <row r="327" spans="1:7">
      <c r="A327" s="29">
        <v>17</v>
      </c>
      <c r="B327" s="29" t="s">
        <v>1710</v>
      </c>
      <c r="C327" s="30">
        <v>1321376</v>
      </c>
      <c r="D327" s="29" t="s">
        <v>1511</v>
      </c>
      <c r="E327" s="29" t="s">
        <v>1512</v>
      </c>
      <c r="F327" s="29" t="s">
        <v>1513</v>
      </c>
      <c r="G327" s="29" t="s">
        <v>1514</v>
      </c>
    </row>
    <row r="328" spans="1:7">
      <c r="A328" s="29">
        <v>34</v>
      </c>
      <c r="B328" s="29" t="s">
        <v>1726</v>
      </c>
      <c r="C328" s="30">
        <v>1956869</v>
      </c>
      <c r="D328" s="29" t="s">
        <v>1511</v>
      </c>
      <c r="E328" s="29" t="s">
        <v>1512</v>
      </c>
      <c r="F328" s="29" t="s">
        <v>1513</v>
      </c>
      <c r="G328" s="29" t="s">
        <v>1514</v>
      </c>
    </row>
    <row r="329" spans="1:7">
      <c r="A329" s="29">
        <v>43</v>
      </c>
      <c r="B329" s="29" t="s">
        <v>1734</v>
      </c>
      <c r="C329" s="30">
        <v>1654408</v>
      </c>
      <c r="D329" s="29" t="s">
        <v>1511</v>
      </c>
      <c r="E329" s="29" t="s">
        <v>1512</v>
      </c>
      <c r="F329" s="29" t="s">
        <v>1513</v>
      </c>
      <c r="G329" s="29" t="s">
        <v>1514</v>
      </c>
    </row>
    <row r="330" spans="1:7">
      <c r="A330" s="29">
        <v>64</v>
      </c>
      <c r="B330" s="29" t="s">
        <v>1753</v>
      </c>
      <c r="C330" s="30">
        <v>8677356</v>
      </c>
      <c r="D330" s="29" t="s">
        <v>1511</v>
      </c>
      <c r="E330" s="29" t="s">
        <v>1512</v>
      </c>
      <c r="F330" s="29" t="s">
        <v>1513</v>
      </c>
      <c r="G330" s="29" t="s">
        <v>1514</v>
      </c>
    </row>
    <row r="331" spans="1:7">
      <c r="A331" s="29">
        <v>80</v>
      </c>
      <c r="B331" s="29" t="s">
        <v>1766</v>
      </c>
      <c r="C331" s="30">
        <v>2163349</v>
      </c>
      <c r="D331" s="29" t="s">
        <v>1511</v>
      </c>
      <c r="E331" s="29" t="s">
        <v>1512</v>
      </c>
      <c r="F331" s="29" t="s">
        <v>1513</v>
      </c>
      <c r="G331" s="29" t="s">
        <v>1514</v>
      </c>
    </row>
    <row r="332" spans="1:7">
      <c r="A332" s="29">
        <v>83</v>
      </c>
      <c r="B332" s="29" t="s">
        <v>1767</v>
      </c>
      <c r="C332" s="30">
        <v>1229364</v>
      </c>
      <c r="D332" s="29" t="s">
        <v>1511</v>
      </c>
      <c r="E332" s="29" t="s">
        <v>1512</v>
      </c>
      <c r="F332" s="29" t="s">
        <v>1513</v>
      </c>
      <c r="G332" s="29" t="s">
        <v>1514</v>
      </c>
    </row>
    <row r="333" spans="1:7">
      <c r="A333" s="29">
        <v>89</v>
      </c>
      <c r="B333" s="29" t="s">
        <v>1772</v>
      </c>
      <c r="C333" s="30">
        <v>3253621</v>
      </c>
      <c r="D333" s="29" t="s">
        <v>1511</v>
      </c>
      <c r="E333" s="29" t="s">
        <v>1512</v>
      </c>
      <c r="F333" s="29" t="s">
        <v>1513</v>
      </c>
      <c r="G333" s="29" t="s">
        <v>1514</v>
      </c>
    </row>
    <row r="334" spans="1:7" s="9" customFormat="1">
      <c r="A334" s="9">
        <v>93</v>
      </c>
      <c r="B334" s="9" t="s">
        <v>1776</v>
      </c>
      <c r="C334" s="33">
        <v>6634225</v>
      </c>
      <c r="D334" s="9" t="s">
        <v>1511</v>
      </c>
      <c r="E334" s="9" t="s">
        <v>1512</v>
      </c>
      <c r="F334" s="9" t="s">
        <v>1513</v>
      </c>
      <c r="G334" s="9" t="s">
        <v>1514</v>
      </c>
    </row>
    <row r="335" spans="1:7">
      <c r="A335" s="29">
        <v>103</v>
      </c>
      <c r="B335" s="29" t="s">
        <v>1786</v>
      </c>
      <c r="C335" s="30">
        <v>2559457</v>
      </c>
      <c r="D335" s="29" t="s">
        <v>1511</v>
      </c>
      <c r="E335" s="29" t="s">
        <v>1512</v>
      </c>
      <c r="F335" s="29" t="s">
        <v>1513</v>
      </c>
      <c r="G335" s="29" t="s">
        <v>1514</v>
      </c>
    </row>
    <row r="336" spans="1:7">
      <c r="A336" s="29">
        <v>104</v>
      </c>
      <c r="B336" s="29" t="s">
        <v>1787</v>
      </c>
      <c r="C336" s="30">
        <v>1181270</v>
      </c>
      <c r="D336" s="29" t="s">
        <v>1511</v>
      </c>
      <c r="E336" s="29" t="s">
        <v>1512</v>
      </c>
      <c r="F336" s="29" t="s">
        <v>1513</v>
      </c>
      <c r="G336" s="29" t="s">
        <v>1514</v>
      </c>
    </row>
    <row r="337" spans="1:7">
      <c r="A337" s="29">
        <v>116</v>
      </c>
      <c r="B337" s="29" t="s">
        <v>1797</v>
      </c>
      <c r="C337" s="30">
        <v>212338</v>
      </c>
      <c r="D337" s="29" t="s">
        <v>1511</v>
      </c>
      <c r="E337" s="29" t="s">
        <v>1512</v>
      </c>
      <c r="F337" s="29" t="s">
        <v>1513</v>
      </c>
      <c r="G337" s="29" t="s">
        <v>1514</v>
      </c>
    </row>
    <row r="338" spans="1:7">
      <c r="A338" s="29">
        <v>135</v>
      </c>
      <c r="B338" s="29" t="s">
        <v>1814</v>
      </c>
      <c r="C338" s="30">
        <v>3283988</v>
      </c>
      <c r="D338" s="29" t="s">
        <v>1511</v>
      </c>
      <c r="E338" s="29" t="s">
        <v>1512</v>
      </c>
      <c r="F338" s="29" t="s">
        <v>1513</v>
      </c>
      <c r="G338" s="29" t="s">
        <v>1514</v>
      </c>
    </row>
    <row r="339" spans="1:7">
      <c r="A339" s="29">
        <v>156</v>
      </c>
      <c r="B339" s="29" t="s">
        <v>1616</v>
      </c>
      <c r="C339" s="30">
        <v>1652669</v>
      </c>
      <c r="D339" s="29" t="s">
        <v>1511</v>
      </c>
      <c r="E339" s="29" t="s">
        <v>1512</v>
      </c>
      <c r="F339" s="29" t="s">
        <v>1513</v>
      </c>
      <c r="G339" s="29" t="s">
        <v>1514</v>
      </c>
    </row>
    <row r="340" spans="1:7">
      <c r="A340" s="29">
        <v>163</v>
      </c>
      <c r="B340" s="29" t="s">
        <v>1623</v>
      </c>
      <c r="C340" s="30">
        <v>1099556</v>
      </c>
      <c r="D340" s="29" t="s">
        <v>1511</v>
      </c>
      <c r="E340" s="29" t="s">
        <v>1512</v>
      </c>
      <c r="F340" s="29" t="s">
        <v>1513</v>
      </c>
      <c r="G340" s="29" t="s">
        <v>1514</v>
      </c>
    </row>
    <row r="341" spans="1:7">
      <c r="A341" s="29">
        <v>244</v>
      </c>
      <c r="B341" s="29" t="s">
        <v>1017</v>
      </c>
      <c r="C341" s="30"/>
      <c r="D341" s="29" t="s">
        <v>1511</v>
      </c>
      <c r="E341" s="29" t="s">
        <v>1512</v>
      </c>
      <c r="F341" s="29" t="s">
        <v>1513</v>
      </c>
      <c r="G341" s="29" t="s">
        <v>1514</v>
      </c>
    </row>
    <row r="342" spans="1:7">
      <c r="A342" s="29">
        <v>245</v>
      </c>
      <c r="B342" s="29" t="s">
        <v>1030</v>
      </c>
      <c r="C342" s="30">
        <v>967503</v>
      </c>
      <c r="D342" s="29" t="s">
        <v>1511</v>
      </c>
      <c r="E342" s="29" t="s">
        <v>1512</v>
      </c>
      <c r="F342" s="29" t="s">
        <v>1513</v>
      </c>
      <c r="G342" s="29" t="s">
        <v>1514</v>
      </c>
    </row>
    <row r="343" spans="1:7">
      <c r="B343" s="11" t="s">
        <v>450</v>
      </c>
      <c r="C343" s="28">
        <f>SUM(C278:C342)</f>
        <v>51928850</v>
      </c>
    </row>
    <row r="344" spans="1:7">
      <c r="B344" s="11" t="s">
        <v>451</v>
      </c>
      <c r="C344" s="28">
        <f>C326</f>
        <v>7932087</v>
      </c>
    </row>
    <row r="345" spans="1:7">
      <c r="B345" s="11" t="s">
        <v>452</v>
      </c>
      <c r="C345" s="28">
        <f>C318+C321+C334</f>
        <v>6991926</v>
      </c>
    </row>
    <row r="347" spans="1:7">
      <c r="A347" s="31">
        <v>34</v>
      </c>
      <c r="B347" s="31" t="s">
        <v>1726</v>
      </c>
      <c r="C347" s="32">
        <v>102608</v>
      </c>
      <c r="D347" s="31" t="s">
        <v>1309</v>
      </c>
      <c r="E347" s="31" t="s">
        <v>1310</v>
      </c>
      <c r="F347" s="31" t="s">
        <v>1201</v>
      </c>
      <c r="G347" s="31" t="s">
        <v>1514</v>
      </c>
    </row>
    <row r="348" spans="1:7">
      <c r="A348" s="31">
        <v>83</v>
      </c>
      <c r="B348" s="31" t="s">
        <v>1767</v>
      </c>
      <c r="C348" s="32">
        <v>102608</v>
      </c>
      <c r="D348" s="31" t="s">
        <v>1309</v>
      </c>
      <c r="E348" s="31" t="s">
        <v>1310</v>
      </c>
      <c r="F348" s="31" t="s">
        <v>1201</v>
      </c>
      <c r="G348" s="31" t="s">
        <v>1514</v>
      </c>
    </row>
    <row r="349" spans="1:7">
      <c r="A349" s="31">
        <v>95</v>
      </c>
      <c r="B349" s="31" t="s">
        <v>1778</v>
      </c>
      <c r="C349" s="32">
        <v>102608</v>
      </c>
      <c r="D349" s="31" t="s">
        <v>1309</v>
      </c>
      <c r="E349" s="31" t="s">
        <v>1310</v>
      </c>
      <c r="F349" s="31" t="s">
        <v>1201</v>
      </c>
      <c r="G349" s="31" t="s">
        <v>1514</v>
      </c>
    </row>
    <row r="350" spans="1:7">
      <c r="A350" s="31">
        <v>126</v>
      </c>
      <c r="B350" s="31" t="s">
        <v>1806</v>
      </c>
      <c r="C350" s="32">
        <v>102608</v>
      </c>
      <c r="D350" s="31" t="s">
        <v>1309</v>
      </c>
      <c r="E350" s="31" t="s">
        <v>1310</v>
      </c>
      <c r="F350" s="31" t="s">
        <v>1201</v>
      </c>
      <c r="G350" s="31" t="s">
        <v>1514</v>
      </c>
    </row>
    <row r="351" spans="1:7">
      <c r="A351" s="31">
        <v>135</v>
      </c>
      <c r="B351" s="31" t="s">
        <v>1814</v>
      </c>
      <c r="C351" s="32">
        <v>102608</v>
      </c>
      <c r="D351" s="31" t="s">
        <v>1309</v>
      </c>
      <c r="E351" s="31" t="s">
        <v>1310</v>
      </c>
      <c r="F351" s="31" t="s">
        <v>1201</v>
      </c>
      <c r="G351" s="31" t="s">
        <v>1514</v>
      </c>
    </row>
    <row r="352" spans="1:7">
      <c r="A352" s="31">
        <v>163</v>
      </c>
      <c r="B352" s="31" t="s">
        <v>1623</v>
      </c>
      <c r="C352" s="32">
        <v>102608</v>
      </c>
      <c r="D352" s="31" t="s">
        <v>1309</v>
      </c>
      <c r="E352" s="31" t="s">
        <v>1310</v>
      </c>
      <c r="F352" s="31" t="s">
        <v>1201</v>
      </c>
      <c r="G352" s="31" t="s">
        <v>1514</v>
      </c>
    </row>
    <row r="353" spans="1:7">
      <c r="A353" s="31">
        <v>241</v>
      </c>
      <c r="B353" s="31" t="s">
        <v>1078</v>
      </c>
      <c r="C353" s="32"/>
      <c r="D353" s="31" t="s">
        <v>1000</v>
      </c>
      <c r="E353" s="31" t="s">
        <v>1310</v>
      </c>
      <c r="F353" s="31" t="s">
        <v>1201</v>
      </c>
      <c r="G353" s="31" t="s">
        <v>1514</v>
      </c>
    </row>
    <row r="354" spans="1:7">
      <c r="B354" s="11" t="s">
        <v>450</v>
      </c>
      <c r="C354" s="28">
        <f>SUM(C347:C353)</f>
        <v>615648</v>
      </c>
    </row>
    <row r="355" spans="1:7">
      <c r="B355" s="11" t="s">
        <v>451</v>
      </c>
      <c r="C355" s="28">
        <v>0</v>
      </c>
    </row>
    <row r="356" spans="1:7">
      <c r="B356" s="11" t="s">
        <v>452</v>
      </c>
      <c r="C356" s="28">
        <v>0</v>
      </c>
    </row>
    <row r="358" spans="1:7">
      <c r="A358" s="27">
        <v>10109</v>
      </c>
      <c r="B358" s="27" t="s">
        <v>825</v>
      </c>
      <c r="C358" s="27">
        <v>559027</v>
      </c>
      <c r="D358" s="27" t="s">
        <v>1184</v>
      </c>
      <c r="E358" s="27" t="s">
        <v>1185</v>
      </c>
      <c r="F358" s="27" t="s">
        <v>1186</v>
      </c>
      <c r="G358" s="27" t="s">
        <v>1514</v>
      </c>
    </row>
    <row r="359" spans="1:7">
      <c r="A359" s="27">
        <v>10109</v>
      </c>
      <c r="B359" s="27" t="s">
        <v>825</v>
      </c>
      <c r="C359" s="27">
        <v>463678</v>
      </c>
      <c r="D359" s="27" t="s">
        <v>1187</v>
      </c>
      <c r="E359" s="27" t="s">
        <v>1188</v>
      </c>
      <c r="F359" s="27" t="s">
        <v>1189</v>
      </c>
      <c r="G359" s="27" t="s">
        <v>1514</v>
      </c>
    </row>
    <row r="360" spans="1:7">
      <c r="A360" s="27">
        <v>10157</v>
      </c>
      <c r="B360" s="27" t="s">
        <v>846</v>
      </c>
      <c r="C360" s="27">
        <v>299754</v>
      </c>
      <c r="D360" s="27" t="s">
        <v>1184</v>
      </c>
      <c r="E360" s="27" t="s">
        <v>1185</v>
      </c>
      <c r="F360" s="27" t="s">
        <v>1186</v>
      </c>
      <c r="G360" s="27" t="s">
        <v>1514</v>
      </c>
    </row>
    <row r="361" spans="1:7">
      <c r="A361" s="27">
        <v>10157</v>
      </c>
      <c r="B361" s="27" t="s">
        <v>846</v>
      </c>
      <c r="C361" s="27">
        <v>48493</v>
      </c>
      <c r="D361" s="27" t="s">
        <v>1187</v>
      </c>
      <c r="E361" s="27" t="s">
        <v>1188</v>
      </c>
      <c r="F361" s="27" t="s">
        <v>1189</v>
      </c>
      <c r="G361" s="27" t="s">
        <v>1514</v>
      </c>
    </row>
    <row r="362" spans="1:7">
      <c r="A362" s="27">
        <v>10184</v>
      </c>
      <c r="B362" s="27" t="s">
        <v>854</v>
      </c>
      <c r="C362" s="27">
        <v>152256</v>
      </c>
      <c r="D362" s="27" t="s">
        <v>1184</v>
      </c>
      <c r="E362" s="27" t="s">
        <v>1185</v>
      </c>
      <c r="F362" s="27" t="s">
        <v>1186</v>
      </c>
      <c r="G362" s="27" t="s">
        <v>1514</v>
      </c>
    </row>
    <row r="363" spans="1:7">
      <c r="A363" s="27">
        <v>10184</v>
      </c>
      <c r="B363" s="27" t="s">
        <v>854</v>
      </c>
      <c r="C363" s="27">
        <v>145482</v>
      </c>
      <c r="D363" s="27" t="s">
        <v>1187</v>
      </c>
      <c r="E363" s="27" t="s">
        <v>1188</v>
      </c>
      <c r="F363" s="27" t="s">
        <v>1189</v>
      </c>
      <c r="G363" s="27" t="s">
        <v>1514</v>
      </c>
    </row>
    <row r="364" spans="1:7">
      <c r="A364" s="27">
        <v>10247</v>
      </c>
      <c r="B364" s="27" t="s">
        <v>860</v>
      </c>
      <c r="C364" s="27">
        <v>157866</v>
      </c>
      <c r="D364" s="27" t="s">
        <v>1184</v>
      </c>
      <c r="E364" s="27" t="s">
        <v>1185</v>
      </c>
      <c r="F364" s="27" t="s">
        <v>1186</v>
      </c>
      <c r="G364" s="27" t="s">
        <v>1514</v>
      </c>
    </row>
    <row r="365" spans="1:7">
      <c r="A365" s="27">
        <v>10272</v>
      </c>
      <c r="B365" s="27" t="s">
        <v>862</v>
      </c>
      <c r="C365" s="27">
        <v>96986</v>
      </c>
      <c r="D365" s="27" t="s">
        <v>1187</v>
      </c>
      <c r="E365" s="27" t="s">
        <v>1188</v>
      </c>
      <c r="F365" s="27" t="s">
        <v>1189</v>
      </c>
      <c r="G365" s="27" t="s">
        <v>1514</v>
      </c>
    </row>
    <row r="366" spans="1:7">
      <c r="A366" s="27">
        <v>10286</v>
      </c>
      <c r="B366" s="27" t="s">
        <v>863</v>
      </c>
      <c r="C366" s="27">
        <v>13097</v>
      </c>
      <c r="D366" s="27" t="s">
        <v>864</v>
      </c>
      <c r="E366" s="27" t="s">
        <v>865</v>
      </c>
      <c r="F366" s="27" t="s">
        <v>1186</v>
      </c>
      <c r="G366" s="27" t="s">
        <v>1514</v>
      </c>
    </row>
    <row r="367" spans="1:7">
      <c r="A367" s="27">
        <v>10286</v>
      </c>
      <c r="B367" s="27" t="s">
        <v>863</v>
      </c>
      <c r="C367" s="27">
        <v>193974</v>
      </c>
      <c r="D367" s="27" t="s">
        <v>1187</v>
      </c>
      <c r="E367" s="27" t="s">
        <v>1188</v>
      </c>
      <c r="F367" s="27" t="s">
        <v>1189</v>
      </c>
      <c r="G367" s="27" t="s">
        <v>1514</v>
      </c>
    </row>
    <row r="368" spans="1:7">
      <c r="A368" s="27">
        <v>10287</v>
      </c>
      <c r="B368" s="27" t="s">
        <v>866</v>
      </c>
      <c r="C368" s="27">
        <v>169905</v>
      </c>
      <c r="D368" s="27" t="s">
        <v>1184</v>
      </c>
      <c r="E368" s="27" t="s">
        <v>1185</v>
      </c>
      <c r="F368" s="27" t="s">
        <v>1186</v>
      </c>
      <c r="G368" s="27" t="s">
        <v>1514</v>
      </c>
    </row>
    <row r="369" spans="1:7">
      <c r="A369" s="27">
        <v>10287</v>
      </c>
      <c r="B369" s="27" t="s">
        <v>866</v>
      </c>
      <c r="C369" s="27">
        <v>48493</v>
      </c>
      <c r="D369" s="27" t="s">
        <v>1187</v>
      </c>
      <c r="E369" s="27" t="s">
        <v>1188</v>
      </c>
      <c r="F369" s="27" t="s">
        <v>1189</v>
      </c>
      <c r="G369" s="27" t="s">
        <v>1514</v>
      </c>
    </row>
    <row r="370" spans="1:7">
      <c r="A370" s="27">
        <v>10397</v>
      </c>
      <c r="B370" s="27" t="s">
        <v>753</v>
      </c>
      <c r="C370" s="27">
        <v>151954</v>
      </c>
      <c r="D370" s="27" t="s">
        <v>1184</v>
      </c>
      <c r="E370" s="27" t="s">
        <v>1185</v>
      </c>
      <c r="F370" s="27" t="s">
        <v>1186</v>
      </c>
      <c r="G370" s="27" t="s">
        <v>1514</v>
      </c>
    </row>
    <row r="371" spans="1:7">
      <c r="A371" s="27">
        <v>10397</v>
      </c>
      <c r="B371" s="27" t="s">
        <v>753</v>
      </c>
      <c r="C371" s="27">
        <v>48494</v>
      </c>
      <c r="D371" s="27" t="s">
        <v>1187</v>
      </c>
      <c r="E371" s="27" t="s">
        <v>1188</v>
      </c>
      <c r="F371" s="27" t="s">
        <v>1189</v>
      </c>
      <c r="G371" s="27" t="s">
        <v>1514</v>
      </c>
    </row>
    <row r="372" spans="1:7">
      <c r="A372" s="27">
        <v>10563</v>
      </c>
      <c r="B372" s="27" t="s">
        <v>760</v>
      </c>
      <c r="C372" s="27">
        <v>35053</v>
      </c>
      <c r="D372" s="27" t="s">
        <v>864</v>
      </c>
      <c r="E372" s="27" t="s">
        <v>865</v>
      </c>
      <c r="F372" s="27" t="s">
        <v>1186</v>
      </c>
      <c r="G372" s="27" t="s">
        <v>1514</v>
      </c>
    </row>
    <row r="373" spans="1:7">
      <c r="A373" s="27">
        <v>10563</v>
      </c>
      <c r="B373" s="27" t="s">
        <v>760</v>
      </c>
      <c r="C373" s="27">
        <v>182390</v>
      </c>
      <c r="D373" s="27" t="s">
        <v>1184</v>
      </c>
      <c r="E373" s="27" t="s">
        <v>1185</v>
      </c>
      <c r="F373" s="27" t="s">
        <v>1186</v>
      </c>
      <c r="G373" s="27" t="s">
        <v>1514</v>
      </c>
    </row>
    <row r="374" spans="1:7">
      <c r="A374" s="27">
        <v>10563</v>
      </c>
      <c r="B374" s="27" t="s">
        <v>760</v>
      </c>
      <c r="C374" s="27">
        <v>48493</v>
      </c>
      <c r="D374" s="27" t="s">
        <v>1187</v>
      </c>
      <c r="E374" s="27" t="s">
        <v>1188</v>
      </c>
      <c r="F374" s="27" t="s">
        <v>1189</v>
      </c>
      <c r="G374" s="27" t="s">
        <v>1514</v>
      </c>
    </row>
    <row r="375" spans="1:7">
      <c r="A375" s="27">
        <v>11665</v>
      </c>
      <c r="B375" s="27" t="s">
        <v>805</v>
      </c>
      <c r="C375" s="27">
        <v>156481</v>
      </c>
      <c r="D375" s="27" t="s">
        <v>1184</v>
      </c>
      <c r="E375" s="27" t="s">
        <v>1185</v>
      </c>
      <c r="F375" s="27" t="s">
        <v>1186</v>
      </c>
      <c r="G375" s="27" t="s">
        <v>1514</v>
      </c>
    </row>
    <row r="376" spans="1:7">
      <c r="A376" s="27">
        <v>11665</v>
      </c>
      <c r="B376" s="27" t="s">
        <v>805</v>
      </c>
      <c r="C376" s="27">
        <v>193976</v>
      </c>
      <c r="D376" s="27" t="s">
        <v>1187</v>
      </c>
      <c r="E376" s="27" t="s">
        <v>1188</v>
      </c>
      <c r="F376" s="27" t="s">
        <v>1189</v>
      </c>
      <c r="G376" s="27" t="s">
        <v>1514</v>
      </c>
    </row>
    <row r="377" spans="1:7">
      <c r="A377" s="27">
        <v>18662</v>
      </c>
      <c r="B377" s="27" t="s">
        <v>561</v>
      </c>
      <c r="C377" s="27">
        <v>211284</v>
      </c>
      <c r="D377" s="27" t="s">
        <v>1184</v>
      </c>
      <c r="E377" s="27" t="s">
        <v>1185</v>
      </c>
      <c r="F377" s="27" t="s">
        <v>1186</v>
      </c>
      <c r="G377" s="27" t="s">
        <v>1514</v>
      </c>
    </row>
    <row r="378" spans="1:7">
      <c r="A378" s="27">
        <v>18662</v>
      </c>
      <c r="B378" s="27" t="s">
        <v>561</v>
      </c>
      <c r="C378" s="27">
        <v>48493</v>
      </c>
      <c r="D378" s="27" t="s">
        <v>1187</v>
      </c>
      <c r="E378" s="27" t="s">
        <v>1188</v>
      </c>
      <c r="F378" s="27" t="s">
        <v>1189</v>
      </c>
      <c r="G378" s="27" t="s">
        <v>1514</v>
      </c>
    </row>
    <row r="379" spans="1:7">
      <c r="A379" s="27">
        <v>66343</v>
      </c>
      <c r="B379" s="27" t="s">
        <v>604</v>
      </c>
      <c r="C379" s="27">
        <v>150227</v>
      </c>
      <c r="D379" s="27" t="s">
        <v>1184</v>
      </c>
      <c r="E379" s="27" t="s">
        <v>1185</v>
      </c>
      <c r="F379" s="27" t="s">
        <v>1186</v>
      </c>
      <c r="G379" s="27" t="s">
        <v>1514</v>
      </c>
    </row>
    <row r="380" spans="1:7">
      <c r="A380" s="27">
        <v>66343</v>
      </c>
      <c r="B380" s="27" t="s">
        <v>604</v>
      </c>
      <c r="C380" s="27">
        <v>48493</v>
      </c>
      <c r="D380" s="27" t="s">
        <v>1187</v>
      </c>
      <c r="E380" s="27" t="s">
        <v>1188</v>
      </c>
      <c r="F380" s="27" t="s">
        <v>1189</v>
      </c>
      <c r="G380" s="27" t="s">
        <v>1514</v>
      </c>
    </row>
    <row r="381" spans="1:7">
      <c r="A381" s="27">
        <v>84484</v>
      </c>
      <c r="B381" s="27" t="s">
        <v>487</v>
      </c>
      <c r="C381" s="27">
        <v>85448</v>
      </c>
      <c r="D381" s="27" t="s">
        <v>488</v>
      </c>
      <c r="E381" s="27" t="s">
        <v>489</v>
      </c>
      <c r="F381" s="27" t="s">
        <v>490</v>
      </c>
      <c r="G381" s="27" t="s">
        <v>1514</v>
      </c>
    </row>
    <row r="382" spans="1:7">
      <c r="A382" s="27" t="s">
        <v>438</v>
      </c>
      <c r="B382" s="27" t="s">
        <v>439</v>
      </c>
      <c r="C382" s="27">
        <v>176493</v>
      </c>
      <c r="D382" s="27" t="s">
        <v>1511</v>
      </c>
      <c r="E382" s="27" t="s">
        <v>1512</v>
      </c>
      <c r="F382" s="27" t="s">
        <v>1513</v>
      </c>
      <c r="G382" s="27" t="s">
        <v>1514</v>
      </c>
    </row>
    <row r="383" spans="1:7">
      <c r="A383">
        <v>1</v>
      </c>
      <c r="B383" t="s">
        <v>1697</v>
      </c>
      <c r="C383">
        <v>41578</v>
      </c>
      <c r="D383" t="s">
        <v>1567</v>
      </c>
      <c r="E383" t="s">
        <v>1568</v>
      </c>
      <c r="F383" t="s">
        <v>1569</v>
      </c>
    </row>
    <row r="384" spans="1:7">
      <c r="A384">
        <v>1</v>
      </c>
      <c r="B384" t="s">
        <v>1697</v>
      </c>
      <c r="C384">
        <v>1948513</v>
      </c>
      <c r="D384" t="s">
        <v>1570</v>
      </c>
      <c r="E384" t="s">
        <v>1571</v>
      </c>
      <c r="F384" t="s">
        <v>1572</v>
      </c>
    </row>
    <row r="385" spans="1:6">
      <c r="A385">
        <v>1</v>
      </c>
      <c r="B385" t="s">
        <v>1697</v>
      </c>
      <c r="C385">
        <v>20397</v>
      </c>
      <c r="D385" t="s">
        <v>1573</v>
      </c>
      <c r="E385" t="s">
        <v>1574</v>
      </c>
      <c r="F385" t="s">
        <v>1575</v>
      </c>
    </row>
    <row r="386" spans="1:6">
      <c r="A386">
        <v>1</v>
      </c>
      <c r="B386" t="s">
        <v>1697</v>
      </c>
      <c r="C386">
        <v>13614</v>
      </c>
      <c r="D386" t="s">
        <v>1576</v>
      </c>
      <c r="E386" t="s">
        <v>1577</v>
      </c>
      <c r="F386" t="s">
        <v>1578</v>
      </c>
    </row>
    <row r="387" spans="1:6">
      <c r="A387">
        <v>1</v>
      </c>
      <c r="B387" t="s">
        <v>1697</v>
      </c>
      <c r="C387">
        <v>3000</v>
      </c>
      <c r="D387" t="s">
        <v>1579</v>
      </c>
      <c r="E387" t="s">
        <v>1577</v>
      </c>
      <c r="F387" t="s">
        <v>1580</v>
      </c>
    </row>
    <row r="388" spans="1:6">
      <c r="A388">
        <v>1</v>
      </c>
      <c r="B388" t="s">
        <v>1697</v>
      </c>
      <c r="C388">
        <v>94</v>
      </c>
      <c r="D388" t="s">
        <v>1581</v>
      </c>
      <c r="E388" t="s">
        <v>1582</v>
      </c>
      <c r="F388" t="s">
        <v>1583</v>
      </c>
    </row>
    <row r="389" spans="1:6">
      <c r="A389">
        <v>1</v>
      </c>
      <c r="B389" t="s">
        <v>1697</v>
      </c>
      <c r="C389">
        <v>4537</v>
      </c>
      <c r="D389" t="s">
        <v>1584</v>
      </c>
      <c r="E389" t="s">
        <v>1585</v>
      </c>
      <c r="F389" t="s">
        <v>1586</v>
      </c>
    </row>
    <row r="390" spans="1:6">
      <c r="A390">
        <v>1</v>
      </c>
      <c r="B390" t="s">
        <v>1697</v>
      </c>
      <c r="C390">
        <v>1000</v>
      </c>
      <c r="D390" t="s">
        <v>1587</v>
      </c>
      <c r="E390" t="s">
        <v>1585</v>
      </c>
      <c r="F390" t="s">
        <v>1588</v>
      </c>
    </row>
    <row r="391" spans="1:6">
      <c r="A391">
        <v>1</v>
      </c>
      <c r="B391" t="s">
        <v>1697</v>
      </c>
      <c r="C391">
        <v>542</v>
      </c>
      <c r="D391" t="s">
        <v>1589</v>
      </c>
      <c r="E391" t="s">
        <v>1590</v>
      </c>
      <c r="F391" t="s">
        <v>1591</v>
      </c>
    </row>
    <row r="392" spans="1:6">
      <c r="A392">
        <v>1</v>
      </c>
      <c r="B392" t="s">
        <v>1697</v>
      </c>
      <c r="C392">
        <v>300</v>
      </c>
      <c r="D392" t="s">
        <v>1592</v>
      </c>
      <c r="E392" t="s">
        <v>1590</v>
      </c>
      <c r="F392" t="s">
        <v>1593</v>
      </c>
    </row>
    <row r="393" spans="1:6">
      <c r="A393">
        <v>1</v>
      </c>
      <c r="B393" t="s">
        <v>1697</v>
      </c>
      <c r="C393">
        <v>607</v>
      </c>
      <c r="D393" t="s">
        <v>1594</v>
      </c>
      <c r="E393" t="s">
        <v>1595</v>
      </c>
      <c r="F393" t="s">
        <v>1596</v>
      </c>
    </row>
    <row r="394" spans="1:6">
      <c r="A394">
        <v>1</v>
      </c>
      <c r="B394" t="s">
        <v>1697</v>
      </c>
      <c r="C394">
        <v>200</v>
      </c>
      <c r="D394" t="s">
        <v>1597</v>
      </c>
      <c r="E394" t="s">
        <v>1595</v>
      </c>
      <c r="F394" t="s">
        <v>1598</v>
      </c>
    </row>
    <row r="395" spans="1:6">
      <c r="A395">
        <v>1</v>
      </c>
      <c r="B395" t="s">
        <v>1697</v>
      </c>
      <c r="C395">
        <v>18341</v>
      </c>
      <c r="D395" t="s">
        <v>1599</v>
      </c>
      <c r="E395" t="s">
        <v>1600</v>
      </c>
      <c r="F395" t="s">
        <v>1601</v>
      </c>
    </row>
    <row r="396" spans="1:6">
      <c r="A396">
        <v>1</v>
      </c>
      <c r="B396" t="s">
        <v>1697</v>
      </c>
      <c r="C396">
        <v>20000</v>
      </c>
      <c r="D396" t="s">
        <v>1602</v>
      </c>
      <c r="E396" t="s">
        <v>1600</v>
      </c>
      <c r="F396" t="s">
        <v>1603</v>
      </c>
    </row>
    <row r="397" spans="1:6">
      <c r="A397">
        <v>1</v>
      </c>
      <c r="B397" t="s">
        <v>1697</v>
      </c>
      <c r="C397">
        <v>3675</v>
      </c>
      <c r="D397" t="s">
        <v>1604</v>
      </c>
      <c r="E397" t="s">
        <v>1605</v>
      </c>
      <c r="F397" t="s">
        <v>1606</v>
      </c>
    </row>
    <row r="398" spans="1:6">
      <c r="A398">
        <v>1</v>
      </c>
      <c r="B398" t="s">
        <v>1697</v>
      </c>
      <c r="C398">
        <v>161788</v>
      </c>
      <c r="D398" t="s">
        <v>1607</v>
      </c>
      <c r="E398" t="s">
        <v>1608</v>
      </c>
      <c r="F398" t="s">
        <v>1609</v>
      </c>
    </row>
    <row r="399" spans="1:6">
      <c r="A399">
        <v>1</v>
      </c>
      <c r="B399" t="s">
        <v>1697</v>
      </c>
      <c r="C399">
        <v>48937</v>
      </c>
      <c r="D399" t="s">
        <v>1610</v>
      </c>
      <c r="E399" t="s">
        <v>1481</v>
      </c>
      <c r="F399" t="s">
        <v>1482</v>
      </c>
    </row>
    <row r="400" spans="1:6">
      <c r="A400">
        <v>2</v>
      </c>
      <c r="B400" t="s">
        <v>1698</v>
      </c>
      <c r="C400">
        <v>17900</v>
      </c>
      <c r="D400" t="s">
        <v>1483</v>
      </c>
      <c r="E400" t="s">
        <v>1484</v>
      </c>
      <c r="F400" t="s">
        <v>1485</v>
      </c>
    </row>
    <row r="401" spans="1:6">
      <c r="A401">
        <v>2</v>
      </c>
      <c r="B401" t="s">
        <v>1698</v>
      </c>
      <c r="C401">
        <v>31492</v>
      </c>
      <c r="D401" t="s">
        <v>1486</v>
      </c>
      <c r="E401" t="s">
        <v>1487</v>
      </c>
      <c r="F401" t="s">
        <v>1488</v>
      </c>
    </row>
    <row r="402" spans="1:6">
      <c r="A402">
        <v>2</v>
      </c>
      <c r="B402" t="s">
        <v>1698</v>
      </c>
      <c r="C402">
        <v>16152</v>
      </c>
      <c r="D402" t="s">
        <v>1489</v>
      </c>
      <c r="E402" t="s">
        <v>1490</v>
      </c>
      <c r="F402" t="s">
        <v>1491</v>
      </c>
    </row>
    <row r="403" spans="1:6">
      <c r="A403">
        <v>2</v>
      </c>
      <c r="B403" t="s">
        <v>1698</v>
      </c>
      <c r="C403">
        <v>254478</v>
      </c>
      <c r="D403" t="s">
        <v>1567</v>
      </c>
      <c r="E403" t="s">
        <v>1568</v>
      </c>
      <c r="F403" t="s">
        <v>1569</v>
      </c>
    </row>
    <row r="404" spans="1:6">
      <c r="A404">
        <v>2</v>
      </c>
      <c r="B404" t="s">
        <v>1698</v>
      </c>
      <c r="C404">
        <v>29432</v>
      </c>
      <c r="D404" t="s">
        <v>1496</v>
      </c>
      <c r="E404" t="s">
        <v>1497</v>
      </c>
      <c r="F404" t="s">
        <v>1498</v>
      </c>
    </row>
    <row r="405" spans="1:6">
      <c r="A405">
        <v>2</v>
      </c>
      <c r="B405" t="s">
        <v>1698</v>
      </c>
      <c r="C405">
        <v>12841646</v>
      </c>
      <c r="D405" t="s">
        <v>1570</v>
      </c>
      <c r="E405" t="s">
        <v>1571</v>
      </c>
      <c r="F405" t="s">
        <v>1572</v>
      </c>
    </row>
    <row r="406" spans="1:6">
      <c r="A406">
        <v>2</v>
      </c>
      <c r="B406" t="s">
        <v>1698</v>
      </c>
      <c r="C406">
        <v>1228358</v>
      </c>
      <c r="D406" t="s">
        <v>1499</v>
      </c>
      <c r="E406" t="s">
        <v>1500</v>
      </c>
      <c r="F406" t="s">
        <v>1501</v>
      </c>
    </row>
    <row r="407" spans="1:6">
      <c r="A407">
        <v>2</v>
      </c>
      <c r="B407" t="s">
        <v>1698</v>
      </c>
      <c r="C407">
        <v>286307</v>
      </c>
      <c r="D407" t="s">
        <v>1502</v>
      </c>
      <c r="E407" t="s">
        <v>1503</v>
      </c>
      <c r="F407" t="s">
        <v>1504</v>
      </c>
    </row>
    <row r="408" spans="1:6">
      <c r="A408">
        <v>2</v>
      </c>
      <c r="B408" t="s">
        <v>1698</v>
      </c>
      <c r="C408">
        <v>48609</v>
      </c>
      <c r="D408" t="s">
        <v>1505</v>
      </c>
      <c r="E408" t="s">
        <v>1506</v>
      </c>
      <c r="F408" t="s">
        <v>1507</v>
      </c>
    </row>
    <row r="409" spans="1:6">
      <c r="A409">
        <v>2</v>
      </c>
      <c r="B409" t="s">
        <v>1698</v>
      </c>
      <c r="C409">
        <v>56743</v>
      </c>
      <c r="D409" t="s">
        <v>1508</v>
      </c>
      <c r="E409" t="s">
        <v>1509</v>
      </c>
      <c r="F409" t="s">
        <v>1510</v>
      </c>
    </row>
    <row r="410" spans="1:6">
      <c r="A410">
        <v>2</v>
      </c>
      <c r="B410" t="s">
        <v>1698</v>
      </c>
      <c r="C410">
        <v>12000</v>
      </c>
      <c r="D410" t="s">
        <v>1515</v>
      </c>
      <c r="E410" t="s">
        <v>1516</v>
      </c>
      <c r="F410" t="s">
        <v>1517</v>
      </c>
    </row>
    <row r="411" spans="1:6">
      <c r="A411">
        <v>2</v>
      </c>
      <c r="B411" t="s">
        <v>1698</v>
      </c>
      <c r="C411">
        <v>8493</v>
      </c>
      <c r="D411" t="s">
        <v>1518</v>
      </c>
      <c r="E411" t="s">
        <v>1516</v>
      </c>
      <c r="F411" t="s">
        <v>1519</v>
      </c>
    </row>
    <row r="412" spans="1:6">
      <c r="A412">
        <v>2</v>
      </c>
      <c r="B412" t="s">
        <v>1698</v>
      </c>
      <c r="C412">
        <v>401357</v>
      </c>
      <c r="D412" t="s">
        <v>1520</v>
      </c>
      <c r="E412" t="s">
        <v>1521</v>
      </c>
      <c r="F412" t="s">
        <v>1522</v>
      </c>
    </row>
    <row r="413" spans="1:6">
      <c r="A413">
        <v>2</v>
      </c>
      <c r="B413" t="s">
        <v>1698</v>
      </c>
      <c r="C413">
        <v>285104</v>
      </c>
      <c r="D413" t="s">
        <v>1573</v>
      </c>
      <c r="E413" t="s">
        <v>1574</v>
      </c>
      <c r="F413" t="s">
        <v>1575</v>
      </c>
    </row>
    <row r="414" spans="1:6">
      <c r="A414">
        <v>2</v>
      </c>
      <c r="B414" t="s">
        <v>1698</v>
      </c>
      <c r="C414">
        <v>67944</v>
      </c>
      <c r="D414" t="s">
        <v>1523</v>
      </c>
      <c r="E414" t="s">
        <v>1521</v>
      </c>
      <c r="F414" t="s">
        <v>1524</v>
      </c>
    </row>
    <row r="415" spans="1:6">
      <c r="A415">
        <v>2</v>
      </c>
      <c r="B415" t="s">
        <v>1698</v>
      </c>
      <c r="C415">
        <v>23019</v>
      </c>
      <c r="D415" t="s">
        <v>1525</v>
      </c>
      <c r="E415" t="s">
        <v>1526</v>
      </c>
      <c r="F415" t="s">
        <v>1527</v>
      </c>
    </row>
    <row r="416" spans="1:6">
      <c r="A416">
        <v>2</v>
      </c>
      <c r="B416" t="s">
        <v>1698</v>
      </c>
      <c r="C416">
        <v>16439</v>
      </c>
      <c r="D416" t="s">
        <v>1528</v>
      </c>
      <c r="E416" t="s">
        <v>1529</v>
      </c>
      <c r="F416" t="s">
        <v>1530</v>
      </c>
    </row>
    <row r="417" spans="1:6">
      <c r="A417">
        <v>2</v>
      </c>
      <c r="B417" t="s">
        <v>1698</v>
      </c>
      <c r="C417">
        <v>2000</v>
      </c>
      <c r="D417" t="s">
        <v>1531</v>
      </c>
      <c r="E417" t="s">
        <v>1532</v>
      </c>
      <c r="F417" t="s">
        <v>1533</v>
      </c>
    </row>
    <row r="418" spans="1:6">
      <c r="A418">
        <v>2</v>
      </c>
      <c r="B418" t="s">
        <v>1698</v>
      </c>
      <c r="C418">
        <v>96834</v>
      </c>
      <c r="D418" t="s">
        <v>1534</v>
      </c>
      <c r="E418" t="s">
        <v>1535</v>
      </c>
      <c r="F418" t="s">
        <v>1536</v>
      </c>
    </row>
    <row r="419" spans="1:6">
      <c r="A419">
        <v>2</v>
      </c>
      <c r="B419" t="s">
        <v>1698</v>
      </c>
      <c r="C419">
        <v>63867.72</v>
      </c>
      <c r="D419" t="s">
        <v>1537</v>
      </c>
      <c r="E419" t="s">
        <v>1538</v>
      </c>
      <c r="F419" t="s">
        <v>1539</v>
      </c>
    </row>
    <row r="420" spans="1:6">
      <c r="A420">
        <v>2</v>
      </c>
      <c r="B420" t="s">
        <v>1698</v>
      </c>
      <c r="C420">
        <v>149198.94</v>
      </c>
      <c r="D420" t="s">
        <v>1540</v>
      </c>
      <c r="E420" t="s">
        <v>1538</v>
      </c>
      <c r="F420" t="s">
        <v>1541</v>
      </c>
    </row>
    <row r="421" spans="1:6">
      <c r="A421">
        <v>2</v>
      </c>
      <c r="B421" t="s">
        <v>1698</v>
      </c>
      <c r="C421">
        <v>63688</v>
      </c>
      <c r="D421" t="s">
        <v>1542</v>
      </c>
      <c r="E421" t="s">
        <v>1424</v>
      </c>
      <c r="F421" t="s">
        <v>1425</v>
      </c>
    </row>
    <row r="422" spans="1:6">
      <c r="A422">
        <v>2</v>
      </c>
      <c r="B422" t="s">
        <v>1698</v>
      </c>
      <c r="C422">
        <v>39016</v>
      </c>
      <c r="D422" t="s">
        <v>1426</v>
      </c>
      <c r="E422" t="s">
        <v>1424</v>
      </c>
      <c r="F422" t="s">
        <v>1427</v>
      </c>
    </row>
    <row r="423" spans="1:6">
      <c r="A423">
        <v>2</v>
      </c>
      <c r="B423" t="s">
        <v>1698</v>
      </c>
      <c r="C423">
        <v>4379</v>
      </c>
      <c r="D423" t="s">
        <v>1428</v>
      </c>
      <c r="E423" t="s">
        <v>1429</v>
      </c>
      <c r="F423" t="s">
        <v>1430</v>
      </c>
    </row>
    <row r="424" spans="1:6">
      <c r="A424">
        <v>2</v>
      </c>
      <c r="B424" t="s">
        <v>1698</v>
      </c>
      <c r="C424">
        <v>156771.98000000001</v>
      </c>
      <c r="D424" t="s">
        <v>1431</v>
      </c>
      <c r="E424" t="s">
        <v>1432</v>
      </c>
      <c r="F424" t="s">
        <v>1433</v>
      </c>
    </row>
    <row r="425" spans="1:6">
      <c r="A425">
        <v>2</v>
      </c>
      <c r="B425" t="s">
        <v>1698</v>
      </c>
      <c r="C425">
        <v>368482.9</v>
      </c>
      <c r="D425" t="s">
        <v>1434</v>
      </c>
      <c r="E425" t="s">
        <v>1432</v>
      </c>
      <c r="F425" t="s">
        <v>1435</v>
      </c>
    </row>
    <row r="426" spans="1:6">
      <c r="A426">
        <v>2</v>
      </c>
      <c r="B426" t="s">
        <v>1698</v>
      </c>
      <c r="C426">
        <v>86617</v>
      </c>
      <c r="D426" t="s">
        <v>1576</v>
      </c>
      <c r="E426" t="s">
        <v>1577</v>
      </c>
      <c r="F426" t="s">
        <v>1578</v>
      </c>
    </row>
    <row r="427" spans="1:6">
      <c r="A427">
        <v>2</v>
      </c>
      <c r="B427" t="s">
        <v>1698</v>
      </c>
      <c r="C427">
        <v>330000</v>
      </c>
      <c r="D427" t="s">
        <v>1579</v>
      </c>
      <c r="E427" t="s">
        <v>1577</v>
      </c>
      <c r="F427" t="s">
        <v>1580</v>
      </c>
    </row>
    <row r="428" spans="1:6">
      <c r="A428">
        <v>2</v>
      </c>
      <c r="B428" t="s">
        <v>1698</v>
      </c>
      <c r="C428">
        <v>40694</v>
      </c>
      <c r="D428" t="s">
        <v>1436</v>
      </c>
      <c r="E428" t="s">
        <v>1437</v>
      </c>
      <c r="F428" t="s">
        <v>1438</v>
      </c>
    </row>
    <row r="429" spans="1:6">
      <c r="A429">
        <v>2</v>
      </c>
      <c r="B429" t="s">
        <v>1698</v>
      </c>
      <c r="C429">
        <v>12310</v>
      </c>
      <c r="D429" t="s">
        <v>1439</v>
      </c>
      <c r="E429" t="s">
        <v>1440</v>
      </c>
      <c r="F429" t="s">
        <v>1441</v>
      </c>
    </row>
    <row r="430" spans="1:6">
      <c r="A430">
        <v>2</v>
      </c>
      <c r="B430" t="s">
        <v>1698</v>
      </c>
      <c r="C430">
        <v>6429</v>
      </c>
      <c r="D430" t="s">
        <v>1442</v>
      </c>
      <c r="E430" t="s">
        <v>1582</v>
      </c>
      <c r="F430" t="s">
        <v>1443</v>
      </c>
    </row>
    <row r="431" spans="1:6">
      <c r="A431">
        <v>2</v>
      </c>
      <c r="B431" t="s">
        <v>1698</v>
      </c>
      <c r="C431">
        <v>5000</v>
      </c>
      <c r="D431" t="s">
        <v>1444</v>
      </c>
      <c r="E431" t="s">
        <v>1445</v>
      </c>
      <c r="F431" t="s">
        <v>1443</v>
      </c>
    </row>
    <row r="432" spans="1:6">
      <c r="A432">
        <v>2</v>
      </c>
      <c r="B432" t="s">
        <v>1698</v>
      </c>
      <c r="C432">
        <v>1000</v>
      </c>
      <c r="D432" t="s">
        <v>1581</v>
      </c>
      <c r="E432" t="s">
        <v>1582</v>
      </c>
      <c r="F432" t="s">
        <v>1583</v>
      </c>
    </row>
    <row r="433" spans="1:6">
      <c r="A433">
        <v>2</v>
      </c>
      <c r="B433" t="s">
        <v>1698</v>
      </c>
      <c r="C433">
        <v>250000</v>
      </c>
      <c r="D433" t="s">
        <v>1446</v>
      </c>
      <c r="E433" t="s">
        <v>1447</v>
      </c>
      <c r="F433" t="s">
        <v>1448</v>
      </c>
    </row>
    <row r="434" spans="1:6">
      <c r="A434">
        <v>2</v>
      </c>
      <c r="B434" t="s">
        <v>1698</v>
      </c>
      <c r="C434">
        <v>11605</v>
      </c>
      <c r="D434" t="s">
        <v>1584</v>
      </c>
      <c r="E434" t="s">
        <v>1585</v>
      </c>
      <c r="F434" t="s">
        <v>1586</v>
      </c>
    </row>
    <row r="435" spans="1:6">
      <c r="A435">
        <v>2</v>
      </c>
      <c r="B435" t="s">
        <v>1698</v>
      </c>
      <c r="C435">
        <v>68000</v>
      </c>
      <c r="D435" t="s">
        <v>1587</v>
      </c>
      <c r="E435" t="s">
        <v>1585</v>
      </c>
      <c r="F435" t="s">
        <v>1588</v>
      </c>
    </row>
    <row r="436" spans="1:6">
      <c r="A436">
        <v>2</v>
      </c>
      <c r="B436" t="s">
        <v>1698</v>
      </c>
      <c r="C436">
        <v>20000</v>
      </c>
      <c r="D436" t="s">
        <v>1449</v>
      </c>
      <c r="E436" t="s">
        <v>1450</v>
      </c>
      <c r="F436" t="s">
        <v>1451</v>
      </c>
    </row>
    <row r="437" spans="1:6">
      <c r="A437">
        <v>2</v>
      </c>
      <c r="B437" t="s">
        <v>1698</v>
      </c>
      <c r="C437">
        <v>50000</v>
      </c>
      <c r="D437" t="s">
        <v>1452</v>
      </c>
      <c r="E437" t="s">
        <v>1450</v>
      </c>
      <c r="F437" t="s">
        <v>1453</v>
      </c>
    </row>
    <row r="438" spans="1:6">
      <c r="A438">
        <v>2</v>
      </c>
      <c r="B438" t="s">
        <v>1698</v>
      </c>
      <c r="C438">
        <v>2622</v>
      </c>
      <c r="D438" t="s">
        <v>1454</v>
      </c>
      <c r="E438" t="s">
        <v>1455</v>
      </c>
      <c r="F438" t="s">
        <v>1456</v>
      </c>
    </row>
    <row r="439" spans="1:6">
      <c r="A439">
        <v>2</v>
      </c>
      <c r="B439" t="s">
        <v>1698</v>
      </c>
      <c r="C439">
        <v>12500</v>
      </c>
      <c r="D439" t="s">
        <v>1457</v>
      </c>
      <c r="E439" t="s">
        <v>1455</v>
      </c>
      <c r="F439" t="s">
        <v>1458</v>
      </c>
    </row>
    <row r="440" spans="1:6">
      <c r="A440">
        <v>2</v>
      </c>
      <c r="B440" t="s">
        <v>1698</v>
      </c>
      <c r="C440">
        <v>9153</v>
      </c>
      <c r="D440" t="s">
        <v>1589</v>
      </c>
      <c r="E440" t="s">
        <v>1590</v>
      </c>
      <c r="F440" t="s">
        <v>1591</v>
      </c>
    </row>
    <row r="441" spans="1:6">
      <c r="A441">
        <v>2</v>
      </c>
      <c r="B441" t="s">
        <v>1698</v>
      </c>
      <c r="C441">
        <v>10000</v>
      </c>
      <c r="D441" t="s">
        <v>1592</v>
      </c>
      <c r="E441" t="s">
        <v>1590</v>
      </c>
      <c r="F441" t="s">
        <v>1593</v>
      </c>
    </row>
    <row r="442" spans="1:6">
      <c r="A442">
        <v>2</v>
      </c>
      <c r="B442" t="s">
        <v>1698</v>
      </c>
      <c r="C442">
        <v>4319</v>
      </c>
      <c r="D442" t="s">
        <v>1594</v>
      </c>
      <c r="E442" t="s">
        <v>1595</v>
      </c>
      <c r="F442" t="s">
        <v>1596</v>
      </c>
    </row>
    <row r="443" spans="1:6">
      <c r="A443">
        <v>2</v>
      </c>
      <c r="B443" t="s">
        <v>1698</v>
      </c>
      <c r="C443">
        <v>3000</v>
      </c>
      <c r="D443" t="s">
        <v>1597</v>
      </c>
      <c r="E443" t="s">
        <v>1595</v>
      </c>
      <c r="F443" t="s">
        <v>1598</v>
      </c>
    </row>
    <row r="444" spans="1:6">
      <c r="A444">
        <v>2</v>
      </c>
      <c r="B444" t="s">
        <v>1698</v>
      </c>
      <c r="C444">
        <v>138184</v>
      </c>
      <c r="D444" t="s">
        <v>1599</v>
      </c>
      <c r="E444" t="s">
        <v>1600</v>
      </c>
      <c r="F444" t="s">
        <v>1601</v>
      </c>
    </row>
    <row r="445" spans="1:6">
      <c r="A445">
        <v>2</v>
      </c>
      <c r="B445" t="s">
        <v>1698</v>
      </c>
      <c r="C445">
        <v>443200</v>
      </c>
      <c r="D445" t="s">
        <v>1602</v>
      </c>
      <c r="E445" t="s">
        <v>1600</v>
      </c>
      <c r="F445" t="s">
        <v>1603</v>
      </c>
    </row>
    <row r="446" spans="1:6">
      <c r="A446">
        <v>2</v>
      </c>
      <c r="B446" t="s">
        <v>1698</v>
      </c>
      <c r="C446">
        <v>3070</v>
      </c>
      <c r="D446" t="s">
        <v>1459</v>
      </c>
      <c r="E446" t="s">
        <v>1605</v>
      </c>
      <c r="F446" t="s">
        <v>1460</v>
      </c>
    </row>
    <row r="447" spans="1:6">
      <c r="A447">
        <v>2</v>
      </c>
      <c r="B447" t="s">
        <v>1698</v>
      </c>
      <c r="C447">
        <v>9093</v>
      </c>
      <c r="D447" t="s">
        <v>1604</v>
      </c>
      <c r="E447" t="s">
        <v>1605</v>
      </c>
      <c r="F447" t="s">
        <v>1606</v>
      </c>
    </row>
    <row r="448" spans="1:6">
      <c r="A448">
        <v>2</v>
      </c>
      <c r="B448" t="s">
        <v>1698</v>
      </c>
      <c r="C448">
        <v>82933</v>
      </c>
      <c r="D448" t="s">
        <v>1461</v>
      </c>
      <c r="E448" t="s">
        <v>1462</v>
      </c>
      <c r="F448" t="s">
        <v>1463</v>
      </c>
    </row>
    <row r="449" spans="1:6">
      <c r="A449">
        <v>2</v>
      </c>
      <c r="B449" t="s">
        <v>1698</v>
      </c>
      <c r="C449">
        <v>95169</v>
      </c>
      <c r="D449" t="s">
        <v>1464</v>
      </c>
      <c r="E449" t="s">
        <v>1462</v>
      </c>
      <c r="F449" t="s">
        <v>1465</v>
      </c>
    </row>
    <row r="450" spans="1:6">
      <c r="A450">
        <v>2</v>
      </c>
      <c r="B450" t="s">
        <v>1698</v>
      </c>
      <c r="C450">
        <v>500</v>
      </c>
      <c r="D450" t="s">
        <v>1466</v>
      </c>
      <c r="E450" t="s">
        <v>1467</v>
      </c>
      <c r="F450" t="s">
        <v>1468</v>
      </c>
    </row>
    <row r="451" spans="1:6">
      <c r="A451">
        <v>2</v>
      </c>
      <c r="B451" t="s">
        <v>1698</v>
      </c>
      <c r="C451">
        <v>8131</v>
      </c>
      <c r="D451" t="s">
        <v>1469</v>
      </c>
      <c r="E451" t="s">
        <v>1470</v>
      </c>
      <c r="F451" t="s">
        <v>1471</v>
      </c>
    </row>
    <row r="452" spans="1:6">
      <c r="A452">
        <v>2</v>
      </c>
      <c r="B452" t="s">
        <v>1698</v>
      </c>
      <c r="C452">
        <v>2100</v>
      </c>
      <c r="D452" t="s">
        <v>1472</v>
      </c>
      <c r="E452" t="s">
        <v>1473</v>
      </c>
      <c r="F452" t="s">
        <v>1474</v>
      </c>
    </row>
    <row r="453" spans="1:6">
      <c r="A453">
        <v>2</v>
      </c>
      <c r="B453" t="s">
        <v>1698</v>
      </c>
      <c r="C453">
        <v>736542.01</v>
      </c>
      <c r="D453" t="s">
        <v>1475</v>
      </c>
      <c r="E453" t="s">
        <v>1476</v>
      </c>
      <c r="F453" t="s">
        <v>1477</v>
      </c>
    </row>
    <row r="454" spans="1:6">
      <c r="A454">
        <v>2</v>
      </c>
      <c r="B454" t="s">
        <v>1698</v>
      </c>
      <c r="C454">
        <v>1360657.68</v>
      </c>
      <c r="D454" t="s">
        <v>1478</v>
      </c>
      <c r="E454" t="s">
        <v>1479</v>
      </c>
      <c r="F454" t="s">
        <v>1480</v>
      </c>
    </row>
    <row r="455" spans="1:6">
      <c r="A455">
        <v>2</v>
      </c>
      <c r="B455" t="s">
        <v>1698</v>
      </c>
      <c r="C455">
        <v>692769.71</v>
      </c>
      <c r="D455" t="s">
        <v>1365</v>
      </c>
      <c r="E455" t="s">
        <v>1366</v>
      </c>
      <c r="F455" t="s">
        <v>1367</v>
      </c>
    </row>
    <row r="456" spans="1:6">
      <c r="A456">
        <v>3</v>
      </c>
      <c r="B456" t="s">
        <v>1699</v>
      </c>
      <c r="C456">
        <v>16030</v>
      </c>
      <c r="D456" t="s">
        <v>1483</v>
      </c>
      <c r="E456" t="s">
        <v>1484</v>
      </c>
      <c r="F456" t="s">
        <v>1485</v>
      </c>
    </row>
    <row r="457" spans="1:6">
      <c r="A457">
        <v>3</v>
      </c>
      <c r="B457" t="s">
        <v>1699</v>
      </c>
      <c r="C457">
        <v>1417</v>
      </c>
      <c r="D457" t="s">
        <v>1489</v>
      </c>
      <c r="E457" t="s">
        <v>1490</v>
      </c>
      <c r="F457" t="s">
        <v>1491</v>
      </c>
    </row>
    <row r="458" spans="1:6">
      <c r="A458">
        <v>3</v>
      </c>
      <c r="B458" t="s">
        <v>1699</v>
      </c>
      <c r="C458">
        <v>84786</v>
      </c>
      <c r="D458" t="s">
        <v>1567</v>
      </c>
      <c r="E458" t="s">
        <v>1568</v>
      </c>
      <c r="F458" t="s">
        <v>1569</v>
      </c>
    </row>
    <row r="459" spans="1:6">
      <c r="A459">
        <v>3</v>
      </c>
      <c r="B459" t="s">
        <v>1699</v>
      </c>
      <c r="C459">
        <v>3483130</v>
      </c>
      <c r="D459" t="s">
        <v>1570</v>
      </c>
      <c r="E459" t="s">
        <v>1571</v>
      </c>
      <c r="F459" t="s">
        <v>1572</v>
      </c>
    </row>
    <row r="460" spans="1:6">
      <c r="A460">
        <v>3</v>
      </c>
      <c r="B460" t="s">
        <v>1699</v>
      </c>
      <c r="C460">
        <v>305632</v>
      </c>
      <c r="D460" t="s">
        <v>1573</v>
      </c>
      <c r="E460" t="s">
        <v>1574</v>
      </c>
      <c r="F460" t="s">
        <v>1575</v>
      </c>
    </row>
    <row r="461" spans="1:6">
      <c r="A461">
        <v>3</v>
      </c>
      <c r="B461" t="s">
        <v>1699</v>
      </c>
      <c r="C461">
        <v>60171</v>
      </c>
      <c r="D461" t="s">
        <v>1371</v>
      </c>
      <c r="E461" t="s">
        <v>1372</v>
      </c>
      <c r="F461" t="s">
        <v>1373</v>
      </c>
    </row>
    <row r="462" spans="1:6">
      <c r="A462">
        <v>3</v>
      </c>
      <c r="B462" t="s">
        <v>1699</v>
      </c>
      <c r="C462">
        <v>14000</v>
      </c>
      <c r="D462" t="s">
        <v>1528</v>
      </c>
      <c r="E462" t="s">
        <v>1529</v>
      </c>
      <c r="F462" t="s">
        <v>1530</v>
      </c>
    </row>
    <row r="463" spans="1:6">
      <c r="A463">
        <v>3</v>
      </c>
      <c r="B463" t="s">
        <v>1699</v>
      </c>
      <c r="C463">
        <v>222.16</v>
      </c>
      <c r="D463" t="s">
        <v>1374</v>
      </c>
      <c r="E463" t="s">
        <v>1375</v>
      </c>
      <c r="F463" t="s">
        <v>1376</v>
      </c>
    </row>
    <row r="464" spans="1:6">
      <c r="A464">
        <v>3</v>
      </c>
      <c r="B464" t="s">
        <v>1699</v>
      </c>
      <c r="C464">
        <v>441.46</v>
      </c>
      <c r="D464" t="s">
        <v>1377</v>
      </c>
      <c r="E464" t="s">
        <v>1375</v>
      </c>
      <c r="F464" t="s">
        <v>1378</v>
      </c>
    </row>
    <row r="465" spans="1:6">
      <c r="A465">
        <v>3</v>
      </c>
      <c r="B465" t="s">
        <v>1699</v>
      </c>
      <c r="C465">
        <v>7982.99</v>
      </c>
      <c r="D465" t="s">
        <v>1431</v>
      </c>
      <c r="E465" t="s">
        <v>1432</v>
      </c>
      <c r="F465" t="s">
        <v>1433</v>
      </c>
    </row>
    <row r="466" spans="1:6">
      <c r="A466">
        <v>3</v>
      </c>
      <c r="B466" t="s">
        <v>1699</v>
      </c>
      <c r="C466">
        <v>17767.2</v>
      </c>
      <c r="D466" t="s">
        <v>1434</v>
      </c>
      <c r="E466" t="s">
        <v>1432</v>
      </c>
      <c r="F466" t="s">
        <v>1435</v>
      </c>
    </row>
    <row r="467" spans="1:6">
      <c r="A467">
        <v>3</v>
      </c>
      <c r="B467" t="s">
        <v>1699</v>
      </c>
      <c r="C467">
        <v>60722</v>
      </c>
      <c r="D467" t="s">
        <v>1579</v>
      </c>
      <c r="E467" t="s">
        <v>1577</v>
      </c>
      <c r="F467" t="s">
        <v>1580</v>
      </c>
    </row>
    <row r="468" spans="1:6">
      <c r="A468">
        <v>3</v>
      </c>
      <c r="B468" t="s">
        <v>1699</v>
      </c>
      <c r="C468">
        <v>465</v>
      </c>
      <c r="D468" t="s">
        <v>1581</v>
      </c>
      <c r="E468" t="s">
        <v>1582</v>
      </c>
      <c r="F468" t="s">
        <v>1583</v>
      </c>
    </row>
    <row r="469" spans="1:6">
      <c r="A469">
        <v>3</v>
      </c>
      <c r="B469" t="s">
        <v>1699</v>
      </c>
      <c r="C469">
        <v>6695</v>
      </c>
      <c r="D469" t="s">
        <v>1584</v>
      </c>
      <c r="E469" t="s">
        <v>1585</v>
      </c>
      <c r="F469" t="s">
        <v>1586</v>
      </c>
    </row>
    <row r="470" spans="1:6">
      <c r="A470">
        <v>3</v>
      </c>
      <c r="B470" t="s">
        <v>1699</v>
      </c>
      <c r="C470">
        <v>10000</v>
      </c>
      <c r="D470" t="s">
        <v>1587</v>
      </c>
      <c r="E470" t="s">
        <v>1585</v>
      </c>
      <c r="F470" t="s">
        <v>1588</v>
      </c>
    </row>
    <row r="471" spans="1:6">
      <c r="A471">
        <v>3</v>
      </c>
      <c r="B471" t="s">
        <v>1699</v>
      </c>
      <c r="C471">
        <v>1807</v>
      </c>
      <c r="D471" t="s">
        <v>1592</v>
      </c>
      <c r="E471" t="s">
        <v>1590</v>
      </c>
      <c r="F471" t="s">
        <v>1593</v>
      </c>
    </row>
    <row r="472" spans="1:6">
      <c r="A472">
        <v>3</v>
      </c>
      <c r="B472" t="s">
        <v>1699</v>
      </c>
      <c r="C472">
        <v>968</v>
      </c>
      <c r="D472" t="s">
        <v>1597</v>
      </c>
      <c r="E472" t="s">
        <v>1595</v>
      </c>
      <c r="F472" t="s">
        <v>1598</v>
      </c>
    </row>
    <row r="473" spans="1:6">
      <c r="A473">
        <v>3</v>
      </c>
      <c r="B473" t="s">
        <v>1699</v>
      </c>
      <c r="C473">
        <v>107315</v>
      </c>
      <c r="D473" t="s">
        <v>1602</v>
      </c>
      <c r="E473" t="s">
        <v>1600</v>
      </c>
      <c r="F473" t="s">
        <v>1603</v>
      </c>
    </row>
    <row r="474" spans="1:6">
      <c r="A474">
        <v>3</v>
      </c>
      <c r="B474" t="s">
        <v>1699</v>
      </c>
      <c r="C474">
        <v>7210</v>
      </c>
      <c r="D474" t="s">
        <v>1604</v>
      </c>
      <c r="E474" t="s">
        <v>1605</v>
      </c>
      <c r="F474" t="s">
        <v>1606</v>
      </c>
    </row>
    <row r="475" spans="1:6">
      <c r="A475">
        <v>3</v>
      </c>
      <c r="B475" t="s">
        <v>1699</v>
      </c>
      <c r="C475">
        <v>8489.4500000000007</v>
      </c>
      <c r="D475" t="s">
        <v>1379</v>
      </c>
      <c r="E475" t="s">
        <v>1380</v>
      </c>
      <c r="F475" t="s">
        <v>1381</v>
      </c>
    </row>
    <row r="476" spans="1:6">
      <c r="A476">
        <v>3</v>
      </c>
      <c r="B476" t="s">
        <v>1699</v>
      </c>
      <c r="C476">
        <v>7312.33</v>
      </c>
      <c r="D476" t="s">
        <v>1475</v>
      </c>
      <c r="E476" t="s">
        <v>1476</v>
      </c>
      <c r="F476" t="s">
        <v>1477</v>
      </c>
    </row>
    <row r="477" spans="1:6">
      <c r="A477">
        <v>3</v>
      </c>
      <c r="B477" t="s">
        <v>1699</v>
      </c>
      <c r="C477">
        <v>109276.05</v>
      </c>
      <c r="D477" t="s">
        <v>1478</v>
      </c>
      <c r="E477" t="s">
        <v>1479</v>
      </c>
      <c r="F477" t="s">
        <v>1480</v>
      </c>
    </row>
    <row r="478" spans="1:6">
      <c r="A478">
        <v>4</v>
      </c>
      <c r="B478" t="s">
        <v>1700</v>
      </c>
      <c r="C478">
        <v>10209</v>
      </c>
      <c r="D478" t="s">
        <v>1489</v>
      </c>
      <c r="E478" t="s">
        <v>1490</v>
      </c>
      <c r="F478" t="s">
        <v>1491</v>
      </c>
    </row>
    <row r="479" spans="1:6">
      <c r="A479">
        <v>4</v>
      </c>
      <c r="B479" t="s">
        <v>1700</v>
      </c>
      <c r="C479">
        <v>26396</v>
      </c>
      <c r="D479" t="s">
        <v>1567</v>
      </c>
      <c r="E479" t="s">
        <v>1568</v>
      </c>
      <c r="F479" t="s">
        <v>1569</v>
      </c>
    </row>
    <row r="480" spans="1:6">
      <c r="A480">
        <v>4</v>
      </c>
      <c r="B480" t="s">
        <v>1700</v>
      </c>
      <c r="C480">
        <v>788010</v>
      </c>
      <c r="D480" t="s">
        <v>1570</v>
      </c>
      <c r="E480" t="s">
        <v>1571</v>
      </c>
      <c r="F480" t="s">
        <v>1572</v>
      </c>
    </row>
    <row r="481" spans="1:6">
      <c r="A481">
        <v>4</v>
      </c>
      <c r="B481" t="s">
        <v>1700</v>
      </c>
      <c r="C481">
        <v>54523</v>
      </c>
      <c r="D481" t="s">
        <v>1382</v>
      </c>
      <c r="E481" t="s">
        <v>1383</v>
      </c>
      <c r="F481" t="s">
        <v>1384</v>
      </c>
    </row>
    <row r="482" spans="1:6">
      <c r="A482">
        <v>4</v>
      </c>
      <c r="B482" t="s">
        <v>1700</v>
      </c>
      <c r="C482">
        <v>27500</v>
      </c>
      <c r="D482" t="s">
        <v>1385</v>
      </c>
      <c r="E482" t="s">
        <v>1383</v>
      </c>
      <c r="F482" t="s">
        <v>1386</v>
      </c>
    </row>
    <row r="483" spans="1:6">
      <c r="A483">
        <v>4</v>
      </c>
      <c r="B483" t="s">
        <v>1700</v>
      </c>
      <c r="C483">
        <v>27526</v>
      </c>
      <c r="D483" t="s">
        <v>1520</v>
      </c>
      <c r="E483" t="s">
        <v>1521</v>
      </c>
      <c r="F483" t="s">
        <v>1522</v>
      </c>
    </row>
    <row r="484" spans="1:6">
      <c r="A484">
        <v>4</v>
      </c>
      <c r="B484" t="s">
        <v>1700</v>
      </c>
      <c r="C484">
        <v>509589</v>
      </c>
      <c r="D484" t="s">
        <v>1573</v>
      </c>
      <c r="E484" t="s">
        <v>1574</v>
      </c>
      <c r="F484" t="s">
        <v>1575</v>
      </c>
    </row>
    <row r="485" spans="1:6">
      <c r="A485">
        <v>4</v>
      </c>
      <c r="B485" t="s">
        <v>1700</v>
      </c>
      <c r="C485">
        <v>92380</v>
      </c>
      <c r="D485" t="s">
        <v>1531</v>
      </c>
      <c r="E485" t="s">
        <v>1532</v>
      </c>
      <c r="F485" t="s">
        <v>1533</v>
      </c>
    </row>
    <row r="486" spans="1:6">
      <c r="A486">
        <v>4</v>
      </c>
      <c r="B486" t="s">
        <v>1700</v>
      </c>
      <c r="C486">
        <v>44200</v>
      </c>
      <c r="D486" t="s">
        <v>1387</v>
      </c>
      <c r="E486" t="s">
        <v>1388</v>
      </c>
      <c r="F486" t="s">
        <v>1389</v>
      </c>
    </row>
    <row r="487" spans="1:6">
      <c r="A487">
        <v>4</v>
      </c>
      <c r="B487" t="s">
        <v>1700</v>
      </c>
      <c r="C487">
        <v>25000</v>
      </c>
      <c r="D487" t="s">
        <v>1390</v>
      </c>
      <c r="E487" t="s">
        <v>1391</v>
      </c>
      <c r="F487" t="s">
        <v>1392</v>
      </c>
    </row>
    <row r="488" spans="1:6">
      <c r="A488">
        <v>4</v>
      </c>
      <c r="B488" t="s">
        <v>1700</v>
      </c>
      <c r="C488">
        <v>21863.47</v>
      </c>
      <c r="D488" t="s">
        <v>1431</v>
      </c>
      <c r="E488" t="s">
        <v>1432</v>
      </c>
      <c r="F488" t="s">
        <v>1433</v>
      </c>
    </row>
    <row r="489" spans="1:6">
      <c r="A489">
        <v>4</v>
      </c>
      <c r="B489" t="s">
        <v>1700</v>
      </c>
      <c r="C489">
        <v>52434.69</v>
      </c>
      <c r="D489" t="s">
        <v>1434</v>
      </c>
      <c r="E489" t="s">
        <v>1432</v>
      </c>
      <c r="F489" t="s">
        <v>1435</v>
      </c>
    </row>
    <row r="490" spans="1:6">
      <c r="A490">
        <v>4</v>
      </c>
      <c r="B490" t="s">
        <v>1700</v>
      </c>
      <c r="C490">
        <v>14338</v>
      </c>
      <c r="D490" t="s">
        <v>1587</v>
      </c>
      <c r="E490" t="s">
        <v>1585</v>
      </c>
      <c r="F490" t="s">
        <v>1588</v>
      </c>
    </row>
    <row r="491" spans="1:6">
      <c r="A491">
        <v>4</v>
      </c>
      <c r="B491" t="s">
        <v>1700</v>
      </c>
      <c r="C491">
        <v>3232</v>
      </c>
      <c r="D491" t="s">
        <v>1592</v>
      </c>
      <c r="E491" t="s">
        <v>1590</v>
      </c>
      <c r="F491" t="s">
        <v>1593</v>
      </c>
    </row>
    <row r="492" spans="1:6">
      <c r="A492">
        <v>4</v>
      </c>
      <c r="B492" t="s">
        <v>1700</v>
      </c>
      <c r="C492">
        <v>1743</v>
      </c>
      <c r="D492" t="s">
        <v>1597</v>
      </c>
      <c r="E492" t="s">
        <v>1595</v>
      </c>
      <c r="F492" t="s">
        <v>1598</v>
      </c>
    </row>
    <row r="493" spans="1:6">
      <c r="A493">
        <v>4</v>
      </c>
      <c r="B493" t="s">
        <v>1700</v>
      </c>
      <c r="C493">
        <v>74407</v>
      </c>
      <c r="D493" t="s">
        <v>1599</v>
      </c>
      <c r="E493" t="s">
        <v>1600</v>
      </c>
      <c r="F493" t="s">
        <v>1601</v>
      </c>
    </row>
    <row r="494" spans="1:6">
      <c r="A494">
        <v>4</v>
      </c>
      <c r="B494" t="s">
        <v>1700</v>
      </c>
      <c r="C494">
        <v>463000</v>
      </c>
      <c r="D494" t="s">
        <v>1602</v>
      </c>
      <c r="E494" t="s">
        <v>1600</v>
      </c>
      <c r="F494" t="s">
        <v>1603</v>
      </c>
    </row>
    <row r="495" spans="1:6">
      <c r="A495">
        <v>4</v>
      </c>
      <c r="B495" t="s">
        <v>1700</v>
      </c>
      <c r="C495">
        <v>18682</v>
      </c>
      <c r="D495" t="s">
        <v>1604</v>
      </c>
      <c r="E495" t="s">
        <v>1605</v>
      </c>
      <c r="F495" t="s">
        <v>1606</v>
      </c>
    </row>
    <row r="496" spans="1:6">
      <c r="A496">
        <v>4</v>
      </c>
      <c r="B496" t="s">
        <v>1700</v>
      </c>
      <c r="C496">
        <v>56050.22</v>
      </c>
      <c r="D496" t="s">
        <v>1475</v>
      </c>
      <c r="E496" t="s">
        <v>1476</v>
      </c>
      <c r="F496" t="s">
        <v>1477</v>
      </c>
    </row>
    <row r="497" spans="1:6">
      <c r="A497">
        <v>4</v>
      </c>
      <c r="B497" t="s">
        <v>1700</v>
      </c>
      <c r="C497">
        <v>359390.83</v>
      </c>
      <c r="D497" t="s">
        <v>1365</v>
      </c>
      <c r="E497" t="s">
        <v>1366</v>
      </c>
      <c r="F497" t="s">
        <v>1367</v>
      </c>
    </row>
    <row r="498" spans="1:6">
      <c r="A498">
        <v>4</v>
      </c>
      <c r="B498" t="s">
        <v>1700</v>
      </c>
      <c r="C498">
        <v>55160</v>
      </c>
      <c r="D498" t="s">
        <v>1610</v>
      </c>
      <c r="E498" t="s">
        <v>1481</v>
      </c>
      <c r="F498" t="s">
        <v>1482</v>
      </c>
    </row>
    <row r="499" spans="1:6">
      <c r="A499">
        <v>5</v>
      </c>
      <c r="B499" t="s">
        <v>1701</v>
      </c>
      <c r="C499">
        <v>1190</v>
      </c>
      <c r="D499" t="s">
        <v>1489</v>
      </c>
      <c r="E499" t="s">
        <v>1490</v>
      </c>
      <c r="F499" t="s">
        <v>1491</v>
      </c>
    </row>
    <row r="500" spans="1:6">
      <c r="A500">
        <v>5</v>
      </c>
      <c r="B500" t="s">
        <v>1701</v>
      </c>
      <c r="C500">
        <v>39090</v>
      </c>
      <c r="D500" t="s">
        <v>1567</v>
      </c>
      <c r="E500" t="s">
        <v>1568</v>
      </c>
      <c r="F500" t="s">
        <v>1569</v>
      </c>
    </row>
    <row r="501" spans="1:6">
      <c r="A501">
        <v>5</v>
      </c>
      <c r="B501" t="s">
        <v>1701</v>
      </c>
      <c r="C501">
        <v>1226353</v>
      </c>
      <c r="D501" t="s">
        <v>1570</v>
      </c>
      <c r="E501" t="s">
        <v>1571</v>
      </c>
      <c r="F501" t="s">
        <v>1572</v>
      </c>
    </row>
    <row r="502" spans="1:6">
      <c r="A502">
        <v>5</v>
      </c>
      <c r="B502" t="s">
        <v>1701</v>
      </c>
      <c r="C502">
        <v>3634.93</v>
      </c>
      <c r="D502" t="s">
        <v>1431</v>
      </c>
      <c r="E502" t="s">
        <v>1432</v>
      </c>
      <c r="F502" t="s">
        <v>1433</v>
      </c>
    </row>
    <row r="503" spans="1:6">
      <c r="A503">
        <v>5</v>
      </c>
      <c r="B503" t="s">
        <v>1701</v>
      </c>
      <c r="C503">
        <v>8620.1</v>
      </c>
      <c r="D503" t="s">
        <v>1434</v>
      </c>
      <c r="E503" t="s">
        <v>1432</v>
      </c>
      <c r="F503" t="s">
        <v>1435</v>
      </c>
    </row>
    <row r="504" spans="1:6">
      <c r="A504">
        <v>5</v>
      </c>
      <c r="B504" t="s">
        <v>1701</v>
      </c>
      <c r="C504">
        <v>19472.66</v>
      </c>
      <c r="D504" t="s">
        <v>1475</v>
      </c>
      <c r="E504" t="s">
        <v>1476</v>
      </c>
      <c r="F504" t="s">
        <v>1477</v>
      </c>
    </row>
    <row r="505" spans="1:6">
      <c r="A505">
        <v>5</v>
      </c>
      <c r="B505" t="s">
        <v>1701</v>
      </c>
      <c r="C505">
        <v>108181.4</v>
      </c>
      <c r="D505" t="s">
        <v>1365</v>
      </c>
      <c r="E505" t="s">
        <v>1366</v>
      </c>
      <c r="F505" t="s">
        <v>1367</v>
      </c>
    </row>
    <row r="506" spans="1:6">
      <c r="A506">
        <v>6</v>
      </c>
      <c r="B506" t="s">
        <v>1393</v>
      </c>
      <c r="C506">
        <v>3437115</v>
      </c>
      <c r="D506" t="s">
        <v>1570</v>
      </c>
      <c r="E506" t="s">
        <v>1571</v>
      </c>
      <c r="F506" t="s">
        <v>1572</v>
      </c>
    </row>
    <row r="507" spans="1:6">
      <c r="A507">
        <v>7</v>
      </c>
      <c r="B507" t="s">
        <v>1702</v>
      </c>
      <c r="C507">
        <v>12035</v>
      </c>
      <c r="D507" t="s">
        <v>1489</v>
      </c>
      <c r="E507" t="s">
        <v>1490</v>
      </c>
      <c r="F507" t="s">
        <v>1491</v>
      </c>
    </row>
    <row r="508" spans="1:6">
      <c r="A508">
        <v>7</v>
      </c>
      <c r="B508" t="s">
        <v>1702</v>
      </c>
      <c r="C508">
        <v>224344</v>
      </c>
      <c r="D508" t="s">
        <v>1567</v>
      </c>
      <c r="E508" t="s">
        <v>1568</v>
      </c>
      <c r="F508" t="s">
        <v>1569</v>
      </c>
    </row>
    <row r="509" spans="1:6">
      <c r="A509">
        <v>7</v>
      </c>
      <c r="B509" t="s">
        <v>1702</v>
      </c>
      <c r="C509">
        <v>37479</v>
      </c>
      <c r="D509" t="s">
        <v>1496</v>
      </c>
      <c r="E509" t="s">
        <v>1497</v>
      </c>
      <c r="F509" t="s">
        <v>1498</v>
      </c>
    </row>
    <row r="510" spans="1:6">
      <c r="A510">
        <v>7</v>
      </c>
      <c r="B510" t="s">
        <v>1702</v>
      </c>
      <c r="C510">
        <v>4735915</v>
      </c>
      <c r="D510" t="s">
        <v>1570</v>
      </c>
      <c r="E510" t="s">
        <v>1571</v>
      </c>
      <c r="F510" t="s">
        <v>1572</v>
      </c>
    </row>
    <row r="511" spans="1:6">
      <c r="A511">
        <v>7</v>
      </c>
      <c r="B511" t="s">
        <v>1702</v>
      </c>
      <c r="C511">
        <v>56660</v>
      </c>
      <c r="D511" t="s">
        <v>1520</v>
      </c>
      <c r="E511" t="s">
        <v>1521</v>
      </c>
      <c r="F511" t="s">
        <v>1522</v>
      </c>
    </row>
    <row r="512" spans="1:6">
      <c r="A512">
        <v>7</v>
      </c>
      <c r="B512" t="s">
        <v>1702</v>
      </c>
      <c r="C512">
        <v>442835</v>
      </c>
      <c r="D512" t="s">
        <v>1573</v>
      </c>
      <c r="E512" t="s">
        <v>1574</v>
      </c>
      <c r="F512" t="s">
        <v>1575</v>
      </c>
    </row>
    <row r="513" spans="1:6">
      <c r="A513">
        <v>7</v>
      </c>
      <c r="B513" t="s">
        <v>1702</v>
      </c>
      <c r="C513">
        <v>11532</v>
      </c>
      <c r="D513" t="s">
        <v>1525</v>
      </c>
      <c r="E513" t="s">
        <v>1526</v>
      </c>
      <c r="F513" t="s">
        <v>1527</v>
      </c>
    </row>
    <row r="514" spans="1:6">
      <c r="A514">
        <v>7</v>
      </c>
      <c r="B514" t="s">
        <v>1702</v>
      </c>
      <c r="C514">
        <v>14000</v>
      </c>
      <c r="D514" t="s">
        <v>1528</v>
      </c>
      <c r="E514" t="s">
        <v>1529</v>
      </c>
      <c r="F514" t="s">
        <v>1530</v>
      </c>
    </row>
    <row r="515" spans="1:6">
      <c r="A515">
        <v>7</v>
      </c>
      <c r="B515" t="s">
        <v>1702</v>
      </c>
      <c r="C515">
        <v>30000</v>
      </c>
      <c r="D515" t="s">
        <v>1531</v>
      </c>
      <c r="E515" t="s">
        <v>1532</v>
      </c>
      <c r="F515" t="s">
        <v>1533</v>
      </c>
    </row>
    <row r="516" spans="1:6">
      <c r="A516">
        <v>7</v>
      </c>
      <c r="B516" t="s">
        <v>1702</v>
      </c>
      <c r="C516">
        <v>146313</v>
      </c>
      <c r="D516" t="s">
        <v>1390</v>
      </c>
      <c r="E516" t="s">
        <v>1391</v>
      </c>
      <c r="F516" t="s">
        <v>1392</v>
      </c>
    </row>
    <row r="517" spans="1:6">
      <c r="A517">
        <v>7</v>
      </c>
      <c r="B517" t="s">
        <v>1702</v>
      </c>
      <c r="C517">
        <v>1112.1300000000001</v>
      </c>
      <c r="D517" t="s">
        <v>1374</v>
      </c>
      <c r="E517" t="s">
        <v>1375</v>
      </c>
      <c r="F517" t="s">
        <v>1376</v>
      </c>
    </row>
    <row r="518" spans="1:6">
      <c r="A518">
        <v>7</v>
      </c>
      <c r="B518" t="s">
        <v>1702</v>
      </c>
      <c r="C518">
        <v>2170.4699999999998</v>
      </c>
      <c r="D518" t="s">
        <v>1377</v>
      </c>
      <c r="E518" t="s">
        <v>1375</v>
      </c>
      <c r="F518" t="s">
        <v>1378</v>
      </c>
    </row>
    <row r="519" spans="1:6">
      <c r="A519">
        <v>7</v>
      </c>
      <c r="B519" t="s">
        <v>1702</v>
      </c>
      <c r="C519">
        <v>33297.82</v>
      </c>
      <c r="D519" t="s">
        <v>1431</v>
      </c>
      <c r="E519" t="s">
        <v>1432</v>
      </c>
      <c r="F519" t="s">
        <v>1433</v>
      </c>
    </row>
    <row r="520" spans="1:6">
      <c r="A520">
        <v>7</v>
      </c>
      <c r="B520" t="s">
        <v>1702</v>
      </c>
      <c r="C520">
        <v>75427.850000000006</v>
      </c>
      <c r="D520" t="s">
        <v>1434</v>
      </c>
      <c r="E520" t="s">
        <v>1432</v>
      </c>
      <c r="F520" t="s">
        <v>1435</v>
      </c>
    </row>
    <row r="521" spans="1:6">
      <c r="A521">
        <v>7</v>
      </c>
      <c r="B521" t="s">
        <v>1702</v>
      </c>
      <c r="C521">
        <v>15591</v>
      </c>
      <c r="D521" t="s">
        <v>1436</v>
      </c>
      <c r="E521" t="s">
        <v>1437</v>
      </c>
      <c r="F521" t="s">
        <v>1438</v>
      </c>
    </row>
    <row r="522" spans="1:6">
      <c r="A522">
        <v>7</v>
      </c>
      <c r="B522" t="s">
        <v>1702</v>
      </c>
      <c r="C522">
        <v>38315</v>
      </c>
      <c r="D522" t="s">
        <v>1584</v>
      </c>
      <c r="E522" t="s">
        <v>1585</v>
      </c>
      <c r="F522" t="s">
        <v>1586</v>
      </c>
    </row>
    <row r="523" spans="1:6">
      <c r="A523">
        <v>7</v>
      </c>
      <c r="B523" t="s">
        <v>1702</v>
      </c>
      <c r="C523">
        <v>4000</v>
      </c>
      <c r="D523" t="s">
        <v>1587</v>
      </c>
      <c r="E523" t="s">
        <v>1585</v>
      </c>
      <c r="F523" t="s">
        <v>1588</v>
      </c>
    </row>
    <row r="524" spans="1:6">
      <c r="A524">
        <v>7</v>
      </c>
      <c r="B524" t="s">
        <v>1702</v>
      </c>
      <c r="C524">
        <v>21045</v>
      </c>
      <c r="D524" t="s">
        <v>1454</v>
      </c>
      <c r="E524" t="s">
        <v>1455</v>
      </c>
      <c r="F524" t="s">
        <v>1456</v>
      </c>
    </row>
    <row r="525" spans="1:6">
      <c r="A525">
        <v>7</v>
      </c>
      <c r="B525" t="s">
        <v>1702</v>
      </c>
      <c r="C525">
        <v>9043</v>
      </c>
      <c r="D525" t="s">
        <v>1457</v>
      </c>
      <c r="E525" t="s">
        <v>1455</v>
      </c>
      <c r="F525" t="s">
        <v>1458</v>
      </c>
    </row>
    <row r="526" spans="1:6">
      <c r="A526">
        <v>7</v>
      </c>
      <c r="B526" t="s">
        <v>1702</v>
      </c>
      <c r="C526">
        <v>6365</v>
      </c>
      <c r="D526" t="s">
        <v>1589</v>
      </c>
      <c r="E526" t="s">
        <v>1590</v>
      </c>
      <c r="F526" t="s">
        <v>1591</v>
      </c>
    </row>
    <row r="527" spans="1:6">
      <c r="A527">
        <v>7</v>
      </c>
      <c r="B527" t="s">
        <v>1702</v>
      </c>
      <c r="C527">
        <v>6313</v>
      </c>
      <c r="D527" t="s">
        <v>1594</v>
      </c>
      <c r="E527" t="s">
        <v>1595</v>
      </c>
      <c r="F527" t="s">
        <v>1596</v>
      </c>
    </row>
    <row r="528" spans="1:6">
      <c r="A528">
        <v>7</v>
      </c>
      <c r="B528" t="s">
        <v>1702</v>
      </c>
      <c r="C528">
        <v>500</v>
      </c>
      <c r="D528" t="s">
        <v>1597</v>
      </c>
      <c r="E528" t="s">
        <v>1595</v>
      </c>
      <c r="F528" t="s">
        <v>1598</v>
      </c>
    </row>
    <row r="529" spans="1:6">
      <c r="A529">
        <v>7</v>
      </c>
      <c r="B529" t="s">
        <v>1702</v>
      </c>
      <c r="C529">
        <v>33300</v>
      </c>
      <c r="D529" t="s">
        <v>1599</v>
      </c>
      <c r="E529" t="s">
        <v>1600</v>
      </c>
      <c r="F529" t="s">
        <v>1601</v>
      </c>
    </row>
    <row r="530" spans="1:6">
      <c r="A530">
        <v>7</v>
      </c>
      <c r="B530" t="s">
        <v>1702</v>
      </c>
      <c r="C530">
        <v>500000</v>
      </c>
      <c r="D530" t="s">
        <v>1602</v>
      </c>
      <c r="E530" t="s">
        <v>1600</v>
      </c>
      <c r="F530" t="s">
        <v>1603</v>
      </c>
    </row>
    <row r="531" spans="1:6">
      <c r="A531">
        <v>7</v>
      </c>
      <c r="B531" t="s">
        <v>1702</v>
      </c>
      <c r="C531">
        <v>5000</v>
      </c>
      <c r="D531" t="s">
        <v>1459</v>
      </c>
      <c r="E531" t="s">
        <v>1605</v>
      </c>
      <c r="F531" t="s">
        <v>1460</v>
      </c>
    </row>
    <row r="532" spans="1:6">
      <c r="A532">
        <v>7</v>
      </c>
      <c r="B532" t="s">
        <v>1702</v>
      </c>
      <c r="C532">
        <v>16000</v>
      </c>
      <c r="D532" t="s">
        <v>1604</v>
      </c>
      <c r="E532" t="s">
        <v>1605</v>
      </c>
      <c r="F532" t="s">
        <v>1606</v>
      </c>
    </row>
    <row r="533" spans="1:6">
      <c r="A533">
        <v>7</v>
      </c>
      <c r="B533" t="s">
        <v>1702</v>
      </c>
      <c r="C533">
        <v>31566.33</v>
      </c>
      <c r="D533" t="s">
        <v>1475</v>
      </c>
      <c r="E533" t="s">
        <v>1476</v>
      </c>
      <c r="F533" t="s">
        <v>1477</v>
      </c>
    </row>
    <row r="534" spans="1:6">
      <c r="A534">
        <v>7</v>
      </c>
      <c r="B534" t="s">
        <v>1702</v>
      </c>
      <c r="C534">
        <v>65086</v>
      </c>
      <c r="D534" t="s">
        <v>1478</v>
      </c>
      <c r="E534" t="s">
        <v>1479</v>
      </c>
      <c r="F534" t="s">
        <v>1480</v>
      </c>
    </row>
    <row r="535" spans="1:6">
      <c r="A535">
        <v>7</v>
      </c>
      <c r="B535" t="s">
        <v>1702</v>
      </c>
      <c r="C535">
        <v>374845.91</v>
      </c>
      <c r="D535" t="s">
        <v>1365</v>
      </c>
      <c r="E535" t="s">
        <v>1366</v>
      </c>
      <c r="F535" t="s">
        <v>1367</v>
      </c>
    </row>
    <row r="536" spans="1:6">
      <c r="A536">
        <v>7</v>
      </c>
      <c r="B536" t="s">
        <v>1702</v>
      </c>
      <c r="C536">
        <v>94430</v>
      </c>
      <c r="D536" t="s">
        <v>1607</v>
      </c>
      <c r="E536" t="s">
        <v>1608</v>
      </c>
      <c r="F536" t="s">
        <v>1609</v>
      </c>
    </row>
    <row r="537" spans="1:6">
      <c r="A537">
        <v>7</v>
      </c>
      <c r="B537" t="s">
        <v>1702</v>
      </c>
      <c r="C537">
        <v>28046</v>
      </c>
      <c r="D537" t="s">
        <v>1610</v>
      </c>
      <c r="E537" t="s">
        <v>1481</v>
      </c>
      <c r="F537" t="s">
        <v>1482</v>
      </c>
    </row>
    <row r="538" spans="1:6">
      <c r="A538">
        <v>8</v>
      </c>
      <c r="B538" t="s">
        <v>1703</v>
      </c>
      <c r="C538">
        <v>5238</v>
      </c>
      <c r="D538" t="s">
        <v>1486</v>
      </c>
      <c r="E538" t="s">
        <v>1487</v>
      </c>
      <c r="F538" t="s">
        <v>1488</v>
      </c>
    </row>
    <row r="539" spans="1:6">
      <c r="A539">
        <v>8</v>
      </c>
      <c r="B539" t="s">
        <v>1703</v>
      </c>
      <c r="C539">
        <v>2450</v>
      </c>
      <c r="D539" t="s">
        <v>1489</v>
      </c>
      <c r="E539" t="s">
        <v>1490</v>
      </c>
      <c r="F539" t="s">
        <v>1491</v>
      </c>
    </row>
    <row r="540" spans="1:6">
      <c r="A540">
        <v>8</v>
      </c>
      <c r="B540" t="s">
        <v>1703</v>
      </c>
      <c r="C540">
        <v>26903</v>
      </c>
      <c r="D540" t="s">
        <v>1567</v>
      </c>
      <c r="E540" t="s">
        <v>1568</v>
      </c>
      <c r="F540" t="s">
        <v>1569</v>
      </c>
    </row>
    <row r="541" spans="1:6">
      <c r="A541">
        <v>8</v>
      </c>
      <c r="B541" t="s">
        <v>1703</v>
      </c>
      <c r="C541">
        <v>1586002</v>
      </c>
      <c r="D541" t="s">
        <v>1570</v>
      </c>
      <c r="E541" t="s">
        <v>1571</v>
      </c>
      <c r="F541" t="s">
        <v>1572</v>
      </c>
    </row>
    <row r="542" spans="1:6">
      <c r="A542">
        <v>8</v>
      </c>
      <c r="B542" t="s">
        <v>1703</v>
      </c>
      <c r="C542">
        <v>14164</v>
      </c>
      <c r="D542" t="s">
        <v>1573</v>
      </c>
      <c r="E542" t="s">
        <v>1574</v>
      </c>
      <c r="F542" t="s">
        <v>1575</v>
      </c>
    </row>
    <row r="543" spans="1:6">
      <c r="A543">
        <v>8</v>
      </c>
      <c r="B543" t="s">
        <v>1703</v>
      </c>
      <c r="C543">
        <v>6000</v>
      </c>
      <c r="D543" t="s">
        <v>1531</v>
      </c>
      <c r="E543" t="s">
        <v>1532</v>
      </c>
      <c r="F543" t="s">
        <v>1533</v>
      </c>
    </row>
    <row r="544" spans="1:6">
      <c r="A544">
        <v>8</v>
      </c>
      <c r="B544" t="s">
        <v>1703</v>
      </c>
      <c r="C544">
        <v>5034.5200000000004</v>
      </c>
      <c r="D544" t="s">
        <v>1431</v>
      </c>
      <c r="E544" t="s">
        <v>1432</v>
      </c>
      <c r="F544" t="s">
        <v>1433</v>
      </c>
    </row>
    <row r="545" spans="1:6">
      <c r="A545">
        <v>8</v>
      </c>
      <c r="B545" t="s">
        <v>1703</v>
      </c>
      <c r="C545">
        <v>11147.81</v>
      </c>
      <c r="D545" t="s">
        <v>1434</v>
      </c>
      <c r="E545" t="s">
        <v>1432</v>
      </c>
      <c r="F545" t="s">
        <v>1435</v>
      </c>
    </row>
    <row r="546" spans="1:6">
      <c r="A546">
        <v>8</v>
      </c>
      <c r="B546" t="s">
        <v>1703</v>
      </c>
      <c r="C546">
        <v>62287</v>
      </c>
      <c r="D546" t="s">
        <v>1579</v>
      </c>
      <c r="E546" t="s">
        <v>1577</v>
      </c>
      <c r="F546" t="s">
        <v>1580</v>
      </c>
    </row>
    <row r="547" spans="1:6">
      <c r="A547">
        <v>8</v>
      </c>
      <c r="B547" t="s">
        <v>1703</v>
      </c>
      <c r="C547">
        <v>477</v>
      </c>
      <c r="D547" t="s">
        <v>1581</v>
      </c>
      <c r="E547" t="s">
        <v>1582</v>
      </c>
      <c r="F547" t="s">
        <v>1583</v>
      </c>
    </row>
    <row r="548" spans="1:6">
      <c r="A548">
        <v>8</v>
      </c>
      <c r="B548" t="s">
        <v>1703</v>
      </c>
      <c r="C548">
        <v>21633</v>
      </c>
      <c r="D548" t="s">
        <v>1587</v>
      </c>
      <c r="E548" t="s">
        <v>1585</v>
      </c>
      <c r="F548" t="s">
        <v>1588</v>
      </c>
    </row>
    <row r="549" spans="1:6">
      <c r="A549">
        <v>8</v>
      </c>
      <c r="B549" t="s">
        <v>1703</v>
      </c>
      <c r="C549">
        <v>1987</v>
      </c>
      <c r="D549" t="s">
        <v>1592</v>
      </c>
      <c r="E549" t="s">
        <v>1590</v>
      </c>
      <c r="F549" t="s">
        <v>1593</v>
      </c>
    </row>
    <row r="550" spans="1:6">
      <c r="A550">
        <v>8</v>
      </c>
      <c r="B550" t="s">
        <v>1703</v>
      </c>
      <c r="C550">
        <v>541</v>
      </c>
      <c r="D550" t="s">
        <v>1597</v>
      </c>
      <c r="E550" t="s">
        <v>1595</v>
      </c>
      <c r="F550" t="s">
        <v>1598</v>
      </c>
    </row>
    <row r="551" spans="1:6">
      <c r="A551">
        <v>8</v>
      </c>
      <c r="B551" t="s">
        <v>1703</v>
      </c>
      <c r="C551">
        <v>23822</v>
      </c>
      <c r="D551" t="s">
        <v>1599</v>
      </c>
      <c r="E551" t="s">
        <v>1600</v>
      </c>
      <c r="F551" t="s">
        <v>1601</v>
      </c>
    </row>
    <row r="552" spans="1:6">
      <c r="A552">
        <v>8</v>
      </c>
      <c r="B552" t="s">
        <v>1703</v>
      </c>
      <c r="C552">
        <v>83218</v>
      </c>
      <c r="D552" t="s">
        <v>1602</v>
      </c>
      <c r="E552" t="s">
        <v>1600</v>
      </c>
      <c r="F552" t="s">
        <v>1603</v>
      </c>
    </row>
    <row r="553" spans="1:6">
      <c r="A553">
        <v>8</v>
      </c>
      <c r="B553" t="s">
        <v>1703</v>
      </c>
      <c r="C553">
        <v>8656</v>
      </c>
      <c r="D553" t="s">
        <v>1604</v>
      </c>
      <c r="E553" t="s">
        <v>1605</v>
      </c>
      <c r="F553" t="s">
        <v>1606</v>
      </c>
    </row>
    <row r="554" spans="1:6">
      <c r="A554">
        <v>8</v>
      </c>
      <c r="B554" t="s">
        <v>1703</v>
      </c>
      <c r="C554">
        <v>42908.959999999999</v>
      </c>
      <c r="D554" t="s">
        <v>1475</v>
      </c>
      <c r="E554" t="s">
        <v>1476</v>
      </c>
      <c r="F554" t="s">
        <v>1477</v>
      </c>
    </row>
    <row r="555" spans="1:6">
      <c r="A555">
        <v>8</v>
      </c>
      <c r="B555" t="s">
        <v>1703</v>
      </c>
      <c r="C555">
        <v>153351.21</v>
      </c>
      <c r="D555" t="s">
        <v>1365</v>
      </c>
      <c r="E555" t="s">
        <v>1366</v>
      </c>
      <c r="F555" t="s">
        <v>1367</v>
      </c>
    </row>
    <row r="556" spans="1:6">
      <c r="A556">
        <v>9</v>
      </c>
      <c r="B556" t="s">
        <v>1704</v>
      </c>
      <c r="C556">
        <v>22978</v>
      </c>
      <c r="D556" t="s">
        <v>1486</v>
      </c>
      <c r="E556" t="s">
        <v>1487</v>
      </c>
      <c r="F556" t="s">
        <v>1488</v>
      </c>
    </row>
    <row r="557" spans="1:6">
      <c r="A557">
        <v>9</v>
      </c>
      <c r="B557" t="s">
        <v>1704</v>
      </c>
      <c r="C557">
        <v>10747</v>
      </c>
      <c r="D557" t="s">
        <v>1489</v>
      </c>
      <c r="E557" t="s">
        <v>1490</v>
      </c>
      <c r="F557" t="s">
        <v>1491</v>
      </c>
    </row>
    <row r="558" spans="1:6">
      <c r="A558">
        <v>9</v>
      </c>
      <c r="B558" t="s">
        <v>1704</v>
      </c>
      <c r="C558">
        <v>206828</v>
      </c>
      <c r="D558" t="s">
        <v>1567</v>
      </c>
      <c r="E558" t="s">
        <v>1568</v>
      </c>
      <c r="F558" t="s">
        <v>1569</v>
      </c>
    </row>
    <row r="559" spans="1:6">
      <c r="A559">
        <v>9</v>
      </c>
      <c r="B559" t="s">
        <v>1704</v>
      </c>
      <c r="C559">
        <v>8121</v>
      </c>
      <c r="D559" t="s">
        <v>1496</v>
      </c>
      <c r="E559" t="s">
        <v>1497</v>
      </c>
      <c r="F559" t="s">
        <v>1498</v>
      </c>
    </row>
    <row r="560" spans="1:6">
      <c r="A560">
        <v>9</v>
      </c>
      <c r="B560" t="s">
        <v>1704</v>
      </c>
      <c r="C560">
        <v>7364577</v>
      </c>
      <c r="D560" t="s">
        <v>1570</v>
      </c>
      <c r="E560" t="s">
        <v>1571</v>
      </c>
      <c r="F560" t="s">
        <v>1572</v>
      </c>
    </row>
    <row r="561" spans="1:6">
      <c r="A561">
        <v>9</v>
      </c>
      <c r="B561" t="s">
        <v>1704</v>
      </c>
      <c r="C561">
        <v>314339</v>
      </c>
      <c r="D561" t="s">
        <v>1520</v>
      </c>
      <c r="E561" t="s">
        <v>1521</v>
      </c>
      <c r="F561" t="s">
        <v>1522</v>
      </c>
    </row>
    <row r="562" spans="1:6">
      <c r="A562">
        <v>9</v>
      </c>
      <c r="B562" t="s">
        <v>1704</v>
      </c>
      <c r="C562">
        <v>482512</v>
      </c>
      <c r="D562" t="s">
        <v>1573</v>
      </c>
      <c r="E562" t="s">
        <v>1574</v>
      </c>
      <c r="F562" t="s">
        <v>1575</v>
      </c>
    </row>
    <row r="563" spans="1:6">
      <c r="A563">
        <v>9</v>
      </c>
      <c r="B563" t="s">
        <v>1704</v>
      </c>
      <c r="C563">
        <v>61165</v>
      </c>
      <c r="D563" t="s">
        <v>1523</v>
      </c>
      <c r="E563" t="s">
        <v>1521</v>
      </c>
      <c r="F563" t="s">
        <v>1524</v>
      </c>
    </row>
    <row r="564" spans="1:6">
      <c r="A564">
        <v>9</v>
      </c>
      <c r="B564" t="s">
        <v>1704</v>
      </c>
      <c r="C564">
        <v>4993</v>
      </c>
      <c r="D564" t="s">
        <v>1371</v>
      </c>
      <c r="E564" t="s">
        <v>1372</v>
      </c>
      <c r="F564" t="s">
        <v>1373</v>
      </c>
    </row>
    <row r="565" spans="1:6">
      <c r="A565">
        <v>9</v>
      </c>
      <c r="B565" t="s">
        <v>1704</v>
      </c>
      <c r="C565">
        <v>19610</v>
      </c>
      <c r="D565" t="s">
        <v>1525</v>
      </c>
      <c r="E565" t="s">
        <v>1526</v>
      </c>
      <c r="F565" t="s">
        <v>1527</v>
      </c>
    </row>
    <row r="566" spans="1:6">
      <c r="A566">
        <v>9</v>
      </c>
      <c r="B566" t="s">
        <v>1704</v>
      </c>
      <c r="C566">
        <v>37833.69</v>
      </c>
      <c r="D566" t="s">
        <v>1431</v>
      </c>
      <c r="E566" t="s">
        <v>1432</v>
      </c>
      <c r="F566" t="s">
        <v>1433</v>
      </c>
    </row>
    <row r="567" spans="1:6">
      <c r="A567">
        <v>9</v>
      </c>
      <c r="B567" t="s">
        <v>1704</v>
      </c>
      <c r="C567">
        <v>83168.34</v>
      </c>
      <c r="D567" t="s">
        <v>1434</v>
      </c>
      <c r="E567" t="s">
        <v>1432</v>
      </c>
      <c r="F567" t="s">
        <v>1435</v>
      </c>
    </row>
    <row r="568" spans="1:6">
      <c r="A568">
        <v>9</v>
      </c>
      <c r="B568" t="s">
        <v>1704</v>
      </c>
      <c r="C568">
        <v>16462</v>
      </c>
      <c r="D568" t="s">
        <v>1436</v>
      </c>
      <c r="E568" t="s">
        <v>1437</v>
      </c>
      <c r="F568" t="s">
        <v>1438</v>
      </c>
    </row>
    <row r="569" spans="1:6">
      <c r="A569">
        <v>9</v>
      </c>
      <c r="B569" t="s">
        <v>1704</v>
      </c>
      <c r="C569">
        <v>19976</v>
      </c>
      <c r="D569" t="s">
        <v>1584</v>
      </c>
      <c r="E569" t="s">
        <v>1585</v>
      </c>
      <c r="F569" t="s">
        <v>1586</v>
      </c>
    </row>
    <row r="570" spans="1:6">
      <c r="A570">
        <v>9</v>
      </c>
      <c r="B570" t="s">
        <v>1704</v>
      </c>
      <c r="C570">
        <v>34000</v>
      </c>
      <c r="D570" t="s">
        <v>1587</v>
      </c>
      <c r="E570" t="s">
        <v>1585</v>
      </c>
      <c r="F570" t="s">
        <v>1588</v>
      </c>
    </row>
    <row r="571" spans="1:6">
      <c r="A571">
        <v>9</v>
      </c>
      <c r="B571" t="s">
        <v>1704</v>
      </c>
      <c r="C571">
        <v>10486</v>
      </c>
      <c r="D571" t="s">
        <v>1454</v>
      </c>
      <c r="E571" t="s">
        <v>1455</v>
      </c>
      <c r="F571" t="s">
        <v>1456</v>
      </c>
    </row>
    <row r="572" spans="1:6">
      <c r="A572">
        <v>9</v>
      </c>
      <c r="B572" t="s">
        <v>1704</v>
      </c>
      <c r="C572">
        <v>1000</v>
      </c>
      <c r="D572" t="s">
        <v>1457</v>
      </c>
      <c r="E572" t="s">
        <v>1455</v>
      </c>
      <c r="F572" t="s">
        <v>1458</v>
      </c>
    </row>
    <row r="573" spans="1:6">
      <c r="A573">
        <v>9</v>
      </c>
      <c r="B573" t="s">
        <v>1704</v>
      </c>
      <c r="C573">
        <v>3182</v>
      </c>
      <c r="D573" t="s">
        <v>1597</v>
      </c>
      <c r="E573" t="s">
        <v>1595</v>
      </c>
      <c r="F573" t="s">
        <v>1598</v>
      </c>
    </row>
    <row r="574" spans="1:6">
      <c r="A574">
        <v>9</v>
      </c>
      <c r="B574" t="s">
        <v>1704</v>
      </c>
      <c r="C574">
        <v>215960</v>
      </c>
      <c r="D574" t="s">
        <v>1599</v>
      </c>
      <c r="E574" t="s">
        <v>1600</v>
      </c>
      <c r="F574" t="s">
        <v>1601</v>
      </c>
    </row>
    <row r="575" spans="1:6">
      <c r="A575">
        <v>9</v>
      </c>
      <c r="B575" t="s">
        <v>1704</v>
      </c>
      <c r="C575">
        <v>166000</v>
      </c>
      <c r="D575" t="s">
        <v>1602</v>
      </c>
      <c r="E575" t="s">
        <v>1600</v>
      </c>
      <c r="F575" t="s">
        <v>1603</v>
      </c>
    </row>
    <row r="576" spans="1:6">
      <c r="A576">
        <v>9</v>
      </c>
      <c r="B576" t="s">
        <v>1704</v>
      </c>
      <c r="C576">
        <v>10691</v>
      </c>
      <c r="D576" t="s">
        <v>1604</v>
      </c>
      <c r="E576" t="s">
        <v>1605</v>
      </c>
      <c r="F576" t="s">
        <v>1606</v>
      </c>
    </row>
    <row r="577" spans="1:6">
      <c r="A577">
        <v>9</v>
      </c>
      <c r="B577" t="s">
        <v>1704</v>
      </c>
      <c r="C577">
        <v>32751.24</v>
      </c>
      <c r="D577" t="s">
        <v>1379</v>
      </c>
      <c r="E577" t="s">
        <v>1380</v>
      </c>
      <c r="F577" t="s">
        <v>1381</v>
      </c>
    </row>
    <row r="578" spans="1:6">
      <c r="A578">
        <v>9</v>
      </c>
      <c r="B578" t="s">
        <v>1704</v>
      </c>
      <c r="C578">
        <v>34245.839999999997</v>
      </c>
      <c r="D578" t="s">
        <v>1475</v>
      </c>
      <c r="E578" t="s">
        <v>1476</v>
      </c>
      <c r="F578" t="s">
        <v>1477</v>
      </c>
    </row>
    <row r="579" spans="1:6">
      <c r="A579">
        <v>9</v>
      </c>
      <c r="B579" t="s">
        <v>1704</v>
      </c>
      <c r="C579">
        <v>414286.97</v>
      </c>
      <c r="D579" t="s">
        <v>1365</v>
      </c>
      <c r="E579" t="s">
        <v>1366</v>
      </c>
      <c r="F579" t="s">
        <v>1367</v>
      </c>
    </row>
    <row r="580" spans="1:6">
      <c r="A580">
        <v>10</v>
      </c>
      <c r="B580" t="s">
        <v>1400</v>
      </c>
      <c r="C580">
        <v>1209402</v>
      </c>
      <c r="D580" t="s">
        <v>1570</v>
      </c>
      <c r="E580" t="s">
        <v>1571</v>
      </c>
      <c r="F580" t="s">
        <v>1572</v>
      </c>
    </row>
    <row r="581" spans="1:6">
      <c r="A581">
        <v>10</v>
      </c>
      <c r="B581" t="s">
        <v>1400</v>
      </c>
      <c r="C581">
        <v>4980</v>
      </c>
      <c r="D581" t="s">
        <v>1371</v>
      </c>
      <c r="E581" t="s">
        <v>1372</v>
      </c>
      <c r="F581" t="s">
        <v>1373</v>
      </c>
    </row>
    <row r="582" spans="1:6">
      <c r="A582">
        <v>11</v>
      </c>
      <c r="B582" t="s">
        <v>1705</v>
      </c>
      <c r="C582">
        <v>27401</v>
      </c>
      <c r="D582" t="s">
        <v>1401</v>
      </c>
      <c r="E582" t="s">
        <v>1402</v>
      </c>
      <c r="F582" t="s">
        <v>1403</v>
      </c>
    </row>
    <row r="583" spans="1:6">
      <c r="A583">
        <v>11</v>
      </c>
      <c r="B583" t="s">
        <v>1705</v>
      </c>
      <c r="C583">
        <v>27359</v>
      </c>
      <c r="D583" t="s">
        <v>1486</v>
      </c>
      <c r="E583" t="s">
        <v>1487</v>
      </c>
      <c r="F583" t="s">
        <v>1488</v>
      </c>
    </row>
    <row r="584" spans="1:6">
      <c r="A584">
        <v>11</v>
      </c>
      <c r="B584" t="s">
        <v>1705</v>
      </c>
      <c r="C584">
        <v>12796</v>
      </c>
      <c r="D584" t="s">
        <v>1489</v>
      </c>
      <c r="E584" t="s">
        <v>1490</v>
      </c>
      <c r="F584" t="s">
        <v>1491</v>
      </c>
    </row>
    <row r="585" spans="1:6">
      <c r="A585">
        <v>11</v>
      </c>
      <c r="B585" t="s">
        <v>1705</v>
      </c>
      <c r="C585">
        <v>102250</v>
      </c>
      <c r="D585" t="s">
        <v>1404</v>
      </c>
      <c r="E585" t="s">
        <v>1405</v>
      </c>
      <c r="F585" t="s">
        <v>1406</v>
      </c>
    </row>
    <row r="586" spans="1:6">
      <c r="A586">
        <v>11</v>
      </c>
      <c r="B586" t="s">
        <v>1705</v>
      </c>
      <c r="C586">
        <v>56075</v>
      </c>
      <c r="D586" t="s">
        <v>1407</v>
      </c>
      <c r="E586" t="s">
        <v>1408</v>
      </c>
      <c r="F586" t="s">
        <v>1409</v>
      </c>
    </row>
    <row r="587" spans="1:6">
      <c r="A587">
        <v>11</v>
      </c>
      <c r="B587" t="s">
        <v>1705</v>
      </c>
      <c r="C587">
        <v>173832</v>
      </c>
      <c r="D587" t="s">
        <v>1567</v>
      </c>
      <c r="E587" t="s">
        <v>1568</v>
      </c>
      <c r="F587" t="s">
        <v>1569</v>
      </c>
    </row>
    <row r="588" spans="1:6">
      <c r="A588">
        <v>11</v>
      </c>
      <c r="B588" t="s">
        <v>1705</v>
      </c>
      <c r="C588">
        <v>32405</v>
      </c>
      <c r="D588" t="s">
        <v>1496</v>
      </c>
      <c r="E588" t="s">
        <v>1497</v>
      </c>
      <c r="F588" t="s">
        <v>1498</v>
      </c>
    </row>
    <row r="589" spans="1:6">
      <c r="A589">
        <v>11</v>
      </c>
      <c r="B589" t="s">
        <v>1705</v>
      </c>
      <c r="C589">
        <v>4082582</v>
      </c>
      <c r="D589" t="s">
        <v>1570</v>
      </c>
      <c r="E589" t="s">
        <v>1571</v>
      </c>
      <c r="F589" t="s">
        <v>1572</v>
      </c>
    </row>
    <row r="590" spans="1:6">
      <c r="A590">
        <v>11</v>
      </c>
      <c r="B590" t="s">
        <v>1705</v>
      </c>
      <c r="C590">
        <v>651153</v>
      </c>
      <c r="D590" t="s">
        <v>1499</v>
      </c>
      <c r="E590" t="s">
        <v>1500</v>
      </c>
      <c r="F590" t="s">
        <v>1501</v>
      </c>
    </row>
    <row r="591" spans="1:6">
      <c r="A591">
        <v>11</v>
      </c>
      <c r="B591" t="s">
        <v>1705</v>
      </c>
      <c r="C591">
        <v>151604</v>
      </c>
      <c r="D591" t="s">
        <v>1502</v>
      </c>
      <c r="E591" t="s">
        <v>1503</v>
      </c>
      <c r="F591" t="s">
        <v>1504</v>
      </c>
    </row>
    <row r="592" spans="1:6">
      <c r="A592">
        <v>11</v>
      </c>
      <c r="B592" t="s">
        <v>1705</v>
      </c>
      <c r="C592">
        <v>67314</v>
      </c>
      <c r="D592" t="s">
        <v>1382</v>
      </c>
      <c r="E592" t="s">
        <v>1383</v>
      </c>
      <c r="F592" t="s">
        <v>1384</v>
      </c>
    </row>
    <row r="593" spans="1:6">
      <c r="A593">
        <v>11</v>
      </c>
      <c r="B593" t="s">
        <v>1705</v>
      </c>
      <c r="C593">
        <v>15000</v>
      </c>
      <c r="D593" t="s">
        <v>1515</v>
      </c>
      <c r="E593" t="s">
        <v>1516</v>
      </c>
      <c r="F593" t="s">
        <v>1517</v>
      </c>
    </row>
    <row r="594" spans="1:6">
      <c r="A594">
        <v>11</v>
      </c>
      <c r="B594" t="s">
        <v>1705</v>
      </c>
      <c r="C594">
        <v>2106</v>
      </c>
      <c r="D594" t="s">
        <v>1518</v>
      </c>
      <c r="E594" t="s">
        <v>1516</v>
      </c>
      <c r="F594" t="s">
        <v>1519</v>
      </c>
    </row>
    <row r="595" spans="1:6">
      <c r="A595">
        <v>11</v>
      </c>
      <c r="B595" t="s">
        <v>1705</v>
      </c>
      <c r="C595">
        <v>154103</v>
      </c>
      <c r="D595" t="s">
        <v>1520</v>
      </c>
      <c r="E595" t="s">
        <v>1521</v>
      </c>
      <c r="F595" t="s">
        <v>1522</v>
      </c>
    </row>
    <row r="596" spans="1:6">
      <c r="A596">
        <v>11</v>
      </c>
      <c r="B596" t="s">
        <v>1705</v>
      </c>
      <c r="C596">
        <v>171262</v>
      </c>
      <c r="D596" t="s">
        <v>1573</v>
      </c>
      <c r="E596" t="s">
        <v>1574</v>
      </c>
      <c r="F596" t="s">
        <v>1575</v>
      </c>
    </row>
    <row r="597" spans="1:6">
      <c r="A597">
        <v>11</v>
      </c>
      <c r="B597" t="s">
        <v>1705</v>
      </c>
      <c r="C597">
        <v>28211</v>
      </c>
      <c r="D597" t="s">
        <v>1523</v>
      </c>
      <c r="E597" t="s">
        <v>1521</v>
      </c>
      <c r="F597" t="s">
        <v>1524</v>
      </c>
    </row>
    <row r="598" spans="1:6">
      <c r="A598">
        <v>11</v>
      </c>
      <c r="B598" t="s">
        <v>1705</v>
      </c>
      <c r="C598">
        <v>15972</v>
      </c>
      <c r="D598" t="s">
        <v>1528</v>
      </c>
      <c r="E598" t="s">
        <v>1529</v>
      </c>
      <c r="F598" t="s">
        <v>1530</v>
      </c>
    </row>
    <row r="599" spans="1:6">
      <c r="A599">
        <v>11</v>
      </c>
      <c r="B599" t="s">
        <v>1705</v>
      </c>
      <c r="C599">
        <v>97500</v>
      </c>
      <c r="D599" t="s">
        <v>1387</v>
      </c>
      <c r="E599" t="s">
        <v>1388</v>
      </c>
      <c r="F599" t="s">
        <v>1389</v>
      </c>
    </row>
    <row r="600" spans="1:6">
      <c r="A600">
        <v>11</v>
      </c>
      <c r="B600" t="s">
        <v>1705</v>
      </c>
      <c r="C600">
        <v>159057</v>
      </c>
      <c r="D600" t="s">
        <v>1410</v>
      </c>
      <c r="E600" t="s">
        <v>1411</v>
      </c>
      <c r="F600" t="s">
        <v>1412</v>
      </c>
    </row>
    <row r="601" spans="1:6">
      <c r="A601">
        <v>11</v>
      </c>
      <c r="B601" t="s">
        <v>1705</v>
      </c>
      <c r="C601">
        <v>108395</v>
      </c>
      <c r="D601" t="s">
        <v>1390</v>
      </c>
      <c r="E601" t="s">
        <v>1391</v>
      </c>
      <c r="F601" t="s">
        <v>1392</v>
      </c>
    </row>
    <row r="602" spans="1:6">
      <c r="A602">
        <v>11</v>
      </c>
      <c r="B602" t="s">
        <v>1705</v>
      </c>
      <c r="C602">
        <v>71834</v>
      </c>
      <c r="D602" t="s">
        <v>1534</v>
      </c>
      <c r="E602" t="s">
        <v>1535</v>
      </c>
      <c r="F602" t="s">
        <v>1536</v>
      </c>
    </row>
    <row r="603" spans="1:6">
      <c r="A603">
        <v>11</v>
      </c>
      <c r="B603" t="s">
        <v>1705</v>
      </c>
      <c r="C603">
        <v>15765.14</v>
      </c>
      <c r="D603" t="s">
        <v>1537</v>
      </c>
      <c r="E603" t="s">
        <v>1538</v>
      </c>
      <c r="F603" t="s">
        <v>1539</v>
      </c>
    </row>
    <row r="604" spans="1:6">
      <c r="A604">
        <v>11</v>
      </c>
      <c r="B604" t="s">
        <v>1705</v>
      </c>
      <c r="C604">
        <v>36597.9</v>
      </c>
      <c r="D604" t="s">
        <v>1540</v>
      </c>
      <c r="E604" t="s">
        <v>1538</v>
      </c>
      <c r="F604" t="s">
        <v>1541</v>
      </c>
    </row>
    <row r="605" spans="1:6">
      <c r="A605">
        <v>11</v>
      </c>
      <c r="B605" t="s">
        <v>1705</v>
      </c>
      <c r="C605">
        <v>116169.67</v>
      </c>
      <c r="D605" t="s">
        <v>1431</v>
      </c>
      <c r="E605" t="s">
        <v>1432</v>
      </c>
      <c r="F605" t="s">
        <v>1433</v>
      </c>
    </row>
    <row r="606" spans="1:6">
      <c r="A606">
        <v>11</v>
      </c>
      <c r="B606" t="s">
        <v>1705</v>
      </c>
      <c r="C606">
        <v>251196.53</v>
      </c>
      <c r="D606" t="s">
        <v>1434</v>
      </c>
      <c r="E606" t="s">
        <v>1432</v>
      </c>
      <c r="F606" t="s">
        <v>1435</v>
      </c>
    </row>
    <row r="607" spans="1:6">
      <c r="A607">
        <v>11</v>
      </c>
      <c r="B607" t="s">
        <v>1705</v>
      </c>
      <c r="C607">
        <v>13573</v>
      </c>
      <c r="D607" t="s">
        <v>1576</v>
      </c>
      <c r="E607" t="s">
        <v>1577</v>
      </c>
      <c r="F607" t="s">
        <v>1578</v>
      </c>
    </row>
    <row r="608" spans="1:6">
      <c r="A608">
        <v>11</v>
      </c>
      <c r="B608" t="s">
        <v>1705</v>
      </c>
      <c r="C608">
        <v>11971</v>
      </c>
      <c r="D608" t="s">
        <v>1413</v>
      </c>
      <c r="E608" t="s">
        <v>1414</v>
      </c>
      <c r="F608" t="s">
        <v>1578</v>
      </c>
    </row>
    <row r="609" spans="1:6">
      <c r="A609">
        <v>11</v>
      </c>
      <c r="B609" t="s">
        <v>1705</v>
      </c>
      <c r="C609">
        <v>346538</v>
      </c>
      <c r="D609" t="s">
        <v>1579</v>
      </c>
      <c r="E609" t="s">
        <v>1577</v>
      </c>
      <c r="F609" t="s">
        <v>1580</v>
      </c>
    </row>
    <row r="610" spans="1:6">
      <c r="A610">
        <v>11</v>
      </c>
      <c r="B610" t="s">
        <v>1705</v>
      </c>
      <c r="C610">
        <v>36636</v>
      </c>
      <c r="D610" t="s">
        <v>1436</v>
      </c>
      <c r="E610" t="s">
        <v>1437</v>
      </c>
      <c r="F610" t="s">
        <v>1438</v>
      </c>
    </row>
    <row r="611" spans="1:6">
      <c r="A611">
        <v>11</v>
      </c>
      <c r="B611" t="s">
        <v>1705</v>
      </c>
      <c r="C611">
        <v>6455</v>
      </c>
      <c r="D611" t="s">
        <v>1442</v>
      </c>
      <c r="E611" t="s">
        <v>1582</v>
      </c>
      <c r="F611" t="s">
        <v>1443</v>
      </c>
    </row>
    <row r="612" spans="1:6">
      <c r="A612">
        <v>11</v>
      </c>
      <c r="B612" t="s">
        <v>1705</v>
      </c>
      <c r="C612">
        <v>2586</v>
      </c>
      <c r="D612" t="s">
        <v>1581</v>
      </c>
      <c r="E612" t="s">
        <v>1582</v>
      </c>
      <c r="F612" t="s">
        <v>1583</v>
      </c>
    </row>
    <row r="613" spans="1:6">
      <c r="A613">
        <v>11</v>
      </c>
      <c r="B613" t="s">
        <v>1705</v>
      </c>
      <c r="C613">
        <v>23220</v>
      </c>
      <c r="D613" t="s">
        <v>1584</v>
      </c>
      <c r="E613" t="s">
        <v>1585</v>
      </c>
      <c r="F613" t="s">
        <v>1586</v>
      </c>
    </row>
    <row r="614" spans="1:6">
      <c r="A614">
        <v>11</v>
      </c>
      <c r="B614" t="s">
        <v>1705</v>
      </c>
      <c r="C614">
        <v>54425</v>
      </c>
      <c r="D614" t="s">
        <v>1587</v>
      </c>
      <c r="E614" t="s">
        <v>1585</v>
      </c>
      <c r="F614" t="s">
        <v>1588</v>
      </c>
    </row>
    <row r="615" spans="1:6">
      <c r="A615">
        <v>11</v>
      </c>
      <c r="B615" t="s">
        <v>1705</v>
      </c>
      <c r="C615">
        <v>7376</v>
      </c>
      <c r="D615" t="s">
        <v>1589</v>
      </c>
      <c r="E615" t="s">
        <v>1590</v>
      </c>
      <c r="F615" t="s">
        <v>1591</v>
      </c>
    </row>
    <row r="616" spans="1:6">
      <c r="A616">
        <v>11</v>
      </c>
      <c r="B616" t="s">
        <v>1705</v>
      </c>
      <c r="C616">
        <v>741</v>
      </c>
      <c r="D616" t="s">
        <v>1592</v>
      </c>
      <c r="E616" t="s">
        <v>1590</v>
      </c>
      <c r="F616" t="s">
        <v>1593</v>
      </c>
    </row>
    <row r="617" spans="1:6">
      <c r="A617">
        <v>11</v>
      </c>
      <c r="B617" t="s">
        <v>1705</v>
      </c>
      <c r="C617">
        <v>1589</v>
      </c>
      <c r="D617" t="s">
        <v>1594</v>
      </c>
      <c r="E617" t="s">
        <v>1595</v>
      </c>
      <c r="F617" t="s">
        <v>1596</v>
      </c>
    </row>
    <row r="618" spans="1:6">
      <c r="A618">
        <v>11</v>
      </c>
      <c r="B618" t="s">
        <v>1705</v>
      </c>
      <c r="C618">
        <v>951</v>
      </c>
      <c r="D618" t="s">
        <v>1597</v>
      </c>
      <c r="E618" t="s">
        <v>1595</v>
      </c>
      <c r="F618" t="s">
        <v>1598</v>
      </c>
    </row>
    <row r="619" spans="1:6">
      <c r="A619">
        <v>11</v>
      </c>
      <c r="B619" t="s">
        <v>1705</v>
      </c>
      <c r="C619">
        <v>51023</v>
      </c>
      <c r="D619" t="s">
        <v>1599</v>
      </c>
      <c r="E619" t="s">
        <v>1600</v>
      </c>
      <c r="F619" t="s">
        <v>1601</v>
      </c>
    </row>
    <row r="620" spans="1:6">
      <c r="A620">
        <v>11</v>
      </c>
      <c r="B620" t="s">
        <v>1705</v>
      </c>
      <c r="C620">
        <v>484574</v>
      </c>
      <c r="D620" t="s">
        <v>1602</v>
      </c>
      <c r="E620" t="s">
        <v>1600</v>
      </c>
      <c r="F620" t="s">
        <v>1603</v>
      </c>
    </row>
    <row r="621" spans="1:6">
      <c r="A621">
        <v>11</v>
      </c>
      <c r="B621" t="s">
        <v>1705</v>
      </c>
      <c r="C621">
        <v>1018</v>
      </c>
      <c r="D621" t="s">
        <v>1459</v>
      </c>
      <c r="E621" t="s">
        <v>1605</v>
      </c>
      <c r="F621" t="s">
        <v>1460</v>
      </c>
    </row>
    <row r="622" spans="1:6">
      <c r="A622">
        <v>11</v>
      </c>
      <c r="B622" t="s">
        <v>1705</v>
      </c>
      <c r="C622">
        <v>15795</v>
      </c>
      <c r="D622" t="s">
        <v>1604</v>
      </c>
      <c r="E622" t="s">
        <v>1605</v>
      </c>
      <c r="F622" t="s">
        <v>1606</v>
      </c>
    </row>
    <row r="623" spans="1:6">
      <c r="A623">
        <v>11</v>
      </c>
      <c r="B623" t="s">
        <v>1705</v>
      </c>
      <c r="C623">
        <v>13500</v>
      </c>
      <c r="D623" t="s">
        <v>1466</v>
      </c>
      <c r="E623" t="s">
        <v>1467</v>
      </c>
      <c r="F623" t="s">
        <v>1468</v>
      </c>
    </row>
    <row r="624" spans="1:6">
      <c r="A624">
        <v>11</v>
      </c>
      <c r="B624" t="s">
        <v>1705</v>
      </c>
      <c r="C624">
        <v>10133</v>
      </c>
      <c r="D624" t="s">
        <v>1469</v>
      </c>
      <c r="E624" t="s">
        <v>1470</v>
      </c>
      <c r="F624" t="s">
        <v>1471</v>
      </c>
    </row>
    <row r="625" spans="1:6">
      <c r="A625">
        <v>11</v>
      </c>
      <c r="B625" t="s">
        <v>1705</v>
      </c>
      <c r="C625">
        <v>82783</v>
      </c>
      <c r="D625" t="s">
        <v>1607</v>
      </c>
      <c r="E625" t="s">
        <v>1608</v>
      </c>
      <c r="F625" t="s">
        <v>1609</v>
      </c>
    </row>
    <row r="626" spans="1:6">
      <c r="A626">
        <v>11</v>
      </c>
      <c r="B626" t="s">
        <v>1705</v>
      </c>
      <c r="C626">
        <v>179661</v>
      </c>
      <c r="D626" t="s">
        <v>1610</v>
      </c>
      <c r="E626" t="s">
        <v>1481</v>
      </c>
      <c r="F626" t="s">
        <v>1482</v>
      </c>
    </row>
    <row r="627" spans="1:6">
      <c r="A627">
        <v>11</v>
      </c>
      <c r="B627" t="s">
        <v>1705</v>
      </c>
      <c r="C627">
        <v>1666494</v>
      </c>
      <c r="D627" t="s">
        <v>1415</v>
      </c>
      <c r="E627" t="s">
        <v>1416</v>
      </c>
      <c r="F627" t="s">
        <v>1417</v>
      </c>
    </row>
    <row r="628" spans="1:6">
      <c r="A628">
        <v>11</v>
      </c>
      <c r="B628" t="s">
        <v>1705</v>
      </c>
      <c r="C628">
        <v>1275093</v>
      </c>
      <c r="D628" t="s">
        <v>1418</v>
      </c>
      <c r="E628" t="s">
        <v>1419</v>
      </c>
      <c r="F628" t="s">
        <v>1420</v>
      </c>
    </row>
    <row r="629" spans="1:6">
      <c r="A629">
        <v>12</v>
      </c>
      <c r="B629" t="s">
        <v>1706</v>
      </c>
      <c r="C629">
        <v>1707</v>
      </c>
      <c r="D629" t="s">
        <v>1489</v>
      </c>
      <c r="E629" t="s">
        <v>1490</v>
      </c>
      <c r="F629" t="s">
        <v>1491</v>
      </c>
    </row>
    <row r="630" spans="1:6">
      <c r="A630">
        <v>12</v>
      </c>
      <c r="B630" t="s">
        <v>1706</v>
      </c>
      <c r="C630">
        <v>107406</v>
      </c>
      <c r="D630" t="s">
        <v>1567</v>
      </c>
      <c r="E630" t="s">
        <v>1568</v>
      </c>
      <c r="F630" t="s">
        <v>1569</v>
      </c>
    </row>
    <row r="631" spans="1:6">
      <c r="A631">
        <v>12</v>
      </c>
      <c r="B631" t="s">
        <v>1706</v>
      </c>
      <c r="C631">
        <v>320</v>
      </c>
      <c r="D631" t="s">
        <v>1496</v>
      </c>
      <c r="E631" t="s">
        <v>1497</v>
      </c>
      <c r="F631" t="s">
        <v>1498</v>
      </c>
    </row>
    <row r="632" spans="1:6">
      <c r="A632">
        <v>12</v>
      </c>
      <c r="B632" t="s">
        <v>1706</v>
      </c>
      <c r="C632">
        <v>2561956</v>
      </c>
      <c r="D632" t="s">
        <v>1570</v>
      </c>
      <c r="E632" t="s">
        <v>1571</v>
      </c>
      <c r="F632" t="s">
        <v>1572</v>
      </c>
    </row>
    <row r="633" spans="1:6">
      <c r="A633">
        <v>12</v>
      </c>
      <c r="B633" t="s">
        <v>1706</v>
      </c>
      <c r="C633">
        <v>55556</v>
      </c>
      <c r="D633" t="s">
        <v>1382</v>
      </c>
      <c r="E633" t="s">
        <v>1383</v>
      </c>
      <c r="F633" t="s">
        <v>1384</v>
      </c>
    </row>
    <row r="634" spans="1:6">
      <c r="A634">
        <v>12</v>
      </c>
      <c r="B634" t="s">
        <v>1706</v>
      </c>
      <c r="C634">
        <v>55838</v>
      </c>
      <c r="D634" t="s">
        <v>1520</v>
      </c>
      <c r="E634" t="s">
        <v>1521</v>
      </c>
      <c r="F634" t="s">
        <v>1522</v>
      </c>
    </row>
    <row r="635" spans="1:6">
      <c r="A635">
        <v>12</v>
      </c>
      <c r="B635" t="s">
        <v>1706</v>
      </c>
      <c r="C635">
        <v>258485</v>
      </c>
      <c r="D635" t="s">
        <v>1573</v>
      </c>
      <c r="E635" t="s">
        <v>1574</v>
      </c>
      <c r="F635" t="s">
        <v>1575</v>
      </c>
    </row>
    <row r="636" spans="1:6">
      <c r="A636">
        <v>12</v>
      </c>
      <c r="B636" t="s">
        <v>1706</v>
      </c>
      <c r="C636">
        <v>25818</v>
      </c>
      <c r="D636" t="s">
        <v>1523</v>
      </c>
      <c r="E636" t="s">
        <v>1521</v>
      </c>
      <c r="F636" t="s">
        <v>1524</v>
      </c>
    </row>
    <row r="637" spans="1:6">
      <c r="A637">
        <v>12</v>
      </c>
      <c r="B637" t="s">
        <v>1706</v>
      </c>
      <c r="C637">
        <v>52488</v>
      </c>
      <c r="D637" t="s">
        <v>1531</v>
      </c>
      <c r="E637" t="s">
        <v>1532</v>
      </c>
      <c r="F637" t="s">
        <v>1533</v>
      </c>
    </row>
    <row r="638" spans="1:6">
      <c r="A638">
        <v>12</v>
      </c>
      <c r="B638" t="s">
        <v>1706</v>
      </c>
      <c r="C638">
        <v>38000</v>
      </c>
      <c r="D638" t="s">
        <v>1390</v>
      </c>
      <c r="E638" t="s">
        <v>1391</v>
      </c>
      <c r="F638" t="s">
        <v>1392</v>
      </c>
    </row>
    <row r="639" spans="1:6">
      <c r="A639">
        <v>12</v>
      </c>
      <c r="B639" t="s">
        <v>1706</v>
      </c>
      <c r="C639">
        <v>281.54000000000002</v>
      </c>
      <c r="D639" t="s">
        <v>1374</v>
      </c>
      <c r="E639" t="s">
        <v>1375</v>
      </c>
      <c r="F639" t="s">
        <v>1376</v>
      </c>
    </row>
    <row r="640" spans="1:6">
      <c r="A640">
        <v>12</v>
      </c>
      <c r="B640" t="s">
        <v>1706</v>
      </c>
      <c r="C640">
        <v>898.88</v>
      </c>
      <c r="D640" t="s">
        <v>1377</v>
      </c>
      <c r="E640" t="s">
        <v>1375</v>
      </c>
      <c r="F640" t="s">
        <v>1378</v>
      </c>
    </row>
    <row r="641" spans="1:6">
      <c r="A641">
        <v>12</v>
      </c>
      <c r="B641" t="s">
        <v>1706</v>
      </c>
      <c r="C641">
        <v>6717.3</v>
      </c>
      <c r="D641" t="s">
        <v>1431</v>
      </c>
      <c r="E641" t="s">
        <v>1432</v>
      </c>
      <c r="F641" t="s">
        <v>1433</v>
      </c>
    </row>
    <row r="642" spans="1:6">
      <c r="A642">
        <v>12</v>
      </c>
      <c r="B642" t="s">
        <v>1706</v>
      </c>
      <c r="C642">
        <v>13916.73</v>
      </c>
      <c r="D642" t="s">
        <v>1434</v>
      </c>
      <c r="E642" t="s">
        <v>1432</v>
      </c>
      <c r="F642" t="s">
        <v>1435</v>
      </c>
    </row>
    <row r="643" spans="1:6">
      <c r="A643">
        <v>12</v>
      </c>
      <c r="B643" t="s">
        <v>1706</v>
      </c>
      <c r="C643">
        <v>16700</v>
      </c>
      <c r="D643" t="s">
        <v>1587</v>
      </c>
      <c r="E643" t="s">
        <v>1585</v>
      </c>
      <c r="F643" t="s">
        <v>1588</v>
      </c>
    </row>
    <row r="644" spans="1:6">
      <c r="A644">
        <v>12</v>
      </c>
      <c r="B644" t="s">
        <v>1706</v>
      </c>
      <c r="C644">
        <v>800</v>
      </c>
      <c r="D644" t="s">
        <v>1592</v>
      </c>
      <c r="E644" t="s">
        <v>1590</v>
      </c>
      <c r="F644" t="s">
        <v>1593</v>
      </c>
    </row>
    <row r="645" spans="1:6">
      <c r="A645">
        <v>12</v>
      </c>
      <c r="B645" t="s">
        <v>1706</v>
      </c>
      <c r="C645">
        <v>1211</v>
      </c>
      <c r="D645" t="s">
        <v>1597</v>
      </c>
      <c r="E645" t="s">
        <v>1595</v>
      </c>
      <c r="F645" t="s">
        <v>1598</v>
      </c>
    </row>
    <row r="646" spans="1:6">
      <c r="A646">
        <v>12</v>
      </c>
      <c r="B646" t="s">
        <v>1706</v>
      </c>
      <c r="C646">
        <v>133079</v>
      </c>
      <c r="D646" t="s">
        <v>1602</v>
      </c>
      <c r="E646" t="s">
        <v>1600</v>
      </c>
      <c r="F646" t="s">
        <v>1603</v>
      </c>
    </row>
    <row r="647" spans="1:6">
      <c r="A647">
        <v>12</v>
      </c>
      <c r="B647" t="s">
        <v>1706</v>
      </c>
      <c r="C647">
        <v>4119</v>
      </c>
      <c r="D647" t="s">
        <v>1604</v>
      </c>
      <c r="E647" t="s">
        <v>1605</v>
      </c>
      <c r="F647" t="s">
        <v>1606</v>
      </c>
    </row>
    <row r="648" spans="1:6">
      <c r="A648">
        <v>12</v>
      </c>
      <c r="B648" t="s">
        <v>1706</v>
      </c>
      <c r="C648">
        <v>55841.21</v>
      </c>
      <c r="D648" t="s">
        <v>1475</v>
      </c>
      <c r="E648" t="s">
        <v>1476</v>
      </c>
      <c r="F648" t="s">
        <v>1477</v>
      </c>
    </row>
    <row r="649" spans="1:6">
      <c r="A649">
        <v>12</v>
      </c>
      <c r="B649" t="s">
        <v>1706</v>
      </c>
      <c r="C649">
        <v>312499.40000000002</v>
      </c>
      <c r="D649" t="s">
        <v>1365</v>
      </c>
      <c r="E649" t="s">
        <v>1366</v>
      </c>
      <c r="F649" t="s">
        <v>1367</v>
      </c>
    </row>
    <row r="650" spans="1:6">
      <c r="A650">
        <v>13</v>
      </c>
      <c r="B650" t="s">
        <v>1707</v>
      </c>
      <c r="C650">
        <v>1152</v>
      </c>
      <c r="D650" t="s">
        <v>1489</v>
      </c>
      <c r="E650" t="s">
        <v>1490</v>
      </c>
      <c r="F650" t="s">
        <v>1491</v>
      </c>
    </row>
    <row r="651" spans="1:6">
      <c r="A651">
        <v>13</v>
      </c>
      <c r="B651" t="s">
        <v>1707</v>
      </c>
      <c r="C651">
        <v>46906</v>
      </c>
      <c r="D651" t="s">
        <v>1567</v>
      </c>
      <c r="E651" t="s">
        <v>1568</v>
      </c>
      <c r="F651" t="s">
        <v>1569</v>
      </c>
    </row>
    <row r="652" spans="1:6">
      <c r="A652">
        <v>13</v>
      </c>
      <c r="B652" t="s">
        <v>1707</v>
      </c>
      <c r="C652">
        <v>1061359</v>
      </c>
      <c r="D652" t="s">
        <v>1570</v>
      </c>
      <c r="E652" t="s">
        <v>1571</v>
      </c>
      <c r="F652" t="s">
        <v>1572</v>
      </c>
    </row>
    <row r="653" spans="1:6">
      <c r="A653">
        <v>13</v>
      </c>
      <c r="B653" t="s">
        <v>1707</v>
      </c>
      <c r="C653">
        <v>26644</v>
      </c>
      <c r="D653" t="s">
        <v>1520</v>
      </c>
      <c r="E653" t="s">
        <v>1521</v>
      </c>
      <c r="F653" t="s">
        <v>1522</v>
      </c>
    </row>
    <row r="654" spans="1:6">
      <c r="A654">
        <v>13</v>
      </c>
      <c r="B654" t="s">
        <v>1707</v>
      </c>
      <c r="C654">
        <v>9645</v>
      </c>
      <c r="D654" t="s">
        <v>1371</v>
      </c>
      <c r="E654" t="s">
        <v>1372</v>
      </c>
      <c r="F654" t="s">
        <v>1373</v>
      </c>
    </row>
    <row r="655" spans="1:6">
      <c r="A655">
        <v>13</v>
      </c>
      <c r="B655" t="s">
        <v>1707</v>
      </c>
      <c r="C655">
        <v>16176</v>
      </c>
      <c r="D655" t="s">
        <v>1390</v>
      </c>
      <c r="E655" t="s">
        <v>1391</v>
      </c>
      <c r="F655" t="s">
        <v>1392</v>
      </c>
    </row>
    <row r="656" spans="1:6">
      <c r="A656">
        <v>13</v>
      </c>
      <c r="B656" t="s">
        <v>1707</v>
      </c>
      <c r="C656">
        <v>89.88</v>
      </c>
      <c r="D656" t="s">
        <v>1374</v>
      </c>
      <c r="E656" t="s">
        <v>1375</v>
      </c>
      <c r="F656" t="s">
        <v>1376</v>
      </c>
    </row>
    <row r="657" spans="1:6">
      <c r="A657">
        <v>13</v>
      </c>
      <c r="B657" t="s">
        <v>1707</v>
      </c>
      <c r="C657">
        <v>230.99</v>
      </c>
      <c r="D657" t="s">
        <v>1377</v>
      </c>
      <c r="E657" t="s">
        <v>1375</v>
      </c>
      <c r="F657" t="s">
        <v>1378</v>
      </c>
    </row>
    <row r="658" spans="1:6">
      <c r="A658">
        <v>13</v>
      </c>
      <c r="B658" t="s">
        <v>1707</v>
      </c>
      <c r="C658">
        <v>936.41</v>
      </c>
      <c r="D658" t="s">
        <v>1540</v>
      </c>
      <c r="E658" t="s">
        <v>1538</v>
      </c>
      <c r="F658" t="s">
        <v>1541</v>
      </c>
    </row>
    <row r="659" spans="1:6">
      <c r="A659">
        <v>13</v>
      </c>
      <c r="B659" t="s">
        <v>1707</v>
      </c>
      <c r="C659">
        <v>4756.75</v>
      </c>
      <c r="D659" t="s">
        <v>1431</v>
      </c>
      <c r="E659" t="s">
        <v>1432</v>
      </c>
      <c r="F659" t="s">
        <v>1433</v>
      </c>
    </row>
    <row r="660" spans="1:6">
      <c r="A660">
        <v>13</v>
      </c>
      <c r="B660" t="s">
        <v>1707</v>
      </c>
      <c r="C660">
        <v>10731.54</v>
      </c>
      <c r="D660" t="s">
        <v>1434</v>
      </c>
      <c r="E660" t="s">
        <v>1432</v>
      </c>
      <c r="F660" t="s">
        <v>1435</v>
      </c>
    </row>
    <row r="661" spans="1:6">
      <c r="A661">
        <v>13</v>
      </c>
      <c r="B661" t="s">
        <v>1707</v>
      </c>
      <c r="C661">
        <v>32000</v>
      </c>
      <c r="D661" t="s">
        <v>1579</v>
      </c>
      <c r="E661" t="s">
        <v>1577</v>
      </c>
      <c r="F661" t="s">
        <v>1580</v>
      </c>
    </row>
    <row r="662" spans="1:6">
      <c r="A662">
        <v>13</v>
      </c>
      <c r="B662" t="s">
        <v>1707</v>
      </c>
      <c r="C662">
        <v>275</v>
      </c>
      <c r="D662" t="s">
        <v>1581</v>
      </c>
      <c r="E662" t="s">
        <v>1582</v>
      </c>
      <c r="F662" t="s">
        <v>1583</v>
      </c>
    </row>
    <row r="663" spans="1:6">
      <c r="A663">
        <v>13</v>
      </c>
      <c r="B663" t="s">
        <v>1707</v>
      </c>
      <c r="C663">
        <v>8000</v>
      </c>
      <c r="D663" t="s">
        <v>1587</v>
      </c>
      <c r="E663" t="s">
        <v>1585</v>
      </c>
      <c r="F663" t="s">
        <v>1588</v>
      </c>
    </row>
    <row r="664" spans="1:6">
      <c r="A664">
        <v>13</v>
      </c>
      <c r="B664" t="s">
        <v>1707</v>
      </c>
      <c r="C664">
        <v>1051</v>
      </c>
      <c r="D664" t="s">
        <v>1592</v>
      </c>
      <c r="E664" t="s">
        <v>1590</v>
      </c>
      <c r="F664" t="s">
        <v>1593</v>
      </c>
    </row>
    <row r="665" spans="1:6">
      <c r="A665">
        <v>13</v>
      </c>
      <c r="B665" t="s">
        <v>1707</v>
      </c>
      <c r="C665">
        <v>337</v>
      </c>
      <c r="D665" t="s">
        <v>1597</v>
      </c>
      <c r="E665" t="s">
        <v>1595</v>
      </c>
      <c r="F665" t="s">
        <v>1598</v>
      </c>
    </row>
    <row r="666" spans="1:6">
      <c r="A666">
        <v>13</v>
      </c>
      <c r="B666" t="s">
        <v>1707</v>
      </c>
      <c r="C666">
        <v>47000</v>
      </c>
      <c r="D666" t="s">
        <v>1602</v>
      </c>
      <c r="E666" t="s">
        <v>1600</v>
      </c>
      <c r="F666" t="s">
        <v>1603</v>
      </c>
    </row>
    <row r="667" spans="1:6">
      <c r="A667">
        <v>13</v>
      </c>
      <c r="B667" t="s">
        <v>1707</v>
      </c>
      <c r="C667">
        <v>4111</v>
      </c>
      <c r="D667" t="s">
        <v>1604</v>
      </c>
      <c r="E667" t="s">
        <v>1605</v>
      </c>
      <c r="F667" t="s">
        <v>1606</v>
      </c>
    </row>
    <row r="668" spans="1:6">
      <c r="A668">
        <v>13</v>
      </c>
      <c r="B668" t="s">
        <v>1707</v>
      </c>
      <c r="C668">
        <v>26295.119999999999</v>
      </c>
      <c r="D668" t="s">
        <v>1475</v>
      </c>
      <c r="E668" t="s">
        <v>1476</v>
      </c>
      <c r="F668" t="s">
        <v>1477</v>
      </c>
    </row>
    <row r="669" spans="1:6">
      <c r="A669">
        <v>13</v>
      </c>
      <c r="B669" t="s">
        <v>1707</v>
      </c>
      <c r="C669">
        <v>170998.02</v>
      </c>
      <c r="D669" t="s">
        <v>1365</v>
      </c>
      <c r="E669" t="s">
        <v>1366</v>
      </c>
      <c r="F669" t="s">
        <v>1367</v>
      </c>
    </row>
    <row r="670" spans="1:6">
      <c r="A670">
        <v>14</v>
      </c>
      <c r="B670" t="s">
        <v>1708</v>
      </c>
      <c r="C670">
        <v>46555</v>
      </c>
      <c r="D670" t="s">
        <v>1401</v>
      </c>
      <c r="E670" t="s">
        <v>1402</v>
      </c>
      <c r="F670" t="s">
        <v>1403</v>
      </c>
    </row>
    <row r="671" spans="1:6">
      <c r="A671">
        <v>14</v>
      </c>
      <c r="B671" t="s">
        <v>1708</v>
      </c>
      <c r="C671">
        <v>23446</v>
      </c>
      <c r="D671" t="s">
        <v>1486</v>
      </c>
      <c r="E671" t="s">
        <v>1487</v>
      </c>
      <c r="F671" t="s">
        <v>1488</v>
      </c>
    </row>
    <row r="672" spans="1:6">
      <c r="A672">
        <v>14</v>
      </c>
      <c r="B672" t="s">
        <v>1708</v>
      </c>
      <c r="C672">
        <v>10966</v>
      </c>
      <c r="D672" t="s">
        <v>1489</v>
      </c>
      <c r="E672" t="s">
        <v>1490</v>
      </c>
      <c r="F672" t="s">
        <v>1491</v>
      </c>
    </row>
    <row r="673" spans="1:6">
      <c r="A673">
        <v>14</v>
      </c>
      <c r="B673" t="s">
        <v>1708</v>
      </c>
      <c r="C673">
        <v>102250</v>
      </c>
      <c r="D673" t="s">
        <v>1404</v>
      </c>
      <c r="E673" t="s">
        <v>1405</v>
      </c>
      <c r="F673" t="s">
        <v>1406</v>
      </c>
    </row>
    <row r="674" spans="1:6">
      <c r="A674">
        <v>14</v>
      </c>
      <c r="B674" t="s">
        <v>1708</v>
      </c>
      <c r="C674">
        <v>200744</v>
      </c>
      <c r="D674" t="s">
        <v>1567</v>
      </c>
      <c r="E674" t="s">
        <v>1568</v>
      </c>
      <c r="F674" t="s">
        <v>1569</v>
      </c>
    </row>
    <row r="675" spans="1:6">
      <c r="A675">
        <v>14</v>
      </c>
      <c r="B675" t="s">
        <v>1708</v>
      </c>
      <c r="C675">
        <v>32284</v>
      </c>
      <c r="D675" t="s">
        <v>1496</v>
      </c>
      <c r="E675" t="s">
        <v>1497</v>
      </c>
      <c r="F675" t="s">
        <v>1498</v>
      </c>
    </row>
    <row r="676" spans="1:6">
      <c r="A676">
        <v>14</v>
      </c>
      <c r="B676" t="s">
        <v>1708</v>
      </c>
      <c r="C676">
        <v>1397866</v>
      </c>
      <c r="D676" t="s">
        <v>1570</v>
      </c>
      <c r="E676" t="s">
        <v>1571</v>
      </c>
      <c r="F676" t="s">
        <v>1572</v>
      </c>
    </row>
    <row r="677" spans="1:6">
      <c r="A677">
        <v>14</v>
      </c>
      <c r="B677" t="s">
        <v>1708</v>
      </c>
      <c r="C677">
        <v>58159</v>
      </c>
      <c r="D677" t="s">
        <v>1382</v>
      </c>
      <c r="E677" t="s">
        <v>1383</v>
      </c>
      <c r="F677" t="s">
        <v>1384</v>
      </c>
    </row>
    <row r="678" spans="1:6">
      <c r="A678">
        <v>14</v>
      </c>
      <c r="B678" t="s">
        <v>1708</v>
      </c>
      <c r="C678">
        <v>33066</v>
      </c>
      <c r="D678" t="s">
        <v>1385</v>
      </c>
      <c r="E678" t="s">
        <v>1383</v>
      </c>
      <c r="F678" t="s">
        <v>1386</v>
      </c>
    </row>
    <row r="679" spans="1:6">
      <c r="A679">
        <v>14</v>
      </c>
      <c r="B679" t="s">
        <v>1708</v>
      </c>
      <c r="C679">
        <v>138911</v>
      </c>
      <c r="D679" t="s">
        <v>1520</v>
      </c>
      <c r="E679" t="s">
        <v>1521</v>
      </c>
      <c r="F679" t="s">
        <v>1522</v>
      </c>
    </row>
    <row r="680" spans="1:6">
      <c r="A680">
        <v>14</v>
      </c>
      <c r="B680" t="s">
        <v>1708</v>
      </c>
      <c r="C680">
        <v>325575</v>
      </c>
      <c r="D680" t="s">
        <v>1573</v>
      </c>
      <c r="E680" t="s">
        <v>1574</v>
      </c>
      <c r="F680" t="s">
        <v>1575</v>
      </c>
    </row>
    <row r="681" spans="1:6">
      <c r="A681">
        <v>14</v>
      </c>
      <c r="B681" t="s">
        <v>1708</v>
      </c>
      <c r="C681">
        <v>32778</v>
      </c>
      <c r="D681" t="s">
        <v>1523</v>
      </c>
      <c r="E681" t="s">
        <v>1521</v>
      </c>
      <c r="F681" t="s">
        <v>1524</v>
      </c>
    </row>
    <row r="682" spans="1:6">
      <c r="A682">
        <v>14</v>
      </c>
      <c r="B682" t="s">
        <v>1708</v>
      </c>
      <c r="C682">
        <v>12456</v>
      </c>
      <c r="D682" t="s">
        <v>1525</v>
      </c>
      <c r="E682" t="s">
        <v>1526</v>
      </c>
      <c r="F682" t="s">
        <v>1527</v>
      </c>
    </row>
    <row r="683" spans="1:6">
      <c r="A683">
        <v>14</v>
      </c>
      <c r="B683" t="s">
        <v>1708</v>
      </c>
      <c r="C683">
        <v>39473</v>
      </c>
      <c r="D683" t="s">
        <v>1528</v>
      </c>
      <c r="E683" t="s">
        <v>1529</v>
      </c>
      <c r="F683" t="s">
        <v>1530</v>
      </c>
    </row>
    <row r="684" spans="1:6">
      <c r="A684">
        <v>14</v>
      </c>
      <c r="B684" t="s">
        <v>1708</v>
      </c>
      <c r="C684">
        <v>40000</v>
      </c>
      <c r="D684" t="s">
        <v>1531</v>
      </c>
      <c r="E684" t="s">
        <v>1532</v>
      </c>
      <c r="F684" t="s">
        <v>1533</v>
      </c>
    </row>
    <row r="685" spans="1:6">
      <c r="A685">
        <v>14</v>
      </c>
      <c r="B685" t="s">
        <v>1708</v>
      </c>
      <c r="C685">
        <v>6500</v>
      </c>
      <c r="D685" t="s">
        <v>1387</v>
      </c>
      <c r="E685" t="s">
        <v>1388</v>
      </c>
      <c r="F685" t="s">
        <v>1389</v>
      </c>
    </row>
    <row r="686" spans="1:6">
      <c r="A686">
        <v>14</v>
      </c>
      <c r="B686" t="s">
        <v>1708</v>
      </c>
      <c r="C686">
        <v>1600.34</v>
      </c>
      <c r="D686" t="s">
        <v>1537</v>
      </c>
      <c r="E686" t="s">
        <v>1538</v>
      </c>
      <c r="F686" t="s">
        <v>1539</v>
      </c>
    </row>
    <row r="687" spans="1:6">
      <c r="A687">
        <v>14</v>
      </c>
      <c r="B687" t="s">
        <v>1708</v>
      </c>
      <c r="C687">
        <v>5410.61</v>
      </c>
      <c r="D687" t="s">
        <v>1540</v>
      </c>
      <c r="E687" t="s">
        <v>1538</v>
      </c>
      <c r="F687" t="s">
        <v>1541</v>
      </c>
    </row>
    <row r="688" spans="1:6">
      <c r="A688">
        <v>14</v>
      </c>
      <c r="B688" t="s">
        <v>1708</v>
      </c>
      <c r="C688">
        <v>53849.48</v>
      </c>
      <c r="D688" t="s">
        <v>1431</v>
      </c>
      <c r="E688" t="s">
        <v>1432</v>
      </c>
      <c r="F688" t="s">
        <v>1433</v>
      </c>
    </row>
    <row r="689" spans="1:6">
      <c r="A689">
        <v>14</v>
      </c>
      <c r="B689" t="s">
        <v>1708</v>
      </c>
      <c r="C689">
        <v>128118.29</v>
      </c>
      <c r="D689" t="s">
        <v>1434</v>
      </c>
      <c r="E689" t="s">
        <v>1432</v>
      </c>
      <c r="F689" t="s">
        <v>1435</v>
      </c>
    </row>
    <row r="690" spans="1:6">
      <c r="A690">
        <v>14</v>
      </c>
      <c r="B690" t="s">
        <v>1708</v>
      </c>
      <c r="C690">
        <v>103443</v>
      </c>
      <c r="D690" t="s">
        <v>1579</v>
      </c>
      <c r="E690" t="s">
        <v>1577</v>
      </c>
      <c r="F690" t="s">
        <v>1580</v>
      </c>
    </row>
    <row r="691" spans="1:6">
      <c r="A691">
        <v>14</v>
      </c>
      <c r="B691" t="s">
        <v>1708</v>
      </c>
      <c r="C691">
        <v>41130</v>
      </c>
      <c r="D691" t="s">
        <v>1436</v>
      </c>
      <c r="E691" t="s">
        <v>1437</v>
      </c>
      <c r="F691" t="s">
        <v>1438</v>
      </c>
    </row>
    <row r="692" spans="1:6">
      <c r="A692">
        <v>14</v>
      </c>
      <c r="B692" t="s">
        <v>1708</v>
      </c>
      <c r="C692">
        <v>1189</v>
      </c>
      <c r="D692" t="s">
        <v>1581</v>
      </c>
      <c r="E692" t="s">
        <v>1582</v>
      </c>
      <c r="F692" t="s">
        <v>1583</v>
      </c>
    </row>
    <row r="693" spans="1:6">
      <c r="A693">
        <v>14</v>
      </c>
      <c r="B693" t="s">
        <v>1708</v>
      </c>
      <c r="C693">
        <v>55427</v>
      </c>
      <c r="D693" t="s">
        <v>1587</v>
      </c>
      <c r="E693" t="s">
        <v>1585</v>
      </c>
      <c r="F693" t="s">
        <v>1588</v>
      </c>
    </row>
    <row r="694" spans="1:6">
      <c r="A694">
        <v>14</v>
      </c>
      <c r="B694" t="s">
        <v>1708</v>
      </c>
      <c r="C694">
        <v>11417</v>
      </c>
      <c r="D694" t="s">
        <v>1454</v>
      </c>
      <c r="E694" t="s">
        <v>1455</v>
      </c>
      <c r="F694" t="s">
        <v>1456</v>
      </c>
    </row>
    <row r="695" spans="1:6">
      <c r="A695">
        <v>14</v>
      </c>
      <c r="B695" t="s">
        <v>1708</v>
      </c>
      <c r="C695">
        <v>3385</v>
      </c>
      <c r="D695" t="s">
        <v>1457</v>
      </c>
      <c r="E695" t="s">
        <v>1455</v>
      </c>
      <c r="F695" t="s">
        <v>1458</v>
      </c>
    </row>
    <row r="696" spans="1:6">
      <c r="A696">
        <v>14</v>
      </c>
      <c r="B696" t="s">
        <v>1708</v>
      </c>
      <c r="C696">
        <v>8907</v>
      </c>
      <c r="D696" t="s">
        <v>1592</v>
      </c>
      <c r="E696" t="s">
        <v>1590</v>
      </c>
      <c r="F696" t="s">
        <v>1593</v>
      </c>
    </row>
    <row r="697" spans="1:6">
      <c r="A697">
        <v>14</v>
      </c>
      <c r="B697" t="s">
        <v>1708</v>
      </c>
      <c r="C697">
        <v>3615</v>
      </c>
      <c r="D697" t="s">
        <v>1597</v>
      </c>
      <c r="E697" t="s">
        <v>1595</v>
      </c>
      <c r="F697" t="s">
        <v>1598</v>
      </c>
    </row>
    <row r="698" spans="1:6">
      <c r="A698">
        <v>14</v>
      </c>
      <c r="B698" t="s">
        <v>1708</v>
      </c>
      <c r="C698">
        <v>562997</v>
      </c>
      <c r="D698" t="s">
        <v>1602</v>
      </c>
      <c r="E698" t="s">
        <v>1600</v>
      </c>
      <c r="F698" t="s">
        <v>1603</v>
      </c>
    </row>
    <row r="699" spans="1:6">
      <c r="A699">
        <v>14</v>
      </c>
      <c r="B699" t="s">
        <v>1708</v>
      </c>
      <c r="C699">
        <v>24094</v>
      </c>
      <c r="D699" t="s">
        <v>1604</v>
      </c>
      <c r="E699" t="s">
        <v>1605</v>
      </c>
      <c r="F699" t="s">
        <v>1606</v>
      </c>
    </row>
    <row r="700" spans="1:6">
      <c r="A700">
        <v>14</v>
      </c>
      <c r="B700" t="s">
        <v>1708</v>
      </c>
      <c r="C700">
        <v>3500</v>
      </c>
      <c r="D700" t="s">
        <v>1466</v>
      </c>
      <c r="E700" t="s">
        <v>1467</v>
      </c>
      <c r="F700" t="s">
        <v>1468</v>
      </c>
    </row>
    <row r="701" spans="1:6">
      <c r="A701">
        <v>14</v>
      </c>
      <c r="B701" t="s">
        <v>1708</v>
      </c>
      <c r="C701">
        <v>12000</v>
      </c>
      <c r="D701" t="s">
        <v>1472</v>
      </c>
      <c r="E701" t="s">
        <v>1473</v>
      </c>
      <c r="F701" t="s">
        <v>1474</v>
      </c>
    </row>
    <row r="702" spans="1:6">
      <c r="A702">
        <v>14</v>
      </c>
      <c r="B702" t="s">
        <v>1708</v>
      </c>
      <c r="C702">
        <v>207320.66</v>
      </c>
      <c r="D702" t="s">
        <v>1475</v>
      </c>
      <c r="E702" t="s">
        <v>1476</v>
      </c>
      <c r="F702" t="s">
        <v>1477</v>
      </c>
    </row>
    <row r="703" spans="1:6">
      <c r="A703">
        <v>14</v>
      </c>
      <c r="B703" t="s">
        <v>1708</v>
      </c>
      <c r="C703">
        <v>804944.57</v>
      </c>
      <c r="D703" t="s">
        <v>1365</v>
      </c>
      <c r="E703" t="s">
        <v>1366</v>
      </c>
      <c r="F703" t="s">
        <v>1367</v>
      </c>
    </row>
    <row r="704" spans="1:6">
      <c r="A704">
        <v>14</v>
      </c>
      <c r="B704" t="s">
        <v>1708</v>
      </c>
      <c r="C704">
        <v>61787</v>
      </c>
      <c r="D704" t="s">
        <v>1610</v>
      </c>
      <c r="E704" t="s">
        <v>1481</v>
      </c>
      <c r="F704" t="s">
        <v>1482</v>
      </c>
    </row>
    <row r="705" spans="1:6">
      <c r="A705">
        <v>15</v>
      </c>
      <c r="B705" t="s">
        <v>1709</v>
      </c>
      <c r="C705">
        <v>66300</v>
      </c>
      <c r="D705" t="s">
        <v>1314</v>
      </c>
      <c r="E705" t="s">
        <v>1315</v>
      </c>
      <c r="F705" t="s">
        <v>1316</v>
      </c>
    </row>
    <row r="706" spans="1:6">
      <c r="A706">
        <v>15</v>
      </c>
      <c r="B706" t="s">
        <v>1709</v>
      </c>
      <c r="C706">
        <v>344250</v>
      </c>
      <c r="D706" t="s">
        <v>1486</v>
      </c>
      <c r="E706" t="s">
        <v>1487</v>
      </c>
      <c r="F706" t="s">
        <v>1488</v>
      </c>
    </row>
    <row r="707" spans="1:6">
      <c r="A707">
        <v>15</v>
      </c>
      <c r="B707" t="s">
        <v>1709</v>
      </c>
      <c r="C707">
        <v>161012</v>
      </c>
      <c r="D707" t="s">
        <v>1489</v>
      </c>
      <c r="E707" t="s">
        <v>1490</v>
      </c>
      <c r="F707" t="s">
        <v>1491</v>
      </c>
    </row>
    <row r="708" spans="1:6">
      <c r="A708">
        <v>15</v>
      </c>
      <c r="B708" t="s">
        <v>1709</v>
      </c>
      <c r="C708">
        <v>102250</v>
      </c>
      <c r="D708" t="s">
        <v>1404</v>
      </c>
      <c r="E708" t="s">
        <v>1405</v>
      </c>
      <c r="F708" t="s">
        <v>1406</v>
      </c>
    </row>
    <row r="709" spans="1:6">
      <c r="A709">
        <v>15</v>
      </c>
      <c r="B709" t="s">
        <v>1709</v>
      </c>
      <c r="C709">
        <v>102250</v>
      </c>
      <c r="D709" t="s">
        <v>1317</v>
      </c>
      <c r="E709" t="s">
        <v>1405</v>
      </c>
      <c r="F709" t="s">
        <v>1406</v>
      </c>
    </row>
    <row r="710" spans="1:6">
      <c r="A710">
        <v>15</v>
      </c>
      <c r="B710" t="s">
        <v>1709</v>
      </c>
      <c r="C710">
        <v>102250</v>
      </c>
      <c r="D710" t="s">
        <v>1318</v>
      </c>
      <c r="E710" t="s">
        <v>1405</v>
      </c>
      <c r="F710" t="s">
        <v>1406</v>
      </c>
    </row>
    <row r="711" spans="1:6">
      <c r="A711">
        <v>15</v>
      </c>
      <c r="B711" t="s">
        <v>1709</v>
      </c>
      <c r="C711">
        <v>102250</v>
      </c>
      <c r="D711" t="s">
        <v>1319</v>
      </c>
      <c r="E711" t="s">
        <v>1320</v>
      </c>
      <c r="F711" t="s">
        <v>1406</v>
      </c>
    </row>
    <row r="712" spans="1:6">
      <c r="A712">
        <v>15</v>
      </c>
      <c r="B712" t="s">
        <v>1709</v>
      </c>
      <c r="C712">
        <v>340495</v>
      </c>
      <c r="D712" t="s">
        <v>1407</v>
      </c>
      <c r="E712" t="s">
        <v>1408</v>
      </c>
      <c r="F712" t="s">
        <v>1409</v>
      </c>
    </row>
    <row r="713" spans="1:6">
      <c r="A713">
        <v>15</v>
      </c>
      <c r="B713" t="s">
        <v>1709</v>
      </c>
      <c r="C713">
        <v>2290634</v>
      </c>
      <c r="D713" t="s">
        <v>1567</v>
      </c>
      <c r="E713" t="s">
        <v>1568</v>
      </c>
      <c r="F713" t="s">
        <v>1569</v>
      </c>
    </row>
    <row r="714" spans="1:6">
      <c r="A714">
        <v>15</v>
      </c>
      <c r="B714" t="s">
        <v>1709</v>
      </c>
      <c r="C714">
        <v>207480</v>
      </c>
      <c r="D714" t="s">
        <v>1496</v>
      </c>
      <c r="E714" t="s">
        <v>1497</v>
      </c>
      <c r="F714" t="s">
        <v>1498</v>
      </c>
    </row>
    <row r="715" spans="1:6">
      <c r="A715">
        <v>15</v>
      </c>
      <c r="B715" t="s">
        <v>1709</v>
      </c>
      <c r="C715">
        <v>1500000</v>
      </c>
      <c r="D715" t="s">
        <v>1324</v>
      </c>
      <c r="E715" t="s">
        <v>1325</v>
      </c>
      <c r="F715" t="s">
        <v>1326</v>
      </c>
    </row>
    <row r="716" spans="1:6">
      <c r="A716">
        <v>15</v>
      </c>
      <c r="B716" t="s">
        <v>1709</v>
      </c>
      <c r="C716">
        <v>146274743</v>
      </c>
      <c r="D716" t="s">
        <v>1570</v>
      </c>
      <c r="E716" t="s">
        <v>1571</v>
      </c>
      <c r="F716" t="s">
        <v>1572</v>
      </c>
    </row>
    <row r="717" spans="1:6">
      <c r="A717">
        <v>15</v>
      </c>
      <c r="B717" t="s">
        <v>1709</v>
      </c>
      <c r="C717">
        <v>282543</v>
      </c>
      <c r="D717" t="s">
        <v>1327</v>
      </c>
      <c r="E717" t="s">
        <v>1328</v>
      </c>
      <c r="F717" t="s">
        <v>1329</v>
      </c>
    </row>
    <row r="718" spans="1:6">
      <c r="A718">
        <v>15</v>
      </c>
      <c r="B718" t="s">
        <v>1709</v>
      </c>
      <c r="C718">
        <v>7208754</v>
      </c>
      <c r="D718" t="s">
        <v>1499</v>
      </c>
      <c r="E718" t="s">
        <v>1500</v>
      </c>
      <c r="F718" t="s">
        <v>1501</v>
      </c>
    </row>
    <row r="719" spans="1:6">
      <c r="A719">
        <v>15</v>
      </c>
      <c r="B719" t="s">
        <v>1709</v>
      </c>
      <c r="C719">
        <v>3113658</v>
      </c>
      <c r="D719" t="s">
        <v>1502</v>
      </c>
      <c r="E719" t="s">
        <v>1503</v>
      </c>
      <c r="F719" t="s">
        <v>1504</v>
      </c>
    </row>
    <row r="720" spans="1:6">
      <c r="A720">
        <v>15</v>
      </c>
      <c r="B720" t="s">
        <v>1709</v>
      </c>
      <c r="C720">
        <v>405021</v>
      </c>
      <c r="D720" t="s">
        <v>1505</v>
      </c>
      <c r="E720" t="s">
        <v>1506</v>
      </c>
      <c r="F720" t="s">
        <v>1507</v>
      </c>
    </row>
    <row r="721" spans="1:6">
      <c r="A721">
        <v>15</v>
      </c>
      <c r="B721" t="s">
        <v>1709</v>
      </c>
      <c r="C721">
        <v>460829</v>
      </c>
      <c r="D721" t="s">
        <v>1508</v>
      </c>
      <c r="E721" t="s">
        <v>1509</v>
      </c>
      <c r="F721" t="s">
        <v>1510</v>
      </c>
    </row>
    <row r="722" spans="1:6">
      <c r="A722">
        <v>15</v>
      </c>
      <c r="B722" t="s">
        <v>1709</v>
      </c>
      <c r="C722">
        <v>16381</v>
      </c>
      <c r="D722" t="s">
        <v>1330</v>
      </c>
      <c r="E722" t="s">
        <v>1331</v>
      </c>
      <c r="F722" t="s">
        <v>1332</v>
      </c>
    </row>
    <row r="723" spans="1:6">
      <c r="A723">
        <v>15</v>
      </c>
      <c r="B723" t="s">
        <v>1709</v>
      </c>
      <c r="C723">
        <v>18275</v>
      </c>
      <c r="D723" t="s">
        <v>1333</v>
      </c>
      <c r="E723" t="s">
        <v>1383</v>
      </c>
      <c r="F723" t="s">
        <v>1334</v>
      </c>
    </row>
    <row r="724" spans="1:6">
      <c r="A724">
        <v>15</v>
      </c>
      <c r="B724" t="s">
        <v>1709</v>
      </c>
      <c r="C724">
        <v>33303</v>
      </c>
      <c r="D724" t="s">
        <v>1335</v>
      </c>
      <c r="E724" t="s">
        <v>1383</v>
      </c>
      <c r="F724" t="s">
        <v>1334</v>
      </c>
    </row>
    <row r="725" spans="1:6">
      <c r="A725">
        <v>15</v>
      </c>
      <c r="B725" t="s">
        <v>1709</v>
      </c>
      <c r="C725">
        <v>34090</v>
      </c>
      <c r="D725" t="s">
        <v>1336</v>
      </c>
      <c r="E725" t="s">
        <v>1383</v>
      </c>
      <c r="F725" t="s">
        <v>1334</v>
      </c>
    </row>
    <row r="726" spans="1:6">
      <c r="A726">
        <v>15</v>
      </c>
      <c r="B726" t="s">
        <v>1709</v>
      </c>
      <c r="C726">
        <v>33418</v>
      </c>
      <c r="D726" t="s">
        <v>1337</v>
      </c>
      <c r="E726" t="s">
        <v>1383</v>
      </c>
      <c r="F726" t="s">
        <v>1334</v>
      </c>
    </row>
    <row r="727" spans="1:6">
      <c r="A727">
        <v>15</v>
      </c>
      <c r="B727" t="s">
        <v>1709</v>
      </c>
      <c r="C727">
        <v>59800</v>
      </c>
      <c r="D727" t="s">
        <v>1382</v>
      </c>
      <c r="E727" t="s">
        <v>1383</v>
      </c>
      <c r="F727" t="s">
        <v>1384</v>
      </c>
    </row>
    <row r="728" spans="1:6">
      <c r="A728">
        <v>15</v>
      </c>
      <c r="B728" t="s">
        <v>1709</v>
      </c>
      <c r="C728">
        <v>32124</v>
      </c>
      <c r="D728" t="s">
        <v>1338</v>
      </c>
      <c r="E728" t="s">
        <v>1383</v>
      </c>
      <c r="F728" t="s">
        <v>1384</v>
      </c>
    </row>
    <row r="729" spans="1:6">
      <c r="A729">
        <v>15</v>
      </c>
      <c r="B729" t="s">
        <v>1709</v>
      </c>
      <c r="C729">
        <v>66835</v>
      </c>
      <c r="D729" t="s">
        <v>1339</v>
      </c>
      <c r="E729" t="s">
        <v>1383</v>
      </c>
      <c r="F729" t="s">
        <v>1384</v>
      </c>
    </row>
    <row r="730" spans="1:6">
      <c r="A730">
        <v>15</v>
      </c>
      <c r="B730" t="s">
        <v>1709</v>
      </c>
      <c r="C730">
        <v>64856</v>
      </c>
      <c r="D730" t="s">
        <v>1340</v>
      </c>
      <c r="E730" t="s">
        <v>1383</v>
      </c>
      <c r="F730" t="s">
        <v>1384</v>
      </c>
    </row>
    <row r="731" spans="1:6">
      <c r="A731">
        <v>15</v>
      </c>
      <c r="B731" t="s">
        <v>1709</v>
      </c>
      <c r="C731">
        <v>66835</v>
      </c>
      <c r="D731" t="s">
        <v>1341</v>
      </c>
      <c r="E731" t="s">
        <v>1383</v>
      </c>
      <c r="F731" t="s">
        <v>1384</v>
      </c>
    </row>
    <row r="732" spans="1:6">
      <c r="A732">
        <v>15</v>
      </c>
      <c r="B732" t="s">
        <v>1709</v>
      </c>
      <c r="C732">
        <v>66373</v>
      </c>
      <c r="D732" t="s">
        <v>1342</v>
      </c>
      <c r="E732" t="s">
        <v>1383</v>
      </c>
      <c r="F732" t="s">
        <v>1384</v>
      </c>
    </row>
    <row r="733" spans="1:6">
      <c r="A733">
        <v>15</v>
      </c>
      <c r="B733" t="s">
        <v>1709</v>
      </c>
      <c r="C733">
        <v>32327</v>
      </c>
      <c r="D733" t="s">
        <v>1343</v>
      </c>
      <c r="E733" t="s">
        <v>1383</v>
      </c>
      <c r="F733" t="s">
        <v>1384</v>
      </c>
    </row>
    <row r="734" spans="1:6">
      <c r="A734">
        <v>15</v>
      </c>
      <c r="B734" t="s">
        <v>1709</v>
      </c>
      <c r="C734">
        <v>55315</v>
      </c>
      <c r="D734" t="s">
        <v>1344</v>
      </c>
      <c r="E734" t="s">
        <v>1383</v>
      </c>
      <c r="F734" t="s">
        <v>1384</v>
      </c>
    </row>
    <row r="735" spans="1:6">
      <c r="A735">
        <v>15</v>
      </c>
      <c r="B735" t="s">
        <v>1709</v>
      </c>
      <c r="C735">
        <v>66872</v>
      </c>
      <c r="D735" t="s">
        <v>1345</v>
      </c>
      <c r="E735" t="s">
        <v>1383</v>
      </c>
      <c r="F735" t="s">
        <v>1384</v>
      </c>
    </row>
    <row r="736" spans="1:6">
      <c r="A736">
        <v>15</v>
      </c>
      <c r="B736" t="s">
        <v>1709</v>
      </c>
      <c r="C736">
        <v>102000</v>
      </c>
      <c r="D736" t="s">
        <v>1515</v>
      </c>
      <c r="E736" t="s">
        <v>1516</v>
      </c>
      <c r="F736" t="s">
        <v>1517</v>
      </c>
    </row>
    <row r="737" spans="1:6">
      <c r="A737">
        <v>15</v>
      </c>
      <c r="B737" t="s">
        <v>1709</v>
      </c>
      <c r="C737">
        <v>69645</v>
      </c>
      <c r="D737" t="s">
        <v>1518</v>
      </c>
      <c r="E737" t="s">
        <v>1516</v>
      </c>
      <c r="F737" t="s">
        <v>1519</v>
      </c>
    </row>
    <row r="738" spans="1:6">
      <c r="A738">
        <v>15</v>
      </c>
      <c r="B738" t="s">
        <v>1709</v>
      </c>
      <c r="C738">
        <v>5822</v>
      </c>
      <c r="D738" t="s">
        <v>1346</v>
      </c>
      <c r="E738" t="s">
        <v>1347</v>
      </c>
      <c r="F738" t="s">
        <v>1348</v>
      </c>
    </row>
    <row r="739" spans="1:6">
      <c r="A739">
        <v>15</v>
      </c>
      <c r="B739" t="s">
        <v>1709</v>
      </c>
      <c r="C739">
        <v>2197214</v>
      </c>
      <c r="D739" t="s">
        <v>1520</v>
      </c>
      <c r="E739" t="s">
        <v>1521</v>
      </c>
      <c r="F739" t="s">
        <v>1522</v>
      </c>
    </row>
    <row r="740" spans="1:6">
      <c r="A740">
        <v>15</v>
      </c>
      <c r="B740" t="s">
        <v>1709</v>
      </c>
      <c r="C740">
        <v>2105875</v>
      </c>
      <c r="D740" t="s">
        <v>1573</v>
      </c>
      <c r="E740" t="s">
        <v>1574</v>
      </c>
      <c r="F740" t="s">
        <v>1575</v>
      </c>
    </row>
    <row r="741" spans="1:6">
      <c r="A741">
        <v>15</v>
      </c>
      <c r="B741" t="s">
        <v>1709</v>
      </c>
      <c r="C741">
        <v>440959</v>
      </c>
      <c r="D741" t="s">
        <v>1523</v>
      </c>
      <c r="E741" t="s">
        <v>1521</v>
      </c>
      <c r="F741" t="s">
        <v>1524</v>
      </c>
    </row>
    <row r="742" spans="1:6">
      <c r="A742">
        <v>15</v>
      </c>
      <c r="B742" t="s">
        <v>1709</v>
      </c>
      <c r="C742">
        <v>336439</v>
      </c>
      <c r="D742" t="s">
        <v>1525</v>
      </c>
      <c r="E742" t="s">
        <v>1526</v>
      </c>
      <c r="F742" t="s">
        <v>1527</v>
      </c>
    </row>
    <row r="743" spans="1:6">
      <c r="A743">
        <v>15</v>
      </c>
      <c r="B743" t="s">
        <v>1709</v>
      </c>
      <c r="C743">
        <v>143378</v>
      </c>
      <c r="D743" t="s">
        <v>1528</v>
      </c>
      <c r="E743" t="s">
        <v>1529</v>
      </c>
      <c r="F743" t="s">
        <v>1530</v>
      </c>
    </row>
    <row r="744" spans="1:6">
      <c r="A744">
        <v>15</v>
      </c>
      <c r="B744" t="s">
        <v>1709</v>
      </c>
      <c r="C744">
        <v>78850</v>
      </c>
      <c r="D744" t="s">
        <v>1387</v>
      </c>
      <c r="E744" t="s">
        <v>1388</v>
      </c>
      <c r="F744" t="s">
        <v>1389</v>
      </c>
    </row>
    <row r="745" spans="1:6">
      <c r="A745">
        <v>15</v>
      </c>
      <c r="B745" t="s">
        <v>1709</v>
      </c>
      <c r="C745">
        <v>500000</v>
      </c>
      <c r="D745" t="s">
        <v>1349</v>
      </c>
      <c r="E745" t="s">
        <v>1350</v>
      </c>
      <c r="F745" t="s">
        <v>1351</v>
      </c>
    </row>
    <row r="746" spans="1:6">
      <c r="A746">
        <v>15</v>
      </c>
      <c r="B746" t="s">
        <v>1709</v>
      </c>
      <c r="C746">
        <v>221580</v>
      </c>
      <c r="D746" t="s">
        <v>1534</v>
      </c>
      <c r="E746" t="s">
        <v>1535</v>
      </c>
      <c r="F746" t="s">
        <v>1536</v>
      </c>
    </row>
    <row r="747" spans="1:6">
      <c r="A747">
        <v>15</v>
      </c>
      <c r="B747" t="s">
        <v>1709</v>
      </c>
      <c r="C747">
        <v>729797.43</v>
      </c>
      <c r="D747" t="s">
        <v>1537</v>
      </c>
      <c r="E747" t="s">
        <v>1538</v>
      </c>
      <c r="F747" t="s">
        <v>1539</v>
      </c>
    </row>
    <row r="748" spans="1:6">
      <c r="A748">
        <v>15</v>
      </c>
      <c r="B748" t="s">
        <v>1709</v>
      </c>
      <c r="C748">
        <v>1202863.1200000001</v>
      </c>
      <c r="D748" t="s">
        <v>1540</v>
      </c>
      <c r="E748" t="s">
        <v>1538</v>
      </c>
      <c r="F748" t="s">
        <v>1541</v>
      </c>
    </row>
    <row r="749" spans="1:6">
      <c r="A749">
        <v>15</v>
      </c>
      <c r="B749" t="s">
        <v>1709</v>
      </c>
      <c r="C749">
        <v>2653753.4</v>
      </c>
      <c r="D749" t="s">
        <v>1431</v>
      </c>
      <c r="E749" t="s">
        <v>1432</v>
      </c>
      <c r="F749" t="s">
        <v>1433</v>
      </c>
    </row>
    <row r="750" spans="1:6">
      <c r="A750">
        <v>15</v>
      </c>
      <c r="B750" t="s">
        <v>1709</v>
      </c>
      <c r="C750">
        <v>4888615.59</v>
      </c>
      <c r="D750" t="s">
        <v>1434</v>
      </c>
      <c r="E750" t="s">
        <v>1432</v>
      </c>
      <c r="F750" t="s">
        <v>1435</v>
      </c>
    </row>
    <row r="751" spans="1:6">
      <c r="A751">
        <v>15</v>
      </c>
      <c r="B751" t="s">
        <v>1709</v>
      </c>
      <c r="C751">
        <v>15117</v>
      </c>
      <c r="D751" t="s">
        <v>1352</v>
      </c>
      <c r="E751" t="s">
        <v>1353</v>
      </c>
      <c r="F751" t="s">
        <v>1354</v>
      </c>
    </row>
    <row r="752" spans="1:6">
      <c r="A752">
        <v>15</v>
      </c>
      <c r="B752" t="s">
        <v>1709</v>
      </c>
      <c r="C752">
        <v>2383573</v>
      </c>
      <c r="D752" t="s">
        <v>1576</v>
      </c>
      <c r="E752" t="s">
        <v>1577</v>
      </c>
      <c r="F752" t="s">
        <v>1578</v>
      </c>
    </row>
    <row r="753" spans="1:6">
      <c r="A753">
        <v>15</v>
      </c>
      <c r="B753" t="s">
        <v>1709</v>
      </c>
      <c r="C753">
        <v>27597</v>
      </c>
      <c r="D753" t="s">
        <v>1413</v>
      </c>
      <c r="E753" t="s">
        <v>1414</v>
      </c>
      <c r="F753" t="s">
        <v>1578</v>
      </c>
    </row>
    <row r="754" spans="1:6">
      <c r="A754">
        <v>15</v>
      </c>
      <c r="B754" t="s">
        <v>1709</v>
      </c>
      <c r="C754">
        <v>9627644</v>
      </c>
      <c r="D754" t="s">
        <v>1579</v>
      </c>
      <c r="E754" t="s">
        <v>1577</v>
      </c>
      <c r="F754" t="s">
        <v>1580</v>
      </c>
    </row>
    <row r="755" spans="1:6">
      <c r="A755">
        <v>15</v>
      </c>
      <c r="B755" t="s">
        <v>1709</v>
      </c>
      <c r="C755">
        <v>117613</v>
      </c>
      <c r="D755" t="s">
        <v>1355</v>
      </c>
      <c r="E755" t="s">
        <v>1414</v>
      </c>
      <c r="F755" t="s">
        <v>1580</v>
      </c>
    </row>
    <row r="756" spans="1:6">
      <c r="A756">
        <v>15</v>
      </c>
      <c r="B756" t="s">
        <v>1709</v>
      </c>
      <c r="C756">
        <v>452400</v>
      </c>
      <c r="D756" t="s">
        <v>1356</v>
      </c>
      <c r="E756" t="s">
        <v>1357</v>
      </c>
      <c r="F756" t="s">
        <v>1358</v>
      </c>
    </row>
    <row r="757" spans="1:6">
      <c r="A757">
        <v>15</v>
      </c>
      <c r="B757" t="s">
        <v>1709</v>
      </c>
      <c r="C757">
        <v>239978</v>
      </c>
      <c r="D757" t="s">
        <v>1359</v>
      </c>
      <c r="E757" t="s">
        <v>1357</v>
      </c>
      <c r="F757" t="s">
        <v>1360</v>
      </c>
    </row>
    <row r="758" spans="1:6">
      <c r="A758">
        <v>15</v>
      </c>
      <c r="B758" t="s">
        <v>1709</v>
      </c>
      <c r="C758">
        <v>636032</v>
      </c>
      <c r="D758" t="s">
        <v>1436</v>
      </c>
      <c r="E758" t="s">
        <v>1437</v>
      </c>
      <c r="F758" t="s">
        <v>1438</v>
      </c>
    </row>
    <row r="759" spans="1:6">
      <c r="A759">
        <v>15</v>
      </c>
      <c r="B759" t="s">
        <v>1709</v>
      </c>
      <c r="C759">
        <v>50310</v>
      </c>
      <c r="D759" t="s">
        <v>1361</v>
      </c>
      <c r="E759" t="s">
        <v>1440</v>
      </c>
      <c r="F759" t="s">
        <v>1362</v>
      </c>
    </row>
    <row r="760" spans="1:6">
      <c r="A760">
        <v>15</v>
      </c>
      <c r="B760" t="s">
        <v>1709</v>
      </c>
      <c r="C760">
        <v>67090</v>
      </c>
      <c r="D760" t="s">
        <v>1256</v>
      </c>
      <c r="E760" t="s">
        <v>1257</v>
      </c>
      <c r="F760" t="s">
        <v>1258</v>
      </c>
    </row>
    <row r="761" spans="1:6">
      <c r="A761">
        <v>15</v>
      </c>
      <c r="B761" t="s">
        <v>1709</v>
      </c>
      <c r="C761">
        <v>71333</v>
      </c>
      <c r="D761" t="s">
        <v>1259</v>
      </c>
      <c r="E761" t="s">
        <v>1257</v>
      </c>
      <c r="F761" t="s">
        <v>1258</v>
      </c>
    </row>
    <row r="762" spans="1:6">
      <c r="A762">
        <v>15</v>
      </c>
      <c r="B762" t="s">
        <v>1709</v>
      </c>
      <c r="C762">
        <v>65360</v>
      </c>
      <c r="D762" t="s">
        <v>1260</v>
      </c>
      <c r="E762" t="s">
        <v>1257</v>
      </c>
      <c r="F762" t="s">
        <v>1258</v>
      </c>
    </row>
    <row r="763" spans="1:6">
      <c r="A763">
        <v>15</v>
      </c>
      <c r="B763" t="s">
        <v>1709</v>
      </c>
      <c r="C763">
        <v>66839</v>
      </c>
      <c r="D763" t="s">
        <v>1261</v>
      </c>
      <c r="E763" t="s">
        <v>1257</v>
      </c>
      <c r="F763" t="s">
        <v>1258</v>
      </c>
    </row>
    <row r="764" spans="1:6">
      <c r="A764">
        <v>15</v>
      </c>
      <c r="B764" t="s">
        <v>1709</v>
      </c>
      <c r="C764">
        <v>71260</v>
      </c>
      <c r="D764" t="s">
        <v>1262</v>
      </c>
      <c r="E764" t="s">
        <v>1257</v>
      </c>
      <c r="F764" t="s">
        <v>1258</v>
      </c>
    </row>
    <row r="765" spans="1:6">
      <c r="A765">
        <v>15</v>
      </c>
      <c r="B765" t="s">
        <v>1709</v>
      </c>
      <c r="C765">
        <v>25354</v>
      </c>
      <c r="D765" t="s">
        <v>1442</v>
      </c>
      <c r="E765" t="s">
        <v>1582</v>
      </c>
      <c r="F765" t="s">
        <v>1443</v>
      </c>
    </row>
    <row r="766" spans="1:6">
      <c r="A766">
        <v>15</v>
      </c>
      <c r="B766" t="s">
        <v>1709</v>
      </c>
      <c r="C766">
        <v>56275</v>
      </c>
      <c r="D766" t="s">
        <v>1581</v>
      </c>
      <c r="E766" t="s">
        <v>1582</v>
      </c>
      <c r="F766" t="s">
        <v>1583</v>
      </c>
    </row>
    <row r="767" spans="1:6">
      <c r="A767">
        <v>15</v>
      </c>
      <c r="B767" t="s">
        <v>1709</v>
      </c>
      <c r="C767">
        <v>54035</v>
      </c>
      <c r="D767" t="s">
        <v>1263</v>
      </c>
      <c r="E767" t="s">
        <v>1445</v>
      </c>
      <c r="F767" t="s">
        <v>1583</v>
      </c>
    </row>
    <row r="768" spans="1:6">
      <c r="A768">
        <v>15</v>
      </c>
      <c r="B768" t="s">
        <v>1709</v>
      </c>
      <c r="C768">
        <v>205290</v>
      </c>
      <c r="D768" t="s">
        <v>1446</v>
      </c>
      <c r="E768" t="s">
        <v>1447</v>
      </c>
      <c r="F768" t="s">
        <v>1448</v>
      </c>
    </row>
    <row r="769" spans="1:6">
      <c r="A769">
        <v>15</v>
      </c>
      <c r="B769" t="s">
        <v>1709</v>
      </c>
      <c r="C769">
        <v>240610</v>
      </c>
      <c r="D769" t="s">
        <v>1264</v>
      </c>
      <c r="E769" t="s">
        <v>1265</v>
      </c>
      <c r="F769" t="s">
        <v>1448</v>
      </c>
    </row>
    <row r="770" spans="1:6">
      <c r="A770">
        <v>15</v>
      </c>
      <c r="B770" t="s">
        <v>1709</v>
      </c>
      <c r="C770">
        <v>236762</v>
      </c>
      <c r="D770" t="s">
        <v>1266</v>
      </c>
      <c r="E770" t="s">
        <v>1265</v>
      </c>
      <c r="F770" t="s">
        <v>1448</v>
      </c>
    </row>
    <row r="771" spans="1:6">
      <c r="A771">
        <v>15</v>
      </c>
      <c r="B771" t="s">
        <v>1709</v>
      </c>
      <c r="C771">
        <v>575538</v>
      </c>
      <c r="D771" t="s">
        <v>1584</v>
      </c>
      <c r="E771" t="s">
        <v>1585</v>
      </c>
      <c r="F771" t="s">
        <v>1586</v>
      </c>
    </row>
    <row r="772" spans="1:6">
      <c r="A772">
        <v>15</v>
      </c>
      <c r="B772" t="s">
        <v>1709</v>
      </c>
      <c r="C772">
        <v>1839936</v>
      </c>
      <c r="D772" t="s">
        <v>1587</v>
      </c>
      <c r="E772" t="s">
        <v>1585</v>
      </c>
      <c r="F772" t="s">
        <v>1588</v>
      </c>
    </row>
    <row r="773" spans="1:6">
      <c r="A773">
        <v>15</v>
      </c>
      <c r="B773" t="s">
        <v>1709</v>
      </c>
      <c r="C773">
        <v>78500</v>
      </c>
      <c r="D773" t="s">
        <v>1452</v>
      </c>
      <c r="E773" t="s">
        <v>1450</v>
      </c>
      <c r="F773" t="s">
        <v>1453</v>
      </c>
    </row>
    <row r="774" spans="1:6">
      <c r="A774">
        <v>15</v>
      </c>
      <c r="B774" t="s">
        <v>1709</v>
      </c>
      <c r="C774">
        <v>215607</v>
      </c>
      <c r="D774" t="s">
        <v>1267</v>
      </c>
      <c r="E774" t="s">
        <v>1450</v>
      </c>
      <c r="F774" t="s">
        <v>1453</v>
      </c>
    </row>
    <row r="775" spans="1:6">
      <c r="A775">
        <v>15</v>
      </c>
      <c r="B775" t="s">
        <v>1709</v>
      </c>
      <c r="C775">
        <v>127816</v>
      </c>
      <c r="D775" t="s">
        <v>1268</v>
      </c>
      <c r="E775" t="s">
        <v>1450</v>
      </c>
      <c r="F775" t="s">
        <v>1453</v>
      </c>
    </row>
    <row r="776" spans="1:6">
      <c r="A776">
        <v>15</v>
      </c>
      <c r="B776" t="s">
        <v>1709</v>
      </c>
      <c r="C776">
        <v>38137</v>
      </c>
      <c r="D776" t="s">
        <v>1454</v>
      </c>
      <c r="E776" t="s">
        <v>1455</v>
      </c>
      <c r="F776" t="s">
        <v>1456</v>
      </c>
    </row>
    <row r="777" spans="1:6">
      <c r="A777">
        <v>15</v>
      </c>
      <c r="B777" t="s">
        <v>1709</v>
      </c>
      <c r="C777">
        <v>387943</v>
      </c>
      <c r="D777" t="s">
        <v>1457</v>
      </c>
      <c r="E777" t="s">
        <v>1455</v>
      </c>
      <c r="F777" t="s">
        <v>1458</v>
      </c>
    </row>
    <row r="778" spans="1:6">
      <c r="A778">
        <v>15</v>
      </c>
      <c r="B778" t="s">
        <v>1709</v>
      </c>
      <c r="C778">
        <v>77744</v>
      </c>
      <c r="D778" t="s">
        <v>1589</v>
      </c>
      <c r="E778" t="s">
        <v>1590</v>
      </c>
      <c r="F778" t="s">
        <v>1591</v>
      </c>
    </row>
    <row r="779" spans="1:6">
      <c r="A779">
        <v>15</v>
      </c>
      <c r="B779" t="s">
        <v>1709</v>
      </c>
      <c r="C779">
        <v>189334</v>
      </c>
      <c r="D779" t="s">
        <v>1592</v>
      </c>
      <c r="E779" t="s">
        <v>1590</v>
      </c>
      <c r="F779" t="s">
        <v>1593</v>
      </c>
    </row>
    <row r="780" spans="1:6">
      <c r="A780">
        <v>15</v>
      </c>
      <c r="B780" t="s">
        <v>1709</v>
      </c>
      <c r="C780">
        <v>13507</v>
      </c>
      <c r="D780" t="s">
        <v>1594</v>
      </c>
      <c r="E780" t="s">
        <v>1595</v>
      </c>
      <c r="F780" t="s">
        <v>1596</v>
      </c>
    </row>
    <row r="781" spans="1:6">
      <c r="A781">
        <v>15</v>
      </c>
      <c r="B781" t="s">
        <v>1709</v>
      </c>
      <c r="C781">
        <v>44483</v>
      </c>
      <c r="D781" t="s">
        <v>1597</v>
      </c>
      <c r="E781" t="s">
        <v>1595</v>
      </c>
      <c r="F781" t="s">
        <v>1598</v>
      </c>
    </row>
    <row r="782" spans="1:6">
      <c r="A782">
        <v>15</v>
      </c>
      <c r="B782" t="s">
        <v>1709</v>
      </c>
      <c r="C782">
        <v>593613</v>
      </c>
      <c r="D782" t="s">
        <v>1599</v>
      </c>
      <c r="E782" t="s">
        <v>1600</v>
      </c>
      <c r="F782" t="s">
        <v>1601</v>
      </c>
    </row>
    <row r="783" spans="1:6">
      <c r="A783">
        <v>15</v>
      </c>
      <c r="B783" t="s">
        <v>1709</v>
      </c>
      <c r="C783">
        <v>10000</v>
      </c>
      <c r="D783" t="s">
        <v>1269</v>
      </c>
      <c r="E783" t="s">
        <v>1270</v>
      </c>
      <c r="F783" t="s">
        <v>1601</v>
      </c>
    </row>
    <row r="784" spans="1:6">
      <c r="A784">
        <v>15</v>
      </c>
      <c r="B784" t="s">
        <v>1709</v>
      </c>
      <c r="C784">
        <v>4017303</v>
      </c>
      <c r="D784" t="s">
        <v>1602</v>
      </c>
      <c r="E784" t="s">
        <v>1600</v>
      </c>
      <c r="F784" t="s">
        <v>1603</v>
      </c>
    </row>
    <row r="785" spans="1:6">
      <c r="A785">
        <v>15</v>
      </c>
      <c r="B785" t="s">
        <v>1709</v>
      </c>
      <c r="C785">
        <v>146576</v>
      </c>
      <c r="D785" t="s">
        <v>1604</v>
      </c>
      <c r="E785" t="s">
        <v>1605</v>
      </c>
      <c r="F785" t="s">
        <v>1606</v>
      </c>
    </row>
    <row r="786" spans="1:6">
      <c r="A786">
        <v>15</v>
      </c>
      <c r="B786" t="s">
        <v>1709</v>
      </c>
      <c r="C786">
        <v>29652</v>
      </c>
      <c r="D786" t="s">
        <v>1271</v>
      </c>
      <c r="E786" t="s">
        <v>1462</v>
      </c>
      <c r="F786" t="s">
        <v>1272</v>
      </c>
    </row>
    <row r="787" spans="1:6">
      <c r="A787">
        <v>15</v>
      </c>
      <c r="B787" t="s">
        <v>1709</v>
      </c>
      <c r="C787">
        <v>54013</v>
      </c>
      <c r="D787" t="s">
        <v>1464</v>
      </c>
      <c r="E787" t="s">
        <v>1462</v>
      </c>
      <c r="F787" t="s">
        <v>1465</v>
      </c>
    </row>
    <row r="788" spans="1:6">
      <c r="A788">
        <v>15</v>
      </c>
      <c r="B788" t="s">
        <v>1709</v>
      </c>
      <c r="C788">
        <v>49372</v>
      </c>
      <c r="D788" t="s">
        <v>1273</v>
      </c>
      <c r="E788" t="s">
        <v>1274</v>
      </c>
      <c r="F788" t="s">
        <v>1275</v>
      </c>
    </row>
    <row r="789" spans="1:6">
      <c r="A789">
        <v>15</v>
      </c>
      <c r="B789" t="s">
        <v>1709</v>
      </c>
      <c r="C789">
        <v>170070</v>
      </c>
      <c r="D789" t="s">
        <v>1469</v>
      </c>
      <c r="E789" t="s">
        <v>1470</v>
      </c>
      <c r="F789" t="s">
        <v>1471</v>
      </c>
    </row>
    <row r="790" spans="1:6">
      <c r="A790">
        <v>15</v>
      </c>
      <c r="B790" t="s">
        <v>1709</v>
      </c>
      <c r="C790">
        <v>102463.67999999999</v>
      </c>
      <c r="D790" t="s">
        <v>1276</v>
      </c>
      <c r="E790" t="s">
        <v>1277</v>
      </c>
      <c r="F790" t="s">
        <v>1278</v>
      </c>
    </row>
    <row r="791" spans="1:6">
      <c r="A791">
        <v>15</v>
      </c>
      <c r="B791" t="s">
        <v>1709</v>
      </c>
      <c r="C791">
        <v>127071.46</v>
      </c>
      <c r="D791" t="s">
        <v>1379</v>
      </c>
      <c r="E791" t="s">
        <v>1380</v>
      </c>
      <c r="F791" t="s">
        <v>1381</v>
      </c>
    </row>
    <row r="792" spans="1:6">
      <c r="A792">
        <v>15</v>
      </c>
      <c r="B792" t="s">
        <v>1709</v>
      </c>
      <c r="C792">
        <v>837765.54</v>
      </c>
      <c r="D792" t="s">
        <v>1475</v>
      </c>
      <c r="E792" t="s">
        <v>1476</v>
      </c>
      <c r="F792" t="s">
        <v>1477</v>
      </c>
    </row>
    <row r="793" spans="1:6">
      <c r="A793">
        <v>15</v>
      </c>
      <c r="B793" t="s">
        <v>1709</v>
      </c>
      <c r="C793">
        <v>349979.53</v>
      </c>
      <c r="D793" t="s">
        <v>1478</v>
      </c>
      <c r="E793" t="s">
        <v>1479</v>
      </c>
      <c r="F793" t="s">
        <v>1480</v>
      </c>
    </row>
    <row r="794" spans="1:6">
      <c r="A794">
        <v>15</v>
      </c>
      <c r="B794" t="s">
        <v>1709</v>
      </c>
      <c r="C794">
        <v>1054334.8999999999</v>
      </c>
      <c r="D794" t="s">
        <v>1365</v>
      </c>
      <c r="E794" t="s">
        <v>1366</v>
      </c>
      <c r="F794" t="s">
        <v>1367</v>
      </c>
    </row>
    <row r="795" spans="1:6">
      <c r="A795">
        <v>15</v>
      </c>
      <c r="B795" t="s">
        <v>1709</v>
      </c>
      <c r="C795">
        <v>7074771</v>
      </c>
      <c r="D795" t="s">
        <v>1607</v>
      </c>
      <c r="E795" t="s">
        <v>1608</v>
      </c>
      <c r="F795" t="s">
        <v>1609</v>
      </c>
    </row>
    <row r="796" spans="1:6">
      <c r="A796">
        <v>15</v>
      </c>
      <c r="B796" t="s">
        <v>1709</v>
      </c>
      <c r="C796">
        <v>37993735</v>
      </c>
      <c r="D796" t="s">
        <v>1610</v>
      </c>
      <c r="E796" t="s">
        <v>1481</v>
      </c>
      <c r="F796" t="s">
        <v>1482</v>
      </c>
    </row>
    <row r="797" spans="1:6">
      <c r="A797">
        <v>15</v>
      </c>
      <c r="B797" t="s">
        <v>1709</v>
      </c>
      <c r="C797">
        <v>802906</v>
      </c>
      <c r="D797" t="s">
        <v>1418</v>
      </c>
      <c r="E797" t="s">
        <v>1419</v>
      </c>
      <c r="F797" t="s">
        <v>1420</v>
      </c>
    </row>
    <row r="798" spans="1:6">
      <c r="A798">
        <v>16</v>
      </c>
      <c r="B798" t="s">
        <v>1279</v>
      </c>
      <c r="C798">
        <v>106741</v>
      </c>
      <c r="D798" t="s">
        <v>1570</v>
      </c>
      <c r="E798" t="s">
        <v>1571</v>
      </c>
      <c r="F798" t="s">
        <v>1572</v>
      </c>
    </row>
    <row r="799" spans="1:6">
      <c r="A799">
        <v>16</v>
      </c>
      <c r="B799" t="s">
        <v>1279</v>
      </c>
      <c r="C799">
        <v>1492</v>
      </c>
      <c r="D799" t="s">
        <v>1371</v>
      </c>
      <c r="E799" t="s">
        <v>1372</v>
      </c>
      <c r="F799" t="s">
        <v>1373</v>
      </c>
    </row>
    <row r="800" spans="1:6">
      <c r="A800">
        <v>17</v>
      </c>
      <c r="B800" t="s">
        <v>1710</v>
      </c>
      <c r="C800">
        <v>81469</v>
      </c>
      <c r="D800" t="s">
        <v>1486</v>
      </c>
      <c r="E800" t="s">
        <v>1487</v>
      </c>
      <c r="F800" t="s">
        <v>1488</v>
      </c>
    </row>
    <row r="801" spans="1:6">
      <c r="A801">
        <v>17</v>
      </c>
      <c r="B801" t="s">
        <v>1710</v>
      </c>
      <c r="C801">
        <v>38105</v>
      </c>
      <c r="D801" t="s">
        <v>1489</v>
      </c>
      <c r="E801" t="s">
        <v>1490</v>
      </c>
      <c r="F801" t="s">
        <v>1491</v>
      </c>
    </row>
    <row r="802" spans="1:6">
      <c r="A802">
        <v>17</v>
      </c>
      <c r="B802" t="s">
        <v>1710</v>
      </c>
      <c r="C802">
        <v>102250</v>
      </c>
      <c r="D802" t="s">
        <v>1404</v>
      </c>
      <c r="E802" t="s">
        <v>1405</v>
      </c>
      <c r="F802" t="s">
        <v>1406</v>
      </c>
    </row>
    <row r="803" spans="1:6">
      <c r="A803">
        <v>17</v>
      </c>
      <c r="B803" t="s">
        <v>1710</v>
      </c>
      <c r="C803">
        <v>102250</v>
      </c>
      <c r="D803" t="s">
        <v>1317</v>
      </c>
      <c r="E803" t="s">
        <v>1405</v>
      </c>
      <c r="F803" t="s">
        <v>1406</v>
      </c>
    </row>
    <row r="804" spans="1:6">
      <c r="A804">
        <v>17</v>
      </c>
      <c r="B804" t="s">
        <v>1710</v>
      </c>
      <c r="C804">
        <v>839789</v>
      </c>
      <c r="D804" t="s">
        <v>1567</v>
      </c>
      <c r="E804" t="s">
        <v>1568</v>
      </c>
      <c r="F804" t="s">
        <v>1569</v>
      </c>
    </row>
    <row r="805" spans="1:6">
      <c r="A805">
        <v>17</v>
      </c>
      <c r="B805" t="s">
        <v>1710</v>
      </c>
      <c r="C805">
        <v>230153</v>
      </c>
      <c r="D805" t="s">
        <v>1496</v>
      </c>
      <c r="E805" t="s">
        <v>1497</v>
      </c>
      <c r="F805" t="s">
        <v>1498</v>
      </c>
    </row>
    <row r="806" spans="1:6">
      <c r="A806">
        <v>17</v>
      </c>
      <c r="B806" t="s">
        <v>1710</v>
      </c>
      <c r="C806">
        <v>35494122</v>
      </c>
      <c r="D806" t="s">
        <v>1570</v>
      </c>
      <c r="E806" t="s">
        <v>1571</v>
      </c>
      <c r="F806" t="s">
        <v>1572</v>
      </c>
    </row>
    <row r="807" spans="1:6">
      <c r="A807">
        <v>17</v>
      </c>
      <c r="B807" t="s">
        <v>1710</v>
      </c>
      <c r="C807">
        <v>1228358</v>
      </c>
      <c r="D807" t="s">
        <v>1499</v>
      </c>
      <c r="E807" t="s">
        <v>1500</v>
      </c>
      <c r="F807" t="s">
        <v>1501</v>
      </c>
    </row>
    <row r="808" spans="1:6">
      <c r="A808">
        <v>17</v>
      </c>
      <c r="B808" t="s">
        <v>1710</v>
      </c>
      <c r="C808">
        <v>581196</v>
      </c>
      <c r="D808" t="s">
        <v>1502</v>
      </c>
      <c r="E808" t="s">
        <v>1503</v>
      </c>
      <c r="F808" t="s">
        <v>1504</v>
      </c>
    </row>
    <row r="809" spans="1:6">
      <c r="A809">
        <v>17</v>
      </c>
      <c r="B809" t="s">
        <v>1710</v>
      </c>
      <c r="C809">
        <v>155885</v>
      </c>
      <c r="D809" t="s">
        <v>1505</v>
      </c>
      <c r="E809" t="s">
        <v>1506</v>
      </c>
      <c r="F809" t="s">
        <v>1507</v>
      </c>
    </row>
    <row r="810" spans="1:6">
      <c r="A810">
        <v>17</v>
      </c>
      <c r="B810" t="s">
        <v>1710</v>
      </c>
      <c r="C810">
        <v>184421</v>
      </c>
      <c r="D810" t="s">
        <v>1508</v>
      </c>
      <c r="E810" t="s">
        <v>1509</v>
      </c>
      <c r="F810" t="s">
        <v>1510</v>
      </c>
    </row>
    <row r="811" spans="1:6">
      <c r="A811">
        <v>17</v>
      </c>
      <c r="B811" t="s">
        <v>1710</v>
      </c>
      <c r="C811">
        <v>16381</v>
      </c>
      <c r="D811" t="s">
        <v>1330</v>
      </c>
      <c r="E811" t="s">
        <v>1331</v>
      </c>
      <c r="F811" t="s">
        <v>1332</v>
      </c>
    </row>
    <row r="812" spans="1:6">
      <c r="A812">
        <v>17</v>
      </c>
      <c r="B812" t="s">
        <v>1710</v>
      </c>
      <c r="C812">
        <v>120000</v>
      </c>
      <c r="D812" t="s">
        <v>1385</v>
      </c>
      <c r="E812" t="s">
        <v>1383</v>
      </c>
      <c r="F812" t="s">
        <v>1386</v>
      </c>
    </row>
    <row r="813" spans="1:6">
      <c r="A813">
        <v>17</v>
      </c>
      <c r="B813" t="s">
        <v>1710</v>
      </c>
      <c r="C813">
        <v>21000</v>
      </c>
      <c r="D813" t="s">
        <v>1515</v>
      </c>
      <c r="E813" t="s">
        <v>1516</v>
      </c>
      <c r="F813" t="s">
        <v>1517</v>
      </c>
    </row>
    <row r="814" spans="1:6">
      <c r="A814">
        <v>17</v>
      </c>
      <c r="B814" t="s">
        <v>1710</v>
      </c>
      <c r="C814">
        <v>3979</v>
      </c>
      <c r="D814" t="s">
        <v>1518</v>
      </c>
      <c r="E814" t="s">
        <v>1516</v>
      </c>
      <c r="F814" t="s">
        <v>1519</v>
      </c>
    </row>
    <row r="815" spans="1:6">
      <c r="A815">
        <v>17</v>
      </c>
      <c r="B815" t="s">
        <v>1710</v>
      </c>
      <c r="C815">
        <v>1089248</v>
      </c>
      <c r="D815" t="s">
        <v>1520</v>
      </c>
      <c r="E815" t="s">
        <v>1521</v>
      </c>
      <c r="F815" t="s">
        <v>1522</v>
      </c>
    </row>
    <row r="816" spans="1:6">
      <c r="A816">
        <v>17</v>
      </c>
      <c r="B816" t="s">
        <v>1710</v>
      </c>
      <c r="C816">
        <v>616379</v>
      </c>
      <c r="D816" t="s">
        <v>1573</v>
      </c>
      <c r="E816" t="s">
        <v>1574</v>
      </c>
      <c r="F816" t="s">
        <v>1575</v>
      </c>
    </row>
    <row r="817" spans="1:6">
      <c r="A817">
        <v>17</v>
      </c>
      <c r="B817" t="s">
        <v>1710</v>
      </c>
      <c r="C817">
        <v>34123</v>
      </c>
      <c r="D817" t="s">
        <v>1523</v>
      </c>
      <c r="E817" t="s">
        <v>1521</v>
      </c>
      <c r="F817" t="s">
        <v>1524</v>
      </c>
    </row>
    <row r="818" spans="1:6">
      <c r="A818">
        <v>17</v>
      </c>
      <c r="B818" t="s">
        <v>1710</v>
      </c>
      <c r="C818">
        <v>188401</v>
      </c>
      <c r="D818" t="s">
        <v>1525</v>
      </c>
      <c r="E818" t="s">
        <v>1526</v>
      </c>
      <c r="F818" t="s">
        <v>1527</v>
      </c>
    </row>
    <row r="819" spans="1:6">
      <c r="A819">
        <v>17</v>
      </c>
      <c r="B819" t="s">
        <v>1710</v>
      </c>
      <c r="C819">
        <v>49269</v>
      </c>
      <c r="D819" t="s">
        <v>1528</v>
      </c>
      <c r="E819" t="s">
        <v>1529</v>
      </c>
      <c r="F819" t="s">
        <v>1530</v>
      </c>
    </row>
    <row r="820" spans="1:6">
      <c r="A820">
        <v>17</v>
      </c>
      <c r="B820" t="s">
        <v>1710</v>
      </c>
      <c r="C820">
        <v>76541</v>
      </c>
      <c r="D820" t="s">
        <v>1531</v>
      </c>
      <c r="E820" t="s">
        <v>1532</v>
      </c>
      <c r="F820" t="s">
        <v>1533</v>
      </c>
    </row>
    <row r="821" spans="1:6">
      <c r="A821">
        <v>17</v>
      </c>
      <c r="B821" t="s">
        <v>1710</v>
      </c>
      <c r="C821">
        <v>7200</v>
      </c>
      <c r="D821" t="s">
        <v>1387</v>
      </c>
      <c r="E821" t="s">
        <v>1388</v>
      </c>
      <c r="F821" t="s">
        <v>1389</v>
      </c>
    </row>
    <row r="822" spans="1:6">
      <c r="A822">
        <v>17</v>
      </c>
      <c r="B822" t="s">
        <v>1710</v>
      </c>
      <c r="C822">
        <v>71904</v>
      </c>
      <c r="D822" t="s">
        <v>1534</v>
      </c>
      <c r="E822" t="s">
        <v>1535</v>
      </c>
      <c r="F822" t="s">
        <v>1536</v>
      </c>
    </row>
    <row r="823" spans="1:6">
      <c r="A823">
        <v>17</v>
      </c>
      <c r="B823" t="s">
        <v>1710</v>
      </c>
      <c r="C823">
        <v>2110.15</v>
      </c>
      <c r="D823" t="s">
        <v>1374</v>
      </c>
      <c r="E823" t="s">
        <v>1375</v>
      </c>
      <c r="F823" t="s">
        <v>1376</v>
      </c>
    </row>
    <row r="824" spans="1:6">
      <c r="A824">
        <v>17</v>
      </c>
      <c r="B824" t="s">
        <v>1710</v>
      </c>
      <c r="C824">
        <v>6027.79</v>
      </c>
      <c r="D824" t="s">
        <v>1377</v>
      </c>
      <c r="E824" t="s">
        <v>1375</v>
      </c>
      <c r="F824" t="s">
        <v>1378</v>
      </c>
    </row>
    <row r="825" spans="1:6">
      <c r="A825">
        <v>17</v>
      </c>
      <c r="B825" t="s">
        <v>1710</v>
      </c>
      <c r="C825">
        <v>28991.13</v>
      </c>
      <c r="D825" t="s">
        <v>1537</v>
      </c>
      <c r="E825" t="s">
        <v>1538</v>
      </c>
      <c r="F825" t="s">
        <v>1539</v>
      </c>
    </row>
    <row r="826" spans="1:6">
      <c r="A826">
        <v>17</v>
      </c>
      <c r="B826" t="s">
        <v>1710</v>
      </c>
      <c r="C826">
        <v>67642.509999999995</v>
      </c>
      <c r="D826" t="s">
        <v>1540</v>
      </c>
      <c r="E826" t="s">
        <v>1538</v>
      </c>
      <c r="F826" t="s">
        <v>1541</v>
      </c>
    </row>
    <row r="827" spans="1:6">
      <c r="A827">
        <v>17</v>
      </c>
      <c r="B827" t="s">
        <v>1710</v>
      </c>
      <c r="C827">
        <v>271590.03999999998</v>
      </c>
      <c r="D827" t="s">
        <v>1431</v>
      </c>
      <c r="E827" t="s">
        <v>1432</v>
      </c>
      <c r="F827" t="s">
        <v>1433</v>
      </c>
    </row>
    <row r="828" spans="1:6">
      <c r="A828">
        <v>17</v>
      </c>
      <c r="B828" t="s">
        <v>1710</v>
      </c>
      <c r="C828">
        <v>644245.59</v>
      </c>
      <c r="D828" t="s">
        <v>1434</v>
      </c>
      <c r="E828" t="s">
        <v>1432</v>
      </c>
      <c r="F828" t="s">
        <v>1435</v>
      </c>
    </row>
    <row r="829" spans="1:6">
      <c r="A829">
        <v>17</v>
      </c>
      <c r="B829" t="s">
        <v>1710</v>
      </c>
      <c r="C829">
        <v>182068</v>
      </c>
      <c r="D829" t="s">
        <v>1576</v>
      </c>
      <c r="E829" t="s">
        <v>1577</v>
      </c>
      <c r="F829" t="s">
        <v>1578</v>
      </c>
    </row>
    <row r="830" spans="1:6">
      <c r="A830">
        <v>17</v>
      </c>
      <c r="B830" t="s">
        <v>1710</v>
      </c>
      <c r="C830">
        <v>800000</v>
      </c>
      <c r="D830" t="s">
        <v>1579</v>
      </c>
      <c r="E830" t="s">
        <v>1577</v>
      </c>
      <c r="F830" t="s">
        <v>1580</v>
      </c>
    </row>
    <row r="831" spans="1:6">
      <c r="A831">
        <v>17</v>
      </c>
      <c r="B831" t="s">
        <v>1710</v>
      </c>
      <c r="C831">
        <v>107560</v>
      </c>
      <c r="D831" t="s">
        <v>1436</v>
      </c>
      <c r="E831" t="s">
        <v>1437</v>
      </c>
      <c r="F831" t="s">
        <v>1438</v>
      </c>
    </row>
    <row r="832" spans="1:6">
      <c r="A832">
        <v>17</v>
      </c>
      <c r="B832" t="s">
        <v>1710</v>
      </c>
      <c r="C832">
        <v>20310</v>
      </c>
      <c r="D832" t="s">
        <v>1280</v>
      </c>
      <c r="E832" t="s">
        <v>1440</v>
      </c>
      <c r="F832" t="s">
        <v>1441</v>
      </c>
    </row>
    <row r="833" spans="1:6">
      <c r="A833">
        <v>17</v>
      </c>
      <c r="B833" t="s">
        <v>1710</v>
      </c>
      <c r="C833">
        <v>3000</v>
      </c>
      <c r="D833" t="s">
        <v>1581</v>
      </c>
      <c r="E833" t="s">
        <v>1582</v>
      </c>
      <c r="F833" t="s">
        <v>1583</v>
      </c>
    </row>
    <row r="834" spans="1:6">
      <c r="A834">
        <v>17</v>
      </c>
      <c r="B834" t="s">
        <v>1710</v>
      </c>
      <c r="C834">
        <v>200000</v>
      </c>
      <c r="D834" t="s">
        <v>1587</v>
      </c>
      <c r="E834" t="s">
        <v>1585</v>
      </c>
      <c r="F834" t="s">
        <v>1588</v>
      </c>
    </row>
    <row r="835" spans="1:6">
      <c r="A835">
        <v>17</v>
      </c>
      <c r="B835" t="s">
        <v>1710</v>
      </c>
      <c r="C835">
        <v>280053</v>
      </c>
      <c r="D835" t="s">
        <v>1452</v>
      </c>
      <c r="E835" t="s">
        <v>1450</v>
      </c>
      <c r="F835" t="s">
        <v>1453</v>
      </c>
    </row>
    <row r="836" spans="1:6">
      <c r="A836">
        <v>17</v>
      </c>
      <c r="B836" t="s">
        <v>1710</v>
      </c>
      <c r="C836">
        <v>10039</v>
      </c>
      <c r="D836" t="s">
        <v>1454</v>
      </c>
      <c r="E836" t="s">
        <v>1455</v>
      </c>
      <c r="F836" t="s">
        <v>1456</v>
      </c>
    </row>
    <row r="837" spans="1:6">
      <c r="A837">
        <v>17</v>
      </c>
      <c r="B837" t="s">
        <v>1710</v>
      </c>
      <c r="C837">
        <v>15000</v>
      </c>
      <c r="D837" t="s">
        <v>1457</v>
      </c>
      <c r="E837" t="s">
        <v>1455</v>
      </c>
      <c r="F837" t="s">
        <v>1458</v>
      </c>
    </row>
    <row r="838" spans="1:6">
      <c r="A838">
        <v>17</v>
      </c>
      <c r="B838" t="s">
        <v>1710</v>
      </c>
      <c r="C838">
        <v>13674</v>
      </c>
      <c r="D838" t="s">
        <v>1589</v>
      </c>
      <c r="E838" t="s">
        <v>1590</v>
      </c>
      <c r="F838" t="s">
        <v>1591</v>
      </c>
    </row>
    <row r="839" spans="1:6">
      <c r="A839">
        <v>17</v>
      </c>
      <c r="B839" t="s">
        <v>1710</v>
      </c>
      <c r="C839">
        <v>25000</v>
      </c>
      <c r="D839" t="s">
        <v>1592</v>
      </c>
      <c r="E839" t="s">
        <v>1590</v>
      </c>
      <c r="F839" t="s">
        <v>1593</v>
      </c>
    </row>
    <row r="840" spans="1:6">
      <c r="A840">
        <v>17</v>
      </c>
      <c r="B840" t="s">
        <v>1710</v>
      </c>
      <c r="C840">
        <v>18604</v>
      </c>
      <c r="D840" t="s">
        <v>1597</v>
      </c>
      <c r="E840" t="s">
        <v>1595</v>
      </c>
      <c r="F840" t="s">
        <v>1598</v>
      </c>
    </row>
    <row r="841" spans="1:6">
      <c r="A841">
        <v>17</v>
      </c>
      <c r="B841" t="s">
        <v>1710</v>
      </c>
      <c r="C841">
        <v>546260</v>
      </c>
      <c r="D841" t="s">
        <v>1599</v>
      </c>
      <c r="E841" t="s">
        <v>1600</v>
      </c>
      <c r="F841" t="s">
        <v>1601</v>
      </c>
    </row>
    <row r="842" spans="1:6">
      <c r="A842">
        <v>17</v>
      </c>
      <c r="B842" t="s">
        <v>1710</v>
      </c>
      <c r="C842">
        <v>1150000</v>
      </c>
      <c r="D842" t="s">
        <v>1602</v>
      </c>
      <c r="E842" t="s">
        <v>1600</v>
      </c>
      <c r="F842" t="s">
        <v>1603</v>
      </c>
    </row>
    <row r="843" spans="1:6">
      <c r="A843">
        <v>17</v>
      </c>
      <c r="B843" t="s">
        <v>1710</v>
      </c>
      <c r="C843">
        <v>13447</v>
      </c>
      <c r="D843" t="s">
        <v>1459</v>
      </c>
      <c r="E843" t="s">
        <v>1605</v>
      </c>
      <c r="F843" t="s">
        <v>1460</v>
      </c>
    </row>
    <row r="844" spans="1:6">
      <c r="A844">
        <v>17</v>
      </c>
      <c r="B844" t="s">
        <v>1710</v>
      </c>
      <c r="C844">
        <v>60000</v>
      </c>
      <c r="D844" t="s">
        <v>1604</v>
      </c>
      <c r="E844" t="s">
        <v>1605</v>
      </c>
      <c r="F844" t="s">
        <v>1606</v>
      </c>
    </row>
    <row r="845" spans="1:6">
      <c r="A845">
        <v>17</v>
      </c>
      <c r="B845" t="s">
        <v>1710</v>
      </c>
      <c r="C845">
        <v>31559</v>
      </c>
      <c r="D845" t="s">
        <v>1469</v>
      </c>
      <c r="E845" t="s">
        <v>1470</v>
      </c>
      <c r="F845" t="s">
        <v>1471</v>
      </c>
    </row>
    <row r="846" spans="1:6">
      <c r="A846">
        <v>17</v>
      </c>
      <c r="B846" t="s">
        <v>1710</v>
      </c>
      <c r="C846">
        <v>75000</v>
      </c>
      <c r="D846" t="s">
        <v>1281</v>
      </c>
      <c r="E846" t="s">
        <v>1470</v>
      </c>
      <c r="F846" t="s">
        <v>1471</v>
      </c>
    </row>
    <row r="847" spans="1:6">
      <c r="A847">
        <v>17</v>
      </c>
      <c r="B847" t="s">
        <v>1710</v>
      </c>
      <c r="C847">
        <v>47248.37</v>
      </c>
      <c r="D847" t="s">
        <v>1475</v>
      </c>
      <c r="E847" t="s">
        <v>1476</v>
      </c>
      <c r="F847" t="s">
        <v>1477</v>
      </c>
    </row>
    <row r="848" spans="1:6">
      <c r="A848">
        <v>17</v>
      </c>
      <c r="B848" t="s">
        <v>1710</v>
      </c>
      <c r="C848">
        <v>870123.59</v>
      </c>
      <c r="D848" t="s">
        <v>1365</v>
      </c>
      <c r="E848" t="s">
        <v>1366</v>
      </c>
      <c r="F848" t="s">
        <v>1367</v>
      </c>
    </row>
    <row r="849" spans="1:6">
      <c r="A849">
        <v>17</v>
      </c>
      <c r="B849" t="s">
        <v>1710</v>
      </c>
      <c r="C849">
        <v>4114914</v>
      </c>
      <c r="D849" t="s">
        <v>1607</v>
      </c>
      <c r="E849" t="s">
        <v>1608</v>
      </c>
      <c r="F849" t="s">
        <v>1609</v>
      </c>
    </row>
    <row r="850" spans="1:6">
      <c r="A850">
        <v>17</v>
      </c>
      <c r="B850" t="s">
        <v>1710</v>
      </c>
      <c r="C850">
        <v>7749430</v>
      </c>
      <c r="D850" t="s">
        <v>1610</v>
      </c>
      <c r="E850" t="s">
        <v>1481</v>
      </c>
      <c r="F850" t="s">
        <v>1482</v>
      </c>
    </row>
    <row r="851" spans="1:6">
      <c r="A851">
        <v>18</v>
      </c>
      <c r="B851" t="s">
        <v>1711</v>
      </c>
      <c r="C851">
        <v>12410</v>
      </c>
      <c r="D851" t="s">
        <v>1486</v>
      </c>
      <c r="E851" t="s">
        <v>1487</v>
      </c>
      <c r="F851" t="s">
        <v>1488</v>
      </c>
    </row>
    <row r="852" spans="1:6">
      <c r="A852">
        <v>18</v>
      </c>
      <c r="B852" t="s">
        <v>1711</v>
      </c>
      <c r="C852">
        <v>8292</v>
      </c>
      <c r="D852" t="s">
        <v>1489</v>
      </c>
      <c r="E852" t="s">
        <v>1490</v>
      </c>
      <c r="F852" t="s">
        <v>1491</v>
      </c>
    </row>
    <row r="853" spans="1:6">
      <c r="A853">
        <v>18</v>
      </c>
      <c r="B853" t="s">
        <v>1711</v>
      </c>
      <c r="C853">
        <v>38361</v>
      </c>
      <c r="D853" t="s">
        <v>1567</v>
      </c>
      <c r="E853" t="s">
        <v>1568</v>
      </c>
      <c r="F853" t="s">
        <v>1569</v>
      </c>
    </row>
    <row r="854" spans="1:6">
      <c r="A854">
        <v>18</v>
      </c>
      <c r="B854" t="s">
        <v>1711</v>
      </c>
      <c r="C854">
        <v>13961</v>
      </c>
      <c r="D854" t="s">
        <v>1496</v>
      </c>
      <c r="E854" t="s">
        <v>1497</v>
      </c>
      <c r="F854" t="s">
        <v>1498</v>
      </c>
    </row>
    <row r="855" spans="1:6">
      <c r="A855">
        <v>18</v>
      </c>
      <c r="B855" t="s">
        <v>1711</v>
      </c>
      <c r="C855">
        <v>1211588</v>
      </c>
      <c r="D855" t="s">
        <v>1570</v>
      </c>
      <c r="E855" t="s">
        <v>1571</v>
      </c>
      <c r="F855" t="s">
        <v>1572</v>
      </c>
    </row>
    <row r="856" spans="1:6">
      <c r="A856">
        <v>18</v>
      </c>
      <c r="B856" t="s">
        <v>1711</v>
      </c>
      <c r="C856">
        <v>5489</v>
      </c>
      <c r="D856" t="s">
        <v>1520</v>
      </c>
      <c r="E856" t="s">
        <v>1521</v>
      </c>
      <c r="F856" t="s">
        <v>1522</v>
      </c>
    </row>
    <row r="857" spans="1:6">
      <c r="A857">
        <v>18</v>
      </c>
      <c r="B857" t="s">
        <v>1711</v>
      </c>
      <c r="C857">
        <v>223194</v>
      </c>
      <c r="D857" t="s">
        <v>1573</v>
      </c>
      <c r="E857" t="s">
        <v>1574</v>
      </c>
      <c r="F857" t="s">
        <v>1575</v>
      </c>
    </row>
    <row r="858" spans="1:6">
      <c r="A858">
        <v>18</v>
      </c>
      <c r="B858" t="s">
        <v>1711</v>
      </c>
      <c r="C858">
        <v>3716</v>
      </c>
      <c r="D858" t="s">
        <v>1525</v>
      </c>
      <c r="E858" t="s">
        <v>1526</v>
      </c>
      <c r="F858" t="s">
        <v>1527</v>
      </c>
    </row>
    <row r="859" spans="1:6">
      <c r="A859">
        <v>18</v>
      </c>
      <c r="B859" t="s">
        <v>1711</v>
      </c>
      <c r="C859">
        <v>41600</v>
      </c>
      <c r="D859" t="s">
        <v>1387</v>
      </c>
      <c r="E859" t="s">
        <v>1388</v>
      </c>
      <c r="F859" t="s">
        <v>1389</v>
      </c>
    </row>
    <row r="860" spans="1:6">
      <c r="A860">
        <v>18</v>
      </c>
      <c r="B860" t="s">
        <v>1711</v>
      </c>
      <c r="C860">
        <v>18538.22</v>
      </c>
      <c r="D860" t="s">
        <v>1431</v>
      </c>
      <c r="E860" t="s">
        <v>1432</v>
      </c>
      <c r="F860" t="s">
        <v>1433</v>
      </c>
    </row>
    <row r="861" spans="1:6">
      <c r="A861">
        <v>18</v>
      </c>
      <c r="B861" t="s">
        <v>1711</v>
      </c>
      <c r="C861">
        <v>45128</v>
      </c>
      <c r="D861" t="s">
        <v>1434</v>
      </c>
      <c r="E861" t="s">
        <v>1432</v>
      </c>
      <c r="F861" t="s">
        <v>1435</v>
      </c>
    </row>
    <row r="862" spans="1:6">
      <c r="A862">
        <v>18</v>
      </c>
      <c r="B862" t="s">
        <v>1711</v>
      </c>
      <c r="C862">
        <v>60147</v>
      </c>
      <c r="D862" t="s">
        <v>1576</v>
      </c>
      <c r="E862" t="s">
        <v>1577</v>
      </c>
      <c r="F862" t="s">
        <v>1578</v>
      </c>
    </row>
    <row r="863" spans="1:6">
      <c r="A863">
        <v>18</v>
      </c>
      <c r="B863" t="s">
        <v>1711</v>
      </c>
      <c r="C863">
        <v>59388</v>
      </c>
      <c r="D863" t="s">
        <v>1579</v>
      </c>
      <c r="E863" t="s">
        <v>1577</v>
      </c>
      <c r="F863" t="s">
        <v>1580</v>
      </c>
    </row>
    <row r="864" spans="1:6">
      <c r="A864">
        <v>18</v>
      </c>
      <c r="B864" t="s">
        <v>1711</v>
      </c>
      <c r="C864">
        <v>1997</v>
      </c>
      <c r="D864" t="s">
        <v>1282</v>
      </c>
      <c r="E864" t="s">
        <v>1437</v>
      </c>
      <c r="F864" t="s">
        <v>1283</v>
      </c>
    </row>
    <row r="865" spans="1:6">
      <c r="A865">
        <v>18</v>
      </c>
      <c r="B865" t="s">
        <v>1711</v>
      </c>
      <c r="C865">
        <v>1301</v>
      </c>
      <c r="D865" t="s">
        <v>1436</v>
      </c>
      <c r="E865" t="s">
        <v>1437</v>
      </c>
      <c r="F865" t="s">
        <v>1438</v>
      </c>
    </row>
    <row r="866" spans="1:6">
      <c r="A866">
        <v>18</v>
      </c>
      <c r="B866" t="s">
        <v>1711</v>
      </c>
      <c r="C866">
        <v>201</v>
      </c>
      <c r="D866" t="s">
        <v>1442</v>
      </c>
      <c r="E866" t="s">
        <v>1582</v>
      </c>
      <c r="F866" t="s">
        <v>1443</v>
      </c>
    </row>
    <row r="867" spans="1:6">
      <c r="A867">
        <v>18</v>
      </c>
      <c r="B867" t="s">
        <v>1711</v>
      </c>
      <c r="C867">
        <v>129</v>
      </c>
      <c r="D867" t="s">
        <v>1581</v>
      </c>
      <c r="E867" t="s">
        <v>1582</v>
      </c>
      <c r="F867" t="s">
        <v>1583</v>
      </c>
    </row>
    <row r="868" spans="1:6">
      <c r="A868">
        <v>18</v>
      </c>
      <c r="B868" t="s">
        <v>1711</v>
      </c>
      <c r="C868">
        <v>52998</v>
      </c>
      <c r="D868" t="s">
        <v>1584</v>
      </c>
      <c r="E868" t="s">
        <v>1585</v>
      </c>
      <c r="F868" t="s">
        <v>1586</v>
      </c>
    </row>
    <row r="869" spans="1:6">
      <c r="A869">
        <v>18</v>
      </c>
      <c r="B869" t="s">
        <v>1711</v>
      </c>
      <c r="C869">
        <v>9338</v>
      </c>
      <c r="D869" t="s">
        <v>1587</v>
      </c>
      <c r="E869" t="s">
        <v>1585</v>
      </c>
      <c r="F869" t="s">
        <v>1588</v>
      </c>
    </row>
    <row r="870" spans="1:6">
      <c r="A870">
        <v>18</v>
      </c>
      <c r="B870" t="s">
        <v>1711</v>
      </c>
      <c r="C870">
        <v>8270</v>
      </c>
      <c r="D870" t="s">
        <v>1284</v>
      </c>
      <c r="E870" t="s">
        <v>1590</v>
      </c>
      <c r="F870" t="s">
        <v>1285</v>
      </c>
    </row>
    <row r="871" spans="1:6">
      <c r="A871">
        <v>18</v>
      </c>
      <c r="B871" t="s">
        <v>1711</v>
      </c>
      <c r="C871">
        <v>8656</v>
      </c>
      <c r="D871" t="s">
        <v>1589</v>
      </c>
      <c r="E871" t="s">
        <v>1590</v>
      </c>
      <c r="F871" t="s">
        <v>1591</v>
      </c>
    </row>
    <row r="872" spans="1:6">
      <c r="A872">
        <v>18</v>
      </c>
      <c r="B872" t="s">
        <v>1711</v>
      </c>
      <c r="C872">
        <v>5119</v>
      </c>
      <c r="D872" t="s">
        <v>1594</v>
      </c>
      <c r="E872" t="s">
        <v>1595</v>
      </c>
      <c r="F872" t="s">
        <v>1596</v>
      </c>
    </row>
    <row r="873" spans="1:6">
      <c r="A873">
        <v>18</v>
      </c>
      <c r="B873" t="s">
        <v>1711</v>
      </c>
      <c r="C873">
        <v>253022</v>
      </c>
      <c r="D873" t="s">
        <v>1599</v>
      </c>
      <c r="E873" t="s">
        <v>1600</v>
      </c>
      <c r="F873" t="s">
        <v>1601</v>
      </c>
    </row>
    <row r="874" spans="1:6">
      <c r="A874">
        <v>18</v>
      </c>
      <c r="B874" t="s">
        <v>1711</v>
      </c>
      <c r="C874">
        <v>366627</v>
      </c>
      <c r="D874" t="s">
        <v>1602</v>
      </c>
      <c r="E874" t="s">
        <v>1600</v>
      </c>
      <c r="F874" t="s">
        <v>1603</v>
      </c>
    </row>
    <row r="875" spans="1:6">
      <c r="A875">
        <v>18</v>
      </c>
      <c r="B875" t="s">
        <v>1711</v>
      </c>
      <c r="C875">
        <v>19687</v>
      </c>
      <c r="D875" t="s">
        <v>1459</v>
      </c>
      <c r="E875" t="s">
        <v>1605</v>
      </c>
      <c r="F875" t="s">
        <v>1460</v>
      </c>
    </row>
    <row r="876" spans="1:6">
      <c r="A876">
        <v>18</v>
      </c>
      <c r="B876" t="s">
        <v>1711</v>
      </c>
      <c r="C876">
        <v>2491</v>
      </c>
      <c r="D876" t="s">
        <v>1604</v>
      </c>
      <c r="E876" t="s">
        <v>1605</v>
      </c>
      <c r="F876" t="s">
        <v>1606</v>
      </c>
    </row>
    <row r="877" spans="1:6">
      <c r="A877">
        <v>18</v>
      </c>
      <c r="B877" t="s">
        <v>1711</v>
      </c>
      <c r="C877">
        <v>82356.7</v>
      </c>
      <c r="D877" t="s">
        <v>1475</v>
      </c>
      <c r="E877" t="s">
        <v>1476</v>
      </c>
      <c r="F877" t="s">
        <v>1477</v>
      </c>
    </row>
    <row r="878" spans="1:6">
      <c r="A878">
        <v>18</v>
      </c>
      <c r="B878" t="s">
        <v>1711</v>
      </c>
      <c r="C878">
        <v>63583.199999999997</v>
      </c>
      <c r="D878" t="s">
        <v>1478</v>
      </c>
      <c r="E878" t="s">
        <v>1479</v>
      </c>
      <c r="F878" t="s">
        <v>1480</v>
      </c>
    </row>
    <row r="879" spans="1:6">
      <c r="A879">
        <v>18</v>
      </c>
      <c r="B879" t="s">
        <v>1711</v>
      </c>
      <c r="C879">
        <v>178827.36</v>
      </c>
      <c r="D879" t="s">
        <v>1365</v>
      </c>
      <c r="E879" t="s">
        <v>1366</v>
      </c>
      <c r="F879" t="s">
        <v>1367</v>
      </c>
    </row>
    <row r="880" spans="1:6">
      <c r="A880">
        <v>18</v>
      </c>
      <c r="B880" t="s">
        <v>1711</v>
      </c>
      <c r="C880">
        <v>4160369</v>
      </c>
      <c r="D880" t="s">
        <v>1610</v>
      </c>
      <c r="E880" t="s">
        <v>1481</v>
      </c>
      <c r="F880" t="s">
        <v>1482</v>
      </c>
    </row>
    <row r="881" spans="1:6">
      <c r="A881">
        <v>19</v>
      </c>
      <c r="B881" t="s">
        <v>1712</v>
      </c>
      <c r="C881">
        <v>9261</v>
      </c>
      <c r="D881" t="s">
        <v>1486</v>
      </c>
      <c r="E881" t="s">
        <v>1487</v>
      </c>
      <c r="F881" t="s">
        <v>1488</v>
      </c>
    </row>
    <row r="882" spans="1:6">
      <c r="A882">
        <v>19</v>
      </c>
      <c r="B882" t="s">
        <v>1712</v>
      </c>
      <c r="C882">
        <v>4332</v>
      </c>
      <c r="D882" t="s">
        <v>1489</v>
      </c>
      <c r="E882" t="s">
        <v>1490</v>
      </c>
      <c r="F882" t="s">
        <v>1491</v>
      </c>
    </row>
    <row r="883" spans="1:6">
      <c r="A883">
        <v>19</v>
      </c>
      <c r="B883" t="s">
        <v>1712</v>
      </c>
      <c r="C883">
        <v>290818</v>
      </c>
      <c r="D883" t="s">
        <v>1567</v>
      </c>
      <c r="E883" t="s">
        <v>1568</v>
      </c>
      <c r="F883" t="s">
        <v>1569</v>
      </c>
    </row>
    <row r="884" spans="1:6">
      <c r="A884">
        <v>19</v>
      </c>
      <c r="B884" t="s">
        <v>1712</v>
      </c>
      <c r="C884">
        <v>6011496</v>
      </c>
      <c r="D884" t="s">
        <v>1570</v>
      </c>
      <c r="E884" t="s">
        <v>1571</v>
      </c>
      <c r="F884" t="s">
        <v>1572</v>
      </c>
    </row>
    <row r="885" spans="1:6">
      <c r="A885">
        <v>19</v>
      </c>
      <c r="B885" t="s">
        <v>1712</v>
      </c>
      <c r="C885">
        <v>67534</v>
      </c>
      <c r="D885" t="s">
        <v>1520</v>
      </c>
      <c r="E885" t="s">
        <v>1521</v>
      </c>
      <c r="F885" t="s">
        <v>1522</v>
      </c>
    </row>
    <row r="886" spans="1:6">
      <c r="A886">
        <v>19</v>
      </c>
      <c r="B886" t="s">
        <v>1712</v>
      </c>
      <c r="C886">
        <v>48312</v>
      </c>
      <c r="D886" t="s">
        <v>1573</v>
      </c>
      <c r="E886" t="s">
        <v>1574</v>
      </c>
      <c r="F886" t="s">
        <v>1575</v>
      </c>
    </row>
    <row r="887" spans="1:6">
      <c r="A887">
        <v>19</v>
      </c>
      <c r="B887" t="s">
        <v>1712</v>
      </c>
      <c r="C887">
        <v>65000</v>
      </c>
      <c r="D887" t="s">
        <v>1534</v>
      </c>
      <c r="E887" t="s">
        <v>1535</v>
      </c>
      <c r="F887" t="s">
        <v>1536</v>
      </c>
    </row>
    <row r="888" spans="1:6">
      <c r="A888">
        <v>19</v>
      </c>
      <c r="B888" t="s">
        <v>1712</v>
      </c>
      <c r="C888">
        <v>4279.71</v>
      </c>
      <c r="D888" t="s">
        <v>1537</v>
      </c>
      <c r="E888" t="s">
        <v>1538</v>
      </c>
      <c r="F888" t="s">
        <v>1539</v>
      </c>
    </row>
    <row r="889" spans="1:6">
      <c r="A889">
        <v>19</v>
      </c>
      <c r="B889" t="s">
        <v>1712</v>
      </c>
      <c r="C889">
        <v>9889.14</v>
      </c>
      <c r="D889" t="s">
        <v>1540</v>
      </c>
      <c r="E889" t="s">
        <v>1538</v>
      </c>
      <c r="F889" t="s">
        <v>1541</v>
      </c>
    </row>
    <row r="890" spans="1:6">
      <c r="A890">
        <v>19</v>
      </c>
      <c r="B890" t="s">
        <v>1712</v>
      </c>
      <c r="C890">
        <v>21482.16</v>
      </c>
      <c r="D890" t="s">
        <v>1431</v>
      </c>
      <c r="E890" t="s">
        <v>1432</v>
      </c>
      <c r="F890" t="s">
        <v>1433</v>
      </c>
    </row>
    <row r="891" spans="1:6">
      <c r="A891">
        <v>19</v>
      </c>
      <c r="B891" t="s">
        <v>1712</v>
      </c>
      <c r="C891">
        <v>49758.28</v>
      </c>
      <c r="D891" t="s">
        <v>1434</v>
      </c>
      <c r="E891" t="s">
        <v>1432</v>
      </c>
      <c r="F891" t="s">
        <v>1435</v>
      </c>
    </row>
    <row r="892" spans="1:6">
      <c r="A892">
        <v>19</v>
      </c>
      <c r="B892" t="s">
        <v>1712</v>
      </c>
      <c r="C892">
        <v>16668</v>
      </c>
      <c r="D892" t="s">
        <v>1576</v>
      </c>
      <c r="E892" t="s">
        <v>1577</v>
      </c>
      <c r="F892" t="s">
        <v>1578</v>
      </c>
    </row>
    <row r="893" spans="1:6">
      <c r="A893">
        <v>19</v>
      </c>
      <c r="B893" t="s">
        <v>1712</v>
      </c>
      <c r="C893">
        <v>199544</v>
      </c>
      <c r="D893" t="s">
        <v>1579</v>
      </c>
      <c r="E893" t="s">
        <v>1577</v>
      </c>
      <c r="F893" t="s">
        <v>1580</v>
      </c>
    </row>
    <row r="894" spans="1:6">
      <c r="A894">
        <v>19</v>
      </c>
      <c r="B894" t="s">
        <v>1712</v>
      </c>
      <c r="C894">
        <v>1604</v>
      </c>
      <c r="D894" t="s">
        <v>1581</v>
      </c>
      <c r="E894" t="s">
        <v>1582</v>
      </c>
      <c r="F894" t="s">
        <v>1583</v>
      </c>
    </row>
    <row r="895" spans="1:6">
      <c r="A895">
        <v>19</v>
      </c>
      <c r="B895" t="s">
        <v>1712</v>
      </c>
      <c r="C895">
        <v>47099</v>
      </c>
      <c r="D895" t="s">
        <v>1587</v>
      </c>
      <c r="E895" t="s">
        <v>1585</v>
      </c>
      <c r="F895" t="s">
        <v>1588</v>
      </c>
    </row>
    <row r="896" spans="1:6">
      <c r="A896">
        <v>19</v>
      </c>
      <c r="B896" t="s">
        <v>1712</v>
      </c>
      <c r="C896">
        <v>5436</v>
      </c>
      <c r="D896" t="s">
        <v>1592</v>
      </c>
      <c r="E896" t="s">
        <v>1590</v>
      </c>
      <c r="F896" t="s">
        <v>1593</v>
      </c>
    </row>
    <row r="897" spans="1:6">
      <c r="A897">
        <v>19</v>
      </c>
      <c r="B897" t="s">
        <v>1712</v>
      </c>
      <c r="C897">
        <v>1650</v>
      </c>
      <c r="D897" t="s">
        <v>1597</v>
      </c>
      <c r="E897" t="s">
        <v>1595</v>
      </c>
      <c r="F897" t="s">
        <v>1598</v>
      </c>
    </row>
    <row r="898" spans="1:6">
      <c r="A898">
        <v>19</v>
      </c>
      <c r="B898" t="s">
        <v>1712</v>
      </c>
      <c r="C898">
        <v>211447</v>
      </c>
      <c r="D898" t="s">
        <v>1602</v>
      </c>
      <c r="E898" t="s">
        <v>1600</v>
      </c>
      <c r="F898" t="s">
        <v>1603</v>
      </c>
    </row>
    <row r="899" spans="1:6">
      <c r="A899">
        <v>19</v>
      </c>
      <c r="B899" t="s">
        <v>1712</v>
      </c>
      <c r="C899">
        <v>10993</v>
      </c>
      <c r="D899" t="s">
        <v>1604</v>
      </c>
      <c r="E899" t="s">
        <v>1605</v>
      </c>
      <c r="F899" t="s">
        <v>1606</v>
      </c>
    </row>
    <row r="900" spans="1:6">
      <c r="A900">
        <v>19</v>
      </c>
      <c r="B900" t="s">
        <v>1712</v>
      </c>
      <c r="C900">
        <v>103067.84</v>
      </c>
      <c r="D900" t="s">
        <v>1475</v>
      </c>
      <c r="E900" t="s">
        <v>1476</v>
      </c>
      <c r="F900" t="s">
        <v>1477</v>
      </c>
    </row>
    <row r="901" spans="1:6">
      <c r="A901">
        <v>19</v>
      </c>
      <c r="B901" t="s">
        <v>1712</v>
      </c>
      <c r="C901">
        <v>30481.439999999999</v>
      </c>
      <c r="D901" t="s">
        <v>1478</v>
      </c>
      <c r="E901" t="s">
        <v>1479</v>
      </c>
      <c r="F901" t="s">
        <v>1480</v>
      </c>
    </row>
    <row r="902" spans="1:6">
      <c r="A902">
        <v>19</v>
      </c>
      <c r="B902" t="s">
        <v>1712</v>
      </c>
      <c r="C902">
        <v>439524.8</v>
      </c>
      <c r="D902" t="s">
        <v>1365</v>
      </c>
      <c r="E902" t="s">
        <v>1366</v>
      </c>
      <c r="F902" t="s">
        <v>1367</v>
      </c>
    </row>
    <row r="903" spans="1:6">
      <c r="A903">
        <v>19</v>
      </c>
      <c r="B903" t="s">
        <v>1712</v>
      </c>
      <c r="C903">
        <v>179946</v>
      </c>
      <c r="D903" t="s">
        <v>1610</v>
      </c>
      <c r="E903" t="s">
        <v>1481</v>
      </c>
      <c r="F903" t="s">
        <v>1482</v>
      </c>
    </row>
    <row r="904" spans="1:6">
      <c r="A904">
        <v>20</v>
      </c>
      <c r="B904" t="s">
        <v>1286</v>
      </c>
      <c r="C904">
        <v>3458751</v>
      </c>
      <c r="D904" t="s">
        <v>1570</v>
      </c>
      <c r="E904" t="s">
        <v>1571</v>
      </c>
      <c r="F904" t="s">
        <v>1572</v>
      </c>
    </row>
    <row r="905" spans="1:6">
      <c r="A905">
        <v>21</v>
      </c>
      <c r="B905" t="s">
        <v>1713</v>
      </c>
      <c r="C905">
        <v>6692</v>
      </c>
      <c r="D905" t="s">
        <v>1567</v>
      </c>
      <c r="E905" t="s">
        <v>1568</v>
      </c>
      <c r="F905" t="s">
        <v>1569</v>
      </c>
    </row>
    <row r="906" spans="1:6">
      <c r="A906">
        <v>21</v>
      </c>
      <c r="B906" t="s">
        <v>1713</v>
      </c>
      <c r="C906">
        <v>190054</v>
      </c>
      <c r="D906" t="s">
        <v>1570</v>
      </c>
      <c r="E906" t="s">
        <v>1571</v>
      </c>
      <c r="F906" t="s">
        <v>1572</v>
      </c>
    </row>
    <row r="907" spans="1:6">
      <c r="A907">
        <v>21</v>
      </c>
      <c r="B907" t="s">
        <v>1713</v>
      </c>
      <c r="C907">
        <v>328</v>
      </c>
      <c r="D907" t="s">
        <v>1371</v>
      </c>
      <c r="E907" t="s">
        <v>1372</v>
      </c>
      <c r="F907" t="s">
        <v>1373</v>
      </c>
    </row>
    <row r="908" spans="1:6">
      <c r="A908">
        <v>21</v>
      </c>
      <c r="B908" t="s">
        <v>1713</v>
      </c>
      <c r="C908">
        <v>28069</v>
      </c>
      <c r="D908" t="s">
        <v>1528</v>
      </c>
      <c r="E908" t="s">
        <v>1529</v>
      </c>
      <c r="F908" t="s">
        <v>1530</v>
      </c>
    </row>
    <row r="909" spans="1:6">
      <c r="A909">
        <v>21</v>
      </c>
      <c r="B909" t="s">
        <v>1713</v>
      </c>
      <c r="C909">
        <v>16970</v>
      </c>
      <c r="D909" t="s">
        <v>1390</v>
      </c>
      <c r="E909" t="s">
        <v>1391</v>
      </c>
      <c r="F909" t="s">
        <v>1392</v>
      </c>
    </row>
    <row r="910" spans="1:6">
      <c r="A910">
        <v>21</v>
      </c>
      <c r="B910" t="s">
        <v>1713</v>
      </c>
      <c r="C910">
        <v>472.65</v>
      </c>
      <c r="D910" t="s">
        <v>1374</v>
      </c>
      <c r="E910" t="s">
        <v>1375</v>
      </c>
      <c r="F910" t="s">
        <v>1376</v>
      </c>
    </row>
    <row r="911" spans="1:6">
      <c r="A911">
        <v>21</v>
      </c>
      <c r="B911" t="s">
        <v>1713</v>
      </c>
      <c r="C911">
        <v>1122.6199999999999</v>
      </c>
      <c r="D911" t="s">
        <v>1377</v>
      </c>
      <c r="E911" t="s">
        <v>1375</v>
      </c>
      <c r="F911" t="s">
        <v>1378</v>
      </c>
    </row>
    <row r="912" spans="1:6">
      <c r="A912">
        <v>21</v>
      </c>
      <c r="B912" t="s">
        <v>1713</v>
      </c>
      <c r="C912">
        <v>12291</v>
      </c>
      <c r="D912" t="s">
        <v>1579</v>
      </c>
      <c r="E912" t="s">
        <v>1577</v>
      </c>
      <c r="F912" t="s">
        <v>1580</v>
      </c>
    </row>
    <row r="913" spans="1:6">
      <c r="A913">
        <v>21</v>
      </c>
      <c r="B913" t="s">
        <v>1713</v>
      </c>
      <c r="C913">
        <v>221</v>
      </c>
      <c r="D913" t="s">
        <v>1442</v>
      </c>
      <c r="E913" t="s">
        <v>1582</v>
      </c>
      <c r="F913" t="s">
        <v>1443</v>
      </c>
    </row>
    <row r="914" spans="1:6">
      <c r="A914">
        <v>21</v>
      </c>
      <c r="B914" t="s">
        <v>1713</v>
      </c>
      <c r="C914">
        <v>3013</v>
      </c>
      <c r="D914" t="s">
        <v>1584</v>
      </c>
      <c r="E914" t="s">
        <v>1585</v>
      </c>
      <c r="F914" t="s">
        <v>1586</v>
      </c>
    </row>
    <row r="915" spans="1:6">
      <c r="A915">
        <v>21</v>
      </c>
      <c r="B915" t="s">
        <v>1713</v>
      </c>
      <c r="C915">
        <v>463</v>
      </c>
      <c r="D915" t="s">
        <v>1589</v>
      </c>
      <c r="E915" t="s">
        <v>1590</v>
      </c>
      <c r="F915" t="s">
        <v>1591</v>
      </c>
    </row>
    <row r="916" spans="1:6">
      <c r="A916">
        <v>21</v>
      </c>
      <c r="B916" t="s">
        <v>1713</v>
      </c>
      <c r="C916">
        <v>164</v>
      </c>
      <c r="D916" t="s">
        <v>1594</v>
      </c>
      <c r="E916" t="s">
        <v>1595</v>
      </c>
      <c r="F916" t="s">
        <v>1596</v>
      </c>
    </row>
    <row r="917" spans="1:6">
      <c r="A917">
        <v>21</v>
      </c>
      <c r="B917" t="s">
        <v>1713</v>
      </c>
      <c r="C917">
        <v>11040.13</v>
      </c>
      <c r="D917" t="s">
        <v>1475</v>
      </c>
      <c r="E917" t="s">
        <v>1476</v>
      </c>
      <c r="F917" t="s">
        <v>1477</v>
      </c>
    </row>
    <row r="918" spans="1:6">
      <c r="A918">
        <v>21</v>
      </c>
      <c r="B918" t="s">
        <v>1713</v>
      </c>
      <c r="C918">
        <v>16800.11</v>
      </c>
      <c r="D918" t="s">
        <v>1478</v>
      </c>
      <c r="E918" t="s">
        <v>1479</v>
      </c>
      <c r="F918" t="s">
        <v>1480</v>
      </c>
    </row>
    <row r="919" spans="1:6">
      <c r="A919">
        <v>22</v>
      </c>
      <c r="B919" t="s">
        <v>1714</v>
      </c>
      <c r="C919">
        <v>20000</v>
      </c>
      <c r="D919" t="s">
        <v>1483</v>
      </c>
      <c r="E919" t="s">
        <v>1484</v>
      </c>
      <c r="F919" t="s">
        <v>1485</v>
      </c>
    </row>
    <row r="920" spans="1:6">
      <c r="A920">
        <v>22</v>
      </c>
      <c r="B920" t="s">
        <v>1714</v>
      </c>
      <c r="C920">
        <v>6352</v>
      </c>
      <c r="D920" t="s">
        <v>1486</v>
      </c>
      <c r="E920" t="s">
        <v>1487</v>
      </c>
      <c r="F920" t="s">
        <v>1488</v>
      </c>
    </row>
    <row r="921" spans="1:6">
      <c r="A921">
        <v>22</v>
      </c>
      <c r="B921" t="s">
        <v>1714</v>
      </c>
      <c r="C921">
        <v>2971</v>
      </c>
      <c r="D921" t="s">
        <v>1489</v>
      </c>
      <c r="E921" t="s">
        <v>1490</v>
      </c>
      <c r="F921" t="s">
        <v>1491</v>
      </c>
    </row>
    <row r="922" spans="1:6">
      <c r="A922">
        <v>22</v>
      </c>
      <c r="B922" t="s">
        <v>1714</v>
      </c>
      <c r="C922">
        <v>211313</v>
      </c>
      <c r="D922" t="s">
        <v>1567</v>
      </c>
      <c r="E922" t="s">
        <v>1568</v>
      </c>
      <c r="F922" t="s">
        <v>1569</v>
      </c>
    </row>
    <row r="923" spans="1:6">
      <c r="A923">
        <v>22</v>
      </c>
      <c r="B923" t="s">
        <v>1714</v>
      </c>
      <c r="C923">
        <v>4369210</v>
      </c>
      <c r="D923" t="s">
        <v>1570</v>
      </c>
      <c r="E923" t="s">
        <v>1571</v>
      </c>
      <c r="F923" t="s">
        <v>1572</v>
      </c>
    </row>
    <row r="924" spans="1:6">
      <c r="A924">
        <v>22</v>
      </c>
      <c r="B924" t="s">
        <v>1714</v>
      </c>
      <c r="C924">
        <v>29785</v>
      </c>
      <c r="D924" t="s">
        <v>1520</v>
      </c>
      <c r="E924" t="s">
        <v>1521</v>
      </c>
      <c r="F924" t="s">
        <v>1522</v>
      </c>
    </row>
    <row r="925" spans="1:6">
      <c r="A925">
        <v>22</v>
      </c>
      <c r="B925" t="s">
        <v>1714</v>
      </c>
      <c r="C925">
        <v>106861</v>
      </c>
      <c r="D925" t="s">
        <v>1573</v>
      </c>
      <c r="E925" t="s">
        <v>1574</v>
      </c>
      <c r="F925" t="s">
        <v>1575</v>
      </c>
    </row>
    <row r="926" spans="1:6">
      <c r="A926">
        <v>22</v>
      </c>
      <c r="B926" t="s">
        <v>1714</v>
      </c>
      <c r="C926">
        <v>23059</v>
      </c>
      <c r="D926" t="s">
        <v>1371</v>
      </c>
      <c r="E926" t="s">
        <v>1372</v>
      </c>
      <c r="F926" t="s">
        <v>1373</v>
      </c>
    </row>
    <row r="927" spans="1:6">
      <c r="A927">
        <v>22</v>
      </c>
      <c r="B927" t="s">
        <v>1714</v>
      </c>
      <c r="C927">
        <v>196.72</v>
      </c>
      <c r="D927" t="s">
        <v>1377</v>
      </c>
      <c r="E927" t="s">
        <v>1375</v>
      </c>
      <c r="F927" t="s">
        <v>1378</v>
      </c>
    </row>
    <row r="928" spans="1:6">
      <c r="A928">
        <v>22</v>
      </c>
      <c r="B928" t="s">
        <v>1714</v>
      </c>
      <c r="C928">
        <v>376.9</v>
      </c>
      <c r="D928" t="s">
        <v>1537</v>
      </c>
      <c r="E928" t="s">
        <v>1538</v>
      </c>
      <c r="F928" t="s">
        <v>1539</v>
      </c>
    </row>
    <row r="929" spans="1:6">
      <c r="A929">
        <v>22</v>
      </c>
      <c r="B929" t="s">
        <v>1714</v>
      </c>
      <c r="C929">
        <v>4190.6499999999996</v>
      </c>
      <c r="D929" t="s">
        <v>1540</v>
      </c>
      <c r="E929" t="s">
        <v>1538</v>
      </c>
      <c r="F929" t="s">
        <v>1541</v>
      </c>
    </row>
    <row r="930" spans="1:6">
      <c r="A930">
        <v>22</v>
      </c>
      <c r="B930" t="s">
        <v>1714</v>
      </c>
      <c r="C930">
        <v>10505.55</v>
      </c>
      <c r="D930" t="s">
        <v>1431</v>
      </c>
      <c r="E930" t="s">
        <v>1432</v>
      </c>
      <c r="F930" t="s">
        <v>1433</v>
      </c>
    </row>
    <row r="931" spans="1:6">
      <c r="A931">
        <v>22</v>
      </c>
      <c r="B931" t="s">
        <v>1714</v>
      </c>
      <c r="C931">
        <v>25314.84</v>
      </c>
      <c r="D931" t="s">
        <v>1434</v>
      </c>
      <c r="E931" t="s">
        <v>1432</v>
      </c>
      <c r="F931" t="s">
        <v>1435</v>
      </c>
    </row>
    <row r="932" spans="1:6">
      <c r="A932">
        <v>22</v>
      </c>
      <c r="B932" t="s">
        <v>1714</v>
      </c>
      <c r="C932">
        <v>21151</v>
      </c>
      <c r="D932" t="s">
        <v>1576</v>
      </c>
      <c r="E932" t="s">
        <v>1577</v>
      </c>
      <c r="F932" t="s">
        <v>1578</v>
      </c>
    </row>
    <row r="933" spans="1:6">
      <c r="A933">
        <v>22</v>
      </c>
      <c r="B933" t="s">
        <v>1714</v>
      </c>
      <c r="C933">
        <v>44000</v>
      </c>
      <c r="D933" t="s">
        <v>1579</v>
      </c>
      <c r="E933" t="s">
        <v>1577</v>
      </c>
      <c r="F933" t="s">
        <v>1580</v>
      </c>
    </row>
    <row r="934" spans="1:6">
      <c r="A934">
        <v>22</v>
      </c>
      <c r="B934" t="s">
        <v>1714</v>
      </c>
      <c r="C934">
        <v>485</v>
      </c>
      <c r="D934" t="s">
        <v>1581</v>
      </c>
      <c r="E934" t="s">
        <v>1582</v>
      </c>
      <c r="F934" t="s">
        <v>1583</v>
      </c>
    </row>
    <row r="935" spans="1:6">
      <c r="A935">
        <v>22</v>
      </c>
      <c r="B935" t="s">
        <v>1714</v>
      </c>
      <c r="C935">
        <v>15310</v>
      </c>
      <c r="D935" t="s">
        <v>1584</v>
      </c>
      <c r="E935" t="s">
        <v>1585</v>
      </c>
      <c r="F935" t="s">
        <v>1586</v>
      </c>
    </row>
    <row r="936" spans="1:6">
      <c r="A936">
        <v>22</v>
      </c>
      <c r="B936" t="s">
        <v>1714</v>
      </c>
      <c r="C936">
        <v>9000</v>
      </c>
      <c r="D936" t="s">
        <v>1587</v>
      </c>
      <c r="E936" t="s">
        <v>1585</v>
      </c>
      <c r="F936" t="s">
        <v>1588</v>
      </c>
    </row>
    <row r="937" spans="1:6">
      <c r="A937">
        <v>22</v>
      </c>
      <c r="B937" t="s">
        <v>1714</v>
      </c>
      <c r="C937">
        <v>696</v>
      </c>
      <c r="D937" t="s">
        <v>1589</v>
      </c>
      <c r="E937" t="s">
        <v>1590</v>
      </c>
      <c r="F937" t="s">
        <v>1591</v>
      </c>
    </row>
    <row r="938" spans="1:6">
      <c r="A938">
        <v>22</v>
      </c>
      <c r="B938" t="s">
        <v>1714</v>
      </c>
      <c r="C938">
        <v>500</v>
      </c>
      <c r="D938" t="s">
        <v>1592</v>
      </c>
      <c r="E938" t="s">
        <v>1590</v>
      </c>
      <c r="F938" t="s">
        <v>1593</v>
      </c>
    </row>
    <row r="939" spans="1:6">
      <c r="A939">
        <v>22</v>
      </c>
      <c r="B939" t="s">
        <v>1714</v>
      </c>
      <c r="C939">
        <v>958</v>
      </c>
      <c r="D939" t="s">
        <v>1594</v>
      </c>
      <c r="E939" t="s">
        <v>1595</v>
      </c>
      <c r="F939" t="s">
        <v>1596</v>
      </c>
    </row>
    <row r="940" spans="1:6">
      <c r="A940">
        <v>22</v>
      </c>
      <c r="B940" t="s">
        <v>1714</v>
      </c>
      <c r="C940">
        <v>100</v>
      </c>
      <c r="D940" t="s">
        <v>1597</v>
      </c>
      <c r="E940" t="s">
        <v>1595</v>
      </c>
      <c r="F940" t="s">
        <v>1598</v>
      </c>
    </row>
    <row r="941" spans="1:6">
      <c r="A941">
        <v>22</v>
      </c>
      <c r="B941" t="s">
        <v>1714</v>
      </c>
      <c r="C941">
        <v>14988</v>
      </c>
      <c r="D941" t="s">
        <v>1599</v>
      </c>
      <c r="E941" t="s">
        <v>1600</v>
      </c>
      <c r="F941" t="s">
        <v>1601</v>
      </c>
    </row>
    <row r="942" spans="1:6">
      <c r="A942">
        <v>22</v>
      </c>
      <c r="B942" t="s">
        <v>1714</v>
      </c>
      <c r="C942">
        <v>8000</v>
      </c>
      <c r="D942" t="s">
        <v>1269</v>
      </c>
      <c r="E942" t="s">
        <v>1270</v>
      </c>
      <c r="F942" t="s">
        <v>1601</v>
      </c>
    </row>
    <row r="943" spans="1:6">
      <c r="A943">
        <v>22</v>
      </c>
      <c r="B943" t="s">
        <v>1714</v>
      </c>
      <c r="C943">
        <v>101000</v>
      </c>
      <c r="D943" t="s">
        <v>1602</v>
      </c>
      <c r="E943" t="s">
        <v>1600</v>
      </c>
      <c r="F943" t="s">
        <v>1603</v>
      </c>
    </row>
    <row r="944" spans="1:6">
      <c r="A944">
        <v>22</v>
      </c>
      <c r="B944" t="s">
        <v>1714</v>
      </c>
      <c r="C944">
        <v>14503</v>
      </c>
      <c r="D944" t="s">
        <v>1604</v>
      </c>
      <c r="E944" t="s">
        <v>1605</v>
      </c>
      <c r="F944" t="s">
        <v>1606</v>
      </c>
    </row>
    <row r="945" spans="1:6">
      <c r="A945">
        <v>22</v>
      </c>
      <c r="B945" t="s">
        <v>1714</v>
      </c>
      <c r="C945">
        <v>69123.960000000006</v>
      </c>
      <c r="D945" t="s">
        <v>1475</v>
      </c>
      <c r="E945" t="s">
        <v>1476</v>
      </c>
      <c r="F945" t="s">
        <v>1477</v>
      </c>
    </row>
    <row r="946" spans="1:6">
      <c r="A946">
        <v>22</v>
      </c>
      <c r="B946" t="s">
        <v>1714</v>
      </c>
      <c r="C946">
        <v>296747.09999999998</v>
      </c>
      <c r="D946" t="s">
        <v>1365</v>
      </c>
      <c r="E946" t="s">
        <v>1366</v>
      </c>
      <c r="F946" t="s">
        <v>1367</v>
      </c>
    </row>
    <row r="947" spans="1:6">
      <c r="A947">
        <v>22</v>
      </c>
      <c r="B947" t="s">
        <v>1714</v>
      </c>
      <c r="C947">
        <v>41321</v>
      </c>
      <c r="D947" t="s">
        <v>1610</v>
      </c>
      <c r="E947" t="s">
        <v>1481</v>
      </c>
      <c r="F947" t="s">
        <v>1482</v>
      </c>
    </row>
    <row r="948" spans="1:6">
      <c r="A948">
        <v>23</v>
      </c>
      <c r="B948" t="s">
        <v>1715</v>
      </c>
      <c r="C948">
        <v>8591</v>
      </c>
      <c r="D948" t="s">
        <v>1486</v>
      </c>
      <c r="E948" t="s">
        <v>1487</v>
      </c>
      <c r="F948" t="s">
        <v>1488</v>
      </c>
    </row>
    <row r="949" spans="1:6">
      <c r="A949">
        <v>23</v>
      </c>
      <c r="B949" t="s">
        <v>1715</v>
      </c>
      <c r="C949">
        <v>4018</v>
      </c>
      <c r="D949" t="s">
        <v>1489</v>
      </c>
      <c r="E949" t="s">
        <v>1490</v>
      </c>
      <c r="F949" t="s">
        <v>1491</v>
      </c>
    </row>
    <row r="950" spans="1:6">
      <c r="A950">
        <v>23</v>
      </c>
      <c r="B950" t="s">
        <v>1715</v>
      </c>
      <c r="C950">
        <v>107825</v>
      </c>
      <c r="D950" t="s">
        <v>1567</v>
      </c>
      <c r="E950" t="s">
        <v>1568</v>
      </c>
      <c r="F950" t="s">
        <v>1569</v>
      </c>
    </row>
    <row r="951" spans="1:6">
      <c r="A951">
        <v>23</v>
      </c>
      <c r="B951" t="s">
        <v>1715</v>
      </c>
      <c r="C951">
        <v>2590005</v>
      </c>
      <c r="D951" t="s">
        <v>1570</v>
      </c>
      <c r="E951" t="s">
        <v>1571</v>
      </c>
      <c r="F951" t="s">
        <v>1572</v>
      </c>
    </row>
    <row r="952" spans="1:6">
      <c r="A952">
        <v>23</v>
      </c>
      <c r="B952" t="s">
        <v>1715</v>
      </c>
      <c r="C952">
        <v>13201</v>
      </c>
      <c r="D952" t="s">
        <v>1520</v>
      </c>
      <c r="E952" t="s">
        <v>1521</v>
      </c>
      <c r="F952" t="s">
        <v>1522</v>
      </c>
    </row>
    <row r="953" spans="1:6">
      <c r="A953">
        <v>23</v>
      </c>
      <c r="B953" t="s">
        <v>1715</v>
      </c>
      <c r="C953">
        <v>131861</v>
      </c>
      <c r="D953" t="s">
        <v>1573</v>
      </c>
      <c r="E953" t="s">
        <v>1574</v>
      </c>
      <c r="F953" t="s">
        <v>1575</v>
      </c>
    </row>
    <row r="954" spans="1:6">
      <c r="A954">
        <v>23</v>
      </c>
      <c r="B954" t="s">
        <v>1715</v>
      </c>
      <c r="C954">
        <v>14000</v>
      </c>
      <c r="D954" t="s">
        <v>1528</v>
      </c>
      <c r="E954" t="s">
        <v>1529</v>
      </c>
      <c r="F954" t="s">
        <v>1530</v>
      </c>
    </row>
    <row r="955" spans="1:6">
      <c r="A955">
        <v>23</v>
      </c>
      <c r="B955" t="s">
        <v>1715</v>
      </c>
      <c r="C955">
        <v>82163</v>
      </c>
      <c r="D955" t="s">
        <v>1531</v>
      </c>
      <c r="E955" t="s">
        <v>1532</v>
      </c>
      <c r="F955" t="s">
        <v>1533</v>
      </c>
    </row>
    <row r="956" spans="1:6">
      <c r="A956">
        <v>23</v>
      </c>
      <c r="B956" t="s">
        <v>1715</v>
      </c>
      <c r="C956">
        <v>278</v>
      </c>
      <c r="D956" t="s">
        <v>1387</v>
      </c>
      <c r="E956" t="s">
        <v>1388</v>
      </c>
      <c r="F956" t="s">
        <v>1389</v>
      </c>
    </row>
    <row r="957" spans="1:6">
      <c r="A957">
        <v>23</v>
      </c>
      <c r="B957" t="s">
        <v>1715</v>
      </c>
      <c r="C957">
        <v>1785.96</v>
      </c>
      <c r="D957" t="s">
        <v>1537</v>
      </c>
      <c r="E957" t="s">
        <v>1538</v>
      </c>
      <c r="F957" t="s">
        <v>1539</v>
      </c>
    </row>
    <row r="958" spans="1:6">
      <c r="A958">
        <v>23</v>
      </c>
      <c r="B958" t="s">
        <v>1715</v>
      </c>
      <c r="C958">
        <v>3841.59</v>
      </c>
      <c r="D958" t="s">
        <v>1540</v>
      </c>
      <c r="E958" t="s">
        <v>1538</v>
      </c>
      <c r="F958" t="s">
        <v>1541</v>
      </c>
    </row>
    <row r="959" spans="1:6">
      <c r="A959">
        <v>23</v>
      </c>
      <c r="B959" t="s">
        <v>1715</v>
      </c>
      <c r="C959">
        <v>10190.61</v>
      </c>
      <c r="D959" t="s">
        <v>1431</v>
      </c>
      <c r="E959" t="s">
        <v>1432</v>
      </c>
      <c r="F959" t="s">
        <v>1433</v>
      </c>
    </row>
    <row r="960" spans="1:6">
      <c r="A960">
        <v>23</v>
      </c>
      <c r="B960" t="s">
        <v>1715</v>
      </c>
      <c r="C960">
        <v>24462.09</v>
      </c>
      <c r="D960" t="s">
        <v>1434</v>
      </c>
      <c r="E960" t="s">
        <v>1432</v>
      </c>
      <c r="F960" t="s">
        <v>1435</v>
      </c>
    </row>
    <row r="961" spans="1:6">
      <c r="A961">
        <v>23</v>
      </c>
      <c r="B961" t="s">
        <v>1715</v>
      </c>
      <c r="C961">
        <v>75531</v>
      </c>
      <c r="D961" t="s">
        <v>1579</v>
      </c>
      <c r="E961" t="s">
        <v>1577</v>
      </c>
      <c r="F961" t="s">
        <v>1580</v>
      </c>
    </row>
    <row r="962" spans="1:6">
      <c r="A962">
        <v>23</v>
      </c>
      <c r="B962" t="s">
        <v>1715</v>
      </c>
      <c r="C962">
        <v>627</v>
      </c>
      <c r="D962" t="s">
        <v>1581</v>
      </c>
      <c r="E962" t="s">
        <v>1582</v>
      </c>
      <c r="F962" t="s">
        <v>1583</v>
      </c>
    </row>
    <row r="963" spans="1:6">
      <c r="A963">
        <v>23</v>
      </c>
      <c r="B963" t="s">
        <v>1715</v>
      </c>
      <c r="C963">
        <v>35961</v>
      </c>
      <c r="D963" t="s">
        <v>1587</v>
      </c>
      <c r="E963" t="s">
        <v>1585</v>
      </c>
      <c r="F963" t="s">
        <v>1588</v>
      </c>
    </row>
    <row r="964" spans="1:6">
      <c r="A964">
        <v>23</v>
      </c>
      <c r="B964" t="s">
        <v>1715</v>
      </c>
      <c r="C964">
        <v>4163</v>
      </c>
      <c r="D964" t="s">
        <v>1592</v>
      </c>
      <c r="E964" t="s">
        <v>1590</v>
      </c>
      <c r="F964" t="s">
        <v>1593</v>
      </c>
    </row>
    <row r="965" spans="1:6">
      <c r="A965">
        <v>23</v>
      </c>
      <c r="B965" t="s">
        <v>1715</v>
      </c>
      <c r="C965">
        <v>1500</v>
      </c>
      <c r="D965" t="s">
        <v>1597</v>
      </c>
      <c r="E965" t="s">
        <v>1595</v>
      </c>
      <c r="F965" t="s">
        <v>1598</v>
      </c>
    </row>
    <row r="966" spans="1:6">
      <c r="A966">
        <v>23</v>
      </c>
      <c r="B966" t="s">
        <v>1715</v>
      </c>
      <c r="C966">
        <v>253048</v>
      </c>
      <c r="D966" t="s">
        <v>1602</v>
      </c>
      <c r="E966" t="s">
        <v>1600</v>
      </c>
      <c r="F966" t="s">
        <v>1603</v>
      </c>
    </row>
    <row r="967" spans="1:6">
      <c r="A967">
        <v>23</v>
      </c>
      <c r="B967" t="s">
        <v>1715</v>
      </c>
      <c r="C967">
        <v>10297</v>
      </c>
      <c r="D967" t="s">
        <v>1604</v>
      </c>
      <c r="E967" t="s">
        <v>1605</v>
      </c>
      <c r="F967" t="s">
        <v>1606</v>
      </c>
    </row>
    <row r="968" spans="1:6">
      <c r="A968">
        <v>23</v>
      </c>
      <c r="B968" t="s">
        <v>1715</v>
      </c>
      <c r="C968">
        <v>29654.12</v>
      </c>
      <c r="D968" t="s">
        <v>1475</v>
      </c>
      <c r="E968" t="s">
        <v>1476</v>
      </c>
      <c r="F968" t="s">
        <v>1477</v>
      </c>
    </row>
    <row r="969" spans="1:6">
      <c r="A969">
        <v>23</v>
      </c>
      <c r="B969" t="s">
        <v>1715</v>
      </c>
      <c r="C969">
        <v>213435.4</v>
      </c>
      <c r="D969" t="s">
        <v>1478</v>
      </c>
      <c r="E969" t="s">
        <v>1479</v>
      </c>
      <c r="F969" t="s">
        <v>1480</v>
      </c>
    </row>
    <row r="970" spans="1:6">
      <c r="A970">
        <v>24</v>
      </c>
      <c r="B970" t="s">
        <v>1716</v>
      </c>
      <c r="C970">
        <v>1190</v>
      </c>
      <c r="D970" t="s">
        <v>1489</v>
      </c>
      <c r="E970" t="s">
        <v>1490</v>
      </c>
      <c r="F970" t="s">
        <v>1491</v>
      </c>
    </row>
    <row r="971" spans="1:6">
      <c r="A971">
        <v>24</v>
      </c>
      <c r="B971" t="s">
        <v>1716</v>
      </c>
      <c r="C971">
        <v>61770</v>
      </c>
      <c r="D971" t="s">
        <v>1567</v>
      </c>
      <c r="E971" t="s">
        <v>1568</v>
      </c>
      <c r="F971" t="s">
        <v>1569</v>
      </c>
    </row>
    <row r="972" spans="1:6">
      <c r="A972">
        <v>24</v>
      </c>
      <c r="B972" t="s">
        <v>1716</v>
      </c>
      <c r="C972">
        <v>1689105</v>
      </c>
      <c r="D972" t="s">
        <v>1570</v>
      </c>
      <c r="E972" t="s">
        <v>1571</v>
      </c>
      <c r="F972" t="s">
        <v>1572</v>
      </c>
    </row>
    <row r="973" spans="1:6">
      <c r="A973">
        <v>24</v>
      </c>
      <c r="B973" t="s">
        <v>1716</v>
      </c>
      <c r="C973">
        <v>2854</v>
      </c>
      <c r="D973" t="s">
        <v>1573</v>
      </c>
      <c r="E973" t="s">
        <v>1574</v>
      </c>
      <c r="F973" t="s">
        <v>1575</v>
      </c>
    </row>
    <row r="974" spans="1:6">
      <c r="A974">
        <v>24</v>
      </c>
      <c r="B974" t="s">
        <v>1716</v>
      </c>
      <c r="C974">
        <v>18353</v>
      </c>
      <c r="D974" t="s">
        <v>1371</v>
      </c>
      <c r="E974" t="s">
        <v>1372</v>
      </c>
      <c r="F974" t="s">
        <v>1373</v>
      </c>
    </row>
    <row r="975" spans="1:6">
      <c r="A975">
        <v>24</v>
      </c>
      <c r="B975" t="s">
        <v>1716</v>
      </c>
      <c r="C975">
        <v>5981.17</v>
      </c>
      <c r="D975" t="s">
        <v>1431</v>
      </c>
      <c r="E975" t="s">
        <v>1432</v>
      </c>
      <c r="F975" t="s">
        <v>1433</v>
      </c>
    </row>
    <row r="976" spans="1:6">
      <c r="A976">
        <v>24</v>
      </c>
      <c r="B976" t="s">
        <v>1716</v>
      </c>
      <c r="C976">
        <v>13116.31</v>
      </c>
      <c r="D976" t="s">
        <v>1434</v>
      </c>
      <c r="E976" t="s">
        <v>1432</v>
      </c>
      <c r="F976" t="s">
        <v>1435</v>
      </c>
    </row>
    <row r="977" spans="1:6">
      <c r="A977">
        <v>24</v>
      </c>
      <c r="B977" t="s">
        <v>1716</v>
      </c>
      <c r="C977">
        <v>5593</v>
      </c>
      <c r="D977" t="s">
        <v>1587</v>
      </c>
      <c r="E977" t="s">
        <v>1585</v>
      </c>
      <c r="F977" t="s">
        <v>1588</v>
      </c>
    </row>
    <row r="978" spans="1:6">
      <c r="A978">
        <v>24</v>
      </c>
      <c r="B978" t="s">
        <v>1716</v>
      </c>
      <c r="C978">
        <v>640</v>
      </c>
      <c r="D978" t="s">
        <v>1592</v>
      </c>
      <c r="E978" t="s">
        <v>1590</v>
      </c>
      <c r="F978" t="s">
        <v>1593</v>
      </c>
    </row>
    <row r="979" spans="1:6">
      <c r="A979">
        <v>24</v>
      </c>
      <c r="B979" t="s">
        <v>1716</v>
      </c>
      <c r="C979">
        <v>433</v>
      </c>
      <c r="D979" t="s">
        <v>1597</v>
      </c>
      <c r="E979" t="s">
        <v>1595</v>
      </c>
      <c r="F979" t="s">
        <v>1598</v>
      </c>
    </row>
    <row r="980" spans="1:6">
      <c r="A980">
        <v>24</v>
      </c>
      <c r="B980" t="s">
        <v>1716</v>
      </c>
      <c r="C980">
        <v>65715.7</v>
      </c>
      <c r="D980" t="s">
        <v>1475</v>
      </c>
      <c r="E980" t="s">
        <v>1476</v>
      </c>
      <c r="F980" t="s">
        <v>1477</v>
      </c>
    </row>
    <row r="981" spans="1:6">
      <c r="A981">
        <v>24</v>
      </c>
      <c r="B981" t="s">
        <v>1716</v>
      </c>
      <c r="C981">
        <v>209732.57</v>
      </c>
      <c r="D981" t="s">
        <v>1365</v>
      </c>
      <c r="E981" t="s">
        <v>1366</v>
      </c>
      <c r="F981" t="s">
        <v>1367</v>
      </c>
    </row>
    <row r="982" spans="1:6">
      <c r="A982">
        <v>25</v>
      </c>
      <c r="B982" t="s">
        <v>1717</v>
      </c>
      <c r="C982">
        <v>21212</v>
      </c>
      <c r="D982" t="s">
        <v>1483</v>
      </c>
      <c r="E982" t="s">
        <v>1484</v>
      </c>
      <c r="F982" t="s">
        <v>1485</v>
      </c>
    </row>
    <row r="983" spans="1:6">
      <c r="A983">
        <v>25</v>
      </c>
      <c r="B983" t="s">
        <v>1717</v>
      </c>
      <c r="C983">
        <v>35000</v>
      </c>
      <c r="D983" t="s">
        <v>1314</v>
      </c>
      <c r="E983" t="s">
        <v>1315</v>
      </c>
      <c r="F983" t="s">
        <v>1316</v>
      </c>
    </row>
    <row r="984" spans="1:6">
      <c r="A984">
        <v>25</v>
      </c>
      <c r="B984" t="s">
        <v>1717</v>
      </c>
      <c r="C984">
        <v>36139</v>
      </c>
      <c r="D984" t="s">
        <v>1486</v>
      </c>
      <c r="E984" t="s">
        <v>1487</v>
      </c>
      <c r="F984" t="s">
        <v>1488</v>
      </c>
    </row>
    <row r="985" spans="1:6">
      <c r="A985">
        <v>25</v>
      </c>
      <c r="B985" t="s">
        <v>1717</v>
      </c>
      <c r="C985">
        <v>18781</v>
      </c>
      <c r="D985" t="s">
        <v>1489</v>
      </c>
      <c r="E985" t="s">
        <v>1490</v>
      </c>
      <c r="F985" t="s">
        <v>1491</v>
      </c>
    </row>
    <row r="986" spans="1:6">
      <c r="A986">
        <v>25</v>
      </c>
      <c r="B986" t="s">
        <v>1717</v>
      </c>
      <c r="C986">
        <v>225598</v>
      </c>
      <c r="D986" t="s">
        <v>1567</v>
      </c>
      <c r="E986" t="s">
        <v>1568</v>
      </c>
      <c r="F986" t="s">
        <v>1569</v>
      </c>
    </row>
    <row r="987" spans="1:6">
      <c r="A987">
        <v>25</v>
      </c>
      <c r="B987" t="s">
        <v>1717</v>
      </c>
      <c r="C987">
        <v>18345</v>
      </c>
      <c r="D987" t="s">
        <v>1496</v>
      </c>
      <c r="E987" t="s">
        <v>1497</v>
      </c>
      <c r="F987" t="s">
        <v>1498</v>
      </c>
    </row>
    <row r="988" spans="1:6">
      <c r="A988">
        <v>25</v>
      </c>
      <c r="B988" t="s">
        <v>1717</v>
      </c>
      <c r="C988">
        <v>7576451</v>
      </c>
      <c r="D988" t="s">
        <v>1570</v>
      </c>
      <c r="E988" t="s">
        <v>1571</v>
      </c>
      <c r="F988" t="s">
        <v>1572</v>
      </c>
    </row>
    <row r="989" spans="1:6">
      <c r="A989">
        <v>25</v>
      </c>
      <c r="B989" t="s">
        <v>1717</v>
      </c>
      <c r="C989">
        <v>84985</v>
      </c>
      <c r="D989" t="s">
        <v>1520</v>
      </c>
      <c r="E989" t="s">
        <v>1521</v>
      </c>
      <c r="F989" t="s">
        <v>1522</v>
      </c>
    </row>
    <row r="990" spans="1:6">
      <c r="A990">
        <v>25</v>
      </c>
      <c r="B990" t="s">
        <v>1717</v>
      </c>
      <c r="C990">
        <v>291173</v>
      </c>
      <c r="D990" t="s">
        <v>1573</v>
      </c>
      <c r="E990" t="s">
        <v>1574</v>
      </c>
      <c r="F990" t="s">
        <v>1575</v>
      </c>
    </row>
    <row r="991" spans="1:6">
      <c r="A991">
        <v>25</v>
      </c>
      <c r="B991" t="s">
        <v>1717</v>
      </c>
      <c r="C991">
        <v>75690</v>
      </c>
      <c r="D991" t="s">
        <v>1523</v>
      </c>
      <c r="E991" t="s">
        <v>1521</v>
      </c>
      <c r="F991" t="s">
        <v>1524</v>
      </c>
    </row>
    <row r="992" spans="1:6">
      <c r="A992">
        <v>25</v>
      </c>
      <c r="B992" t="s">
        <v>1717</v>
      </c>
      <c r="C992">
        <v>28051</v>
      </c>
      <c r="D992" t="s">
        <v>1525</v>
      </c>
      <c r="E992" t="s">
        <v>1526</v>
      </c>
      <c r="F992" t="s">
        <v>1527</v>
      </c>
    </row>
    <row r="993" spans="1:6">
      <c r="A993">
        <v>25</v>
      </c>
      <c r="B993" t="s">
        <v>1717</v>
      </c>
      <c r="C993">
        <v>17808</v>
      </c>
      <c r="D993" t="s">
        <v>1528</v>
      </c>
      <c r="E993" t="s">
        <v>1529</v>
      </c>
      <c r="F993" t="s">
        <v>1530</v>
      </c>
    </row>
    <row r="994" spans="1:6">
      <c r="A994">
        <v>25</v>
      </c>
      <c r="B994" t="s">
        <v>1717</v>
      </c>
      <c r="C994">
        <v>35244</v>
      </c>
      <c r="D994" t="s">
        <v>1531</v>
      </c>
      <c r="E994" t="s">
        <v>1532</v>
      </c>
      <c r="F994" t="s">
        <v>1533</v>
      </c>
    </row>
    <row r="995" spans="1:6">
      <c r="A995">
        <v>25</v>
      </c>
      <c r="B995" t="s">
        <v>1717</v>
      </c>
      <c r="C995">
        <v>12180</v>
      </c>
      <c r="D995" t="s">
        <v>1387</v>
      </c>
      <c r="E995" t="s">
        <v>1388</v>
      </c>
      <c r="F995" t="s">
        <v>1389</v>
      </c>
    </row>
    <row r="996" spans="1:6">
      <c r="A996">
        <v>25</v>
      </c>
      <c r="B996" t="s">
        <v>1717</v>
      </c>
      <c r="C996">
        <v>55781</v>
      </c>
      <c r="D996" t="s">
        <v>1390</v>
      </c>
      <c r="E996" t="s">
        <v>1391</v>
      </c>
      <c r="F996" t="s">
        <v>1392</v>
      </c>
    </row>
    <row r="997" spans="1:6">
      <c r="A997">
        <v>25</v>
      </c>
      <c r="B997" t="s">
        <v>1717</v>
      </c>
      <c r="C997">
        <v>41496.6</v>
      </c>
      <c r="D997" t="s">
        <v>1431</v>
      </c>
      <c r="E997" t="s">
        <v>1432</v>
      </c>
      <c r="F997" t="s">
        <v>1433</v>
      </c>
    </row>
    <row r="998" spans="1:6">
      <c r="A998">
        <v>25</v>
      </c>
      <c r="B998" t="s">
        <v>1717</v>
      </c>
      <c r="C998">
        <v>103421.9</v>
      </c>
      <c r="D998" t="s">
        <v>1434</v>
      </c>
      <c r="E998" t="s">
        <v>1432</v>
      </c>
      <c r="F998" t="s">
        <v>1435</v>
      </c>
    </row>
    <row r="999" spans="1:6">
      <c r="A999">
        <v>25</v>
      </c>
      <c r="B999" t="s">
        <v>1717</v>
      </c>
      <c r="C999">
        <v>74164</v>
      </c>
      <c r="D999" t="s">
        <v>1576</v>
      </c>
      <c r="E999" t="s">
        <v>1577</v>
      </c>
      <c r="F999" t="s">
        <v>1578</v>
      </c>
    </row>
    <row r="1000" spans="1:6">
      <c r="A1000">
        <v>25</v>
      </c>
      <c r="B1000" t="s">
        <v>1717</v>
      </c>
      <c r="C1000">
        <v>36223</v>
      </c>
      <c r="D1000" t="s">
        <v>1579</v>
      </c>
      <c r="E1000" t="s">
        <v>1577</v>
      </c>
      <c r="F1000" t="s">
        <v>1580</v>
      </c>
    </row>
    <row r="1001" spans="1:6">
      <c r="A1001">
        <v>25</v>
      </c>
      <c r="B1001" t="s">
        <v>1717</v>
      </c>
      <c r="C1001">
        <v>32127</v>
      </c>
      <c r="D1001" t="s">
        <v>1436</v>
      </c>
      <c r="E1001" t="s">
        <v>1437</v>
      </c>
      <c r="F1001" t="s">
        <v>1438</v>
      </c>
    </row>
    <row r="1002" spans="1:6">
      <c r="A1002">
        <v>25</v>
      </c>
      <c r="B1002" t="s">
        <v>1717</v>
      </c>
      <c r="C1002">
        <v>1617</v>
      </c>
      <c r="D1002" t="s">
        <v>1442</v>
      </c>
      <c r="E1002" t="s">
        <v>1582</v>
      </c>
      <c r="F1002" t="s">
        <v>1443</v>
      </c>
    </row>
    <row r="1003" spans="1:6">
      <c r="A1003">
        <v>25</v>
      </c>
      <c r="B1003" t="s">
        <v>1717</v>
      </c>
      <c r="C1003">
        <v>39042</v>
      </c>
      <c r="D1003" t="s">
        <v>1584</v>
      </c>
      <c r="E1003" t="s">
        <v>1585</v>
      </c>
      <c r="F1003" t="s">
        <v>1586</v>
      </c>
    </row>
    <row r="1004" spans="1:6">
      <c r="A1004">
        <v>25</v>
      </c>
      <c r="B1004" t="s">
        <v>1717</v>
      </c>
      <c r="C1004">
        <v>19780</v>
      </c>
      <c r="D1004" t="s">
        <v>1587</v>
      </c>
      <c r="E1004" t="s">
        <v>1585</v>
      </c>
      <c r="F1004" t="s">
        <v>1588</v>
      </c>
    </row>
    <row r="1005" spans="1:6">
      <c r="A1005">
        <v>25</v>
      </c>
      <c r="B1005" t="s">
        <v>1717</v>
      </c>
      <c r="C1005">
        <v>1232</v>
      </c>
      <c r="D1005" t="s">
        <v>1287</v>
      </c>
      <c r="E1005" t="s">
        <v>1288</v>
      </c>
      <c r="F1005" t="s">
        <v>1289</v>
      </c>
    </row>
    <row r="1006" spans="1:6">
      <c r="A1006">
        <v>25</v>
      </c>
      <c r="B1006" t="s">
        <v>1717</v>
      </c>
      <c r="C1006">
        <v>2981</v>
      </c>
      <c r="D1006" t="s">
        <v>1589</v>
      </c>
      <c r="E1006" t="s">
        <v>1590</v>
      </c>
      <c r="F1006" t="s">
        <v>1591</v>
      </c>
    </row>
    <row r="1007" spans="1:6">
      <c r="A1007">
        <v>25</v>
      </c>
      <c r="B1007" t="s">
        <v>1717</v>
      </c>
      <c r="C1007">
        <v>4394</v>
      </c>
      <c r="D1007" t="s">
        <v>1592</v>
      </c>
      <c r="E1007" t="s">
        <v>1590</v>
      </c>
      <c r="F1007" t="s">
        <v>1593</v>
      </c>
    </row>
    <row r="1008" spans="1:6">
      <c r="A1008">
        <v>25</v>
      </c>
      <c r="B1008" t="s">
        <v>1717</v>
      </c>
      <c r="C1008">
        <v>5909</v>
      </c>
      <c r="D1008" t="s">
        <v>1597</v>
      </c>
      <c r="E1008" t="s">
        <v>1595</v>
      </c>
      <c r="F1008" t="s">
        <v>1598</v>
      </c>
    </row>
    <row r="1009" spans="1:6">
      <c r="A1009">
        <v>25</v>
      </c>
      <c r="B1009" t="s">
        <v>1717</v>
      </c>
      <c r="C1009">
        <v>274539</v>
      </c>
      <c r="D1009" t="s">
        <v>1599</v>
      </c>
      <c r="E1009" t="s">
        <v>1600</v>
      </c>
      <c r="F1009" t="s">
        <v>1601</v>
      </c>
    </row>
    <row r="1010" spans="1:6">
      <c r="A1010">
        <v>25</v>
      </c>
      <c r="B1010" t="s">
        <v>1717</v>
      </c>
      <c r="C1010">
        <v>373660</v>
      </c>
      <c r="D1010" t="s">
        <v>1602</v>
      </c>
      <c r="E1010" t="s">
        <v>1600</v>
      </c>
      <c r="F1010" t="s">
        <v>1603</v>
      </c>
    </row>
    <row r="1011" spans="1:6">
      <c r="A1011">
        <v>25</v>
      </c>
      <c r="B1011" t="s">
        <v>1717</v>
      </c>
      <c r="C1011">
        <v>33336</v>
      </c>
      <c r="D1011" t="s">
        <v>1604</v>
      </c>
      <c r="E1011" t="s">
        <v>1605</v>
      </c>
      <c r="F1011" t="s">
        <v>1606</v>
      </c>
    </row>
    <row r="1012" spans="1:6">
      <c r="A1012">
        <v>25</v>
      </c>
      <c r="B1012" t="s">
        <v>1717</v>
      </c>
      <c r="C1012">
        <v>31378</v>
      </c>
      <c r="D1012" t="s">
        <v>1273</v>
      </c>
      <c r="E1012" t="s">
        <v>1274</v>
      </c>
      <c r="F1012" t="s">
        <v>1275</v>
      </c>
    </row>
    <row r="1013" spans="1:6">
      <c r="A1013">
        <v>25</v>
      </c>
      <c r="B1013" t="s">
        <v>1717</v>
      </c>
      <c r="C1013">
        <v>2488</v>
      </c>
      <c r="D1013" t="s">
        <v>1472</v>
      </c>
      <c r="E1013" t="s">
        <v>1473</v>
      </c>
      <c r="F1013" t="s">
        <v>1474</v>
      </c>
    </row>
    <row r="1014" spans="1:6">
      <c r="A1014">
        <v>25</v>
      </c>
      <c r="B1014" t="s">
        <v>1717</v>
      </c>
      <c r="C1014">
        <v>272.73</v>
      </c>
      <c r="D1014" t="s">
        <v>1379</v>
      </c>
      <c r="E1014" t="s">
        <v>1380</v>
      </c>
      <c r="F1014" t="s">
        <v>1381</v>
      </c>
    </row>
    <row r="1015" spans="1:6">
      <c r="A1015">
        <v>25</v>
      </c>
      <c r="B1015" t="s">
        <v>1717</v>
      </c>
      <c r="C1015">
        <v>172299.7</v>
      </c>
      <c r="D1015" t="s">
        <v>1475</v>
      </c>
      <c r="E1015" t="s">
        <v>1476</v>
      </c>
      <c r="F1015" t="s">
        <v>1477</v>
      </c>
    </row>
    <row r="1016" spans="1:6">
      <c r="A1016">
        <v>25</v>
      </c>
      <c r="B1016" t="s">
        <v>1717</v>
      </c>
      <c r="C1016">
        <v>7920.24</v>
      </c>
      <c r="D1016" t="s">
        <v>1478</v>
      </c>
      <c r="E1016" t="s">
        <v>1479</v>
      </c>
      <c r="F1016" t="s">
        <v>1480</v>
      </c>
    </row>
    <row r="1017" spans="1:6">
      <c r="A1017">
        <v>25</v>
      </c>
      <c r="B1017" t="s">
        <v>1717</v>
      </c>
      <c r="C1017">
        <v>512166.46</v>
      </c>
      <c r="D1017" t="s">
        <v>1365</v>
      </c>
      <c r="E1017" t="s">
        <v>1366</v>
      </c>
      <c r="F1017" t="s">
        <v>1367</v>
      </c>
    </row>
    <row r="1018" spans="1:6">
      <c r="A1018">
        <v>25</v>
      </c>
      <c r="B1018" t="s">
        <v>1717</v>
      </c>
      <c r="C1018">
        <v>240990</v>
      </c>
      <c r="D1018" t="s">
        <v>1610</v>
      </c>
      <c r="E1018" t="s">
        <v>1481</v>
      </c>
      <c r="F1018" t="s">
        <v>1482</v>
      </c>
    </row>
    <row r="1019" spans="1:6">
      <c r="A1019">
        <v>26</v>
      </c>
      <c r="B1019" t="s">
        <v>1718</v>
      </c>
      <c r="C1019">
        <v>891</v>
      </c>
      <c r="D1019" t="s">
        <v>1489</v>
      </c>
      <c r="E1019" t="s">
        <v>1490</v>
      </c>
      <c r="F1019" t="s">
        <v>1491</v>
      </c>
    </row>
    <row r="1020" spans="1:6">
      <c r="A1020">
        <v>26</v>
      </c>
      <c r="B1020" t="s">
        <v>1718</v>
      </c>
      <c r="C1020">
        <v>5812</v>
      </c>
      <c r="D1020" t="s">
        <v>1567</v>
      </c>
      <c r="E1020" t="s">
        <v>1568</v>
      </c>
      <c r="F1020" t="s">
        <v>1569</v>
      </c>
    </row>
    <row r="1021" spans="1:6">
      <c r="A1021">
        <v>26</v>
      </c>
      <c r="B1021" t="s">
        <v>1718</v>
      </c>
      <c r="C1021">
        <v>600034</v>
      </c>
      <c r="D1021" t="s">
        <v>1570</v>
      </c>
      <c r="E1021" t="s">
        <v>1571</v>
      </c>
      <c r="F1021" t="s">
        <v>1572</v>
      </c>
    </row>
    <row r="1022" spans="1:6">
      <c r="A1022">
        <v>26</v>
      </c>
      <c r="B1022" t="s">
        <v>1718</v>
      </c>
      <c r="C1022">
        <v>2147</v>
      </c>
      <c r="D1022" t="s">
        <v>1573</v>
      </c>
      <c r="E1022" t="s">
        <v>1574</v>
      </c>
      <c r="F1022" t="s">
        <v>1575</v>
      </c>
    </row>
    <row r="1023" spans="1:6">
      <c r="A1023">
        <v>26</v>
      </c>
      <c r="B1023" t="s">
        <v>1718</v>
      </c>
      <c r="C1023">
        <v>2068</v>
      </c>
      <c r="D1023" t="s">
        <v>1371</v>
      </c>
      <c r="E1023" t="s">
        <v>1372</v>
      </c>
      <c r="F1023" t="s">
        <v>1373</v>
      </c>
    </row>
    <row r="1024" spans="1:6">
      <c r="A1024">
        <v>26</v>
      </c>
      <c r="B1024" t="s">
        <v>1718</v>
      </c>
      <c r="C1024">
        <v>258.95999999999998</v>
      </c>
      <c r="D1024" t="s">
        <v>1374</v>
      </c>
      <c r="E1024" t="s">
        <v>1375</v>
      </c>
      <c r="F1024" t="s">
        <v>1376</v>
      </c>
    </row>
    <row r="1025" spans="1:6">
      <c r="A1025">
        <v>26</v>
      </c>
      <c r="B1025" t="s">
        <v>1718</v>
      </c>
      <c r="C1025">
        <v>631.21</v>
      </c>
      <c r="D1025" t="s">
        <v>1377</v>
      </c>
      <c r="E1025" t="s">
        <v>1375</v>
      </c>
      <c r="F1025" t="s">
        <v>1378</v>
      </c>
    </row>
    <row r="1026" spans="1:6">
      <c r="A1026">
        <v>26</v>
      </c>
      <c r="B1026" t="s">
        <v>1718</v>
      </c>
      <c r="C1026">
        <v>2073.6999999999998</v>
      </c>
      <c r="D1026" t="s">
        <v>1431</v>
      </c>
      <c r="E1026" t="s">
        <v>1432</v>
      </c>
      <c r="F1026" t="s">
        <v>1433</v>
      </c>
    </row>
    <row r="1027" spans="1:6">
      <c r="A1027">
        <v>26</v>
      </c>
      <c r="B1027" t="s">
        <v>1718</v>
      </c>
      <c r="C1027">
        <v>6328.74</v>
      </c>
      <c r="D1027" t="s">
        <v>1434</v>
      </c>
      <c r="E1027" t="s">
        <v>1432</v>
      </c>
      <c r="F1027" t="s">
        <v>1435</v>
      </c>
    </row>
    <row r="1028" spans="1:6">
      <c r="A1028">
        <v>26</v>
      </c>
      <c r="B1028" t="s">
        <v>1718</v>
      </c>
      <c r="C1028">
        <v>88623.91</v>
      </c>
      <c r="D1028" t="s">
        <v>1478</v>
      </c>
      <c r="E1028" t="s">
        <v>1479</v>
      </c>
      <c r="F1028" t="s">
        <v>1480</v>
      </c>
    </row>
    <row r="1029" spans="1:6">
      <c r="A1029">
        <v>27</v>
      </c>
      <c r="B1029" t="s">
        <v>1719</v>
      </c>
      <c r="C1029">
        <v>10033</v>
      </c>
      <c r="D1029" t="s">
        <v>1486</v>
      </c>
      <c r="E1029" t="s">
        <v>1487</v>
      </c>
      <c r="F1029" t="s">
        <v>1488</v>
      </c>
    </row>
    <row r="1030" spans="1:6">
      <c r="A1030">
        <v>27</v>
      </c>
      <c r="B1030" t="s">
        <v>1719</v>
      </c>
      <c r="C1030">
        <v>6704</v>
      </c>
      <c r="D1030" t="s">
        <v>1489</v>
      </c>
      <c r="E1030" t="s">
        <v>1490</v>
      </c>
      <c r="F1030" t="s">
        <v>1491</v>
      </c>
    </row>
    <row r="1031" spans="1:6">
      <c r="A1031">
        <v>27</v>
      </c>
      <c r="B1031" t="s">
        <v>1719</v>
      </c>
      <c r="C1031">
        <v>116769</v>
      </c>
      <c r="D1031" t="s">
        <v>1567</v>
      </c>
      <c r="E1031" t="s">
        <v>1568</v>
      </c>
      <c r="F1031" t="s">
        <v>1569</v>
      </c>
    </row>
    <row r="1032" spans="1:6">
      <c r="A1032">
        <v>27</v>
      </c>
      <c r="B1032" t="s">
        <v>1719</v>
      </c>
      <c r="C1032">
        <v>5958535</v>
      </c>
      <c r="D1032" t="s">
        <v>1570</v>
      </c>
      <c r="E1032" t="s">
        <v>1571</v>
      </c>
      <c r="F1032" t="s">
        <v>1572</v>
      </c>
    </row>
    <row r="1033" spans="1:6">
      <c r="A1033">
        <v>27</v>
      </c>
      <c r="B1033" t="s">
        <v>1719</v>
      </c>
      <c r="C1033">
        <v>10343</v>
      </c>
      <c r="D1033" t="s">
        <v>1520</v>
      </c>
      <c r="E1033" t="s">
        <v>1521</v>
      </c>
      <c r="F1033" t="s">
        <v>1522</v>
      </c>
    </row>
    <row r="1034" spans="1:6">
      <c r="A1034">
        <v>27</v>
      </c>
      <c r="B1034" t="s">
        <v>1719</v>
      </c>
      <c r="C1034">
        <v>281879</v>
      </c>
      <c r="D1034" t="s">
        <v>1573</v>
      </c>
      <c r="E1034" t="s">
        <v>1574</v>
      </c>
      <c r="F1034" t="s">
        <v>1575</v>
      </c>
    </row>
    <row r="1035" spans="1:6">
      <c r="A1035">
        <v>27</v>
      </c>
      <c r="B1035" t="s">
        <v>1719</v>
      </c>
      <c r="C1035">
        <v>7301</v>
      </c>
      <c r="D1035" t="s">
        <v>1371</v>
      </c>
      <c r="E1035" t="s">
        <v>1372</v>
      </c>
      <c r="F1035" t="s">
        <v>1373</v>
      </c>
    </row>
    <row r="1036" spans="1:6">
      <c r="A1036">
        <v>27</v>
      </c>
      <c r="B1036" t="s">
        <v>1719</v>
      </c>
      <c r="C1036">
        <v>14000</v>
      </c>
      <c r="D1036" t="s">
        <v>1528</v>
      </c>
      <c r="E1036" t="s">
        <v>1529</v>
      </c>
      <c r="F1036" t="s">
        <v>1530</v>
      </c>
    </row>
    <row r="1037" spans="1:6">
      <c r="A1037">
        <v>27</v>
      </c>
      <c r="B1037" t="s">
        <v>1719</v>
      </c>
      <c r="C1037">
        <v>20781.759999999998</v>
      </c>
      <c r="D1037" t="s">
        <v>1431</v>
      </c>
      <c r="E1037" t="s">
        <v>1432</v>
      </c>
      <c r="F1037" t="s">
        <v>1433</v>
      </c>
    </row>
    <row r="1038" spans="1:6">
      <c r="A1038">
        <v>27</v>
      </c>
      <c r="B1038" t="s">
        <v>1719</v>
      </c>
      <c r="C1038">
        <v>52450.66</v>
      </c>
      <c r="D1038" t="s">
        <v>1434</v>
      </c>
      <c r="E1038" t="s">
        <v>1432</v>
      </c>
      <c r="F1038" t="s">
        <v>1435</v>
      </c>
    </row>
    <row r="1039" spans="1:6">
      <c r="A1039">
        <v>27</v>
      </c>
      <c r="B1039" t="s">
        <v>1719</v>
      </c>
      <c r="C1039">
        <v>7466</v>
      </c>
      <c r="D1039" t="s">
        <v>1576</v>
      </c>
      <c r="E1039" t="s">
        <v>1577</v>
      </c>
      <c r="F1039" t="s">
        <v>1578</v>
      </c>
    </row>
    <row r="1040" spans="1:6">
      <c r="A1040">
        <v>27</v>
      </c>
      <c r="B1040" t="s">
        <v>1719</v>
      </c>
      <c r="C1040">
        <v>135965</v>
      </c>
      <c r="D1040" t="s">
        <v>1579</v>
      </c>
      <c r="E1040" t="s">
        <v>1577</v>
      </c>
      <c r="F1040" t="s">
        <v>1580</v>
      </c>
    </row>
    <row r="1041" spans="1:6">
      <c r="A1041">
        <v>27</v>
      </c>
      <c r="B1041" t="s">
        <v>1719</v>
      </c>
      <c r="C1041">
        <v>13666</v>
      </c>
      <c r="D1041" t="s">
        <v>1436</v>
      </c>
      <c r="E1041" t="s">
        <v>1437</v>
      </c>
      <c r="F1041" t="s">
        <v>1438</v>
      </c>
    </row>
    <row r="1042" spans="1:6">
      <c r="A1042">
        <v>27</v>
      </c>
      <c r="B1042" t="s">
        <v>1719</v>
      </c>
      <c r="C1042">
        <v>45825</v>
      </c>
      <c r="D1042" t="s">
        <v>1584</v>
      </c>
      <c r="E1042" t="s">
        <v>1585</v>
      </c>
      <c r="F1042" t="s">
        <v>1586</v>
      </c>
    </row>
    <row r="1043" spans="1:6">
      <c r="A1043">
        <v>27</v>
      </c>
      <c r="B1043" t="s">
        <v>1719</v>
      </c>
      <c r="C1043">
        <v>11072</v>
      </c>
      <c r="D1043" t="s">
        <v>1587</v>
      </c>
      <c r="E1043" t="s">
        <v>1585</v>
      </c>
      <c r="F1043" t="s">
        <v>1588</v>
      </c>
    </row>
    <row r="1044" spans="1:6">
      <c r="A1044">
        <v>27</v>
      </c>
      <c r="B1044" t="s">
        <v>1719</v>
      </c>
      <c r="C1044">
        <v>6227</v>
      </c>
      <c r="D1044" t="s">
        <v>1592</v>
      </c>
      <c r="E1044" t="s">
        <v>1590</v>
      </c>
      <c r="F1044" t="s">
        <v>1593</v>
      </c>
    </row>
    <row r="1045" spans="1:6">
      <c r="A1045">
        <v>27</v>
      </c>
      <c r="B1045" t="s">
        <v>1719</v>
      </c>
      <c r="C1045">
        <v>49140</v>
      </c>
      <c r="D1045" t="s">
        <v>1599</v>
      </c>
      <c r="E1045" t="s">
        <v>1600</v>
      </c>
      <c r="F1045" t="s">
        <v>1601</v>
      </c>
    </row>
    <row r="1046" spans="1:6">
      <c r="A1046">
        <v>27</v>
      </c>
      <c r="B1046" t="s">
        <v>1719</v>
      </c>
      <c r="C1046">
        <v>298784</v>
      </c>
      <c r="D1046" t="s">
        <v>1602</v>
      </c>
      <c r="E1046" t="s">
        <v>1600</v>
      </c>
      <c r="F1046" t="s">
        <v>1603</v>
      </c>
    </row>
    <row r="1047" spans="1:6">
      <c r="A1047">
        <v>27</v>
      </c>
      <c r="B1047" t="s">
        <v>1719</v>
      </c>
      <c r="C1047">
        <v>8200</v>
      </c>
      <c r="D1047" t="s">
        <v>1604</v>
      </c>
      <c r="E1047" t="s">
        <v>1605</v>
      </c>
      <c r="F1047" t="s">
        <v>1606</v>
      </c>
    </row>
    <row r="1048" spans="1:6">
      <c r="A1048">
        <v>27</v>
      </c>
      <c r="B1048" t="s">
        <v>1719</v>
      </c>
      <c r="C1048">
        <v>6000</v>
      </c>
      <c r="D1048" t="s">
        <v>1466</v>
      </c>
      <c r="E1048" t="s">
        <v>1467</v>
      </c>
      <c r="F1048" t="s">
        <v>1468</v>
      </c>
    </row>
    <row r="1049" spans="1:6">
      <c r="A1049">
        <v>27</v>
      </c>
      <c r="B1049" t="s">
        <v>1719</v>
      </c>
      <c r="C1049">
        <v>35964.28</v>
      </c>
      <c r="D1049" t="s">
        <v>1475</v>
      </c>
      <c r="E1049" t="s">
        <v>1476</v>
      </c>
      <c r="F1049" t="s">
        <v>1477</v>
      </c>
    </row>
    <row r="1050" spans="1:6">
      <c r="A1050">
        <v>27</v>
      </c>
      <c r="B1050" t="s">
        <v>1719</v>
      </c>
      <c r="C1050">
        <v>223919.48</v>
      </c>
      <c r="D1050" t="s">
        <v>1365</v>
      </c>
      <c r="E1050" t="s">
        <v>1366</v>
      </c>
      <c r="F1050" t="s">
        <v>1367</v>
      </c>
    </row>
    <row r="1051" spans="1:6">
      <c r="A1051">
        <v>27</v>
      </c>
      <c r="B1051" t="s">
        <v>1719</v>
      </c>
      <c r="C1051">
        <v>1853588</v>
      </c>
      <c r="D1051" t="s">
        <v>1610</v>
      </c>
      <c r="E1051" t="s">
        <v>1481</v>
      </c>
      <c r="F1051" t="s">
        <v>1482</v>
      </c>
    </row>
    <row r="1052" spans="1:6">
      <c r="A1052">
        <v>28</v>
      </c>
      <c r="B1052" t="s">
        <v>1720</v>
      </c>
      <c r="C1052">
        <v>25000</v>
      </c>
      <c r="D1052" t="s">
        <v>1290</v>
      </c>
      <c r="E1052" t="s">
        <v>1291</v>
      </c>
      <c r="F1052" t="s">
        <v>1292</v>
      </c>
    </row>
    <row r="1053" spans="1:6">
      <c r="A1053">
        <v>28</v>
      </c>
      <c r="B1053" t="s">
        <v>1720</v>
      </c>
      <c r="C1053">
        <v>14703</v>
      </c>
      <c r="D1053" t="s">
        <v>1486</v>
      </c>
      <c r="E1053" t="s">
        <v>1487</v>
      </c>
      <c r="F1053" t="s">
        <v>1488</v>
      </c>
    </row>
    <row r="1054" spans="1:6">
      <c r="A1054">
        <v>28</v>
      </c>
      <c r="B1054" t="s">
        <v>1720</v>
      </c>
      <c r="C1054">
        <v>6877</v>
      </c>
      <c r="D1054" t="s">
        <v>1489</v>
      </c>
      <c r="E1054" t="s">
        <v>1490</v>
      </c>
      <c r="F1054" t="s">
        <v>1491</v>
      </c>
    </row>
    <row r="1055" spans="1:6">
      <c r="A1055">
        <v>28</v>
      </c>
      <c r="B1055" t="s">
        <v>1720</v>
      </c>
      <c r="C1055">
        <v>412496</v>
      </c>
      <c r="D1055" t="s">
        <v>1567</v>
      </c>
      <c r="E1055" t="s">
        <v>1568</v>
      </c>
      <c r="F1055" t="s">
        <v>1569</v>
      </c>
    </row>
    <row r="1056" spans="1:6">
      <c r="A1056">
        <v>28</v>
      </c>
      <c r="B1056" t="s">
        <v>1720</v>
      </c>
      <c r="C1056">
        <v>11540190</v>
      </c>
      <c r="D1056" t="s">
        <v>1570</v>
      </c>
      <c r="E1056" t="s">
        <v>1571</v>
      </c>
      <c r="F1056" t="s">
        <v>1572</v>
      </c>
    </row>
    <row r="1057" spans="1:6">
      <c r="A1057">
        <v>28</v>
      </c>
      <c r="B1057" t="s">
        <v>1720</v>
      </c>
      <c r="C1057">
        <v>366892</v>
      </c>
      <c r="D1057" t="s">
        <v>1520</v>
      </c>
      <c r="E1057" t="s">
        <v>1521</v>
      </c>
      <c r="F1057" t="s">
        <v>1522</v>
      </c>
    </row>
    <row r="1058" spans="1:6">
      <c r="A1058">
        <v>28</v>
      </c>
      <c r="B1058" t="s">
        <v>1720</v>
      </c>
      <c r="C1058">
        <v>500431</v>
      </c>
      <c r="D1058" t="s">
        <v>1573</v>
      </c>
      <c r="E1058" t="s">
        <v>1574</v>
      </c>
      <c r="F1058" t="s">
        <v>1575</v>
      </c>
    </row>
    <row r="1059" spans="1:6">
      <c r="A1059">
        <v>28</v>
      </c>
      <c r="B1059" t="s">
        <v>1720</v>
      </c>
      <c r="C1059">
        <v>49153</v>
      </c>
      <c r="D1059" t="s">
        <v>1523</v>
      </c>
      <c r="E1059" t="s">
        <v>1521</v>
      </c>
      <c r="F1059" t="s">
        <v>1524</v>
      </c>
    </row>
    <row r="1060" spans="1:6">
      <c r="A1060">
        <v>28</v>
      </c>
      <c r="B1060" t="s">
        <v>1720</v>
      </c>
      <c r="C1060">
        <v>18745</v>
      </c>
      <c r="D1060" t="s">
        <v>1528</v>
      </c>
      <c r="E1060" t="s">
        <v>1529</v>
      </c>
      <c r="F1060" t="s">
        <v>1530</v>
      </c>
    </row>
    <row r="1061" spans="1:6">
      <c r="A1061">
        <v>28</v>
      </c>
      <c r="B1061" t="s">
        <v>1720</v>
      </c>
      <c r="C1061">
        <v>1290</v>
      </c>
      <c r="D1061" t="s">
        <v>1387</v>
      </c>
      <c r="E1061" t="s">
        <v>1388</v>
      </c>
      <c r="F1061" t="s">
        <v>1389</v>
      </c>
    </row>
    <row r="1062" spans="1:6">
      <c r="A1062">
        <v>28</v>
      </c>
      <c r="B1062" t="s">
        <v>1720</v>
      </c>
      <c r="C1062">
        <v>20100</v>
      </c>
      <c r="D1062" t="s">
        <v>1390</v>
      </c>
      <c r="E1062" t="s">
        <v>1391</v>
      </c>
      <c r="F1062" t="s">
        <v>1392</v>
      </c>
    </row>
    <row r="1063" spans="1:6">
      <c r="A1063">
        <v>28</v>
      </c>
      <c r="B1063" t="s">
        <v>1720</v>
      </c>
      <c r="C1063">
        <v>71834</v>
      </c>
      <c r="D1063" t="s">
        <v>1534</v>
      </c>
      <c r="E1063" t="s">
        <v>1535</v>
      </c>
      <c r="F1063" t="s">
        <v>1536</v>
      </c>
    </row>
    <row r="1064" spans="1:6">
      <c r="A1064">
        <v>28</v>
      </c>
      <c r="B1064" t="s">
        <v>1720</v>
      </c>
      <c r="C1064">
        <v>2545.54</v>
      </c>
      <c r="D1064" t="s">
        <v>1374</v>
      </c>
      <c r="E1064" t="s">
        <v>1375</v>
      </c>
      <c r="F1064" t="s">
        <v>1376</v>
      </c>
    </row>
    <row r="1065" spans="1:6">
      <c r="A1065">
        <v>28</v>
      </c>
      <c r="B1065" t="s">
        <v>1720</v>
      </c>
      <c r="C1065">
        <v>1996.48</v>
      </c>
      <c r="D1065" t="s">
        <v>1377</v>
      </c>
      <c r="E1065" t="s">
        <v>1375</v>
      </c>
      <c r="F1065" t="s">
        <v>1378</v>
      </c>
    </row>
    <row r="1066" spans="1:6">
      <c r="A1066">
        <v>28</v>
      </c>
      <c r="B1066" t="s">
        <v>1720</v>
      </c>
      <c r="C1066">
        <v>2967.25</v>
      </c>
      <c r="D1066" t="s">
        <v>1537</v>
      </c>
      <c r="E1066" t="s">
        <v>1538</v>
      </c>
      <c r="F1066" t="s">
        <v>1539</v>
      </c>
    </row>
    <row r="1067" spans="1:6">
      <c r="A1067">
        <v>28</v>
      </c>
      <c r="B1067" t="s">
        <v>1720</v>
      </c>
      <c r="C1067">
        <v>11344.58</v>
      </c>
      <c r="D1067" t="s">
        <v>1540</v>
      </c>
      <c r="E1067" t="s">
        <v>1538</v>
      </c>
      <c r="F1067" t="s">
        <v>1541</v>
      </c>
    </row>
    <row r="1068" spans="1:6">
      <c r="A1068">
        <v>28</v>
      </c>
      <c r="B1068" t="s">
        <v>1720</v>
      </c>
      <c r="C1068">
        <v>23864.71</v>
      </c>
      <c r="D1068" t="s">
        <v>1431</v>
      </c>
      <c r="E1068" t="s">
        <v>1432</v>
      </c>
      <c r="F1068" t="s">
        <v>1433</v>
      </c>
    </row>
    <row r="1069" spans="1:6">
      <c r="A1069">
        <v>28</v>
      </c>
      <c r="B1069" t="s">
        <v>1720</v>
      </c>
      <c r="C1069">
        <v>81531.070000000007</v>
      </c>
      <c r="D1069" t="s">
        <v>1434</v>
      </c>
      <c r="E1069" t="s">
        <v>1432</v>
      </c>
      <c r="F1069" t="s">
        <v>1435</v>
      </c>
    </row>
    <row r="1070" spans="1:6">
      <c r="A1070">
        <v>28</v>
      </c>
      <c r="B1070" t="s">
        <v>1720</v>
      </c>
      <c r="C1070">
        <v>62244</v>
      </c>
      <c r="D1070" t="s">
        <v>1576</v>
      </c>
      <c r="E1070" t="s">
        <v>1577</v>
      </c>
      <c r="F1070" t="s">
        <v>1578</v>
      </c>
    </row>
    <row r="1071" spans="1:6">
      <c r="A1071">
        <v>28</v>
      </c>
      <c r="B1071" t="s">
        <v>1720</v>
      </c>
      <c r="C1071">
        <v>78914</v>
      </c>
      <c r="D1071" t="s">
        <v>1579</v>
      </c>
      <c r="E1071" t="s">
        <v>1577</v>
      </c>
      <c r="F1071" t="s">
        <v>1580</v>
      </c>
    </row>
    <row r="1072" spans="1:6">
      <c r="A1072">
        <v>28</v>
      </c>
      <c r="B1072" t="s">
        <v>1720</v>
      </c>
      <c r="C1072">
        <v>12147</v>
      </c>
      <c r="D1072" t="s">
        <v>1293</v>
      </c>
      <c r="E1072" t="s">
        <v>1437</v>
      </c>
      <c r="F1072" t="s">
        <v>1283</v>
      </c>
    </row>
    <row r="1073" spans="1:6">
      <c r="A1073">
        <v>28</v>
      </c>
      <c r="B1073" t="s">
        <v>1720</v>
      </c>
      <c r="C1073">
        <v>20560</v>
      </c>
      <c r="D1073" t="s">
        <v>1436</v>
      </c>
      <c r="E1073" t="s">
        <v>1437</v>
      </c>
      <c r="F1073" t="s">
        <v>1438</v>
      </c>
    </row>
    <row r="1074" spans="1:6">
      <c r="A1074">
        <v>28</v>
      </c>
      <c r="B1074" t="s">
        <v>1720</v>
      </c>
      <c r="C1074">
        <v>50000</v>
      </c>
      <c r="D1074" t="s">
        <v>1294</v>
      </c>
      <c r="E1074" t="s">
        <v>1295</v>
      </c>
      <c r="F1074" t="s">
        <v>1438</v>
      </c>
    </row>
    <row r="1075" spans="1:6">
      <c r="A1075">
        <v>28</v>
      </c>
      <c r="B1075" t="s">
        <v>1720</v>
      </c>
      <c r="C1075">
        <v>341</v>
      </c>
      <c r="D1075" t="s">
        <v>1442</v>
      </c>
      <c r="E1075" t="s">
        <v>1582</v>
      </c>
      <c r="F1075" t="s">
        <v>1443</v>
      </c>
    </row>
    <row r="1076" spans="1:6">
      <c r="A1076">
        <v>28</v>
      </c>
      <c r="B1076" t="s">
        <v>1720</v>
      </c>
      <c r="C1076">
        <v>110</v>
      </c>
      <c r="D1076" t="s">
        <v>1581</v>
      </c>
      <c r="E1076" t="s">
        <v>1582</v>
      </c>
      <c r="F1076" t="s">
        <v>1583</v>
      </c>
    </row>
    <row r="1077" spans="1:6">
      <c r="A1077">
        <v>28</v>
      </c>
      <c r="B1077" t="s">
        <v>1720</v>
      </c>
      <c r="C1077">
        <v>375</v>
      </c>
      <c r="D1077" t="s">
        <v>1296</v>
      </c>
      <c r="E1077" t="s">
        <v>1585</v>
      </c>
      <c r="F1077" t="s">
        <v>1297</v>
      </c>
    </row>
    <row r="1078" spans="1:6">
      <c r="A1078">
        <v>28</v>
      </c>
      <c r="B1078" t="s">
        <v>1720</v>
      </c>
      <c r="C1078">
        <v>47553</v>
      </c>
      <c r="D1078" t="s">
        <v>1584</v>
      </c>
      <c r="E1078" t="s">
        <v>1585</v>
      </c>
      <c r="F1078" t="s">
        <v>1586</v>
      </c>
    </row>
    <row r="1079" spans="1:6">
      <c r="A1079">
        <v>28</v>
      </c>
      <c r="B1079" t="s">
        <v>1720</v>
      </c>
      <c r="C1079">
        <v>16777</v>
      </c>
      <c r="D1079" t="s">
        <v>1587</v>
      </c>
      <c r="E1079" t="s">
        <v>1585</v>
      </c>
      <c r="F1079" t="s">
        <v>1588</v>
      </c>
    </row>
    <row r="1080" spans="1:6">
      <c r="A1080">
        <v>28</v>
      </c>
      <c r="B1080" t="s">
        <v>1720</v>
      </c>
      <c r="C1080">
        <v>6320</v>
      </c>
      <c r="D1080" t="s">
        <v>1298</v>
      </c>
      <c r="E1080" t="s">
        <v>1590</v>
      </c>
      <c r="F1080" t="s">
        <v>1285</v>
      </c>
    </row>
    <row r="1081" spans="1:6">
      <c r="A1081">
        <v>28</v>
      </c>
      <c r="B1081" t="s">
        <v>1720</v>
      </c>
      <c r="C1081">
        <v>5304</v>
      </c>
      <c r="D1081" t="s">
        <v>1589</v>
      </c>
      <c r="E1081" t="s">
        <v>1590</v>
      </c>
      <c r="F1081" t="s">
        <v>1591</v>
      </c>
    </row>
    <row r="1082" spans="1:6">
      <c r="A1082">
        <v>28</v>
      </c>
      <c r="B1082" t="s">
        <v>1720</v>
      </c>
      <c r="C1082">
        <v>4925</v>
      </c>
      <c r="D1082" t="s">
        <v>1299</v>
      </c>
      <c r="E1082" t="s">
        <v>1595</v>
      </c>
      <c r="F1082" t="s">
        <v>1300</v>
      </c>
    </row>
    <row r="1083" spans="1:6">
      <c r="A1083">
        <v>28</v>
      </c>
      <c r="B1083" t="s">
        <v>1720</v>
      </c>
      <c r="C1083">
        <v>4082</v>
      </c>
      <c r="D1083" t="s">
        <v>1594</v>
      </c>
      <c r="E1083" t="s">
        <v>1595</v>
      </c>
      <c r="F1083" t="s">
        <v>1596</v>
      </c>
    </row>
    <row r="1084" spans="1:6">
      <c r="A1084">
        <v>28</v>
      </c>
      <c r="B1084" t="s">
        <v>1720</v>
      </c>
      <c r="C1084">
        <v>837</v>
      </c>
      <c r="D1084" t="s">
        <v>1597</v>
      </c>
      <c r="E1084" t="s">
        <v>1595</v>
      </c>
      <c r="F1084" t="s">
        <v>1598</v>
      </c>
    </row>
    <row r="1085" spans="1:6">
      <c r="A1085">
        <v>28</v>
      </c>
      <c r="B1085" t="s">
        <v>1720</v>
      </c>
      <c r="C1085">
        <v>244012</v>
      </c>
      <c r="D1085" t="s">
        <v>1599</v>
      </c>
      <c r="E1085" t="s">
        <v>1600</v>
      </c>
      <c r="F1085" t="s">
        <v>1601</v>
      </c>
    </row>
    <row r="1086" spans="1:6">
      <c r="A1086">
        <v>28</v>
      </c>
      <c r="B1086" t="s">
        <v>1720</v>
      </c>
      <c r="C1086">
        <v>284633</v>
      </c>
      <c r="D1086" t="s">
        <v>1602</v>
      </c>
      <c r="E1086" t="s">
        <v>1600</v>
      </c>
      <c r="F1086" t="s">
        <v>1603</v>
      </c>
    </row>
    <row r="1087" spans="1:6">
      <c r="A1087">
        <v>28</v>
      </c>
      <c r="B1087" t="s">
        <v>1720</v>
      </c>
      <c r="C1087">
        <v>778</v>
      </c>
      <c r="D1087" t="s">
        <v>1301</v>
      </c>
      <c r="E1087" t="s">
        <v>1605</v>
      </c>
      <c r="F1087" t="s">
        <v>1302</v>
      </c>
    </row>
    <row r="1088" spans="1:6">
      <c r="A1088">
        <v>28</v>
      </c>
      <c r="B1088" t="s">
        <v>1720</v>
      </c>
      <c r="C1088">
        <v>18061</v>
      </c>
      <c r="D1088" t="s">
        <v>1459</v>
      </c>
      <c r="E1088" t="s">
        <v>1605</v>
      </c>
      <c r="F1088" t="s">
        <v>1460</v>
      </c>
    </row>
    <row r="1089" spans="1:6">
      <c r="A1089">
        <v>28</v>
      </c>
      <c r="B1089" t="s">
        <v>1720</v>
      </c>
      <c r="C1089">
        <v>13641</v>
      </c>
      <c r="D1089" t="s">
        <v>1604</v>
      </c>
      <c r="E1089" t="s">
        <v>1605</v>
      </c>
      <c r="F1089" t="s">
        <v>1606</v>
      </c>
    </row>
    <row r="1090" spans="1:6">
      <c r="A1090">
        <v>28</v>
      </c>
      <c r="B1090" t="s">
        <v>1720</v>
      </c>
      <c r="C1090">
        <v>72541.86</v>
      </c>
      <c r="D1090" t="s">
        <v>1379</v>
      </c>
      <c r="E1090" t="s">
        <v>1380</v>
      </c>
      <c r="F1090" t="s">
        <v>1381</v>
      </c>
    </row>
    <row r="1091" spans="1:6">
      <c r="A1091">
        <v>28</v>
      </c>
      <c r="B1091" t="s">
        <v>1720</v>
      </c>
      <c r="C1091">
        <v>192567.4</v>
      </c>
      <c r="D1091" t="s">
        <v>1475</v>
      </c>
      <c r="E1091" t="s">
        <v>1476</v>
      </c>
      <c r="F1091" t="s">
        <v>1477</v>
      </c>
    </row>
    <row r="1092" spans="1:6">
      <c r="A1092">
        <v>28</v>
      </c>
      <c r="B1092" t="s">
        <v>1720</v>
      </c>
      <c r="C1092">
        <v>619035.9</v>
      </c>
      <c r="D1092" t="s">
        <v>1478</v>
      </c>
      <c r="E1092" t="s">
        <v>1479</v>
      </c>
      <c r="F1092" t="s">
        <v>1480</v>
      </c>
    </row>
    <row r="1093" spans="1:6">
      <c r="A1093">
        <v>28</v>
      </c>
      <c r="B1093" t="s">
        <v>1720</v>
      </c>
      <c r="C1093">
        <v>563441.79</v>
      </c>
      <c r="D1093" t="s">
        <v>1365</v>
      </c>
      <c r="E1093" t="s">
        <v>1366</v>
      </c>
      <c r="F1093" t="s">
        <v>1367</v>
      </c>
    </row>
    <row r="1094" spans="1:6">
      <c r="A1094">
        <v>28</v>
      </c>
      <c r="B1094" t="s">
        <v>1720</v>
      </c>
      <c r="C1094">
        <v>9699959</v>
      </c>
      <c r="D1094" t="s">
        <v>1607</v>
      </c>
      <c r="E1094" t="s">
        <v>1608</v>
      </c>
      <c r="F1094" t="s">
        <v>1609</v>
      </c>
    </row>
    <row r="1095" spans="1:6">
      <c r="A1095">
        <v>28</v>
      </c>
      <c r="B1095" t="s">
        <v>1720</v>
      </c>
      <c r="C1095">
        <v>3648653</v>
      </c>
      <c r="D1095" t="s">
        <v>1610</v>
      </c>
      <c r="E1095" t="s">
        <v>1481</v>
      </c>
      <c r="F1095" t="s">
        <v>1482</v>
      </c>
    </row>
    <row r="1096" spans="1:6">
      <c r="A1096">
        <v>29</v>
      </c>
      <c r="B1096" t="s">
        <v>1721</v>
      </c>
      <c r="C1096">
        <v>1382</v>
      </c>
      <c r="D1096" t="s">
        <v>1486</v>
      </c>
      <c r="E1096" t="s">
        <v>1487</v>
      </c>
      <c r="F1096" t="s">
        <v>1488</v>
      </c>
    </row>
    <row r="1097" spans="1:6">
      <c r="A1097">
        <v>29</v>
      </c>
      <c r="B1097" t="s">
        <v>1721</v>
      </c>
      <c r="C1097">
        <v>646</v>
      </c>
      <c r="D1097" t="s">
        <v>1489</v>
      </c>
      <c r="E1097" t="s">
        <v>1490</v>
      </c>
      <c r="F1097" t="s">
        <v>1491</v>
      </c>
    </row>
    <row r="1098" spans="1:6">
      <c r="A1098">
        <v>29</v>
      </c>
      <c r="B1098" t="s">
        <v>1721</v>
      </c>
      <c r="C1098">
        <v>7715</v>
      </c>
      <c r="D1098" t="s">
        <v>1567</v>
      </c>
      <c r="E1098" t="s">
        <v>1568</v>
      </c>
      <c r="F1098" t="s">
        <v>1569</v>
      </c>
    </row>
    <row r="1099" spans="1:6">
      <c r="A1099">
        <v>29</v>
      </c>
      <c r="B1099" t="s">
        <v>1721</v>
      </c>
      <c r="C1099">
        <v>421519</v>
      </c>
      <c r="D1099" t="s">
        <v>1570</v>
      </c>
      <c r="E1099" t="s">
        <v>1571</v>
      </c>
      <c r="F1099" t="s">
        <v>1572</v>
      </c>
    </row>
    <row r="1100" spans="1:6">
      <c r="A1100">
        <v>29</v>
      </c>
      <c r="B1100" t="s">
        <v>1721</v>
      </c>
      <c r="C1100">
        <v>1783</v>
      </c>
      <c r="D1100" t="s">
        <v>1371</v>
      </c>
      <c r="E1100" t="s">
        <v>1372</v>
      </c>
      <c r="F1100" t="s">
        <v>1373</v>
      </c>
    </row>
    <row r="1101" spans="1:6">
      <c r="A1101">
        <v>29</v>
      </c>
      <c r="B1101" t="s">
        <v>1721</v>
      </c>
      <c r="C1101">
        <v>2207.64</v>
      </c>
      <c r="D1101" t="s">
        <v>1431</v>
      </c>
      <c r="E1101" t="s">
        <v>1432</v>
      </c>
      <c r="F1101" t="s">
        <v>1433</v>
      </c>
    </row>
    <row r="1102" spans="1:6">
      <c r="A1102">
        <v>29</v>
      </c>
      <c r="B1102" t="s">
        <v>1721</v>
      </c>
      <c r="C1102">
        <v>6059.97</v>
      </c>
      <c r="D1102" t="s">
        <v>1434</v>
      </c>
      <c r="E1102" t="s">
        <v>1432</v>
      </c>
      <c r="F1102" t="s">
        <v>1435</v>
      </c>
    </row>
    <row r="1103" spans="1:6">
      <c r="A1103">
        <v>29</v>
      </c>
      <c r="B1103" t="s">
        <v>1721</v>
      </c>
      <c r="C1103">
        <v>8137.5</v>
      </c>
      <c r="D1103" t="s">
        <v>1475</v>
      </c>
      <c r="E1103" t="s">
        <v>1476</v>
      </c>
      <c r="F1103" t="s">
        <v>1477</v>
      </c>
    </row>
    <row r="1104" spans="1:6">
      <c r="A1104">
        <v>29</v>
      </c>
      <c r="B1104" t="s">
        <v>1721</v>
      </c>
      <c r="C1104">
        <v>22003.79</v>
      </c>
      <c r="D1104" t="s">
        <v>1365</v>
      </c>
      <c r="E1104" t="s">
        <v>1366</v>
      </c>
      <c r="F1104" t="s">
        <v>1367</v>
      </c>
    </row>
    <row r="1105" spans="1:6">
      <c r="A1105">
        <v>30</v>
      </c>
      <c r="B1105" t="s">
        <v>1722</v>
      </c>
      <c r="C1105">
        <v>2734</v>
      </c>
      <c r="D1105" t="s">
        <v>1489</v>
      </c>
      <c r="E1105" t="s">
        <v>1490</v>
      </c>
      <c r="F1105" t="s">
        <v>1491</v>
      </c>
    </row>
    <row r="1106" spans="1:6">
      <c r="A1106">
        <v>30</v>
      </c>
      <c r="B1106" t="s">
        <v>1722</v>
      </c>
      <c r="C1106">
        <v>98034</v>
      </c>
      <c r="D1106" t="s">
        <v>1567</v>
      </c>
      <c r="E1106" t="s">
        <v>1568</v>
      </c>
      <c r="F1106" t="s">
        <v>1569</v>
      </c>
    </row>
    <row r="1107" spans="1:6">
      <c r="A1107">
        <v>30</v>
      </c>
      <c r="B1107" t="s">
        <v>1722</v>
      </c>
      <c r="C1107">
        <v>2168721</v>
      </c>
      <c r="D1107" t="s">
        <v>1570</v>
      </c>
      <c r="E1107" t="s">
        <v>1571</v>
      </c>
      <c r="F1107" t="s">
        <v>1572</v>
      </c>
    </row>
    <row r="1108" spans="1:6">
      <c r="A1108">
        <v>30</v>
      </c>
      <c r="B1108" t="s">
        <v>1722</v>
      </c>
      <c r="C1108">
        <v>19891</v>
      </c>
      <c r="D1108" t="s">
        <v>1520</v>
      </c>
      <c r="E1108" t="s">
        <v>1521</v>
      </c>
      <c r="F1108" t="s">
        <v>1522</v>
      </c>
    </row>
    <row r="1109" spans="1:6">
      <c r="A1109">
        <v>30</v>
      </c>
      <c r="B1109" t="s">
        <v>1722</v>
      </c>
      <c r="C1109">
        <v>97558</v>
      </c>
      <c r="D1109" t="s">
        <v>1573</v>
      </c>
      <c r="E1109" t="s">
        <v>1574</v>
      </c>
      <c r="F1109" t="s">
        <v>1575</v>
      </c>
    </row>
    <row r="1110" spans="1:6">
      <c r="A1110">
        <v>30</v>
      </c>
      <c r="B1110" t="s">
        <v>1722</v>
      </c>
      <c r="C1110">
        <v>6322.33</v>
      </c>
      <c r="D1110" t="s">
        <v>1431</v>
      </c>
      <c r="E1110" t="s">
        <v>1432</v>
      </c>
      <c r="F1110" t="s">
        <v>1433</v>
      </c>
    </row>
    <row r="1111" spans="1:6">
      <c r="A1111">
        <v>30</v>
      </c>
      <c r="B1111" t="s">
        <v>1722</v>
      </c>
      <c r="C1111">
        <v>12478.37</v>
      </c>
      <c r="D1111" t="s">
        <v>1434</v>
      </c>
      <c r="E1111" t="s">
        <v>1432</v>
      </c>
      <c r="F1111" t="s">
        <v>1435</v>
      </c>
    </row>
    <row r="1112" spans="1:6">
      <c r="A1112">
        <v>30</v>
      </c>
      <c r="B1112" t="s">
        <v>1722</v>
      </c>
      <c r="C1112">
        <v>10358</v>
      </c>
      <c r="D1112" t="s">
        <v>1576</v>
      </c>
      <c r="E1112" t="s">
        <v>1577</v>
      </c>
      <c r="F1112" t="s">
        <v>1578</v>
      </c>
    </row>
    <row r="1113" spans="1:6">
      <c r="A1113">
        <v>30</v>
      </c>
      <c r="B1113" t="s">
        <v>1722</v>
      </c>
      <c r="C1113">
        <v>60725</v>
      </c>
      <c r="D1113" t="s">
        <v>1579</v>
      </c>
      <c r="E1113" t="s">
        <v>1577</v>
      </c>
      <c r="F1113" t="s">
        <v>1580</v>
      </c>
    </row>
    <row r="1114" spans="1:6">
      <c r="A1114">
        <v>30</v>
      </c>
      <c r="B1114" t="s">
        <v>1722</v>
      </c>
      <c r="C1114">
        <v>1091</v>
      </c>
      <c r="D1114" t="s">
        <v>1442</v>
      </c>
      <c r="E1114" t="s">
        <v>1582</v>
      </c>
      <c r="F1114" t="s">
        <v>1443</v>
      </c>
    </row>
    <row r="1115" spans="1:6">
      <c r="A1115">
        <v>30</v>
      </c>
      <c r="B1115" t="s">
        <v>1722</v>
      </c>
      <c r="C1115">
        <v>2482</v>
      </c>
      <c r="D1115" t="s">
        <v>1589</v>
      </c>
      <c r="E1115" t="s">
        <v>1590</v>
      </c>
      <c r="F1115" t="s">
        <v>1591</v>
      </c>
    </row>
    <row r="1116" spans="1:6">
      <c r="A1116">
        <v>30</v>
      </c>
      <c r="B1116" t="s">
        <v>1722</v>
      </c>
      <c r="C1116">
        <v>500</v>
      </c>
      <c r="D1116" t="s">
        <v>1597</v>
      </c>
      <c r="E1116" t="s">
        <v>1595</v>
      </c>
      <c r="F1116" t="s">
        <v>1598</v>
      </c>
    </row>
    <row r="1117" spans="1:6">
      <c r="A1117">
        <v>30</v>
      </c>
      <c r="B1117" t="s">
        <v>1722</v>
      </c>
      <c r="C1117">
        <v>87765</v>
      </c>
      <c r="D1117" t="s">
        <v>1599</v>
      </c>
      <c r="E1117" t="s">
        <v>1600</v>
      </c>
      <c r="F1117" t="s">
        <v>1601</v>
      </c>
    </row>
    <row r="1118" spans="1:6">
      <c r="A1118">
        <v>30</v>
      </c>
      <c r="B1118" t="s">
        <v>1722</v>
      </c>
      <c r="C1118">
        <v>40000</v>
      </c>
      <c r="D1118" t="s">
        <v>1602</v>
      </c>
      <c r="E1118" t="s">
        <v>1600</v>
      </c>
      <c r="F1118" t="s">
        <v>1603</v>
      </c>
    </row>
    <row r="1119" spans="1:6">
      <c r="A1119">
        <v>30</v>
      </c>
      <c r="B1119" t="s">
        <v>1722</v>
      </c>
      <c r="C1119">
        <v>73862.41</v>
      </c>
      <c r="D1119" t="s">
        <v>1475</v>
      </c>
      <c r="E1119" t="s">
        <v>1476</v>
      </c>
      <c r="F1119" t="s">
        <v>1477</v>
      </c>
    </row>
    <row r="1120" spans="1:6">
      <c r="A1120">
        <v>30</v>
      </c>
      <c r="B1120" t="s">
        <v>1722</v>
      </c>
      <c r="C1120">
        <v>329544.40000000002</v>
      </c>
      <c r="D1120" t="s">
        <v>1365</v>
      </c>
      <c r="E1120" t="s">
        <v>1366</v>
      </c>
      <c r="F1120" t="s">
        <v>1367</v>
      </c>
    </row>
    <row r="1121" spans="1:6">
      <c r="A1121">
        <v>31</v>
      </c>
      <c r="B1121" t="s">
        <v>1723</v>
      </c>
      <c r="C1121">
        <v>722</v>
      </c>
      <c r="D1121" t="s">
        <v>1567</v>
      </c>
      <c r="E1121" t="s">
        <v>1568</v>
      </c>
      <c r="F1121" t="s">
        <v>1569</v>
      </c>
    </row>
    <row r="1122" spans="1:6">
      <c r="A1122">
        <v>31</v>
      </c>
      <c r="B1122" t="s">
        <v>1723</v>
      </c>
      <c r="C1122">
        <v>61099</v>
      </c>
      <c r="D1122" t="s">
        <v>1570</v>
      </c>
      <c r="E1122" t="s">
        <v>1571</v>
      </c>
      <c r="F1122" t="s">
        <v>1572</v>
      </c>
    </row>
    <row r="1123" spans="1:6">
      <c r="A1123">
        <v>31</v>
      </c>
      <c r="B1123" t="s">
        <v>1723</v>
      </c>
      <c r="C1123">
        <v>32361</v>
      </c>
      <c r="D1123" t="s">
        <v>1573</v>
      </c>
      <c r="E1123" t="s">
        <v>1574</v>
      </c>
      <c r="F1123" t="s">
        <v>1575</v>
      </c>
    </row>
    <row r="1124" spans="1:6">
      <c r="A1124">
        <v>31</v>
      </c>
      <c r="B1124" t="s">
        <v>1723</v>
      </c>
      <c r="C1124">
        <v>361</v>
      </c>
      <c r="D1124" t="s">
        <v>1371</v>
      </c>
      <c r="E1124" t="s">
        <v>1372</v>
      </c>
      <c r="F1124" t="s">
        <v>1373</v>
      </c>
    </row>
    <row r="1125" spans="1:6">
      <c r="A1125">
        <v>31</v>
      </c>
      <c r="B1125" t="s">
        <v>1723</v>
      </c>
      <c r="C1125">
        <v>981.53</v>
      </c>
      <c r="D1125" t="s">
        <v>1374</v>
      </c>
      <c r="E1125" t="s">
        <v>1375</v>
      </c>
      <c r="F1125" t="s">
        <v>1376</v>
      </c>
    </row>
    <row r="1126" spans="1:6">
      <c r="A1126">
        <v>31</v>
      </c>
      <c r="B1126" t="s">
        <v>1723</v>
      </c>
      <c r="C1126">
        <v>2346.7399999999998</v>
      </c>
      <c r="D1126" t="s">
        <v>1377</v>
      </c>
      <c r="E1126" t="s">
        <v>1375</v>
      </c>
      <c r="F1126" t="s">
        <v>1378</v>
      </c>
    </row>
    <row r="1127" spans="1:6">
      <c r="A1127">
        <v>31</v>
      </c>
      <c r="B1127" t="s">
        <v>1723</v>
      </c>
      <c r="C1127">
        <v>26636</v>
      </c>
      <c r="D1127" t="s">
        <v>1579</v>
      </c>
      <c r="E1127" t="s">
        <v>1577</v>
      </c>
      <c r="F1127" t="s">
        <v>1580</v>
      </c>
    </row>
    <row r="1128" spans="1:6">
      <c r="A1128">
        <v>31</v>
      </c>
      <c r="B1128" t="s">
        <v>1723</v>
      </c>
      <c r="C1128">
        <v>563</v>
      </c>
      <c r="D1128" t="s">
        <v>1442</v>
      </c>
      <c r="E1128" t="s">
        <v>1582</v>
      </c>
      <c r="F1128" t="s">
        <v>1443</v>
      </c>
    </row>
    <row r="1129" spans="1:6">
      <c r="A1129">
        <v>31</v>
      </c>
      <c r="B1129" t="s">
        <v>1723</v>
      </c>
      <c r="C1129">
        <v>7358</v>
      </c>
      <c r="D1129" t="s">
        <v>1584</v>
      </c>
      <c r="E1129" t="s">
        <v>1585</v>
      </c>
      <c r="F1129" t="s">
        <v>1586</v>
      </c>
    </row>
    <row r="1130" spans="1:6">
      <c r="A1130">
        <v>31</v>
      </c>
      <c r="B1130" t="s">
        <v>1723</v>
      </c>
      <c r="C1130">
        <v>886</v>
      </c>
      <c r="D1130" t="s">
        <v>1589</v>
      </c>
      <c r="E1130" t="s">
        <v>1590</v>
      </c>
      <c r="F1130" t="s">
        <v>1591</v>
      </c>
    </row>
    <row r="1131" spans="1:6">
      <c r="A1131">
        <v>31</v>
      </c>
      <c r="B1131" t="s">
        <v>1723</v>
      </c>
      <c r="C1131">
        <v>137</v>
      </c>
      <c r="D1131" t="s">
        <v>1594</v>
      </c>
      <c r="E1131" t="s">
        <v>1595</v>
      </c>
      <c r="F1131" t="s">
        <v>1596</v>
      </c>
    </row>
    <row r="1132" spans="1:6">
      <c r="A1132">
        <v>31</v>
      </c>
      <c r="B1132" t="s">
        <v>1723</v>
      </c>
      <c r="C1132">
        <v>13235.83</v>
      </c>
      <c r="D1132" t="s">
        <v>1475</v>
      </c>
      <c r="E1132" t="s">
        <v>1476</v>
      </c>
      <c r="F1132" t="s">
        <v>1477</v>
      </c>
    </row>
    <row r="1133" spans="1:6">
      <c r="A1133">
        <v>31</v>
      </c>
      <c r="B1133" t="s">
        <v>1723</v>
      </c>
      <c r="C1133">
        <v>55984.18</v>
      </c>
      <c r="D1133" t="s">
        <v>1478</v>
      </c>
      <c r="E1133" t="s">
        <v>1479</v>
      </c>
      <c r="F1133" t="s">
        <v>1480</v>
      </c>
    </row>
    <row r="1134" spans="1:6">
      <c r="A1134">
        <v>32</v>
      </c>
      <c r="B1134" t="s">
        <v>1724</v>
      </c>
      <c r="C1134">
        <v>20138</v>
      </c>
      <c r="D1134" t="s">
        <v>1483</v>
      </c>
      <c r="E1134" t="s">
        <v>1484</v>
      </c>
      <c r="F1134" t="s">
        <v>1485</v>
      </c>
    </row>
    <row r="1135" spans="1:6">
      <c r="A1135">
        <v>32</v>
      </c>
      <c r="B1135" t="s">
        <v>1724</v>
      </c>
      <c r="C1135">
        <v>63640</v>
      </c>
      <c r="D1135" t="s">
        <v>1401</v>
      </c>
      <c r="E1135" t="s">
        <v>1402</v>
      </c>
      <c r="F1135" t="s">
        <v>1403</v>
      </c>
    </row>
    <row r="1136" spans="1:6">
      <c r="A1136">
        <v>32</v>
      </c>
      <c r="B1136" t="s">
        <v>1724</v>
      </c>
      <c r="C1136">
        <v>23113</v>
      </c>
      <c r="D1136" t="s">
        <v>1486</v>
      </c>
      <c r="E1136" t="s">
        <v>1487</v>
      </c>
      <c r="F1136" t="s">
        <v>1488</v>
      </c>
    </row>
    <row r="1137" spans="1:6">
      <c r="A1137">
        <v>32</v>
      </c>
      <c r="B1137" t="s">
        <v>1724</v>
      </c>
      <c r="C1137">
        <v>10810</v>
      </c>
      <c r="D1137" t="s">
        <v>1489</v>
      </c>
      <c r="E1137" t="s">
        <v>1490</v>
      </c>
      <c r="F1137" t="s">
        <v>1491</v>
      </c>
    </row>
    <row r="1138" spans="1:6">
      <c r="A1138">
        <v>32</v>
      </c>
      <c r="B1138" t="s">
        <v>1724</v>
      </c>
      <c r="C1138">
        <v>277760</v>
      </c>
      <c r="D1138" t="s">
        <v>1567</v>
      </c>
      <c r="E1138" t="s">
        <v>1568</v>
      </c>
      <c r="F1138" t="s">
        <v>1569</v>
      </c>
    </row>
    <row r="1139" spans="1:6">
      <c r="A1139">
        <v>32</v>
      </c>
      <c r="B1139" t="s">
        <v>1724</v>
      </c>
      <c r="C1139">
        <v>7718622</v>
      </c>
      <c r="D1139" t="s">
        <v>1570</v>
      </c>
      <c r="E1139" t="s">
        <v>1571</v>
      </c>
      <c r="F1139" t="s">
        <v>1572</v>
      </c>
    </row>
    <row r="1140" spans="1:6">
      <c r="A1140">
        <v>32</v>
      </c>
      <c r="B1140" t="s">
        <v>1724</v>
      </c>
      <c r="C1140">
        <v>32074</v>
      </c>
      <c r="D1140" t="s">
        <v>1520</v>
      </c>
      <c r="E1140" t="s">
        <v>1521</v>
      </c>
      <c r="F1140" t="s">
        <v>1522</v>
      </c>
    </row>
    <row r="1141" spans="1:6">
      <c r="A1141">
        <v>32</v>
      </c>
      <c r="B1141" t="s">
        <v>1724</v>
      </c>
      <c r="C1141">
        <v>272665</v>
      </c>
      <c r="D1141" t="s">
        <v>1573</v>
      </c>
      <c r="E1141" t="s">
        <v>1574</v>
      </c>
      <c r="F1141" t="s">
        <v>1575</v>
      </c>
    </row>
    <row r="1142" spans="1:6">
      <c r="A1142">
        <v>32</v>
      </c>
      <c r="B1142" t="s">
        <v>1724</v>
      </c>
      <c r="C1142">
        <v>14510</v>
      </c>
      <c r="D1142" t="s">
        <v>1528</v>
      </c>
      <c r="E1142" t="s">
        <v>1529</v>
      </c>
      <c r="F1142" t="s">
        <v>1530</v>
      </c>
    </row>
    <row r="1143" spans="1:6">
      <c r="A1143">
        <v>32</v>
      </c>
      <c r="B1143" t="s">
        <v>1724</v>
      </c>
      <c r="C1143">
        <v>11700</v>
      </c>
      <c r="D1143" t="s">
        <v>1387</v>
      </c>
      <c r="E1143" t="s">
        <v>1388</v>
      </c>
      <c r="F1143" t="s">
        <v>1389</v>
      </c>
    </row>
    <row r="1144" spans="1:6">
      <c r="A1144">
        <v>32</v>
      </c>
      <c r="B1144" t="s">
        <v>1724</v>
      </c>
      <c r="C1144">
        <v>4337.46</v>
      </c>
      <c r="D1144" t="s">
        <v>1537</v>
      </c>
      <c r="E1144" t="s">
        <v>1538</v>
      </c>
      <c r="F1144" t="s">
        <v>1539</v>
      </c>
    </row>
    <row r="1145" spans="1:6">
      <c r="A1145">
        <v>32</v>
      </c>
      <c r="B1145" t="s">
        <v>1724</v>
      </c>
      <c r="C1145">
        <v>9542.35</v>
      </c>
      <c r="D1145" t="s">
        <v>1540</v>
      </c>
      <c r="E1145" t="s">
        <v>1538</v>
      </c>
      <c r="F1145" t="s">
        <v>1541</v>
      </c>
    </row>
    <row r="1146" spans="1:6">
      <c r="A1146">
        <v>32</v>
      </c>
      <c r="B1146" t="s">
        <v>1724</v>
      </c>
      <c r="C1146">
        <v>37676.129999999997</v>
      </c>
      <c r="D1146" t="s">
        <v>1431</v>
      </c>
      <c r="E1146" t="s">
        <v>1432</v>
      </c>
      <c r="F1146" t="s">
        <v>1433</v>
      </c>
    </row>
    <row r="1147" spans="1:6">
      <c r="A1147">
        <v>32</v>
      </c>
      <c r="B1147" t="s">
        <v>1724</v>
      </c>
      <c r="C1147">
        <v>84233.44</v>
      </c>
      <c r="D1147" t="s">
        <v>1434</v>
      </c>
      <c r="E1147" t="s">
        <v>1432</v>
      </c>
      <c r="F1147" t="s">
        <v>1435</v>
      </c>
    </row>
    <row r="1148" spans="1:6">
      <c r="A1148">
        <v>32</v>
      </c>
      <c r="B1148" t="s">
        <v>1724</v>
      </c>
      <c r="C1148">
        <v>37248</v>
      </c>
      <c r="D1148" t="s">
        <v>1576</v>
      </c>
      <c r="E1148" t="s">
        <v>1577</v>
      </c>
      <c r="F1148" t="s">
        <v>1578</v>
      </c>
    </row>
    <row r="1149" spans="1:6">
      <c r="A1149">
        <v>32</v>
      </c>
      <c r="B1149" t="s">
        <v>1724</v>
      </c>
      <c r="C1149">
        <v>62300</v>
      </c>
      <c r="D1149" t="s">
        <v>1579</v>
      </c>
      <c r="E1149" t="s">
        <v>1577</v>
      </c>
      <c r="F1149" t="s">
        <v>1580</v>
      </c>
    </row>
    <row r="1150" spans="1:6">
      <c r="A1150">
        <v>32</v>
      </c>
      <c r="B1150" t="s">
        <v>1724</v>
      </c>
      <c r="C1150">
        <v>15791</v>
      </c>
      <c r="D1150" t="s">
        <v>1436</v>
      </c>
      <c r="E1150" t="s">
        <v>1437</v>
      </c>
      <c r="F1150" t="s">
        <v>1438</v>
      </c>
    </row>
    <row r="1151" spans="1:6">
      <c r="A1151">
        <v>32</v>
      </c>
      <c r="B1151" t="s">
        <v>1724</v>
      </c>
      <c r="C1151">
        <v>591</v>
      </c>
      <c r="D1151" t="s">
        <v>1581</v>
      </c>
      <c r="E1151" t="s">
        <v>1582</v>
      </c>
      <c r="F1151" t="s">
        <v>1583</v>
      </c>
    </row>
    <row r="1152" spans="1:6">
      <c r="A1152">
        <v>32</v>
      </c>
      <c r="B1152" t="s">
        <v>1724</v>
      </c>
      <c r="C1152">
        <v>9867</v>
      </c>
      <c r="D1152" t="s">
        <v>1584</v>
      </c>
      <c r="E1152" t="s">
        <v>1585</v>
      </c>
      <c r="F1152" t="s">
        <v>1586</v>
      </c>
    </row>
    <row r="1153" spans="1:6">
      <c r="A1153">
        <v>32</v>
      </c>
      <c r="B1153" t="s">
        <v>1724</v>
      </c>
      <c r="C1153">
        <v>25000</v>
      </c>
      <c r="D1153" t="s">
        <v>1587</v>
      </c>
      <c r="E1153" t="s">
        <v>1585</v>
      </c>
      <c r="F1153" t="s">
        <v>1588</v>
      </c>
    </row>
    <row r="1154" spans="1:6">
      <c r="A1154">
        <v>32</v>
      </c>
      <c r="B1154" t="s">
        <v>1724</v>
      </c>
      <c r="C1154">
        <v>1905</v>
      </c>
      <c r="D1154" t="s">
        <v>1589</v>
      </c>
      <c r="E1154" t="s">
        <v>1590</v>
      </c>
      <c r="F1154" t="s">
        <v>1591</v>
      </c>
    </row>
    <row r="1155" spans="1:6">
      <c r="A1155">
        <v>32</v>
      </c>
      <c r="B1155" t="s">
        <v>1724</v>
      </c>
      <c r="C1155">
        <v>3479</v>
      </c>
      <c r="D1155" t="s">
        <v>1592</v>
      </c>
      <c r="E1155" t="s">
        <v>1590</v>
      </c>
      <c r="F1155" t="s">
        <v>1593</v>
      </c>
    </row>
    <row r="1156" spans="1:6">
      <c r="A1156">
        <v>32</v>
      </c>
      <c r="B1156" t="s">
        <v>1724</v>
      </c>
      <c r="C1156">
        <v>3016</v>
      </c>
      <c r="D1156" t="s">
        <v>1597</v>
      </c>
      <c r="E1156" t="s">
        <v>1595</v>
      </c>
      <c r="F1156" t="s">
        <v>1598</v>
      </c>
    </row>
    <row r="1157" spans="1:6">
      <c r="A1157">
        <v>32</v>
      </c>
      <c r="B1157" t="s">
        <v>1724</v>
      </c>
      <c r="C1157">
        <v>140941</v>
      </c>
      <c r="D1157" t="s">
        <v>1599</v>
      </c>
      <c r="E1157" t="s">
        <v>1600</v>
      </c>
      <c r="F1157" t="s">
        <v>1601</v>
      </c>
    </row>
    <row r="1158" spans="1:6">
      <c r="A1158">
        <v>32</v>
      </c>
      <c r="B1158" t="s">
        <v>1724</v>
      </c>
      <c r="C1158">
        <v>228402</v>
      </c>
      <c r="D1158" t="s">
        <v>1602</v>
      </c>
      <c r="E1158" t="s">
        <v>1600</v>
      </c>
      <c r="F1158" t="s">
        <v>1603</v>
      </c>
    </row>
    <row r="1159" spans="1:6">
      <c r="A1159">
        <v>32</v>
      </c>
      <c r="B1159" t="s">
        <v>1724</v>
      </c>
      <c r="C1159">
        <v>1604</v>
      </c>
      <c r="D1159" t="s">
        <v>1459</v>
      </c>
      <c r="E1159" t="s">
        <v>1605</v>
      </c>
      <c r="F1159" t="s">
        <v>1460</v>
      </c>
    </row>
    <row r="1160" spans="1:6">
      <c r="A1160">
        <v>32</v>
      </c>
      <c r="B1160" t="s">
        <v>1724</v>
      </c>
      <c r="C1160">
        <v>20384</v>
      </c>
      <c r="D1160" t="s">
        <v>1604</v>
      </c>
      <c r="E1160" t="s">
        <v>1605</v>
      </c>
      <c r="F1160" t="s">
        <v>1606</v>
      </c>
    </row>
    <row r="1161" spans="1:6">
      <c r="A1161">
        <v>32</v>
      </c>
      <c r="B1161" t="s">
        <v>1724</v>
      </c>
      <c r="C1161">
        <v>2363</v>
      </c>
      <c r="D1161" t="s">
        <v>1472</v>
      </c>
      <c r="E1161" t="s">
        <v>1473</v>
      </c>
      <c r="F1161" t="s">
        <v>1474</v>
      </c>
    </row>
    <row r="1162" spans="1:6">
      <c r="A1162">
        <v>32</v>
      </c>
      <c r="B1162" t="s">
        <v>1724</v>
      </c>
      <c r="C1162">
        <v>38370.410000000003</v>
      </c>
      <c r="D1162" t="s">
        <v>1475</v>
      </c>
      <c r="E1162" t="s">
        <v>1476</v>
      </c>
      <c r="F1162" t="s">
        <v>1477</v>
      </c>
    </row>
    <row r="1163" spans="1:6">
      <c r="A1163">
        <v>32</v>
      </c>
      <c r="B1163" t="s">
        <v>1724</v>
      </c>
      <c r="C1163">
        <v>133526.34</v>
      </c>
      <c r="D1163" t="s">
        <v>1365</v>
      </c>
      <c r="E1163" t="s">
        <v>1366</v>
      </c>
      <c r="F1163" t="s">
        <v>1367</v>
      </c>
    </row>
    <row r="1164" spans="1:6">
      <c r="A1164">
        <v>32</v>
      </c>
      <c r="B1164" t="s">
        <v>1724</v>
      </c>
      <c r="C1164">
        <v>178868</v>
      </c>
      <c r="D1164" t="s">
        <v>1607</v>
      </c>
      <c r="E1164" t="s">
        <v>1608</v>
      </c>
      <c r="F1164" t="s">
        <v>1609</v>
      </c>
    </row>
    <row r="1165" spans="1:6">
      <c r="A1165">
        <v>32</v>
      </c>
      <c r="B1165" t="s">
        <v>1724</v>
      </c>
      <c r="C1165">
        <v>9440</v>
      </c>
      <c r="D1165" t="s">
        <v>1610</v>
      </c>
      <c r="E1165" t="s">
        <v>1481</v>
      </c>
      <c r="F1165" t="s">
        <v>1482</v>
      </c>
    </row>
    <row r="1166" spans="1:6">
      <c r="A1166">
        <v>33</v>
      </c>
      <c r="B1166" t="s">
        <v>1725</v>
      </c>
      <c r="C1166">
        <v>6934</v>
      </c>
      <c r="D1166" t="s">
        <v>1489</v>
      </c>
      <c r="E1166" t="s">
        <v>1490</v>
      </c>
      <c r="F1166" t="s">
        <v>1491</v>
      </c>
    </row>
    <row r="1167" spans="1:6">
      <c r="A1167">
        <v>33</v>
      </c>
      <c r="B1167" t="s">
        <v>1725</v>
      </c>
      <c r="C1167">
        <v>132602</v>
      </c>
      <c r="D1167" t="s">
        <v>1567</v>
      </c>
      <c r="E1167" t="s">
        <v>1568</v>
      </c>
      <c r="F1167" t="s">
        <v>1569</v>
      </c>
    </row>
    <row r="1168" spans="1:6">
      <c r="A1168">
        <v>33</v>
      </c>
      <c r="B1168" t="s">
        <v>1725</v>
      </c>
      <c r="C1168">
        <v>3314005</v>
      </c>
      <c r="D1168" t="s">
        <v>1570</v>
      </c>
      <c r="E1168" t="s">
        <v>1571</v>
      </c>
      <c r="F1168" t="s">
        <v>1572</v>
      </c>
    </row>
    <row r="1169" spans="1:6">
      <c r="A1169">
        <v>33</v>
      </c>
      <c r="B1169" t="s">
        <v>1725</v>
      </c>
      <c r="C1169">
        <v>174156</v>
      </c>
      <c r="D1169" t="s">
        <v>1520</v>
      </c>
      <c r="E1169" t="s">
        <v>1521</v>
      </c>
      <c r="F1169" t="s">
        <v>1522</v>
      </c>
    </row>
    <row r="1170" spans="1:6">
      <c r="A1170">
        <v>33</v>
      </c>
      <c r="B1170" t="s">
        <v>1725</v>
      </c>
      <c r="C1170">
        <v>96537</v>
      </c>
      <c r="D1170" t="s">
        <v>1573</v>
      </c>
      <c r="E1170" t="s">
        <v>1574</v>
      </c>
      <c r="F1170" t="s">
        <v>1575</v>
      </c>
    </row>
    <row r="1171" spans="1:6">
      <c r="A1171">
        <v>33</v>
      </c>
      <c r="B1171" t="s">
        <v>1725</v>
      </c>
      <c r="C1171">
        <v>14000</v>
      </c>
      <c r="D1171" t="s">
        <v>1528</v>
      </c>
      <c r="E1171" t="s">
        <v>1529</v>
      </c>
      <c r="F1171" t="s">
        <v>1530</v>
      </c>
    </row>
    <row r="1172" spans="1:6">
      <c r="A1172">
        <v>33</v>
      </c>
      <c r="B1172" t="s">
        <v>1725</v>
      </c>
      <c r="C1172">
        <v>90758</v>
      </c>
      <c r="D1172" t="s">
        <v>1531</v>
      </c>
      <c r="E1172" t="s">
        <v>1532</v>
      </c>
      <c r="F1172" t="s">
        <v>1533</v>
      </c>
    </row>
    <row r="1173" spans="1:6">
      <c r="A1173">
        <v>33</v>
      </c>
      <c r="B1173" t="s">
        <v>1725</v>
      </c>
      <c r="C1173">
        <v>335.9</v>
      </c>
      <c r="D1173" t="s">
        <v>1374</v>
      </c>
      <c r="E1173" t="s">
        <v>1375</v>
      </c>
      <c r="F1173" t="s">
        <v>1376</v>
      </c>
    </row>
    <row r="1174" spans="1:6">
      <c r="A1174">
        <v>33</v>
      </c>
      <c r="B1174" t="s">
        <v>1725</v>
      </c>
      <c r="C1174">
        <v>1317.33</v>
      </c>
      <c r="D1174" t="s">
        <v>1377</v>
      </c>
      <c r="E1174" t="s">
        <v>1375</v>
      </c>
      <c r="F1174" t="s">
        <v>1378</v>
      </c>
    </row>
    <row r="1175" spans="1:6">
      <c r="A1175">
        <v>33</v>
      </c>
      <c r="B1175" t="s">
        <v>1725</v>
      </c>
      <c r="C1175">
        <v>27622.41</v>
      </c>
      <c r="D1175" t="s">
        <v>1431</v>
      </c>
      <c r="E1175" t="s">
        <v>1432</v>
      </c>
      <c r="F1175" t="s">
        <v>1433</v>
      </c>
    </row>
    <row r="1176" spans="1:6">
      <c r="A1176">
        <v>33</v>
      </c>
      <c r="B1176" t="s">
        <v>1725</v>
      </c>
      <c r="C1176">
        <v>69812.94</v>
      </c>
      <c r="D1176" t="s">
        <v>1434</v>
      </c>
      <c r="E1176" t="s">
        <v>1432</v>
      </c>
      <c r="F1176" t="s">
        <v>1435</v>
      </c>
    </row>
    <row r="1177" spans="1:6">
      <c r="A1177">
        <v>33</v>
      </c>
      <c r="B1177" t="s">
        <v>1725</v>
      </c>
      <c r="C1177">
        <v>36364</v>
      </c>
      <c r="D1177" t="s">
        <v>1576</v>
      </c>
      <c r="E1177" t="s">
        <v>1577</v>
      </c>
      <c r="F1177" t="s">
        <v>1578</v>
      </c>
    </row>
    <row r="1178" spans="1:6">
      <c r="A1178">
        <v>33</v>
      </c>
      <c r="B1178" t="s">
        <v>1725</v>
      </c>
      <c r="C1178">
        <v>160000</v>
      </c>
      <c r="D1178" t="s">
        <v>1579</v>
      </c>
      <c r="E1178" t="s">
        <v>1577</v>
      </c>
      <c r="F1178" t="s">
        <v>1580</v>
      </c>
    </row>
    <row r="1179" spans="1:6">
      <c r="A1179">
        <v>33</v>
      </c>
      <c r="B1179" t="s">
        <v>1725</v>
      </c>
      <c r="C1179">
        <v>1500</v>
      </c>
      <c r="D1179" t="s">
        <v>1581</v>
      </c>
      <c r="E1179" t="s">
        <v>1582</v>
      </c>
      <c r="F1179" t="s">
        <v>1583</v>
      </c>
    </row>
    <row r="1180" spans="1:6">
      <c r="A1180">
        <v>33</v>
      </c>
      <c r="B1180" t="s">
        <v>1725</v>
      </c>
      <c r="C1180">
        <v>16466</v>
      </c>
      <c r="D1180" t="s">
        <v>1584</v>
      </c>
      <c r="E1180" t="s">
        <v>1585</v>
      </c>
      <c r="F1180" t="s">
        <v>1586</v>
      </c>
    </row>
    <row r="1181" spans="1:6">
      <c r="A1181">
        <v>33</v>
      </c>
      <c r="B1181" t="s">
        <v>1725</v>
      </c>
      <c r="C1181">
        <v>40000</v>
      </c>
      <c r="D1181" t="s">
        <v>1587</v>
      </c>
      <c r="E1181" t="s">
        <v>1585</v>
      </c>
      <c r="F1181" t="s">
        <v>1588</v>
      </c>
    </row>
    <row r="1182" spans="1:6">
      <c r="A1182">
        <v>33</v>
      </c>
      <c r="B1182" t="s">
        <v>1725</v>
      </c>
      <c r="C1182">
        <v>4000</v>
      </c>
      <c r="D1182" t="s">
        <v>1592</v>
      </c>
      <c r="E1182" t="s">
        <v>1590</v>
      </c>
      <c r="F1182" t="s">
        <v>1593</v>
      </c>
    </row>
    <row r="1183" spans="1:6">
      <c r="A1183">
        <v>33</v>
      </c>
      <c r="B1183" t="s">
        <v>1725</v>
      </c>
      <c r="C1183">
        <v>2356</v>
      </c>
      <c r="D1183" t="s">
        <v>1597</v>
      </c>
      <c r="E1183" t="s">
        <v>1595</v>
      </c>
      <c r="F1183" t="s">
        <v>1598</v>
      </c>
    </row>
    <row r="1184" spans="1:6">
      <c r="A1184">
        <v>33</v>
      </c>
      <c r="B1184" t="s">
        <v>1725</v>
      </c>
      <c r="C1184">
        <v>195214</v>
      </c>
      <c r="D1184" t="s">
        <v>1599</v>
      </c>
      <c r="E1184" t="s">
        <v>1600</v>
      </c>
      <c r="F1184" t="s">
        <v>1601</v>
      </c>
    </row>
    <row r="1185" spans="1:6">
      <c r="A1185">
        <v>33</v>
      </c>
      <c r="B1185" t="s">
        <v>1725</v>
      </c>
      <c r="C1185">
        <v>100000</v>
      </c>
      <c r="D1185" t="s">
        <v>1602</v>
      </c>
      <c r="E1185" t="s">
        <v>1600</v>
      </c>
      <c r="F1185" t="s">
        <v>1603</v>
      </c>
    </row>
    <row r="1186" spans="1:6">
      <c r="A1186">
        <v>33</v>
      </c>
      <c r="B1186" t="s">
        <v>1725</v>
      </c>
      <c r="C1186">
        <v>10710</v>
      </c>
      <c r="D1186" t="s">
        <v>1604</v>
      </c>
      <c r="E1186" t="s">
        <v>1605</v>
      </c>
      <c r="F1186" t="s">
        <v>1606</v>
      </c>
    </row>
    <row r="1187" spans="1:6">
      <c r="A1187">
        <v>33</v>
      </c>
      <c r="B1187" t="s">
        <v>1725</v>
      </c>
      <c r="C1187">
        <v>591615</v>
      </c>
      <c r="D1187" t="s">
        <v>1607</v>
      </c>
      <c r="E1187" t="s">
        <v>1608</v>
      </c>
      <c r="F1187" t="s">
        <v>1609</v>
      </c>
    </row>
    <row r="1188" spans="1:6">
      <c r="A1188">
        <v>33</v>
      </c>
      <c r="B1188" t="s">
        <v>1725</v>
      </c>
      <c r="C1188">
        <v>148539</v>
      </c>
      <c r="D1188" t="s">
        <v>1610</v>
      </c>
      <c r="E1188" t="s">
        <v>1481</v>
      </c>
      <c r="F1188" t="s">
        <v>1482</v>
      </c>
    </row>
    <row r="1189" spans="1:6">
      <c r="A1189">
        <v>34</v>
      </c>
      <c r="B1189" t="s">
        <v>1726</v>
      </c>
      <c r="C1189">
        <v>20854</v>
      </c>
      <c r="D1189" t="s">
        <v>1483</v>
      </c>
      <c r="E1189" t="s">
        <v>1484</v>
      </c>
      <c r="F1189" t="s">
        <v>1485</v>
      </c>
    </row>
    <row r="1190" spans="1:6">
      <c r="A1190">
        <v>34</v>
      </c>
      <c r="B1190" t="s">
        <v>1726</v>
      </c>
      <c r="C1190">
        <v>54002</v>
      </c>
      <c r="D1190" t="s">
        <v>1486</v>
      </c>
      <c r="E1190" t="s">
        <v>1487</v>
      </c>
      <c r="F1190" t="s">
        <v>1488</v>
      </c>
    </row>
    <row r="1191" spans="1:6">
      <c r="A1191">
        <v>34</v>
      </c>
      <c r="B1191" t="s">
        <v>1726</v>
      </c>
      <c r="C1191">
        <v>44154</v>
      </c>
      <c r="D1191" t="s">
        <v>1489</v>
      </c>
      <c r="E1191" t="s">
        <v>1490</v>
      </c>
      <c r="F1191" t="s">
        <v>1491</v>
      </c>
    </row>
    <row r="1192" spans="1:6">
      <c r="A1192">
        <v>34</v>
      </c>
      <c r="B1192" t="s">
        <v>1726</v>
      </c>
      <c r="C1192">
        <v>102250</v>
      </c>
      <c r="D1192" t="s">
        <v>1404</v>
      </c>
      <c r="E1192" t="s">
        <v>1405</v>
      </c>
      <c r="F1192" t="s">
        <v>1406</v>
      </c>
    </row>
    <row r="1193" spans="1:6">
      <c r="A1193">
        <v>34</v>
      </c>
      <c r="B1193" t="s">
        <v>1726</v>
      </c>
      <c r="C1193">
        <v>102250</v>
      </c>
      <c r="D1193" t="s">
        <v>1317</v>
      </c>
      <c r="E1193" t="s">
        <v>1405</v>
      </c>
      <c r="F1193" t="s">
        <v>1406</v>
      </c>
    </row>
    <row r="1194" spans="1:6">
      <c r="A1194">
        <v>34</v>
      </c>
      <c r="B1194" t="s">
        <v>1726</v>
      </c>
      <c r="C1194">
        <v>1022728</v>
      </c>
      <c r="D1194" t="s">
        <v>1567</v>
      </c>
      <c r="E1194" t="s">
        <v>1568</v>
      </c>
      <c r="F1194" t="s">
        <v>1569</v>
      </c>
    </row>
    <row r="1195" spans="1:6">
      <c r="A1195">
        <v>34</v>
      </c>
      <c r="B1195" t="s">
        <v>1726</v>
      </c>
      <c r="C1195">
        <v>187136</v>
      </c>
      <c r="D1195" t="s">
        <v>1496</v>
      </c>
      <c r="E1195" t="s">
        <v>1497</v>
      </c>
      <c r="F1195" t="s">
        <v>1498</v>
      </c>
    </row>
    <row r="1196" spans="1:6">
      <c r="A1196">
        <v>34</v>
      </c>
      <c r="B1196" t="s">
        <v>1726</v>
      </c>
      <c r="C1196">
        <v>17582239</v>
      </c>
      <c r="D1196" t="s">
        <v>1570</v>
      </c>
      <c r="E1196" t="s">
        <v>1571</v>
      </c>
      <c r="F1196" t="s">
        <v>1572</v>
      </c>
    </row>
    <row r="1197" spans="1:6">
      <c r="A1197">
        <v>34</v>
      </c>
      <c r="B1197" t="s">
        <v>1726</v>
      </c>
      <c r="C1197">
        <v>159915</v>
      </c>
      <c r="D1197" t="s">
        <v>1327</v>
      </c>
      <c r="E1197" t="s">
        <v>1328</v>
      </c>
      <c r="F1197" t="s">
        <v>1329</v>
      </c>
    </row>
    <row r="1198" spans="1:6">
      <c r="A1198">
        <v>34</v>
      </c>
      <c r="B1198" t="s">
        <v>1726</v>
      </c>
      <c r="C1198">
        <v>2420909</v>
      </c>
      <c r="D1198" t="s">
        <v>1499</v>
      </c>
      <c r="E1198" t="s">
        <v>1500</v>
      </c>
      <c r="F1198" t="s">
        <v>1501</v>
      </c>
    </row>
    <row r="1199" spans="1:6">
      <c r="A1199">
        <v>34</v>
      </c>
      <c r="B1199" t="s">
        <v>1726</v>
      </c>
      <c r="C1199">
        <v>841031</v>
      </c>
      <c r="D1199" t="s">
        <v>1502</v>
      </c>
      <c r="E1199" t="s">
        <v>1503</v>
      </c>
      <c r="F1199" t="s">
        <v>1504</v>
      </c>
    </row>
    <row r="1200" spans="1:6">
      <c r="A1200">
        <v>34</v>
      </c>
      <c r="B1200" t="s">
        <v>1726</v>
      </c>
      <c r="C1200">
        <v>167921</v>
      </c>
      <c r="D1200" t="s">
        <v>1505</v>
      </c>
      <c r="E1200" t="s">
        <v>1506</v>
      </c>
      <c r="F1200" t="s">
        <v>1507</v>
      </c>
    </row>
    <row r="1201" spans="1:6">
      <c r="A1201">
        <v>34</v>
      </c>
      <c r="B1201" t="s">
        <v>1726</v>
      </c>
      <c r="C1201">
        <v>199048</v>
      </c>
      <c r="D1201" t="s">
        <v>1508</v>
      </c>
      <c r="E1201" t="s">
        <v>1509</v>
      </c>
      <c r="F1201" t="s">
        <v>1510</v>
      </c>
    </row>
    <row r="1202" spans="1:6">
      <c r="A1202">
        <v>34</v>
      </c>
      <c r="B1202" t="s">
        <v>1726</v>
      </c>
      <c r="C1202">
        <v>16381</v>
      </c>
      <c r="D1202" t="s">
        <v>1330</v>
      </c>
      <c r="E1202" t="s">
        <v>1331</v>
      </c>
      <c r="F1202" t="s">
        <v>1332</v>
      </c>
    </row>
    <row r="1203" spans="1:6">
      <c r="A1203">
        <v>34</v>
      </c>
      <c r="B1203" t="s">
        <v>1726</v>
      </c>
      <c r="C1203">
        <v>45000</v>
      </c>
      <c r="D1203" t="s">
        <v>1515</v>
      </c>
      <c r="E1203" t="s">
        <v>1516</v>
      </c>
      <c r="F1203" t="s">
        <v>1517</v>
      </c>
    </row>
    <row r="1204" spans="1:6">
      <c r="A1204">
        <v>34</v>
      </c>
      <c r="B1204" t="s">
        <v>1726</v>
      </c>
      <c r="C1204">
        <v>12098</v>
      </c>
      <c r="D1204" t="s">
        <v>1518</v>
      </c>
      <c r="E1204" t="s">
        <v>1516</v>
      </c>
      <c r="F1204" t="s">
        <v>1519</v>
      </c>
    </row>
    <row r="1205" spans="1:6">
      <c r="A1205">
        <v>34</v>
      </c>
      <c r="B1205" t="s">
        <v>1726</v>
      </c>
      <c r="C1205">
        <v>505019</v>
      </c>
      <c r="D1205" t="s">
        <v>1520</v>
      </c>
      <c r="E1205" t="s">
        <v>1521</v>
      </c>
      <c r="F1205" t="s">
        <v>1522</v>
      </c>
    </row>
    <row r="1206" spans="1:6">
      <c r="A1206">
        <v>34</v>
      </c>
      <c r="B1206" t="s">
        <v>1726</v>
      </c>
      <c r="C1206">
        <v>203632</v>
      </c>
      <c r="D1206" t="s">
        <v>1573</v>
      </c>
      <c r="E1206" t="s">
        <v>1574</v>
      </c>
      <c r="F1206" t="s">
        <v>1575</v>
      </c>
    </row>
    <row r="1207" spans="1:6">
      <c r="A1207">
        <v>34</v>
      </c>
      <c r="B1207" t="s">
        <v>1726</v>
      </c>
      <c r="C1207">
        <v>64039</v>
      </c>
      <c r="D1207" t="s">
        <v>1523</v>
      </c>
      <c r="E1207" t="s">
        <v>1521</v>
      </c>
      <c r="F1207" t="s">
        <v>1524</v>
      </c>
    </row>
    <row r="1208" spans="1:6">
      <c r="A1208">
        <v>34</v>
      </c>
      <c r="B1208" t="s">
        <v>1726</v>
      </c>
      <c r="C1208">
        <v>230348</v>
      </c>
      <c r="D1208" t="s">
        <v>1525</v>
      </c>
      <c r="E1208" t="s">
        <v>1526</v>
      </c>
      <c r="F1208" t="s">
        <v>1527</v>
      </c>
    </row>
    <row r="1209" spans="1:6">
      <c r="A1209">
        <v>34</v>
      </c>
      <c r="B1209" t="s">
        <v>1726</v>
      </c>
      <c r="C1209">
        <v>60764</v>
      </c>
      <c r="D1209" t="s">
        <v>1528</v>
      </c>
      <c r="E1209" t="s">
        <v>1529</v>
      </c>
      <c r="F1209" t="s">
        <v>1530</v>
      </c>
    </row>
    <row r="1210" spans="1:6">
      <c r="A1210">
        <v>34</v>
      </c>
      <c r="B1210" t="s">
        <v>1726</v>
      </c>
      <c r="C1210">
        <v>907643</v>
      </c>
      <c r="D1210" t="s">
        <v>1303</v>
      </c>
      <c r="E1210" t="s">
        <v>1411</v>
      </c>
      <c r="F1210" t="s">
        <v>1412</v>
      </c>
    </row>
    <row r="1211" spans="1:6">
      <c r="A1211">
        <v>34</v>
      </c>
      <c r="B1211" t="s">
        <v>1726</v>
      </c>
      <c r="C1211">
        <v>650000</v>
      </c>
      <c r="D1211" t="s">
        <v>1304</v>
      </c>
      <c r="E1211" t="s">
        <v>1305</v>
      </c>
      <c r="F1211" t="s">
        <v>1412</v>
      </c>
    </row>
    <row r="1212" spans="1:6">
      <c r="A1212">
        <v>34</v>
      </c>
      <c r="B1212" t="s">
        <v>1726</v>
      </c>
      <c r="C1212">
        <v>55000</v>
      </c>
      <c r="D1212" t="s">
        <v>1306</v>
      </c>
      <c r="E1212" t="s">
        <v>1307</v>
      </c>
      <c r="F1212" t="s">
        <v>1308</v>
      </c>
    </row>
    <row r="1213" spans="1:6">
      <c r="A1213">
        <v>34</v>
      </c>
      <c r="B1213" t="s">
        <v>1726</v>
      </c>
      <c r="C1213">
        <v>123050</v>
      </c>
      <c r="D1213" t="s">
        <v>1390</v>
      </c>
      <c r="E1213" t="s">
        <v>1391</v>
      </c>
      <c r="F1213" t="s">
        <v>1392</v>
      </c>
    </row>
    <row r="1214" spans="1:6">
      <c r="A1214">
        <v>34</v>
      </c>
      <c r="B1214" t="s">
        <v>1726</v>
      </c>
      <c r="C1214">
        <v>99117</v>
      </c>
      <c r="D1214" t="s">
        <v>1534</v>
      </c>
      <c r="E1214" t="s">
        <v>1535</v>
      </c>
      <c r="F1214" t="s">
        <v>1536</v>
      </c>
    </row>
    <row r="1215" spans="1:6">
      <c r="A1215">
        <v>34</v>
      </c>
      <c r="B1215" t="s">
        <v>1726</v>
      </c>
      <c r="C1215">
        <v>264.58999999999997</v>
      </c>
      <c r="D1215" t="s">
        <v>1374</v>
      </c>
      <c r="E1215" t="s">
        <v>1375</v>
      </c>
      <c r="F1215" t="s">
        <v>1376</v>
      </c>
    </row>
    <row r="1216" spans="1:6">
      <c r="A1216">
        <v>34</v>
      </c>
      <c r="B1216" t="s">
        <v>1726</v>
      </c>
      <c r="C1216">
        <v>333.03</v>
      </c>
      <c r="D1216" t="s">
        <v>1377</v>
      </c>
      <c r="E1216" t="s">
        <v>1375</v>
      </c>
      <c r="F1216" t="s">
        <v>1378</v>
      </c>
    </row>
    <row r="1217" spans="1:6">
      <c r="A1217">
        <v>34</v>
      </c>
      <c r="B1217" t="s">
        <v>1726</v>
      </c>
      <c r="C1217">
        <v>121617.31</v>
      </c>
      <c r="D1217" t="s">
        <v>1537</v>
      </c>
      <c r="E1217" t="s">
        <v>1538</v>
      </c>
      <c r="F1217" t="s">
        <v>1539</v>
      </c>
    </row>
    <row r="1218" spans="1:6">
      <c r="A1218">
        <v>34</v>
      </c>
      <c r="B1218" t="s">
        <v>1726</v>
      </c>
      <c r="C1218">
        <v>176801.38</v>
      </c>
      <c r="D1218" t="s">
        <v>1540</v>
      </c>
      <c r="E1218" t="s">
        <v>1538</v>
      </c>
      <c r="F1218" t="s">
        <v>1541</v>
      </c>
    </row>
    <row r="1219" spans="1:6">
      <c r="A1219">
        <v>34</v>
      </c>
      <c r="B1219" t="s">
        <v>1726</v>
      </c>
      <c r="C1219">
        <v>423680.23</v>
      </c>
      <c r="D1219" t="s">
        <v>1431</v>
      </c>
      <c r="E1219" t="s">
        <v>1432</v>
      </c>
      <c r="F1219" t="s">
        <v>1433</v>
      </c>
    </row>
    <row r="1220" spans="1:6">
      <c r="A1220">
        <v>34</v>
      </c>
      <c r="B1220" t="s">
        <v>1726</v>
      </c>
      <c r="C1220">
        <v>781366.98</v>
      </c>
      <c r="D1220" t="s">
        <v>1434</v>
      </c>
      <c r="E1220" t="s">
        <v>1432</v>
      </c>
      <c r="F1220" t="s">
        <v>1435</v>
      </c>
    </row>
    <row r="1221" spans="1:6">
      <c r="A1221">
        <v>34</v>
      </c>
      <c r="B1221" t="s">
        <v>1726</v>
      </c>
      <c r="C1221">
        <v>121560</v>
      </c>
      <c r="D1221" t="s">
        <v>1576</v>
      </c>
      <c r="E1221" t="s">
        <v>1577</v>
      </c>
      <c r="F1221" t="s">
        <v>1578</v>
      </c>
    </row>
    <row r="1222" spans="1:6">
      <c r="A1222">
        <v>34</v>
      </c>
      <c r="B1222" t="s">
        <v>1726</v>
      </c>
      <c r="C1222">
        <v>950000</v>
      </c>
      <c r="D1222" t="s">
        <v>1579</v>
      </c>
      <c r="E1222" t="s">
        <v>1577</v>
      </c>
      <c r="F1222" t="s">
        <v>1580</v>
      </c>
    </row>
    <row r="1223" spans="1:6">
      <c r="A1223">
        <v>34</v>
      </c>
      <c r="B1223" t="s">
        <v>1726</v>
      </c>
      <c r="C1223">
        <v>7650</v>
      </c>
      <c r="D1223" t="s">
        <v>1356</v>
      </c>
      <c r="E1223" t="s">
        <v>1357</v>
      </c>
      <c r="F1223" t="s">
        <v>1358</v>
      </c>
    </row>
    <row r="1224" spans="1:6">
      <c r="A1224">
        <v>34</v>
      </c>
      <c r="B1224" t="s">
        <v>1726</v>
      </c>
      <c r="C1224">
        <v>119842</v>
      </c>
      <c r="D1224" t="s">
        <v>1436</v>
      </c>
      <c r="E1224" t="s">
        <v>1437</v>
      </c>
      <c r="F1224" t="s">
        <v>1438</v>
      </c>
    </row>
    <row r="1225" spans="1:6">
      <c r="A1225">
        <v>34</v>
      </c>
      <c r="B1225" t="s">
        <v>1726</v>
      </c>
      <c r="C1225">
        <v>21310</v>
      </c>
      <c r="D1225" t="s">
        <v>1361</v>
      </c>
      <c r="E1225" t="s">
        <v>1440</v>
      </c>
      <c r="F1225" t="s">
        <v>1362</v>
      </c>
    </row>
    <row r="1226" spans="1:6">
      <c r="A1226">
        <v>34</v>
      </c>
      <c r="B1226" t="s">
        <v>1726</v>
      </c>
      <c r="C1226">
        <v>16521</v>
      </c>
      <c r="D1226" t="s">
        <v>1442</v>
      </c>
      <c r="E1226" t="s">
        <v>1582</v>
      </c>
      <c r="F1226" t="s">
        <v>1443</v>
      </c>
    </row>
    <row r="1227" spans="1:6">
      <c r="A1227">
        <v>34</v>
      </c>
      <c r="B1227" t="s">
        <v>1726</v>
      </c>
      <c r="C1227">
        <v>3000</v>
      </c>
      <c r="D1227" t="s">
        <v>1581</v>
      </c>
      <c r="E1227" t="s">
        <v>1582</v>
      </c>
      <c r="F1227" t="s">
        <v>1583</v>
      </c>
    </row>
    <row r="1228" spans="1:6">
      <c r="A1228">
        <v>34</v>
      </c>
      <c r="B1228" t="s">
        <v>1726</v>
      </c>
      <c r="C1228">
        <v>65000</v>
      </c>
      <c r="D1228" t="s">
        <v>1263</v>
      </c>
      <c r="E1228" t="s">
        <v>1445</v>
      </c>
      <c r="F1228" t="s">
        <v>1583</v>
      </c>
    </row>
    <row r="1229" spans="1:6">
      <c r="A1229">
        <v>34</v>
      </c>
      <c r="B1229" t="s">
        <v>1726</v>
      </c>
      <c r="C1229">
        <v>84764</v>
      </c>
      <c r="D1229" t="s">
        <v>1584</v>
      </c>
      <c r="E1229" t="s">
        <v>1585</v>
      </c>
      <c r="F1229" t="s">
        <v>1586</v>
      </c>
    </row>
    <row r="1230" spans="1:6">
      <c r="A1230">
        <v>34</v>
      </c>
      <c r="B1230" t="s">
        <v>1726</v>
      </c>
      <c r="C1230">
        <v>313500</v>
      </c>
      <c r="D1230" t="s">
        <v>1587</v>
      </c>
      <c r="E1230" t="s">
        <v>1585</v>
      </c>
      <c r="F1230" t="s">
        <v>1588</v>
      </c>
    </row>
    <row r="1231" spans="1:6">
      <c r="A1231">
        <v>34</v>
      </c>
      <c r="B1231" t="s">
        <v>1726</v>
      </c>
      <c r="C1231">
        <v>70000</v>
      </c>
      <c r="D1231" t="s">
        <v>1268</v>
      </c>
      <c r="E1231" t="s">
        <v>1450</v>
      </c>
      <c r="F1231" t="s">
        <v>1453</v>
      </c>
    </row>
    <row r="1232" spans="1:6">
      <c r="A1232">
        <v>34</v>
      </c>
      <c r="B1232" t="s">
        <v>1726</v>
      </c>
      <c r="C1232">
        <v>85000</v>
      </c>
      <c r="D1232" t="s">
        <v>1203</v>
      </c>
      <c r="E1232" t="s">
        <v>1450</v>
      </c>
      <c r="F1232" t="s">
        <v>1453</v>
      </c>
    </row>
    <row r="1233" spans="1:6">
      <c r="A1233">
        <v>34</v>
      </c>
      <c r="B1233" t="s">
        <v>1726</v>
      </c>
      <c r="C1233">
        <v>87873</v>
      </c>
      <c r="D1233" t="s">
        <v>1454</v>
      </c>
      <c r="E1233" t="s">
        <v>1455</v>
      </c>
      <c r="F1233" t="s">
        <v>1456</v>
      </c>
    </row>
    <row r="1234" spans="1:6">
      <c r="A1234">
        <v>34</v>
      </c>
      <c r="B1234" t="s">
        <v>1726</v>
      </c>
      <c r="C1234">
        <v>135000</v>
      </c>
      <c r="D1234" t="s">
        <v>1457</v>
      </c>
      <c r="E1234" t="s">
        <v>1455</v>
      </c>
      <c r="F1234" t="s">
        <v>1458</v>
      </c>
    </row>
    <row r="1235" spans="1:6">
      <c r="A1235">
        <v>34</v>
      </c>
      <c r="B1235" t="s">
        <v>1726</v>
      </c>
      <c r="C1235">
        <v>16761</v>
      </c>
      <c r="D1235" t="s">
        <v>1589</v>
      </c>
      <c r="E1235" t="s">
        <v>1590</v>
      </c>
      <c r="F1235" t="s">
        <v>1591</v>
      </c>
    </row>
    <row r="1236" spans="1:6">
      <c r="A1236">
        <v>34</v>
      </c>
      <c r="B1236" t="s">
        <v>1726</v>
      </c>
      <c r="C1236">
        <v>22000</v>
      </c>
      <c r="D1236" t="s">
        <v>1592</v>
      </c>
      <c r="E1236" t="s">
        <v>1590</v>
      </c>
      <c r="F1236" t="s">
        <v>1593</v>
      </c>
    </row>
    <row r="1237" spans="1:6">
      <c r="A1237">
        <v>34</v>
      </c>
      <c r="B1237" t="s">
        <v>1726</v>
      </c>
      <c r="C1237">
        <v>24419</v>
      </c>
      <c r="D1237" t="s">
        <v>1594</v>
      </c>
      <c r="E1237" t="s">
        <v>1595</v>
      </c>
      <c r="F1237" t="s">
        <v>1596</v>
      </c>
    </row>
    <row r="1238" spans="1:6">
      <c r="A1238">
        <v>34</v>
      </c>
      <c r="B1238" t="s">
        <v>1726</v>
      </c>
      <c r="C1238">
        <v>3000</v>
      </c>
      <c r="D1238" t="s">
        <v>1597</v>
      </c>
      <c r="E1238" t="s">
        <v>1595</v>
      </c>
      <c r="F1238" t="s">
        <v>1598</v>
      </c>
    </row>
    <row r="1239" spans="1:6">
      <c r="A1239">
        <v>34</v>
      </c>
      <c r="B1239" t="s">
        <v>1726</v>
      </c>
      <c r="C1239">
        <v>472785</v>
      </c>
      <c r="D1239" t="s">
        <v>1599</v>
      </c>
      <c r="E1239" t="s">
        <v>1600</v>
      </c>
      <c r="F1239" t="s">
        <v>1601</v>
      </c>
    </row>
    <row r="1240" spans="1:6">
      <c r="A1240">
        <v>34</v>
      </c>
      <c r="B1240" t="s">
        <v>1726</v>
      </c>
      <c r="C1240">
        <v>1550000</v>
      </c>
      <c r="D1240" t="s">
        <v>1602</v>
      </c>
      <c r="E1240" t="s">
        <v>1600</v>
      </c>
      <c r="F1240" t="s">
        <v>1603</v>
      </c>
    </row>
    <row r="1241" spans="1:6">
      <c r="A1241">
        <v>34</v>
      </c>
      <c r="B1241" t="s">
        <v>1726</v>
      </c>
      <c r="C1241">
        <v>45000</v>
      </c>
      <c r="D1241" t="s">
        <v>1604</v>
      </c>
      <c r="E1241" t="s">
        <v>1605</v>
      </c>
      <c r="F1241" t="s">
        <v>1606</v>
      </c>
    </row>
    <row r="1242" spans="1:6">
      <c r="A1242">
        <v>34</v>
      </c>
      <c r="B1242" t="s">
        <v>1726</v>
      </c>
      <c r="C1242">
        <v>41879</v>
      </c>
      <c r="D1242" t="s">
        <v>1469</v>
      </c>
      <c r="E1242" t="s">
        <v>1470</v>
      </c>
      <c r="F1242" t="s">
        <v>1471</v>
      </c>
    </row>
    <row r="1243" spans="1:6">
      <c r="A1243">
        <v>34</v>
      </c>
      <c r="B1243" t="s">
        <v>1726</v>
      </c>
      <c r="C1243">
        <v>2447</v>
      </c>
      <c r="D1243" t="s">
        <v>1472</v>
      </c>
      <c r="E1243" t="s">
        <v>1473</v>
      </c>
      <c r="F1243" t="s">
        <v>1474</v>
      </c>
    </row>
    <row r="1244" spans="1:6">
      <c r="A1244">
        <v>34</v>
      </c>
      <c r="B1244" t="s">
        <v>1726</v>
      </c>
      <c r="C1244">
        <v>67250.53</v>
      </c>
      <c r="D1244" t="s">
        <v>1379</v>
      </c>
      <c r="E1244" t="s">
        <v>1380</v>
      </c>
      <c r="F1244" t="s">
        <v>1381</v>
      </c>
    </row>
    <row r="1245" spans="1:6">
      <c r="A1245">
        <v>34</v>
      </c>
      <c r="B1245" t="s">
        <v>1726</v>
      </c>
      <c r="C1245">
        <v>139926.6</v>
      </c>
      <c r="D1245" t="s">
        <v>1475</v>
      </c>
      <c r="E1245" t="s">
        <v>1476</v>
      </c>
      <c r="F1245" t="s">
        <v>1477</v>
      </c>
    </row>
    <row r="1246" spans="1:6">
      <c r="A1246">
        <v>34</v>
      </c>
      <c r="B1246" t="s">
        <v>1726</v>
      </c>
      <c r="C1246">
        <v>343316.64</v>
      </c>
      <c r="D1246" t="s">
        <v>1478</v>
      </c>
      <c r="E1246" t="s">
        <v>1479</v>
      </c>
      <c r="F1246" t="s">
        <v>1480</v>
      </c>
    </row>
    <row r="1247" spans="1:6">
      <c r="A1247">
        <v>34</v>
      </c>
      <c r="B1247" t="s">
        <v>1726</v>
      </c>
      <c r="C1247">
        <v>372011.02</v>
      </c>
      <c r="D1247" t="s">
        <v>1365</v>
      </c>
      <c r="E1247" t="s">
        <v>1366</v>
      </c>
      <c r="F1247" t="s">
        <v>1367</v>
      </c>
    </row>
    <row r="1248" spans="1:6">
      <c r="A1248">
        <v>34</v>
      </c>
      <c r="B1248" t="s">
        <v>1726</v>
      </c>
      <c r="C1248">
        <v>63271</v>
      </c>
      <c r="D1248" t="s">
        <v>1607</v>
      </c>
      <c r="E1248" t="s">
        <v>1608</v>
      </c>
      <c r="F1248" t="s">
        <v>1609</v>
      </c>
    </row>
    <row r="1249" spans="1:6">
      <c r="A1249">
        <v>34</v>
      </c>
      <c r="B1249" t="s">
        <v>1726</v>
      </c>
      <c r="C1249">
        <v>2764049</v>
      </c>
      <c r="D1249" t="s">
        <v>1610</v>
      </c>
      <c r="E1249" t="s">
        <v>1481</v>
      </c>
      <c r="F1249" t="s">
        <v>1482</v>
      </c>
    </row>
    <row r="1250" spans="1:6">
      <c r="A1250">
        <v>34</v>
      </c>
      <c r="B1250" t="s">
        <v>1726</v>
      </c>
      <c r="C1250">
        <v>3044874</v>
      </c>
      <c r="D1250" t="s">
        <v>1415</v>
      </c>
      <c r="E1250" t="s">
        <v>1416</v>
      </c>
      <c r="F1250" t="s">
        <v>1417</v>
      </c>
    </row>
    <row r="1251" spans="1:6">
      <c r="A1251">
        <v>34</v>
      </c>
      <c r="B1251" t="s">
        <v>1726</v>
      </c>
      <c r="C1251">
        <v>1245100</v>
      </c>
      <c r="D1251" t="s">
        <v>1418</v>
      </c>
      <c r="E1251" t="s">
        <v>1419</v>
      </c>
      <c r="F1251" t="s">
        <v>1420</v>
      </c>
    </row>
    <row r="1252" spans="1:6">
      <c r="A1252">
        <v>35</v>
      </c>
      <c r="B1252" t="s">
        <v>1727</v>
      </c>
      <c r="C1252">
        <v>8502</v>
      </c>
      <c r="D1252" t="s">
        <v>1489</v>
      </c>
      <c r="E1252" t="s">
        <v>1490</v>
      </c>
      <c r="F1252" t="s">
        <v>1491</v>
      </c>
    </row>
    <row r="1253" spans="1:6">
      <c r="A1253">
        <v>35</v>
      </c>
      <c r="B1253" t="s">
        <v>1727</v>
      </c>
      <c r="C1253">
        <v>722</v>
      </c>
      <c r="D1253" t="s">
        <v>1567</v>
      </c>
      <c r="E1253" t="s">
        <v>1568</v>
      </c>
      <c r="F1253" t="s">
        <v>1569</v>
      </c>
    </row>
    <row r="1254" spans="1:6">
      <c r="A1254">
        <v>35</v>
      </c>
      <c r="B1254" t="s">
        <v>1727</v>
      </c>
      <c r="C1254">
        <v>1165460</v>
      </c>
      <c r="D1254" t="s">
        <v>1570</v>
      </c>
      <c r="E1254" t="s">
        <v>1571</v>
      </c>
      <c r="F1254" t="s">
        <v>1572</v>
      </c>
    </row>
    <row r="1255" spans="1:6">
      <c r="A1255">
        <v>35</v>
      </c>
      <c r="B1255" t="s">
        <v>1727</v>
      </c>
      <c r="C1255">
        <v>31021</v>
      </c>
      <c r="D1255" t="s">
        <v>1520</v>
      </c>
      <c r="E1255" t="s">
        <v>1521</v>
      </c>
      <c r="F1255" t="s">
        <v>1522</v>
      </c>
    </row>
    <row r="1256" spans="1:6">
      <c r="A1256">
        <v>35</v>
      </c>
      <c r="B1256" t="s">
        <v>1727</v>
      </c>
      <c r="C1256">
        <v>1977401</v>
      </c>
      <c r="D1256" t="s">
        <v>1573</v>
      </c>
      <c r="E1256" t="s">
        <v>1574</v>
      </c>
      <c r="F1256" t="s">
        <v>1575</v>
      </c>
    </row>
    <row r="1257" spans="1:6">
      <c r="A1257">
        <v>35</v>
      </c>
      <c r="B1257" t="s">
        <v>1727</v>
      </c>
      <c r="C1257">
        <v>6248</v>
      </c>
      <c r="D1257" t="s">
        <v>1371</v>
      </c>
      <c r="E1257" t="s">
        <v>1372</v>
      </c>
      <c r="F1257" t="s">
        <v>1373</v>
      </c>
    </row>
    <row r="1258" spans="1:6">
      <c r="A1258">
        <v>35</v>
      </c>
      <c r="B1258" t="s">
        <v>1727</v>
      </c>
      <c r="C1258">
        <v>43493</v>
      </c>
      <c r="D1258" t="s">
        <v>1390</v>
      </c>
      <c r="E1258" t="s">
        <v>1391</v>
      </c>
      <c r="F1258" t="s">
        <v>1392</v>
      </c>
    </row>
    <row r="1259" spans="1:6">
      <c r="A1259">
        <v>35</v>
      </c>
      <c r="B1259" t="s">
        <v>1727</v>
      </c>
      <c r="C1259">
        <v>13518.78</v>
      </c>
      <c r="D1259" t="s">
        <v>1431</v>
      </c>
      <c r="E1259" t="s">
        <v>1432</v>
      </c>
      <c r="F1259" t="s">
        <v>1433</v>
      </c>
    </row>
    <row r="1260" spans="1:6">
      <c r="A1260">
        <v>35</v>
      </c>
      <c r="B1260" t="s">
        <v>1727</v>
      </c>
      <c r="C1260">
        <v>31516.26</v>
      </c>
      <c r="D1260" t="s">
        <v>1434</v>
      </c>
      <c r="E1260" t="s">
        <v>1432</v>
      </c>
      <c r="F1260" t="s">
        <v>1435</v>
      </c>
    </row>
    <row r="1261" spans="1:6">
      <c r="A1261">
        <v>35</v>
      </c>
      <c r="B1261" t="s">
        <v>1727</v>
      </c>
      <c r="C1261">
        <v>59116</v>
      </c>
      <c r="D1261" t="s">
        <v>1587</v>
      </c>
      <c r="E1261" t="s">
        <v>1585</v>
      </c>
      <c r="F1261" t="s">
        <v>1588</v>
      </c>
    </row>
    <row r="1262" spans="1:6">
      <c r="A1262">
        <v>35</v>
      </c>
      <c r="B1262" t="s">
        <v>1727</v>
      </c>
      <c r="C1262">
        <v>12523</v>
      </c>
      <c r="D1262" t="s">
        <v>1287</v>
      </c>
      <c r="E1262" t="s">
        <v>1288</v>
      </c>
      <c r="F1262" t="s">
        <v>1289</v>
      </c>
    </row>
    <row r="1263" spans="1:6">
      <c r="A1263">
        <v>35</v>
      </c>
      <c r="B1263" t="s">
        <v>1727</v>
      </c>
      <c r="C1263">
        <v>7373</v>
      </c>
      <c r="D1263" t="s">
        <v>1592</v>
      </c>
      <c r="E1263" t="s">
        <v>1590</v>
      </c>
      <c r="F1263" t="s">
        <v>1593</v>
      </c>
    </row>
    <row r="1264" spans="1:6">
      <c r="A1264">
        <v>35</v>
      </c>
      <c r="B1264" t="s">
        <v>1727</v>
      </c>
      <c r="C1264">
        <v>1277</v>
      </c>
      <c r="D1264" t="s">
        <v>1597</v>
      </c>
      <c r="E1264" t="s">
        <v>1595</v>
      </c>
      <c r="F1264" t="s">
        <v>1598</v>
      </c>
    </row>
    <row r="1265" spans="1:6">
      <c r="A1265">
        <v>35</v>
      </c>
      <c r="B1265" t="s">
        <v>1727</v>
      </c>
      <c r="C1265">
        <v>51</v>
      </c>
      <c r="D1265" t="s">
        <v>1599</v>
      </c>
      <c r="E1265" t="s">
        <v>1600</v>
      </c>
      <c r="F1265" t="s">
        <v>1601</v>
      </c>
    </row>
    <row r="1266" spans="1:6">
      <c r="A1266">
        <v>35</v>
      </c>
      <c r="B1266" t="s">
        <v>1727</v>
      </c>
      <c r="C1266">
        <v>600000</v>
      </c>
      <c r="D1266" t="s">
        <v>1602</v>
      </c>
      <c r="E1266" t="s">
        <v>1600</v>
      </c>
      <c r="F1266" t="s">
        <v>1603</v>
      </c>
    </row>
    <row r="1267" spans="1:6">
      <c r="A1267">
        <v>35</v>
      </c>
      <c r="B1267" t="s">
        <v>1727</v>
      </c>
      <c r="C1267">
        <v>22202</v>
      </c>
      <c r="D1267" t="s">
        <v>1604</v>
      </c>
      <c r="E1267" t="s">
        <v>1605</v>
      </c>
      <c r="F1267" t="s">
        <v>1606</v>
      </c>
    </row>
    <row r="1268" spans="1:6">
      <c r="A1268">
        <v>35</v>
      </c>
      <c r="B1268" t="s">
        <v>1727</v>
      </c>
      <c r="C1268">
        <v>85666.68</v>
      </c>
      <c r="D1268" t="s">
        <v>1475</v>
      </c>
      <c r="E1268" t="s">
        <v>1476</v>
      </c>
      <c r="F1268" t="s">
        <v>1477</v>
      </c>
    </row>
    <row r="1269" spans="1:6">
      <c r="A1269">
        <v>35</v>
      </c>
      <c r="B1269" t="s">
        <v>1727</v>
      </c>
      <c r="C1269">
        <v>69236.45</v>
      </c>
      <c r="D1269" t="s">
        <v>1478</v>
      </c>
      <c r="E1269" t="s">
        <v>1479</v>
      </c>
      <c r="F1269" t="s">
        <v>1480</v>
      </c>
    </row>
    <row r="1270" spans="1:6">
      <c r="A1270">
        <v>35</v>
      </c>
      <c r="B1270" t="s">
        <v>1727</v>
      </c>
      <c r="C1270">
        <v>238791.73</v>
      </c>
      <c r="D1270" t="s">
        <v>1365</v>
      </c>
      <c r="E1270" t="s">
        <v>1366</v>
      </c>
      <c r="F1270" t="s">
        <v>1367</v>
      </c>
    </row>
    <row r="1271" spans="1:6">
      <c r="A1271">
        <v>35</v>
      </c>
      <c r="B1271" t="s">
        <v>1727</v>
      </c>
      <c r="C1271">
        <v>958629</v>
      </c>
      <c r="D1271" t="s">
        <v>1610</v>
      </c>
      <c r="E1271" t="s">
        <v>1481</v>
      </c>
      <c r="F1271" t="s">
        <v>1482</v>
      </c>
    </row>
    <row r="1272" spans="1:6">
      <c r="A1272">
        <v>36</v>
      </c>
      <c r="B1272" t="s">
        <v>1728</v>
      </c>
      <c r="C1272">
        <v>1461</v>
      </c>
      <c r="D1272" t="s">
        <v>1489</v>
      </c>
      <c r="E1272" t="s">
        <v>1490</v>
      </c>
      <c r="F1272" t="s">
        <v>1491</v>
      </c>
    </row>
    <row r="1273" spans="1:6">
      <c r="A1273">
        <v>36</v>
      </c>
      <c r="B1273" t="s">
        <v>1728</v>
      </c>
      <c r="C1273">
        <v>7259</v>
      </c>
      <c r="D1273" t="s">
        <v>1567</v>
      </c>
      <c r="E1273" t="s">
        <v>1568</v>
      </c>
      <c r="F1273" t="s">
        <v>1569</v>
      </c>
    </row>
    <row r="1274" spans="1:6">
      <c r="A1274">
        <v>36</v>
      </c>
      <c r="B1274" t="s">
        <v>1728</v>
      </c>
      <c r="C1274">
        <v>1533000</v>
      </c>
      <c r="D1274" t="s">
        <v>1570</v>
      </c>
      <c r="E1274" t="s">
        <v>1571</v>
      </c>
      <c r="F1274" t="s">
        <v>1572</v>
      </c>
    </row>
    <row r="1275" spans="1:6">
      <c r="A1275">
        <v>36</v>
      </c>
      <c r="B1275" t="s">
        <v>1728</v>
      </c>
      <c r="C1275">
        <v>38330</v>
      </c>
      <c r="D1275" t="s">
        <v>1573</v>
      </c>
      <c r="E1275" t="s">
        <v>1574</v>
      </c>
      <c r="F1275" t="s">
        <v>1575</v>
      </c>
    </row>
    <row r="1276" spans="1:6">
      <c r="A1276">
        <v>36</v>
      </c>
      <c r="B1276" t="s">
        <v>1728</v>
      </c>
      <c r="C1276">
        <v>5608</v>
      </c>
      <c r="D1276" t="s">
        <v>1371</v>
      </c>
      <c r="E1276" t="s">
        <v>1372</v>
      </c>
      <c r="F1276" t="s">
        <v>1373</v>
      </c>
    </row>
    <row r="1277" spans="1:6">
      <c r="A1277">
        <v>36</v>
      </c>
      <c r="B1277" t="s">
        <v>1728</v>
      </c>
      <c r="C1277">
        <v>210.37</v>
      </c>
      <c r="D1277" t="s">
        <v>1374</v>
      </c>
      <c r="E1277" t="s">
        <v>1375</v>
      </c>
      <c r="F1277" t="s">
        <v>1376</v>
      </c>
    </row>
    <row r="1278" spans="1:6">
      <c r="A1278">
        <v>36</v>
      </c>
      <c r="B1278" t="s">
        <v>1728</v>
      </c>
      <c r="C1278">
        <v>391.81</v>
      </c>
      <c r="D1278" t="s">
        <v>1377</v>
      </c>
      <c r="E1278" t="s">
        <v>1375</v>
      </c>
      <c r="F1278" t="s">
        <v>1378</v>
      </c>
    </row>
    <row r="1279" spans="1:6">
      <c r="A1279">
        <v>36</v>
      </c>
      <c r="B1279" t="s">
        <v>1728</v>
      </c>
      <c r="C1279">
        <v>4722.33</v>
      </c>
      <c r="D1279" t="s">
        <v>1431</v>
      </c>
      <c r="E1279" t="s">
        <v>1432</v>
      </c>
      <c r="F1279" t="s">
        <v>1433</v>
      </c>
    </row>
    <row r="1280" spans="1:6">
      <c r="A1280">
        <v>36</v>
      </c>
      <c r="B1280" t="s">
        <v>1728</v>
      </c>
      <c r="C1280">
        <v>12294.21</v>
      </c>
      <c r="D1280" t="s">
        <v>1434</v>
      </c>
      <c r="E1280" t="s">
        <v>1432</v>
      </c>
      <c r="F1280" t="s">
        <v>1435</v>
      </c>
    </row>
    <row r="1281" spans="1:6">
      <c r="A1281">
        <v>36</v>
      </c>
      <c r="B1281" t="s">
        <v>1728</v>
      </c>
      <c r="C1281">
        <v>7556</v>
      </c>
      <c r="D1281" t="s">
        <v>1576</v>
      </c>
      <c r="E1281" t="s">
        <v>1577</v>
      </c>
      <c r="F1281" t="s">
        <v>1578</v>
      </c>
    </row>
    <row r="1282" spans="1:6">
      <c r="A1282">
        <v>36</v>
      </c>
      <c r="B1282" t="s">
        <v>1728</v>
      </c>
      <c r="C1282">
        <v>3217</v>
      </c>
      <c r="D1282" t="s">
        <v>1579</v>
      </c>
      <c r="E1282" t="s">
        <v>1577</v>
      </c>
      <c r="F1282" t="s">
        <v>1580</v>
      </c>
    </row>
    <row r="1283" spans="1:6">
      <c r="A1283">
        <v>36</v>
      </c>
      <c r="B1283" t="s">
        <v>1728</v>
      </c>
      <c r="C1283">
        <v>100.12</v>
      </c>
      <c r="D1283" t="s">
        <v>1379</v>
      </c>
      <c r="E1283" t="s">
        <v>1380</v>
      </c>
      <c r="F1283" t="s">
        <v>1381</v>
      </c>
    </row>
    <row r="1284" spans="1:6">
      <c r="A1284">
        <v>36</v>
      </c>
      <c r="B1284" t="s">
        <v>1728</v>
      </c>
      <c r="C1284">
        <v>4085.9</v>
      </c>
      <c r="D1284" t="s">
        <v>1478</v>
      </c>
      <c r="E1284" t="s">
        <v>1479</v>
      </c>
      <c r="F1284" t="s">
        <v>1480</v>
      </c>
    </row>
    <row r="1285" spans="1:6">
      <c r="A1285">
        <v>37</v>
      </c>
      <c r="B1285" t="s">
        <v>1729</v>
      </c>
      <c r="C1285">
        <v>13263</v>
      </c>
      <c r="D1285" t="s">
        <v>1483</v>
      </c>
      <c r="E1285" t="s">
        <v>1484</v>
      </c>
      <c r="F1285" t="s">
        <v>1485</v>
      </c>
    </row>
    <row r="1286" spans="1:6">
      <c r="A1286">
        <v>37</v>
      </c>
      <c r="B1286" t="s">
        <v>1729</v>
      </c>
      <c r="C1286">
        <v>17304</v>
      </c>
      <c r="D1286" t="s">
        <v>1486</v>
      </c>
      <c r="E1286" t="s">
        <v>1487</v>
      </c>
      <c r="F1286" t="s">
        <v>1488</v>
      </c>
    </row>
    <row r="1287" spans="1:6">
      <c r="A1287">
        <v>37</v>
      </c>
      <c r="B1287" t="s">
        <v>1729</v>
      </c>
      <c r="C1287">
        <v>8093</v>
      </c>
      <c r="D1287" t="s">
        <v>1489</v>
      </c>
      <c r="E1287" t="s">
        <v>1490</v>
      </c>
      <c r="F1287" t="s">
        <v>1491</v>
      </c>
    </row>
    <row r="1288" spans="1:6">
      <c r="A1288">
        <v>37</v>
      </c>
      <c r="B1288" t="s">
        <v>1729</v>
      </c>
      <c r="C1288">
        <v>159860</v>
      </c>
      <c r="D1288" t="s">
        <v>1567</v>
      </c>
      <c r="E1288" t="s">
        <v>1568</v>
      </c>
      <c r="F1288" t="s">
        <v>1569</v>
      </c>
    </row>
    <row r="1289" spans="1:6">
      <c r="A1289">
        <v>37</v>
      </c>
      <c r="B1289" t="s">
        <v>1729</v>
      </c>
      <c r="C1289">
        <v>9246</v>
      </c>
      <c r="D1289" t="s">
        <v>1496</v>
      </c>
      <c r="E1289" t="s">
        <v>1497</v>
      </c>
      <c r="F1289" t="s">
        <v>1498</v>
      </c>
    </row>
    <row r="1290" spans="1:6">
      <c r="A1290">
        <v>37</v>
      </c>
      <c r="B1290" t="s">
        <v>1729</v>
      </c>
      <c r="C1290">
        <v>6062264</v>
      </c>
      <c r="D1290" t="s">
        <v>1570</v>
      </c>
      <c r="E1290" t="s">
        <v>1571</v>
      </c>
      <c r="F1290" t="s">
        <v>1572</v>
      </c>
    </row>
    <row r="1291" spans="1:6">
      <c r="A1291">
        <v>37</v>
      </c>
      <c r="B1291" t="s">
        <v>1729</v>
      </c>
      <c r="C1291">
        <v>4979</v>
      </c>
      <c r="D1291" t="s">
        <v>1327</v>
      </c>
      <c r="E1291" t="s">
        <v>1328</v>
      </c>
      <c r="F1291" t="s">
        <v>1329</v>
      </c>
    </row>
    <row r="1292" spans="1:6">
      <c r="A1292">
        <v>37</v>
      </c>
      <c r="B1292" t="s">
        <v>1729</v>
      </c>
      <c r="C1292">
        <v>6000</v>
      </c>
      <c r="D1292" t="s">
        <v>1515</v>
      </c>
      <c r="E1292" t="s">
        <v>1516</v>
      </c>
      <c r="F1292" t="s">
        <v>1517</v>
      </c>
    </row>
    <row r="1293" spans="1:6">
      <c r="A1293">
        <v>37</v>
      </c>
      <c r="B1293" t="s">
        <v>1729</v>
      </c>
      <c r="C1293">
        <v>2034</v>
      </c>
      <c r="D1293" t="s">
        <v>1518</v>
      </c>
      <c r="E1293" t="s">
        <v>1516</v>
      </c>
      <c r="F1293" t="s">
        <v>1519</v>
      </c>
    </row>
    <row r="1294" spans="1:6">
      <c r="A1294">
        <v>37</v>
      </c>
      <c r="B1294" t="s">
        <v>1729</v>
      </c>
      <c r="C1294">
        <v>130520</v>
      </c>
      <c r="D1294" t="s">
        <v>1520</v>
      </c>
      <c r="E1294" t="s">
        <v>1521</v>
      </c>
      <c r="F1294" t="s">
        <v>1522</v>
      </c>
    </row>
    <row r="1295" spans="1:6">
      <c r="A1295">
        <v>37</v>
      </c>
      <c r="B1295" t="s">
        <v>1729</v>
      </c>
      <c r="C1295">
        <v>176460</v>
      </c>
      <c r="D1295" t="s">
        <v>1573</v>
      </c>
      <c r="E1295" t="s">
        <v>1574</v>
      </c>
      <c r="F1295" t="s">
        <v>1575</v>
      </c>
    </row>
    <row r="1296" spans="1:6">
      <c r="A1296">
        <v>37</v>
      </c>
      <c r="B1296" t="s">
        <v>1729</v>
      </c>
      <c r="C1296">
        <v>6067</v>
      </c>
      <c r="D1296" t="s">
        <v>1523</v>
      </c>
      <c r="E1296" t="s">
        <v>1521</v>
      </c>
      <c r="F1296" t="s">
        <v>1524</v>
      </c>
    </row>
    <row r="1297" spans="1:6">
      <c r="A1297">
        <v>37</v>
      </c>
      <c r="B1297" t="s">
        <v>1729</v>
      </c>
      <c r="C1297">
        <v>15339</v>
      </c>
      <c r="D1297" t="s">
        <v>1525</v>
      </c>
      <c r="E1297" t="s">
        <v>1526</v>
      </c>
      <c r="F1297" t="s">
        <v>1527</v>
      </c>
    </row>
    <row r="1298" spans="1:6">
      <c r="A1298">
        <v>37</v>
      </c>
      <c r="B1298" t="s">
        <v>1729</v>
      </c>
      <c r="C1298">
        <v>100000</v>
      </c>
      <c r="D1298" t="s">
        <v>1204</v>
      </c>
      <c r="E1298" t="s">
        <v>1205</v>
      </c>
      <c r="F1298" t="s">
        <v>1206</v>
      </c>
    </row>
    <row r="1299" spans="1:6">
      <c r="A1299">
        <v>37</v>
      </c>
      <c r="B1299" t="s">
        <v>1729</v>
      </c>
      <c r="C1299">
        <v>150000</v>
      </c>
      <c r="D1299" t="s">
        <v>1207</v>
      </c>
      <c r="E1299" t="s">
        <v>1350</v>
      </c>
      <c r="F1299" t="s">
        <v>1351</v>
      </c>
    </row>
    <row r="1300" spans="1:6">
      <c r="A1300">
        <v>37</v>
      </c>
      <c r="B1300" t="s">
        <v>1729</v>
      </c>
      <c r="C1300">
        <v>161.16999999999999</v>
      </c>
      <c r="D1300" t="s">
        <v>1374</v>
      </c>
      <c r="E1300" t="s">
        <v>1375</v>
      </c>
      <c r="F1300" t="s">
        <v>1376</v>
      </c>
    </row>
    <row r="1301" spans="1:6">
      <c r="A1301">
        <v>37</v>
      </c>
      <c r="B1301" t="s">
        <v>1729</v>
      </c>
      <c r="C1301">
        <v>311.47000000000003</v>
      </c>
      <c r="D1301" t="s">
        <v>1377</v>
      </c>
      <c r="E1301" t="s">
        <v>1375</v>
      </c>
      <c r="F1301" t="s">
        <v>1378</v>
      </c>
    </row>
    <row r="1302" spans="1:6">
      <c r="A1302">
        <v>37</v>
      </c>
      <c r="B1302" t="s">
        <v>1729</v>
      </c>
      <c r="C1302">
        <v>13205.27</v>
      </c>
      <c r="D1302" t="s">
        <v>1537</v>
      </c>
      <c r="E1302" t="s">
        <v>1538</v>
      </c>
      <c r="F1302" t="s">
        <v>1539</v>
      </c>
    </row>
    <row r="1303" spans="1:6">
      <c r="A1303">
        <v>37</v>
      </c>
      <c r="B1303" t="s">
        <v>1729</v>
      </c>
      <c r="C1303">
        <v>29941.32</v>
      </c>
      <c r="D1303" t="s">
        <v>1540</v>
      </c>
      <c r="E1303" t="s">
        <v>1538</v>
      </c>
      <c r="F1303" t="s">
        <v>1541</v>
      </c>
    </row>
    <row r="1304" spans="1:6">
      <c r="A1304">
        <v>37</v>
      </c>
      <c r="B1304" t="s">
        <v>1729</v>
      </c>
      <c r="C1304">
        <v>66378.33</v>
      </c>
      <c r="D1304" t="s">
        <v>1431</v>
      </c>
      <c r="E1304" t="s">
        <v>1432</v>
      </c>
      <c r="F1304" t="s">
        <v>1433</v>
      </c>
    </row>
    <row r="1305" spans="1:6">
      <c r="A1305">
        <v>37</v>
      </c>
      <c r="B1305" t="s">
        <v>1729</v>
      </c>
      <c r="C1305">
        <v>153202.17000000001</v>
      </c>
      <c r="D1305" t="s">
        <v>1434</v>
      </c>
      <c r="E1305" t="s">
        <v>1432</v>
      </c>
      <c r="F1305" t="s">
        <v>1435</v>
      </c>
    </row>
    <row r="1306" spans="1:6">
      <c r="A1306">
        <v>37</v>
      </c>
      <c r="B1306" t="s">
        <v>1729</v>
      </c>
      <c r="C1306">
        <v>603</v>
      </c>
      <c r="D1306" t="s">
        <v>1208</v>
      </c>
      <c r="E1306" t="s">
        <v>1577</v>
      </c>
      <c r="F1306" t="s">
        <v>1354</v>
      </c>
    </row>
    <row r="1307" spans="1:6">
      <c r="A1307">
        <v>37</v>
      </c>
      <c r="B1307" t="s">
        <v>1729</v>
      </c>
      <c r="C1307">
        <v>117234</v>
      </c>
      <c r="D1307" t="s">
        <v>1576</v>
      </c>
      <c r="E1307" t="s">
        <v>1577</v>
      </c>
      <c r="F1307" t="s">
        <v>1578</v>
      </c>
    </row>
    <row r="1308" spans="1:6">
      <c r="A1308">
        <v>37</v>
      </c>
      <c r="B1308" t="s">
        <v>1729</v>
      </c>
      <c r="C1308">
        <v>175000</v>
      </c>
      <c r="D1308" t="s">
        <v>1579</v>
      </c>
      <c r="E1308" t="s">
        <v>1577</v>
      </c>
      <c r="F1308" t="s">
        <v>1580</v>
      </c>
    </row>
    <row r="1309" spans="1:6">
      <c r="A1309">
        <v>37</v>
      </c>
      <c r="B1309" t="s">
        <v>1729</v>
      </c>
      <c r="C1309">
        <v>12140</v>
      </c>
      <c r="D1309" t="s">
        <v>1293</v>
      </c>
      <c r="E1309" t="s">
        <v>1437</v>
      </c>
      <c r="F1309" t="s">
        <v>1283</v>
      </c>
    </row>
    <row r="1310" spans="1:6">
      <c r="A1310">
        <v>37</v>
      </c>
      <c r="B1310" t="s">
        <v>1729</v>
      </c>
      <c r="C1310">
        <v>3276</v>
      </c>
      <c r="D1310" t="s">
        <v>1209</v>
      </c>
      <c r="E1310" t="s">
        <v>1445</v>
      </c>
      <c r="F1310" t="s">
        <v>1210</v>
      </c>
    </row>
    <row r="1311" spans="1:6">
      <c r="A1311">
        <v>37</v>
      </c>
      <c r="B1311" t="s">
        <v>1729</v>
      </c>
      <c r="C1311">
        <v>8981</v>
      </c>
      <c r="D1311" t="s">
        <v>1211</v>
      </c>
      <c r="E1311" t="s">
        <v>1445</v>
      </c>
      <c r="F1311" t="s">
        <v>1210</v>
      </c>
    </row>
    <row r="1312" spans="1:6">
      <c r="A1312">
        <v>37</v>
      </c>
      <c r="B1312" t="s">
        <v>1729</v>
      </c>
      <c r="C1312">
        <v>4525</v>
      </c>
      <c r="D1312" t="s">
        <v>1442</v>
      </c>
      <c r="E1312" t="s">
        <v>1582</v>
      </c>
      <c r="F1312" t="s">
        <v>1443</v>
      </c>
    </row>
    <row r="1313" spans="1:6">
      <c r="A1313">
        <v>37</v>
      </c>
      <c r="B1313" t="s">
        <v>1729</v>
      </c>
      <c r="C1313">
        <v>1657</v>
      </c>
      <c r="D1313" t="s">
        <v>1581</v>
      </c>
      <c r="E1313" t="s">
        <v>1582</v>
      </c>
      <c r="F1313" t="s">
        <v>1583</v>
      </c>
    </row>
    <row r="1314" spans="1:6">
      <c r="A1314">
        <v>37</v>
      </c>
      <c r="B1314" t="s">
        <v>1729</v>
      </c>
      <c r="C1314">
        <v>54467</v>
      </c>
      <c r="D1314" t="s">
        <v>1263</v>
      </c>
      <c r="E1314" t="s">
        <v>1445</v>
      </c>
      <c r="F1314" t="s">
        <v>1583</v>
      </c>
    </row>
    <row r="1315" spans="1:6">
      <c r="A1315">
        <v>37</v>
      </c>
      <c r="B1315" t="s">
        <v>1729</v>
      </c>
      <c r="C1315">
        <v>3926</v>
      </c>
      <c r="D1315" t="s">
        <v>1296</v>
      </c>
      <c r="E1315" t="s">
        <v>1585</v>
      </c>
      <c r="F1315" t="s">
        <v>1297</v>
      </c>
    </row>
    <row r="1316" spans="1:6">
      <c r="A1316">
        <v>37</v>
      </c>
      <c r="B1316" t="s">
        <v>1729</v>
      </c>
      <c r="C1316">
        <v>34399</v>
      </c>
      <c r="D1316" t="s">
        <v>1584</v>
      </c>
      <c r="E1316" t="s">
        <v>1585</v>
      </c>
      <c r="F1316" t="s">
        <v>1586</v>
      </c>
    </row>
    <row r="1317" spans="1:6">
      <c r="A1317">
        <v>37</v>
      </c>
      <c r="B1317" t="s">
        <v>1729</v>
      </c>
      <c r="C1317">
        <v>73554</v>
      </c>
      <c r="D1317" t="s">
        <v>1587</v>
      </c>
      <c r="E1317" t="s">
        <v>1585</v>
      </c>
      <c r="F1317" t="s">
        <v>1588</v>
      </c>
    </row>
    <row r="1318" spans="1:6">
      <c r="A1318">
        <v>37</v>
      </c>
      <c r="B1318" t="s">
        <v>1729</v>
      </c>
      <c r="C1318">
        <v>94</v>
      </c>
      <c r="D1318" t="s">
        <v>1454</v>
      </c>
      <c r="E1318" t="s">
        <v>1455</v>
      </c>
      <c r="F1318" t="s">
        <v>1456</v>
      </c>
    </row>
    <row r="1319" spans="1:6">
      <c r="A1319">
        <v>37</v>
      </c>
      <c r="B1319" t="s">
        <v>1729</v>
      </c>
      <c r="C1319">
        <v>5992</v>
      </c>
      <c r="D1319" t="s">
        <v>1457</v>
      </c>
      <c r="E1319" t="s">
        <v>1455</v>
      </c>
      <c r="F1319" t="s">
        <v>1458</v>
      </c>
    </row>
    <row r="1320" spans="1:6">
      <c r="A1320">
        <v>37</v>
      </c>
      <c r="B1320" t="s">
        <v>1729</v>
      </c>
      <c r="C1320">
        <v>788</v>
      </c>
      <c r="D1320" t="s">
        <v>1284</v>
      </c>
      <c r="E1320" t="s">
        <v>1590</v>
      </c>
      <c r="F1320" t="s">
        <v>1285</v>
      </c>
    </row>
    <row r="1321" spans="1:6">
      <c r="A1321">
        <v>37</v>
      </c>
      <c r="B1321" t="s">
        <v>1729</v>
      </c>
      <c r="C1321">
        <v>8347</v>
      </c>
      <c r="D1321" t="s">
        <v>1589</v>
      </c>
      <c r="E1321" t="s">
        <v>1590</v>
      </c>
      <c r="F1321" t="s">
        <v>1591</v>
      </c>
    </row>
    <row r="1322" spans="1:6">
      <c r="A1322">
        <v>37</v>
      </c>
      <c r="B1322" t="s">
        <v>1729</v>
      </c>
      <c r="C1322">
        <v>2400</v>
      </c>
      <c r="D1322" t="s">
        <v>1592</v>
      </c>
      <c r="E1322" t="s">
        <v>1590</v>
      </c>
      <c r="F1322" t="s">
        <v>1593</v>
      </c>
    </row>
    <row r="1323" spans="1:6">
      <c r="A1323">
        <v>37</v>
      </c>
      <c r="B1323" t="s">
        <v>1729</v>
      </c>
      <c r="C1323">
        <v>2256</v>
      </c>
      <c r="D1323" t="s">
        <v>1299</v>
      </c>
      <c r="E1323" t="s">
        <v>1595</v>
      </c>
      <c r="F1323" t="s">
        <v>1300</v>
      </c>
    </row>
    <row r="1324" spans="1:6">
      <c r="A1324">
        <v>37</v>
      </c>
      <c r="B1324" t="s">
        <v>1729</v>
      </c>
      <c r="C1324">
        <v>393</v>
      </c>
      <c r="D1324" t="s">
        <v>1212</v>
      </c>
      <c r="E1324" t="s">
        <v>1595</v>
      </c>
      <c r="F1324" t="s">
        <v>1300</v>
      </c>
    </row>
    <row r="1325" spans="1:6">
      <c r="A1325">
        <v>37</v>
      </c>
      <c r="B1325" t="s">
        <v>1729</v>
      </c>
      <c r="C1325">
        <v>6199</v>
      </c>
      <c r="D1325" t="s">
        <v>1594</v>
      </c>
      <c r="E1325" t="s">
        <v>1595</v>
      </c>
      <c r="F1325" t="s">
        <v>1596</v>
      </c>
    </row>
    <row r="1326" spans="1:6">
      <c r="A1326">
        <v>37</v>
      </c>
      <c r="B1326" t="s">
        <v>1729</v>
      </c>
      <c r="C1326">
        <v>2400</v>
      </c>
      <c r="D1326" t="s">
        <v>1597</v>
      </c>
      <c r="E1326" t="s">
        <v>1595</v>
      </c>
      <c r="F1326" t="s">
        <v>1598</v>
      </c>
    </row>
    <row r="1327" spans="1:6">
      <c r="A1327">
        <v>37</v>
      </c>
      <c r="B1327" t="s">
        <v>1729</v>
      </c>
      <c r="C1327">
        <v>65269</v>
      </c>
      <c r="D1327" t="s">
        <v>1213</v>
      </c>
      <c r="E1327" t="s">
        <v>1600</v>
      </c>
      <c r="F1327" t="s">
        <v>1214</v>
      </c>
    </row>
    <row r="1328" spans="1:6">
      <c r="A1328">
        <v>37</v>
      </c>
      <c r="B1328" t="s">
        <v>1729</v>
      </c>
      <c r="C1328">
        <v>179206</v>
      </c>
      <c r="D1328" t="s">
        <v>1599</v>
      </c>
      <c r="E1328" t="s">
        <v>1600</v>
      </c>
      <c r="F1328" t="s">
        <v>1601</v>
      </c>
    </row>
    <row r="1329" spans="1:6">
      <c r="A1329">
        <v>37</v>
      </c>
      <c r="B1329" t="s">
        <v>1729</v>
      </c>
      <c r="C1329">
        <v>270125</v>
      </c>
      <c r="D1329" t="s">
        <v>1602</v>
      </c>
      <c r="E1329" t="s">
        <v>1600</v>
      </c>
      <c r="F1329" t="s">
        <v>1603</v>
      </c>
    </row>
    <row r="1330" spans="1:6">
      <c r="A1330">
        <v>37</v>
      </c>
      <c r="B1330" t="s">
        <v>1729</v>
      </c>
      <c r="C1330">
        <v>8612</v>
      </c>
      <c r="D1330" t="s">
        <v>1301</v>
      </c>
      <c r="E1330" t="s">
        <v>1605</v>
      </c>
      <c r="F1330" t="s">
        <v>1302</v>
      </c>
    </row>
    <row r="1331" spans="1:6">
      <c r="A1331">
        <v>37</v>
      </c>
      <c r="B1331" t="s">
        <v>1729</v>
      </c>
      <c r="C1331">
        <v>8993</v>
      </c>
      <c r="D1331" t="s">
        <v>1459</v>
      </c>
      <c r="E1331" t="s">
        <v>1605</v>
      </c>
      <c r="F1331" t="s">
        <v>1460</v>
      </c>
    </row>
    <row r="1332" spans="1:6">
      <c r="A1332">
        <v>37</v>
      </c>
      <c r="B1332" t="s">
        <v>1729</v>
      </c>
      <c r="C1332">
        <v>13221</v>
      </c>
      <c r="D1332" t="s">
        <v>1604</v>
      </c>
      <c r="E1332" t="s">
        <v>1605</v>
      </c>
      <c r="F1332" t="s">
        <v>1606</v>
      </c>
    </row>
    <row r="1333" spans="1:6">
      <c r="A1333">
        <v>37</v>
      </c>
      <c r="B1333" t="s">
        <v>1729</v>
      </c>
      <c r="C1333">
        <v>1526</v>
      </c>
      <c r="D1333" t="s">
        <v>1472</v>
      </c>
      <c r="E1333" t="s">
        <v>1473</v>
      </c>
      <c r="F1333" t="s">
        <v>1474</v>
      </c>
    </row>
    <row r="1334" spans="1:6">
      <c r="A1334">
        <v>37</v>
      </c>
      <c r="B1334" t="s">
        <v>1729</v>
      </c>
      <c r="C1334">
        <v>55392.4</v>
      </c>
      <c r="D1334" t="s">
        <v>1475</v>
      </c>
      <c r="E1334" t="s">
        <v>1476</v>
      </c>
      <c r="F1334" t="s">
        <v>1477</v>
      </c>
    </row>
    <row r="1335" spans="1:6">
      <c r="A1335">
        <v>37</v>
      </c>
      <c r="B1335" t="s">
        <v>1729</v>
      </c>
      <c r="C1335">
        <v>229520.29</v>
      </c>
      <c r="D1335" t="s">
        <v>1365</v>
      </c>
      <c r="E1335" t="s">
        <v>1366</v>
      </c>
      <c r="F1335" t="s">
        <v>1367</v>
      </c>
    </row>
    <row r="1336" spans="1:6">
      <c r="A1336">
        <v>38</v>
      </c>
      <c r="B1336" t="s">
        <v>1215</v>
      </c>
      <c r="C1336">
        <v>3407365</v>
      </c>
      <c r="D1336" t="s">
        <v>1570</v>
      </c>
      <c r="E1336" t="s">
        <v>1571</v>
      </c>
      <c r="F1336" t="s">
        <v>1572</v>
      </c>
    </row>
    <row r="1337" spans="1:6">
      <c r="A1337">
        <v>38</v>
      </c>
      <c r="B1337" t="s">
        <v>1215</v>
      </c>
      <c r="C1337">
        <v>14000</v>
      </c>
      <c r="D1337" t="s">
        <v>1528</v>
      </c>
      <c r="E1337" t="s">
        <v>1529</v>
      </c>
      <c r="F1337" t="s">
        <v>1530</v>
      </c>
    </row>
    <row r="1338" spans="1:6">
      <c r="A1338">
        <v>39</v>
      </c>
      <c r="B1338" t="s">
        <v>1730</v>
      </c>
      <c r="C1338">
        <v>12711</v>
      </c>
      <c r="D1338" t="s">
        <v>1483</v>
      </c>
      <c r="E1338" t="s">
        <v>1484</v>
      </c>
      <c r="F1338" t="s">
        <v>1485</v>
      </c>
    </row>
    <row r="1339" spans="1:6">
      <c r="A1339">
        <v>39</v>
      </c>
      <c r="B1339" t="s">
        <v>1730</v>
      </c>
      <c r="C1339">
        <v>46777</v>
      </c>
      <c r="D1339" t="s">
        <v>1567</v>
      </c>
      <c r="E1339" t="s">
        <v>1568</v>
      </c>
      <c r="F1339" t="s">
        <v>1569</v>
      </c>
    </row>
    <row r="1340" spans="1:6">
      <c r="A1340">
        <v>39</v>
      </c>
      <c r="B1340" t="s">
        <v>1730</v>
      </c>
      <c r="C1340">
        <v>945585</v>
      </c>
      <c r="D1340" t="s">
        <v>1570</v>
      </c>
      <c r="E1340" t="s">
        <v>1571</v>
      </c>
      <c r="F1340" t="s">
        <v>1572</v>
      </c>
    </row>
    <row r="1341" spans="1:6">
      <c r="A1341">
        <v>39</v>
      </c>
      <c r="B1341" t="s">
        <v>1730</v>
      </c>
      <c r="C1341">
        <v>23058</v>
      </c>
      <c r="D1341" t="s">
        <v>1573</v>
      </c>
      <c r="E1341" t="s">
        <v>1574</v>
      </c>
      <c r="F1341" t="s">
        <v>1575</v>
      </c>
    </row>
    <row r="1342" spans="1:6">
      <c r="A1342">
        <v>39</v>
      </c>
      <c r="B1342" t="s">
        <v>1730</v>
      </c>
      <c r="C1342">
        <v>10994</v>
      </c>
      <c r="D1342" t="s">
        <v>1371</v>
      </c>
      <c r="E1342" t="s">
        <v>1372</v>
      </c>
      <c r="F1342" t="s">
        <v>1373</v>
      </c>
    </row>
    <row r="1343" spans="1:6">
      <c r="A1343">
        <v>39</v>
      </c>
      <c r="B1343" t="s">
        <v>1730</v>
      </c>
      <c r="C1343">
        <v>1973.31</v>
      </c>
      <c r="D1343" t="s">
        <v>1374</v>
      </c>
      <c r="E1343" t="s">
        <v>1375</v>
      </c>
      <c r="F1343" t="s">
        <v>1376</v>
      </c>
    </row>
    <row r="1344" spans="1:6">
      <c r="A1344">
        <v>39</v>
      </c>
      <c r="B1344" t="s">
        <v>1730</v>
      </c>
      <c r="C1344">
        <v>4151.51</v>
      </c>
      <c r="D1344" t="s">
        <v>1377</v>
      </c>
      <c r="E1344" t="s">
        <v>1375</v>
      </c>
      <c r="F1344" t="s">
        <v>1378</v>
      </c>
    </row>
    <row r="1345" spans="1:6">
      <c r="A1345">
        <v>39</v>
      </c>
      <c r="B1345" t="s">
        <v>1730</v>
      </c>
      <c r="C1345">
        <v>30430</v>
      </c>
      <c r="D1345" t="s">
        <v>1579</v>
      </c>
      <c r="E1345" t="s">
        <v>1577</v>
      </c>
      <c r="F1345" t="s">
        <v>1580</v>
      </c>
    </row>
    <row r="1346" spans="1:6">
      <c r="A1346">
        <v>39</v>
      </c>
      <c r="B1346" t="s">
        <v>1730</v>
      </c>
      <c r="C1346">
        <v>147</v>
      </c>
      <c r="D1346" t="s">
        <v>1442</v>
      </c>
      <c r="E1346" t="s">
        <v>1582</v>
      </c>
      <c r="F1346" t="s">
        <v>1443</v>
      </c>
    </row>
    <row r="1347" spans="1:6">
      <c r="A1347">
        <v>39</v>
      </c>
      <c r="B1347" t="s">
        <v>1730</v>
      </c>
      <c r="C1347">
        <v>233</v>
      </c>
      <c r="D1347" t="s">
        <v>1581</v>
      </c>
      <c r="E1347" t="s">
        <v>1582</v>
      </c>
      <c r="F1347" t="s">
        <v>1583</v>
      </c>
    </row>
    <row r="1348" spans="1:6">
      <c r="A1348">
        <v>39</v>
      </c>
      <c r="B1348" t="s">
        <v>1730</v>
      </c>
      <c r="C1348">
        <v>6055</v>
      </c>
      <c r="D1348" t="s">
        <v>1587</v>
      </c>
      <c r="E1348" t="s">
        <v>1585</v>
      </c>
      <c r="F1348" t="s">
        <v>1588</v>
      </c>
    </row>
    <row r="1349" spans="1:6">
      <c r="A1349">
        <v>39</v>
      </c>
      <c r="B1349" t="s">
        <v>1730</v>
      </c>
      <c r="C1349">
        <v>248</v>
      </c>
      <c r="D1349" t="s">
        <v>1589</v>
      </c>
      <c r="E1349" t="s">
        <v>1590</v>
      </c>
      <c r="F1349" t="s">
        <v>1591</v>
      </c>
    </row>
    <row r="1350" spans="1:6">
      <c r="A1350">
        <v>39</v>
      </c>
      <c r="B1350" t="s">
        <v>1730</v>
      </c>
      <c r="C1350">
        <v>735</v>
      </c>
      <c r="D1350" t="s">
        <v>1592</v>
      </c>
      <c r="E1350" t="s">
        <v>1590</v>
      </c>
      <c r="F1350" t="s">
        <v>1593</v>
      </c>
    </row>
    <row r="1351" spans="1:6">
      <c r="A1351">
        <v>39</v>
      </c>
      <c r="B1351" t="s">
        <v>1730</v>
      </c>
      <c r="C1351">
        <v>253</v>
      </c>
      <c r="D1351" t="s">
        <v>1597</v>
      </c>
      <c r="E1351" t="s">
        <v>1595</v>
      </c>
      <c r="F1351" t="s">
        <v>1598</v>
      </c>
    </row>
    <row r="1352" spans="1:6">
      <c r="A1352">
        <v>39</v>
      </c>
      <c r="B1352" t="s">
        <v>1730</v>
      </c>
      <c r="C1352">
        <v>2304</v>
      </c>
      <c r="D1352" t="s">
        <v>1599</v>
      </c>
      <c r="E1352" t="s">
        <v>1600</v>
      </c>
      <c r="F1352" t="s">
        <v>1601</v>
      </c>
    </row>
    <row r="1353" spans="1:6">
      <c r="A1353">
        <v>39</v>
      </c>
      <c r="B1353" t="s">
        <v>1730</v>
      </c>
      <c r="C1353">
        <v>35619</v>
      </c>
      <c r="D1353" t="s">
        <v>1602</v>
      </c>
      <c r="E1353" t="s">
        <v>1600</v>
      </c>
      <c r="F1353" t="s">
        <v>1603</v>
      </c>
    </row>
    <row r="1354" spans="1:6">
      <c r="A1354">
        <v>39</v>
      </c>
      <c r="B1354" t="s">
        <v>1730</v>
      </c>
      <c r="C1354">
        <v>2071</v>
      </c>
      <c r="D1354" t="s">
        <v>1604</v>
      </c>
      <c r="E1354" t="s">
        <v>1605</v>
      </c>
      <c r="F1354" t="s">
        <v>1606</v>
      </c>
    </row>
    <row r="1355" spans="1:6">
      <c r="A1355">
        <v>39</v>
      </c>
      <c r="B1355" t="s">
        <v>1730</v>
      </c>
      <c r="C1355">
        <v>1492</v>
      </c>
      <c r="D1355" t="s">
        <v>1472</v>
      </c>
      <c r="E1355" t="s">
        <v>1473</v>
      </c>
      <c r="F1355" t="s">
        <v>1474</v>
      </c>
    </row>
    <row r="1356" spans="1:6">
      <c r="A1356">
        <v>40</v>
      </c>
      <c r="B1356" t="s">
        <v>1731</v>
      </c>
      <c r="C1356">
        <v>44196</v>
      </c>
      <c r="D1356" t="s">
        <v>1567</v>
      </c>
      <c r="E1356" t="s">
        <v>1568</v>
      </c>
      <c r="F1356" t="s">
        <v>1569</v>
      </c>
    </row>
    <row r="1357" spans="1:6">
      <c r="A1357">
        <v>40</v>
      </c>
      <c r="B1357" t="s">
        <v>1731</v>
      </c>
      <c r="C1357">
        <v>821193</v>
      </c>
      <c r="D1357" t="s">
        <v>1570</v>
      </c>
      <c r="E1357" t="s">
        <v>1571</v>
      </c>
      <c r="F1357" t="s">
        <v>1572</v>
      </c>
    </row>
    <row r="1358" spans="1:6">
      <c r="A1358">
        <v>40</v>
      </c>
      <c r="B1358" t="s">
        <v>1731</v>
      </c>
      <c r="C1358">
        <v>172956</v>
      </c>
      <c r="D1358" t="s">
        <v>1573</v>
      </c>
      <c r="E1358" t="s">
        <v>1574</v>
      </c>
      <c r="F1358" t="s">
        <v>1575</v>
      </c>
    </row>
    <row r="1359" spans="1:6">
      <c r="A1359">
        <v>40</v>
      </c>
      <c r="B1359" t="s">
        <v>1731</v>
      </c>
      <c r="C1359">
        <v>14000</v>
      </c>
      <c r="D1359" t="s">
        <v>1528</v>
      </c>
      <c r="E1359" t="s">
        <v>1529</v>
      </c>
      <c r="F1359" t="s">
        <v>1530</v>
      </c>
    </row>
    <row r="1360" spans="1:6">
      <c r="A1360">
        <v>40</v>
      </c>
      <c r="B1360" t="s">
        <v>1731</v>
      </c>
      <c r="C1360">
        <v>40000</v>
      </c>
      <c r="D1360" t="s">
        <v>1531</v>
      </c>
      <c r="E1360" t="s">
        <v>1532</v>
      </c>
      <c r="F1360" t="s">
        <v>1533</v>
      </c>
    </row>
    <row r="1361" spans="1:6">
      <c r="A1361">
        <v>40</v>
      </c>
      <c r="B1361" t="s">
        <v>1731</v>
      </c>
      <c r="C1361">
        <v>1300</v>
      </c>
      <c r="D1361" t="s">
        <v>1387</v>
      </c>
      <c r="E1361" t="s">
        <v>1388</v>
      </c>
      <c r="F1361" t="s">
        <v>1389</v>
      </c>
    </row>
    <row r="1362" spans="1:6">
      <c r="A1362">
        <v>40</v>
      </c>
      <c r="B1362" t="s">
        <v>1731</v>
      </c>
      <c r="C1362">
        <v>115039</v>
      </c>
      <c r="D1362" t="s">
        <v>1390</v>
      </c>
      <c r="E1362" t="s">
        <v>1391</v>
      </c>
      <c r="F1362" t="s">
        <v>1392</v>
      </c>
    </row>
    <row r="1363" spans="1:6">
      <c r="A1363">
        <v>40</v>
      </c>
      <c r="B1363" t="s">
        <v>1731</v>
      </c>
      <c r="C1363">
        <v>3345.28</v>
      </c>
      <c r="D1363" t="s">
        <v>1374</v>
      </c>
      <c r="E1363" t="s">
        <v>1375</v>
      </c>
      <c r="F1363" t="s">
        <v>1376</v>
      </c>
    </row>
    <row r="1364" spans="1:6">
      <c r="A1364">
        <v>40</v>
      </c>
      <c r="B1364" t="s">
        <v>1731</v>
      </c>
      <c r="C1364">
        <v>6281.37</v>
      </c>
      <c r="D1364" t="s">
        <v>1377</v>
      </c>
      <c r="E1364" t="s">
        <v>1375</v>
      </c>
      <c r="F1364" t="s">
        <v>1378</v>
      </c>
    </row>
    <row r="1365" spans="1:6">
      <c r="A1365">
        <v>40</v>
      </c>
      <c r="B1365" t="s">
        <v>1731</v>
      </c>
      <c r="C1365">
        <v>12002</v>
      </c>
      <c r="D1365" t="s">
        <v>1584</v>
      </c>
      <c r="E1365" t="s">
        <v>1585</v>
      </c>
      <c r="F1365" t="s">
        <v>1586</v>
      </c>
    </row>
    <row r="1366" spans="1:6">
      <c r="A1366">
        <v>40</v>
      </c>
      <c r="B1366" t="s">
        <v>1731</v>
      </c>
      <c r="C1366">
        <v>5000</v>
      </c>
      <c r="D1366" t="s">
        <v>1587</v>
      </c>
      <c r="E1366" t="s">
        <v>1585</v>
      </c>
      <c r="F1366" t="s">
        <v>1588</v>
      </c>
    </row>
    <row r="1367" spans="1:6">
      <c r="A1367">
        <v>40</v>
      </c>
      <c r="B1367" t="s">
        <v>1731</v>
      </c>
      <c r="C1367">
        <v>1425</v>
      </c>
      <c r="D1367" t="s">
        <v>1592</v>
      </c>
      <c r="E1367" t="s">
        <v>1590</v>
      </c>
      <c r="F1367" t="s">
        <v>1593</v>
      </c>
    </row>
    <row r="1368" spans="1:6">
      <c r="A1368">
        <v>40</v>
      </c>
      <c r="B1368" t="s">
        <v>1731</v>
      </c>
      <c r="C1368">
        <v>1639</v>
      </c>
      <c r="D1368" t="s">
        <v>1594</v>
      </c>
      <c r="E1368" t="s">
        <v>1595</v>
      </c>
      <c r="F1368" t="s">
        <v>1596</v>
      </c>
    </row>
    <row r="1369" spans="1:6">
      <c r="A1369">
        <v>40</v>
      </c>
      <c r="B1369" t="s">
        <v>1731</v>
      </c>
      <c r="C1369">
        <v>881</v>
      </c>
      <c r="D1369" t="s">
        <v>1597</v>
      </c>
      <c r="E1369" t="s">
        <v>1595</v>
      </c>
      <c r="F1369" t="s">
        <v>1598</v>
      </c>
    </row>
    <row r="1370" spans="1:6">
      <c r="A1370">
        <v>40</v>
      </c>
      <c r="B1370" t="s">
        <v>1731</v>
      </c>
      <c r="C1370">
        <v>3000</v>
      </c>
      <c r="D1370" t="s">
        <v>1213</v>
      </c>
      <c r="E1370" t="s">
        <v>1600</v>
      </c>
      <c r="F1370" t="s">
        <v>1214</v>
      </c>
    </row>
    <row r="1371" spans="1:6">
      <c r="A1371">
        <v>40</v>
      </c>
      <c r="B1371" t="s">
        <v>1731</v>
      </c>
      <c r="C1371">
        <v>134526</v>
      </c>
      <c r="D1371" t="s">
        <v>1599</v>
      </c>
      <c r="E1371" t="s">
        <v>1600</v>
      </c>
      <c r="F1371" t="s">
        <v>1601</v>
      </c>
    </row>
    <row r="1372" spans="1:6">
      <c r="A1372">
        <v>40</v>
      </c>
      <c r="B1372" t="s">
        <v>1731</v>
      </c>
      <c r="C1372">
        <v>1131</v>
      </c>
      <c r="D1372" t="s">
        <v>1604</v>
      </c>
      <c r="E1372" t="s">
        <v>1605</v>
      </c>
      <c r="F1372" t="s">
        <v>1606</v>
      </c>
    </row>
    <row r="1373" spans="1:6">
      <c r="A1373">
        <v>40</v>
      </c>
      <c r="B1373" t="s">
        <v>1731</v>
      </c>
      <c r="C1373">
        <v>3911.51</v>
      </c>
      <c r="D1373" t="s">
        <v>1379</v>
      </c>
      <c r="E1373" t="s">
        <v>1380</v>
      </c>
      <c r="F1373" t="s">
        <v>1381</v>
      </c>
    </row>
    <row r="1374" spans="1:6">
      <c r="A1374">
        <v>40</v>
      </c>
      <c r="B1374" t="s">
        <v>1731</v>
      </c>
      <c r="C1374">
        <v>8610.8799999999992</v>
      </c>
      <c r="D1374" t="s">
        <v>1475</v>
      </c>
      <c r="E1374" t="s">
        <v>1476</v>
      </c>
      <c r="F1374" t="s">
        <v>1477</v>
      </c>
    </row>
    <row r="1375" spans="1:6">
      <c r="A1375">
        <v>40</v>
      </c>
      <c r="B1375" t="s">
        <v>1731</v>
      </c>
      <c r="C1375">
        <v>66863.360000000001</v>
      </c>
      <c r="D1375" t="s">
        <v>1478</v>
      </c>
      <c r="E1375" t="s">
        <v>1479</v>
      </c>
      <c r="F1375" t="s">
        <v>1480</v>
      </c>
    </row>
    <row r="1376" spans="1:6">
      <c r="A1376">
        <v>40</v>
      </c>
      <c r="B1376" t="s">
        <v>1731</v>
      </c>
      <c r="C1376">
        <v>28928.01</v>
      </c>
      <c r="D1376" t="s">
        <v>1365</v>
      </c>
      <c r="E1376" t="s">
        <v>1366</v>
      </c>
      <c r="F1376" t="s">
        <v>1367</v>
      </c>
    </row>
    <row r="1377" spans="1:6">
      <c r="A1377">
        <v>41</v>
      </c>
      <c r="B1377" t="s">
        <v>1732</v>
      </c>
      <c r="C1377">
        <v>3522</v>
      </c>
      <c r="D1377" t="s">
        <v>1489</v>
      </c>
      <c r="E1377" t="s">
        <v>1490</v>
      </c>
      <c r="F1377" t="s">
        <v>1491</v>
      </c>
    </row>
    <row r="1378" spans="1:6">
      <c r="A1378">
        <v>41</v>
      </c>
      <c r="B1378" t="s">
        <v>1732</v>
      </c>
      <c r="C1378">
        <v>163226</v>
      </c>
      <c r="D1378" t="s">
        <v>1567</v>
      </c>
      <c r="E1378" t="s">
        <v>1568</v>
      </c>
      <c r="F1378" t="s">
        <v>1569</v>
      </c>
    </row>
    <row r="1379" spans="1:6">
      <c r="A1379">
        <v>41</v>
      </c>
      <c r="B1379" t="s">
        <v>1732</v>
      </c>
      <c r="C1379">
        <v>3094117</v>
      </c>
      <c r="D1379" t="s">
        <v>1570</v>
      </c>
      <c r="E1379" t="s">
        <v>1571</v>
      </c>
      <c r="F1379" t="s">
        <v>1572</v>
      </c>
    </row>
    <row r="1380" spans="1:6">
      <c r="A1380">
        <v>41</v>
      </c>
      <c r="B1380" t="s">
        <v>1732</v>
      </c>
      <c r="C1380">
        <v>109007</v>
      </c>
      <c r="D1380" t="s">
        <v>1520</v>
      </c>
      <c r="E1380" t="s">
        <v>1521</v>
      </c>
      <c r="F1380" t="s">
        <v>1522</v>
      </c>
    </row>
    <row r="1381" spans="1:6">
      <c r="A1381">
        <v>41</v>
      </c>
      <c r="B1381" t="s">
        <v>1732</v>
      </c>
      <c r="C1381">
        <v>247500</v>
      </c>
      <c r="D1381" t="s">
        <v>1573</v>
      </c>
      <c r="E1381" t="s">
        <v>1574</v>
      </c>
      <c r="F1381" t="s">
        <v>1575</v>
      </c>
    </row>
    <row r="1382" spans="1:6">
      <c r="A1382">
        <v>41</v>
      </c>
      <c r="B1382" t="s">
        <v>1732</v>
      </c>
      <c r="C1382">
        <v>14000</v>
      </c>
      <c r="D1382" t="s">
        <v>1528</v>
      </c>
      <c r="E1382" t="s">
        <v>1529</v>
      </c>
      <c r="F1382" t="s">
        <v>1530</v>
      </c>
    </row>
    <row r="1383" spans="1:6">
      <c r="A1383">
        <v>41</v>
      </c>
      <c r="B1383" t="s">
        <v>1732</v>
      </c>
      <c r="C1383">
        <v>31200</v>
      </c>
      <c r="D1383" t="s">
        <v>1387</v>
      </c>
      <c r="E1383" t="s">
        <v>1388</v>
      </c>
      <c r="F1383" t="s">
        <v>1389</v>
      </c>
    </row>
    <row r="1384" spans="1:6">
      <c r="A1384">
        <v>41</v>
      </c>
      <c r="B1384" t="s">
        <v>1732</v>
      </c>
      <c r="C1384">
        <v>16500</v>
      </c>
      <c r="D1384" t="s">
        <v>1390</v>
      </c>
      <c r="E1384" t="s">
        <v>1391</v>
      </c>
      <c r="F1384" t="s">
        <v>1392</v>
      </c>
    </row>
    <row r="1385" spans="1:6">
      <c r="A1385">
        <v>41</v>
      </c>
      <c r="B1385" t="s">
        <v>1732</v>
      </c>
      <c r="C1385">
        <v>13319.84</v>
      </c>
      <c r="D1385" t="s">
        <v>1431</v>
      </c>
      <c r="E1385" t="s">
        <v>1432</v>
      </c>
      <c r="F1385" t="s">
        <v>1433</v>
      </c>
    </row>
    <row r="1386" spans="1:6">
      <c r="A1386">
        <v>41</v>
      </c>
      <c r="B1386" t="s">
        <v>1732</v>
      </c>
      <c r="C1386">
        <v>27400.47</v>
      </c>
      <c r="D1386" t="s">
        <v>1434</v>
      </c>
      <c r="E1386" t="s">
        <v>1432</v>
      </c>
      <c r="F1386" t="s">
        <v>1435</v>
      </c>
    </row>
    <row r="1387" spans="1:6">
      <c r="A1387">
        <v>41</v>
      </c>
      <c r="B1387" t="s">
        <v>1732</v>
      </c>
      <c r="C1387">
        <v>131252</v>
      </c>
      <c r="D1387" t="s">
        <v>1579</v>
      </c>
      <c r="E1387" t="s">
        <v>1577</v>
      </c>
      <c r="F1387" t="s">
        <v>1580</v>
      </c>
    </row>
    <row r="1388" spans="1:6">
      <c r="A1388">
        <v>41</v>
      </c>
      <c r="B1388" t="s">
        <v>1732</v>
      </c>
      <c r="C1388">
        <v>2862</v>
      </c>
      <c r="D1388" t="s">
        <v>1442</v>
      </c>
      <c r="E1388" t="s">
        <v>1582</v>
      </c>
      <c r="F1388" t="s">
        <v>1443</v>
      </c>
    </row>
    <row r="1389" spans="1:6">
      <c r="A1389">
        <v>41</v>
      </c>
      <c r="B1389" t="s">
        <v>1732</v>
      </c>
      <c r="C1389">
        <v>138</v>
      </c>
      <c r="D1389" t="s">
        <v>1581</v>
      </c>
      <c r="E1389" t="s">
        <v>1582</v>
      </c>
      <c r="F1389" t="s">
        <v>1583</v>
      </c>
    </row>
    <row r="1390" spans="1:6">
      <c r="A1390">
        <v>41</v>
      </c>
      <c r="B1390" t="s">
        <v>1732</v>
      </c>
      <c r="C1390">
        <v>8870</v>
      </c>
      <c r="D1390" t="s">
        <v>1584</v>
      </c>
      <c r="E1390" t="s">
        <v>1585</v>
      </c>
      <c r="F1390" t="s">
        <v>1586</v>
      </c>
    </row>
    <row r="1391" spans="1:6">
      <c r="A1391">
        <v>41</v>
      </c>
      <c r="B1391" t="s">
        <v>1732</v>
      </c>
      <c r="C1391">
        <v>28708</v>
      </c>
      <c r="D1391" t="s">
        <v>1587</v>
      </c>
      <c r="E1391" t="s">
        <v>1585</v>
      </c>
      <c r="F1391" t="s">
        <v>1588</v>
      </c>
    </row>
    <row r="1392" spans="1:6">
      <c r="A1392">
        <v>41</v>
      </c>
      <c r="B1392" t="s">
        <v>1732</v>
      </c>
      <c r="C1392">
        <v>925</v>
      </c>
      <c r="D1392" t="s">
        <v>1589</v>
      </c>
      <c r="E1392" t="s">
        <v>1590</v>
      </c>
      <c r="F1392" t="s">
        <v>1591</v>
      </c>
    </row>
    <row r="1393" spans="1:6">
      <c r="A1393">
        <v>41</v>
      </c>
      <c r="B1393" t="s">
        <v>1732</v>
      </c>
      <c r="C1393">
        <v>4044</v>
      </c>
      <c r="D1393" t="s">
        <v>1592</v>
      </c>
      <c r="E1393" t="s">
        <v>1590</v>
      </c>
      <c r="F1393" t="s">
        <v>1593</v>
      </c>
    </row>
    <row r="1394" spans="1:6">
      <c r="A1394">
        <v>41</v>
      </c>
      <c r="B1394" t="s">
        <v>1732</v>
      </c>
      <c r="C1394">
        <v>2424</v>
      </c>
      <c r="D1394" t="s">
        <v>1594</v>
      </c>
      <c r="E1394" t="s">
        <v>1595</v>
      </c>
      <c r="F1394" t="s">
        <v>1596</v>
      </c>
    </row>
    <row r="1395" spans="1:6">
      <c r="A1395">
        <v>41</v>
      </c>
      <c r="B1395" t="s">
        <v>1732</v>
      </c>
      <c r="C1395">
        <v>377</v>
      </c>
      <c r="D1395" t="s">
        <v>1597</v>
      </c>
      <c r="E1395" t="s">
        <v>1595</v>
      </c>
      <c r="F1395" t="s">
        <v>1598</v>
      </c>
    </row>
    <row r="1396" spans="1:6">
      <c r="A1396">
        <v>41</v>
      </c>
      <c r="B1396" t="s">
        <v>1732</v>
      </c>
      <c r="C1396">
        <v>20320</v>
      </c>
      <c r="D1396" t="s">
        <v>1599</v>
      </c>
      <c r="E1396" t="s">
        <v>1600</v>
      </c>
      <c r="F1396" t="s">
        <v>1601</v>
      </c>
    </row>
    <row r="1397" spans="1:6">
      <c r="A1397">
        <v>41</v>
      </c>
      <c r="B1397" t="s">
        <v>1732</v>
      </c>
      <c r="C1397">
        <v>172666</v>
      </c>
      <c r="D1397" t="s">
        <v>1602</v>
      </c>
      <c r="E1397" t="s">
        <v>1600</v>
      </c>
      <c r="F1397" t="s">
        <v>1603</v>
      </c>
    </row>
    <row r="1398" spans="1:6">
      <c r="A1398">
        <v>41</v>
      </c>
      <c r="B1398" t="s">
        <v>1732</v>
      </c>
      <c r="C1398">
        <v>2896</v>
      </c>
      <c r="D1398" t="s">
        <v>1459</v>
      </c>
      <c r="E1398" t="s">
        <v>1605</v>
      </c>
      <c r="F1398" t="s">
        <v>1460</v>
      </c>
    </row>
    <row r="1399" spans="1:6">
      <c r="A1399">
        <v>41</v>
      </c>
      <c r="B1399" t="s">
        <v>1732</v>
      </c>
      <c r="C1399">
        <v>8104</v>
      </c>
      <c r="D1399" t="s">
        <v>1604</v>
      </c>
      <c r="E1399" t="s">
        <v>1605</v>
      </c>
      <c r="F1399" t="s">
        <v>1606</v>
      </c>
    </row>
    <row r="1400" spans="1:6">
      <c r="A1400">
        <v>41</v>
      </c>
      <c r="B1400" t="s">
        <v>1732</v>
      </c>
      <c r="C1400">
        <v>77584.36</v>
      </c>
      <c r="D1400" t="s">
        <v>1475</v>
      </c>
      <c r="E1400" t="s">
        <v>1476</v>
      </c>
      <c r="F1400" t="s">
        <v>1477</v>
      </c>
    </row>
    <row r="1401" spans="1:6">
      <c r="A1401">
        <v>41</v>
      </c>
      <c r="B1401" t="s">
        <v>1732</v>
      </c>
      <c r="C1401">
        <v>374049.2</v>
      </c>
      <c r="D1401" t="s">
        <v>1365</v>
      </c>
      <c r="E1401" t="s">
        <v>1366</v>
      </c>
      <c r="F1401" t="s">
        <v>1367</v>
      </c>
    </row>
    <row r="1402" spans="1:6">
      <c r="A1402">
        <v>41</v>
      </c>
      <c r="B1402" t="s">
        <v>1732</v>
      </c>
      <c r="C1402">
        <v>22218</v>
      </c>
      <c r="D1402" t="s">
        <v>1607</v>
      </c>
      <c r="E1402" t="s">
        <v>1608</v>
      </c>
      <c r="F1402" t="s">
        <v>1609</v>
      </c>
    </row>
    <row r="1403" spans="1:6">
      <c r="A1403">
        <v>41</v>
      </c>
      <c r="B1403" t="s">
        <v>1732</v>
      </c>
      <c r="C1403">
        <v>2593169</v>
      </c>
      <c r="D1403" t="s">
        <v>1610</v>
      </c>
      <c r="E1403" t="s">
        <v>1481</v>
      </c>
      <c r="F1403" t="s">
        <v>1482</v>
      </c>
    </row>
    <row r="1404" spans="1:6">
      <c r="A1404">
        <v>42</v>
      </c>
      <c r="B1404" t="s">
        <v>1733</v>
      </c>
      <c r="C1404">
        <v>10880</v>
      </c>
      <c r="D1404" t="s">
        <v>1483</v>
      </c>
      <c r="E1404" t="s">
        <v>1484</v>
      </c>
      <c r="F1404" t="s">
        <v>1485</v>
      </c>
    </row>
    <row r="1405" spans="1:6">
      <c r="A1405">
        <v>42</v>
      </c>
      <c r="B1405" t="s">
        <v>1733</v>
      </c>
      <c r="C1405">
        <v>6407</v>
      </c>
      <c r="D1405" t="s">
        <v>1489</v>
      </c>
      <c r="E1405" t="s">
        <v>1490</v>
      </c>
      <c r="F1405" t="s">
        <v>1491</v>
      </c>
    </row>
    <row r="1406" spans="1:6">
      <c r="A1406">
        <v>42</v>
      </c>
      <c r="B1406" t="s">
        <v>1733</v>
      </c>
      <c r="C1406">
        <v>239355</v>
      </c>
      <c r="D1406" t="s">
        <v>1567</v>
      </c>
      <c r="E1406" t="s">
        <v>1568</v>
      </c>
      <c r="F1406" t="s">
        <v>1569</v>
      </c>
    </row>
    <row r="1407" spans="1:6">
      <c r="A1407">
        <v>42</v>
      </c>
      <c r="B1407" t="s">
        <v>1733</v>
      </c>
      <c r="C1407">
        <v>6459851</v>
      </c>
      <c r="D1407" t="s">
        <v>1570</v>
      </c>
      <c r="E1407" t="s">
        <v>1571</v>
      </c>
      <c r="F1407" t="s">
        <v>1572</v>
      </c>
    </row>
    <row r="1408" spans="1:6">
      <c r="A1408">
        <v>42</v>
      </c>
      <c r="B1408" t="s">
        <v>1733</v>
      </c>
      <c r="C1408">
        <v>167088</v>
      </c>
      <c r="D1408" t="s">
        <v>1520</v>
      </c>
      <c r="E1408" t="s">
        <v>1521</v>
      </c>
      <c r="F1408" t="s">
        <v>1522</v>
      </c>
    </row>
    <row r="1409" spans="1:6">
      <c r="A1409">
        <v>42</v>
      </c>
      <c r="B1409" t="s">
        <v>1733</v>
      </c>
      <c r="C1409">
        <v>303393</v>
      </c>
      <c r="D1409" t="s">
        <v>1573</v>
      </c>
      <c r="E1409" t="s">
        <v>1574</v>
      </c>
      <c r="F1409" t="s">
        <v>1575</v>
      </c>
    </row>
    <row r="1410" spans="1:6">
      <c r="A1410">
        <v>42</v>
      </c>
      <c r="B1410" t="s">
        <v>1733</v>
      </c>
      <c r="C1410">
        <v>29337</v>
      </c>
      <c r="D1410" t="s">
        <v>1523</v>
      </c>
      <c r="E1410" t="s">
        <v>1521</v>
      </c>
      <c r="F1410" t="s">
        <v>1524</v>
      </c>
    </row>
    <row r="1411" spans="1:6">
      <c r="A1411">
        <v>42</v>
      </c>
      <c r="B1411" t="s">
        <v>1733</v>
      </c>
      <c r="C1411">
        <v>61866</v>
      </c>
      <c r="D1411" t="s">
        <v>1371</v>
      </c>
      <c r="E1411" t="s">
        <v>1372</v>
      </c>
      <c r="F1411" t="s">
        <v>1373</v>
      </c>
    </row>
    <row r="1412" spans="1:6">
      <c r="A1412">
        <v>42</v>
      </c>
      <c r="B1412" t="s">
        <v>1733</v>
      </c>
      <c r="C1412">
        <v>16098</v>
      </c>
      <c r="D1412" t="s">
        <v>1528</v>
      </c>
      <c r="E1412" t="s">
        <v>1529</v>
      </c>
      <c r="F1412" t="s">
        <v>1530</v>
      </c>
    </row>
    <row r="1413" spans="1:6">
      <c r="A1413">
        <v>42</v>
      </c>
      <c r="B1413" t="s">
        <v>1733</v>
      </c>
      <c r="C1413">
        <v>113.19</v>
      </c>
      <c r="D1413" t="s">
        <v>1374</v>
      </c>
      <c r="E1413" t="s">
        <v>1375</v>
      </c>
      <c r="F1413" t="s">
        <v>1376</v>
      </c>
    </row>
    <row r="1414" spans="1:6">
      <c r="A1414">
        <v>42</v>
      </c>
      <c r="B1414" t="s">
        <v>1733</v>
      </c>
      <c r="C1414">
        <v>223.95</v>
      </c>
      <c r="D1414" t="s">
        <v>1377</v>
      </c>
      <c r="E1414" t="s">
        <v>1375</v>
      </c>
      <c r="F1414" t="s">
        <v>1378</v>
      </c>
    </row>
    <row r="1415" spans="1:6">
      <c r="A1415">
        <v>42</v>
      </c>
      <c r="B1415" t="s">
        <v>1733</v>
      </c>
      <c r="C1415">
        <v>22522.080000000002</v>
      </c>
      <c r="D1415" t="s">
        <v>1431</v>
      </c>
      <c r="E1415" t="s">
        <v>1432</v>
      </c>
      <c r="F1415" t="s">
        <v>1433</v>
      </c>
    </row>
    <row r="1416" spans="1:6">
      <c r="A1416">
        <v>42</v>
      </c>
      <c r="B1416" t="s">
        <v>1733</v>
      </c>
      <c r="C1416">
        <v>51685.01</v>
      </c>
      <c r="D1416" t="s">
        <v>1434</v>
      </c>
      <c r="E1416" t="s">
        <v>1432</v>
      </c>
      <c r="F1416" t="s">
        <v>1435</v>
      </c>
    </row>
    <row r="1417" spans="1:6">
      <c r="A1417">
        <v>42</v>
      </c>
      <c r="B1417" t="s">
        <v>1733</v>
      </c>
      <c r="C1417">
        <v>37179</v>
      </c>
      <c r="D1417" t="s">
        <v>1576</v>
      </c>
      <c r="E1417" t="s">
        <v>1577</v>
      </c>
      <c r="F1417" t="s">
        <v>1578</v>
      </c>
    </row>
    <row r="1418" spans="1:6">
      <c r="A1418">
        <v>42</v>
      </c>
      <c r="B1418" t="s">
        <v>1733</v>
      </c>
      <c r="C1418">
        <v>35000</v>
      </c>
      <c r="D1418" t="s">
        <v>1579</v>
      </c>
      <c r="E1418" t="s">
        <v>1577</v>
      </c>
      <c r="F1418" t="s">
        <v>1580</v>
      </c>
    </row>
    <row r="1419" spans="1:6">
      <c r="A1419">
        <v>42</v>
      </c>
      <c r="B1419" t="s">
        <v>1733</v>
      </c>
      <c r="C1419">
        <v>790</v>
      </c>
      <c r="D1419" t="s">
        <v>1442</v>
      </c>
      <c r="E1419" t="s">
        <v>1582</v>
      </c>
      <c r="F1419" t="s">
        <v>1443</v>
      </c>
    </row>
    <row r="1420" spans="1:6">
      <c r="A1420">
        <v>42</v>
      </c>
      <c r="B1420" t="s">
        <v>1733</v>
      </c>
      <c r="C1420">
        <v>30000</v>
      </c>
      <c r="D1420" t="s">
        <v>1587</v>
      </c>
      <c r="E1420" t="s">
        <v>1585</v>
      </c>
      <c r="F1420" t="s">
        <v>1588</v>
      </c>
    </row>
    <row r="1421" spans="1:6">
      <c r="A1421">
        <v>42</v>
      </c>
      <c r="B1421" t="s">
        <v>1733</v>
      </c>
      <c r="C1421">
        <v>5582</v>
      </c>
      <c r="D1421" t="s">
        <v>1589</v>
      </c>
      <c r="E1421" t="s">
        <v>1590</v>
      </c>
      <c r="F1421" t="s">
        <v>1591</v>
      </c>
    </row>
    <row r="1422" spans="1:6">
      <c r="A1422">
        <v>42</v>
      </c>
      <c r="B1422" t="s">
        <v>1733</v>
      </c>
      <c r="C1422">
        <v>200</v>
      </c>
      <c r="D1422" t="s">
        <v>1594</v>
      </c>
      <c r="E1422" t="s">
        <v>1595</v>
      </c>
      <c r="F1422" t="s">
        <v>1596</v>
      </c>
    </row>
    <row r="1423" spans="1:6">
      <c r="A1423">
        <v>42</v>
      </c>
      <c r="B1423" t="s">
        <v>1733</v>
      </c>
      <c r="C1423">
        <v>171759</v>
      </c>
      <c r="D1423" t="s">
        <v>1599</v>
      </c>
      <c r="E1423" t="s">
        <v>1600</v>
      </c>
      <c r="F1423" t="s">
        <v>1601</v>
      </c>
    </row>
    <row r="1424" spans="1:6">
      <c r="A1424">
        <v>42</v>
      </c>
      <c r="B1424" t="s">
        <v>1733</v>
      </c>
      <c r="C1424">
        <v>215000</v>
      </c>
      <c r="D1424" t="s">
        <v>1602</v>
      </c>
      <c r="E1424" t="s">
        <v>1600</v>
      </c>
      <c r="F1424" t="s">
        <v>1603</v>
      </c>
    </row>
    <row r="1425" spans="1:6">
      <c r="A1425">
        <v>42</v>
      </c>
      <c r="B1425" t="s">
        <v>1733</v>
      </c>
      <c r="C1425">
        <v>4666</v>
      </c>
      <c r="D1425" t="s">
        <v>1459</v>
      </c>
      <c r="E1425" t="s">
        <v>1605</v>
      </c>
      <c r="F1425" t="s">
        <v>1460</v>
      </c>
    </row>
    <row r="1426" spans="1:6">
      <c r="A1426">
        <v>42</v>
      </c>
      <c r="B1426" t="s">
        <v>1733</v>
      </c>
      <c r="C1426">
        <v>3000</v>
      </c>
      <c r="D1426" t="s">
        <v>1604</v>
      </c>
      <c r="E1426" t="s">
        <v>1605</v>
      </c>
      <c r="F1426" t="s">
        <v>1606</v>
      </c>
    </row>
    <row r="1427" spans="1:6">
      <c r="A1427">
        <v>42</v>
      </c>
      <c r="B1427" t="s">
        <v>1733</v>
      </c>
      <c r="C1427">
        <v>8622</v>
      </c>
      <c r="D1427" t="s">
        <v>1472</v>
      </c>
      <c r="E1427" t="s">
        <v>1473</v>
      </c>
      <c r="F1427" t="s">
        <v>1474</v>
      </c>
    </row>
    <row r="1428" spans="1:6">
      <c r="A1428">
        <v>42</v>
      </c>
      <c r="B1428" t="s">
        <v>1733</v>
      </c>
      <c r="C1428">
        <v>63462.53</v>
      </c>
      <c r="D1428" t="s">
        <v>1475</v>
      </c>
      <c r="E1428" t="s">
        <v>1476</v>
      </c>
      <c r="F1428" t="s">
        <v>1477</v>
      </c>
    </row>
    <row r="1429" spans="1:6">
      <c r="A1429">
        <v>42</v>
      </c>
      <c r="B1429" t="s">
        <v>1733</v>
      </c>
      <c r="C1429">
        <v>481070.3</v>
      </c>
      <c r="D1429" t="s">
        <v>1478</v>
      </c>
      <c r="E1429" t="s">
        <v>1479</v>
      </c>
      <c r="F1429" t="s">
        <v>1480</v>
      </c>
    </row>
    <row r="1430" spans="1:6">
      <c r="A1430">
        <v>42</v>
      </c>
      <c r="B1430" t="s">
        <v>1733</v>
      </c>
      <c r="C1430">
        <v>188814.93</v>
      </c>
      <c r="D1430" t="s">
        <v>1365</v>
      </c>
      <c r="E1430" t="s">
        <v>1366</v>
      </c>
      <c r="F1430" t="s">
        <v>1367</v>
      </c>
    </row>
    <row r="1431" spans="1:6">
      <c r="A1431">
        <v>43</v>
      </c>
      <c r="B1431" t="s">
        <v>1734</v>
      </c>
      <c r="C1431">
        <v>13425</v>
      </c>
      <c r="D1431" t="s">
        <v>1483</v>
      </c>
      <c r="E1431" t="s">
        <v>1484</v>
      </c>
      <c r="F1431" t="s">
        <v>1485</v>
      </c>
    </row>
    <row r="1432" spans="1:6">
      <c r="A1432">
        <v>43</v>
      </c>
      <c r="B1432" t="s">
        <v>1734</v>
      </c>
      <c r="C1432">
        <v>85014</v>
      </c>
      <c r="D1432" t="s">
        <v>1486</v>
      </c>
      <c r="E1432" t="s">
        <v>1487</v>
      </c>
      <c r="F1432" t="s">
        <v>1488</v>
      </c>
    </row>
    <row r="1433" spans="1:6">
      <c r="A1433">
        <v>43</v>
      </c>
      <c r="B1433" t="s">
        <v>1734</v>
      </c>
      <c r="C1433">
        <v>44181</v>
      </c>
      <c r="D1433" t="s">
        <v>1489</v>
      </c>
      <c r="E1433" t="s">
        <v>1490</v>
      </c>
      <c r="F1433" t="s">
        <v>1491</v>
      </c>
    </row>
    <row r="1434" spans="1:6">
      <c r="A1434">
        <v>43</v>
      </c>
      <c r="B1434" t="s">
        <v>1734</v>
      </c>
      <c r="C1434">
        <v>102250</v>
      </c>
      <c r="D1434" t="s">
        <v>1404</v>
      </c>
      <c r="E1434" t="s">
        <v>1405</v>
      </c>
      <c r="F1434" t="s">
        <v>1406</v>
      </c>
    </row>
    <row r="1435" spans="1:6">
      <c r="A1435">
        <v>43</v>
      </c>
      <c r="B1435" t="s">
        <v>1734</v>
      </c>
      <c r="C1435">
        <v>102250</v>
      </c>
      <c r="D1435" t="s">
        <v>1317</v>
      </c>
      <c r="E1435" t="s">
        <v>1405</v>
      </c>
      <c r="F1435" t="s">
        <v>1406</v>
      </c>
    </row>
    <row r="1436" spans="1:6">
      <c r="A1436">
        <v>43</v>
      </c>
      <c r="B1436" t="s">
        <v>1734</v>
      </c>
      <c r="C1436">
        <v>729691</v>
      </c>
      <c r="D1436" t="s">
        <v>1567</v>
      </c>
      <c r="E1436" t="s">
        <v>1568</v>
      </c>
      <c r="F1436" t="s">
        <v>1569</v>
      </c>
    </row>
    <row r="1437" spans="1:6">
      <c r="A1437">
        <v>43</v>
      </c>
      <c r="B1437" t="s">
        <v>1734</v>
      </c>
      <c r="C1437">
        <v>61360</v>
      </c>
      <c r="D1437" t="s">
        <v>1496</v>
      </c>
      <c r="E1437" t="s">
        <v>1497</v>
      </c>
      <c r="F1437" t="s">
        <v>1498</v>
      </c>
    </row>
    <row r="1438" spans="1:6">
      <c r="A1438">
        <v>43</v>
      </c>
      <c r="B1438" t="s">
        <v>1734</v>
      </c>
      <c r="C1438">
        <v>34553429</v>
      </c>
      <c r="D1438" t="s">
        <v>1570</v>
      </c>
      <c r="E1438" t="s">
        <v>1571</v>
      </c>
      <c r="F1438" t="s">
        <v>1572</v>
      </c>
    </row>
    <row r="1439" spans="1:6">
      <c r="A1439">
        <v>43</v>
      </c>
      <c r="B1439" t="s">
        <v>1734</v>
      </c>
      <c r="C1439">
        <v>19106</v>
      </c>
      <c r="D1439" t="s">
        <v>1327</v>
      </c>
      <c r="E1439" t="s">
        <v>1328</v>
      </c>
      <c r="F1439" t="s">
        <v>1329</v>
      </c>
    </row>
    <row r="1440" spans="1:6">
      <c r="A1440">
        <v>43</v>
      </c>
      <c r="B1440" t="s">
        <v>1734</v>
      </c>
      <c r="C1440">
        <v>1228359</v>
      </c>
      <c r="D1440" t="s">
        <v>1499</v>
      </c>
      <c r="E1440" t="s">
        <v>1500</v>
      </c>
      <c r="F1440" t="s">
        <v>1501</v>
      </c>
    </row>
    <row r="1441" spans="1:6">
      <c r="A1441">
        <v>43</v>
      </c>
      <c r="B1441" t="s">
        <v>1734</v>
      </c>
      <c r="C1441">
        <v>697123</v>
      </c>
      <c r="D1441" t="s">
        <v>1502</v>
      </c>
      <c r="E1441" t="s">
        <v>1503</v>
      </c>
      <c r="F1441" t="s">
        <v>1504</v>
      </c>
    </row>
    <row r="1442" spans="1:6">
      <c r="A1442">
        <v>43</v>
      </c>
      <c r="B1442" t="s">
        <v>1734</v>
      </c>
      <c r="C1442">
        <v>139931</v>
      </c>
      <c r="D1442" t="s">
        <v>1505</v>
      </c>
      <c r="E1442" t="s">
        <v>1506</v>
      </c>
      <c r="F1442" t="s">
        <v>1507</v>
      </c>
    </row>
    <row r="1443" spans="1:6">
      <c r="A1443">
        <v>43</v>
      </c>
      <c r="B1443" t="s">
        <v>1734</v>
      </c>
      <c r="C1443">
        <v>169164</v>
      </c>
      <c r="D1443" t="s">
        <v>1508</v>
      </c>
      <c r="E1443" t="s">
        <v>1509</v>
      </c>
      <c r="F1443" t="s">
        <v>1510</v>
      </c>
    </row>
    <row r="1444" spans="1:6">
      <c r="A1444">
        <v>43</v>
      </c>
      <c r="B1444" t="s">
        <v>1734</v>
      </c>
      <c r="C1444">
        <v>16381</v>
      </c>
      <c r="D1444" t="s">
        <v>1330</v>
      </c>
      <c r="E1444" t="s">
        <v>1331</v>
      </c>
      <c r="F1444" t="s">
        <v>1332</v>
      </c>
    </row>
    <row r="1445" spans="1:6">
      <c r="A1445">
        <v>43</v>
      </c>
      <c r="B1445" t="s">
        <v>1734</v>
      </c>
      <c r="C1445">
        <v>42000</v>
      </c>
      <c r="D1445" t="s">
        <v>1515</v>
      </c>
      <c r="E1445" t="s">
        <v>1516</v>
      </c>
      <c r="F1445" t="s">
        <v>1517</v>
      </c>
    </row>
    <row r="1446" spans="1:6">
      <c r="A1446">
        <v>43</v>
      </c>
      <c r="B1446" t="s">
        <v>1734</v>
      </c>
      <c r="C1446">
        <v>12931</v>
      </c>
      <c r="D1446" t="s">
        <v>1518</v>
      </c>
      <c r="E1446" t="s">
        <v>1516</v>
      </c>
      <c r="F1446" t="s">
        <v>1519</v>
      </c>
    </row>
    <row r="1447" spans="1:6">
      <c r="A1447">
        <v>43</v>
      </c>
      <c r="B1447" t="s">
        <v>1734</v>
      </c>
      <c r="C1447">
        <v>1104622</v>
      </c>
      <c r="D1447" t="s">
        <v>1520</v>
      </c>
      <c r="E1447" t="s">
        <v>1521</v>
      </c>
      <c r="F1447" t="s">
        <v>1522</v>
      </c>
    </row>
    <row r="1448" spans="1:6">
      <c r="A1448">
        <v>43</v>
      </c>
      <c r="B1448" t="s">
        <v>1734</v>
      </c>
      <c r="C1448">
        <v>53040</v>
      </c>
      <c r="D1448" t="s">
        <v>1216</v>
      </c>
      <c r="E1448" t="s">
        <v>1217</v>
      </c>
      <c r="F1448" t="s">
        <v>1218</v>
      </c>
    </row>
    <row r="1449" spans="1:6">
      <c r="A1449">
        <v>43</v>
      </c>
      <c r="B1449" t="s">
        <v>1734</v>
      </c>
      <c r="C1449">
        <v>388496</v>
      </c>
      <c r="D1449" t="s">
        <v>1573</v>
      </c>
      <c r="E1449" t="s">
        <v>1574</v>
      </c>
      <c r="F1449" t="s">
        <v>1575</v>
      </c>
    </row>
    <row r="1450" spans="1:6">
      <c r="A1450">
        <v>43</v>
      </c>
      <c r="B1450" t="s">
        <v>1734</v>
      </c>
      <c r="C1450">
        <v>97052</v>
      </c>
      <c r="D1450" t="s">
        <v>1523</v>
      </c>
      <c r="E1450" t="s">
        <v>1521</v>
      </c>
      <c r="F1450" t="s">
        <v>1524</v>
      </c>
    </row>
    <row r="1451" spans="1:6">
      <c r="A1451">
        <v>43</v>
      </c>
      <c r="B1451" t="s">
        <v>1734</v>
      </c>
      <c r="C1451">
        <v>63816</v>
      </c>
      <c r="D1451" t="s">
        <v>1525</v>
      </c>
      <c r="E1451" t="s">
        <v>1526</v>
      </c>
      <c r="F1451" t="s">
        <v>1527</v>
      </c>
    </row>
    <row r="1452" spans="1:6">
      <c r="A1452">
        <v>43</v>
      </c>
      <c r="B1452" t="s">
        <v>1734</v>
      </c>
      <c r="C1452">
        <v>46592</v>
      </c>
      <c r="D1452" t="s">
        <v>1528</v>
      </c>
      <c r="E1452" t="s">
        <v>1529</v>
      </c>
      <c r="F1452" t="s">
        <v>1530</v>
      </c>
    </row>
    <row r="1453" spans="1:6">
      <c r="A1453">
        <v>43</v>
      </c>
      <c r="B1453" t="s">
        <v>1734</v>
      </c>
      <c r="C1453">
        <v>171600</v>
      </c>
      <c r="D1453" t="s">
        <v>1387</v>
      </c>
      <c r="E1453" t="s">
        <v>1388</v>
      </c>
      <c r="F1453" t="s">
        <v>1389</v>
      </c>
    </row>
    <row r="1454" spans="1:6">
      <c r="A1454">
        <v>43</v>
      </c>
      <c r="B1454" t="s">
        <v>1734</v>
      </c>
      <c r="C1454">
        <v>817828</v>
      </c>
      <c r="D1454" t="s">
        <v>1219</v>
      </c>
      <c r="E1454" t="s">
        <v>1411</v>
      </c>
      <c r="F1454" t="s">
        <v>1412</v>
      </c>
    </row>
    <row r="1455" spans="1:6">
      <c r="A1455">
        <v>43</v>
      </c>
      <c r="B1455" t="s">
        <v>1734</v>
      </c>
      <c r="C1455">
        <v>99125</v>
      </c>
      <c r="D1455" t="s">
        <v>1207</v>
      </c>
      <c r="E1455" t="s">
        <v>1350</v>
      </c>
      <c r="F1455" t="s">
        <v>1351</v>
      </c>
    </row>
    <row r="1456" spans="1:6">
      <c r="A1456">
        <v>43</v>
      </c>
      <c r="B1456" t="s">
        <v>1734</v>
      </c>
      <c r="C1456">
        <v>149785</v>
      </c>
      <c r="D1456" t="s">
        <v>1390</v>
      </c>
      <c r="E1456" t="s">
        <v>1391</v>
      </c>
      <c r="F1456" t="s">
        <v>1392</v>
      </c>
    </row>
    <row r="1457" spans="1:6">
      <c r="A1457">
        <v>43</v>
      </c>
      <c r="B1457" t="s">
        <v>1734</v>
      </c>
      <c r="C1457">
        <v>113604</v>
      </c>
      <c r="D1457" t="s">
        <v>1534</v>
      </c>
      <c r="E1457" t="s">
        <v>1535</v>
      </c>
      <c r="F1457" t="s">
        <v>1536</v>
      </c>
    </row>
    <row r="1458" spans="1:6">
      <c r="A1458">
        <v>43</v>
      </c>
      <c r="B1458" t="s">
        <v>1734</v>
      </c>
      <c r="C1458">
        <v>108459.72</v>
      </c>
      <c r="D1458" t="s">
        <v>1537</v>
      </c>
      <c r="E1458" t="s">
        <v>1538</v>
      </c>
      <c r="F1458" t="s">
        <v>1539</v>
      </c>
    </row>
    <row r="1459" spans="1:6">
      <c r="A1459">
        <v>43</v>
      </c>
      <c r="B1459" t="s">
        <v>1734</v>
      </c>
      <c r="C1459">
        <v>237256.87</v>
      </c>
      <c r="D1459" t="s">
        <v>1540</v>
      </c>
      <c r="E1459" t="s">
        <v>1538</v>
      </c>
      <c r="F1459" t="s">
        <v>1541</v>
      </c>
    </row>
    <row r="1460" spans="1:6">
      <c r="A1460">
        <v>43</v>
      </c>
      <c r="B1460" t="s">
        <v>1734</v>
      </c>
      <c r="C1460">
        <v>33215</v>
      </c>
      <c r="D1460" t="s">
        <v>1220</v>
      </c>
      <c r="E1460" t="s">
        <v>1221</v>
      </c>
      <c r="F1460" t="s">
        <v>1222</v>
      </c>
    </row>
    <row r="1461" spans="1:6">
      <c r="A1461">
        <v>43</v>
      </c>
      <c r="B1461" t="s">
        <v>1734</v>
      </c>
      <c r="C1461">
        <v>71240</v>
      </c>
      <c r="D1461" t="s">
        <v>1223</v>
      </c>
      <c r="E1461" t="s">
        <v>1221</v>
      </c>
      <c r="F1461" t="s">
        <v>1224</v>
      </c>
    </row>
    <row r="1462" spans="1:6">
      <c r="A1462">
        <v>43</v>
      </c>
      <c r="B1462" t="s">
        <v>1734</v>
      </c>
      <c r="C1462">
        <v>1977</v>
      </c>
      <c r="D1462" t="s">
        <v>1225</v>
      </c>
      <c r="E1462" t="s">
        <v>1226</v>
      </c>
      <c r="F1462" t="s">
        <v>1227</v>
      </c>
    </row>
    <row r="1463" spans="1:6">
      <c r="A1463">
        <v>43</v>
      </c>
      <c r="B1463" t="s">
        <v>1734</v>
      </c>
      <c r="C1463">
        <v>3943</v>
      </c>
      <c r="D1463" t="s">
        <v>1228</v>
      </c>
      <c r="E1463" t="s">
        <v>1226</v>
      </c>
      <c r="F1463" t="s">
        <v>1229</v>
      </c>
    </row>
    <row r="1464" spans="1:6">
      <c r="A1464">
        <v>43</v>
      </c>
      <c r="B1464" t="s">
        <v>1734</v>
      </c>
      <c r="C1464">
        <v>491459.76</v>
      </c>
      <c r="D1464" t="s">
        <v>1431</v>
      </c>
      <c r="E1464" t="s">
        <v>1432</v>
      </c>
      <c r="F1464" t="s">
        <v>1433</v>
      </c>
    </row>
    <row r="1465" spans="1:6">
      <c r="A1465">
        <v>43</v>
      </c>
      <c r="B1465" t="s">
        <v>1734</v>
      </c>
      <c r="C1465">
        <v>1111847.7</v>
      </c>
      <c r="D1465" t="s">
        <v>1434</v>
      </c>
      <c r="E1465" t="s">
        <v>1432</v>
      </c>
      <c r="F1465" t="s">
        <v>1435</v>
      </c>
    </row>
    <row r="1466" spans="1:6">
      <c r="A1466">
        <v>43</v>
      </c>
      <c r="B1466" t="s">
        <v>1734</v>
      </c>
      <c r="C1466">
        <v>181000</v>
      </c>
      <c r="D1466" t="s">
        <v>1576</v>
      </c>
      <c r="E1466" t="s">
        <v>1577</v>
      </c>
      <c r="F1466" t="s">
        <v>1578</v>
      </c>
    </row>
    <row r="1467" spans="1:6">
      <c r="A1467">
        <v>43</v>
      </c>
      <c r="B1467" t="s">
        <v>1734</v>
      </c>
      <c r="C1467">
        <v>992429</v>
      </c>
      <c r="D1467" t="s">
        <v>1579</v>
      </c>
      <c r="E1467" t="s">
        <v>1577</v>
      </c>
      <c r="F1467" t="s">
        <v>1580</v>
      </c>
    </row>
    <row r="1468" spans="1:6">
      <c r="A1468">
        <v>43</v>
      </c>
      <c r="B1468" t="s">
        <v>1734</v>
      </c>
      <c r="C1468">
        <v>20000</v>
      </c>
      <c r="D1468" t="s">
        <v>1356</v>
      </c>
      <c r="E1468" t="s">
        <v>1357</v>
      </c>
      <c r="F1468" t="s">
        <v>1358</v>
      </c>
    </row>
    <row r="1469" spans="1:6">
      <c r="A1469">
        <v>43</v>
      </c>
      <c r="B1469" t="s">
        <v>1734</v>
      </c>
      <c r="C1469">
        <v>6255</v>
      </c>
      <c r="D1469" t="s">
        <v>1359</v>
      </c>
      <c r="E1469" t="s">
        <v>1357</v>
      </c>
      <c r="F1469" t="s">
        <v>1360</v>
      </c>
    </row>
    <row r="1470" spans="1:6">
      <c r="A1470">
        <v>43</v>
      </c>
      <c r="B1470" t="s">
        <v>1734</v>
      </c>
      <c r="C1470">
        <v>129271</v>
      </c>
      <c r="D1470" t="s">
        <v>1436</v>
      </c>
      <c r="E1470" t="s">
        <v>1437</v>
      </c>
      <c r="F1470" t="s">
        <v>1438</v>
      </c>
    </row>
    <row r="1471" spans="1:6">
      <c r="A1471">
        <v>43</v>
      </c>
      <c r="B1471" t="s">
        <v>1734</v>
      </c>
      <c r="C1471">
        <v>17000</v>
      </c>
      <c r="D1471" t="s">
        <v>1442</v>
      </c>
      <c r="E1471" t="s">
        <v>1582</v>
      </c>
      <c r="F1471" t="s">
        <v>1443</v>
      </c>
    </row>
    <row r="1472" spans="1:6">
      <c r="A1472">
        <v>43</v>
      </c>
      <c r="B1472" t="s">
        <v>1734</v>
      </c>
      <c r="C1472">
        <v>3769</v>
      </c>
      <c r="D1472" t="s">
        <v>1581</v>
      </c>
      <c r="E1472" t="s">
        <v>1582</v>
      </c>
      <c r="F1472" t="s">
        <v>1583</v>
      </c>
    </row>
    <row r="1473" spans="1:6">
      <c r="A1473">
        <v>43</v>
      </c>
      <c r="B1473" t="s">
        <v>1734</v>
      </c>
      <c r="C1473">
        <v>86000</v>
      </c>
      <c r="D1473" t="s">
        <v>1584</v>
      </c>
      <c r="E1473" t="s">
        <v>1585</v>
      </c>
      <c r="F1473" t="s">
        <v>1586</v>
      </c>
    </row>
    <row r="1474" spans="1:6">
      <c r="A1474">
        <v>43</v>
      </c>
      <c r="B1474" t="s">
        <v>1734</v>
      </c>
      <c r="C1474">
        <v>146558</v>
      </c>
      <c r="D1474" t="s">
        <v>1587</v>
      </c>
      <c r="E1474" t="s">
        <v>1585</v>
      </c>
      <c r="F1474" t="s">
        <v>1588</v>
      </c>
    </row>
    <row r="1475" spans="1:6">
      <c r="A1475">
        <v>43</v>
      </c>
      <c r="B1475" t="s">
        <v>1734</v>
      </c>
      <c r="C1475">
        <v>38314</v>
      </c>
      <c r="D1475" t="s">
        <v>1454</v>
      </c>
      <c r="E1475" t="s">
        <v>1455</v>
      </c>
      <c r="F1475" t="s">
        <v>1456</v>
      </c>
    </row>
    <row r="1476" spans="1:6">
      <c r="A1476">
        <v>43</v>
      </c>
      <c r="B1476" t="s">
        <v>1734</v>
      </c>
      <c r="C1476">
        <v>20219</v>
      </c>
      <c r="D1476" t="s">
        <v>1457</v>
      </c>
      <c r="E1476" t="s">
        <v>1455</v>
      </c>
      <c r="F1476" t="s">
        <v>1458</v>
      </c>
    </row>
    <row r="1477" spans="1:6">
      <c r="A1477">
        <v>43</v>
      </c>
      <c r="B1477" t="s">
        <v>1734</v>
      </c>
      <c r="C1477">
        <v>16000</v>
      </c>
      <c r="D1477" t="s">
        <v>1230</v>
      </c>
      <c r="E1477" t="s">
        <v>1288</v>
      </c>
      <c r="F1477" t="s">
        <v>1231</v>
      </c>
    </row>
    <row r="1478" spans="1:6">
      <c r="A1478">
        <v>43</v>
      </c>
      <c r="B1478" t="s">
        <v>1734</v>
      </c>
      <c r="C1478">
        <v>6934</v>
      </c>
      <c r="D1478" t="s">
        <v>1287</v>
      </c>
      <c r="E1478" t="s">
        <v>1288</v>
      </c>
      <c r="F1478" t="s">
        <v>1289</v>
      </c>
    </row>
    <row r="1479" spans="1:6">
      <c r="A1479">
        <v>43</v>
      </c>
      <c r="B1479" t="s">
        <v>1734</v>
      </c>
      <c r="C1479">
        <v>19000</v>
      </c>
      <c r="D1479" t="s">
        <v>1589</v>
      </c>
      <c r="E1479" t="s">
        <v>1590</v>
      </c>
      <c r="F1479" t="s">
        <v>1591</v>
      </c>
    </row>
    <row r="1480" spans="1:6">
      <c r="A1480">
        <v>43</v>
      </c>
      <c r="B1480" t="s">
        <v>1734</v>
      </c>
      <c r="C1480">
        <v>22628</v>
      </c>
      <c r="D1480" t="s">
        <v>1592</v>
      </c>
      <c r="E1480" t="s">
        <v>1590</v>
      </c>
      <c r="F1480" t="s">
        <v>1593</v>
      </c>
    </row>
    <row r="1481" spans="1:6">
      <c r="A1481">
        <v>43</v>
      </c>
      <c r="B1481" t="s">
        <v>1734</v>
      </c>
      <c r="C1481">
        <v>24000</v>
      </c>
      <c r="D1481" t="s">
        <v>1594</v>
      </c>
      <c r="E1481" t="s">
        <v>1595</v>
      </c>
      <c r="F1481" t="s">
        <v>1596</v>
      </c>
    </row>
    <row r="1482" spans="1:6">
      <c r="A1482">
        <v>43</v>
      </c>
      <c r="B1482" t="s">
        <v>1734</v>
      </c>
      <c r="C1482">
        <v>3744</v>
      </c>
      <c r="D1482" t="s">
        <v>1597</v>
      </c>
      <c r="E1482" t="s">
        <v>1595</v>
      </c>
      <c r="F1482" t="s">
        <v>1598</v>
      </c>
    </row>
    <row r="1483" spans="1:6">
      <c r="A1483">
        <v>43</v>
      </c>
      <c r="B1483" t="s">
        <v>1734</v>
      </c>
      <c r="C1483">
        <v>659000</v>
      </c>
      <c r="D1483" t="s">
        <v>1599</v>
      </c>
      <c r="E1483" t="s">
        <v>1600</v>
      </c>
      <c r="F1483" t="s">
        <v>1601</v>
      </c>
    </row>
    <row r="1484" spans="1:6">
      <c r="A1484">
        <v>43</v>
      </c>
      <c r="B1484" t="s">
        <v>1734</v>
      </c>
      <c r="C1484">
        <v>1452149</v>
      </c>
      <c r="D1484" t="s">
        <v>1602</v>
      </c>
      <c r="E1484" t="s">
        <v>1600</v>
      </c>
      <c r="F1484" t="s">
        <v>1603</v>
      </c>
    </row>
    <row r="1485" spans="1:6">
      <c r="A1485">
        <v>43</v>
      </c>
      <c r="B1485" t="s">
        <v>1734</v>
      </c>
      <c r="C1485">
        <v>54000</v>
      </c>
      <c r="D1485" t="s">
        <v>1459</v>
      </c>
      <c r="E1485" t="s">
        <v>1605</v>
      </c>
      <c r="F1485" t="s">
        <v>1460</v>
      </c>
    </row>
    <row r="1486" spans="1:6">
      <c r="A1486">
        <v>43</v>
      </c>
      <c r="B1486" t="s">
        <v>1734</v>
      </c>
      <c r="C1486">
        <v>11944</v>
      </c>
      <c r="D1486" t="s">
        <v>1604</v>
      </c>
      <c r="E1486" t="s">
        <v>1605</v>
      </c>
      <c r="F1486" t="s">
        <v>1606</v>
      </c>
    </row>
    <row r="1487" spans="1:6">
      <c r="A1487">
        <v>43</v>
      </c>
      <c r="B1487" t="s">
        <v>1734</v>
      </c>
      <c r="C1487">
        <v>2500</v>
      </c>
      <c r="D1487" t="s">
        <v>1466</v>
      </c>
      <c r="E1487" t="s">
        <v>1467</v>
      </c>
      <c r="F1487" t="s">
        <v>1468</v>
      </c>
    </row>
    <row r="1488" spans="1:6">
      <c r="A1488">
        <v>43</v>
      </c>
      <c r="B1488" t="s">
        <v>1734</v>
      </c>
      <c r="C1488">
        <v>35741</v>
      </c>
      <c r="D1488" t="s">
        <v>1469</v>
      </c>
      <c r="E1488" t="s">
        <v>1470</v>
      </c>
      <c r="F1488" t="s">
        <v>1471</v>
      </c>
    </row>
    <row r="1489" spans="1:6">
      <c r="A1489">
        <v>43</v>
      </c>
      <c r="B1489" t="s">
        <v>1734</v>
      </c>
      <c r="C1489">
        <v>1575</v>
      </c>
      <c r="D1489" t="s">
        <v>1472</v>
      </c>
      <c r="E1489" t="s">
        <v>1473</v>
      </c>
      <c r="F1489" t="s">
        <v>1474</v>
      </c>
    </row>
    <row r="1490" spans="1:6">
      <c r="A1490">
        <v>43</v>
      </c>
      <c r="B1490" t="s">
        <v>1734</v>
      </c>
      <c r="C1490">
        <v>2308.9699999999998</v>
      </c>
      <c r="D1490" t="s">
        <v>1475</v>
      </c>
      <c r="E1490" t="s">
        <v>1476</v>
      </c>
      <c r="F1490" t="s">
        <v>1477</v>
      </c>
    </row>
    <row r="1491" spans="1:6">
      <c r="A1491">
        <v>43</v>
      </c>
      <c r="B1491" t="s">
        <v>1734</v>
      </c>
      <c r="C1491">
        <v>23089.73</v>
      </c>
      <c r="D1491" t="s">
        <v>1365</v>
      </c>
      <c r="E1491" t="s">
        <v>1366</v>
      </c>
      <c r="F1491" t="s">
        <v>1367</v>
      </c>
    </row>
    <row r="1492" spans="1:6">
      <c r="A1492">
        <v>43</v>
      </c>
      <c r="B1492" t="s">
        <v>1734</v>
      </c>
      <c r="C1492">
        <v>1809259</v>
      </c>
      <c r="D1492" t="s">
        <v>1610</v>
      </c>
      <c r="E1492" t="s">
        <v>1481</v>
      </c>
      <c r="F1492" t="s">
        <v>1482</v>
      </c>
    </row>
    <row r="1493" spans="1:6">
      <c r="A1493">
        <v>43</v>
      </c>
      <c r="B1493" t="s">
        <v>1734</v>
      </c>
      <c r="C1493">
        <v>2059515</v>
      </c>
      <c r="D1493" t="s">
        <v>1418</v>
      </c>
      <c r="E1493" t="s">
        <v>1419</v>
      </c>
      <c r="F1493" t="s">
        <v>1420</v>
      </c>
    </row>
    <row r="1494" spans="1:6">
      <c r="A1494">
        <v>44</v>
      </c>
      <c r="B1494" t="s">
        <v>1735</v>
      </c>
      <c r="C1494">
        <v>14127</v>
      </c>
      <c r="D1494" t="s">
        <v>1483</v>
      </c>
      <c r="E1494" t="s">
        <v>1484</v>
      </c>
      <c r="F1494" t="s">
        <v>1485</v>
      </c>
    </row>
    <row r="1495" spans="1:6">
      <c r="A1495">
        <v>44</v>
      </c>
      <c r="B1495" t="s">
        <v>1735</v>
      </c>
      <c r="C1495">
        <v>25000</v>
      </c>
      <c r="D1495" t="s">
        <v>1232</v>
      </c>
      <c r="E1495" t="s">
        <v>1402</v>
      </c>
      <c r="F1495" t="s">
        <v>1403</v>
      </c>
    </row>
    <row r="1496" spans="1:6">
      <c r="A1496">
        <v>44</v>
      </c>
      <c r="B1496" t="s">
        <v>1735</v>
      </c>
      <c r="C1496">
        <v>32329</v>
      </c>
      <c r="D1496" t="s">
        <v>1486</v>
      </c>
      <c r="E1496" t="s">
        <v>1487</v>
      </c>
      <c r="F1496" t="s">
        <v>1488</v>
      </c>
    </row>
    <row r="1497" spans="1:6">
      <c r="A1497">
        <v>44</v>
      </c>
      <c r="B1497" t="s">
        <v>1735</v>
      </c>
      <c r="C1497">
        <v>15121</v>
      </c>
      <c r="D1497" t="s">
        <v>1489</v>
      </c>
      <c r="E1497" t="s">
        <v>1490</v>
      </c>
      <c r="F1497" t="s">
        <v>1491</v>
      </c>
    </row>
    <row r="1498" spans="1:6">
      <c r="A1498">
        <v>44</v>
      </c>
      <c r="B1498" t="s">
        <v>1735</v>
      </c>
      <c r="C1498">
        <v>102250</v>
      </c>
      <c r="D1498" t="s">
        <v>1404</v>
      </c>
      <c r="E1498" t="s">
        <v>1405</v>
      </c>
      <c r="F1498" t="s">
        <v>1406</v>
      </c>
    </row>
    <row r="1499" spans="1:6">
      <c r="A1499">
        <v>44</v>
      </c>
      <c r="B1499" t="s">
        <v>1735</v>
      </c>
      <c r="C1499">
        <v>453839</v>
      </c>
      <c r="D1499" t="s">
        <v>1567</v>
      </c>
      <c r="E1499" t="s">
        <v>1568</v>
      </c>
      <c r="F1499" t="s">
        <v>1569</v>
      </c>
    </row>
    <row r="1500" spans="1:6">
      <c r="A1500">
        <v>44</v>
      </c>
      <c r="B1500" t="s">
        <v>1735</v>
      </c>
      <c r="C1500">
        <v>24743</v>
      </c>
      <c r="D1500" t="s">
        <v>1496</v>
      </c>
      <c r="E1500" t="s">
        <v>1497</v>
      </c>
      <c r="F1500" t="s">
        <v>1498</v>
      </c>
    </row>
    <row r="1501" spans="1:6">
      <c r="A1501">
        <v>44</v>
      </c>
      <c r="B1501" t="s">
        <v>1735</v>
      </c>
      <c r="C1501">
        <v>16834740</v>
      </c>
      <c r="D1501" t="s">
        <v>1570</v>
      </c>
      <c r="E1501" t="s">
        <v>1571</v>
      </c>
      <c r="F1501" t="s">
        <v>1572</v>
      </c>
    </row>
    <row r="1502" spans="1:6">
      <c r="A1502">
        <v>44</v>
      </c>
      <c r="B1502" t="s">
        <v>1735</v>
      </c>
      <c r="C1502">
        <v>16381</v>
      </c>
      <c r="D1502" t="s">
        <v>1330</v>
      </c>
      <c r="E1502" t="s">
        <v>1331</v>
      </c>
      <c r="F1502" t="s">
        <v>1332</v>
      </c>
    </row>
    <row r="1503" spans="1:6">
      <c r="A1503">
        <v>44</v>
      </c>
      <c r="B1503" t="s">
        <v>1735</v>
      </c>
      <c r="C1503">
        <v>24000</v>
      </c>
      <c r="D1503" t="s">
        <v>1515</v>
      </c>
      <c r="E1503" t="s">
        <v>1516</v>
      </c>
      <c r="F1503" t="s">
        <v>1517</v>
      </c>
    </row>
    <row r="1504" spans="1:6">
      <c r="A1504">
        <v>44</v>
      </c>
      <c r="B1504" t="s">
        <v>1735</v>
      </c>
      <c r="C1504">
        <v>4848</v>
      </c>
      <c r="D1504" t="s">
        <v>1518</v>
      </c>
      <c r="E1504" t="s">
        <v>1516</v>
      </c>
      <c r="F1504" t="s">
        <v>1519</v>
      </c>
    </row>
    <row r="1505" spans="1:6">
      <c r="A1505">
        <v>44</v>
      </c>
      <c r="B1505" t="s">
        <v>1735</v>
      </c>
      <c r="C1505">
        <v>433842</v>
      </c>
      <c r="D1505" t="s">
        <v>1520</v>
      </c>
      <c r="E1505" t="s">
        <v>1521</v>
      </c>
      <c r="F1505" t="s">
        <v>1522</v>
      </c>
    </row>
    <row r="1506" spans="1:6">
      <c r="A1506">
        <v>44</v>
      </c>
      <c r="B1506" t="s">
        <v>1735</v>
      </c>
      <c r="C1506">
        <v>468780</v>
      </c>
      <c r="D1506" t="s">
        <v>1573</v>
      </c>
      <c r="E1506" t="s">
        <v>1574</v>
      </c>
      <c r="F1506" t="s">
        <v>1575</v>
      </c>
    </row>
    <row r="1507" spans="1:6">
      <c r="A1507">
        <v>44</v>
      </c>
      <c r="B1507" t="s">
        <v>1735</v>
      </c>
      <c r="C1507">
        <v>54360</v>
      </c>
      <c r="D1507" t="s">
        <v>1523</v>
      </c>
      <c r="E1507" t="s">
        <v>1521</v>
      </c>
      <c r="F1507" t="s">
        <v>1524</v>
      </c>
    </row>
    <row r="1508" spans="1:6">
      <c r="A1508">
        <v>44</v>
      </c>
      <c r="B1508" t="s">
        <v>1735</v>
      </c>
      <c r="C1508">
        <v>28452</v>
      </c>
      <c r="D1508" t="s">
        <v>1525</v>
      </c>
      <c r="E1508" t="s">
        <v>1526</v>
      </c>
      <c r="F1508" t="s">
        <v>1527</v>
      </c>
    </row>
    <row r="1509" spans="1:6">
      <c r="A1509">
        <v>44</v>
      </c>
      <c r="B1509" t="s">
        <v>1735</v>
      </c>
      <c r="C1509">
        <v>22061</v>
      </c>
      <c r="D1509" t="s">
        <v>1528</v>
      </c>
      <c r="E1509" t="s">
        <v>1529</v>
      </c>
      <c r="F1509" t="s">
        <v>1530</v>
      </c>
    </row>
    <row r="1510" spans="1:6">
      <c r="A1510">
        <v>44</v>
      </c>
      <c r="B1510" t="s">
        <v>1735</v>
      </c>
      <c r="C1510">
        <v>16000</v>
      </c>
      <c r="D1510" t="s">
        <v>1531</v>
      </c>
      <c r="E1510" t="s">
        <v>1532</v>
      </c>
      <c r="F1510" t="s">
        <v>1533</v>
      </c>
    </row>
    <row r="1511" spans="1:6">
      <c r="A1511">
        <v>44</v>
      </c>
      <c r="B1511" t="s">
        <v>1735</v>
      </c>
      <c r="C1511">
        <v>100000</v>
      </c>
      <c r="D1511" t="s">
        <v>1204</v>
      </c>
      <c r="E1511" t="s">
        <v>1205</v>
      </c>
      <c r="F1511" t="s">
        <v>1206</v>
      </c>
    </row>
    <row r="1512" spans="1:6">
      <c r="A1512">
        <v>44</v>
      </c>
      <c r="B1512" t="s">
        <v>1735</v>
      </c>
      <c r="C1512">
        <v>10400</v>
      </c>
      <c r="D1512" t="s">
        <v>1387</v>
      </c>
      <c r="E1512" t="s">
        <v>1388</v>
      </c>
      <c r="F1512" t="s">
        <v>1389</v>
      </c>
    </row>
    <row r="1513" spans="1:6">
      <c r="A1513">
        <v>44</v>
      </c>
      <c r="B1513" t="s">
        <v>1735</v>
      </c>
      <c r="C1513">
        <v>674.91</v>
      </c>
      <c r="D1513" t="s">
        <v>1374</v>
      </c>
      <c r="E1513" t="s">
        <v>1375</v>
      </c>
      <c r="F1513" t="s">
        <v>1376</v>
      </c>
    </row>
    <row r="1514" spans="1:6">
      <c r="A1514">
        <v>44</v>
      </c>
      <c r="B1514" t="s">
        <v>1735</v>
      </c>
      <c r="C1514">
        <v>1801.84</v>
      </c>
      <c r="D1514" t="s">
        <v>1377</v>
      </c>
      <c r="E1514" t="s">
        <v>1375</v>
      </c>
      <c r="F1514" t="s">
        <v>1378</v>
      </c>
    </row>
    <row r="1515" spans="1:6">
      <c r="A1515">
        <v>44</v>
      </c>
      <c r="B1515" t="s">
        <v>1735</v>
      </c>
      <c r="C1515">
        <v>20202.32</v>
      </c>
      <c r="D1515" t="s">
        <v>1537</v>
      </c>
      <c r="E1515" t="s">
        <v>1538</v>
      </c>
      <c r="F1515" t="s">
        <v>1539</v>
      </c>
    </row>
    <row r="1516" spans="1:6">
      <c r="A1516">
        <v>44</v>
      </c>
      <c r="B1516" t="s">
        <v>1735</v>
      </c>
      <c r="C1516">
        <v>53711.82</v>
      </c>
      <c r="D1516" t="s">
        <v>1540</v>
      </c>
      <c r="E1516" t="s">
        <v>1538</v>
      </c>
      <c r="F1516" t="s">
        <v>1541</v>
      </c>
    </row>
    <row r="1517" spans="1:6">
      <c r="A1517">
        <v>44</v>
      </c>
      <c r="B1517" t="s">
        <v>1735</v>
      </c>
      <c r="C1517">
        <v>120025.5</v>
      </c>
      <c r="D1517" t="s">
        <v>1431</v>
      </c>
      <c r="E1517" t="s">
        <v>1432</v>
      </c>
      <c r="F1517" t="s">
        <v>1433</v>
      </c>
    </row>
    <row r="1518" spans="1:6">
      <c r="A1518">
        <v>44</v>
      </c>
      <c r="B1518" t="s">
        <v>1735</v>
      </c>
      <c r="C1518">
        <v>285624.05</v>
      </c>
      <c r="D1518" t="s">
        <v>1434</v>
      </c>
      <c r="E1518" t="s">
        <v>1432</v>
      </c>
      <c r="F1518" t="s">
        <v>1435</v>
      </c>
    </row>
    <row r="1519" spans="1:6">
      <c r="A1519">
        <v>44</v>
      </c>
      <c r="B1519" t="s">
        <v>1735</v>
      </c>
      <c r="C1519">
        <v>38388</v>
      </c>
      <c r="D1519" t="s">
        <v>1576</v>
      </c>
      <c r="E1519" t="s">
        <v>1577</v>
      </c>
      <c r="F1519" t="s">
        <v>1578</v>
      </c>
    </row>
    <row r="1520" spans="1:6">
      <c r="A1520">
        <v>44</v>
      </c>
      <c r="B1520" t="s">
        <v>1735</v>
      </c>
      <c r="C1520">
        <v>266711</v>
      </c>
      <c r="D1520" t="s">
        <v>1579</v>
      </c>
      <c r="E1520" t="s">
        <v>1577</v>
      </c>
      <c r="F1520" t="s">
        <v>1580</v>
      </c>
    </row>
    <row r="1521" spans="1:6">
      <c r="A1521">
        <v>44</v>
      </c>
      <c r="B1521" t="s">
        <v>1735</v>
      </c>
      <c r="C1521">
        <v>35828</v>
      </c>
      <c r="D1521" t="s">
        <v>1436</v>
      </c>
      <c r="E1521" t="s">
        <v>1437</v>
      </c>
      <c r="F1521" t="s">
        <v>1438</v>
      </c>
    </row>
    <row r="1522" spans="1:6">
      <c r="A1522">
        <v>44</v>
      </c>
      <c r="B1522" t="s">
        <v>1735</v>
      </c>
      <c r="C1522">
        <v>2291</v>
      </c>
      <c r="D1522" t="s">
        <v>1442</v>
      </c>
      <c r="E1522" t="s">
        <v>1582</v>
      </c>
      <c r="F1522" t="s">
        <v>1443</v>
      </c>
    </row>
    <row r="1523" spans="1:6">
      <c r="A1523">
        <v>44</v>
      </c>
      <c r="B1523" t="s">
        <v>1735</v>
      </c>
      <c r="C1523">
        <v>2044</v>
      </c>
      <c r="D1523" t="s">
        <v>1581</v>
      </c>
      <c r="E1523" t="s">
        <v>1582</v>
      </c>
      <c r="F1523" t="s">
        <v>1583</v>
      </c>
    </row>
    <row r="1524" spans="1:6">
      <c r="A1524">
        <v>44</v>
      </c>
      <c r="B1524" t="s">
        <v>1735</v>
      </c>
      <c r="C1524">
        <v>66184</v>
      </c>
      <c r="D1524" t="s">
        <v>1584</v>
      </c>
      <c r="E1524" t="s">
        <v>1585</v>
      </c>
      <c r="F1524" t="s">
        <v>1586</v>
      </c>
    </row>
    <row r="1525" spans="1:6">
      <c r="A1525">
        <v>44</v>
      </c>
      <c r="B1525" t="s">
        <v>1735</v>
      </c>
      <c r="C1525">
        <v>96276</v>
      </c>
      <c r="D1525" t="s">
        <v>1587</v>
      </c>
      <c r="E1525" t="s">
        <v>1585</v>
      </c>
      <c r="F1525" t="s">
        <v>1588</v>
      </c>
    </row>
    <row r="1526" spans="1:6">
      <c r="A1526">
        <v>44</v>
      </c>
      <c r="B1526" t="s">
        <v>1735</v>
      </c>
      <c r="C1526">
        <v>2175</v>
      </c>
      <c r="D1526" t="s">
        <v>1454</v>
      </c>
      <c r="E1526" t="s">
        <v>1455</v>
      </c>
      <c r="F1526" t="s">
        <v>1456</v>
      </c>
    </row>
    <row r="1527" spans="1:6">
      <c r="A1527">
        <v>44</v>
      </c>
      <c r="B1527" t="s">
        <v>1735</v>
      </c>
      <c r="C1527">
        <v>21262</v>
      </c>
      <c r="D1527" t="s">
        <v>1457</v>
      </c>
      <c r="E1527" t="s">
        <v>1455</v>
      </c>
      <c r="F1527" t="s">
        <v>1458</v>
      </c>
    </row>
    <row r="1528" spans="1:6">
      <c r="A1528">
        <v>44</v>
      </c>
      <c r="B1528" t="s">
        <v>1735</v>
      </c>
      <c r="C1528">
        <v>5875</v>
      </c>
      <c r="D1528" t="s">
        <v>1589</v>
      </c>
      <c r="E1528" t="s">
        <v>1590</v>
      </c>
      <c r="F1528" t="s">
        <v>1591</v>
      </c>
    </row>
    <row r="1529" spans="1:6">
      <c r="A1529">
        <v>44</v>
      </c>
      <c r="B1529" t="s">
        <v>1735</v>
      </c>
      <c r="C1529">
        <v>10419</v>
      </c>
      <c r="D1529" t="s">
        <v>1592</v>
      </c>
      <c r="E1529" t="s">
        <v>1590</v>
      </c>
      <c r="F1529" t="s">
        <v>1593</v>
      </c>
    </row>
    <row r="1530" spans="1:6">
      <c r="A1530">
        <v>44</v>
      </c>
      <c r="B1530" t="s">
        <v>1735</v>
      </c>
      <c r="C1530">
        <v>9685</v>
      </c>
      <c r="D1530" t="s">
        <v>1594</v>
      </c>
      <c r="E1530" t="s">
        <v>1595</v>
      </c>
      <c r="F1530" t="s">
        <v>1596</v>
      </c>
    </row>
    <row r="1531" spans="1:6">
      <c r="A1531">
        <v>44</v>
      </c>
      <c r="B1531" t="s">
        <v>1735</v>
      </c>
      <c r="C1531">
        <v>6638</v>
      </c>
      <c r="D1531" t="s">
        <v>1597</v>
      </c>
      <c r="E1531" t="s">
        <v>1595</v>
      </c>
      <c r="F1531" t="s">
        <v>1598</v>
      </c>
    </row>
    <row r="1532" spans="1:6">
      <c r="A1532">
        <v>44</v>
      </c>
      <c r="B1532" t="s">
        <v>1735</v>
      </c>
      <c r="C1532">
        <v>113375</v>
      </c>
      <c r="D1532" t="s">
        <v>1599</v>
      </c>
      <c r="E1532" t="s">
        <v>1600</v>
      </c>
      <c r="F1532" t="s">
        <v>1601</v>
      </c>
    </row>
    <row r="1533" spans="1:6">
      <c r="A1533">
        <v>44</v>
      </c>
      <c r="B1533" t="s">
        <v>1735</v>
      </c>
      <c r="C1533">
        <v>639103</v>
      </c>
      <c r="D1533" t="s">
        <v>1602</v>
      </c>
      <c r="E1533" t="s">
        <v>1600</v>
      </c>
      <c r="F1533" t="s">
        <v>1603</v>
      </c>
    </row>
    <row r="1534" spans="1:6">
      <c r="A1534">
        <v>44</v>
      </c>
      <c r="B1534" t="s">
        <v>1735</v>
      </c>
      <c r="C1534">
        <v>5832</v>
      </c>
      <c r="D1534" t="s">
        <v>1459</v>
      </c>
      <c r="E1534" t="s">
        <v>1605</v>
      </c>
      <c r="F1534" t="s">
        <v>1460</v>
      </c>
    </row>
    <row r="1535" spans="1:6">
      <c r="A1535">
        <v>44</v>
      </c>
      <c r="B1535" t="s">
        <v>1735</v>
      </c>
      <c r="C1535">
        <v>37794</v>
      </c>
      <c r="D1535" t="s">
        <v>1604</v>
      </c>
      <c r="E1535" t="s">
        <v>1605</v>
      </c>
      <c r="F1535" t="s">
        <v>1606</v>
      </c>
    </row>
    <row r="1536" spans="1:6">
      <c r="A1536">
        <v>44</v>
      </c>
      <c r="B1536" t="s">
        <v>1735</v>
      </c>
      <c r="C1536">
        <v>1690</v>
      </c>
      <c r="D1536" t="s">
        <v>1472</v>
      </c>
      <c r="E1536" t="s">
        <v>1473</v>
      </c>
      <c r="F1536" t="s">
        <v>1474</v>
      </c>
    </row>
    <row r="1537" spans="1:6">
      <c r="A1537">
        <v>44</v>
      </c>
      <c r="B1537" t="s">
        <v>1735</v>
      </c>
      <c r="C1537">
        <v>347195.16</v>
      </c>
      <c r="D1537" t="s">
        <v>1379</v>
      </c>
      <c r="E1537" t="s">
        <v>1380</v>
      </c>
      <c r="F1537" t="s">
        <v>1381</v>
      </c>
    </row>
    <row r="1538" spans="1:6">
      <c r="A1538">
        <v>44</v>
      </c>
      <c r="B1538" t="s">
        <v>1735</v>
      </c>
      <c r="C1538">
        <v>364047.82</v>
      </c>
      <c r="D1538" t="s">
        <v>1475</v>
      </c>
      <c r="E1538" t="s">
        <v>1476</v>
      </c>
      <c r="F1538" t="s">
        <v>1477</v>
      </c>
    </row>
    <row r="1539" spans="1:6">
      <c r="A1539">
        <v>44</v>
      </c>
      <c r="B1539" t="s">
        <v>1735</v>
      </c>
      <c r="C1539">
        <v>1486913.49</v>
      </c>
      <c r="D1539" t="s">
        <v>1478</v>
      </c>
      <c r="E1539" t="s">
        <v>1479</v>
      </c>
      <c r="F1539" t="s">
        <v>1480</v>
      </c>
    </row>
    <row r="1540" spans="1:6">
      <c r="A1540">
        <v>44</v>
      </c>
      <c r="B1540" t="s">
        <v>1735</v>
      </c>
      <c r="C1540">
        <v>83378.94</v>
      </c>
      <c r="D1540" t="s">
        <v>1365</v>
      </c>
      <c r="E1540" t="s">
        <v>1366</v>
      </c>
      <c r="F1540" t="s">
        <v>1367</v>
      </c>
    </row>
    <row r="1541" spans="1:6">
      <c r="A1541">
        <v>45</v>
      </c>
      <c r="B1541" t="s">
        <v>1736</v>
      </c>
      <c r="C1541">
        <v>7043</v>
      </c>
      <c r="D1541" t="s">
        <v>1489</v>
      </c>
      <c r="E1541" t="s">
        <v>1490</v>
      </c>
      <c r="F1541" t="s">
        <v>1491</v>
      </c>
    </row>
    <row r="1542" spans="1:6">
      <c r="A1542">
        <v>45</v>
      </c>
      <c r="B1542" t="s">
        <v>1736</v>
      </c>
      <c r="C1542">
        <v>119953</v>
      </c>
      <c r="D1542" t="s">
        <v>1567</v>
      </c>
      <c r="E1542" t="s">
        <v>1568</v>
      </c>
      <c r="F1542" t="s">
        <v>1569</v>
      </c>
    </row>
    <row r="1543" spans="1:6">
      <c r="A1543">
        <v>45</v>
      </c>
      <c r="B1543" t="s">
        <v>1736</v>
      </c>
      <c r="C1543">
        <v>6526774</v>
      </c>
      <c r="D1543" t="s">
        <v>1570</v>
      </c>
      <c r="E1543" t="s">
        <v>1571</v>
      </c>
      <c r="F1543" t="s">
        <v>1572</v>
      </c>
    </row>
    <row r="1544" spans="1:6">
      <c r="A1544">
        <v>45</v>
      </c>
      <c r="B1544" t="s">
        <v>1736</v>
      </c>
      <c r="C1544">
        <v>62487</v>
      </c>
      <c r="D1544" t="s">
        <v>1520</v>
      </c>
      <c r="E1544" t="s">
        <v>1521</v>
      </c>
      <c r="F1544" t="s">
        <v>1522</v>
      </c>
    </row>
    <row r="1545" spans="1:6">
      <c r="A1545">
        <v>45</v>
      </c>
      <c r="B1545" t="s">
        <v>1736</v>
      </c>
      <c r="C1545">
        <v>569789</v>
      </c>
      <c r="D1545" t="s">
        <v>1573</v>
      </c>
      <c r="E1545" t="s">
        <v>1574</v>
      </c>
      <c r="F1545" t="s">
        <v>1575</v>
      </c>
    </row>
    <row r="1546" spans="1:6">
      <c r="A1546">
        <v>45</v>
      </c>
      <c r="B1546" t="s">
        <v>1736</v>
      </c>
      <c r="C1546">
        <v>5895</v>
      </c>
      <c r="D1546" t="s">
        <v>1371</v>
      </c>
      <c r="E1546" t="s">
        <v>1372</v>
      </c>
      <c r="F1546" t="s">
        <v>1373</v>
      </c>
    </row>
    <row r="1547" spans="1:6">
      <c r="A1547">
        <v>45</v>
      </c>
      <c r="B1547" t="s">
        <v>1736</v>
      </c>
      <c r="C1547">
        <v>20967</v>
      </c>
      <c r="D1547" t="s">
        <v>1528</v>
      </c>
      <c r="E1547" t="s">
        <v>1529</v>
      </c>
      <c r="F1547" t="s">
        <v>1530</v>
      </c>
    </row>
    <row r="1548" spans="1:6">
      <c r="A1548">
        <v>45</v>
      </c>
      <c r="B1548" t="s">
        <v>1736</v>
      </c>
      <c r="C1548">
        <v>6000</v>
      </c>
      <c r="D1548" t="s">
        <v>1531</v>
      </c>
      <c r="E1548" t="s">
        <v>1532</v>
      </c>
      <c r="F1548" t="s">
        <v>1533</v>
      </c>
    </row>
    <row r="1549" spans="1:6">
      <c r="A1549">
        <v>45</v>
      </c>
      <c r="B1549" t="s">
        <v>1736</v>
      </c>
      <c r="C1549">
        <v>39693</v>
      </c>
      <c r="D1549" t="s">
        <v>1387</v>
      </c>
      <c r="E1549" t="s">
        <v>1388</v>
      </c>
      <c r="F1549" t="s">
        <v>1389</v>
      </c>
    </row>
    <row r="1550" spans="1:6">
      <c r="A1550">
        <v>45</v>
      </c>
      <c r="B1550" t="s">
        <v>1736</v>
      </c>
      <c r="C1550">
        <v>19534.11</v>
      </c>
      <c r="D1550" t="s">
        <v>1431</v>
      </c>
      <c r="E1550" t="s">
        <v>1432</v>
      </c>
      <c r="F1550" t="s">
        <v>1433</v>
      </c>
    </row>
    <row r="1551" spans="1:6">
      <c r="A1551">
        <v>45</v>
      </c>
      <c r="B1551" t="s">
        <v>1736</v>
      </c>
      <c r="C1551">
        <v>46962.99</v>
      </c>
      <c r="D1551" t="s">
        <v>1434</v>
      </c>
      <c r="E1551" t="s">
        <v>1432</v>
      </c>
      <c r="F1551" t="s">
        <v>1435</v>
      </c>
    </row>
    <row r="1552" spans="1:6">
      <c r="A1552">
        <v>45</v>
      </c>
      <c r="B1552" t="s">
        <v>1736</v>
      </c>
      <c r="C1552">
        <v>33558</v>
      </c>
      <c r="D1552" t="s">
        <v>1576</v>
      </c>
      <c r="E1552" t="s">
        <v>1577</v>
      </c>
      <c r="F1552" t="s">
        <v>1578</v>
      </c>
    </row>
    <row r="1553" spans="1:6">
      <c r="A1553">
        <v>45</v>
      </c>
      <c r="B1553" t="s">
        <v>1736</v>
      </c>
      <c r="C1553">
        <v>142712</v>
      </c>
      <c r="D1553" t="s">
        <v>1579</v>
      </c>
      <c r="E1553" t="s">
        <v>1577</v>
      </c>
      <c r="F1553" t="s">
        <v>1580</v>
      </c>
    </row>
    <row r="1554" spans="1:6">
      <c r="A1554">
        <v>45</v>
      </c>
      <c r="B1554" t="s">
        <v>1736</v>
      </c>
      <c r="C1554">
        <v>3441</v>
      </c>
      <c r="D1554" t="s">
        <v>1442</v>
      </c>
      <c r="E1554" t="s">
        <v>1582</v>
      </c>
      <c r="F1554" t="s">
        <v>1443</v>
      </c>
    </row>
    <row r="1555" spans="1:6">
      <c r="A1555">
        <v>45</v>
      </c>
      <c r="B1555" t="s">
        <v>1736</v>
      </c>
      <c r="C1555">
        <v>10016</v>
      </c>
      <c r="D1555" t="s">
        <v>1584</v>
      </c>
      <c r="E1555" t="s">
        <v>1585</v>
      </c>
      <c r="F1555" t="s">
        <v>1586</v>
      </c>
    </row>
    <row r="1556" spans="1:6">
      <c r="A1556">
        <v>45</v>
      </c>
      <c r="B1556" t="s">
        <v>1736</v>
      </c>
      <c r="C1556">
        <v>47756</v>
      </c>
      <c r="D1556" t="s">
        <v>1587</v>
      </c>
      <c r="E1556" t="s">
        <v>1585</v>
      </c>
      <c r="F1556" t="s">
        <v>1588</v>
      </c>
    </row>
    <row r="1557" spans="1:6">
      <c r="A1557">
        <v>45</v>
      </c>
      <c r="B1557" t="s">
        <v>1736</v>
      </c>
      <c r="C1557">
        <v>6582</v>
      </c>
      <c r="D1557" t="s">
        <v>1589</v>
      </c>
      <c r="E1557" t="s">
        <v>1590</v>
      </c>
      <c r="F1557" t="s">
        <v>1591</v>
      </c>
    </row>
    <row r="1558" spans="1:6">
      <c r="A1558">
        <v>45</v>
      </c>
      <c r="B1558" t="s">
        <v>1736</v>
      </c>
      <c r="C1558">
        <v>6000</v>
      </c>
      <c r="D1558" t="s">
        <v>1592</v>
      </c>
      <c r="E1558" t="s">
        <v>1590</v>
      </c>
      <c r="F1558" t="s">
        <v>1593</v>
      </c>
    </row>
    <row r="1559" spans="1:6">
      <c r="A1559">
        <v>45</v>
      </c>
      <c r="B1559" t="s">
        <v>1736</v>
      </c>
      <c r="C1559">
        <v>3236</v>
      </c>
      <c r="D1559" t="s">
        <v>1597</v>
      </c>
      <c r="E1559" t="s">
        <v>1595</v>
      </c>
      <c r="F1559" t="s">
        <v>1598</v>
      </c>
    </row>
    <row r="1560" spans="1:6">
      <c r="A1560">
        <v>45</v>
      </c>
      <c r="B1560" t="s">
        <v>1736</v>
      </c>
      <c r="C1560">
        <v>97968</v>
      </c>
      <c r="D1560" t="s">
        <v>1599</v>
      </c>
      <c r="E1560" t="s">
        <v>1600</v>
      </c>
      <c r="F1560" t="s">
        <v>1601</v>
      </c>
    </row>
    <row r="1561" spans="1:6">
      <c r="A1561">
        <v>45</v>
      </c>
      <c r="B1561" t="s">
        <v>1736</v>
      </c>
      <c r="C1561">
        <v>397662</v>
      </c>
      <c r="D1561" t="s">
        <v>1602</v>
      </c>
      <c r="E1561" t="s">
        <v>1600</v>
      </c>
      <c r="F1561" t="s">
        <v>1603</v>
      </c>
    </row>
    <row r="1562" spans="1:6">
      <c r="A1562">
        <v>45</v>
      </c>
      <c r="B1562" t="s">
        <v>1736</v>
      </c>
      <c r="C1562">
        <v>12510</v>
      </c>
      <c r="D1562" t="s">
        <v>1604</v>
      </c>
      <c r="E1562" t="s">
        <v>1605</v>
      </c>
      <c r="F1562" t="s">
        <v>1606</v>
      </c>
    </row>
    <row r="1563" spans="1:6">
      <c r="A1563">
        <v>45</v>
      </c>
      <c r="B1563" t="s">
        <v>1736</v>
      </c>
      <c r="C1563">
        <v>3903.28</v>
      </c>
      <c r="D1563" t="s">
        <v>1475</v>
      </c>
      <c r="E1563" t="s">
        <v>1476</v>
      </c>
      <c r="F1563" t="s">
        <v>1477</v>
      </c>
    </row>
    <row r="1564" spans="1:6">
      <c r="A1564">
        <v>45</v>
      </c>
      <c r="B1564" t="s">
        <v>1736</v>
      </c>
      <c r="C1564">
        <v>20016.849999999999</v>
      </c>
      <c r="D1564" t="s">
        <v>1365</v>
      </c>
      <c r="E1564" t="s">
        <v>1366</v>
      </c>
      <c r="F1564" t="s">
        <v>1367</v>
      </c>
    </row>
    <row r="1565" spans="1:6">
      <c r="A1565">
        <v>45</v>
      </c>
      <c r="B1565" t="s">
        <v>1736</v>
      </c>
      <c r="C1565">
        <v>44783</v>
      </c>
      <c r="D1565" t="s">
        <v>1610</v>
      </c>
      <c r="E1565" t="s">
        <v>1481</v>
      </c>
      <c r="F1565" t="s">
        <v>1482</v>
      </c>
    </row>
    <row r="1566" spans="1:6">
      <c r="A1566">
        <v>46</v>
      </c>
      <c r="B1566" t="s">
        <v>1737</v>
      </c>
      <c r="C1566">
        <v>722</v>
      </c>
      <c r="D1566" t="s">
        <v>1567</v>
      </c>
      <c r="E1566" t="s">
        <v>1568</v>
      </c>
      <c r="F1566" t="s">
        <v>1569</v>
      </c>
    </row>
    <row r="1567" spans="1:6">
      <c r="A1567">
        <v>46</v>
      </c>
      <c r="B1567" t="s">
        <v>1737</v>
      </c>
      <c r="C1567">
        <v>522324</v>
      </c>
      <c r="D1567" t="s">
        <v>1570</v>
      </c>
      <c r="E1567" t="s">
        <v>1571</v>
      </c>
      <c r="F1567" t="s">
        <v>1572</v>
      </c>
    </row>
    <row r="1568" spans="1:6">
      <c r="A1568">
        <v>46</v>
      </c>
      <c r="B1568" t="s">
        <v>1737</v>
      </c>
      <c r="C1568">
        <v>263430</v>
      </c>
      <c r="D1568" t="s">
        <v>1573</v>
      </c>
      <c r="E1568" t="s">
        <v>1574</v>
      </c>
      <c r="F1568" t="s">
        <v>1575</v>
      </c>
    </row>
    <row r="1569" spans="1:6">
      <c r="A1569">
        <v>46</v>
      </c>
      <c r="B1569" t="s">
        <v>1737</v>
      </c>
      <c r="C1569">
        <v>12000</v>
      </c>
      <c r="D1569" t="s">
        <v>1531</v>
      </c>
      <c r="E1569" t="s">
        <v>1532</v>
      </c>
      <c r="F1569" t="s">
        <v>1533</v>
      </c>
    </row>
    <row r="1570" spans="1:6">
      <c r="A1570">
        <v>46</v>
      </c>
      <c r="B1570" t="s">
        <v>1737</v>
      </c>
      <c r="C1570">
        <v>9329</v>
      </c>
      <c r="D1570" t="s">
        <v>1576</v>
      </c>
      <c r="E1570" t="s">
        <v>1577</v>
      </c>
      <c r="F1570" t="s">
        <v>1578</v>
      </c>
    </row>
    <row r="1571" spans="1:6">
      <c r="A1571">
        <v>46</v>
      </c>
      <c r="B1571" t="s">
        <v>1737</v>
      </c>
      <c r="C1571">
        <v>308</v>
      </c>
      <c r="D1571" t="s">
        <v>1442</v>
      </c>
      <c r="E1571" t="s">
        <v>1582</v>
      </c>
      <c r="F1571" t="s">
        <v>1443</v>
      </c>
    </row>
    <row r="1572" spans="1:6">
      <c r="A1572">
        <v>46</v>
      </c>
      <c r="B1572" t="s">
        <v>1737</v>
      </c>
      <c r="C1572">
        <v>14573</v>
      </c>
      <c r="D1572" t="s">
        <v>1584</v>
      </c>
      <c r="E1572" t="s">
        <v>1585</v>
      </c>
      <c r="F1572" t="s">
        <v>1586</v>
      </c>
    </row>
    <row r="1573" spans="1:6">
      <c r="A1573">
        <v>46</v>
      </c>
      <c r="B1573" t="s">
        <v>1737</v>
      </c>
      <c r="C1573">
        <v>2597</v>
      </c>
      <c r="D1573" t="s">
        <v>1589</v>
      </c>
      <c r="E1573" t="s">
        <v>1590</v>
      </c>
      <c r="F1573" t="s">
        <v>1591</v>
      </c>
    </row>
    <row r="1574" spans="1:6">
      <c r="A1574">
        <v>46</v>
      </c>
      <c r="B1574" t="s">
        <v>1737</v>
      </c>
      <c r="C1574">
        <v>1123</v>
      </c>
      <c r="D1574" t="s">
        <v>1594</v>
      </c>
      <c r="E1574" t="s">
        <v>1595</v>
      </c>
      <c r="F1574" t="s">
        <v>1596</v>
      </c>
    </row>
    <row r="1575" spans="1:6">
      <c r="A1575">
        <v>46</v>
      </c>
      <c r="B1575" t="s">
        <v>1737</v>
      </c>
      <c r="C1575">
        <v>91152</v>
      </c>
      <c r="D1575" t="s">
        <v>1599</v>
      </c>
      <c r="E1575" t="s">
        <v>1600</v>
      </c>
      <c r="F1575" t="s">
        <v>1601</v>
      </c>
    </row>
    <row r="1576" spans="1:6">
      <c r="A1576">
        <v>46</v>
      </c>
      <c r="B1576" t="s">
        <v>1737</v>
      </c>
      <c r="C1576">
        <v>85000</v>
      </c>
      <c r="D1576" t="s">
        <v>1602</v>
      </c>
      <c r="E1576" t="s">
        <v>1600</v>
      </c>
      <c r="F1576" t="s">
        <v>1603</v>
      </c>
    </row>
    <row r="1577" spans="1:6">
      <c r="A1577">
        <v>46</v>
      </c>
      <c r="B1577" t="s">
        <v>1737</v>
      </c>
      <c r="C1577">
        <v>3006</v>
      </c>
      <c r="D1577" t="s">
        <v>1459</v>
      </c>
      <c r="E1577" t="s">
        <v>1605</v>
      </c>
      <c r="F1577" t="s">
        <v>1460</v>
      </c>
    </row>
    <row r="1578" spans="1:6">
      <c r="A1578">
        <v>46</v>
      </c>
      <c r="B1578" t="s">
        <v>1737</v>
      </c>
      <c r="C1578">
        <v>2884</v>
      </c>
      <c r="D1578" t="s">
        <v>1604</v>
      </c>
      <c r="E1578" t="s">
        <v>1605</v>
      </c>
      <c r="F1578" t="s">
        <v>1606</v>
      </c>
    </row>
    <row r="1579" spans="1:6">
      <c r="A1579">
        <v>46</v>
      </c>
      <c r="B1579" t="s">
        <v>1737</v>
      </c>
      <c r="C1579">
        <v>11401.33</v>
      </c>
      <c r="D1579" t="s">
        <v>1475</v>
      </c>
      <c r="E1579" t="s">
        <v>1476</v>
      </c>
      <c r="F1579" t="s">
        <v>1477</v>
      </c>
    </row>
    <row r="1580" spans="1:6">
      <c r="A1580">
        <v>46</v>
      </c>
      <c r="B1580" t="s">
        <v>1737</v>
      </c>
      <c r="C1580">
        <v>157511.71</v>
      </c>
      <c r="D1580" t="s">
        <v>1365</v>
      </c>
      <c r="E1580" t="s">
        <v>1366</v>
      </c>
      <c r="F1580" t="s">
        <v>1367</v>
      </c>
    </row>
    <row r="1581" spans="1:6">
      <c r="A1581">
        <v>47</v>
      </c>
      <c r="B1581" t="s">
        <v>1738</v>
      </c>
      <c r="C1581">
        <v>54000</v>
      </c>
      <c r="D1581" t="s">
        <v>1314</v>
      </c>
      <c r="E1581" t="s">
        <v>1315</v>
      </c>
      <c r="F1581" t="s">
        <v>1316</v>
      </c>
    </row>
    <row r="1582" spans="1:6">
      <c r="A1582">
        <v>47</v>
      </c>
      <c r="B1582" t="s">
        <v>1738</v>
      </c>
      <c r="C1582">
        <v>7081</v>
      </c>
      <c r="D1582" t="s">
        <v>1489</v>
      </c>
      <c r="E1582" t="s">
        <v>1490</v>
      </c>
      <c r="F1582" t="s">
        <v>1491</v>
      </c>
    </row>
    <row r="1583" spans="1:6">
      <c r="A1583">
        <v>47</v>
      </c>
      <c r="B1583" t="s">
        <v>1738</v>
      </c>
      <c r="C1583">
        <v>102250</v>
      </c>
      <c r="D1583" t="s">
        <v>1404</v>
      </c>
      <c r="E1583" t="s">
        <v>1405</v>
      </c>
      <c r="F1583" t="s">
        <v>1406</v>
      </c>
    </row>
    <row r="1584" spans="1:6">
      <c r="A1584">
        <v>47</v>
      </c>
      <c r="B1584" t="s">
        <v>1738</v>
      </c>
      <c r="C1584">
        <v>190133</v>
      </c>
      <c r="D1584" t="s">
        <v>1567</v>
      </c>
      <c r="E1584" t="s">
        <v>1568</v>
      </c>
      <c r="F1584" t="s">
        <v>1569</v>
      </c>
    </row>
    <row r="1585" spans="1:6">
      <c r="A1585">
        <v>47</v>
      </c>
      <c r="B1585" t="s">
        <v>1738</v>
      </c>
      <c r="C1585">
        <v>4619977</v>
      </c>
      <c r="D1585" t="s">
        <v>1570</v>
      </c>
      <c r="E1585" t="s">
        <v>1571</v>
      </c>
      <c r="F1585" t="s">
        <v>1572</v>
      </c>
    </row>
    <row r="1586" spans="1:6">
      <c r="A1586">
        <v>47</v>
      </c>
      <c r="B1586" t="s">
        <v>1738</v>
      </c>
      <c r="C1586">
        <v>181245</v>
      </c>
      <c r="D1586" t="s">
        <v>1520</v>
      </c>
      <c r="E1586" t="s">
        <v>1521</v>
      </c>
      <c r="F1586" t="s">
        <v>1522</v>
      </c>
    </row>
    <row r="1587" spans="1:6">
      <c r="A1587">
        <v>47</v>
      </c>
      <c r="B1587" t="s">
        <v>1738</v>
      </c>
      <c r="C1587">
        <v>631903</v>
      </c>
      <c r="D1587" t="s">
        <v>1573</v>
      </c>
      <c r="E1587" t="s">
        <v>1574</v>
      </c>
      <c r="F1587" t="s">
        <v>1575</v>
      </c>
    </row>
    <row r="1588" spans="1:6">
      <c r="A1588">
        <v>47</v>
      </c>
      <c r="B1588" t="s">
        <v>1738</v>
      </c>
      <c r="C1588">
        <v>4490</v>
      </c>
      <c r="D1588" t="s">
        <v>1523</v>
      </c>
      <c r="E1588" t="s">
        <v>1521</v>
      </c>
      <c r="F1588" t="s">
        <v>1524</v>
      </c>
    </row>
    <row r="1589" spans="1:6">
      <c r="A1589">
        <v>47</v>
      </c>
      <c r="B1589" t="s">
        <v>1738</v>
      </c>
      <c r="C1589">
        <v>99948</v>
      </c>
      <c r="D1589" t="s">
        <v>1531</v>
      </c>
      <c r="E1589" t="s">
        <v>1532</v>
      </c>
      <c r="F1589" t="s">
        <v>1533</v>
      </c>
    </row>
    <row r="1590" spans="1:6">
      <c r="A1590">
        <v>47</v>
      </c>
      <c r="B1590" t="s">
        <v>1738</v>
      </c>
      <c r="C1590">
        <v>1300</v>
      </c>
      <c r="D1590" t="s">
        <v>1387</v>
      </c>
      <c r="E1590" t="s">
        <v>1388</v>
      </c>
      <c r="F1590" t="s">
        <v>1389</v>
      </c>
    </row>
    <row r="1591" spans="1:6">
      <c r="A1591">
        <v>47</v>
      </c>
      <c r="B1591" t="s">
        <v>1738</v>
      </c>
      <c r="C1591">
        <v>709.73</v>
      </c>
      <c r="D1591" t="s">
        <v>1374</v>
      </c>
      <c r="E1591" t="s">
        <v>1375</v>
      </c>
      <c r="F1591" t="s">
        <v>1376</v>
      </c>
    </row>
    <row r="1592" spans="1:6">
      <c r="A1592">
        <v>47</v>
      </c>
      <c r="B1592" t="s">
        <v>1738</v>
      </c>
      <c r="C1592">
        <v>1346.18</v>
      </c>
      <c r="D1592" t="s">
        <v>1377</v>
      </c>
      <c r="E1592" t="s">
        <v>1375</v>
      </c>
      <c r="F1592" t="s">
        <v>1378</v>
      </c>
    </row>
    <row r="1593" spans="1:6">
      <c r="A1593">
        <v>47</v>
      </c>
      <c r="B1593" t="s">
        <v>1738</v>
      </c>
      <c r="C1593">
        <v>42127.89</v>
      </c>
      <c r="D1593" t="s">
        <v>1431</v>
      </c>
      <c r="E1593" t="s">
        <v>1432</v>
      </c>
      <c r="F1593" t="s">
        <v>1433</v>
      </c>
    </row>
    <row r="1594" spans="1:6">
      <c r="A1594">
        <v>47</v>
      </c>
      <c r="B1594" t="s">
        <v>1738</v>
      </c>
      <c r="C1594">
        <v>93549.54</v>
      </c>
      <c r="D1594" t="s">
        <v>1434</v>
      </c>
      <c r="E1594" t="s">
        <v>1432</v>
      </c>
      <c r="F1594" t="s">
        <v>1435</v>
      </c>
    </row>
    <row r="1595" spans="1:6">
      <c r="A1595">
        <v>47</v>
      </c>
      <c r="B1595" t="s">
        <v>1738</v>
      </c>
      <c r="C1595">
        <v>7006</v>
      </c>
      <c r="D1595" t="s">
        <v>1576</v>
      </c>
      <c r="E1595" t="s">
        <v>1577</v>
      </c>
      <c r="F1595" t="s">
        <v>1578</v>
      </c>
    </row>
    <row r="1596" spans="1:6">
      <c r="A1596">
        <v>47</v>
      </c>
      <c r="B1596" t="s">
        <v>1738</v>
      </c>
      <c r="C1596">
        <v>99508</v>
      </c>
      <c r="D1596" t="s">
        <v>1579</v>
      </c>
      <c r="E1596" t="s">
        <v>1577</v>
      </c>
      <c r="F1596" t="s">
        <v>1580</v>
      </c>
    </row>
    <row r="1597" spans="1:6">
      <c r="A1597">
        <v>47</v>
      </c>
      <c r="B1597" t="s">
        <v>1738</v>
      </c>
      <c r="C1597">
        <v>2103</v>
      </c>
      <c r="D1597" t="s">
        <v>1442</v>
      </c>
      <c r="E1597" t="s">
        <v>1582</v>
      </c>
      <c r="F1597" t="s">
        <v>1443</v>
      </c>
    </row>
    <row r="1598" spans="1:6">
      <c r="A1598">
        <v>47</v>
      </c>
      <c r="B1598" t="s">
        <v>1738</v>
      </c>
      <c r="C1598">
        <v>763</v>
      </c>
      <c r="D1598" t="s">
        <v>1581</v>
      </c>
      <c r="E1598" t="s">
        <v>1582</v>
      </c>
      <c r="F1598" t="s">
        <v>1583</v>
      </c>
    </row>
    <row r="1599" spans="1:6">
      <c r="A1599">
        <v>47</v>
      </c>
      <c r="B1599" t="s">
        <v>1738</v>
      </c>
      <c r="C1599">
        <v>11094</v>
      </c>
      <c r="D1599" t="s">
        <v>1584</v>
      </c>
      <c r="E1599" t="s">
        <v>1585</v>
      </c>
      <c r="F1599" t="s">
        <v>1586</v>
      </c>
    </row>
    <row r="1600" spans="1:6">
      <c r="A1600">
        <v>47</v>
      </c>
      <c r="B1600" t="s">
        <v>1738</v>
      </c>
      <c r="C1600">
        <v>33229</v>
      </c>
      <c r="D1600" t="s">
        <v>1587</v>
      </c>
      <c r="E1600" t="s">
        <v>1585</v>
      </c>
      <c r="F1600" t="s">
        <v>1588</v>
      </c>
    </row>
    <row r="1601" spans="1:6">
      <c r="A1601">
        <v>47</v>
      </c>
      <c r="B1601" t="s">
        <v>1738</v>
      </c>
      <c r="C1601">
        <v>5413</v>
      </c>
      <c r="D1601" t="s">
        <v>1589</v>
      </c>
      <c r="E1601" t="s">
        <v>1590</v>
      </c>
      <c r="F1601" t="s">
        <v>1591</v>
      </c>
    </row>
    <row r="1602" spans="1:6">
      <c r="A1602">
        <v>47</v>
      </c>
      <c r="B1602" t="s">
        <v>1738</v>
      </c>
      <c r="C1602">
        <v>4235</v>
      </c>
      <c r="D1602" t="s">
        <v>1592</v>
      </c>
      <c r="E1602" t="s">
        <v>1590</v>
      </c>
      <c r="F1602" t="s">
        <v>1593</v>
      </c>
    </row>
    <row r="1603" spans="1:6">
      <c r="A1603">
        <v>47</v>
      </c>
      <c r="B1603" t="s">
        <v>1738</v>
      </c>
      <c r="C1603">
        <v>2462</v>
      </c>
      <c r="D1603" t="s">
        <v>1594</v>
      </c>
      <c r="E1603" t="s">
        <v>1595</v>
      </c>
      <c r="F1603" t="s">
        <v>1596</v>
      </c>
    </row>
    <row r="1604" spans="1:6">
      <c r="A1604">
        <v>47</v>
      </c>
      <c r="B1604" t="s">
        <v>1738</v>
      </c>
      <c r="C1604">
        <v>2039</v>
      </c>
      <c r="D1604" t="s">
        <v>1597</v>
      </c>
      <c r="E1604" t="s">
        <v>1595</v>
      </c>
      <c r="F1604" t="s">
        <v>1598</v>
      </c>
    </row>
    <row r="1605" spans="1:6">
      <c r="A1605">
        <v>47</v>
      </c>
      <c r="B1605" t="s">
        <v>1738</v>
      </c>
      <c r="C1605">
        <v>90818</v>
      </c>
      <c r="D1605" t="s">
        <v>1599</v>
      </c>
      <c r="E1605" t="s">
        <v>1600</v>
      </c>
      <c r="F1605" t="s">
        <v>1601</v>
      </c>
    </row>
    <row r="1606" spans="1:6">
      <c r="A1606">
        <v>47</v>
      </c>
      <c r="B1606" t="s">
        <v>1738</v>
      </c>
      <c r="C1606">
        <v>254800</v>
      </c>
      <c r="D1606" t="s">
        <v>1602</v>
      </c>
      <c r="E1606" t="s">
        <v>1600</v>
      </c>
      <c r="F1606" t="s">
        <v>1603</v>
      </c>
    </row>
    <row r="1607" spans="1:6">
      <c r="A1607">
        <v>47</v>
      </c>
      <c r="B1607" t="s">
        <v>1738</v>
      </c>
      <c r="C1607">
        <v>5402</v>
      </c>
      <c r="D1607" t="s">
        <v>1459</v>
      </c>
      <c r="E1607" t="s">
        <v>1605</v>
      </c>
      <c r="F1607" t="s">
        <v>1460</v>
      </c>
    </row>
    <row r="1608" spans="1:6">
      <c r="A1608">
        <v>47</v>
      </c>
      <c r="B1608" t="s">
        <v>1738</v>
      </c>
      <c r="C1608">
        <v>10944</v>
      </c>
      <c r="D1608" t="s">
        <v>1604</v>
      </c>
      <c r="E1608" t="s">
        <v>1605</v>
      </c>
      <c r="F1608" t="s">
        <v>1606</v>
      </c>
    </row>
    <row r="1609" spans="1:6">
      <c r="A1609">
        <v>47</v>
      </c>
      <c r="B1609" t="s">
        <v>1738</v>
      </c>
      <c r="C1609">
        <v>46105.81</v>
      </c>
      <c r="D1609" t="s">
        <v>1475</v>
      </c>
      <c r="E1609" t="s">
        <v>1476</v>
      </c>
      <c r="F1609" t="s">
        <v>1477</v>
      </c>
    </row>
    <row r="1610" spans="1:6">
      <c r="A1610">
        <v>47</v>
      </c>
      <c r="B1610" t="s">
        <v>1738</v>
      </c>
      <c r="C1610">
        <v>161619.69</v>
      </c>
      <c r="D1610" t="s">
        <v>1478</v>
      </c>
      <c r="E1610" t="s">
        <v>1479</v>
      </c>
      <c r="F1610" t="s">
        <v>1480</v>
      </c>
    </row>
    <row r="1611" spans="1:6">
      <c r="A1611">
        <v>47</v>
      </c>
      <c r="B1611" t="s">
        <v>1738</v>
      </c>
      <c r="C1611">
        <v>17739.95</v>
      </c>
      <c r="D1611" t="s">
        <v>1365</v>
      </c>
      <c r="E1611" t="s">
        <v>1366</v>
      </c>
      <c r="F1611" t="s">
        <v>1367</v>
      </c>
    </row>
    <row r="1612" spans="1:6">
      <c r="A1612">
        <v>47</v>
      </c>
      <c r="B1612" t="s">
        <v>1738</v>
      </c>
      <c r="C1612">
        <v>3825</v>
      </c>
      <c r="D1612" t="s">
        <v>1610</v>
      </c>
      <c r="E1612" t="s">
        <v>1481</v>
      </c>
      <c r="F1612" t="s">
        <v>1482</v>
      </c>
    </row>
    <row r="1613" spans="1:6">
      <c r="A1613">
        <v>48</v>
      </c>
      <c r="B1613" t="s">
        <v>1739</v>
      </c>
      <c r="C1613">
        <v>9887</v>
      </c>
      <c r="D1613" t="s">
        <v>1489</v>
      </c>
      <c r="E1613" t="s">
        <v>1490</v>
      </c>
      <c r="F1613" t="s">
        <v>1491</v>
      </c>
    </row>
    <row r="1614" spans="1:6">
      <c r="A1614">
        <v>48</v>
      </c>
      <c r="B1614" t="s">
        <v>1739</v>
      </c>
      <c r="C1614">
        <v>313149</v>
      </c>
      <c r="D1614" t="s">
        <v>1567</v>
      </c>
      <c r="E1614" t="s">
        <v>1568</v>
      </c>
      <c r="F1614" t="s">
        <v>1569</v>
      </c>
    </row>
    <row r="1615" spans="1:6">
      <c r="A1615">
        <v>48</v>
      </c>
      <c r="B1615" t="s">
        <v>1739</v>
      </c>
      <c r="C1615">
        <v>8007442</v>
      </c>
      <c r="D1615" t="s">
        <v>1570</v>
      </c>
      <c r="E1615" t="s">
        <v>1571</v>
      </c>
      <c r="F1615" t="s">
        <v>1572</v>
      </c>
    </row>
    <row r="1616" spans="1:6">
      <c r="A1616">
        <v>48</v>
      </c>
      <c r="B1616" t="s">
        <v>1739</v>
      </c>
      <c r="C1616">
        <v>104129</v>
      </c>
      <c r="D1616" t="s">
        <v>1520</v>
      </c>
      <c r="E1616" t="s">
        <v>1521</v>
      </c>
      <c r="F1616" t="s">
        <v>1522</v>
      </c>
    </row>
    <row r="1617" spans="1:6">
      <c r="A1617">
        <v>48</v>
      </c>
      <c r="B1617" t="s">
        <v>1739</v>
      </c>
      <c r="C1617">
        <v>124235</v>
      </c>
      <c r="D1617" t="s">
        <v>1573</v>
      </c>
      <c r="E1617" t="s">
        <v>1574</v>
      </c>
      <c r="F1617" t="s">
        <v>1575</v>
      </c>
    </row>
    <row r="1618" spans="1:6">
      <c r="A1618">
        <v>48</v>
      </c>
      <c r="B1618" t="s">
        <v>1739</v>
      </c>
      <c r="C1618">
        <v>41049</v>
      </c>
      <c r="D1618" t="s">
        <v>1523</v>
      </c>
      <c r="E1618" t="s">
        <v>1521</v>
      </c>
      <c r="F1618" t="s">
        <v>1524</v>
      </c>
    </row>
    <row r="1619" spans="1:6">
      <c r="A1619">
        <v>48</v>
      </c>
      <c r="B1619" t="s">
        <v>1739</v>
      </c>
      <c r="C1619">
        <v>14000</v>
      </c>
      <c r="D1619" t="s">
        <v>1528</v>
      </c>
      <c r="E1619" t="s">
        <v>1529</v>
      </c>
      <c r="F1619" t="s">
        <v>1530</v>
      </c>
    </row>
    <row r="1620" spans="1:6">
      <c r="A1620">
        <v>48</v>
      </c>
      <c r="B1620" t="s">
        <v>1739</v>
      </c>
      <c r="C1620">
        <v>20000</v>
      </c>
      <c r="D1620" t="s">
        <v>1531</v>
      </c>
      <c r="E1620" t="s">
        <v>1532</v>
      </c>
      <c r="F1620" t="s">
        <v>1533</v>
      </c>
    </row>
    <row r="1621" spans="1:6">
      <c r="A1621">
        <v>48</v>
      </c>
      <c r="B1621" t="s">
        <v>1739</v>
      </c>
      <c r="C1621">
        <v>2600</v>
      </c>
      <c r="D1621" t="s">
        <v>1387</v>
      </c>
      <c r="E1621" t="s">
        <v>1388</v>
      </c>
      <c r="F1621" t="s">
        <v>1389</v>
      </c>
    </row>
    <row r="1622" spans="1:6">
      <c r="A1622">
        <v>48</v>
      </c>
      <c r="B1622" t="s">
        <v>1739</v>
      </c>
      <c r="C1622">
        <v>801.49</v>
      </c>
      <c r="D1622" t="s">
        <v>1374</v>
      </c>
      <c r="E1622" t="s">
        <v>1375</v>
      </c>
      <c r="F1622" t="s">
        <v>1376</v>
      </c>
    </row>
    <row r="1623" spans="1:6">
      <c r="A1623">
        <v>48</v>
      </c>
      <c r="B1623" t="s">
        <v>1739</v>
      </c>
      <c r="C1623">
        <v>1161.5999999999999</v>
      </c>
      <c r="D1623" t="s">
        <v>1377</v>
      </c>
      <c r="E1623" t="s">
        <v>1375</v>
      </c>
      <c r="F1623" t="s">
        <v>1378</v>
      </c>
    </row>
    <row r="1624" spans="1:6">
      <c r="A1624">
        <v>48</v>
      </c>
      <c r="B1624" t="s">
        <v>1739</v>
      </c>
      <c r="C1624">
        <v>25386.22</v>
      </c>
      <c r="D1624" t="s">
        <v>1431</v>
      </c>
      <c r="E1624" t="s">
        <v>1432</v>
      </c>
      <c r="F1624" t="s">
        <v>1433</v>
      </c>
    </row>
    <row r="1625" spans="1:6">
      <c r="A1625">
        <v>48</v>
      </c>
      <c r="B1625" t="s">
        <v>1739</v>
      </c>
      <c r="C1625">
        <v>59695.199999999997</v>
      </c>
      <c r="D1625" t="s">
        <v>1434</v>
      </c>
      <c r="E1625" t="s">
        <v>1432</v>
      </c>
      <c r="F1625" t="s">
        <v>1435</v>
      </c>
    </row>
    <row r="1626" spans="1:6">
      <c r="A1626">
        <v>48</v>
      </c>
      <c r="B1626" t="s">
        <v>1739</v>
      </c>
      <c r="C1626">
        <v>99450</v>
      </c>
      <c r="D1626" t="s">
        <v>1579</v>
      </c>
      <c r="E1626" t="s">
        <v>1577</v>
      </c>
      <c r="F1626" t="s">
        <v>1580</v>
      </c>
    </row>
    <row r="1627" spans="1:6">
      <c r="A1627">
        <v>48</v>
      </c>
      <c r="B1627" t="s">
        <v>1739</v>
      </c>
      <c r="C1627">
        <v>19264</v>
      </c>
      <c r="D1627" t="s">
        <v>1436</v>
      </c>
      <c r="E1627" t="s">
        <v>1437</v>
      </c>
      <c r="F1627" t="s">
        <v>1438</v>
      </c>
    </row>
    <row r="1628" spans="1:6">
      <c r="A1628">
        <v>48</v>
      </c>
      <c r="B1628" t="s">
        <v>1739</v>
      </c>
      <c r="C1628">
        <v>887</v>
      </c>
      <c r="D1628" t="s">
        <v>1442</v>
      </c>
      <c r="E1628" t="s">
        <v>1582</v>
      </c>
      <c r="F1628" t="s">
        <v>1443</v>
      </c>
    </row>
    <row r="1629" spans="1:6">
      <c r="A1629">
        <v>48</v>
      </c>
      <c r="B1629" t="s">
        <v>1739</v>
      </c>
      <c r="C1629">
        <v>762</v>
      </c>
      <c r="D1629" t="s">
        <v>1581</v>
      </c>
      <c r="E1629" t="s">
        <v>1582</v>
      </c>
      <c r="F1629" t="s">
        <v>1583</v>
      </c>
    </row>
    <row r="1630" spans="1:6">
      <c r="A1630">
        <v>48</v>
      </c>
      <c r="B1630" t="s">
        <v>1739</v>
      </c>
      <c r="C1630">
        <v>55911</v>
      </c>
      <c r="D1630" t="s">
        <v>1587</v>
      </c>
      <c r="E1630" t="s">
        <v>1585</v>
      </c>
      <c r="F1630" t="s">
        <v>1588</v>
      </c>
    </row>
    <row r="1631" spans="1:6">
      <c r="A1631">
        <v>48</v>
      </c>
      <c r="B1631" t="s">
        <v>1739</v>
      </c>
      <c r="C1631">
        <v>2887</v>
      </c>
      <c r="D1631" t="s">
        <v>1589</v>
      </c>
      <c r="E1631" t="s">
        <v>1590</v>
      </c>
      <c r="F1631" t="s">
        <v>1591</v>
      </c>
    </row>
    <row r="1632" spans="1:6">
      <c r="A1632">
        <v>48</v>
      </c>
      <c r="B1632" t="s">
        <v>1739</v>
      </c>
      <c r="C1632">
        <v>4112</v>
      </c>
      <c r="D1632" t="s">
        <v>1592</v>
      </c>
      <c r="E1632" t="s">
        <v>1590</v>
      </c>
      <c r="F1632" t="s">
        <v>1593</v>
      </c>
    </row>
    <row r="1633" spans="1:6">
      <c r="A1633">
        <v>48</v>
      </c>
      <c r="B1633" t="s">
        <v>1739</v>
      </c>
      <c r="C1633">
        <v>3454</v>
      </c>
      <c r="D1633" t="s">
        <v>1597</v>
      </c>
      <c r="E1633" t="s">
        <v>1595</v>
      </c>
      <c r="F1633" t="s">
        <v>1598</v>
      </c>
    </row>
    <row r="1634" spans="1:6">
      <c r="A1634">
        <v>48</v>
      </c>
      <c r="B1634" t="s">
        <v>1739</v>
      </c>
      <c r="C1634">
        <v>90118</v>
      </c>
      <c r="D1634" t="s">
        <v>1599</v>
      </c>
      <c r="E1634" t="s">
        <v>1600</v>
      </c>
      <c r="F1634" t="s">
        <v>1601</v>
      </c>
    </row>
    <row r="1635" spans="1:6">
      <c r="A1635">
        <v>48</v>
      </c>
      <c r="B1635" t="s">
        <v>1739</v>
      </c>
      <c r="C1635">
        <v>301108</v>
      </c>
      <c r="D1635" t="s">
        <v>1602</v>
      </c>
      <c r="E1635" t="s">
        <v>1600</v>
      </c>
      <c r="F1635" t="s">
        <v>1603</v>
      </c>
    </row>
    <row r="1636" spans="1:6">
      <c r="A1636">
        <v>48</v>
      </c>
      <c r="B1636" t="s">
        <v>1739</v>
      </c>
      <c r="C1636">
        <v>11980</v>
      </c>
      <c r="D1636" t="s">
        <v>1604</v>
      </c>
      <c r="E1636" t="s">
        <v>1605</v>
      </c>
      <c r="F1636" t="s">
        <v>1606</v>
      </c>
    </row>
    <row r="1637" spans="1:6">
      <c r="A1637">
        <v>48</v>
      </c>
      <c r="B1637" t="s">
        <v>1739</v>
      </c>
      <c r="C1637">
        <v>19160.84</v>
      </c>
      <c r="D1637" t="s">
        <v>1379</v>
      </c>
      <c r="E1637" t="s">
        <v>1380</v>
      </c>
      <c r="F1637" t="s">
        <v>1381</v>
      </c>
    </row>
    <row r="1638" spans="1:6">
      <c r="A1638">
        <v>48</v>
      </c>
      <c r="B1638" t="s">
        <v>1739</v>
      </c>
      <c r="C1638">
        <v>19160.84</v>
      </c>
      <c r="D1638" t="s">
        <v>1475</v>
      </c>
      <c r="E1638" t="s">
        <v>1476</v>
      </c>
      <c r="F1638" t="s">
        <v>1477</v>
      </c>
    </row>
    <row r="1639" spans="1:6">
      <c r="A1639">
        <v>48</v>
      </c>
      <c r="B1639" t="s">
        <v>1739</v>
      </c>
      <c r="C1639">
        <v>114938.13</v>
      </c>
      <c r="D1639" t="s">
        <v>1365</v>
      </c>
      <c r="E1639" t="s">
        <v>1366</v>
      </c>
      <c r="F1639" t="s">
        <v>1367</v>
      </c>
    </row>
    <row r="1640" spans="1:6">
      <c r="A1640">
        <v>48</v>
      </c>
      <c r="B1640" t="s">
        <v>1739</v>
      </c>
      <c r="C1640">
        <v>126923</v>
      </c>
      <c r="D1640" t="s">
        <v>1610</v>
      </c>
      <c r="E1640" t="s">
        <v>1481</v>
      </c>
      <c r="F1640" t="s">
        <v>1482</v>
      </c>
    </row>
    <row r="1641" spans="1:6">
      <c r="A1641">
        <v>49</v>
      </c>
      <c r="B1641" t="s">
        <v>1740</v>
      </c>
      <c r="C1641">
        <v>30851</v>
      </c>
      <c r="D1641" t="s">
        <v>1489</v>
      </c>
      <c r="E1641" t="s">
        <v>1490</v>
      </c>
      <c r="F1641" t="s">
        <v>1491</v>
      </c>
    </row>
    <row r="1642" spans="1:6">
      <c r="A1642">
        <v>49</v>
      </c>
      <c r="B1642" t="s">
        <v>1740</v>
      </c>
      <c r="C1642">
        <v>102250</v>
      </c>
      <c r="D1642" t="s">
        <v>1404</v>
      </c>
      <c r="E1642" t="s">
        <v>1405</v>
      </c>
      <c r="F1642" t="s">
        <v>1406</v>
      </c>
    </row>
    <row r="1643" spans="1:6">
      <c r="A1643">
        <v>49</v>
      </c>
      <c r="B1643" t="s">
        <v>1740</v>
      </c>
      <c r="C1643">
        <v>660521</v>
      </c>
      <c r="D1643" t="s">
        <v>1567</v>
      </c>
      <c r="E1643" t="s">
        <v>1568</v>
      </c>
      <c r="F1643" t="s">
        <v>1569</v>
      </c>
    </row>
    <row r="1644" spans="1:6">
      <c r="A1644">
        <v>49</v>
      </c>
      <c r="B1644" t="s">
        <v>1740</v>
      </c>
      <c r="C1644">
        <v>82516</v>
      </c>
      <c r="D1644" t="s">
        <v>1496</v>
      </c>
      <c r="E1644" t="s">
        <v>1497</v>
      </c>
      <c r="F1644" t="s">
        <v>1498</v>
      </c>
    </row>
    <row r="1645" spans="1:6">
      <c r="A1645">
        <v>49</v>
      </c>
      <c r="B1645" t="s">
        <v>1740</v>
      </c>
      <c r="C1645">
        <v>24331338</v>
      </c>
      <c r="D1645" t="s">
        <v>1570</v>
      </c>
      <c r="E1645" t="s">
        <v>1571</v>
      </c>
      <c r="F1645" t="s">
        <v>1572</v>
      </c>
    </row>
    <row r="1646" spans="1:6">
      <c r="A1646">
        <v>49</v>
      </c>
      <c r="B1646" t="s">
        <v>1740</v>
      </c>
      <c r="C1646">
        <v>3000</v>
      </c>
      <c r="D1646" t="s">
        <v>1515</v>
      </c>
      <c r="E1646" t="s">
        <v>1516</v>
      </c>
      <c r="F1646" t="s">
        <v>1517</v>
      </c>
    </row>
    <row r="1647" spans="1:6">
      <c r="A1647">
        <v>49</v>
      </c>
      <c r="B1647" t="s">
        <v>1740</v>
      </c>
      <c r="C1647">
        <v>902</v>
      </c>
      <c r="D1647" t="s">
        <v>1518</v>
      </c>
      <c r="E1647" t="s">
        <v>1516</v>
      </c>
      <c r="F1647" t="s">
        <v>1519</v>
      </c>
    </row>
    <row r="1648" spans="1:6">
      <c r="A1648">
        <v>49</v>
      </c>
      <c r="B1648" t="s">
        <v>1740</v>
      </c>
      <c r="C1648">
        <v>236974</v>
      </c>
      <c r="D1648" t="s">
        <v>1520</v>
      </c>
      <c r="E1648" t="s">
        <v>1521</v>
      </c>
      <c r="F1648" t="s">
        <v>1522</v>
      </c>
    </row>
    <row r="1649" spans="1:6">
      <c r="A1649">
        <v>49</v>
      </c>
      <c r="B1649" t="s">
        <v>1740</v>
      </c>
      <c r="C1649">
        <v>501258</v>
      </c>
      <c r="D1649" t="s">
        <v>1573</v>
      </c>
      <c r="E1649" t="s">
        <v>1574</v>
      </c>
      <c r="F1649" t="s">
        <v>1575</v>
      </c>
    </row>
    <row r="1650" spans="1:6">
      <c r="A1650">
        <v>49</v>
      </c>
      <c r="B1650" t="s">
        <v>1740</v>
      </c>
      <c r="C1650">
        <v>43691</v>
      </c>
      <c r="D1650" t="s">
        <v>1523</v>
      </c>
      <c r="E1650" t="s">
        <v>1521</v>
      </c>
      <c r="F1650" t="s">
        <v>1524</v>
      </c>
    </row>
    <row r="1651" spans="1:6">
      <c r="A1651">
        <v>49</v>
      </c>
      <c r="B1651" t="s">
        <v>1740</v>
      </c>
      <c r="C1651">
        <v>105985</v>
      </c>
      <c r="D1651" t="s">
        <v>1525</v>
      </c>
      <c r="E1651" t="s">
        <v>1526</v>
      </c>
      <c r="F1651" t="s">
        <v>1527</v>
      </c>
    </row>
    <row r="1652" spans="1:6">
      <c r="A1652">
        <v>49</v>
      </c>
      <c r="B1652" t="s">
        <v>1740</v>
      </c>
      <c r="C1652">
        <v>34348</v>
      </c>
      <c r="D1652" t="s">
        <v>1528</v>
      </c>
      <c r="E1652" t="s">
        <v>1529</v>
      </c>
      <c r="F1652" t="s">
        <v>1530</v>
      </c>
    </row>
    <row r="1653" spans="1:6">
      <c r="A1653">
        <v>49</v>
      </c>
      <c r="B1653" t="s">
        <v>1740</v>
      </c>
      <c r="C1653">
        <v>171894</v>
      </c>
      <c r="D1653" t="s">
        <v>1531</v>
      </c>
      <c r="E1653" t="s">
        <v>1532</v>
      </c>
      <c r="F1653" t="s">
        <v>1533</v>
      </c>
    </row>
    <row r="1654" spans="1:6">
      <c r="A1654">
        <v>49</v>
      </c>
      <c r="B1654" t="s">
        <v>1740</v>
      </c>
      <c r="C1654">
        <v>100000</v>
      </c>
      <c r="D1654" t="s">
        <v>1204</v>
      </c>
      <c r="E1654" t="s">
        <v>1205</v>
      </c>
      <c r="F1654" t="s">
        <v>1206</v>
      </c>
    </row>
    <row r="1655" spans="1:6">
      <c r="A1655">
        <v>49</v>
      </c>
      <c r="B1655" t="s">
        <v>1740</v>
      </c>
      <c r="C1655">
        <v>6500</v>
      </c>
      <c r="D1655" t="s">
        <v>1387</v>
      </c>
      <c r="E1655" t="s">
        <v>1388</v>
      </c>
      <c r="F1655" t="s">
        <v>1389</v>
      </c>
    </row>
    <row r="1656" spans="1:6">
      <c r="A1656">
        <v>49</v>
      </c>
      <c r="B1656" t="s">
        <v>1740</v>
      </c>
      <c r="C1656">
        <v>150000</v>
      </c>
      <c r="D1656" t="s">
        <v>1207</v>
      </c>
      <c r="E1656" t="s">
        <v>1350</v>
      </c>
      <c r="F1656" t="s">
        <v>1351</v>
      </c>
    </row>
    <row r="1657" spans="1:6">
      <c r="A1657">
        <v>49</v>
      </c>
      <c r="B1657" t="s">
        <v>1740</v>
      </c>
      <c r="C1657">
        <v>148000</v>
      </c>
      <c r="D1657" t="s">
        <v>1390</v>
      </c>
      <c r="E1657" t="s">
        <v>1391</v>
      </c>
      <c r="F1657" t="s">
        <v>1392</v>
      </c>
    </row>
    <row r="1658" spans="1:6">
      <c r="A1658">
        <v>49</v>
      </c>
      <c r="B1658" t="s">
        <v>1740</v>
      </c>
      <c r="C1658">
        <v>32817</v>
      </c>
      <c r="D1658" t="s">
        <v>1534</v>
      </c>
      <c r="E1658" t="s">
        <v>1535</v>
      </c>
      <c r="F1658" t="s">
        <v>1536</v>
      </c>
    </row>
    <row r="1659" spans="1:6">
      <c r="A1659">
        <v>49</v>
      </c>
      <c r="B1659" t="s">
        <v>1740</v>
      </c>
      <c r="C1659">
        <v>2189.94</v>
      </c>
      <c r="D1659" t="s">
        <v>1374</v>
      </c>
      <c r="E1659" t="s">
        <v>1375</v>
      </c>
      <c r="F1659" t="s">
        <v>1376</v>
      </c>
    </row>
    <row r="1660" spans="1:6">
      <c r="A1660">
        <v>49</v>
      </c>
      <c r="B1660" t="s">
        <v>1740</v>
      </c>
      <c r="C1660">
        <v>5540.98</v>
      </c>
      <c r="D1660" t="s">
        <v>1377</v>
      </c>
      <c r="E1660" t="s">
        <v>1375</v>
      </c>
      <c r="F1660" t="s">
        <v>1378</v>
      </c>
    </row>
    <row r="1661" spans="1:6">
      <c r="A1661">
        <v>49</v>
      </c>
      <c r="B1661" t="s">
        <v>1740</v>
      </c>
      <c r="C1661">
        <v>9100.35</v>
      </c>
      <c r="D1661" t="s">
        <v>1537</v>
      </c>
      <c r="E1661" t="s">
        <v>1538</v>
      </c>
      <c r="F1661" t="s">
        <v>1539</v>
      </c>
    </row>
    <row r="1662" spans="1:6">
      <c r="A1662">
        <v>49</v>
      </c>
      <c r="B1662" t="s">
        <v>1740</v>
      </c>
      <c r="C1662">
        <v>23618.69</v>
      </c>
      <c r="D1662" t="s">
        <v>1540</v>
      </c>
      <c r="E1662" t="s">
        <v>1538</v>
      </c>
      <c r="F1662" t="s">
        <v>1541</v>
      </c>
    </row>
    <row r="1663" spans="1:6">
      <c r="A1663">
        <v>49</v>
      </c>
      <c r="B1663" t="s">
        <v>1740</v>
      </c>
      <c r="C1663">
        <v>48465</v>
      </c>
      <c r="D1663" t="s">
        <v>1220</v>
      </c>
      <c r="E1663" t="s">
        <v>1221</v>
      </c>
      <c r="F1663" t="s">
        <v>1222</v>
      </c>
    </row>
    <row r="1664" spans="1:6">
      <c r="A1664">
        <v>49</v>
      </c>
      <c r="B1664" t="s">
        <v>1740</v>
      </c>
      <c r="C1664">
        <v>78691</v>
      </c>
      <c r="D1664" t="s">
        <v>1223</v>
      </c>
      <c r="E1664" t="s">
        <v>1221</v>
      </c>
      <c r="F1664" t="s">
        <v>1224</v>
      </c>
    </row>
    <row r="1665" spans="1:6">
      <c r="A1665">
        <v>49</v>
      </c>
      <c r="B1665" t="s">
        <v>1740</v>
      </c>
      <c r="C1665">
        <v>3646</v>
      </c>
      <c r="D1665" t="s">
        <v>1225</v>
      </c>
      <c r="E1665" t="s">
        <v>1226</v>
      </c>
      <c r="F1665" t="s">
        <v>1227</v>
      </c>
    </row>
    <row r="1666" spans="1:6">
      <c r="A1666">
        <v>49</v>
      </c>
      <c r="B1666" t="s">
        <v>1740</v>
      </c>
      <c r="C1666">
        <v>4818</v>
      </c>
      <c r="D1666" t="s">
        <v>1228</v>
      </c>
      <c r="E1666" t="s">
        <v>1226</v>
      </c>
      <c r="F1666" t="s">
        <v>1229</v>
      </c>
    </row>
    <row r="1667" spans="1:6">
      <c r="A1667">
        <v>49</v>
      </c>
      <c r="B1667" t="s">
        <v>1740</v>
      </c>
      <c r="C1667">
        <v>149832.81</v>
      </c>
      <c r="D1667" t="s">
        <v>1431</v>
      </c>
      <c r="E1667" t="s">
        <v>1432</v>
      </c>
      <c r="F1667" t="s">
        <v>1433</v>
      </c>
    </row>
    <row r="1668" spans="1:6">
      <c r="A1668">
        <v>49</v>
      </c>
      <c r="B1668" t="s">
        <v>1740</v>
      </c>
      <c r="C1668">
        <v>375617.53</v>
      </c>
      <c r="D1668" t="s">
        <v>1434</v>
      </c>
      <c r="E1668" t="s">
        <v>1432</v>
      </c>
      <c r="F1668" t="s">
        <v>1435</v>
      </c>
    </row>
    <row r="1669" spans="1:6">
      <c r="A1669">
        <v>49</v>
      </c>
      <c r="B1669" t="s">
        <v>1740</v>
      </c>
      <c r="C1669">
        <v>32861</v>
      </c>
      <c r="D1669" t="s">
        <v>1576</v>
      </c>
      <c r="E1669" t="s">
        <v>1577</v>
      </c>
      <c r="F1669" t="s">
        <v>1578</v>
      </c>
    </row>
    <row r="1670" spans="1:6">
      <c r="A1670">
        <v>49</v>
      </c>
      <c r="B1670" t="s">
        <v>1740</v>
      </c>
      <c r="C1670">
        <v>175000</v>
      </c>
      <c r="D1670" t="s">
        <v>1579</v>
      </c>
      <c r="E1670" t="s">
        <v>1577</v>
      </c>
      <c r="F1670" t="s">
        <v>1580</v>
      </c>
    </row>
    <row r="1671" spans="1:6">
      <c r="A1671">
        <v>49</v>
      </c>
      <c r="B1671" t="s">
        <v>1740</v>
      </c>
      <c r="C1671">
        <v>45412</v>
      </c>
      <c r="D1671" t="s">
        <v>1436</v>
      </c>
      <c r="E1671" t="s">
        <v>1437</v>
      </c>
      <c r="F1671" t="s">
        <v>1438</v>
      </c>
    </row>
    <row r="1672" spans="1:6">
      <c r="A1672">
        <v>49</v>
      </c>
      <c r="B1672" t="s">
        <v>1740</v>
      </c>
      <c r="C1672">
        <v>762</v>
      </c>
      <c r="D1672" t="s">
        <v>1442</v>
      </c>
      <c r="E1672" t="s">
        <v>1582</v>
      </c>
      <c r="F1672" t="s">
        <v>1443</v>
      </c>
    </row>
    <row r="1673" spans="1:6">
      <c r="A1673">
        <v>49</v>
      </c>
      <c r="B1673" t="s">
        <v>1740</v>
      </c>
      <c r="C1673">
        <v>500</v>
      </c>
      <c r="D1673" t="s">
        <v>1581</v>
      </c>
      <c r="E1673" t="s">
        <v>1582</v>
      </c>
      <c r="F1673" t="s">
        <v>1583</v>
      </c>
    </row>
    <row r="1674" spans="1:6">
      <c r="A1674">
        <v>49</v>
      </c>
      <c r="B1674" t="s">
        <v>1740</v>
      </c>
      <c r="C1674">
        <v>39568</v>
      </c>
      <c r="D1674" t="s">
        <v>1584</v>
      </c>
      <c r="E1674" t="s">
        <v>1585</v>
      </c>
      <c r="F1674" t="s">
        <v>1586</v>
      </c>
    </row>
    <row r="1675" spans="1:6">
      <c r="A1675">
        <v>49</v>
      </c>
      <c r="B1675" t="s">
        <v>1740</v>
      </c>
      <c r="C1675">
        <v>120000</v>
      </c>
      <c r="D1675" t="s">
        <v>1587</v>
      </c>
      <c r="E1675" t="s">
        <v>1585</v>
      </c>
      <c r="F1675" t="s">
        <v>1588</v>
      </c>
    </row>
    <row r="1676" spans="1:6">
      <c r="A1676">
        <v>49</v>
      </c>
      <c r="B1676" t="s">
        <v>1740</v>
      </c>
      <c r="C1676">
        <v>64000</v>
      </c>
      <c r="D1676" t="s">
        <v>1452</v>
      </c>
      <c r="E1676" t="s">
        <v>1450</v>
      </c>
      <c r="F1676" t="s">
        <v>1453</v>
      </c>
    </row>
    <row r="1677" spans="1:6">
      <c r="A1677">
        <v>49</v>
      </c>
      <c r="B1677" t="s">
        <v>1740</v>
      </c>
      <c r="C1677">
        <v>112120</v>
      </c>
      <c r="D1677" t="s">
        <v>1268</v>
      </c>
      <c r="E1677" t="s">
        <v>1450</v>
      </c>
      <c r="F1677" t="s">
        <v>1453</v>
      </c>
    </row>
    <row r="1678" spans="1:6">
      <c r="A1678">
        <v>49</v>
      </c>
      <c r="B1678" t="s">
        <v>1740</v>
      </c>
      <c r="C1678">
        <v>12872</v>
      </c>
      <c r="D1678" t="s">
        <v>1589</v>
      </c>
      <c r="E1678" t="s">
        <v>1590</v>
      </c>
      <c r="F1678" t="s">
        <v>1591</v>
      </c>
    </row>
    <row r="1679" spans="1:6">
      <c r="A1679">
        <v>49</v>
      </c>
      <c r="B1679" t="s">
        <v>1740</v>
      </c>
      <c r="C1679">
        <v>13000</v>
      </c>
      <c r="D1679" t="s">
        <v>1592</v>
      </c>
      <c r="E1679" t="s">
        <v>1590</v>
      </c>
      <c r="F1679" t="s">
        <v>1593</v>
      </c>
    </row>
    <row r="1680" spans="1:6">
      <c r="A1680">
        <v>49</v>
      </c>
      <c r="B1680" t="s">
        <v>1740</v>
      </c>
      <c r="C1680">
        <v>20000</v>
      </c>
      <c r="D1680" t="s">
        <v>1233</v>
      </c>
      <c r="E1680" t="s">
        <v>1234</v>
      </c>
      <c r="F1680" t="s">
        <v>1235</v>
      </c>
    </row>
    <row r="1681" spans="1:6">
      <c r="A1681">
        <v>49</v>
      </c>
      <c r="B1681" t="s">
        <v>1740</v>
      </c>
      <c r="C1681">
        <v>4978</v>
      </c>
      <c r="D1681" t="s">
        <v>1594</v>
      </c>
      <c r="E1681" t="s">
        <v>1595</v>
      </c>
      <c r="F1681" t="s">
        <v>1596</v>
      </c>
    </row>
    <row r="1682" spans="1:6">
      <c r="A1682">
        <v>49</v>
      </c>
      <c r="B1682" t="s">
        <v>1740</v>
      </c>
      <c r="C1682">
        <v>12430</v>
      </c>
      <c r="D1682" t="s">
        <v>1597</v>
      </c>
      <c r="E1682" t="s">
        <v>1595</v>
      </c>
      <c r="F1682" t="s">
        <v>1598</v>
      </c>
    </row>
    <row r="1683" spans="1:6">
      <c r="A1683">
        <v>49</v>
      </c>
      <c r="B1683" t="s">
        <v>1740</v>
      </c>
      <c r="C1683">
        <v>1158938</v>
      </c>
      <c r="D1683" t="s">
        <v>1599</v>
      </c>
      <c r="E1683" t="s">
        <v>1600</v>
      </c>
      <c r="F1683" t="s">
        <v>1601</v>
      </c>
    </row>
    <row r="1684" spans="1:6">
      <c r="A1684">
        <v>49</v>
      </c>
      <c r="B1684" t="s">
        <v>1740</v>
      </c>
      <c r="C1684">
        <v>200000</v>
      </c>
      <c r="D1684" t="s">
        <v>1602</v>
      </c>
      <c r="E1684" t="s">
        <v>1600</v>
      </c>
      <c r="F1684" t="s">
        <v>1603</v>
      </c>
    </row>
    <row r="1685" spans="1:6">
      <c r="A1685">
        <v>49</v>
      </c>
      <c r="B1685" t="s">
        <v>1740</v>
      </c>
      <c r="C1685">
        <v>53657</v>
      </c>
      <c r="D1685" t="s">
        <v>1604</v>
      </c>
      <c r="E1685" t="s">
        <v>1605</v>
      </c>
      <c r="F1685" t="s">
        <v>1606</v>
      </c>
    </row>
    <row r="1686" spans="1:6">
      <c r="A1686">
        <v>49</v>
      </c>
      <c r="B1686" t="s">
        <v>1740</v>
      </c>
      <c r="C1686">
        <v>42213.85</v>
      </c>
      <c r="D1686" t="s">
        <v>1475</v>
      </c>
      <c r="E1686" t="s">
        <v>1476</v>
      </c>
      <c r="F1686" t="s">
        <v>1477</v>
      </c>
    </row>
    <row r="1687" spans="1:6">
      <c r="A1687">
        <v>49</v>
      </c>
      <c r="B1687" t="s">
        <v>1740</v>
      </c>
      <c r="C1687">
        <v>1180964.3999999999</v>
      </c>
      <c r="D1687" t="s">
        <v>1365</v>
      </c>
      <c r="E1687" t="s">
        <v>1366</v>
      </c>
      <c r="F1687" t="s">
        <v>1367</v>
      </c>
    </row>
    <row r="1688" spans="1:6">
      <c r="A1688">
        <v>49</v>
      </c>
      <c r="B1688" t="s">
        <v>1740</v>
      </c>
      <c r="C1688">
        <v>178694</v>
      </c>
      <c r="D1688" t="s">
        <v>1607</v>
      </c>
      <c r="E1688" t="s">
        <v>1608</v>
      </c>
      <c r="F1688" t="s">
        <v>1609</v>
      </c>
    </row>
    <row r="1689" spans="1:6">
      <c r="A1689">
        <v>49</v>
      </c>
      <c r="B1689" t="s">
        <v>1740</v>
      </c>
      <c r="C1689">
        <v>258085</v>
      </c>
      <c r="D1689" t="s">
        <v>1610</v>
      </c>
      <c r="E1689" t="s">
        <v>1481</v>
      </c>
      <c r="F1689" t="s">
        <v>1482</v>
      </c>
    </row>
    <row r="1690" spans="1:6">
      <c r="A1690">
        <v>50</v>
      </c>
      <c r="B1690" t="s">
        <v>1741</v>
      </c>
      <c r="C1690">
        <v>1736</v>
      </c>
      <c r="D1690" t="s">
        <v>1489</v>
      </c>
      <c r="E1690" t="s">
        <v>1490</v>
      </c>
      <c r="F1690" t="s">
        <v>1491</v>
      </c>
    </row>
    <row r="1691" spans="1:6">
      <c r="A1691">
        <v>50</v>
      </c>
      <c r="B1691" t="s">
        <v>1741</v>
      </c>
      <c r="C1691">
        <v>858</v>
      </c>
      <c r="D1691" t="s">
        <v>1567</v>
      </c>
      <c r="E1691" t="s">
        <v>1568</v>
      </c>
      <c r="F1691" t="s">
        <v>1569</v>
      </c>
    </row>
    <row r="1692" spans="1:6">
      <c r="A1692">
        <v>50</v>
      </c>
      <c r="B1692" t="s">
        <v>1741</v>
      </c>
      <c r="C1692">
        <v>275368</v>
      </c>
      <c r="D1692" t="s">
        <v>1570</v>
      </c>
      <c r="E1692" t="s">
        <v>1571</v>
      </c>
      <c r="F1692" t="s">
        <v>1572</v>
      </c>
    </row>
    <row r="1693" spans="1:6">
      <c r="A1693">
        <v>50</v>
      </c>
      <c r="B1693" t="s">
        <v>1741</v>
      </c>
      <c r="C1693">
        <v>29706</v>
      </c>
      <c r="D1693" t="s">
        <v>1573</v>
      </c>
      <c r="E1693" t="s">
        <v>1574</v>
      </c>
      <c r="F1693" t="s">
        <v>1575</v>
      </c>
    </row>
    <row r="1694" spans="1:6">
      <c r="A1694">
        <v>50</v>
      </c>
      <c r="B1694" t="s">
        <v>1741</v>
      </c>
      <c r="C1694">
        <v>2641</v>
      </c>
      <c r="D1694" t="s">
        <v>1371</v>
      </c>
      <c r="E1694" t="s">
        <v>1372</v>
      </c>
      <c r="F1694" t="s">
        <v>1373</v>
      </c>
    </row>
    <row r="1695" spans="1:6">
      <c r="A1695">
        <v>50</v>
      </c>
      <c r="B1695" t="s">
        <v>1741</v>
      </c>
      <c r="C1695">
        <v>17277</v>
      </c>
      <c r="D1695" t="s">
        <v>1528</v>
      </c>
      <c r="E1695" t="s">
        <v>1529</v>
      </c>
      <c r="F1695" t="s">
        <v>1530</v>
      </c>
    </row>
    <row r="1696" spans="1:6">
      <c r="A1696">
        <v>50</v>
      </c>
      <c r="B1696" t="s">
        <v>1741</v>
      </c>
      <c r="C1696">
        <v>4334.3</v>
      </c>
      <c r="D1696" t="s">
        <v>1431</v>
      </c>
      <c r="E1696" t="s">
        <v>1432</v>
      </c>
      <c r="F1696" t="s">
        <v>1433</v>
      </c>
    </row>
    <row r="1697" spans="1:6">
      <c r="A1697">
        <v>50</v>
      </c>
      <c r="B1697" t="s">
        <v>1741</v>
      </c>
      <c r="C1697">
        <v>10309.41</v>
      </c>
      <c r="D1697" t="s">
        <v>1434</v>
      </c>
      <c r="E1697" t="s">
        <v>1432</v>
      </c>
      <c r="F1697" t="s">
        <v>1435</v>
      </c>
    </row>
    <row r="1698" spans="1:6">
      <c r="A1698">
        <v>50</v>
      </c>
      <c r="B1698" t="s">
        <v>1741</v>
      </c>
      <c r="C1698">
        <v>7830</v>
      </c>
      <c r="D1698" t="s">
        <v>1576</v>
      </c>
      <c r="E1698" t="s">
        <v>1577</v>
      </c>
      <c r="F1698" t="s">
        <v>1578</v>
      </c>
    </row>
    <row r="1699" spans="1:6">
      <c r="A1699">
        <v>50</v>
      </c>
      <c r="B1699" t="s">
        <v>1741</v>
      </c>
      <c r="C1699">
        <v>5153.05</v>
      </c>
      <c r="D1699" t="s">
        <v>1379</v>
      </c>
      <c r="E1699" t="s">
        <v>1380</v>
      </c>
      <c r="F1699" t="s">
        <v>1381</v>
      </c>
    </row>
    <row r="1700" spans="1:6">
      <c r="A1700">
        <v>50</v>
      </c>
      <c r="B1700" t="s">
        <v>1741</v>
      </c>
      <c r="C1700">
        <v>3839.79</v>
      </c>
      <c r="D1700" t="s">
        <v>1475</v>
      </c>
      <c r="E1700" t="s">
        <v>1476</v>
      </c>
      <c r="F1700" t="s">
        <v>1477</v>
      </c>
    </row>
    <row r="1701" spans="1:6">
      <c r="A1701">
        <v>50</v>
      </c>
      <c r="B1701" t="s">
        <v>1741</v>
      </c>
      <c r="C1701">
        <v>104120.44</v>
      </c>
      <c r="D1701" t="s">
        <v>1478</v>
      </c>
      <c r="E1701" t="s">
        <v>1479</v>
      </c>
      <c r="F1701" t="s">
        <v>1480</v>
      </c>
    </row>
    <row r="1702" spans="1:6">
      <c r="A1702">
        <v>51</v>
      </c>
      <c r="B1702" t="s">
        <v>1742</v>
      </c>
      <c r="C1702">
        <v>24161</v>
      </c>
      <c r="D1702" t="s">
        <v>1489</v>
      </c>
      <c r="E1702" t="s">
        <v>1490</v>
      </c>
      <c r="F1702" t="s">
        <v>1491</v>
      </c>
    </row>
    <row r="1703" spans="1:6">
      <c r="A1703">
        <v>51</v>
      </c>
      <c r="B1703" t="s">
        <v>1742</v>
      </c>
      <c r="C1703">
        <v>7251</v>
      </c>
      <c r="D1703" t="s">
        <v>1567</v>
      </c>
      <c r="E1703" t="s">
        <v>1568</v>
      </c>
      <c r="F1703" t="s">
        <v>1569</v>
      </c>
    </row>
    <row r="1704" spans="1:6">
      <c r="A1704">
        <v>51</v>
      </c>
      <c r="B1704" t="s">
        <v>1742</v>
      </c>
      <c r="C1704">
        <v>75423</v>
      </c>
      <c r="D1704" t="s">
        <v>1496</v>
      </c>
      <c r="E1704" t="s">
        <v>1497</v>
      </c>
      <c r="F1704" t="s">
        <v>1498</v>
      </c>
    </row>
    <row r="1705" spans="1:6">
      <c r="A1705">
        <v>51</v>
      </c>
      <c r="B1705" t="s">
        <v>1742</v>
      </c>
      <c r="C1705">
        <v>2600786</v>
      </c>
      <c r="D1705" t="s">
        <v>1570</v>
      </c>
      <c r="E1705" t="s">
        <v>1571</v>
      </c>
      <c r="F1705" t="s">
        <v>1572</v>
      </c>
    </row>
    <row r="1706" spans="1:6">
      <c r="A1706">
        <v>51</v>
      </c>
      <c r="B1706" t="s">
        <v>1742</v>
      </c>
      <c r="C1706">
        <v>37128</v>
      </c>
      <c r="D1706" t="s">
        <v>1382</v>
      </c>
      <c r="E1706" t="s">
        <v>1383</v>
      </c>
      <c r="F1706" t="s">
        <v>1384</v>
      </c>
    </row>
    <row r="1707" spans="1:6">
      <c r="A1707">
        <v>51</v>
      </c>
      <c r="B1707" t="s">
        <v>1742</v>
      </c>
      <c r="C1707">
        <v>113609</v>
      </c>
      <c r="D1707" t="s">
        <v>1520</v>
      </c>
      <c r="E1707" t="s">
        <v>1521</v>
      </c>
      <c r="F1707" t="s">
        <v>1522</v>
      </c>
    </row>
    <row r="1708" spans="1:6">
      <c r="A1708">
        <v>51</v>
      </c>
      <c r="B1708" t="s">
        <v>1742</v>
      </c>
      <c r="C1708">
        <v>1481118</v>
      </c>
      <c r="D1708" t="s">
        <v>1573</v>
      </c>
      <c r="E1708" t="s">
        <v>1574</v>
      </c>
      <c r="F1708" t="s">
        <v>1575</v>
      </c>
    </row>
    <row r="1709" spans="1:6">
      <c r="A1709">
        <v>51</v>
      </c>
      <c r="B1709" t="s">
        <v>1742</v>
      </c>
      <c r="C1709">
        <v>33671</v>
      </c>
      <c r="D1709" t="s">
        <v>1371</v>
      </c>
      <c r="E1709" t="s">
        <v>1372</v>
      </c>
      <c r="F1709" t="s">
        <v>1373</v>
      </c>
    </row>
    <row r="1710" spans="1:6">
      <c r="A1710">
        <v>51</v>
      </c>
      <c r="B1710" t="s">
        <v>1742</v>
      </c>
      <c r="C1710">
        <v>1</v>
      </c>
      <c r="D1710" t="s">
        <v>1525</v>
      </c>
      <c r="E1710" t="s">
        <v>1526</v>
      </c>
      <c r="F1710" t="s">
        <v>1527</v>
      </c>
    </row>
    <row r="1711" spans="1:6">
      <c r="A1711">
        <v>51</v>
      </c>
      <c r="B1711" t="s">
        <v>1742</v>
      </c>
      <c r="C1711">
        <v>28715</v>
      </c>
      <c r="D1711" t="s">
        <v>1528</v>
      </c>
      <c r="E1711" t="s">
        <v>1529</v>
      </c>
      <c r="F1711" t="s">
        <v>1530</v>
      </c>
    </row>
    <row r="1712" spans="1:6">
      <c r="A1712">
        <v>51</v>
      </c>
      <c r="B1712" t="s">
        <v>1742</v>
      </c>
      <c r="C1712">
        <v>157407</v>
      </c>
      <c r="D1712" t="s">
        <v>1531</v>
      </c>
      <c r="E1712" t="s">
        <v>1532</v>
      </c>
      <c r="F1712" t="s">
        <v>1533</v>
      </c>
    </row>
    <row r="1713" spans="1:6">
      <c r="A1713">
        <v>51</v>
      </c>
      <c r="B1713" t="s">
        <v>1742</v>
      </c>
      <c r="C1713">
        <v>85800</v>
      </c>
      <c r="D1713" t="s">
        <v>1387</v>
      </c>
      <c r="E1713" t="s">
        <v>1388</v>
      </c>
      <c r="F1713" t="s">
        <v>1389</v>
      </c>
    </row>
    <row r="1714" spans="1:6">
      <c r="A1714">
        <v>51</v>
      </c>
      <c r="B1714" t="s">
        <v>1742</v>
      </c>
      <c r="C1714">
        <v>943.14</v>
      </c>
      <c r="D1714" t="s">
        <v>1537</v>
      </c>
      <c r="E1714" t="s">
        <v>1538</v>
      </c>
      <c r="F1714" t="s">
        <v>1539</v>
      </c>
    </row>
    <row r="1715" spans="1:6">
      <c r="A1715">
        <v>51</v>
      </c>
      <c r="B1715" t="s">
        <v>1742</v>
      </c>
      <c r="C1715">
        <v>3017.61</v>
      </c>
      <c r="D1715" t="s">
        <v>1540</v>
      </c>
      <c r="E1715" t="s">
        <v>1538</v>
      </c>
      <c r="F1715" t="s">
        <v>1541</v>
      </c>
    </row>
    <row r="1716" spans="1:6">
      <c r="A1716">
        <v>51</v>
      </c>
      <c r="B1716" t="s">
        <v>1742</v>
      </c>
      <c r="C1716">
        <v>76815.100000000006</v>
      </c>
      <c r="D1716" t="s">
        <v>1431</v>
      </c>
      <c r="E1716" t="s">
        <v>1432</v>
      </c>
      <c r="F1716" t="s">
        <v>1433</v>
      </c>
    </row>
    <row r="1717" spans="1:6">
      <c r="A1717">
        <v>51</v>
      </c>
      <c r="B1717" t="s">
        <v>1742</v>
      </c>
      <c r="C1717">
        <v>190499.68</v>
      </c>
      <c r="D1717" t="s">
        <v>1434</v>
      </c>
      <c r="E1717" t="s">
        <v>1432</v>
      </c>
      <c r="F1717" t="s">
        <v>1435</v>
      </c>
    </row>
    <row r="1718" spans="1:6">
      <c r="A1718">
        <v>51</v>
      </c>
      <c r="B1718" t="s">
        <v>1742</v>
      </c>
      <c r="C1718">
        <v>158923</v>
      </c>
      <c r="D1718" t="s">
        <v>1576</v>
      </c>
      <c r="E1718" t="s">
        <v>1577</v>
      </c>
      <c r="F1718" t="s">
        <v>1578</v>
      </c>
    </row>
    <row r="1719" spans="1:6">
      <c r="A1719">
        <v>51</v>
      </c>
      <c r="B1719" t="s">
        <v>1742</v>
      </c>
      <c r="C1719">
        <v>158000</v>
      </c>
      <c r="D1719" t="s">
        <v>1579</v>
      </c>
      <c r="E1719" t="s">
        <v>1577</v>
      </c>
      <c r="F1719" t="s">
        <v>1580</v>
      </c>
    </row>
    <row r="1720" spans="1:6">
      <c r="A1720">
        <v>51</v>
      </c>
      <c r="B1720" t="s">
        <v>1742</v>
      </c>
      <c r="C1720">
        <v>63743</v>
      </c>
      <c r="D1720" t="s">
        <v>1436</v>
      </c>
      <c r="E1720" t="s">
        <v>1437</v>
      </c>
      <c r="F1720" t="s">
        <v>1438</v>
      </c>
    </row>
    <row r="1721" spans="1:6">
      <c r="A1721">
        <v>51</v>
      </c>
      <c r="B1721" t="s">
        <v>1742</v>
      </c>
      <c r="C1721">
        <v>4676</v>
      </c>
      <c r="D1721" t="s">
        <v>1442</v>
      </c>
      <c r="E1721" t="s">
        <v>1582</v>
      </c>
      <c r="F1721" t="s">
        <v>1443</v>
      </c>
    </row>
    <row r="1722" spans="1:6">
      <c r="A1722">
        <v>51</v>
      </c>
      <c r="B1722" t="s">
        <v>1742</v>
      </c>
      <c r="C1722">
        <v>54584</v>
      </c>
      <c r="D1722" t="s">
        <v>1584</v>
      </c>
      <c r="E1722" t="s">
        <v>1585</v>
      </c>
      <c r="F1722" t="s">
        <v>1586</v>
      </c>
    </row>
    <row r="1723" spans="1:6">
      <c r="A1723">
        <v>51</v>
      </c>
      <c r="B1723" t="s">
        <v>1742</v>
      </c>
      <c r="C1723">
        <v>115500</v>
      </c>
      <c r="D1723" t="s">
        <v>1587</v>
      </c>
      <c r="E1723" t="s">
        <v>1585</v>
      </c>
      <c r="F1723" t="s">
        <v>1588</v>
      </c>
    </row>
    <row r="1724" spans="1:6">
      <c r="A1724">
        <v>51</v>
      </c>
      <c r="B1724" t="s">
        <v>1742</v>
      </c>
      <c r="C1724">
        <v>18429</v>
      </c>
      <c r="D1724" t="s">
        <v>1454</v>
      </c>
      <c r="E1724" t="s">
        <v>1455</v>
      </c>
      <c r="F1724" t="s">
        <v>1456</v>
      </c>
    </row>
    <row r="1725" spans="1:6">
      <c r="A1725">
        <v>51</v>
      </c>
      <c r="B1725" t="s">
        <v>1742</v>
      </c>
      <c r="C1725">
        <v>2600</v>
      </c>
      <c r="D1725" t="s">
        <v>1457</v>
      </c>
      <c r="E1725" t="s">
        <v>1455</v>
      </c>
      <c r="F1725" t="s">
        <v>1458</v>
      </c>
    </row>
    <row r="1726" spans="1:6">
      <c r="A1726">
        <v>51</v>
      </c>
      <c r="B1726" t="s">
        <v>1742</v>
      </c>
      <c r="C1726">
        <v>14729</v>
      </c>
      <c r="D1726" t="s">
        <v>1589</v>
      </c>
      <c r="E1726" t="s">
        <v>1590</v>
      </c>
      <c r="F1726" t="s">
        <v>1591</v>
      </c>
    </row>
    <row r="1727" spans="1:6">
      <c r="A1727">
        <v>51</v>
      </c>
      <c r="B1727" t="s">
        <v>1742</v>
      </c>
      <c r="C1727">
        <v>8725</v>
      </c>
      <c r="D1727" t="s">
        <v>1592</v>
      </c>
      <c r="E1727" t="s">
        <v>1590</v>
      </c>
      <c r="F1727" t="s">
        <v>1593</v>
      </c>
    </row>
    <row r="1728" spans="1:6">
      <c r="A1728">
        <v>51</v>
      </c>
      <c r="B1728" t="s">
        <v>1742</v>
      </c>
      <c r="C1728">
        <v>8352</v>
      </c>
      <c r="D1728" t="s">
        <v>1594</v>
      </c>
      <c r="E1728" t="s">
        <v>1595</v>
      </c>
      <c r="F1728" t="s">
        <v>1596</v>
      </c>
    </row>
    <row r="1729" spans="1:6">
      <c r="A1729">
        <v>51</v>
      </c>
      <c r="B1729" t="s">
        <v>1742</v>
      </c>
      <c r="C1729">
        <v>1101048</v>
      </c>
      <c r="D1729" t="s">
        <v>1599</v>
      </c>
      <c r="E1729" t="s">
        <v>1600</v>
      </c>
      <c r="F1729" t="s">
        <v>1601</v>
      </c>
    </row>
    <row r="1730" spans="1:6">
      <c r="A1730">
        <v>51</v>
      </c>
      <c r="B1730" t="s">
        <v>1742</v>
      </c>
      <c r="C1730">
        <v>1179000</v>
      </c>
      <c r="D1730" t="s">
        <v>1602</v>
      </c>
      <c r="E1730" t="s">
        <v>1600</v>
      </c>
      <c r="F1730" t="s">
        <v>1603</v>
      </c>
    </row>
    <row r="1731" spans="1:6">
      <c r="A1731">
        <v>51</v>
      </c>
      <c r="B1731" t="s">
        <v>1742</v>
      </c>
      <c r="C1731">
        <v>43733</v>
      </c>
      <c r="D1731" t="s">
        <v>1459</v>
      </c>
      <c r="E1731" t="s">
        <v>1605</v>
      </c>
      <c r="F1731" t="s">
        <v>1460</v>
      </c>
    </row>
    <row r="1732" spans="1:6">
      <c r="A1732">
        <v>51</v>
      </c>
      <c r="B1732" t="s">
        <v>1742</v>
      </c>
      <c r="C1732">
        <v>22400</v>
      </c>
      <c r="D1732" t="s">
        <v>1604</v>
      </c>
      <c r="E1732" t="s">
        <v>1605</v>
      </c>
      <c r="F1732" t="s">
        <v>1606</v>
      </c>
    </row>
    <row r="1733" spans="1:6">
      <c r="A1733">
        <v>51</v>
      </c>
      <c r="B1733" t="s">
        <v>1742</v>
      </c>
      <c r="C1733">
        <v>119105.38</v>
      </c>
      <c r="D1733" t="s">
        <v>1475</v>
      </c>
      <c r="E1733" t="s">
        <v>1476</v>
      </c>
      <c r="F1733" t="s">
        <v>1477</v>
      </c>
    </row>
    <row r="1734" spans="1:6">
      <c r="A1734">
        <v>51</v>
      </c>
      <c r="B1734" t="s">
        <v>1742</v>
      </c>
      <c r="C1734">
        <v>522881.79</v>
      </c>
      <c r="D1734" t="s">
        <v>1365</v>
      </c>
      <c r="E1734" t="s">
        <v>1366</v>
      </c>
      <c r="F1734" t="s">
        <v>1367</v>
      </c>
    </row>
    <row r="1735" spans="1:6">
      <c r="A1735">
        <v>51</v>
      </c>
      <c r="B1735" t="s">
        <v>1742</v>
      </c>
      <c r="C1735">
        <v>2078917</v>
      </c>
      <c r="D1735" t="s">
        <v>1607</v>
      </c>
      <c r="E1735" t="s">
        <v>1608</v>
      </c>
      <c r="F1735" t="s">
        <v>1609</v>
      </c>
    </row>
    <row r="1736" spans="1:6">
      <c r="A1736">
        <v>51</v>
      </c>
      <c r="B1736" t="s">
        <v>1742</v>
      </c>
      <c r="C1736">
        <v>12249</v>
      </c>
      <c r="D1736" t="s">
        <v>1610</v>
      </c>
      <c r="E1736" t="s">
        <v>1481</v>
      </c>
      <c r="F1736" t="s">
        <v>1482</v>
      </c>
    </row>
    <row r="1737" spans="1:6">
      <c r="A1737">
        <v>52</v>
      </c>
      <c r="B1737" t="s">
        <v>1743</v>
      </c>
      <c r="C1737">
        <v>36084</v>
      </c>
      <c r="D1737" t="s">
        <v>1486</v>
      </c>
      <c r="E1737" t="s">
        <v>1487</v>
      </c>
      <c r="F1737" t="s">
        <v>1488</v>
      </c>
    </row>
    <row r="1738" spans="1:6">
      <c r="A1738">
        <v>52</v>
      </c>
      <c r="B1738" t="s">
        <v>1743</v>
      </c>
      <c r="C1738">
        <v>16877</v>
      </c>
      <c r="D1738" t="s">
        <v>1489</v>
      </c>
      <c r="E1738" t="s">
        <v>1490</v>
      </c>
      <c r="F1738" t="s">
        <v>1491</v>
      </c>
    </row>
    <row r="1739" spans="1:6">
      <c r="A1739">
        <v>52</v>
      </c>
      <c r="B1739" t="s">
        <v>1743</v>
      </c>
      <c r="C1739">
        <v>77569</v>
      </c>
      <c r="D1739" t="s">
        <v>1567</v>
      </c>
      <c r="E1739" t="s">
        <v>1568</v>
      </c>
      <c r="F1739" t="s">
        <v>1569</v>
      </c>
    </row>
    <row r="1740" spans="1:6">
      <c r="A1740">
        <v>52</v>
      </c>
      <c r="B1740" t="s">
        <v>1743</v>
      </c>
      <c r="C1740">
        <v>1099629</v>
      </c>
      <c r="D1740" t="s">
        <v>1570</v>
      </c>
      <c r="E1740" t="s">
        <v>1571</v>
      </c>
      <c r="F1740" t="s">
        <v>1572</v>
      </c>
    </row>
    <row r="1741" spans="1:6">
      <c r="A1741">
        <v>52</v>
      </c>
      <c r="B1741" t="s">
        <v>1743</v>
      </c>
      <c r="C1741">
        <v>124876</v>
      </c>
      <c r="D1741" t="s">
        <v>1385</v>
      </c>
      <c r="E1741" t="s">
        <v>1383</v>
      </c>
      <c r="F1741" t="s">
        <v>1386</v>
      </c>
    </row>
    <row r="1742" spans="1:6">
      <c r="A1742">
        <v>52</v>
      </c>
      <c r="B1742" t="s">
        <v>1743</v>
      </c>
      <c r="C1742">
        <v>197867</v>
      </c>
      <c r="D1742" t="s">
        <v>1236</v>
      </c>
      <c r="E1742" t="s">
        <v>1383</v>
      </c>
      <c r="F1742" t="s">
        <v>1237</v>
      </c>
    </row>
    <row r="1743" spans="1:6">
      <c r="A1743">
        <v>52</v>
      </c>
      <c r="B1743" t="s">
        <v>1743</v>
      </c>
      <c r="C1743">
        <v>74846</v>
      </c>
      <c r="D1743" t="s">
        <v>1520</v>
      </c>
      <c r="E1743" t="s">
        <v>1521</v>
      </c>
      <c r="F1743" t="s">
        <v>1522</v>
      </c>
    </row>
    <row r="1744" spans="1:6">
      <c r="A1744">
        <v>52</v>
      </c>
      <c r="B1744" t="s">
        <v>1743</v>
      </c>
      <c r="C1744">
        <v>422867</v>
      </c>
      <c r="D1744" t="s">
        <v>1573</v>
      </c>
      <c r="E1744" t="s">
        <v>1574</v>
      </c>
      <c r="F1744" t="s">
        <v>1575</v>
      </c>
    </row>
    <row r="1745" spans="1:6">
      <c r="A1745">
        <v>52</v>
      </c>
      <c r="B1745" t="s">
        <v>1743</v>
      </c>
      <c r="C1745">
        <v>14000</v>
      </c>
      <c r="D1745" t="s">
        <v>1528</v>
      </c>
      <c r="E1745" t="s">
        <v>1529</v>
      </c>
      <c r="F1745" t="s">
        <v>1530</v>
      </c>
    </row>
    <row r="1746" spans="1:6">
      <c r="A1746">
        <v>52</v>
      </c>
      <c r="B1746" t="s">
        <v>1743</v>
      </c>
      <c r="C1746">
        <v>215572</v>
      </c>
      <c r="D1746" t="s">
        <v>1531</v>
      </c>
      <c r="E1746" t="s">
        <v>1532</v>
      </c>
      <c r="F1746" t="s">
        <v>1533</v>
      </c>
    </row>
    <row r="1747" spans="1:6">
      <c r="A1747">
        <v>52</v>
      </c>
      <c r="B1747" t="s">
        <v>1743</v>
      </c>
      <c r="C1747">
        <v>20800</v>
      </c>
      <c r="D1747" t="s">
        <v>1387</v>
      </c>
      <c r="E1747" t="s">
        <v>1388</v>
      </c>
      <c r="F1747" t="s">
        <v>1389</v>
      </c>
    </row>
    <row r="1748" spans="1:6">
      <c r="A1748">
        <v>52</v>
      </c>
      <c r="B1748" t="s">
        <v>1743</v>
      </c>
      <c r="C1748">
        <v>147215</v>
      </c>
      <c r="D1748" t="s">
        <v>1390</v>
      </c>
      <c r="E1748" t="s">
        <v>1391</v>
      </c>
      <c r="F1748" t="s">
        <v>1392</v>
      </c>
    </row>
    <row r="1749" spans="1:6">
      <c r="A1749">
        <v>52</v>
      </c>
      <c r="B1749" t="s">
        <v>1743</v>
      </c>
      <c r="C1749">
        <v>537.67999999999995</v>
      </c>
      <c r="D1749" t="s">
        <v>1374</v>
      </c>
      <c r="E1749" t="s">
        <v>1375</v>
      </c>
      <c r="F1749" t="s">
        <v>1376</v>
      </c>
    </row>
    <row r="1750" spans="1:6">
      <c r="A1750">
        <v>52</v>
      </c>
      <c r="B1750" t="s">
        <v>1743</v>
      </c>
      <c r="C1750">
        <v>1381.44</v>
      </c>
      <c r="D1750" t="s">
        <v>1377</v>
      </c>
      <c r="E1750" t="s">
        <v>1375</v>
      </c>
      <c r="F1750" t="s">
        <v>1378</v>
      </c>
    </row>
    <row r="1751" spans="1:6">
      <c r="A1751">
        <v>52</v>
      </c>
      <c r="B1751" t="s">
        <v>1743</v>
      </c>
      <c r="C1751">
        <v>49053.599999999999</v>
      </c>
      <c r="D1751" t="s">
        <v>1431</v>
      </c>
      <c r="E1751" t="s">
        <v>1432</v>
      </c>
      <c r="F1751" t="s">
        <v>1433</v>
      </c>
    </row>
    <row r="1752" spans="1:6">
      <c r="A1752">
        <v>52</v>
      </c>
      <c r="B1752" t="s">
        <v>1743</v>
      </c>
      <c r="C1752">
        <v>113985.79</v>
      </c>
      <c r="D1752" t="s">
        <v>1434</v>
      </c>
      <c r="E1752" t="s">
        <v>1432</v>
      </c>
      <c r="F1752" t="s">
        <v>1435</v>
      </c>
    </row>
    <row r="1753" spans="1:6">
      <c r="A1753">
        <v>52</v>
      </c>
      <c r="B1753" t="s">
        <v>1743</v>
      </c>
      <c r="C1753">
        <v>5070</v>
      </c>
      <c r="D1753" t="s">
        <v>1576</v>
      </c>
      <c r="E1753" t="s">
        <v>1577</v>
      </c>
      <c r="F1753" t="s">
        <v>1578</v>
      </c>
    </row>
    <row r="1754" spans="1:6">
      <c r="A1754">
        <v>52</v>
      </c>
      <c r="B1754" t="s">
        <v>1743</v>
      </c>
      <c r="C1754">
        <v>99038</v>
      </c>
      <c r="D1754" t="s">
        <v>1579</v>
      </c>
      <c r="E1754" t="s">
        <v>1577</v>
      </c>
      <c r="F1754" t="s">
        <v>1580</v>
      </c>
    </row>
    <row r="1755" spans="1:6">
      <c r="A1755">
        <v>52</v>
      </c>
      <c r="B1755" t="s">
        <v>1743</v>
      </c>
      <c r="C1755">
        <v>26022</v>
      </c>
      <c r="D1755" t="s">
        <v>1436</v>
      </c>
      <c r="E1755" t="s">
        <v>1437</v>
      </c>
      <c r="F1755" t="s">
        <v>1438</v>
      </c>
    </row>
    <row r="1756" spans="1:6">
      <c r="A1756">
        <v>52</v>
      </c>
      <c r="B1756" t="s">
        <v>1743</v>
      </c>
      <c r="C1756">
        <v>759</v>
      </c>
      <c r="D1756" t="s">
        <v>1581</v>
      </c>
      <c r="E1756" t="s">
        <v>1582</v>
      </c>
      <c r="F1756" t="s">
        <v>1583</v>
      </c>
    </row>
    <row r="1757" spans="1:6">
      <c r="A1757">
        <v>52</v>
      </c>
      <c r="B1757" t="s">
        <v>1743</v>
      </c>
      <c r="C1757">
        <v>1020</v>
      </c>
      <c r="D1757" t="s">
        <v>1584</v>
      </c>
      <c r="E1757" t="s">
        <v>1585</v>
      </c>
      <c r="F1757" t="s">
        <v>1586</v>
      </c>
    </row>
    <row r="1758" spans="1:6">
      <c r="A1758">
        <v>52</v>
      </c>
      <c r="B1758" t="s">
        <v>1743</v>
      </c>
      <c r="C1758">
        <v>55000</v>
      </c>
      <c r="D1758" t="s">
        <v>1587</v>
      </c>
      <c r="E1758" t="s">
        <v>1585</v>
      </c>
      <c r="F1758" t="s">
        <v>1588</v>
      </c>
    </row>
    <row r="1759" spans="1:6">
      <c r="A1759">
        <v>52</v>
      </c>
      <c r="B1759" t="s">
        <v>1743</v>
      </c>
      <c r="C1759">
        <v>4279</v>
      </c>
      <c r="D1759" t="s">
        <v>1589</v>
      </c>
      <c r="E1759" t="s">
        <v>1590</v>
      </c>
      <c r="F1759" t="s">
        <v>1591</v>
      </c>
    </row>
    <row r="1760" spans="1:6">
      <c r="A1760">
        <v>52</v>
      </c>
      <c r="B1760" t="s">
        <v>1743</v>
      </c>
      <c r="C1760">
        <v>6000</v>
      </c>
      <c r="D1760" t="s">
        <v>1592</v>
      </c>
      <c r="E1760" t="s">
        <v>1590</v>
      </c>
      <c r="F1760" t="s">
        <v>1593</v>
      </c>
    </row>
    <row r="1761" spans="1:6">
      <c r="A1761">
        <v>52</v>
      </c>
      <c r="B1761" t="s">
        <v>1743</v>
      </c>
      <c r="C1761">
        <v>3576</v>
      </c>
      <c r="D1761" t="s">
        <v>1594</v>
      </c>
      <c r="E1761" t="s">
        <v>1595</v>
      </c>
      <c r="F1761" t="s">
        <v>1596</v>
      </c>
    </row>
    <row r="1762" spans="1:6">
      <c r="A1762">
        <v>52</v>
      </c>
      <c r="B1762" t="s">
        <v>1743</v>
      </c>
      <c r="C1762">
        <v>3387</v>
      </c>
      <c r="D1762" t="s">
        <v>1597</v>
      </c>
      <c r="E1762" t="s">
        <v>1595</v>
      </c>
      <c r="F1762" t="s">
        <v>1598</v>
      </c>
    </row>
    <row r="1763" spans="1:6">
      <c r="A1763">
        <v>52</v>
      </c>
      <c r="B1763" t="s">
        <v>1743</v>
      </c>
      <c r="C1763">
        <v>41611</v>
      </c>
      <c r="D1763" t="s">
        <v>1599</v>
      </c>
      <c r="E1763" t="s">
        <v>1600</v>
      </c>
      <c r="F1763" t="s">
        <v>1601</v>
      </c>
    </row>
    <row r="1764" spans="1:6">
      <c r="A1764">
        <v>52</v>
      </c>
      <c r="B1764" t="s">
        <v>1743</v>
      </c>
      <c r="C1764">
        <v>540000</v>
      </c>
      <c r="D1764" t="s">
        <v>1602</v>
      </c>
      <c r="E1764" t="s">
        <v>1600</v>
      </c>
      <c r="F1764" t="s">
        <v>1603</v>
      </c>
    </row>
    <row r="1765" spans="1:6">
      <c r="A1765">
        <v>52</v>
      </c>
      <c r="B1765" t="s">
        <v>1743</v>
      </c>
      <c r="C1765">
        <v>7419</v>
      </c>
      <c r="D1765" t="s">
        <v>1459</v>
      </c>
      <c r="E1765" t="s">
        <v>1605</v>
      </c>
      <c r="F1765" t="s">
        <v>1460</v>
      </c>
    </row>
    <row r="1766" spans="1:6">
      <c r="A1766">
        <v>52</v>
      </c>
      <c r="B1766" t="s">
        <v>1743</v>
      </c>
      <c r="C1766">
        <v>18360</v>
      </c>
      <c r="D1766" t="s">
        <v>1604</v>
      </c>
      <c r="E1766" t="s">
        <v>1605</v>
      </c>
      <c r="F1766" t="s">
        <v>1606</v>
      </c>
    </row>
    <row r="1767" spans="1:6">
      <c r="A1767">
        <v>52</v>
      </c>
      <c r="B1767" t="s">
        <v>1743</v>
      </c>
      <c r="C1767">
        <v>29222</v>
      </c>
      <c r="D1767" t="s">
        <v>1273</v>
      </c>
      <c r="E1767" t="s">
        <v>1274</v>
      </c>
      <c r="F1767" t="s">
        <v>1275</v>
      </c>
    </row>
    <row r="1768" spans="1:6">
      <c r="A1768">
        <v>52</v>
      </c>
      <c r="B1768" t="s">
        <v>1743</v>
      </c>
      <c r="C1768">
        <v>173641.26</v>
      </c>
      <c r="D1768" t="s">
        <v>1475</v>
      </c>
      <c r="E1768" t="s">
        <v>1476</v>
      </c>
      <c r="F1768" t="s">
        <v>1477</v>
      </c>
    </row>
    <row r="1769" spans="1:6">
      <c r="A1769">
        <v>52</v>
      </c>
      <c r="B1769" t="s">
        <v>1743</v>
      </c>
      <c r="C1769">
        <v>986.87</v>
      </c>
      <c r="D1769" t="s">
        <v>1478</v>
      </c>
      <c r="E1769" t="s">
        <v>1479</v>
      </c>
      <c r="F1769" t="s">
        <v>1480</v>
      </c>
    </row>
    <row r="1770" spans="1:6">
      <c r="A1770">
        <v>52</v>
      </c>
      <c r="B1770" t="s">
        <v>1743</v>
      </c>
      <c r="C1770">
        <v>482360.62</v>
      </c>
      <c r="D1770" t="s">
        <v>1365</v>
      </c>
      <c r="E1770" t="s">
        <v>1366</v>
      </c>
      <c r="F1770" t="s">
        <v>1367</v>
      </c>
    </row>
    <row r="1771" spans="1:6">
      <c r="A1771">
        <v>52</v>
      </c>
      <c r="B1771" t="s">
        <v>1743</v>
      </c>
      <c r="C1771">
        <v>255695</v>
      </c>
      <c r="D1771" t="s">
        <v>1607</v>
      </c>
      <c r="E1771" t="s">
        <v>1608</v>
      </c>
      <c r="F1771" t="s">
        <v>1609</v>
      </c>
    </row>
    <row r="1772" spans="1:6">
      <c r="A1772">
        <v>52</v>
      </c>
      <c r="B1772" t="s">
        <v>1743</v>
      </c>
      <c r="C1772">
        <v>99690</v>
      </c>
      <c r="D1772" t="s">
        <v>1610</v>
      </c>
      <c r="E1772" t="s">
        <v>1481</v>
      </c>
      <c r="F1772" t="s">
        <v>1482</v>
      </c>
    </row>
    <row r="1773" spans="1:6">
      <c r="A1773">
        <v>53</v>
      </c>
      <c r="B1773" t="s">
        <v>1744</v>
      </c>
      <c r="C1773">
        <v>1675</v>
      </c>
      <c r="D1773" t="s">
        <v>1486</v>
      </c>
      <c r="E1773" t="s">
        <v>1487</v>
      </c>
      <c r="F1773" t="s">
        <v>1488</v>
      </c>
    </row>
    <row r="1774" spans="1:6">
      <c r="A1774">
        <v>53</v>
      </c>
      <c r="B1774" t="s">
        <v>1744</v>
      </c>
      <c r="C1774">
        <v>783</v>
      </c>
      <c r="D1774" t="s">
        <v>1489</v>
      </c>
      <c r="E1774" t="s">
        <v>1490</v>
      </c>
      <c r="F1774" t="s">
        <v>1491</v>
      </c>
    </row>
    <row r="1775" spans="1:6">
      <c r="A1775">
        <v>53</v>
      </c>
      <c r="B1775" t="s">
        <v>1744</v>
      </c>
      <c r="C1775">
        <v>40232</v>
      </c>
      <c r="D1775" t="s">
        <v>1567</v>
      </c>
      <c r="E1775" t="s">
        <v>1568</v>
      </c>
      <c r="F1775" t="s">
        <v>1569</v>
      </c>
    </row>
    <row r="1776" spans="1:6">
      <c r="A1776">
        <v>53</v>
      </c>
      <c r="B1776" t="s">
        <v>1744</v>
      </c>
      <c r="C1776">
        <v>784139</v>
      </c>
      <c r="D1776" t="s">
        <v>1570</v>
      </c>
      <c r="E1776" t="s">
        <v>1571</v>
      </c>
      <c r="F1776" t="s">
        <v>1572</v>
      </c>
    </row>
    <row r="1777" spans="1:6">
      <c r="A1777">
        <v>53</v>
      </c>
      <c r="B1777" t="s">
        <v>1744</v>
      </c>
      <c r="C1777">
        <v>118801</v>
      </c>
      <c r="D1777" t="s">
        <v>1573</v>
      </c>
      <c r="E1777" t="s">
        <v>1574</v>
      </c>
      <c r="F1777" t="s">
        <v>1575</v>
      </c>
    </row>
    <row r="1778" spans="1:6">
      <c r="A1778">
        <v>53</v>
      </c>
      <c r="B1778" t="s">
        <v>1744</v>
      </c>
      <c r="C1778">
        <v>2095.64</v>
      </c>
      <c r="D1778" t="s">
        <v>1431</v>
      </c>
      <c r="E1778" t="s">
        <v>1432</v>
      </c>
      <c r="F1778" t="s">
        <v>1433</v>
      </c>
    </row>
    <row r="1779" spans="1:6">
      <c r="A1779">
        <v>53</v>
      </c>
      <c r="B1779" t="s">
        <v>1744</v>
      </c>
      <c r="C1779">
        <v>5091.37</v>
      </c>
      <c r="D1779" t="s">
        <v>1434</v>
      </c>
      <c r="E1779" t="s">
        <v>1432</v>
      </c>
      <c r="F1779" t="s">
        <v>1435</v>
      </c>
    </row>
    <row r="1780" spans="1:6">
      <c r="A1780">
        <v>53</v>
      </c>
      <c r="B1780" t="s">
        <v>1744</v>
      </c>
      <c r="C1780">
        <v>4456</v>
      </c>
      <c r="D1780" t="s">
        <v>1587</v>
      </c>
      <c r="E1780" t="s">
        <v>1585</v>
      </c>
      <c r="F1780" t="s">
        <v>1588</v>
      </c>
    </row>
    <row r="1781" spans="1:6">
      <c r="A1781">
        <v>53</v>
      </c>
      <c r="B1781" t="s">
        <v>1744</v>
      </c>
      <c r="C1781">
        <v>477</v>
      </c>
      <c r="D1781" t="s">
        <v>1589</v>
      </c>
      <c r="E1781" t="s">
        <v>1590</v>
      </c>
      <c r="F1781" t="s">
        <v>1591</v>
      </c>
    </row>
    <row r="1782" spans="1:6">
      <c r="A1782">
        <v>53</v>
      </c>
      <c r="B1782" t="s">
        <v>1744</v>
      </c>
      <c r="C1782">
        <v>509</v>
      </c>
      <c r="D1782" t="s">
        <v>1594</v>
      </c>
      <c r="E1782" t="s">
        <v>1595</v>
      </c>
      <c r="F1782" t="s">
        <v>1596</v>
      </c>
    </row>
    <row r="1783" spans="1:6">
      <c r="A1783">
        <v>53</v>
      </c>
      <c r="B1783" t="s">
        <v>1744</v>
      </c>
      <c r="C1783">
        <v>10000</v>
      </c>
      <c r="D1783" t="s">
        <v>1599</v>
      </c>
      <c r="E1783" t="s">
        <v>1600</v>
      </c>
      <c r="F1783" t="s">
        <v>1601</v>
      </c>
    </row>
    <row r="1784" spans="1:6">
      <c r="A1784">
        <v>53</v>
      </c>
      <c r="B1784" t="s">
        <v>1744</v>
      </c>
      <c r="C1784">
        <v>14420</v>
      </c>
      <c r="D1784" t="s">
        <v>1602</v>
      </c>
      <c r="E1784" t="s">
        <v>1600</v>
      </c>
      <c r="F1784" t="s">
        <v>1603</v>
      </c>
    </row>
    <row r="1785" spans="1:6">
      <c r="A1785">
        <v>53</v>
      </c>
      <c r="B1785" t="s">
        <v>1744</v>
      </c>
      <c r="C1785">
        <v>1617</v>
      </c>
      <c r="D1785" t="s">
        <v>1604</v>
      </c>
      <c r="E1785" t="s">
        <v>1605</v>
      </c>
      <c r="F1785" t="s">
        <v>1606</v>
      </c>
    </row>
    <row r="1786" spans="1:6">
      <c r="A1786">
        <v>53</v>
      </c>
      <c r="B1786" t="s">
        <v>1744</v>
      </c>
      <c r="C1786">
        <v>3042.43</v>
      </c>
      <c r="D1786" t="s">
        <v>1276</v>
      </c>
      <c r="E1786" t="s">
        <v>1277</v>
      </c>
      <c r="F1786" t="s">
        <v>1278</v>
      </c>
    </row>
    <row r="1787" spans="1:6">
      <c r="A1787">
        <v>53</v>
      </c>
      <c r="B1787" t="s">
        <v>1744</v>
      </c>
      <c r="C1787">
        <v>28426.85</v>
      </c>
      <c r="D1787" t="s">
        <v>1475</v>
      </c>
      <c r="E1787" t="s">
        <v>1476</v>
      </c>
      <c r="F1787" t="s">
        <v>1477</v>
      </c>
    </row>
    <row r="1788" spans="1:6">
      <c r="A1788">
        <v>53</v>
      </c>
      <c r="B1788" t="s">
        <v>1744</v>
      </c>
      <c r="C1788">
        <v>139496.82999999999</v>
      </c>
      <c r="D1788" t="s">
        <v>1365</v>
      </c>
      <c r="E1788" t="s">
        <v>1366</v>
      </c>
      <c r="F1788" t="s">
        <v>1367</v>
      </c>
    </row>
    <row r="1789" spans="1:6">
      <c r="A1789">
        <v>54</v>
      </c>
      <c r="B1789" t="s">
        <v>1745</v>
      </c>
      <c r="C1789">
        <v>25000</v>
      </c>
      <c r="D1789" t="s">
        <v>1232</v>
      </c>
      <c r="E1789" t="s">
        <v>1402</v>
      </c>
      <c r="F1789" t="s">
        <v>1403</v>
      </c>
    </row>
    <row r="1790" spans="1:6">
      <c r="A1790">
        <v>54</v>
      </c>
      <c r="B1790" t="s">
        <v>1745</v>
      </c>
      <c r="C1790">
        <v>46491</v>
      </c>
      <c r="D1790" t="s">
        <v>1486</v>
      </c>
      <c r="E1790" t="s">
        <v>1487</v>
      </c>
      <c r="F1790" t="s">
        <v>1488</v>
      </c>
    </row>
    <row r="1791" spans="1:6">
      <c r="A1791">
        <v>54</v>
      </c>
      <c r="B1791" t="s">
        <v>1745</v>
      </c>
      <c r="C1791">
        <v>21745</v>
      </c>
      <c r="D1791" t="s">
        <v>1489</v>
      </c>
      <c r="E1791" t="s">
        <v>1490</v>
      </c>
      <c r="F1791" t="s">
        <v>1491</v>
      </c>
    </row>
    <row r="1792" spans="1:6">
      <c r="A1792">
        <v>54</v>
      </c>
      <c r="B1792" t="s">
        <v>1745</v>
      </c>
      <c r="C1792">
        <v>50249</v>
      </c>
      <c r="D1792" t="s">
        <v>1407</v>
      </c>
      <c r="E1792" t="s">
        <v>1408</v>
      </c>
      <c r="F1792" t="s">
        <v>1409</v>
      </c>
    </row>
    <row r="1793" spans="1:6">
      <c r="A1793">
        <v>54</v>
      </c>
      <c r="B1793" t="s">
        <v>1745</v>
      </c>
      <c r="C1793">
        <v>226780</v>
      </c>
      <c r="D1793" t="s">
        <v>1567</v>
      </c>
      <c r="E1793" t="s">
        <v>1568</v>
      </c>
      <c r="F1793" t="s">
        <v>1569</v>
      </c>
    </row>
    <row r="1794" spans="1:6">
      <c r="A1794">
        <v>54</v>
      </c>
      <c r="B1794" t="s">
        <v>1745</v>
      </c>
      <c r="C1794">
        <v>3883681</v>
      </c>
      <c r="D1794" t="s">
        <v>1570</v>
      </c>
      <c r="E1794" t="s">
        <v>1571</v>
      </c>
      <c r="F1794" t="s">
        <v>1572</v>
      </c>
    </row>
    <row r="1795" spans="1:6">
      <c r="A1795">
        <v>54</v>
      </c>
      <c r="B1795" t="s">
        <v>1745</v>
      </c>
      <c r="C1795">
        <v>88118</v>
      </c>
      <c r="D1795" t="s">
        <v>1520</v>
      </c>
      <c r="E1795" t="s">
        <v>1521</v>
      </c>
      <c r="F1795" t="s">
        <v>1522</v>
      </c>
    </row>
    <row r="1796" spans="1:6">
      <c r="A1796">
        <v>54</v>
      </c>
      <c r="B1796" t="s">
        <v>1745</v>
      </c>
      <c r="C1796">
        <v>1270951</v>
      </c>
      <c r="D1796" t="s">
        <v>1573</v>
      </c>
      <c r="E1796" t="s">
        <v>1574</v>
      </c>
      <c r="F1796" t="s">
        <v>1575</v>
      </c>
    </row>
    <row r="1797" spans="1:6">
      <c r="A1797">
        <v>54</v>
      </c>
      <c r="B1797" t="s">
        <v>1745</v>
      </c>
      <c r="C1797">
        <v>20185</v>
      </c>
      <c r="D1797" t="s">
        <v>1528</v>
      </c>
      <c r="E1797" t="s">
        <v>1529</v>
      </c>
      <c r="F1797" t="s">
        <v>1530</v>
      </c>
    </row>
    <row r="1798" spans="1:6">
      <c r="A1798">
        <v>54</v>
      </c>
      <c r="B1798" t="s">
        <v>1745</v>
      </c>
      <c r="C1798">
        <v>93731</v>
      </c>
      <c r="D1798" t="s">
        <v>1531</v>
      </c>
      <c r="E1798" t="s">
        <v>1532</v>
      </c>
      <c r="F1798" t="s">
        <v>1533</v>
      </c>
    </row>
    <row r="1799" spans="1:6">
      <c r="A1799">
        <v>54</v>
      </c>
      <c r="B1799" t="s">
        <v>1745</v>
      </c>
      <c r="C1799">
        <v>292500</v>
      </c>
      <c r="D1799" t="s">
        <v>1387</v>
      </c>
      <c r="E1799" t="s">
        <v>1388</v>
      </c>
      <c r="F1799" t="s">
        <v>1389</v>
      </c>
    </row>
    <row r="1800" spans="1:6">
      <c r="A1800">
        <v>54</v>
      </c>
      <c r="B1800" t="s">
        <v>1745</v>
      </c>
      <c r="C1800">
        <v>2305.62</v>
      </c>
      <c r="D1800" t="s">
        <v>1537</v>
      </c>
      <c r="E1800" t="s">
        <v>1538</v>
      </c>
      <c r="F1800" t="s">
        <v>1539</v>
      </c>
    </row>
    <row r="1801" spans="1:6">
      <c r="A1801">
        <v>54</v>
      </c>
      <c r="B1801" t="s">
        <v>1745</v>
      </c>
      <c r="C1801">
        <v>4852.1000000000004</v>
      </c>
      <c r="D1801" t="s">
        <v>1540</v>
      </c>
      <c r="E1801" t="s">
        <v>1538</v>
      </c>
      <c r="F1801" t="s">
        <v>1541</v>
      </c>
    </row>
    <row r="1802" spans="1:6">
      <c r="A1802">
        <v>54</v>
      </c>
      <c r="B1802" t="s">
        <v>1745</v>
      </c>
      <c r="C1802">
        <v>56706.02</v>
      </c>
      <c r="D1802" t="s">
        <v>1431</v>
      </c>
      <c r="E1802" t="s">
        <v>1432</v>
      </c>
      <c r="F1802" t="s">
        <v>1433</v>
      </c>
    </row>
    <row r="1803" spans="1:6">
      <c r="A1803">
        <v>54</v>
      </c>
      <c r="B1803" t="s">
        <v>1745</v>
      </c>
      <c r="C1803">
        <v>133374.46</v>
      </c>
      <c r="D1803" t="s">
        <v>1434</v>
      </c>
      <c r="E1803" t="s">
        <v>1432</v>
      </c>
      <c r="F1803" t="s">
        <v>1435</v>
      </c>
    </row>
    <row r="1804" spans="1:6">
      <c r="A1804">
        <v>54</v>
      </c>
      <c r="B1804" t="s">
        <v>1745</v>
      </c>
      <c r="C1804">
        <v>34889</v>
      </c>
      <c r="D1804" t="s">
        <v>1436</v>
      </c>
      <c r="E1804" t="s">
        <v>1437</v>
      </c>
      <c r="F1804" t="s">
        <v>1438</v>
      </c>
    </row>
    <row r="1805" spans="1:6">
      <c r="A1805">
        <v>54</v>
      </c>
      <c r="B1805" t="s">
        <v>1745</v>
      </c>
      <c r="C1805">
        <v>10659</v>
      </c>
      <c r="D1805" t="s">
        <v>1584</v>
      </c>
      <c r="E1805" t="s">
        <v>1585</v>
      </c>
      <c r="F1805" t="s">
        <v>1586</v>
      </c>
    </row>
    <row r="1806" spans="1:6">
      <c r="A1806">
        <v>54</v>
      </c>
      <c r="B1806" t="s">
        <v>1745</v>
      </c>
      <c r="C1806">
        <v>84375</v>
      </c>
      <c r="D1806" t="s">
        <v>1587</v>
      </c>
      <c r="E1806" t="s">
        <v>1585</v>
      </c>
      <c r="F1806" t="s">
        <v>1588</v>
      </c>
    </row>
    <row r="1807" spans="1:6">
      <c r="A1807">
        <v>54</v>
      </c>
      <c r="B1807" t="s">
        <v>1745</v>
      </c>
      <c r="C1807">
        <v>16425</v>
      </c>
      <c r="D1807" t="s">
        <v>1454</v>
      </c>
      <c r="E1807" t="s">
        <v>1455</v>
      </c>
      <c r="F1807" t="s">
        <v>1456</v>
      </c>
    </row>
    <row r="1808" spans="1:6">
      <c r="A1808">
        <v>54</v>
      </c>
      <c r="B1808" t="s">
        <v>1745</v>
      </c>
      <c r="C1808">
        <v>24788</v>
      </c>
      <c r="D1808" t="s">
        <v>1457</v>
      </c>
      <c r="E1808" t="s">
        <v>1455</v>
      </c>
      <c r="F1808" t="s">
        <v>1458</v>
      </c>
    </row>
    <row r="1809" spans="1:6">
      <c r="A1809">
        <v>54</v>
      </c>
      <c r="B1809" t="s">
        <v>1745</v>
      </c>
      <c r="C1809">
        <v>8215</v>
      </c>
      <c r="D1809" t="s">
        <v>1589</v>
      </c>
      <c r="E1809" t="s">
        <v>1590</v>
      </c>
      <c r="F1809" t="s">
        <v>1591</v>
      </c>
    </row>
    <row r="1810" spans="1:6">
      <c r="A1810">
        <v>54</v>
      </c>
      <c r="B1810" t="s">
        <v>1745</v>
      </c>
      <c r="C1810">
        <v>1586</v>
      </c>
      <c r="D1810" t="s">
        <v>1592</v>
      </c>
      <c r="E1810" t="s">
        <v>1590</v>
      </c>
      <c r="F1810" t="s">
        <v>1593</v>
      </c>
    </row>
    <row r="1811" spans="1:6">
      <c r="A1811">
        <v>54</v>
      </c>
      <c r="B1811" t="s">
        <v>1745</v>
      </c>
      <c r="C1811">
        <v>4179</v>
      </c>
      <c r="D1811" t="s">
        <v>1594</v>
      </c>
      <c r="E1811" t="s">
        <v>1595</v>
      </c>
      <c r="F1811" t="s">
        <v>1596</v>
      </c>
    </row>
    <row r="1812" spans="1:6">
      <c r="A1812">
        <v>54</v>
      </c>
      <c r="B1812" t="s">
        <v>1745</v>
      </c>
      <c r="C1812">
        <v>4595</v>
      </c>
      <c r="D1812" t="s">
        <v>1597</v>
      </c>
      <c r="E1812" t="s">
        <v>1595</v>
      </c>
      <c r="F1812" t="s">
        <v>1598</v>
      </c>
    </row>
    <row r="1813" spans="1:6">
      <c r="A1813">
        <v>54</v>
      </c>
      <c r="B1813" t="s">
        <v>1745</v>
      </c>
      <c r="C1813">
        <v>304148</v>
      </c>
      <c r="D1813" t="s">
        <v>1599</v>
      </c>
      <c r="E1813" t="s">
        <v>1600</v>
      </c>
      <c r="F1813" t="s">
        <v>1601</v>
      </c>
    </row>
    <row r="1814" spans="1:6">
      <c r="A1814">
        <v>54</v>
      </c>
      <c r="B1814" t="s">
        <v>1745</v>
      </c>
      <c r="C1814">
        <v>755075</v>
      </c>
      <c r="D1814" t="s">
        <v>1602</v>
      </c>
      <c r="E1814" t="s">
        <v>1600</v>
      </c>
      <c r="F1814" t="s">
        <v>1603</v>
      </c>
    </row>
    <row r="1815" spans="1:6">
      <c r="A1815">
        <v>54</v>
      </c>
      <c r="B1815" t="s">
        <v>1745</v>
      </c>
      <c r="C1815">
        <v>31957</v>
      </c>
      <c r="D1815" t="s">
        <v>1604</v>
      </c>
      <c r="E1815" t="s">
        <v>1605</v>
      </c>
      <c r="F1815" t="s">
        <v>1606</v>
      </c>
    </row>
    <row r="1816" spans="1:6">
      <c r="A1816">
        <v>54</v>
      </c>
      <c r="B1816" t="s">
        <v>1745</v>
      </c>
      <c r="C1816">
        <v>11140</v>
      </c>
      <c r="D1816" t="s">
        <v>1466</v>
      </c>
      <c r="E1816" t="s">
        <v>1467</v>
      </c>
      <c r="F1816" t="s">
        <v>1468</v>
      </c>
    </row>
    <row r="1817" spans="1:6">
      <c r="A1817">
        <v>54</v>
      </c>
      <c r="B1817" t="s">
        <v>1745</v>
      </c>
      <c r="C1817">
        <v>8014.79</v>
      </c>
      <c r="D1817" t="s">
        <v>1379</v>
      </c>
      <c r="E1817" t="s">
        <v>1380</v>
      </c>
      <c r="F1817" t="s">
        <v>1381</v>
      </c>
    </row>
    <row r="1818" spans="1:6">
      <c r="A1818">
        <v>54</v>
      </c>
      <c r="B1818" t="s">
        <v>1745</v>
      </c>
      <c r="C1818">
        <v>111639.47</v>
      </c>
      <c r="D1818" t="s">
        <v>1475</v>
      </c>
      <c r="E1818" t="s">
        <v>1476</v>
      </c>
      <c r="F1818" t="s">
        <v>1477</v>
      </c>
    </row>
    <row r="1819" spans="1:6">
      <c r="A1819">
        <v>54</v>
      </c>
      <c r="B1819" t="s">
        <v>1745</v>
      </c>
      <c r="C1819">
        <v>161979.98000000001</v>
      </c>
      <c r="D1819" t="s">
        <v>1478</v>
      </c>
      <c r="E1819" t="s">
        <v>1479</v>
      </c>
      <c r="F1819" t="s">
        <v>1480</v>
      </c>
    </row>
    <row r="1820" spans="1:6">
      <c r="A1820">
        <v>54</v>
      </c>
      <c r="B1820" t="s">
        <v>1745</v>
      </c>
      <c r="C1820">
        <v>601034.81999999995</v>
      </c>
      <c r="D1820" t="s">
        <v>1365</v>
      </c>
      <c r="E1820" t="s">
        <v>1366</v>
      </c>
      <c r="F1820" t="s">
        <v>1367</v>
      </c>
    </row>
    <row r="1821" spans="1:6">
      <c r="A1821">
        <v>54</v>
      </c>
      <c r="B1821" t="s">
        <v>1745</v>
      </c>
      <c r="C1821">
        <v>2964558</v>
      </c>
      <c r="D1821" t="s">
        <v>1607</v>
      </c>
      <c r="E1821" t="s">
        <v>1608</v>
      </c>
      <c r="F1821" t="s">
        <v>1609</v>
      </c>
    </row>
    <row r="1822" spans="1:6">
      <c r="A1822">
        <v>54</v>
      </c>
      <c r="B1822" t="s">
        <v>1745</v>
      </c>
      <c r="C1822">
        <v>5200704</v>
      </c>
      <c r="D1822" t="s">
        <v>1610</v>
      </c>
      <c r="E1822" t="s">
        <v>1481</v>
      </c>
      <c r="F1822" t="s">
        <v>1482</v>
      </c>
    </row>
    <row r="1823" spans="1:6">
      <c r="A1823">
        <v>55</v>
      </c>
      <c r="B1823" t="s">
        <v>1238</v>
      </c>
      <c r="C1823">
        <v>164737</v>
      </c>
      <c r="D1823" t="s">
        <v>1570</v>
      </c>
      <c r="E1823" t="s">
        <v>1571</v>
      </c>
      <c r="F1823" t="s">
        <v>1572</v>
      </c>
    </row>
    <row r="1824" spans="1:6">
      <c r="A1824">
        <v>55</v>
      </c>
      <c r="B1824" t="s">
        <v>1238</v>
      </c>
      <c r="C1824">
        <v>1775</v>
      </c>
      <c r="D1824" t="s">
        <v>1371</v>
      </c>
      <c r="E1824" t="s">
        <v>1372</v>
      </c>
      <c r="F1824" t="s">
        <v>1373</v>
      </c>
    </row>
    <row r="1825" spans="1:6">
      <c r="A1825">
        <v>56</v>
      </c>
      <c r="B1825" t="s">
        <v>1746</v>
      </c>
      <c r="C1825">
        <v>5311</v>
      </c>
      <c r="D1825" t="s">
        <v>1489</v>
      </c>
      <c r="E1825" t="s">
        <v>1490</v>
      </c>
      <c r="F1825" t="s">
        <v>1491</v>
      </c>
    </row>
    <row r="1826" spans="1:6">
      <c r="A1826">
        <v>56</v>
      </c>
      <c r="B1826" t="s">
        <v>1746</v>
      </c>
      <c r="C1826">
        <v>144089</v>
      </c>
      <c r="D1826" t="s">
        <v>1567</v>
      </c>
      <c r="E1826" t="s">
        <v>1568</v>
      </c>
      <c r="F1826" t="s">
        <v>1569</v>
      </c>
    </row>
    <row r="1827" spans="1:6">
      <c r="A1827">
        <v>56</v>
      </c>
      <c r="B1827" t="s">
        <v>1746</v>
      </c>
      <c r="C1827">
        <v>4197712</v>
      </c>
      <c r="D1827" t="s">
        <v>1570</v>
      </c>
      <c r="E1827" t="s">
        <v>1571</v>
      </c>
      <c r="F1827" t="s">
        <v>1572</v>
      </c>
    </row>
    <row r="1828" spans="1:6">
      <c r="A1828">
        <v>56</v>
      </c>
      <c r="B1828" t="s">
        <v>1746</v>
      </c>
      <c r="C1828">
        <v>128568</v>
      </c>
      <c r="D1828" t="s">
        <v>1385</v>
      </c>
      <c r="E1828" t="s">
        <v>1383</v>
      </c>
      <c r="F1828" t="s">
        <v>1386</v>
      </c>
    </row>
    <row r="1829" spans="1:6">
      <c r="A1829">
        <v>56</v>
      </c>
      <c r="B1829" t="s">
        <v>1746</v>
      </c>
      <c r="C1829">
        <v>38086</v>
      </c>
      <c r="D1829" t="s">
        <v>1520</v>
      </c>
      <c r="E1829" t="s">
        <v>1521</v>
      </c>
      <c r="F1829" t="s">
        <v>1522</v>
      </c>
    </row>
    <row r="1830" spans="1:6">
      <c r="A1830">
        <v>56</v>
      </c>
      <c r="B1830" t="s">
        <v>1746</v>
      </c>
      <c r="C1830">
        <v>110828</v>
      </c>
      <c r="D1830" t="s">
        <v>1573</v>
      </c>
      <c r="E1830" t="s">
        <v>1574</v>
      </c>
      <c r="F1830" t="s">
        <v>1575</v>
      </c>
    </row>
    <row r="1831" spans="1:6">
      <c r="A1831">
        <v>56</v>
      </c>
      <c r="B1831" t="s">
        <v>1746</v>
      </c>
      <c r="C1831">
        <v>14000</v>
      </c>
      <c r="D1831" t="s">
        <v>1528</v>
      </c>
      <c r="E1831" t="s">
        <v>1529</v>
      </c>
      <c r="F1831" t="s">
        <v>1530</v>
      </c>
    </row>
    <row r="1832" spans="1:6">
      <c r="A1832">
        <v>56</v>
      </c>
      <c r="B1832" t="s">
        <v>1746</v>
      </c>
      <c r="C1832">
        <v>120273</v>
      </c>
      <c r="D1832" t="s">
        <v>1531</v>
      </c>
      <c r="E1832" t="s">
        <v>1532</v>
      </c>
      <c r="F1832" t="s">
        <v>1533</v>
      </c>
    </row>
    <row r="1833" spans="1:6">
      <c r="A1833">
        <v>56</v>
      </c>
      <c r="B1833" t="s">
        <v>1746</v>
      </c>
      <c r="C1833">
        <v>19500</v>
      </c>
      <c r="D1833" t="s">
        <v>1387</v>
      </c>
      <c r="E1833" t="s">
        <v>1388</v>
      </c>
      <c r="F1833" t="s">
        <v>1389</v>
      </c>
    </row>
    <row r="1834" spans="1:6">
      <c r="A1834">
        <v>56</v>
      </c>
      <c r="B1834" t="s">
        <v>1746</v>
      </c>
      <c r="C1834">
        <v>11344.8</v>
      </c>
      <c r="D1834" t="s">
        <v>1431</v>
      </c>
      <c r="E1834" t="s">
        <v>1432</v>
      </c>
      <c r="F1834" t="s">
        <v>1433</v>
      </c>
    </row>
    <row r="1835" spans="1:6">
      <c r="A1835">
        <v>56</v>
      </c>
      <c r="B1835" t="s">
        <v>1746</v>
      </c>
      <c r="C1835">
        <v>37411.620000000003</v>
      </c>
      <c r="D1835" t="s">
        <v>1434</v>
      </c>
      <c r="E1835" t="s">
        <v>1432</v>
      </c>
      <c r="F1835" t="s">
        <v>1435</v>
      </c>
    </row>
    <row r="1836" spans="1:6">
      <c r="A1836">
        <v>56</v>
      </c>
      <c r="B1836" t="s">
        <v>1746</v>
      </c>
      <c r="C1836">
        <v>6000</v>
      </c>
      <c r="D1836" t="s">
        <v>1576</v>
      </c>
      <c r="E1836" t="s">
        <v>1577</v>
      </c>
      <c r="F1836" t="s">
        <v>1578</v>
      </c>
    </row>
    <row r="1837" spans="1:6">
      <c r="A1837">
        <v>56</v>
      </c>
      <c r="B1837" t="s">
        <v>1746</v>
      </c>
      <c r="C1837">
        <v>34000</v>
      </c>
      <c r="D1837" t="s">
        <v>1579</v>
      </c>
      <c r="E1837" t="s">
        <v>1577</v>
      </c>
      <c r="F1837" t="s">
        <v>1580</v>
      </c>
    </row>
    <row r="1838" spans="1:6">
      <c r="A1838">
        <v>56</v>
      </c>
      <c r="B1838" t="s">
        <v>1746</v>
      </c>
      <c r="C1838">
        <v>282</v>
      </c>
      <c r="D1838" t="s">
        <v>1581</v>
      </c>
      <c r="E1838" t="s">
        <v>1582</v>
      </c>
      <c r="F1838" t="s">
        <v>1583</v>
      </c>
    </row>
    <row r="1839" spans="1:6">
      <c r="A1839">
        <v>56</v>
      </c>
      <c r="B1839" t="s">
        <v>1746</v>
      </c>
      <c r="C1839">
        <v>7000</v>
      </c>
      <c r="D1839" t="s">
        <v>1584</v>
      </c>
      <c r="E1839" t="s">
        <v>1585</v>
      </c>
      <c r="F1839" t="s">
        <v>1586</v>
      </c>
    </row>
    <row r="1840" spans="1:6">
      <c r="A1840">
        <v>56</v>
      </c>
      <c r="B1840" t="s">
        <v>1746</v>
      </c>
      <c r="C1840">
        <v>19949</v>
      </c>
      <c r="D1840" t="s">
        <v>1587</v>
      </c>
      <c r="E1840" t="s">
        <v>1585</v>
      </c>
      <c r="F1840" t="s">
        <v>1588</v>
      </c>
    </row>
    <row r="1841" spans="1:6">
      <c r="A1841">
        <v>56</v>
      </c>
      <c r="B1841" t="s">
        <v>1746</v>
      </c>
      <c r="C1841">
        <v>4117</v>
      </c>
      <c r="D1841" t="s">
        <v>1592</v>
      </c>
      <c r="E1841" t="s">
        <v>1590</v>
      </c>
      <c r="F1841" t="s">
        <v>1593</v>
      </c>
    </row>
    <row r="1842" spans="1:6">
      <c r="A1842">
        <v>56</v>
      </c>
      <c r="B1842" t="s">
        <v>1746</v>
      </c>
      <c r="C1842">
        <v>1300</v>
      </c>
      <c r="D1842" t="s">
        <v>1597</v>
      </c>
      <c r="E1842" t="s">
        <v>1595</v>
      </c>
      <c r="F1842" t="s">
        <v>1598</v>
      </c>
    </row>
    <row r="1843" spans="1:6">
      <c r="A1843">
        <v>56</v>
      </c>
      <c r="B1843" t="s">
        <v>1746</v>
      </c>
      <c r="C1843">
        <v>43560</v>
      </c>
      <c r="D1843" t="s">
        <v>1599</v>
      </c>
      <c r="E1843" t="s">
        <v>1600</v>
      </c>
      <c r="F1843" t="s">
        <v>1601</v>
      </c>
    </row>
    <row r="1844" spans="1:6">
      <c r="A1844">
        <v>56</v>
      </c>
      <c r="B1844" t="s">
        <v>1746</v>
      </c>
      <c r="C1844">
        <v>290726</v>
      </c>
      <c r="D1844" t="s">
        <v>1602</v>
      </c>
      <c r="E1844" t="s">
        <v>1600</v>
      </c>
      <c r="F1844" t="s">
        <v>1603</v>
      </c>
    </row>
    <row r="1845" spans="1:6">
      <c r="A1845">
        <v>56</v>
      </c>
      <c r="B1845" t="s">
        <v>1746</v>
      </c>
      <c r="C1845">
        <v>11783</v>
      </c>
      <c r="D1845" t="s">
        <v>1604</v>
      </c>
      <c r="E1845" t="s">
        <v>1605</v>
      </c>
      <c r="F1845" t="s">
        <v>1606</v>
      </c>
    </row>
    <row r="1846" spans="1:6">
      <c r="A1846">
        <v>56</v>
      </c>
      <c r="B1846" t="s">
        <v>1746</v>
      </c>
      <c r="C1846">
        <v>108342.48</v>
      </c>
      <c r="D1846" t="s">
        <v>1475</v>
      </c>
      <c r="E1846" t="s">
        <v>1476</v>
      </c>
      <c r="F1846" t="s">
        <v>1477</v>
      </c>
    </row>
    <row r="1847" spans="1:6">
      <c r="A1847">
        <v>56</v>
      </c>
      <c r="B1847" t="s">
        <v>1746</v>
      </c>
      <c r="C1847">
        <v>430617.41</v>
      </c>
      <c r="D1847" t="s">
        <v>1365</v>
      </c>
      <c r="E1847" t="s">
        <v>1366</v>
      </c>
      <c r="F1847" t="s">
        <v>1367</v>
      </c>
    </row>
    <row r="1848" spans="1:6">
      <c r="A1848">
        <v>56</v>
      </c>
      <c r="B1848" t="s">
        <v>1746</v>
      </c>
      <c r="C1848">
        <v>1652621</v>
      </c>
      <c r="D1848" t="s">
        <v>1607</v>
      </c>
      <c r="E1848" t="s">
        <v>1608</v>
      </c>
      <c r="F1848" t="s">
        <v>1609</v>
      </c>
    </row>
    <row r="1849" spans="1:6">
      <c r="A1849">
        <v>56</v>
      </c>
      <c r="B1849" t="s">
        <v>1746</v>
      </c>
      <c r="C1849">
        <v>178730</v>
      </c>
      <c r="D1849" t="s">
        <v>1610</v>
      </c>
      <c r="E1849" t="s">
        <v>1481</v>
      </c>
      <c r="F1849" t="s">
        <v>1482</v>
      </c>
    </row>
    <row r="1850" spans="1:6">
      <c r="A1850">
        <v>57</v>
      </c>
      <c r="B1850" t="s">
        <v>1747</v>
      </c>
      <c r="C1850">
        <v>25999</v>
      </c>
      <c r="D1850" t="s">
        <v>1489</v>
      </c>
      <c r="E1850" t="s">
        <v>1490</v>
      </c>
      <c r="F1850" t="s">
        <v>1491</v>
      </c>
    </row>
    <row r="1851" spans="1:6">
      <c r="A1851">
        <v>57</v>
      </c>
      <c r="B1851" t="s">
        <v>1747</v>
      </c>
      <c r="C1851">
        <v>5798</v>
      </c>
      <c r="D1851" t="s">
        <v>1496</v>
      </c>
      <c r="E1851" t="s">
        <v>1497</v>
      </c>
      <c r="F1851" t="s">
        <v>1498</v>
      </c>
    </row>
    <row r="1852" spans="1:6">
      <c r="A1852">
        <v>57</v>
      </c>
      <c r="B1852" t="s">
        <v>1747</v>
      </c>
      <c r="C1852">
        <v>2063004</v>
      </c>
      <c r="D1852" t="s">
        <v>1570</v>
      </c>
      <c r="E1852" t="s">
        <v>1571</v>
      </c>
      <c r="F1852" t="s">
        <v>1572</v>
      </c>
    </row>
    <row r="1853" spans="1:6">
      <c r="A1853">
        <v>57</v>
      </c>
      <c r="B1853" t="s">
        <v>1747</v>
      </c>
      <c r="C1853">
        <v>35549</v>
      </c>
      <c r="D1853" t="s">
        <v>1327</v>
      </c>
      <c r="E1853" t="s">
        <v>1328</v>
      </c>
      <c r="F1853" t="s">
        <v>1329</v>
      </c>
    </row>
    <row r="1854" spans="1:6">
      <c r="A1854">
        <v>57</v>
      </c>
      <c r="B1854" t="s">
        <v>1747</v>
      </c>
      <c r="C1854">
        <v>3000</v>
      </c>
      <c r="D1854" t="s">
        <v>1515</v>
      </c>
      <c r="E1854" t="s">
        <v>1516</v>
      </c>
      <c r="F1854" t="s">
        <v>1517</v>
      </c>
    </row>
    <row r="1855" spans="1:6">
      <c r="A1855">
        <v>57</v>
      </c>
      <c r="B1855" t="s">
        <v>1747</v>
      </c>
      <c r="C1855">
        <v>207</v>
      </c>
      <c r="D1855" t="s">
        <v>1518</v>
      </c>
      <c r="E1855" t="s">
        <v>1516</v>
      </c>
      <c r="F1855" t="s">
        <v>1519</v>
      </c>
    </row>
    <row r="1856" spans="1:6">
      <c r="A1856">
        <v>57</v>
      </c>
      <c r="B1856" t="s">
        <v>1747</v>
      </c>
      <c r="C1856">
        <v>107594</v>
      </c>
      <c r="D1856" t="s">
        <v>1520</v>
      </c>
      <c r="E1856" t="s">
        <v>1521</v>
      </c>
      <c r="F1856" t="s">
        <v>1522</v>
      </c>
    </row>
    <row r="1857" spans="1:6">
      <c r="A1857">
        <v>57</v>
      </c>
      <c r="B1857" t="s">
        <v>1747</v>
      </c>
      <c r="C1857">
        <v>1426793</v>
      </c>
      <c r="D1857" t="s">
        <v>1573</v>
      </c>
      <c r="E1857" t="s">
        <v>1574</v>
      </c>
      <c r="F1857" t="s">
        <v>1575</v>
      </c>
    </row>
    <row r="1858" spans="1:6">
      <c r="A1858">
        <v>57</v>
      </c>
      <c r="B1858" t="s">
        <v>1747</v>
      </c>
      <c r="C1858">
        <v>33892</v>
      </c>
      <c r="D1858" t="s">
        <v>1523</v>
      </c>
      <c r="E1858" t="s">
        <v>1521</v>
      </c>
      <c r="F1858" t="s">
        <v>1524</v>
      </c>
    </row>
    <row r="1859" spans="1:6">
      <c r="A1859">
        <v>57</v>
      </c>
      <c r="B1859" t="s">
        <v>1747</v>
      </c>
      <c r="C1859">
        <v>66596</v>
      </c>
      <c r="D1859" t="s">
        <v>1371</v>
      </c>
      <c r="E1859" t="s">
        <v>1372</v>
      </c>
      <c r="F1859" t="s">
        <v>1373</v>
      </c>
    </row>
    <row r="1860" spans="1:6">
      <c r="A1860">
        <v>57</v>
      </c>
      <c r="B1860" t="s">
        <v>1747</v>
      </c>
      <c r="C1860">
        <v>39383</v>
      </c>
      <c r="D1860" t="s">
        <v>1204</v>
      </c>
      <c r="E1860" t="s">
        <v>1205</v>
      </c>
      <c r="F1860" t="s">
        <v>1206</v>
      </c>
    </row>
    <row r="1861" spans="1:6">
      <c r="A1861">
        <v>57</v>
      </c>
      <c r="B1861" t="s">
        <v>1747</v>
      </c>
      <c r="C1861">
        <v>989.91</v>
      </c>
      <c r="D1861" t="s">
        <v>1537</v>
      </c>
      <c r="E1861" t="s">
        <v>1538</v>
      </c>
      <c r="F1861" t="s">
        <v>1539</v>
      </c>
    </row>
    <row r="1862" spans="1:6">
      <c r="A1862">
        <v>57</v>
      </c>
      <c r="B1862" t="s">
        <v>1747</v>
      </c>
      <c r="C1862">
        <v>1733.58</v>
      </c>
      <c r="D1862" t="s">
        <v>1540</v>
      </c>
      <c r="E1862" t="s">
        <v>1538</v>
      </c>
      <c r="F1862" t="s">
        <v>1541</v>
      </c>
    </row>
    <row r="1863" spans="1:6">
      <c r="A1863">
        <v>57</v>
      </c>
      <c r="B1863" t="s">
        <v>1747</v>
      </c>
      <c r="C1863">
        <v>95888.94</v>
      </c>
      <c r="D1863" t="s">
        <v>1431</v>
      </c>
      <c r="E1863" t="s">
        <v>1432</v>
      </c>
      <c r="F1863" t="s">
        <v>1433</v>
      </c>
    </row>
    <row r="1864" spans="1:6">
      <c r="A1864">
        <v>57</v>
      </c>
      <c r="B1864" t="s">
        <v>1747</v>
      </c>
      <c r="C1864">
        <v>222305.96</v>
      </c>
      <c r="D1864" t="s">
        <v>1434</v>
      </c>
      <c r="E1864" t="s">
        <v>1432</v>
      </c>
      <c r="F1864" t="s">
        <v>1435</v>
      </c>
    </row>
    <row r="1865" spans="1:6">
      <c r="A1865">
        <v>57</v>
      </c>
      <c r="B1865" t="s">
        <v>1747</v>
      </c>
      <c r="C1865">
        <v>43404</v>
      </c>
      <c r="D1865" t="s">
        <v>1576</v>
      </c>
      <c r="E1865" t="s">
        <v>1577</v>
      </c>
      <c r="F1865" t="s">
        <v>1578</v>
      </c>
    </row>
    <row r="1866" spans="1:6">
      <c r="A1866">
        <v>57</v>
      </c>
      <c r="B1866" t="s">
        <v>1747</v>
      </c>
      <c r="C1866">
        <v>350000</v>
      </c>
      <c r="D1866" t="s">
        <v>1579</v>
      </c>
      <c r="E1866" t="s">
        <v>1577</v>
      </c>
      <c r="F1866" t="s">
        <v>1580</v>
      </c>
    </row>
    <row r="1867" spans="1:6">
      <c r="A1867">
        <v>57</v>
      </c>
      <c r="B1867" t="s">
        <v>1747</v>
      </c>
      <c r="C1867">
        <v>77546</v>
      </c>
      <c r="D1867" t="s">
        <v>1436</v>
      </c>
      <c r="E1867" t="s">
        <v>1437</v>
      </c>
      <c r="F1867" t="s">
        <v>1438</v>
      </c>
    </row>
    <row r="1868" spans="1:6">
      <c r="A1868">
        <v>57</v>
      </c>
      <c r="B1868" t="s">
        <v>1747</v>
      </c>
      <c r="C1868">
        <v>3938</v>
      </c>
      <c r="D1868" t="s">
        <v>1442</v>
      </c>
      <c r="E1868" t="s">
        <v>1582</v>
      </c>
      <c r="F1868" t="s">
        <v>1443</v>
      </c>
    </row>
    <row r="1869" spans="1:6">
      <c r="A1869">
        <v>57</v>
      </c>
      <c r="B1869" t="s">
        <v>1747</v>
      </c>
      <c r="C1869">
        <v>2173</v>
      </c>
      <c r="D1869" t="s">
        <v>1581</v>
      </c>
      <c r="E1869" t="s">
        <v>1582</v>
      </c>
      <c r="F1869" t="s">
        <v>1583</v>
      </c>
    </row>
    <row r="1870" spans="1:6">
      <c r="A1870">
        <v>57</v>
      </c>
      <c r="B1870" t="s">
        <v>1747</v>
      </c>
      <c r="C1870">
        <v>90397</v>
      </c>
      <c r="D1870" t="s">
        <v>1584</v>
      </c>
      <c r="E1870" t="s">
        <v>1585</v>
      </c>
      <c r="F1870" t="s">
        <v>1586</v>
      </c>
    </row>
    <row r="1871" spans="1:6">
      <c r="A1871">
        <v>57</v>
      </c>
      <c r="B1871" t="s">
        <v>1747</v>
      </c>
      <c r="C1871">
        <v>170000</v>
      </c>
      <c r="D1871" t="s">
        <v>1587</v>
      </c>
      <c r="E1871" t="s">
        <v>1585</v>
      </c>
      <c r="F1871" t="s">
        <v>1588</v>
      </c>
    </row>
    <row r="1872" spans="1:6">
      <c r="A1872">
        <v>57</v>
      </c>
      <c r="B1872" t="s">
        <v>1747</v>
      </c>
      <c r="C1872">
        <v>33964</v>
      </c>
      <c r="D1872" t="s">
        <v>1454</v>
      </c>
      <c r="E1872" t="s">
        <v>1455</v>
      </c>
      <c r="F1872" t="s">
        <v>1456</v>
      </c>
    </row>
    <row r="1873" spans="1:6">
      <c r="A1873">
        <v>57</v>
      </c>
      <c r="B1873" t="s">
        <v>1747</v>
      </c>
      <c r="C1873">
        <v>65000</v>
      </c>
      <c r="D1873" t="s">
        <v>1457</v>
      </c>
      <c r="E1873" t="s">
        <v>1455</v>
      </c>
      <c r="F1873" t="s">
        <v>1458</v>
      </c>
    </row>
    <row r="1874" spans="1:6">
      <c r="A1874">
        <v>57</v>
      </c>
      <c r="B1874" t="s">
        <v>1747</v>
      </c>
      <c r="C1874">
        <v>19022</v>
      </c>
      <c r="D1874" t="s">
        <v>1230</v>
      </c>
      <c r="E1874" t="s">
        <v>1288</v>
      </c>
      <c r="F1874" t="s">
        <v>1231</v>
      </c>
    </row>
    <row r="1875" spans="1:6">
      <c r="A1875">
        <v>57</v>
      </c>
      <c r="B1875" t="s">
        <v>1747</v>
      </c>
      <c r="C1875">
        <v>25000</v>
      </c>
      <c r="D1875" t="s">
        <v>1287</v>
      </c>
      <c r="E1875" t="s">
        <v>1288</v>
      </c>
      <c r="F1875" t="s">
        <v>1289</v>
      </c>
    </row>
    <row r="1876" spans="1:6">
      <c r="A1876">
        <v>57</v>
      </c>
      <c r="B1876" t="s">
        <v>1747</v>
      </c>
      <c r="C1876">
        <v>15491</v>
      </c>
      <c r="D1876" t="s">
        <v>1589</v>
      </c>
      <c r="E1876" t="s">
        <v>1590</v>
      </c>
      <c r="F1876" t="s">
        <v>1591</v>
      </c>
    </row>
    <row r="1877" spans="1:6">
      <c r="A1877">
        <v>57</v>
      </c>
      <c r="B1877" t="s">
        <v>1747</v>
      </c>
      <c r="C1877">
        <v>24000</v>
      </c>
      <c r="D1877" t="s">
        <v>1592</v>
      </c>
      <c r="E1877" t="s">
        <v>1590</v>
      </c>
      <c r="F1877" t="s">
        <v>1593</v>
      </c>
    </row>
    <row r="1878" spans="1:6">
      <c r="A1878">
        <v>57</v>
      </c>
      <c r="B1878" t="s">
        <v>1747</v>
      </c>
      <c r="C1878">
        <v>3540</v>
      </c>
      <c r="D1878" t="s">
        <v>1594</v>
      </c>
      <c r="E1878" t="s">
        <v>1595</v>
      </c>
      <c r="F1878" t="s">
        <v>1596</v>
      </c>
    </row>
    <row r="1879" spans="1:6">
      <c r="A1879">
        <v>57</v>
      </c>
      <c r="B1879" t="s">
        <v>1747</v>
      </c>
      <c r="C1879">
        <v>1500</v>
      </c>
      <c r="D1879" t="s">
        <v>1597</v>
      </c>
      <c r="E1879" t="s">
        <v>1595</v>
      </c>
      <c r="F1879" t="s">
        <v>1598</v>
      </c>
    </row>
    <row r="1880" spans="1:6">
      <c r="A1880">
        <v>57</v>
      </c>
      <c r="B1880" t="s">
        <v>1747</v>
      </c>
      <c r="C1880">
        <v>350701</v>
      </c>
      <c r="D1880" t="s">
        <v>1599</v>
      </c>
      <c r="E1880" t="s">
        <v>1600</v>
      </c>
      <c r="F1880" t="s">
        <v>1601</v>
      </c>
    </row>
    <row r="1881" spans="1:6">
      <c r="A1881">
        <v>57</v>
      </c>
      <c r="B1881" t="s">
        <v>1747</v>
      </c>
      <c r="C1881">
        <v>1400000</v>
      </c>
      <c r="D1881" t="s">
        <v>1602</v>
      </c>
      <c r="E1881" t="s">
        <v>1600</v>
      </c>
      <c r="F1881" t="s">
        <v>1603</v>
      </c>
    </row>
    <row r="1882" spans="1:6">
      <c r="A1882">
        <v>57</v>
      </c>
      <c r="B1882" t="s">
        <v>1747</v>
      </c>
      <c r="C1882">
        <v>45000</v>
      </c>
      <c r="D1882" t="s">
        <v>1604</v>
      </c>
      <c r="E1882" t="s">
        <v>1605</v>
      </c>
      <c r="F1882" t="s">
        <v>1606</v>
      </c>
    </row>
    <row r="1883" spans="1:6">
      <c r="A1883">
        <v>57</v>
      </c>
      <c r="B1883" t="s">
        <v>1747</v>
      </c>
      <c r="C1883">
        <v>13750</v>
      </c>
      <c r="D1883" t="s">
        <v>1466</v>
      </c>
      <c r="E1883" t="s">
        <v>1467</v>
      </c>
      <c r="F1883" t="s">
        <v>1468</v>
      </c>
    </row>
    <row r="1884" spans="1:6">
      <c r="A1884">
        <v>57</v>
      </c>
      <c r="B1884" t="s">
        <v>1747</v>
      </c>
      <c r="C1884">
        <v>450308</v>
      </c>
      <c r="D1884" t="s">
        <v>1607</v>
      </c>
      <c r="E1884" t="s">
        <v>1608</v>
      </c>
      <c r="F1884" t="s">
        <v>1609</v>
      </c>
    </row>
    <row r="1885" spans="1:6">
      <c r="A1885">
        <v>57</v>
      </c>
      <c r="B1885" t="s">
        <v>1747</v>
      </c>
      <c r="C1885">
        <v>1715237</v>
      </c>
      <c r="D1885" t="s">
        <v>1610</v>
      </c>
      <c r="E1885" t="s">
        <v>1481</v>
      </c>
      <c r="F1885" t="s">
        <v>1482</v>
      </c>
    </row>
    <row r="1886" spans="1:6">
      <c r="A1886">
        <v>58</v>
      </c>
      <c r="B1886" t="s">
        <v>1748</v>
      </c>
      <c r="C1886">
        <v>17900</v>
      </c>
      <c r="D1886" t="s">
        <v>1483</v>
      </c>
      <c r="E1886" t="s">
        <v>1484</v>
      </c>
      <c r="F1886" t="s">
        <v>1485</v>
      </c>
    </row>
    <row r="1887" spans="1:6">
      <c r="A1887">
        <v>58</v>
      </c>
      <c r="B1887" t="s">
        <v>1748</v>
      </c>
      <c r="C1887">
        <v>8333</v>
      </c>
      <c r="D1887" t="s">
        <v>1489</v>
      </c>
      <c r="E1887" t="s">
        <v>1490</v>
      </c>
      <c r="F1887" t="s">
        <v>1491</v>
      </c>
    </row>
    <row r="1888" spans="1:6">
      <c r="A1888">
        <v>58</v>
      </c>
      <c r="B1888" t="s">
        <v>1748</v>
      </c>
      <c r="C1888">
        <v>363266</v>
      </c>
      <c r="D1888" t="s">
        <v>1567</v>
      </c>
      <c r="E1888" t="s">
        <v>1568</v>
      </c>
      <c r="F1888" t="s">
        <v>1569</v>
      </c>
    </row>
    <row r="1889" spans="1:6">
      <c r="A1889">
        <v>58</v>
      </c>
      <c r="B1889" t="s">
        <v>1748</v>
      </c>
      <c r="C1889">
        <v>18734</v>
      </c>
      <c r="D1889" t="s">
        <v>1496</v>
      </c>
      <c r="E1889" t="s">
        <v>1497</v>
      </c>
      <c r="F1889" t="s">
        <v>1498</v>
      </c>
    </row>
    <row r="1890" spans="1:6">
      <c r="A1890">
        <v>58</v>
      </c>
      <c r="B1890" t="s">
        <v>1748</v>
      </c>
      <c r="C1890">
        <v>9517549</v>
      </c>
      <c r="D1890" t="s">
        <v>1570</v>
      </c>
      <c r="E1890" t="s">
        <v>1571</v>
      </c>
      <c r="F1890" t="s">
        <v>1572</v>
      </c>
    </row>
    <row r="1891" spans="1:6">
      <c r="A1891">
        <v>58</v>
      </c>
      <c r="B1891" t="s">
        <v>1748</v>
      </c>
      <c r="C1891">
        <v>16381</v>
      </c>
      <c r="D1891" t="s">
        <v>1330</v>
      </c>
      <c r="E1891" t="s">
        <v>1331</v>
      </c>
      <c r="F1891" t="s">
        <v>1332</v>
      </c>
    </row>
    <row r="1892" spans="1:6">
      <c r="A1892">
        <v>58</v>
      </c>
      <c r="B1892" t="s">
        <v>1748</v>
      </c>
      <c r="C1892">
        <v>198641</v>
      </c>
      <c r="D1892" t="s">
        <v>1520</v>
      </c>
      <c r="E1892" t="s">
        <v>1521</v>
      </c>
      <c r="F1892" t="s">
        <v>1522</v>
      </c>
    </row>
    <row r="1893" spans="1:6">
      <c r="A1893">
        <v>58</v>
      </c>
      <c r="B1893" t="s">
        <v>1748</v>
      </c>
      <c r="C1893">
        <v>78942</v>
      </c>
      <c r="D1893" t="s">
        <v>1573</v>
      </c>
      <c r="E1893" t="s">
        <v>1574</v>
      </c>
      <c r="F1893" t="s">
        <v>1575</v>
      </c>
    </row>
    <row r="1894" spans="1:6">
      <c r="A1894">
        <v>58</v>
      </c>
      <c r="B1894" t="s">
        <v>1748</v>
      </c>
      <c r="C1894">
        <v>11837</v>
      </c>
      <c r="D1894" t="s">
        <v>1371</v>
      </c>
      <c r="E1894" t="s">
        <v>1372</v>
      </c>
      <c r="F1894" t="s">
        <v>1373</v>
      </c>
    </row>
    <row r="1895" spans="1:6">
      <c r="A1895">
        <v>58</v>
      </c>
      <c r="B1895" t="s">
        <v>1748</v>
      </c>
      <c r="C1895">
        <v>7838</v>
      </c>
      <c r="D1895" t="s">
        <v>1525</v>
      </c>
      <c r="E1895" t="s">
        <v>1526</v>
      </c>
      <c r="F1895" t="s">
        <v>1527</v>
      </c>
    </row>
    <row r="1896" spans="1:6">
      <c r="A1896">
        <v>58</v>
      </c>
      <c r="B1896" t="s">
        <v>1748</v>
      </c>
      <c r="C1896">
        <v>14000</v>
      </c>
      <c r="D1896" t="s">
        <v>1528</v>
      </c>
      <c r="E1896" t="s">
        <v>1529</v>
      </c>
      <c r="F1896" t="s">
        <v>1530</v>
      </c>
    </row>
    <row r="1897" spans="1:6">
      <c r="A1897">
        <v>58</v>
      </c>
      <c r="B1897" t="s">
        <v>1748</v>
      </c>
      <c r="C1897">
        <v>126525</v>
      </c>
      <c r="D1897" t="s">
        <v>1390</v>
      </c>
      <c r="E1897" t="s">
        <v>1391</v>
      </c>
      <c r="F1897" t="s">
        <v>1392</v>
      </c>
    </row>
    <row r="1898" spans="1:6">
      <c r="A1898">
        <v>58</v>
      </c>
      <c r="B1898" t="s">
        <v>1748</v>
      </c>
      <c r="C1898">
        <v>719.42</v>
      </c>
      <c r="D1898" t="s">
        <v>1374</v>
      </c>
      <c r="E1898" t="s">
        <v>1375</v>
      </c>
      <c r="F1898" t="s">
        <v>1376</v>
      </c>
    </row>
    <row r="1899" spans="1:6">
      <c r="A1899">
        <v>58</v>
      </c>
      <c r="B1899" t="s">
        <v>1748</v>
      </c>
      <c r="C1899">
        <v>1437.03</v>
      </c>
      <c r="D1899" t="s">
        <v>1377</v>
      </c>
      <c r="E1899" t="s">
        <v>1375</v>
      </c>
      <c r="F1899" t="s">
        <v>1378</v>
      </c>
    </row>
    <row r="1900" spans="1:6">
      <c r="A1900">
        <v>58</v>
      </c>
      <c r="B1900" t="s">
        <v>1748</v>
      </c>
      <c r="C1900">
        <v>6813.98</v>
      </c>
      <c r="D1900" t="s">
        <v>1537</v>
      </c>
      <c r="E1900" t="s">
        <v>1538</v>
      </c>
      <c r="F1900" t="s">
        <v>1539</v>
      </c>
    </row>
    <row r="1901" spans="1:6">
      <c r="A1901">
        <v>58</v>
      </c>
      <c r="B1901" t="s">
        <v>1748</v>
      </c>
      <c r="C1901">
        <v>18051.79</v>
      </c>
      <c r="D1901" t="s">
        <v>1540</v>
      </c>
      <c r="E1901" t="s">
        <v>1538</v>
      </c>
      <c r="F1901" t="s">
        <v>1541</v>
      </c>
    </row>
    <row r="1902" spans="1:6">
      <c r="A1902">
        <v>58</v>
      </c>
      <c r="B1902" t="s">
        <v>1748</v>
      </c>
      <c r="C1902">
        <v>47875.33</v>
      </c>
      <c r="D1902" t="s">
        <v>1431</v>
      </c>
      <c r="E1902" t="s">
        <v>1432</v>
      </c>
      <c r="F1902" t="s">
        <v>1433</v>
      </c>
    </row>
    <row r="1903" spans="1:6">
      <c r="A1903">
        <v>58</v>
      </c>
      <c r="B1903" t="s">
        <v>1748</v>
      </c>
      <c r="C1903">
        <v>114857.88</v>
      </c>
      <c r="D1903" t="s">
        <v>1434</v>
      </c>
      <c r="E1903" t="s">
        <v>1432</v>
      </c>
      <c r="F1903" t="s">
        <v>1435</v>
      </c>
    </row>
    <row r="1904" spans="1:6">
      <c r="A1904">
        <v>58</v>
      </c>
      <c r="B1904" t="s">
        <v>1748</v>
      </c>
      <c r="C1904">
        <v>96899</v>
      </c>
      <c r="D1904" t="s">
        <v>1576</v>
      </c>
      <c r="E1904" t="s">
        <v>1577</v>
      </c>
      <c r="F1904" t="s">
        <v>1578</v>
      </c>
    </row>
    <row r="1905" spans="1:6">
      <c r="A1905">
        <v>58</v>
      </c>
      <c r="B1905" t="s">
        <v>1748</v>
      </c>
      <c r="C1905">
        <v>200803</v>
      </c>
      <c r="D1905" t="s">
        <v>1579</v>
      </c>
      <c r="E1905" t="s">
        <v>1577</v>
      </c>
      <c r="F1905" t="s">
        <v>1580</v>
      </c>
    </row>
    <row r="1906" spans="1:6">
      <c r="A1906">
        <v>58</v>
      </c>
      <c r="B1906" t="s">
        <v>1748</v>
      </c>
      <c r="C1906">
        <v>22471</v>
      </c>
      <c r="D1906" t="s">
        <v>1436</v>
      </c>
      <c r="E1906" t="s">
        <v>1437</v>
      </c>
      <c r="F1906" t="s">
        <v>1438</v>
      </c>
    </row>
    <row r="1907" spans="1:6">
      <c r="A1907">
        <v>58</v>
      </c>
      <c r="B1907" t="s">
        <v>1748</v>
      </c>
      <c r="C1907">
        <v>3504</v>
      </c>
      <c r="D1907" t="s">
        <v>1442</v>
      </c>
      <c r="E1907" t="s">
        <v>1582</v>
      </c>
      <c r="F1907" t="s">
        <v>1443</v>
      </c>
    </row>
    <row r="1908" spans="1:6">
      <c r="A1908">
        <v>58</v>
      </c>
      <c r="B1908" t="s">
        <v>1748</v>
      </c>
      <c r="C1908">
        <v>408</v>
      </c>
      <c r="D1908" t="s">
        <v>1581</v>
      </c>
      <c r="E1908" t="s">
        <v>1582</v>
      </c>
      <c r="F1908" t="s">
        <v>1583</v>
      </c>
    </row>
    <row r="1909" spans="1:6">
      <c r="A1909">
        <v>58</v>
      </c>
      <c r="B1909" t="s">
        <v>1748</v>
      </c>
      <c r="C1909">
        <v>20243</v>
      </c>
      <c r="D1909" t="s">
        <v>1584</v>
      </c>
      <c r="E1909" t="s">
        <v>1585</v>
      </c>
      <c r="F1909" t="s">
        <v>1586</v>
      </c>
    </row>
    <row r="1910" spans="1:6">
      <c r="A1910">
        <v>58</v>
      </c>
      <c r="B1910" t="s">
        <v>1748</v>
      </c>
      <c r="C1910">
        <v>63698</v>
      </c>
      <c r="D1910" t="s">
        <v>1587</v>
      </c>
      <c r="E1910" t="s">
        <v>1585</v>
      </c>
      <c r="F1910" t="s">
        <v>1588</v>
      </c>
    </row>
    <row r="1911" spans="1:6">
      <c r="A1911">
        <v>58</v>
      </c>
      <c r="B1911" t="s">
        <v>1748</v>
      </c>
      <c r="C1911">
        <v>5900</v>
      </c>
      <c r="D1911" t="s">
        <v>1589</v>
      </c>
      <c r="E1911" t="s">
        <v>1590</v>
      </c>
      <c r="F1911" t="s">
        <v>1591</v>
      </c>
    </row>
    <row r="1912" spans="1:6">
      <c r="A1912">
        <v>58</v>
      </c>
      <c r="B1912" t="s">
        <v>1748</v>
      </c>
      <c r="C1912">
        <v>8031</v>
      </c>
      <c r="D1912" t="s">
        <v>1592</v>
      </c>
      <c r="E1912" t="s">
        <v>1590</v>
      </c>
      <c r="F1912" t="s">
        <v>1593</v>
      </c>
    </row>
    <row r="1913" spans="1:6">
      <c r="A1913">
        <v>58</v>
      </c>
      <c r="B1913" t="s">
        <v>1748</v>
      </c>
      <c r="C1913">
        <v>2500</v>
      </c>
      <c r="D1913" t="s">
        <v>1597</v>
      </c>
      <c r="E1913" t="s">
        <v>1595</v>
      </c>
      <c r="F1913" t="s">
        <v>1598</v>
      </c>
    </row>
    <row r="1914" spans="1:6">
      <c r="A1914">
        <v>58</v>
      </c>
      <c r="B1914" t="s">
        <v>1748</v>
      </c>
      <c r="C1914">
        <v>67893</v>
      </c>
      <c r="D1914" t="s">
        <v>1599</v>
      </c>
      <c r="E1914" t="s">
        <v>1600</v>
      </c>
      <c r="F1914" t="s">
        <v>1601</v>
      </c>
    </row>
    <row r="1915" spans="1:6">
      <c r="A1915">
        <v>58</v>
      </c>
      <c r="B1915" t="s">
        <v>1748</v>
      </c>
      <c r="C1915">
        <v>105700</v>
      </c>
      <c r="D1915" t="s">
        <v>1602</v>
      </c>
      <c r="E1915" t="s">
        <v>1600</v>
      </c>
      <c r="F1915" t="s">
        <v>1603</v>
      </c>
    </row>
    <row r="1916" spans="1:6">
      <c r="A1916">
        <v>58</v>
      </c>
      <c r="B1916" t="s">
        <v>1748</v>
      </c>
      <c r="C1916">
        <v>9859</v>
      </c>
      <c r="D1916" t="s">
        <v>1459</v>
      </c>
      <c r="E1916" t="s">
        <v>1605</v>
      </c>
      <c r="F1916" t="s">
        <v>1460</v>
      </c>
    </row>
    <row r="1917" spans="1:6">
      <c r="A1917">
        <v>58</v>
      </c>
      <c r="B1917" t="s">
        <v>1748</v>
      </c>
      <c r="C1917">
        <v>4046</v>
      </c>
      <c r="D1917" t="s">
        <v>1604</v>
      </c>
      <c r="E1917" t="s">
        <v>1605</v>
      </c>
      <c r="F1917" t="s">
        <v>1606</v>
      </c>
    </row>
    <row r="1918" spans="1:6">
      <c r="A1918">
        <v>58</v>
      </c>
      <c r="B1918" t="s">
        <v>1748</v>
      </c>
      <c r="C1918">
        <v>9750</v>
      </c>
      <c r="D1918" t="s">
        <v>1466</v>
      </c>
      <c r="E1918" t="s">
        <v>1467</v>
      </c>
      <c r="F1918" t="s">
        <v>1468</v>
      </c>
    </row>
    <row r="1919" spans="1:6">
      <c r="A1919">
        <v>58</v>
      </c>
      <c r="B1919" t="s">
        <v>1748</v>
      </c>
      <c r="C1919">
        <v>31086</v>
      </c>
      <c r="D1919" t="s">
        <v>1273</v>
      </c>
      <c r="E1919" t="s">
        <v>1274</v>
      </c>
      <c r="F1919" t="s">
        <v>1275</v>
      </c>
    </row>
    <row r="1920" spans="1:6">
      <c r="A1920">
        <v>58</v>
      </c>
      <c r="B1920" t="s">
        <v>1748</v>
      </c>
      <c r="C1920">
        <v>2100</v>
      </c>
      <c r="D1920" t="s">
        <v>1472</v>
      </c>
      <c r="E1920" t="s">
        <v>1473</v>
      </c>
      <c r="F1920" t="s">
        <v>1474</v>
      </c>
    </row>
    <row r="1921" spans="1:6">
      <c r="A1921">
        <v>58</v>
      </c>
      <c r="B1921" t="s">
        <v>1748</v>
      </c>
      <c r="C1921">
        <v>177120.68</v>
      </c>
      <c r="D1921" t="s">
        <v>1475</v>
      </c>
      <c r="E1921" t="s">
        <v>1476</v>
      </c>
      <c r="F1921" t="s">
        <v>1477</v>
      </c>
    </row>
    <row r="1922" spans="1:6">
      <c r="A1922">
        <v>58</v>
      </c>
      <c r="B1922" t="s">
        <v>1748</v>
      </c>
      <c r="C1922">
        <v>1089130.1599999999</v>
      </c>
      <c r="D1922" t="s">
        <v>1365</v>
      </c>
      <c r="E1922" t="s">
        <v>1366</v>
      </c>
      <c r="F1922" t="s">
        <v>1367</v>
      </c>
    </row>
    <row r="1923" spans="1:6">
      <c r="A1923">
        <v>59</v>
      </c>
      <c r="B1923" t="s">
        <v>1749</v>
      </c>
      <c r="C1923">
        <v>45313</v>
      </c>
      <c r="D1923" t="s">
        <v>1486</v>
      </c>
      <c r="E1923" t="s">
        <v>1487</v>
      </c>
      <c r="F1923" t="s">
        <v>1488</v>
      </c>
    </row>
    <row r="1924" spans="1:6">
      <c r="A1924">
        <v>59</v>
      </c>
      <c r="B1924" t="s">
        <v>1749</v>
      </c>
      <c r="C1924">
        <v>21194</v>
      </c>
      <c r="D1924" t="s">
        <v>1489</v>
      </c>
      <c r="E1924" t="s">
        <v>1490</v>
      </c>
      <c r="F1924" t="s">
        <v>1491</v>
      </c>
    </row>
    <row r="1925" spans="1:6">
      <c r="A1925">
        <v>59</v>
      </c>
      <c r="B1925" t="s">
        <v>1749</v>
      </c>
      <c r="C1925">
        <v>102250</v>
      </c>
      <c r="D1925" t="s">
        <v>1404</v>
      </c>
      <c r="E1925" t="s">
        <v>1405</v>
      </c>
      <c r="F1925" t="s">
        <v>1406</v>
      </c>
    </row>
    <row r="1926" spans="1:6">
      <c r="A1926">
        <v>59</v>
      </c>
      <c r="B1926" t="s">
        <v>1749</v>
      </c>
      <c r="C1926">
        <v>487044</v>
      </c>
      <c r="D1926" t="s">
        <v>1567</v>
      </c>
      <c r="E1926" t="s">
        <v>1568</v>
      </c>
      <c r="F1926" t="s">
        <v>1569</v>
      </c>
    </row>
    <row r="1927" spans="1:6">
      <c r="A1927">
        <v>59</v>
      </c>
      <c r="B1927" t="s">
        <v>1749</v>
      </c>
      <c r="C1927">
        <v>26956</v>
      </c>
      <c r="D1927" t="s">
        <v>1496</v>
      </c>
      <c r="E1927" t="s">
        <v>1497</v>
      </c>
      <c r="F1927" t="s">
        <v>1498</v>
      </c>
    </row>
    <row r="1928" spans="1:6">
      <c r="A1928">
        <v>59</v>
      </c>
      <c r="B1928" t="s">
        <v>1749</v>
      </c>
      <c r="C1928">
        <v>23258804</v>
      </c>
      <c r="D1928" t="s">
        <v>1570</v>
      </c>
      <c r="E1928" t="s">
        <v>1571</v>
      </c>
      <c r="F1928" t="s">
        <v>1572</v>
      </c>
    </row>
    <row r="1929" spans="1:6">
      <c r="A1929">
        <v>59</v>
      </c>
      <c r="B1929" t="s">
        <v>1749</v>
      </c>
      <c r="C1929">
        <v>12000</v>
      </c>
      <c r="D1929" t="s">
        <v>1515</v>
      </c>
      <c r="E1929" t="s">
        <v>1516</v>
      </c>
      <c r="F1929" t="s">
        <v>1517</v>
      </c>
    </row>
    <row r="1930" spans="1:6">
      <c r="A1930">
        <v>59</v>
      </c>
      <c r="B1930" t="s">
        <v>1749</v>
      </c>
      <c r="C1930">
        <v>1858</v>
      </c>
      <c r="D1930" t="s">
        <v>1518</v>
      </c>
      <c r="E1930" t="s">
        <v>1516</v>
      </c>
      <c r="F1930" t="s">
        <v>1519</v>
      </c>
    </row>
    <row r="1931" spans="1:6">
      <c r="A1931">
        <v>59</v>
      </c>
      <c r="B1931" t="s">
        <v>1749</v>
      </c>
      <c r="C1931">
        <v>486215</v>
      </c>
      <c r="D1931" t="s">
        <v>1520</v>
      </c>
      <c r="E1931" t="s">
        <v>1521</v>
      </c>
      <c r="F1931" t="s">
        <v>1522</v>
      </c>
    </row>
    <row r="1932" spans="1:6">
      <c r="A1932">
        <v>59</v>
      </c>
      <c r="B1932" t="s">
        <v>1749</v>
      </c>
      <c r="C1932">
        <v>652009</v>
      </c>
      <c r="D1932" t="s">
        <v>1573</v>
      </c>
      <c r="E1932" t="s">
        <v>1574</v>
      </c>
      <c r="F1932" t="s">
        <v>1575</v>
      </c>
    </row>
    <row r="1933" spans="1:6">
      <c r="A1933">
        <v>59</v>
      </c>
      <c r="B1933" t="s">
        <v>1749</v>
      </c>
      <c r="C1933">
        <v>51687</v>
      </c>
      <c r="D1933" t="s">
        <v>1523</v>
      </c>
      <c r="E1933" t="s">
        <v>1521</v>
      </c>
      <c r="F1933" t="s">
        <v>1524</v>
      </c>
    </row>
    <row r="1934" spans="1:6">
      <c r="A1934">
        <v>59</v>
      </c>
      <c r="B1934" t="s">
        <v>1749</v>
      </c>
      <c r="C1934">
        <v>65961</v>
      </c>
      <c r="D1934" t="s">
        <v>1371</v>
      </c>
      <c r="E1934" t="s">
        <v>1372</v>
      </c>
      <c r="F1934" t="s">
        <v>1373</v>
      </c>
    </row>
    <row r="1935" spans="1:6">
      <c r="A1935">
        <v>59</v>
      </c>
      <c r="B1935" t="s">
        <v>1749</v>
      </c>
      <c r="C1935">
        <v>41738</v>
      </c>
      <c r="D1935" t="s">
        <v>1525</v>
      </c>
      <c r="E1935" t="s">
        <v>1526</v>
      </c>
      <c r="F1935" t="s">
        <v>1527</v>
      </c>
    </row>
    <row r="1936" spans="1:6">
      <c r="A1936">
        <v>59</v>
      </c>
      <c r="B1936" t="s">
        <v>1749</v>
      </c>
      <c r="C1936">
        <v>31417</v>
      </c>
      <c r="D1936" t="s">
        <v>1528</v>
      </c>
      <c r="E1936" t="s">
        <v>1529</v>
      </c>
      <c r="F1936" t="s">
        <v>1530</v>
      </c>
    </row>
    <row r="1937" spans="1:6">
      <c r="A1937">
        <v>59</v>
      </c>
      <c r="B1937" t="s">
        <v>1749</v>
      </c>
      <c r="C1937">
        <v>6000</v>
      </c>
      <c r="D1937" t="s">
        <v>1531</v>
      </c>
      <c r="E1937" t="s">
        <v>1532</v>
      </c>
      <c r="F1937" t="s">
        <v>1533</v>
      </c>
    </row>
    <row r="1938" spans="1:6">
      <c r="A1938">
        <v>59</v>
      </c>
      <c r="B1938" t="s">
        <v>1749</v>
      </c>
      <c r="C1938">
        <v>57901</v>
      </c>
      <c r="D1938" t="s">
        <v>1204</v>
      </c>
      <c r="E1938" t="s">
        <v>1205</v>
      </c>
      <c r="F1938" t="s">
        <v>1206</v>
      </c>
    </row>
    <row r="1939" spans="1:6">
      <c r="A1939">
        <v>59</v>
      </c>
      <c r="B1939" t="s">
        <v>1749</v>
      </c>
      <c r="C1939">
        <v>99533</v>
      </c>
      <c r="D1939" t="s">
        <v>1387</v>
      </c>
      <c r="E1939" t="s">
        <v>1388</v>
      </c>
      <c r="F1939" t="s">
        <v>1389</v>
      </c>
    </row>
    <row r="1940" spans="1:6">
      <c r="A1940">
        <v>59</v>
      </c>
      <c r="B1940" t="s">
        <v>1749</v>
      </c>
      <c r="C1940">
        <v>116322</v>
      </c>
      <c r="D1940" t="s">
        <v>1390</v>
      </c>
      <c r="E1940" t="s">
        <v>1391</v>
      </c>
      <c r="F1940" t="s">
        <v>1392</v>
      </c>
    </row>
    <row r="1941" spans="1:6">
      <c r="A1941">
        <v>59</v>
      </c>
      <c r="B1941" t="s">
        <v>1749</v>
      </c>
      <c r="C1941">
        <v>1205.67</v>
      </c>
      <c r="D1941" t="s">
        <v>1374</v>
      </c>
      <c r="E1941" t="s">
        <v>1375</v>
      </c>
      <c r="F1941" t="s">
        <v>1376</v>
      </c>
    </row>
    <row r="1942" spans="1:6">
      <c r="A1942">
        <v>59</v>
      </c>
      <c r="B1942" t="s">
        <v>1749</v>
      </c>
      <c r="C1942">
        <v>3920.83</v>
      </c>
      <c r="D1942" t="s">
        <v>1377</v>
      </c>
      <c r="E1942" t="s">
        <v>1375</v>
      </c>
      <c r="F1942" t="s">
        <v>1378</v>
      </c>
    </row>
    <row r="1943" spans="1:6">
      <c r="A1943">
        <v>59</v>
      </c>
      <c r="B1943" t="s">
        <v>1749</v>
      </c>
      <c r="C1943">
        <v>11085.64</v>
      </c>
      <c r="D1943" t="s">
        <v>1537</v>
      </c>
      <c r="E1943" t="s">
        <v>1538</v>
      </c>
      <c r="F1943" t="s">
        <v>1539</v>
      </c>
    </row>
    <row r="1944" spans="1:6">
      <c r="A1944">
        <v>59</v>
      </c>
      <c r="B1944" t="s">
        <v>1749</v>
      </c>
      <c r="C1944">
        <v>35460.06</v>
      </c>
      <c r="D1944" t="s">
        <v>1540</v>
      </c>
      <c r="E1944" t="s">
        <v>1538</v>
      </c>
      <c r="F1944" t="s">
        <v>1541</v>
      </c>
    </row>
    <row r="1945" spans="1:6">
      <c r="A1945">
        <v>59</v>
      </c>
      <c r="B1945" t="s">
        <v>1749</v>
      </c>
      <c r="C1945">
        <v>58</v>
      </c>
      <c r="D1945" t="s">
        <v>1239</v>
      </c>
      <c r="E1945" t="s">
        <v>1240</v>
      </c>
      <c r="F1945" t="s">
        <v>1241</v>
      </c>
    </row>
    <row r="1946" spans="1:6">
      <c r="A1946">
        <v>59</v>
      </c>
      <c r="B1946" t="s">
        <v>1749</v>
      </c>
      <c r="C1946">
        <v>188</v>
      </c>
      <c r="D1946" t="s">
        <v>1242</v>
      </c>
      <c r="E1946" t="s">
        <v>1240</v>
      </c>
      <c r="F1946" t="s">
        <v>1243</v>
      </c>
    </row>
    <row r="1947" spans="1:6">
      <c r="A1947">
        <v>59</v>
      </c>
      <c r="B1947" t="s">
        <v>1749</v>
      </c>
      <c r="C1947">
        <v>331</v>
      </c>
      <c r="D1947" t="s">
        <v>1244</v>
      </c>
      <c r="E1947" t="s">
        <v>1240</v>
      </c>
      <c r="F1947" t="s">
        <v>1243</v>
      </c>
    </row>
    <row r="1948" spans="1:6">
      <c r="A1948">
        <v>59</v>
      </c>
      <c r="B1948" t="s">
        <v>1749</v>
      </c>
      <c r="C1948">
        <v>12045</v>
      </c>
      <c r="D1948" t="s">
        <v>1220</v>
      </c>
      <c r="E1948" t="s">
        <v>1221</v>
      </c>
      <c r="F1948" t="s">
        <v>1222</v>
      </c>
    </row>
    <row r="1949" spans="1:6">
      <c r="A1949">
        <v>59</v>
      </c>
      <c r="B1949" t="s">
        <v>1749</v>
      </c>
      <c r="C1949">
        <v>14609</v>
      </c>
      <c r="D1949" t="s">
        <v>1223</v>
      </c>
      <c r="E1949" t="s">
        <v>1221</v>
      </c>
      <c r="F1949" t="s">
        <v>1224</v>
      </c>
    </row>
    <row r="1950" spans="1:6">
      <c r="A1950">
        <v>59</v>
      </c>
      <c r="B1950" t="s">
        <v>1749</v>
      </c>
      <c r="C1950">
        <v>24025</v>
      </c>
      <c r="D1950" t="s">
        <v>1542</v>
      </c>
      <c r="E1950" t="s">
        <v>1424</v>
      </c>
      <c r="F1950" t="s">
        <v>1425</v>
      </c>
    </row>
    <row r="1951" spans="1:6">
      <c r="A1951">
        <v>59</v>
      </c>
      <c r="B1951" t="s">
        <v>1749</v>
      </c>
      <c r="C1951">
        <v>1115</v>
      </c>
      <c r="D1951" t="s">
        <v>1245</v>
      </c>
      <c r="E1951" t="s">
        <v>1424</v>
      </c>
      <c r="F1951" t="s">
        <v>1425</v>
      </c>
    </row>
    <row r="1952" spans="1:6">
      <c r="A1952">
        <v>59</v>
      </c>
      <c r="B1952" t="s">
        <v>1749</v>
      </c>
      <c r="C1952">
        <v>12211</v>
      </c>
      <c r="D1952" t="s">
        <v>1426</v>
      </c>
      <c r="E1952" t="s">
        <v>1424</v>
      </c>
      <c r="F1952" t="s">
        <v>1427</v>
      </c>
    </row>
    <row r="1953" spans="1:6">
      <c r="A1953">
        <v>59</v>
      </c>
      <c r="B1953" t="s">
        <v>1749</v>
      </c>
      <c r="C1953">
        <v>2313</v>
      </c>
      <c r="D1953" t="s">
        <v>1225</v>
      </c>
      <c r="E1953" t="s">
        <v>1226</v>
      </c>
      <c r="F1953" t="s">
        <v>1227</v>
      </c>
    </row>
    <row r="1954" spans="1:6">
      <c r="A1954">
        <v>59</v>
      </c>
      <c r="B1954" t="s">
        <v>1749</v>
      </c>
      <c r="C1954">
        <v>2537</v>
      </c>
      <c r="D1954" t="s">
        <v>1228</v>
      </c>
      <c r="E1954" t="s">
        <v>1226</v>
      </c>
      <c r="F1954" t="s">
        <v>1229</v>
      </c>
    </row>
    <row r="1955" spans="1:6">
      <c r="A1955">
        <v>59</v>
      </c>
      <c r="B1955" t="s">
        <v>1749</v>
      </c>
      <c r="C1955">
        <v>1732</v>
      </c>
      <c r="D1955" t="s">
        <v>1428</v>
      </c>
      <c r="E1955" t="s">
        <v>1429</v>
      </c>
      <c r="F1955" t="s">
        <v>1430</v>
      </c>
    </row>
    <row r="1956" spans="1:6">
      <c r="A1956">
        <v>59</v>
      </c>
      <c r="B1956" t="s">
        <v>1749</v>
      </c>
      <c r="C1956">
        <v>188</v>
      </c>
      <c r="D1956" t="s">
        <v>1246</v>
      </c>
      <c r="E1956" t="s">
        <v>1429</v>
      </c>
      <c r="F1956" t="s">
        <v>1430</v>
      </c>
    </row>
    <row r="1957" spans="1:6">
      <c r="A1957">
        <v>59</v>
      </c>
      <c r="B1957" t="s">
        <v>1749</v>
      </c>
      <c r="C1957">
        <v>821</v>
      </c>
      <c r="D1957" t="s">
        <v>1247</v>
      </c>
      <c r="E1957" t="s">
        <v>1429</v>
      </c>
      <c r="F1957" t="s">
        <v>1248</v>
      </c>
    </row>
    <row r="1958" spans="1:6">
      <c r="A1958">
        <v>59</v>
      </c>
      <c r="B1958" t="s">
        <v>1749</v>
      </c>
      <c r="C1958">
        <v>110262.02</v>
      </c>
      <c r="D1958" t="s">
        <v>1431</v>
      </c>
      <c r="E1958" t="s">
        <v>1432</v>
      </c>
      <c r="F1958" t="s">
        <v>1433</v>
      </c>
    </row>
    <row r="1959" spans="1:6">
      <c r="A1959">
        <v>59</v>
      </c>
      <c r="B1959" t="s">
        <v>1749</v>
      </c>
      <c r="C1959">
        <v>345749.65</v>
      </c>
      <c r="D1959" t="s">
        <v>1434</v>
      </c>
      <c r="E1959" t="s">
        <v>1432</v>
      </c>
      <c r="F1959" t="s">
        <v>1435</v>
      </c>
    </row>
    <row r="1960" spans="1:6">
      <c r="A1960">
        <v>59</v>
      </c>
      <c r="B1960" t="s">
        <v>1749</v>
      </c>
      <c r="C1960">
        <v>132569</v>
      </c>
      <c r="D1960" t="s">
        <v>1576</v>
      </c>
      <c r="E1960" t="s">
        <v>1577</v>
      </c>
      <c r="F1960" t="s">
        <v>1578</v>
      </c>
    </row>
    <row r="1961" spans="1:6">
      <c r="A1961">
        <v>59</v>
      </c>
      <c r="B1961" t="s">
        <v>1749</v>
      </c>
      <c r="C1961">
        <v>395000</v>
      </c>
      <c r="D1961" t="s">
        <v>1579</v>
      </c>
      <c r="E1961" t="s">
        <v>1577</v>
      </c>
      <c r="F1961" t="s">
        <v>1580</v>
      </c>
    </row>
    <row r="1962" spans="1:6">
      <c r="A1962">
        <v>59</v>
      </c>
      <c r="B1962" t="s">
        <v>1749</v>
      </c>
      <c r="C1962">
        <v>56508</v>
      </c>
      <c r="D1962" t="s">
        <v>1436</v>
      </c>
      <c r="E1962" t="s">
        <v>1437</v>
      </c>
      <c r="F1962" t="s">
        <v>1438</v>
      </c>
    </row>
    <row r="1963" spans="1:6">
      <c r="A1963">
        <v>59</v>
      </c>
      <c r="B1963" t="s">
        <v>1749</v>
      </c>
      <c r="C1963">
        <v>1000</v>
      </c>
      <c r="D1963" t="s">
        <v>1581</v>
      </c>
      <c r="E1963" t="s">
        <v>1582</v>
      </c>
      <c r="F1963" t="s">
        <v>1583</v>
      </c>
    </row>
    <row r="1964" spans="1:6">
      <c r="A1964">
        <v>59</v>
      </c>
      <c r="B1964" t="s">
        <v>1749</v>
      </c>
      <c r="C1964">
        <v>88761</v>
      </c>
      <c r="D1964" t="s">
        <v>1584</v>
      </c>
      <c r="E1964" t="s">
        <v>1585</v>
      </c>
      <c r="F1964" t="s">
        <v>1586</v>
      </c>
    </row>
    <row r="1965" spans="1:6">
      <c r="A1965">
        <v>59</v>
      </c>
      <c r="B1965" t="s">
        <v>1749</v>
      </c>
      <c r="C1965">
        <v>50000</v>
      </c>
      <c r="D1965" t="s">
        <v>1587</v>
      </c>
      <c r="E1965" t="s">
        <v>1585</v>
      </c>
      <c r="F1965" t="s">
        <v>1588</v>
      </c>
    </row>
    <row r="1966" spans="1:6">
      <c r="A1966">
        <v>59</v>
      </c>
      <c r="B1966" t="s">
        <v>1749</v>
      </c>
      <c r="C1966">
        <v>179949</v>
      </c>
      <c r="D1966" t="s">
        <v>1267</v>
      </c>
      <c r="E1966" t="s">
        <v>1450</v>
      </c>
      <c r="F1966" t="s">
        <v>1453</v>
      </c>
    </row>
    <row r="1967" spans="1:6">
      <c r="A1967">
        <v>59</v>
      </c>
      <c r="B1967" t="s">
        <v>1749</v>
      </c>
      <c r="C1967">
        <v>5182</v>
      </c>
      <c r="D1967" t="s">
        <v>1454</v>
      </c>
      <c r="E1967" t="s">
        <v>1455</v>
      </c>
      <c r="F1967" t="s">
        <v>1456</v>
      </c>
    </row>
    <row r="1968" spans="1:6">
      <c r="A1968">
        <v>59</v>
      </c>
      <c r="B1968" t="s">
        <v>1749</v>
      </c>
      <c r="C1968">
        <v>9000</v>
      </c>
      <c r="D1968" t="s">
        <v>1457</v>
      </c>
      <c r="E1968" t="s">
        <v>1455</v>
      </c>
      <c r="F1968" t="s">
        <v>1458</v>
      </c>
    </row>
    <row r="1969" spans="1:6">
      <c r="A1969">
        <v>59</v>
      </c>
      <c r="B1969" t="s">
        <v>1749</v>
      </c>
      <c r="C1969">
        <v>17000</v>
      </c>
      <c r="D1969" t="s">
        <v>1592</v>
      </c>
      <c r="E1969" t="s">
        <v>1590</v>
      </c>
      <c r="F1969" t="s">
        <v>1593</v>
      </c>
    </row>
    <row r="1970" spans="1:6">
      <c r="A1970">
        <v>59</v>
      </c>
      <c r="B1970" t="s">
        <v>1749</v>
      </c>
      <c r="C1970">
        <v>2000</v>
      </c>
      <c r="D1970" t="s">
        <v>1597</v>
      </c>
      <c r="E1970" t="s">
        <v>1595</v>
      </c>
      <c r="F1970" t="s">
        <v>1598</v>
      </c>
    </row>
    <row r="1971" spans="1:6">
      <c r="A1971">
        <v>59</v>
      </c>
      <c r="B1971" t="s">
        <v>1749</v>
      </c>
      <c r="C1971">
        <v>176651</v>
      </c>
      <c r="D1971" t="s">
        <v>1599</v>
      </c>
      <c r="E1971" t="s">
        <v>1600</v>
      </c>
      <c r="F1971" t="s">
        <v>1601</v>
      </c>
    </row>
    <row r="1972" spans="1:6">
      <c r="A1972">
        <v>59</v>
      </c>
      <c r="B1972" t="s">
        <v>1749</v>
      </c>
      <c r="C1972">
        <v>1017598</v>
      </c>
      <c r="D1972" t="s">
        <v>1602</v>
      </c>
      <c r="E1972" t="s">
        <v>1600</v>
      </c>
      <c r="F1972" t="s">
        <v>1603</v>
      </c>
    </row>
    <row r="1973" spans="1:6">
      <c r="A1973">
        <v>59</v>
      </c>
      <c r="B1973" t="s">
        <v>1749</v>
      </c>
      <c r="C1973">
        <v>60341</v>
      </c>
      <c r="D1973" t="s">
        <v>1604</v>
      </c>
      <c r="E1973" t="s">
        <v>1605</v>
      </c>
      <c r="F1973" t="s">
        <v>1606</v>
      </c>
    </row>
    <row r="1974" spans="1:6">
      <c r="A1974">
        <v>59</v>
      </c>
      <c r="B1974" t="s">
        <v>1749</v>
      </c>
      <c r="C1974">
        <v>22500</v>
      </c>
      <c r="D1974" t="s">
        <v>1466</v>
      </c>
      <c r="E1974" t="s">
        <v>1467</v>
      </c>
      <c r="F1974" t="s">
        <v>1468</v>
      </c>
    </row>
    <row r="1975" spans="1:6">
      <c r="A1975">
        <v>59</v>
      </c>
      <c r="B1975" t="s">
        <v>1749</v>
      </c>
      <c r="C1975">
        <v>4666.3599999999997</v>
      </c>
      <c r="D1975" t="s">
        <v>1379</v>
      </c>
      <c r="E1975" t="s">
        <v>1380</v>
      </c>
      <c r="F1975" t="s">
        <v>1381</v>
      </c>
    </row>
    <row r="1976" spans="1:6">
      <c r="A1976">
        <v>59</v>
      </c>
      <c r="B1976" t="s">
        <v>1749</v>
      </c>
      <c r="C1976">
        <v>28792.52</v>
      </c>
      <c r="D1976" t="s">
        <v>1475</v>
      </c>
      <c r="E1976" t="s">
        <v>1476</v>
      </c>
      <c r="F1976" t="s">
        <v>1477</v>
      </c>
    </row>
    <row r="1977" spans="1:6">
      <c r="A1977">
        <v>59</v>
      </c>
      <c r="B1977" t="s">
        <v>1749</v>
      </c>
      <c r="C1977">
        <v>301940.15000000002</v>
      </c>
      <c r="D1977" t="s">
        <v>1478</v>
      </c>
      <c r="E1977" t="s">
        <v>1479</v>
      </c>
      <c r="F1977" t="s">
        <v>1480</v>
      </c>
    </row>
    <row r="1978" spans="1:6">
      <c r="A1978">
        <v>59</v>
      </c>
      <c r="B1978" t="s">
        <v>1749</v>
      </c>
      <c r="C1978">
        <v>1054723</v>
      </c>
      <c r="D1978" t="s">
        <v>1607</v>
      </c>
      <c r="E1978" t="s">
        <v>1608</v>
      </c>
      <c r="F1978" t="s">
        <v>1609</v>
      </c>
    </row>
    <row r="1979" spans="1:6">
      <c r="A1979">
        <v>59</v>
      </c>
      <c r="B1979" t="s">
        <v>1749</v>
      </c>
      <c r="C1979">
        <v>22209528</v>
      </c>
      <c r="D1979" t="s">
        <v>1610</v>
      </c>
      <c r="E1979" t="s">
        <v>1481</v>
      </c>
      <c r="F1979" t="s">
        <v>1482</v>
      </c>
    </row>
    <row r="1980" spans="1:6">
      <c r="A1980">
        <v>60</v>
      </c>
      <c r="B1980" t="s">
        <v>1750</v>
      </c>
      <c r="C1980">
        <v>19919</v>
      </c>
      <c r="D1980" t="s">
        <v>1486</v>
      </c>
      <c r="E1980" t="s">
        <v>1487</v>
      </c>
      <c r="F1980" t="s">
        <v>1488</v>
      </c>
    </row>
    <row r="1981" spans="1:6">
      <c r="A1981">
        <v>60</v>
      </c>
      <c r="B1981" t="s">
        <v>1750</v>
      </c>
      <c r="C1981">
        <v>9316</v>
      </c>
      <c r="D1981" t="s">
        <v>1489</v>
      </c>
      <c r="E1981" t="s">
        <v>1490</v>
      </c>
      <c r="F1981" t="s">
        <v>1491</v>
      </c>
    </row>
    <row r="1982" spans="1:6">
      <c r="A1982">
        <v>60</v>
      </c>
      <c r="B1982" t="s">
        <v>1750</v>
      </c>
      <c r="C1982">
        <v>89454</v>
      </c>
      <c r="D1982" t="s">
        <v>1567</v>
      </c>
      <c r="E1982" t="s">
        <v>1568</v>
      </c>
      <c r="F1982" t="s">
        <v>1569</v>
      </c>
    </row>
    <row r="1983" spans="1:6">
      <c r="A1983">
        <v>60</v>
      </c>
      <c r="B1983" t="s">
        <v>1750</v>
      </c>
      <c r="C1983">
        <v>2884466</v>
      </c>
      <c r="D1983" t="s">
        <v>1570</v>
      </c>
      <c r="E1983" t="s">
        <v>1571</v>
      </c>
      <c r="F1983" t="s">
        <v>1572</v>
      </c>
    </row>
    <row r="1984" spans="1:6">
      <c r="A1984">
        <v>60</v>
      </c>
      <c r="B1984" t="s">
        <v>1750</v>
      </c>
      <c r="C1984">
        <v>83549</v>
      </c>
      <c r="D1984" t="s">
        <v>1520</v>
      </c>
      <c r="E1984" t="s">
        <v>1521</v>
      </c>
      <c r="F1984" t="s">
        <v>1522</v>
      </c>
    </row>
    <row r="1985" spans="1:6">
      <c r="A1985">
        <v>60</v>
      </c>
      <c r="B1985" t="s">
        <v>1750</v>
      </c>
      <c r="C1985">
        <v>441511</v>
      </c>
      <c r="D1985" t="s">
        <v>1573</v>
      </c>
      <c r="E1985" t="s">
        <v>1574</v>
      </c>
      <c r="F1985" t="s">
        <v>1575</v>
      </c>
    </row>
    <row r="1986" spans="1:6">
      <c r="A1986">
        <v>60</v>
      </c>
      <c r="B1986" t="s">
        <v>1750</v>
      </c>
      <c r="C1986">
        <v>197</v>
      </c>
      <c r="D1986" t="s">
        <v>1371</v>
      </c>
      <c r="E1986" t="s">
        <v>1372</v>
      </c>
      <c r="F1986" t="s">
        <v>1373</v>
      </c>
    </row>
    <row r="1987" spans="1:6">
      <c r="A1987">
        <v>60</v>
      </c>
      <c r="B1987" t="s">
        <v>1750</v>
      </c>
      <c r="C1987">
        <v>25133</v>
      </c>
      <c r="D1987" t="s">
        <v>1528</v>
      </c>
      <c r="E1987" t="s">
        <v>1529</v>
      </c>
      <c r="F1987" t="s">
        <v>1530</v>
      </c>
    </row>
    <row r="1988" spans="1:6">
      <c r="A1988">
        <v>60</v>
      </c>
      <c r="B1988" t="s">
        <v>1750</v>
      </c>
      <c r="C1988">
        <v>16600</v>
      </c>
      <c r="D1988" t="s">
        <v>1387</v>
      </c>
      <c r="E1988" t="s">
        <v>1388</v>
      </c>
      <c r="F1988" t="s">
        <v>1389</v>
      </c>
    </row>
    <row r="1989" spans="1:6">
      <c r="A1989">
        <v>60</v>
      </c>
      <c r="B1989" t="s">
        <v>1750</v>
      </c>
      <c r="C1989">
        <v>52116</v>
      </c>
      <c r="D1989" t="s">
        <v>1390</v>
      </c>
      <c r="E1989" t="s">
        <v>1391</v>
      </c>
      <c r="F1989" t="s">
        <v>1392</v>
      </c>
    </row>
    <row r="1990" spans="1:6">
      <c r="A1990">
        <v>60</v>
      </c>
      <c r="B1990" t="s">
        <v>1750</v>
      </c>
      <c r="C1990">
        <v>25568.61</v>
      </c>
      <c r="D1990" t="s">
        <v>1431</v>
      </c>
      <c r="E1990" t="s">
        <v>1432</v>
      </c>
      <c r="F1990" t="s">
        <v>1433</v>
      </c>
    </row>
    <row r="1991" spans="1:6">
      <c r="A1991">
        <v>60</v>
      </c>
      <c r="B1991" t="s">
        <v>1750</v>
      </c>
      <c r="C1991">
        <v>61227.01</v>
      </c>
      <c r="D1991" t="s">
        <v>1434</v>
      </c>
      <c r="E1991" t="s">
        <v>1432</v>
      </c>
      <c r="F1991" t="s">
        <v>1435</v>
      </c>
    </row>
    <row r="1992" spans="1:6">
      <c r="A1992">
        <v>60</v>
      </c>
      <c r="B1992" t="s">
        <v>1750</v>
      </c>
      <c r="C1992">
        <v>64849</v>
      </c>
      <c r="D1992" t="s">
        <v>1576</v>
      </c>
      <c r="E1992" t="s">
        <v>1577</v>
      </c>
      <c r="F1992" t="s">
        <v>1578</v>
      </c>
    </row>
    <row r="1993" spans="1:6">
      <c r="A1993">
        <v>60</v>
      </c>
      <c r="B1993" t="s">
        <v>1750</v>
      </c>
      <c r="C1993">
        <v>120000</v>
      </c>
      <c r="D1993" t="s">
        <v>1579</v>
      </c>
      <c r="E1993" t="s">
        <v>1577</v>
      </c>
      <c r="F1993" t="s">
        <v>1580</v>
      </c>
    </row>
    <row r="1994" spans="1:6">
      <c r="A1994">
        <v>60</v>
      </c>
      <c r="B1994" t="s">
        <v>1750</v>
      </c>
      <c r="C1994">
        <v>1553</v>
      </c>
      <c r="D1994" t="s">
        <v>1442</v>
      </c>
      <c r="E1994" t="s">
        <v>1582</v>
      </c>
      <c r="F1994" t="s">
        <v>1443</v>
      </c>
    </row>
    <row r="1995" spans="1:6">
      <c r="A1995">
        <v>60</v>
      </c>
      <c r="B1995" t="s">
        <v>1750</v>
      </c>
      <c r="C1995">
        <v>1288</v>
      </c>
      <c r="D1995" t="s">
        <v>1581</v>
      </c>
      <c r="E1995" t="s">
        <v>1582</v>
      </c>
      <c r="F1995" t="s">
        <v>1583</v>
      </c>
    </row>
    <row r="1996" spans="1:6">
      <c r="A1996">
        <v>60</v>
      </c>
      <c r="B1996" t="s">
        <v>1750</v>
      </c>
      <c r="C1996">
        <v>10068</v>
      </c>
      <c r="D1996" t="s">
        <v>1584</v>
      </c>
      <c r="E1996" t="s">
        <v>1585</v>
      </c>
      <c r="F1996" t="s">
        <v>1586</v>
      </c>
    </row>
    <row r="1997" spans="1:6">
      <c r="A1997">
        <v>60</v>
      </c>
      <c r="B1997" t="s">
        <v>1750</v>
      </c>
      <c r="C1997">
        <v>76000</v>
      </c>
      <c r="D1997" t="s">
        <v>1587</v>
      </c>
      <c r="E1997" t="s">
        <v>1585</v>
      </c>
      <c r="F1997" t="s">
        <v>1588</v>
      </c>
    </row>
    <row r="1998" spans="1:6">
      <c r="A1998">
        <v>60</v>
      </c>
      <c r="B1998" t="s">
        <v>1750</v>
      </c>
      <c r="C1998">
        <v>417</v>
      </c>
      <c r="D1998" t="s">
        <v>1589</v>
      </c>
      <c r="E1998" t="s">
        <v>1590</v>
      </c>
      <c r="F1998" t="s">
        <v>1591</v>
      </c>
    </row>
    <row r="1999" spans="1:6">
      <c r="A1999">
        <v>60</v>
      </c>
      <c r="B1999" t="s">
        <v>1750</v>
      </c>
      <c r="C1999">
        <v>8900</v>
      </c>
      <c r="D1999" t="s">
        <v>1592</v>
      </c>
      <c r="E1999" t="s">
        <v>1590</v>
      </c>
      <c r="F1999" t="s">
        <v>1593</v>
      </c>
    </row>
    <row r="2000" spans="1:6">
      <c r="A2000">
        <v>60</v>
      </c>
      <c r="B2000" t="s">
        <v>1750</v>
      </c>
      <c r="C2000">
        <v>157</v>
      </c>
      <c r="D2000" t="s">
        <v>1594</v>
      </c>
      <c r="E2000" t="s">
        <v>1595</v>
      </c>
      <c r="F2000" t="s">
        <v>1596</v>
      </c>
    </row>
    <row r="2001" spans="1:6">
      <c r="A2001">
        <v>60</v>
      </c>
      <c r="B2001" t="s">
        <v>1750</v>
      </c>
      <c r="C2001">
        <v>2000</v>
      </c>
      <c r="D2001" t="s">
        <v>1597</v>
      </c>
      <c r="E2001" t="s">
        <v>1595</v>
      </c>
      <c r="F2001" t="s">
        <v>1598</v>
      </c>
    </row>
    <row r="2002" spans="1:6">
      <c r="A2002">
        <v>60</v>
      </c>
      <c r="B2002" t="s">
        <v>1750</v>
      </c>
      <c r="C2002">
        <v>159950</v>
      </c>
      <c r="D2002" t="s">
        <v>1599</v>
      </c>
      <c r="E2002" t="s">
        <v>1600</v>
      </c>
      <c r="F2002" t="s">
        <v>1601</v>
      </c>
    </row>
    <row r="2003" spans="1:6">
      <c r="A2003">
        <v>60</v>
      </c>
      <c r="B2003" t="s">
        <v>1750</v>
      </c>
      <c r="C2003">
        <v>510000</v>
      </c>
      <c r="D2003" t="s">
        <v>1602</v>
      </c>
      <c r="E2003" t="s">
        <v>1600</v>
      </c>
      <c r="F2003" t="s">
        <v>1603</v>
      </c>
    </row>
    <row r="2004" spans="1:6">
      <c r="A2004">
        <v>60</v>
      </c>
      <c r="B2004" t="s">
        <v>1750</v>
      </c>
      <c r="C2004">
        <v>6667</v>
      </c>
      <c r="D2004" t="s">
        <v>1459</v>
      </c>
      <c r="E2004" t="s">
        <v>1605</v>
      </c>
      <c r="F2004" t="s">
        <v>1460</v>
      </c>
    </row>
    <row r="2005" spans="1:6">
      <c r="A2005">
        <v>60</v>
      </c>
      <c r="B2005" t="s">
        <v>1750</v>
      </c>
      <c r="C2005">
        <v>17000</v>
      </c>
      <c r="D2005" t="s">
        <v>1604</v>
      </c>
      <c r="E2005" t="s">
        <v>1605</v>
      </c>
      <c r="F2005" t="s">
        <v>1606</v>
      </c>
    </row>
    <row r="2006" spans="1:6">
      <c r="A2006">
        <v>60</v>
      </c>
      <c r="B2006" t="s">
        <v>1750</v>
      </c>
      <c r="C2006">
        <v>16287.35</v>
      </c>
      <c r="D2006" t="s">
        <v>1379</v>
      </c>
      <c r="E2006" t="s">
        <v>1380</v>
      </c>
      <c r="F2006" t="s">
        <v>1381</v>
      </c>
    </row>
    <row r="2007" spans="1:6">
      <c r="A2007">
        <v>60</v>
      </c>
      <c r="B2007" t="s">
        <v>1750</v>
      </c>
      <c r="C2007">
        <v>142972.03</v>
      </c>
      <c r="D2007" t="s">
        <v>1475</v>
      </c>
      <c r="E2007" t="s">
        <v>1476</v>
      </c>
      <c r="F2007" t="s">
        <v>1477</v>
      </c>
    </row>
    <row r="2008" spans="1:6">
      <c r="A2008">
        <v>60</v>
      </c>
      <c r="B2008" t="s">
        <v>1750</v>
      </c>
      <c r="C2008">
        <v>336026.44</v>
      </c>
      <c r="D2008" t="s">
        <v>1478</v>
      </c>
      <c r="E2008" t="s">
        <v>1479</v>
      </c>
      <c r="F2008" t="s">
        <v>1480</v>
      </c>
    </row>
    <row r="2009" spans="1:6">
      <c r="A2009">
        <v>60</v>
      </c>
      <c r="B2009" t="s">
        <v>1750</v>
      </c>
      <c r="C2009">
        <v>544657.01</v>
      </c>
      <c r="D2009" t="s">
        <v>1365</v>
      </c>
      <c r="E2009" t="s">
        <v>1366</v>
      </c>
      <c r="F2009" t="s">
        <v>1367</v>
      </c>
    </row>
    <row r="2010" spans="1:6">
      <c r="A2010">
        <v>60</v>
      </c>
      <c r="B2010" t="s">
        <v>1750</v>
      </c>
      <c r="C2010">
        <v>3948</v>
      </c>
      <c r="D2010" t="s">
        <v>1607</v>
      </c>
      <c r="E2010" t="s">
        <v>1608</v>
      </c>
      <c r="F2010" t="s">
        <v>1609</v>
      </c>
    </row>
    <row r="2011" spans="1:6">
      <c r="A2011">
        <v>60</v>
      </c>
      <c r="B2011" t="s">
        <v>1750</v>
      </c>
      <c r="C2011">
        <v>199044</v>
      </c>
      <c r="D2011" t="s">
        <v>1610</v>
      </c>
      <c r="E2011" t="s">
        <v>1481</v>
      </c>
      <c r="F2011" t="s">
        <v>1482</v>
      </c>
    </row>
    <row r="2012" spans="1:6">
      <c r="A2012">
        <v>61</v>
      </c>
      <c r="B2012" t="s">
        <v>1249</v>
      </c>
      <c r="C2012">
        <v>1181325</v>
      </c>
      <c r="D2012" t="s">
        <v>1570</v>
      </c>
      <c r="E2012" t="s">
        <v>1571</v>
      </c>
      <c r="F2012" t="s">
        <v>1572</v>
      </c>
    </row>
    <row r="2013" spans="1:6">
      <c r="A2013">
        <v>62</v>
      </c>
      <c r="B2013" t="s">
        <v>1751</v>
      </c>
      <c r="C2013">
        <v>28145</v>
      </c>
      <c r="D2013" t="s">
        <v>1489</v>
      </c>
      <c r="E2013" t="s">
        <v>1490</v>
      </c>
      <c r="F2013" t="s">
        <v>1491</v>
      </c>
    </row>
    <row r="2014" spans="1:6">
      <c r="A2014">
        <v>62</v>
      </c>
      <c r="B2014" t="s">
        <v>1751</v>
      </c>
      <c r="C2014">
        <v>102250</v>
      </c>
      <c r="D2014" t="s">
        <v>1404</v>
      </c>
      <c r="E2014" t="s">
        <v>1405</v>
      </c>
      <c r="F2014" t="s">
        <v>1406</v>
      </c>
    </row>
    <row r="2015" spans="1:6">
      <c r="A2015">
        <v>62</v>
      </c>
      <c r="B2015" t="s">
        <v>1751</v>
      </c>
      <c r="C2015">
        <v>940539</v>
      </c>
      <c r="D2015" t="s">
        <v>1567</v>
      </c>
      <c r="E2015" t="s">
        <v>1568</v>
      </c>
      <c r="F2015" t="s">
        <v>1569</v>
      </c>
    </row>
    <row r="2016" spans="1:6">
      <c r="A2016">
        <v>62</v>
      </c>
      <c r="B2016" t="s">
        <v>1751</v>
      </c>
      <c r="C2016">
        <v>175073</v>
      </c>
      <c r="D2016" t="s">
        <v>1496</v>
      </c>
      <c r="E2016" t="s">
        <v>1497</v>
      </c>
      <c r="F2016" t="s">
        <v>1498</v>
      </c>
    </row>
    <row r="2017" spans="1:6">
      <c r="A2017">
        <v>62</v>
      </c>
      <c r="B2017" t="s">
        <v>1751</v>
      </c>
      <c r="C2017">
        <v>19511592</v>
      </c>
      <c r="D2017" t="s">
        <v>1570</v>
      </c>
      <c r="E2017" t="s">
        <v>1571</v>
      </c>
      <c r="F2017" t="s">
        <v>1572</v>
      </c>
    </row>
    <row r="2018" spans="1:6">
      <c r="A2018">
        <v>62</v>
      </c>
      <c r="B2018" t="s">
        <v>1751</v>
      </c>
      <c r="C2018">
        <v>21000</v>
      </c>
      <c r="D2018" t="s">
        <v>1515</v>
      </c>
      <c r="E2018" t="s">
        <v>1516</v>
      </c>
      <c r="F2018" t="s">
        <v>1517</v>
      </c>
    </row>
    <row r="2019" spans="1:6">
      <c r="A2019">
        <v>62</v>
      </c>
      <c r="B2019" t="s">
        <v>1751</v>
      </c>
      <c r="C2019">
        <v>7247</v>
      </c>
      <c r="D2019" t="s">
        <v>1518</v>
      </c>
      <c r="E2019" t="s">
        <v>1516</v>
      </c>
      <c r="F2019" t="s">
        <v>1519</v>
      </c>
    </row>
    <row r="2020" spans="1:6">
      <c r="A2020">
        <v>62</v>
      </c>
      <c r="B2020" t="s">
        <v>1751</v>
      </c>
      <c r="C2020">
        <v>571251</v>
      </c>
      <c r="D2020" t="s">
        <v>1520</v>
      </c>
      <c r="E2020" t="s">
        <v>1521</v>
      </c>
      <c r="F2020" t="s">
        <v>1522</v>
      </c>
    </row>
    <row r="2021" spans="1:6">
      <c r="A2021">
        <v>62</v>
      </c>
      <c r="B2021" t="s">
        <v>1751</v>
      </c>
      <c r="C2021">
        <v>44665</v>
      </c>
      <c r="D2021" t="s">
        <v>1216</v>
      </c>
      <c r="E2021" t="s">
        <v>1217</v>
      </c>
      <c r="F2021" t="s">
        <v>1218</v>
      </c>
    </row>
    <row r="2022" spans="1:6">
      <c r="A2022">
        <v>62</v>
      </c>
      <c r="B2022" t="s">
        <v>1751</v>
      </c>
      <c r="C2022">
        <v>604741</v>
      </c>
      <c r="D2022" t="s">
        <v>1573</v>
      </c>
      <c r="E2022" t="s">
        <v>1574</v>
      </c>
      <c r="F2022" t="s">
        <v>1575</v>
      </c>
    </row>
    <row r="2023" spans="1:6">
      <c r="A2023">
        <v>62</v>
      </c>
      <c r="B2023" t="s">
        <v>1751</v>
      </c>
      <c r="C2023">
        <v>150346</v>
      </c>
      <c r="D2023" t="s">
        <v>1523</v>
      </c>
      <c r="E2023" t="s">
        <v>1521</v>
      </c>
      <c r="F2023" t="s">
        <v>1524</v>
      </c>
    </row>
    <row r="2024" spans="1:6">
      <c r="A2024">
        <v>62</v>
      </c>
      <c r="B2024" t="s">
        <v>1751</v>
      </c>
      <c r="C2024">
        <v>32393</v>
      </c>
      <c r="D2024" t="s">
        <v>1250</v>
      </c>
      <c r="E2024" t="s">
        <v>1521</v>
      </c>
      <c r="F2024" t="s">
        <v>1251</v>
      </c>
    </row>
    <row r="2025" spans="1:6">
      <c r="A2025">
        <v>62</v>
      </c>
      <c r="B2025" t="s">
        <v>1751</v>
      </c>
      <c r="C2025">
        <v>254725</v>
      </c>
      <c r="D2025" t="s">
        <v>1371</v>
      </c>
      <c r="E2025" t="s">
        <v>1372</v>
      </c>
      <c r="F2025" t="s">
        <v>1373</v>
      </c>
    </row>
    <row r="2026" spans="1:6">
      <c r="A2026">
        <v>62</v>
      </c>
      <c r="B2026" t="s">
        <v>1751</v>
      </c>
      <c r="C2026">
        <v>189505</v>
      </c>
      <c r="D2026" t="s">
        <v>1525</v>
      </c>
      <c r="E2026" t="s">
        <v>1526</v>
      </c>
      <c r="F2026" t="s">
        <v>1527</v>
      </c>
    </row>
    <row r="2027" spans="1:6">
      <c r="A2027">
        <v>62</v>
      </c>
      <c r="B2027" t="s">
        <v>1751</v>
      </c>
      <c r="C2027">
        <v>37251</v>
      </c>
      <c r="D2027" t="s">
        <v>1528</v>
      </c>
      <c r="E2027" t="s">
        <v>1529</v>
      </c>
      <c r="F2027" t="s">
        <v>1530</v>
      </c>
    </row>
    <row r="2028" spans="1:6">
      <c r="A2028">
        <v>62</v>
      </c>
      <c r="B2028" t="s">
        <v>1751</v>
      </c>
      <c r="C2028">
        <v>227788</v>
      </c>
      <c r="D2028" t="s">
        <v>1531</v>
      </c>
      <c r="E2028" t="s">
        <v>1532</v>
      </c>
      <c r="F2028" t="s">
        <v>1533</v>
      </c>
    </row>
    <row r="2029" spans="1:6">
      <c r="A2029">
        <v>62</v>
      </c>
      <c r="B2029" t="s">
        <v>1751</v>
      </c>
      <c r="C2029">
        <v>100000</v>
      </c>
      <c r="D2029" t="s">
        <v>1204</v>
      </c>
      <c r="E2029" t="s">
        <v>1205</v>
      </c>
      <c r="F2029" t="s">
        <v>1206</v>
      </c>
    </row>
    <row r="2030" spans="1:6">
      <c r="A2030">
        <v>62</v>
      </c>
      <c r="B2030" t="s">
        <v>1751</v>
      </c>
      <c r="C2030">
        <v>70000</v>
      </c>
      <c r="D2030" t="s">
        <v>1387</v>
      </c>
      <c r="E2030" t="s">
        <v>1388</v>
      </c>
      <c r="F2030" t="s">
        <v>1389</v>
      </c>
    </row>
    <row r="2031" spans="1:6">
      <c r="A2031">
        <v>62</v>
      </c>
      <c r="B2031" t="s">
        <v>1751</v>
      </c>
      <c r="C2031">
        <v>20677</v>
      </c>
      <c r="D2031" t="s">
        <v>1390</v>
      </c>
      <c r="E2031" t="s">
        <v>1391</v>
      </c>
      <c r="F2031" t="s">
        <v>1392</v>
      </c>
    </row>
    <row r="2032" spans="1:6">
      <c r="A2032">
        <v>62</v>
      </c>
      <c r="B2032" t="s">
        <v>1751</v>
      </c>
      <c r="C2032">
        <v>31400</v>
      </c>
      <c r="D2032" t="s">
        <v>1534</v>
      </c>
      <c r="E2032" t="s">
        <v>1535</v>
      </c>
      <c r="F2032" t="s">
        <v>1536</v>
      </c>
    </row>
    <row r="2033" spans="1:6">
      <c r="A2033">
        <v>62</v>
      </c>
      <c r="B2033" t="s">
        <v>1751</v>
      </c>
      <c r="C2033">
        <v>53501.39</v>
      </c>
      <c r="D2033" t="s">
        <v>1537</v>
      </c>
      <c r="E2033" t="s">
        <v>1538</v>
      </c>
      <c r="F2033" t="s">
        <v>1539</v>
      </c>
    </row>
    <row r="2034" spans="1:6">
      <c r="A2034">
        <v>62</v>
      </c>
      <c r="B2034" t="s">
        <v>1751</v>
      </c>
      <c r="C2034">
        <v>138537.78</v>
      </c>
      <c r="D2034" t="s">
        <v>1540</v>
      </c>
      <c r="E2034" t="s">
        <v>1538</v>
      </c>
      <c r="F2034" t="s">
        <v>1541</v>
      </c>
    </row>
    <row r="2035" spans="1:6">
      <c r="A2035">
        <v>62</v>
      </c>
      <c r="B2035" t="s">
        <v>1751</v>
      </c>
      <c r="C2035">
        <v>4216</v>
      </c>
      <c r="D2035" t="s">
        <v>1220</v>
      </c>
      <c r="E2035" t="s">
        <v>1221</v>
      </c>
      <c r="F2035" t="s">
        <v>1222</v>
      </c>
    </row>
    <row r="2036" spans="1:6">
      <c r="A2036">
        <v>62</v>
      </c>
      <c r="B2036" t="s">
        <v>1751</v>
      </c>
      <c r="C2036">
        <v>8901</v>
      </c>
      <c r="D2036" t="s">
        <v>1223</v>
      </c>
      <c r="E2036" t="s">
        <v>1221</v>
      </c>
      <c r="F2036" t="s">
        <v>1224</v>
      </c>
    </row>
    <row r="2037" spans="1:6">
      <c r="A2037">
        <v>62</v>
      </c>
      <c r="B2037" t="s">
        <v>1751</v>
      </c>
      <c r="C2037">
        <v>224</v>
      </c>
      <c r="D2037" t="s">
        <v>1225</v>
      </c>
      <c r="E2037" t="s">
        <v>1226</v>
      </c>
      <c r="F2037" t="s">
        <v>1227</v>
      </c>
    </row>
    <row r="2038" spans="1:6">
      <c r="A2038">
        <v>62</v>
      </c>
      <c r="B2038" t="s">
        <v>1751</v>
      </c>
      <c r="C2038">
        <v>515</v>
      </c>
      <c r="D2038" t="s">
        <v>1228</v>
      </c>
      <c r="E2038" t="s">
        <v>1226</v>
      </c>
      <c r="F2038" t="s">
        <v>1229</v>
      </c>
    </row>
    <row r="2039" spans="1:6">
      <c r="A2039">
        <v>62</v>
      </c>
      <c r="B2039" t="s">
        <v>1751</v>
      </c>
      <c r="C2039">
        <v>203400.44</v>
      </c>
      <c r="D2039" t="s">
        <v>1431</v>
      </c>
      <c r="E2039" t="s">
        <v>1432</v>
      </c>
      <c r="F2039" t="s">
        <v>1433</v>
      </c>
    </row>
    <row r="2040" spans="1:6">
      <c r="A2040">
        <v>62</v>
      </c>
      <c r="B2040" t="s">
        <v>1751</v>
      </c>
      <c r="C2040">
        <v>499820.27</v>
      </c>
      <c r="D2040" t="s">
        <v>1434</v>
      </c>
      <c r="E2040" t="s">
        <v>1432</v>
      </c>
      <c r="F2040" t="s">
        <v>1435</v>
      </c>
    </row>
    <row r="2041" spans="1:6">
      <c r="A2041">
        <v>62</v>
      </c>
      <c r="B2041" t="s">
        <v>1751</v>
      </c>
      <c r="C2041">
        <v>101961</v>
      </c>
      <c r="D2041" t="s">
        <v>1576</v>
      </c>
      <c r="E2041" t="s">
        <v>1577</v>
      </c>
      <c r="F2041" t="s">
        <v>1578</v>
      </c>
    </row>
    <row r="2042" spans="1:6">
      <c r="A2042">
        <v>62</v>
      </c>
      <c r="B2042" t="s">
        <v>1751</v>
      </c>
      <c r="C2042">
        <v>892661</v>
      </c>
      <c r="D2042" t="s">
        <v>1579</v>
      </c>
      <c r="E2042" t="s">
        <v>1577</v>
      </c>
      <c r="F2042" t="s">
        <v>1580</v>
      </c>
    </row>
    <row r="2043" spans="1:6">
      <c r="A2043">
        <v>62</v>
      </c>
      <c r="B2043" t="s">
        <v>1751</v>
      </c>
      <c r="C2043">
        <v>91310</v>
      </c>
      <c r="D2043" t="s">
        <v>1436</v>
      </c>
      <c r="E2043" t="s">
        <v>1437</v>
      </c>
      <c r="F2043" t="s">
        <v>1438</v>
      </c>
    </row>
    <row r="2044" spans="1:6">
      <c r="A2044">
        <v>62</v>
      </c>
      <c r="B2044" t="s">
        <v>1751</v>
      </c>
      <c r="C2044">
        <v>19308</v>
      </c>
      <c r="D2044" t="s">
        <v>1444</v>
      </c>
      <c r="E2044" t="s">
        <v>1445</v>
      </c>
      <c r="F2044" t="s">
        <v>1443</v>
      </c>
    </row>
    <row r="2045" spans="1:6">
      <c r="A2045">
        <v>62</v>
      </c>
      <c r="B2045" t="s">
        <v>1751</v>
      </c>
      <c r="C2045">
        <v>6840</v>
      </c>
      <c r="D2045" t="s">
        <v>1581</v>
      </c>
      <c r="E2045" t="s">
        <v>1582</v>
      </c>
      <c r="F2045" t="s">
        <v>1583</v>
      </c>
    </row>
    <row r="2046" spans="1:6">
      <c r="A2046">
        <v>62</v>
      </c>
      <c r="B2046" t="s">
        <v>1751</v>
      </c>
      <c r="C2046">
        <v>205235</v>
      </c>
      <c r="D2046" t="s">
        <v>1587</v>
      </c>
      <c r="E2046" t="s">
        <v>1585</v>
      </c>
      <c r="F2046" t="s">
        <v>1588</v>
      </c>
    </row>
    <row r="2047" spans="1:6">
      <c r="A2047">
        <v>62</v>
      </c>
      <c r="B2047" t="s">
        <v>1751</v>
      </c>
      <c r="C2047">
        <v>24755</v>
      </c>
      <c r="D2047" t="s">
        <v>1457</v>
      </c>
      <c r="E2047" t="s">
        <v>1455</v>
      </c>
      <c r="F2047" t="s">
        <v>1458</v>
      </c>
    </row>
    <row r="2048" spans="1:6">
      <c r="A2048">
        <v>62</v>
      </c>
      <c r="B2048" t="s">
        <v>1751</v>
      </c>
      <c r="C2048">
        <v>37680</v>
      </c>
      <c r="D2048" t="s">
        <v>1287</v>
      </c>
      <c r="E2048" t="s">
        <v>1288</v>
      </c>
      <c r="F2048" t="s">
        <v>1289</v>
      </c>
    </row>
    <row r="2049" spans="1:6">
      <c r="A2049">
        <v>62</v>
      </c>
      <c r="B2049" t="s">
        <v>1751</v>
      </c>
      <c r="C2049">
        <v>26811</v>
      </c>
      <c r="D2049" t="s">
        <v>1592</v>
      </c>
      <c r="E2049" t="s">
        <v>1590</v>
      </c>
      <c r="F2049" t="s">
        <v>1593</v>
      </c>
    </row>
    <row r="2050" spans="1:6">
      <c r="A2050">
        <v>62</v>
      </c>
      <c r="B2050" t="s">
        <v>1751</v>
      </c>
      <c r="C2050">
        <v>13007</v>
      </c>
      <c r="D2050" t="s">
        <v>1597</v>
      </c>
      <c r="E2050" t="s">
        <v>1595</v>
      </c>
      <c r="F2050" t="s">
        <v>1598</v>
      </c>
    </row>
    <row r="2051" spans="1:6">
      <c r="A2051">
        <v>62</v>
      </c>
      <c r="B2051" t="s">
        <v>1751</v>
      </c>
      <c r="C2051">
        <v>244878</v>
      </c>
      <c r="D2051" t="s">
        <v>1599</v>
      </c>
      <c r="E2051" t="s">
        <v>1600</v>
      </c>
      <c r="F2051" t="s">
        <v>1601</v>
      </c>
    </row>
    <row r="2052" spans="1:6">
      <c r="A2052">
        <v>62</v>
      </c>
      <c r="B2052" t="s">
        <v>1751</v>
      </c>
      <c r="C2052">
        <v>10000</v>
      </c>
      <c r="D2052" t="s">
        <v>1269</v>
      </c>
      <c r="E2052" t="s">
        <v>1270</v>
      </c>
      <c r="F2052" t="s">
        <v>1601</v>
      </c>
    </row>
    <row r="2053" spans="1:6">
      <c r="A2053">
        <v>62</v>
      </c>
      <c r="B2053" t="s">
        <v>1751</v>
      </c>
      <c r="C2053">
        <v>1442726</v>
      </c>
      <c r="D2053" t="s">
        <v>1602</v>
      </c>
      <c r="E2053" t="s">
        <v>1600</v>
      </c>
      <c r="F2053" t="s">
        <v>1603</v>
      </c>
    </row>
    <row r="2054" spans="1:6">
      <c r="A2054">
        <v>62</v>
      </c>
      <c r="B2054" t="s">
        <v>1751</v>
      </c>
      <c r="C2054">
        <v>48238</v>
      </c>
      <c r="D2054" t="s">
        <v>1604</v>
      </c>
      <c r="E2054" t="s">
        <v>1605</v>
      </c>
      <c r="F2054" t="s">
        <v>1606</v>
      </c>
    </row>
    <row r="2055" spans="1:6">
      <c r="A2055">
        <v>62</v>
      </c>
      <c r="B2055" t="s">
        <v>1751</v>
      </c>
      <c r="C2055">
        <v>102933</v>
      </c>
      <c r="D2055" t="s">
        <v>1461</v>
      </c>
      <c r="E2055" t="s">
        <v>1462</v>
      </c>
      <c r="F2055" t="s">
        <v>1463</v>
      </c>
    </row>
    <row r="2056" spans="1:6">
      <c r="A2056">
        <v>62</v>
      </c>
      <c r="B2056" t="s">
        <v>1751</v>
      </c>
      <c r="C2056">
        <v>222900.2</v>
      </c>
      <c r="D2056" t="s">
        <v>1379</v>
      </c>
      <c r="E2056" t="s">
        <v>1380</v>
      </c>
      <c r="F2056" t="s">
        <v>1381</v>
      </c>
    </row>
    <row r="2057" spans="1:6">
      <c r="A2057">
        <v>62</v>
      </c>
      <c r="B2057" t="s">
        <v>1751</v>
      </c>
      <c r="C2057">
        <v>430586.43</v>
      </c>
      <c r="D2057" t="s">
        <v>1475</v>
      </c>
      <c r="E2057" t="s">
        <v>1476</v>
      </c>
      <c r="F2057" t="s">
        <v>1477</v>
      </c>
    </row>
    <row r="2058" spans="1:6">
      <c r="A2058">
        <v>62</v>
      </c>
      <c r="B2058" t="s">
        <v>1751</v>
      </c>
      <c r="C2058">
        <v>1138543.26</v>
      </c>
      <c r="D2058" t="s">
        <v>1478</v>
      </c>
      <c r="E2058" t="s">
        <v>1479</v>
      </c>
      <c r="F2058" t="s">
        <v>1480</v>
      </c>
    </row>
    <row r="2059" spans="1:6">
      <c r="A2059">
        <v>62</v>
      </c>
      <c r="B2059" t="s">
        <v>1751</v>
      </c>
      <c r="C2059">
        <v>569326.93000000005</v>
      </c>
      <c r="D2059" t="s">
        <v>1365</v>
      </c>
      <c r="E2059" t="s">
        <v>1366</v>
      </c>
      <c r="F2059" t="s">
        <v>1367</v>
      </c>
    </row>
    <row r="2060" spans="1:6">
      <c r="A2060">
        <v>62</v>
      </c>
      <c r="B2060" t="s">
        <v>1751</v>
      </c>
      <c r="C2060">
        <v>2008293</v>
      </c>
      <c r="D2060" t="s">
        <v>1607</v>
      </c>
      <c r="E2060" t="s">
        <v>1608</v>
      </c>
      <c r="F2060" t="s">
        <v>1609</v>
      </c>
    </row>
    <row r="2061" spans="1:6">
      <c r="A2061">
        <v>62</v>
      </c>
      <c r="B2061" t="s">
        <v>1751</v>
      </c>
      <c r="C2061">
        <v>1465343</v>
      </c>
      <c r="D2061" t="s">
        <v>1610</v>
      </c>
      <c r="E2061" t="s">
        <v>1481</v>
      </c>
      <c r="F2061" t="s">
        <v>1482</v>
      </c>
    </row>
    <row r="2062" spans="1:6">
      <c r="A2062">
        <v>63</v>
      </c>
      <c r="B2062" t="s">
        <v>1752</v>
      </c>
      <c r="C2062">
        <v>1390</v>
      </c>
      <c r="D2062" t="s">
        <v>1486</v>
      </c>
      <c r="E2062" t="s">
        <v>1487</v>
      </c>
      <c r="F2062" t="s">
        <v>1488</v>
      </c>
    </row>
    <row r="2063" spans="1:6">
      <c r="A2063">
        <v>63</v>
      </c>
      <c r="B2063" t="s">
        <v>1752</v>
      </c>
      <c r="C2063">
        <v>650</v>
      </c>
      <c r="D2063" t="s">
        <v>1489</v>
      </c>
      <c r="E2063" t="s">
        <v>1490</v>
      </c>
      <c r="F2063" t="s">
        <v>1491</v>
      </c>
    </row>
    <row r="2064" spans="1:6">
      <c r="A2064">
        <v>63</v>
      </c>
      <c r="B2064" t="s">
        <v>1752</v>
      </c>
      <c r="C2064">
        <v>37407</v>
      </c>
      <c r="D2064" t="s">
        <v>1567</v>
      </c>
      <c r="E2064" t="s">
        <v>1568</v>
      </c>
      <c r="F2064" t="s">
        <v>1569</v>
      </c>
    </row>
    <row r="2065" spans="1:6">
      <c r="A2065">
        <v>63</v>
      </c>
      <c r="B2065" t="s">
        <v>1752</v>
      </c>
      <c r="C2065">
        <v>1227212</v>
      </c>
      <c r="D2065" t="s">
        <v>1570</v>
      </c>
      <c r="E2065" t="s">
        <v>1571</v>
      </c>
      <c r="F2065" t="s">
        <v>1572</v>
      </c>
    </row>
    <row r="2066" spans="1:6">
      <c r="A2066">
        <v>63</v>
      </c>
      <c r="B2066" t="s">
        <v>1752</v>
      </c>
      <c r="C2066">
        <v>10851</v>
      </c>
      <c r="D2066" t="s">
        <v>1371</v>
      </c>
      <c r="E2066" t="s">
        <v>1372</v>
      </c>
      <c r="F2066" t="s">
        <v>1373</v>
      </c>
    </row>
    <row r="2067" spans="1:6">
      <c r="A2067">
        <v>63</v>
      </c>
      <c r="B2067" t="s">
        <v>1752</v>
      </c>
      <c r="C2067">
        <v>669.78</v>
      </c>
      <c r="D2067" t="s">
        <v>1537</v>
      </c>
      <c r="E2067" t="s">
        <v>1538</v>
      </c>
      <c r="F2067" t="s">
        <v>1539</v>
      </c>
    </row>
    <row r="2068" spans="1:6">
      <c r="A2068">
        <v>63</v>
      </c>
      <c r="B2068" t="s">
        <v>1752</v>
      </c>
      <c r="C2068">
        <v>1113.71</v>
      </c>
      <c r="D2068" t="s">
        <v>1540</v>
      </c>
      <c r="E2068" t="s">
        <v>1538</v>
      </c>
      <c r="F2068" t="s">
        <v>1541</v>
      </c>
    </row>
    <row r="2069" spans="1:6">
      <c r="A2069">
        <v>63</v>
      </c>
      <c r="B2069" t="s">
        <v>1752</v>
      </c>
      <c r="C2069">
        <v>3133.3</v>
      </c>
      <c r="D2069" t="s">
        <v>1431</v>
      </c>
      <c r="E2069" t="s">
        <v>1432</v>
      </c>
      <c r="F2069" t="s">
        <v>1433</v>
      </c>
    </row>
    <row r="2070" spans="1:6">
      <c r="A2070">
        <v>63</v>
      </c>
      <c r="B2070" t="s">
        <v>1752</v>
      </c>
      <c r="C2070">
        <v>7340.15</v>
      </c>
      <c r="D2070" t="s">
        <v>1434</v>
      </c>
      <c r="E2070" t="s">
        <v>1432</v>
      </c>
      <c r="F2070" t="s">
        <v>1435</v>
      </c>
    </row>
    <row r="2071" spans="1:6">
      <c r="A2071">
        <v>63</v>
      </c>
      <c r="B2071" t="s">
        <v>1752</v>
      </c>
      <c r="C2071">
        <v>3099</v>
      </c>
      <c r="D2071" t="s">
        <v>1587</v>
      </c>
      <c r="E2071" t="s">
        <v>1585</v>
      </c>
      <c r="F2071" t="s">
        <v>1588</v>
      </c>
    </row>
    <row r="2072" spans="1:6">
      <c r="A2072">
        <v>63</v>
      </c>
      <c r="B2072" t="s">
        <v>1752</v>
      </c>
      <c r="C2072">
        <v>261</v>
      </c>
      <c r="D2072" t="s">
        <v>1592</v>
      </c>
      <c r="E2072" t="s">
        <v>1590</v>
      </c>
      <c r="F2072" t="s">
        <v>1593</v>
      </c>
    </row>
    <row r="2073" spans="1:6">
      <c r="A2073">
        <v>63</v>
      </c>
      <c r="B2073" t="s">
        <v>1752</v>
      </c>
      <c r="C2073">
        <v>270</v>
      </c>
      <c r="D2073" t="s">
        <v>1597</v>
      </c>
      <c r="E2073" t="s">
        <v>1595</v>
      </c>
      <c r="F2073" t="s">
        <v>1598</v>
      </c>
    </row>
    <row r="2074" spans="1:6">
      <c r="A2074">
        <v>63</v>
      </c>
      <c r="B2074" t="s">
        <v>1752</v>
      </c>
      <c r="C2074">
        <v>12027.9</v>
      </c>
      <c r="D2074" t="s">
        <v>1379</v>
      </c>
      <c r="E2074" t="s">
        <v>1380</v>
      </c>
      <c r="F2074" t="s">
        <v>1381</v>
      </c>
    </row>
    <row r="2075" spans="1:6">
      <c r="A2075">
        <v>63</v>
      </c>
      <c r="B2075" t="s">
        <v>1752</v>
      </c>
      <c r="C2075">
        <v>7977.02</v>
      </c>
      <c r="D2075" t="s">
        <v>1475</v>
      </c>
      <c r="E2075" t="s">
        <v>1476</v>
      </c>
      <c r="F2075" t="s">
        <v>1477</v>
      </c>
    </row>
    <row r="2076" spans="1:6">
      <c r="A2076">
        <v>63</v>
      </c>
      <c r="B2076" t="s">
        <v>1752</v>
      </c>
      <c r="C2076">
        <v>123518.54</v>
      </c>
      <c r="D2076" t="s">
        <v>1478</v>
      </c>
      <c r="E2076" t="s">
        <v>1479</v>
      </c>
      <c r="F2076" t="s">
        <v>1480</v>
      </c>
    </row>
    <row r="2077" spans="1:6">
      <c r="A2077">
        <v>64</v>
      </c>
      <c r="B2077" t="s">
        <v>1753</v>
      </c>
      <c r="C2077">
        <v>165634</v>
      </c>
      <c r="D2077" t="s">
        <v>1489</v>
      </c>
      <c r="E2077" t="s">
        <v>1490</v>
      </c>
      <c r="F2077" t="s">
        <v>1491</v>
      </c>
    </row>
    <row r="2078" spans="1:6">
      <c r="A2078">
        <v>64</v>
      </c>
      <c r="B2078" t="s">
        <v>1753</v>
      </c>
      <c r="C2078">
        <v>102250</v>
      </c>
      <c r="D2078" t="s">
        <v>1404</v>
      </c>
      <c r="E2078" t="s">
        <v>1405</v>
      </c>
      <c r="F2078" t="s">
        <v>1406</v>
      </c>
    </row>
    <row r="2079" spans="1:6">
      <c r="A2079">
        <v>64</v>
      </c>
      <c r="B2079" t="s">
        <v>1753</v>
      </c>
      <c r="C2079">
        <v>102250</v>
      </c>
      <c r="D2079" t="s">
        <v>1317</v>
      </c>
      <c r="E2079" t="s">
        <v>1405</v>
      </c>
      <c r="F2079" t="s">
        <v>1406</v>
      </c>
    </row>
    <row r="2080" spans="1:6">
      <c r="A2080">
        <v>64</v>
      </c>
      <c r="B2080" t="s">
        <v>1753</v>
      </c>
      <c r="C2080">
        <v>102250</v>
      </c>
      <c r="D2080" t="s">
        <v>1318</v>
      </c>
      <c r="E2080" t="s">
        <v>1405</v>
      </c>
      <c r="F2080" t="s">
        <v>1406</v>
      </c>
    </row>
    <row r="2081" spans="1:6">
      <c r="A2081">
        <v>64</v>
      </c>
      <c r="B2081" t="s">
        <v>1753</v>
      </c>
      <c r="C2081">
        <v>102250</v>
      </c>
      <c r="D2081" t="s">
        <v>1319</v>
      </c>
      <c r="E2081" t="s">
        <v>1320</v>
      </c>
      <c r="F2081" t="s">
        <v>1406</v>
      </c>
    </row>
    <row r="2082" spans="1:6">
      <c r="A2082">
        <v>64</v>
      </c>
      <c r="B2082" t="s">
        <v>1753</v>
      </c>
      <c r="C2082">
        <v>102250</v>
      </c>
      <c r="D2082" t="s">
        <v>1152</v>
      </c>
      <c r="E2082" t="s">
        <v>1405</v>
      </c>
      <c r="F2082" t="s">
        <v>1406</v>
      </c>
    </row>
    <row r="2083" spans="1:6">
      <c r="A2083">
        <v>64</v>
      </c>
      <c r="B2083" t="s">
        <v>1753</v>
      </c>
      <c r="C2083">
        <v>3111337</v>
      </c>
      <c r="D2083" t="s">
        <v>1567</v>
      </c>
      <c r="E2083" t="s">
        <v>1568</v>
      </c>
      <c r="F2083" t="s">
        <v>1569</v>
      </c>
    </row>
    <row r="2084" spans="1:6">
      <c r="A2084">
        <v>64</v>
      </c>
      <c r="B2084" t="s">
        <v>1753</v>
      </c>
      <c r="C2084">
        <v>53894</v>
      </c>
      <c r="D2084" t="s">
        <v>1496</v>
      </c>
      <c r="E2084" t="s">
        <v>1497</v>
      </c>
      <c r="F2084" t="s">
        <v>1498</v>
      </c>
    </row>
    <row r="2085" spans="1:6">
      <c r="A2085">
        <v>64</v>
      </c>
      <c r="B2085" t="s">
        <v>1753</v>
      </c>
      <c r="C2085">
        <v>169077402</v>
      </c>
      <c r="D2085" t="s">
        <v>1570</v>
      </c>
      <c r="E2085" t="s">
        <v>1571</v>
      </c>
      <c r="F2085" t="s">
        <v>1572</v>
      </c>
    </row>
    <row r="2086" spans="1:6">
      <c r="A2086">
        <v>64</v>
      </c>
      <c r="B2086" t="s">
        <v>1753</v>
      </c>
      <c r="C2086">
        <v>402856</v>
      </c>
      <c r="D2086" t="s">
        <v>1327</v>
      </c>
      <c r="E2086" t="s">
        <v>1328</v>
      </c>
      <c r="F2086" t="s">
        <v>1329</v>
      </c>
    </row>
    <row r="2087" spans="1:6">
      <c r="A2087">
        <v>64</v>
      </c>
      <c r="B2087" t="s">
        <v>1753</v>
      </c>
      <c r="C2087">
        <v>6625101</v>
      </c>
      <c r="D2087" t="s">
        <v>1499</v>
      </c>
      <c r="E2087" t="s">
        <v>1500</v>
      </c>
      <c r="F2087" t="s">
        <v>1501</v>
      </c>
    </row>
    <row r="2088" spans="1:6">
      <c r="A2088">
        <v>64</v>
      </c>
      <c r="B2088" t="s">
        <v>1753</v>
      </c>
      <c r="C2088">
        <v>3062025</v>
      </c>
      <c r="D2088" t="s">
        <v>1502</v>
      </c>
      <c r="E2088" t="s">
        <v>1503</v>
      </c>
      <c r="F2088" t="s">
        <v>1504</v>
      </c>
    </row>
    <row r="2089" spans="1:6">
      <c r="A2089">
        <v>64</v>
      </c>
      <c r="B2089" t="s">
        <v>1753</v>
      </c>
      <c r="C2089">
        <v>402237</v>
      </c>
      <c r="D2089" t="s">
        <v>1505</v>
      </c>
      <c r="E2089" t="s">
        <v>1506</v>
      </c>
      <c r="F2089" t="s">
        <v>1507</v>
      </c>
    </row>
    <row r="2090" spans="1:6">
      <c r="A2090">
        <v>64</v>
      </c>
      <c r="B2090" t="s">
        <v>1753</v>
      </c>
      <c r="C2090">
        <v>463648</v>
      </c>
      <c r="D2090" t="s">
        <v>1508</v>
      </c>
      <c r="E2090" t="s">
        <v>1509</v>
      </c>
      <c r="F2090" t="s">
        <v>1510</v>
      </c>
    </row>
    <row r="2091" spans="1:6">
      <c r="A2091">
        <v>64</v>
      </c>
      <c r="B2091" t="s">
        <v>1753</v>
      </c>
      <c r="C2091">
        <v>16381</v>
      </c>
      <c r="D2091" t="s">
        <v>1330</v>
      </c>
      <c r="E2091" t="s">
        <v>1331</v>
      </c>
      <c r="F2091" t="s">
        <v>1332</v>
      </c>
    </row>
    <row r="2092" spans="1:6">
      <c r="A2092">
        <v>64</v>
      </c>
      <c r="B2092" t="s">
        <v>1753</v>
      </c>
      <c r="C2092">
        <v>35000</v>
      </c>
      <c r="D2092" t="s">
        <v>1333</v>
      </c>
      <c r="E2092" t="s">
        <v>1383</v>
      </c>
      <c r="F2092" t="s">
        <v>1334</v>
      </c>
    </row>
    <row r="2093" spans="1:6">
      <c r="A2093">
        <v>64</v>
      </c>
      <c r="B2093" t="s">
        <v>1753</v>
      </c>
      <c r="C2093">
        <v>55240</v>
      </c>
      <c r="D2093" t="s">
        <v>1335</v>
      </c>
      <c r="E2093" t="s">
        <v>1383</v>
      </c>
      <c r="F2093" t="s">
        <v>1334</v>
      </c>
    </row>
    <row r="2094" spans="1:6">
      <c r="A2094">
        <v>64</v>
      </c>
      <c r="B2094" t="s">
        <v>1753</v>
      </c>
      <c r="C2094">
        <v>68000</v>
      </c>
      <c r="D2094" t="s">
        <v>1382</v>
      </c>
      <c r="E2094" t="s">
        <v>1383</v>
      </c>
      <c r="F2094" t="s">
        <v>1384</v>
      </c>
    </row>
    <row r="2095" spans="1:6">
      <c r="A2095">
        <v>64</v>
      </c>
      <c r="B2095" t="s">
        <v>1753</v>
      </c>
      <c r="C2095">
        <v>62500</v>
      </c>
      <c r="D2095" t="s">
        <v>1338</v>
      </c>
      <c r="E2095" t="s">
        <v>1383</v>
      </c>
      <c r="F2095" t="s">
        <v>1384</v>
      </c>
    </row>
    <row r="2096" spans="1:6">
      <c r="A2096">
        <v>64</v>
      </c>
      <c r="B2096" t="s">
        <v>1753</v>
      </c>
      <c r="C2096">
        <v>94085</v>
      </c>
      <c r="D2096" t="s">
        <v>1339</v>
      </c>
      <c r="E2096" t="s">
        <v>1383</v>
      </c>
      <c r="F2096" t="s">
        <v>1384</v>
      </c>
    </row>
    <row r="2097" spans="1:6">
      <c r="A2097">
        <v>64</v>
      </c>
      <c r="B2097" t="s">
        <v>1753</v>
      </c>
      <c r="C2097">
        <v>67189</v>
      </c>
      <c r="D2097" t="s">
        <v>1340</v>
      </c>
      <c r="E2097" t="s">
        <v>1383</v>
      </c>
      <c r="F2097" t="s">
        <v>1384</v>
      </c>
    </row>
    <row r="2098" spans="1:6">
      <c r="A2098">
        <v>64</v>
      </c>
      <c r="B2098" t="s">
        <v>1753</v>
      </c>
      <c r="C2098">
        <v>56100</v>
      </c>
      <c r="D2098" t="s">
        <v>1341</v>
      </c>
      <c r="E2098" t="s">
        <v>1383</v>
      </c>
      <c r="F2098" t="s">
        <v>1384</v>
      </c>
    </row>
    <row r="2099" spans="1:6">
      <c r="A2099">
        <v>64</v>
      </c>
      <c r="B2099" t="s">
        <v>1753</v>
      </c>
      <c r="C2099">
        <v>57593</v>
      </c>
      <c r="D2099" t="s">
        <v>1342</v>
      </c>
      <c r="E2099" t="s">
        <v>1383</v>
      </c>
      <c r="F2099" t="s">
        <v>1384</v>
      </c>
    </row>
    <row r="2100" spans="1:6">
      <c r="A2100">
        <v>64</v>
      </c>
      <c r="B2100" t="s">
        <v>1753</v>
      </c>
      <c r="C2100">
        <v>121697</v>
      </c>
      <c r="D2100" t="s">
        <v>1343</v>
      </c>
      <c r="E2100" t="s">
        <v>1383</v>
      </c>
      <c r="F2100" t="s">
        <v>1384</v>
      </c>
    </row>
    <row r="2101" spans="1:6">
      <c r="A2101">
        <v>64</v>
      </c>
      <c r="B2101" t="s">
        <v>1753</v>
      </c>
      <c r="C2101">
        <v>100000</v>
      </c>
      <c r="D2101" t="s">
        <v>1344</v>
      </c>
      <c r="E2101" t="s">
        <v>1383</v>
      </c>
      <c r="F2101" t="s">
        <v>1384</v>
      </c>
    </row>
    <row r="2102" spans="1:6">
      <c r="A2102">
        <v>64</v>
      </c>
      <c r="B2102" t="s">
        <v>1753</v>
      </c>
      <c r="C2102">
        <v>63685</v>
      </c>
      <c r="D2102" t="s">
        <v>1345</v>
      </c>
      <c r="E2102" t="s">
        <v>1383</v>
      </c>
      <c r="F2102" t="s">
        <v>1384</v>
      </c>
    </row>
    <row r="2103" spans="1:6">
      <c r="A2103">
        <v>64</v>
      </c>
      <c r="B2103" t="s">
        <v>1753</v>
      </c>
      <c r="C2103">
        <v>70000</v>
      </c>
      <c r="D2103" t="s">
        <v>1385</v>
      </c>
      <c r="E2103" t="s">
        <v>1383</v>
      </c>
      <c r="F2103" t="s">
        <v>1386</v>
      </c>
    </row>
    <row r="2104" spans="1:6">
      <c r="A2104">
        <v>64</v>
      </c>
      <c r="B2104" t="s">
        <v>1753</v>
      </c>
      <c r="C2104">
        <v>46200</v>
      </c>
      <c r="D2104" t="s">
        <v>1153</v>
      </c>
      <c r="E2104" t="s">
        <v>1383</v>
      </c>
      <c r="F2104" t="s">
        <v>1386</v>
      </c>
    </row>
    <row r="2105" spans="1:6">
      <c r="A2105">
        <v>64</v>
      </c>
      <c r="B2105" t="s">
        <v>1753</v>
      </c>
      <c r="C2105">
        <v>46074</v>
      </c>
      <c r="D2105" t="s">
        <v>1154</v>
      </c>
      <c r="E2105" t="s">
        <v>1383</v>
      </c>
      <c r="F2105" t="s">
        <v>1386</v>
      </c>
    </row>
    <row r="2106" spans="1:6">
      <c r="A2106">
        <v>64</v>
      </c>
      <c r="B2106" t="s">
        <v>1753</v>
      </c>
      <c r="C2106">
        <v>56637</v>
      </c>
      <c r="D2106" t="s">
        <v>1155</v>
      </c>
      <c r="E2106" t="s">
        <v>1383</v>
      </c>
      <c r="F2106" t="s">
        <v>1386</v>
      </c>
    </row>
    <row r="2107" spans="1:6">
      <c r="A2107">
        <v>64</v>
      </c>
      <c r="B2107" t="s">
        <v>1753</v>
      </c>
      <c r="C2107">
        <v>123000</v>
      </c>
      <c r="D2107" t="s">
        <v>1515</v>
      </c>
      <c r="E2107" t="s">
        <v>1516</v>
      </c>
      <c r="F2107" t="s">
        <v>1517</v>
      </c>
    </row>
    <row r="2108" spans="1:6">
      <c r="A2108">
        <v>64</v>
      </c>
      <c r="B2108" t="s">
        <v>1753</v>
      </c>
      <c r="C2108">
        <v>65696</v>
      </c>
      <c r="D2108" t="s">
        <v>1518</v>
      </c>
      <c r="E2108" t="s">
        <v>1516</v>
      </c>
      <c r="F2108" t="s">
        <v>1519</v>
      </c>
    </row>
    <row r="2109" spans="1:6">
      <c r="A2109">
        <v>64</v>
      </c>
      <c r="B2109" t="s">
        <v>1753</v>
      </c>
      <c r="C2109">
        <v>5653396</v>
      </c>
      <c r="D2109" t="s">
        <v>1520</v>
      </c>
      <c r="E2109" t="s">
        <v>1521</v>
      </c>
      <c r="F2109" t="s">
        <v>1522</v>
      </c>
    </row>
    <row r="2110" spans="1:6">
      <c r="A2110">
        <v>64</v>
      </c>
      <c r="B2110" t="s">
        <v>1753</v>
      </c>
      <c r="C2110">
        <v>1447333</v>
      </c>
      <c r="D2110" t="s">
        <v>1573</v>
      </c>
      <c r="E2110" t="s">
        <v>1574</v>
      </c>
      <c r="F2110" t="s">
        <v>1575</v>
      </c>
    </row>
    <row r="2111" spans="1:6">
      <c r="A2111">
        <v>64</v>
      </c>
      <c r="B2111" t="s">
        <v>1753</v>
      </c>
      <c r="C2111">
        <v>803521</v>
      </c>
      <c r="D2111" t="s">
        <v>1523</v>
      </c>
      <c r="E2111" t="s">
        <v>1521</v>
      </c>
      <c r="F2111" t="s">
        <v>1524</v>
      </c>
    </row>
    <row r="2112" spans="1:6">
      <c r="A2112">
        <v>64</v>
      </c>
      <c r="B2112" t="s">
        <v>1753</v>
      </c>
      <c r="C2112">
        <v>946733</v>
      </c>
      <c r="D2112" t="s">
        <v>1371</v>
      </c>
      <c r="E2112" t="s">
        <v>1372</v>
      </c>
      <c r="F2112" t="s">
        <v>1373</v>
      </c>
    </row>
    <row r="2113" spans="1:6">
      <c r="A2113">
        <v>64</v>
      </c>
      <c r="B2113" t="s">
        <v>1753</v>
      </c>
      <c r="C2113">
        <v>13589</v>
      </c>
      <c r="D2113" t="s">
        <v>1525</v>
      </c>
      <c r="E2113" t="s">
        <v>1526</v>
      </c>
      <c r="F2113" t="s">
        <v>1527</v>
      </c>
    </row>
    <row r="2114" spans="1:6">
      <c r="A2114">
        <v>64</v>
      </c>
      <c r="B2114" t="s">
        <v>1753</v>
      </c>
      <c r="C2114">
        <v>160575</v>
      </c>
      <c r="D2114" t="s">
        <v>1528</v>
      </c>
      <c r="E2114" t="s">
        <v>1529</v>
      </c>
      <c r="F2114" t="s">
        <v>1530</v>
      </c>
    </row>
    <row r="2115" spans="1:6">
      <c r="A2115">
        <v>64</v>
      </c>
      <c r="B2115" t="s">
        <v>1753</v>
      </c>
      <c r="C2115">
        <v>2000</v>
      </c>
      <c r="D2115" t="s">
        <v>1531</v>
      </c>
      <c r="E2115" t="s">
        <v>1532</v>
      </c>
      <c r="F2115" t="s">
        <v>1533</v>
      </c>
    </row>
    <row r="2116" spans="1:6">
      <c r="A2116">
        <v>64</v>
      </c>
      <c r="B2116" t="s">
        <v>1753</v>
      </c>
      <c r="C2116">
        <v>2129400</v>
      </c>
      <c r="D2116" t="s">
        <v>1387</v>
      </c>
      <c r="E2116" t="s">
        <v>1388</v>
      </c>
      <c r="F2116" t="s">
        <v>1389</v>
      </c>
    </row>
    <row r="2117" spans="1:6">
      <c r="A2117">
        <v>64</v>
      </c>
      <c r="B2117" t="s">
        <v>1753</v>
      </c>
      <c r="C2117">
        <v>2522124</v>
      </c>
      <c r="D2117" t="s">
        <v>1156</v>
      </c>
      <c r="E2117" t="s">
        <v>1411</v>
      </c>
      <c r="F2117" t="s">
        <v>1412</v>
      </c>
    </row>
    <row r="2118" spans="1:6">
      <c r="A2118">
        <v>64</v>
      </c>
      <c r="B2118" t="s">
        <v>1753</v>
      </c>
      <c r="C2118">
        <v>1478194</v>
      </c>
      <c r="D2118" t="s">
        <v>1157</v>
      </c>
      <c r="E2118" t="s">
        <v>1411</v>
      </c>
      <c r="F2118" t="s">
        <v>1412</v>
      </c>
    </row>
    <row r="2119" spans="1:6">
      <c r="A2119">
        <v>64</v>
      </c>
      <c r="B2119" t="s">
        <v>1753</v>
      </c>
      <c r="C2119">
        <v>1306307</v>
      </c>
      <c r="D2119" t="s">
        <v>1158</v>
      </c>
      <c r="E2119" t="s">
        <v>1411</v>
      </c>
      <c r="F2119" t="s">
        <v>1412</v>
      </c>
    </row>
    <row r="2120" spans="1:6">
      <c r="A2120">
        <v>64</v>
      </c>
      <c r="B2120" t="s">
        <v>1753</v>
      </c>
      <c r="C2120">
        <v>2531080</v>
      </c>
      <c r="D2120" t="s">
        <v>1159</v>
      </c>
      <c r="E2120" t="s">
        <v>1411</v>
      </c>
      <c r="F2120" t="s">
        <v>1412</v>
      </c>
    </row>
    <row r="2121" spans="1:6">
      <c r="A2121">
        <v>64</v>
      </c>
      <c r="B2121" t="s">
        <v>1753</v>
      </c>
      <c r="C2121">
        <v>1263651</v>
      </c>
      <c r="D2121" t="s">
        <v>1160</v>
      </c>
      <c r="E2121" t="s">
        <v>1411</v>
      </c>
      <c r="F2121" t="s">
        <v>1412</v>
      </c>
    </row>
    <row r="2122" spans="1:6">
      <c r="A2122">
        <v>64</v>
      </c>
      <c r="B2122" t="s">
        <v>1753</v>
      </c>
      <c r="C2122">
        <v>563698</v>
      </c>
      <c r="D2122" t="s">
        <v>1161</v>
      </c>
      <c r="E2122" t="s">
        <v>1411</v>
      </c>
      <c r="F2122" t="s">
        <v>1412</v>
      </c>
    </row>
    <row r="2123" spans="1:6">
      <c r="A2123">
        <v>64</v>
      </c>
      <c r="B2123" t="s">
        <v>1753</v>
      </c>
      <c r="C2123">
        <v>1457536</v>
      </c>
      <c r="D2123" t="s">
        <v>1162</v>
      </c>
      <c r="E2123" t="s">
        <v>1411</v>
      </c>
      <c r="F2123" t="s">
        <v>1412</v>
      </c>
    </row>
    <row r="2124" spans="1:6">
      <c r="A2124">
        <v>64</v>
      </c>
      <c r="B2124" t="s">
        <v>1753</v>
      </c>
      <c r="C2124">
        <v>1186176</v>
      </c>
      <c r="D2124" t="s">
        <v>1163</v>
      </c>
      <c r="E2124" t="s">
        <v>1411</v>
      </c>
      <c r="F2124" t="s">
        <v>1412</v>
      </c>
    </row>
    <row r="2125" spans="1:6">
      <c r="A2125">
        <v>64</v>
      </c>
      <c r="B2125" t="s">
        <v>1753</v>
      </c>
      <c r="C2125">
        <v>805922</v>
      </c>
      <c r="D2125" t="s">
        <v>1164</v>
      </c>
      <c r="E2125" t="s">
        <v>1411</v>
      </c>
      <c r="F2125" t="s">
        <v>1412</v>
      </c>
    </row>
    <row r="2126" spans="1:6">
      <c r="A2126">
        <v>64</v>
      </c>
      <c r="B2126" t="s">
        <v>1753</v>
      </c>
      <c r="C2126">
        <v>1225328</v>
      </c>
      <c r="D2126" t="s">
        <v>1165</v>
      </c>
      <c r="E2126" t="s">
        <v>1411</v>
      </c>
      <c r="F2126" t="s">
        <v>1412</v>
      </c>
    </row>
    <row r="2127" spans="1:6">
      <c r="A2127">
        <v>64</v>
      </c>
      <c r="B2127" t="s">
        <v>1753</v>
      </c>
      <c r="C2127">
        <v>377024</v>
      </c>
      <c r="D2127" t="s">
        <v>1166</v>
      </c>
      <c r="E2127" t="s">
        <v>1411</v>
      </c>
      <c r="F2127" t="s">
        <v>1412</v>
      </c>
    </row>
    <row r="2128" spans="1:6">
      <c r="A2128">
        <v>64</v>
      </c>
      <c r="B2128" t="s">
        <v>1753</v>
      </c>
      <c r="C2128">
        <v>524446</v>
      </c>
      <c r="D2128" t="s">
        <v>1167</v>
      </c>
      <c r="E2128" t="s">
        <v>1411</v>
      </c>
      <c r="F2128" t="s">
        <v>1412</v>
      </c>
    </row>
    <row r="2129" spans="1:6">
      <c r="A2129">
        <v>64</v>
      </c>
      <c r="B2129" t="s">
        <v>1753</v>
      </c>
      <c r="C2129">
        <v>1900000</v>
      </c>
      <c r="D2129" t="s">
        <v>1304</v>
      </c>
      <c r="E2129" t="s">
        <v>1305</v>
      </c>
      <c r="F2129" t="s">
        <v>1412</v>
      </c>
    </row>
    <row r="2130" spans="1:6">
      <c r="A2130">
        <v>64</v>
      </c>
      <c r="B2130" t="s">
        <v>1753</v>
      </c>
      <c r="C2130">
        <v>70000</v>
      </c>
      <c r="D2130" t="s">
        <v>1306</v>
      </c>
      <c r="E2130" t="s">
        <v>1307</v>
      </c>
      <c r="F2130" t="s">
        <v>1308</v>
      </c>
    </row>
    <row r="2131" spans="1:6">
      <c r="A2131">
        <v>64</v>
      </c>
      <c r="B2131" t="s">
        <v>1753</v>
      </c>
      <c r="C2131">
        <v>57978</v>
      </c>
      <c r="D2131" t="s">
        <v>1390</v>
      </c>
      <c r="E2131" t="s">
        <v>1391</v>
      </c>
      <c r="F2131" t="s">
        <v>1392</v>
      </c>
    </row>
    <row r="2132" spans="1:6">
      <c r="A2132">
        <v>64</v>
      </c>
      <c r="B2132" t="s">
        <v>1753</v>
      </c>
      <c r="C2132">
        <v>230091</v>
      </c>
      <c r="D2132" t="s">
        <v>1534</v>
      </c>
      <c r="E2132" t="s">
        <v>1535</v>
      </c>
      <c r="F2132" t="s">
        <v>1536</v>
      </c>
    </row>
    <row r="2133" spans="1:6">
      <c r="A2133">
        <v>64</v>
      </c>
      <c r="B2133" t="s">
        <v>1753</v>
      </c>
      <c r="C2133">
        <v>597542.69999999995</v>
      </c>
      <c r="D2133" t="s">
        <v>1537</v>
      </c>
      <c r="E2133" t="s">
        <v>1538</v>
      </c>
      <c r="F2133" t="s">
        <v>1539</v>
      </c>
    </row>
    <row r="2134" spans="1:6">
      <c r="A2134">
        <v>64</v>
      </c>
      <c r="B2134" t="s">
        <v>1753</v>
      </c>
      <c r="C2134">
        <v>1263750.19</v>
      </c>
      <c r="D2134" t="s">
        <v>1540</v>
      </c>
      <c r="E2134" t="s">
        <v>1538</v>
      </c>
      <c r="F2134" t="s">
        <v>1541</v>
      </c>
    </row>
    <row r="2135" spans="1:6">
      <c r="A2135">
        <v>64</v>
      </c>
      <c r="B2135" t="s">
        <v>1753</v>
      </c>
      <c r="C2135">
        <v>75725</v>
      </c>
      <c r="D2135" t="s">
        <v>1220</v>
      </c>
      <c r="E2135" t="s">
        <v>1221</v>
      </c>
      <c r="F2135" t="s">
        <v>1222</v>
      </c>
    </row>
    <row r="2136" spans="1:6">
      <c r="A2136">
        <v>64</v>
      </c>
      <c r="B2136" t="s">
        <v>1753</v>
      </c>
      <c r="C2136">
        <v>72779</v>
      </c>
      <c r="D2136" t="s">
        <v>1223</v>
      </c>
      <c r="E2136" t="s">
        <v>1221</v>
      </c>
      <c r="F2136" t="s">
        <v>1224</v>
      </c>
    </row>
    <row r="2137" spans="1:6">
      <c r="A2137">
        <v>64</v>
      </c>
      <c r="B2137" t="s">
        <v>1753</v>
      </c>
      <c r="C2137">
        <v>87291</v>
      </c>
      <c r="D2137" t="s">
        <v>1542</v>
      </c>
      <c r="E2137" t="s">
        <v>1424</v>
      </c>
      <c r="F2137" t="s">
        <v>1425</v>
      </c>
    </row>
    <row r="2138" spans="1:6">
      <c r="A2138">
        <v>64</v>
      </c>
      <c r="B2138" t="s">
        <v>1753</v>
      </c>
      <c r="C2138">
        <v>29081</v>
      </c>
      <c r="D2138" t="s">
        <v>1245</v>
      </c>
      <c r="E2138" t="s">
        <v>1424</v>
      </c>
      <c r="F2138" t="s">
        <v>1425</v>
      </c>
    </row>
    <row r="2139" spans="1:6">
      <c r="A2139">
        <v>64</v>
      </c>
      <c r="B2139" t="s">
        <v>1753</v>
      </c>
      <c r="C2139">
        <v>119846</v>
      </c>
      <c r="D2139" t="s">
        <v>1426</v>
      </c>
      <c r="E2139" t="s">
        <v>1424</v>
      </c>
      <c r="F2139" t="s">
        <v>1427</v>
      </c>
    </row>
    <row r="2140" spans="1:6">
      <c r="A2140">
        <v>64</v>
      </c>
      <c r="B2140" t="s">
        <v>1753</v>
      </c>
      <c r="C2140">
        <v>3740</v>
      </c>
      <c r="D2140" t="s">
        <v>1225</v>
      </c>
      <c r="E2140" t="s">
        <v>1226</v>
      </c>
      <c r="F2140" t="s">
        <v>1227</v>
      </c>
    </row>
    <row r="2141" spans="1:6">
      <c r="A2141">
        <v>64</v>
      </c>
      <c r="B2141" t="s">
        <v>1753</v>
      </c>
      <c r="C2141">
        <v>3428</v>
      </c>
      <c r="D2141" t="s">
        <v>1228</v>
      </c>
      <c r="E2141" t="s">
        <v>1226</v>
      </c>
      <c r="F2141" t="s">
        <v>1229</v>
      </c>
    </row>
    <row r="2142" spans="1:6">
      <c r="A2142">
        <v>64</v>
      </c>
      <c r="B2142" t="s">
        <v>1753</v>
      </c>
      <c r="C2142">
        <v>4555</v>
      </c>
      <c r="D2142" t="s">
        <v>1428</v>
      </c>
      <c r="E2142" t="s">
        <v>1429</v>
      </c>
      <c r="F2142" t="s">
        <v>1430</v>
      </c>
    </row>
    <row r="2143" spans="1:6">
      <c r="A2143">
        <v>64</v>
      </c>
      <c r="B2143" t="s">
        <v>1753</v>
      </c>
      <c r="C2143">
        <v>4986</v>
      </c>
      <c r="D2143" t="s">
        <v>1246</v>
      </c>
      <c r="E2143" t="s">
        <v>1429</v>
      </c>
      <c r="F2143" t="s">
        <v>1430</v>
      </c>
    </row>
    <row r="2144" spans="1:6">
      <c r="A2144">
        <v>64</v>
      </c>
      <c r="B2144" t="s">
        <v>1753</v>
      </c>
      <c r="C2144">
        <v>10757</v>
      </c>
      <c r="D2144" t="s">
        <v>1247</v>
      </c>
      <c r="E2144" t="s">
        <v>1429</v>
      </c>
      <c r="F2144" t="s">
        <v>1248</v>
      </c>
    </row>
    <row r="2145" spans="1:6">
      <c r="A2145">
        <v>64</v>
      </c>
      <c r="B2145" t="s">
        <v>1753</v>
      </c>
      <c r="C2145">
        <v>2498494.09</v>
      </c>
      <c r="D2145" t="s">
        <v>1431</v>
      </c>
      <c r="E2145" t="s">
        <v>1432</v>
      </c>
      <c r="F2145" t="s">
        <v>1433</v>
      </c>
    </row>
    <row r="2146" spans="1:6">
      <c r="A2146">
        <v>64</v>
      </c>
      <c r="B2146" t="s">
        <v>1753</v>
      </c>
      <c r="C2146">
        <v>5274611.26</v>
      </c>
      <c r="D2146" t="s">
        <v>1434</v>
      </c>
      <c r="E2146" t="s">
        <v>1432</v>
      </c>
      <c r="F2146" t="s">
        <v>1435</v>
      </c>
    </row>
    <row r="2147" spans="1:6">
      <c r="A2147">
        <v>64</v>
      </c>
      <c r="B2147" t="s">
        <v>1753</v>
      </c>
      <c r="C2147">
        <v>9600</v>
      </c>
      <c r="D2147" t="s">
        <v>1168</v>
      </c>
      <c r="E2147" t="s">
        <v>1169</v>
      </c>
      <c r="F2147" t="s">
        <v>1354</v>
      </c>
    </row>
    <row r="2148" spans="1:6">
      <c r="A2148">
        <v>64</v>
      </c>
      <c r="B2148" t="s">
        <v>1753</v>
      </c>
      <c r="C2148">
        <v>30000</v>
      </c>
      <c r="D2148" t="s">
        <v>1170</v>
      </c>
      <c r="E2148" t="s">
        <v>1169</v>
      </c>
      <c r="F2148" t="s">
        <v>1354</v>
      </c>
    </row>
    <row r="2149" spans="1:6">
      <c r="A2149">
        <v>64</v>
      </c>
      <c r="B2149" t="s">
        <v>1753</v>
      </c>
      <c r="C2149">
        <v>3503000</v>
      </c>
      <c r="D2149" t="s">
        <v>1576</v>
      </c>
      <c r="E2149" t="s">
        <v>1577</v>
      </c>
      <c r="F2149" t="s">
        <v>1578</v>
      </c>
    </row>
    <row r="2150" spans="1:6">
      <c r="A2150">
        <v>64</v>
      </c>
      <c r="B2150" t="s">
        <v>1753</v>
      </c>
      <c r="C2150">
        <v>17244000</v>
      </c>
      <c r="D2150" t="s">
        <v>1579</v>
      </c>
      <c r="E2150" t="s">
        <v>1577</v>
      </c>
      <c r="F2150" t="s">
        <v>1580</v>
      </c>
    </row>
    <row r="2151" spans="1:6">
      <c r="A2151">
        <v>64</v>
      </c>
      <c r="B2151" t="s">
        <v>1753</v>
      </c>
      <c r="C2151">
        <v>267000</v>
      </c>
      <c r="D2151" t="s">
        <v>1356</v>
      </c>
      <c r="E2151" t="s">
        <v>1357</v>
      </c>
      <c r="F2151" t="s">
        <v>1358</v>
      </c>
    </row>
    <row r="2152" spans="1:6">
      <c r="A2152">
        <v>64</v>
      </c>
      <c r="B2152" t="s">
        <v>1753</v>
      </c>
      <c r="C2152">
        <v>389100</v>
      </c>
      <c r="D2152" t="s">
        <v>1359</v>
      </c>
      <c r="E2152" t="s">
        <v>1357</v>
      </c>
      <c r="F2152" t="s">
        <v>1360</v>
      </c>
    </row>
    <row r="2153" spans="1:6">
      <c r="A2153">
        <v>64</v>
      </c>
      <c r="B2153" t="s">
        <v>1753</v>
      </c>
      <c r="C2153">
        <v>904189</v>
      </c>
      <c r="D2153" t="s">
        <v>1436</v>
      </c>
      <c r="E2153" t="s">
        <v>1437</v>
      </c>
      <c r="F2153" t="s">
        <v>1438</v>
      </c>
    </row>
    <row r="2154" spans="1:6">
      <c r="A2154">
        <v>64</v>
      </c>
      <c r="B2154" t="s">
        <v>1753</v>
      </c>
      <c r="C2154">
        <v>50310</v>
      </c>
      <c r="D2154" t="s">
        <v>1361</v>
      </c>
      <c r="E2154" t="s">
        <v>1440</v>
      </c>
      <c r="F2154" t="s">
        <v>1362</v>
      </c>
    </row>
    <row r="2155" spans="1:6">
      <c r="A2155">
        <v>64</v>
      </c>
      <c r="B2155" t="s">
        <v>1753</v>
      </c>
      <c r="C2155">
        <v>67500</v>
      </c>
      <c r="D2155" t="s">
        <v>1256</v>
      </c>
      <c r="E2155" t="s">
        <v>1257</v>
      </c>
      <c r="F2155" t="s">
        <v>1258</v>
      </c>
    </row>
    <row r="2156" spans="1:6">
      <c r="A2156">
        <v>64</v>
      </c>
      <c r="B2156" t="s">
        <v>1753</v>
      </c>
      <c r="C2156">
        <v>67900</v>
      </c>
      <c r="D2156" t="s">
        <v>1259</v>
      </c>
      <c r="E2156" t="s">
        <v>1257</v>
      </c>
      <c r="F2156" t="s">
        <v>1258</v>
      </c>
    </row>
    <row r="2157" spans="1:6">
      <c r="A2157">
        <v>64</v>
      </c>
      <c r="B2157" t="s">
        <v>1753</v>
      </c>
      <c r="C2157">
        <v>77200</v>
      </c>
      <c r="D2157" t="s">
        <v>1260</v>
      </c>
      <c r="E2157" t="s">
        <v>1257</v>
      </c>
      <c r="F2157" t="s">
        <v>1258</v>
      </c>
    </row>
    <row r="2158" spans="1:6">
      <c r="A2158">
        <v>64</v>
      </c>
      <c r="B2158" t="s">
        <v>1753</v>
      </c>
      <c r="C2158">
        <v>76700</v>
      </c>
      <c r="D2158" t="s">
        <v>1261</v>
      </c>
      <c r="E2158" t="s">
        <v>1257</v>
      </c>
      <c r="F2158" t="s">
        <v>1258</v>
      </c>
    </row>
    <row r="2159" spans="1:6">
      <c r="A2159">
        <v>64</v>
      </c>
      <c r="B2159" t="s">
        <v>1753</v>
      </c>
      <c r="C2159">
        <v>76500</v>
      </c>
      <c r="D2159" t="s">
        <v>1262</v>
      </c>
      <c r="E2159" t="s">
        <v>1257</v>
      </c>
      <c r="F2159" t="s">
        <v>1258</v>
      </c>
    </row>
    <row r="2160" spans="1:6">
      <c r="A2160">
        <v>64</v>
      </c>
      <c r="B2160" t="s">
        <v>1753</v>
      </c>
      <c r="C2160">
        <v>70500</v>
      </c>
      <c r="D2160" t="s">
        <v>1172</v>
      </c>
      <c r="E2160" t="s">
        <v>1257</v>
      </c>
      <c r="F2160" t="s">
        <v>1258</v>
      </c>
    </row>
    <row r="2161" spans="1:6">
      <c r="A2161">
        <v>64</v>
      </c>
      <c r="B2161" t="s">
        <v>1753</v>
      </c>
      <c r="C2161">
        <v>77200</v>
      </c>
      <c r="D2161" t="s">
        <v>1173</v>
      </c>
      <c r="E2161" t="s">
        <v>1257</v>
      </c>
      <c r="F2161" t="s">
        <v>1258</v>
      </c>
    </row>
    <row r="2162" spans="1:6">
      <c r="A2162">
        <v>64</v>
      </c>
      <c r="B2162" t="s">
        <v>1753</v>
      </c>
      <c r="C2162">
        <v>76600</v>
      </c>
      <c r="D2162" t="s">
        <v>1174</v>
      </c>
      <c r="E2162" t="s">
        <v>1257</v>
      </c>
      <c r="F2162" t="s">
        <v>1258</v>
      </c>
    </row>
    <row r="2163" spans="1:6">
      <c r="A2163">
        <v>64</v>
      </c>
      <c r="B2163" t="s">
        <v>1753</v>
      </c>
      <c r="C2163">
        <v>84000</v>
      </c>
      <c r="D2163" t="s">
        <v>1442</v>
      </c>
      <c r="E2163" t="s">
        <v>1582</v>
      </c>
      <c r="F2163" t="s">
        <v>1443</v>
      </c>
    </row>
    <row r="2164" spans="1:6">
      <c r="A2164">
        <v>64</v>
      </c>
      <c r="B2164" t="s">
        <v>1753</v>
      </c>
      <c r="C2164">
        <v>143500</v>
      </c>
      <c r="D2164" t="s">
        <v>1581</v>
      </c>
      <c r="E2164" t="s">
        <v>1582</v>
      </c>
      <c r="F2164" t="s">
        <v>1583</v>
      </c>
    </row>
    <row r="2165" spans="1:6">
      <c r="A2165">
        <v>64</v>
      </c>
      <c r="B2165" t="s">
        <v>1753</v>
      </c>
      <c r="C2165">
        <v>384600</v>
      </c>
      <c r="D2165" t="s">
        <v>1446</v>
      </c>
      <c r="E2165" t="s">
        <v>1447</v>
      </c>
      <c r="F2165" t="s">
        <v>1448</v>
      </c>
    </row>
    <row r="2166" spans="1:6">
      <c r="A2166">
        <v>64</v>
      </c>
      <c r="B2166" t="s">
        <v>1753</v>
      </c>
      <c r="C2166">
        <v>384000</v>
      </c>
      <c r="D2166" t="s">
        <v>1264</v>
      </c>
      <c r="E2166" t="s">
        <v>1265</v>
      </c>
      <c r="F2166" t="s">
        <v>1448</v>
      </c>
    </row>
    <row r="2167" spans="1:6">
      <c r="A2167">
        <v>64</v>
      </c>
      <c r="B2167" t="s">
        <v>1753</v>
      </c>
      <c r="C2167">
        <v>384200</v>
      </c>
      <c r="D2167" t="s">
        <v>1266</v>
      </c>
      <c r="E2167" t="s">
        <v>1265</v>
      </c>
      <c r="F2167" t="s">
        <v>1448</v>
      </c>
    </row>
    <row r="2168" spans="1:6">
      <c r="A2168">
        <v>64</v>
      </c>
      <c r="B2168" t="s">
        <v>1753</v>
      </c>
      <c r="C2168">
        <v>1216000</v>
      </c>
      <c r="D2168" t="s">
        <v>1584</v>
      </c>
      <c r="E2168" t="s">
        <v>1585</v>
      </c>
      <c r="F2168" t="s">
        <v>1586</v>
      </c>
    </row>
    <row r="2169" spans="1:6">
      <c r="A2169">
        <v>64</v>
      </c>
      <c r="B2169" t="s">
        <v>1753</v>
      </c>
      <c r="C2169">
        <v>3493200</v>
      </c>
      <c r="D2169" t="s">
        <v>1587</v>
      </c>
      <c r="E2169" t="s">
        <v>1585</v>
      </c>
      <c r="F2169" t="s">
        <v>1588</v>
      </c>
    </row>
    <row r="2170" spans="1:6">
      <c r="A2170">
        <v>64</v>
      </c>
      <c r="B2170" t="s">
        <v>1753</v>
      </c>
      <c r="C2170">
        <v>144131</v>
      </c>
      <c r="D2170" t="s">
        <v>1454</v>
      </c>
      <c r="E2170" t="s">
        <v>1455</v>
      </c>
      <c r="F2170" t="s">
        <v>1456</v>
      </c>
    </row>
    <row r="2171" spans="1:6">
      <c r="A2171">
        <v>64</v>
      </c>
      <c r="B2171" t="s">
        <v>1753</v>
      </c>
      <c r="C2171">
        <v>496500</v>
      </c>
      <c r="D2171" t="s">
        <v>1457</v>
      </c>
      <c r="E2171" t="s">
        <v>1455</v>
      </c>
      <c r="F2171" t="s">
        <v>1458</v>
      </c>
    </row>
    <row r="2172" spans="1:6">
      <c r="A2172">
        <v>64</v>
      </c>
      <c r="B2172" t="s">
        <v>1753</v>
      </c>
      <c r="C2172">
        <v>19000</v>
      </c>
      <c r="D2172" t="s">
        <v>1230</v>
      </c>
      <c r="E2172" t="s">
        <v>1288</v>
      </c>
      <c r="F2172" t="s">
        <v>1231</v>
      </c>
    </row>
    <row r="2173" spans="1:6">
      <c r="A2173">
        <v>64</v>
      </c>
      <c r="B2173" t="s">
        <v>1753</v>
      </c>
      <c r="C2173">
        <v>251200</v>
      </c>
      <c r="D2173" t="s">
        <v>1287</v>
      </c>
      <c r="E2173" t="s">
        <v>1288</v>
      </c>
      <c r="F2173" t="s">
        <v>1289</v>
      </c>
    </row>
    <row r="2174" spans="1:6">
      <c r="A2174">
        <v>64</v>
      </c>
      <c r="B2174" t="s">
        <v>1753</v>
      </c>
      <c r="C2174">
        <v>75000</v>
      </c>
      <c r="D2174" t="s">
        <v>1589</v>
      </c>
      <c r="E2174" t="s">
        <v>1590</v>
      </c>
      <c r="F2174" t="s">
        <v>1591</v>
      </c>
    </row>
    <row r="2175" spans="1:6">
      <c r="A2175">
        <v>64</v>
      </c>
      <c r="B2175" t="s">
        <v>1753</v>
      </c>
      <c r="C2175">
        <v>289300</v>
      </c>
      <c r="D2175" t="s">
        <v>1592</v>
      </c>
      <c r="E2175" t="s">
        <v>1590</v>
      </c>
      <c r="F2175" t="s">
        <v>1593</v>
      </c>
    </row>
    <row r="2176" spans="1:6">
      <c r="A2176">
        <v>64</v>
      </c>
      <c r="B2176" t="s">
        <v>1753</v>
      </c>
      <c r="C2176">
        <v>22000</v>
      </c>
      <c r="D2176" t="s">
        <v>1594</v>
      </c>
      <c r="E2176" t="s">
        <v>1595</v>
      </c>
      <c r="F2176" t="s">
        <v>1596</v>
      </c>
    </row>
    <row r="2177" spans="1:6">
      <c r="A2177">
        <v>64</v>
      </c>
      <c r="B2177" t="s">
        <v>1753</v>
      </c>
      <c r="C2177">
        <v>57400</v>
      </c>
      <c r="D2177" t="s">
        <v>1597</v>
      </c>
      <c r="E2177" t="s">
        <v>1595</v>
      </c>
      <c r="F2177" t="s">
        <v>1598</v>
      </c>
    </row>
    <row r="2178" spans="1:6">
      <c r="A2178">
        <v>64</v>
      </c>
      <c r="B2178" t="s">
        <v>1753</v>
      </c>
      <c r="C2178">
        <v>856000</v>
      </c>
      <c r="D2178" t="s">
        <v>1599</v>
      </c>
      <c r="E2178" t="s">
        <v>1600</v>
      </c>
      <c r="F2178" t="s">
        <v>1601</v>
      </c>
    </row>
    <row r="2179" spans="1:6">
      <c r="A2179">
        <v>64</v>
      </c>
      <c r="B2179" t="s">
        <v>1753</v>
      </c>
      <c r="C2179">
        <v>9600</v>
      </c>
      <c r="D2179" t="s">
        <v>1269</v>
      </c>
      <c r="E2179" t="s">
        <v>1270</v>
      </c>
      <c r="F2179" t="s">
        <v>1601</v>
      </c>
    </row>
    <row r="2180" spans="1:6">
      <c r="A2180">
        <v>64</v>
      </c>
      <c r="B2180" t="s">
        <v>1753</v>
      </c>
      <c r="C2180">
        <v>5004400</v>
      </c>
      <c r="D2180" t="s">
        <v>1602</v>
      </c>
      <c r="E2180" t="s">
        <v>1600</v>
      </c>
      <c r="F2180" t="s">
        <v>1603</v>
      </c>
    </row>
    <row r="2181" spans="1:6">
      <c r="A2181">
        <v>64</v>
      </c>
      <c r="B2181" t="s">
        <v>1753</v>
      </c>
      <c r="C2181">
        <v>38000</v>
      </c>
      <c r="D2181" t="s">
        <v>1459</v>
      </c>
      <c r="E2181" t="s">
        <v>1605</v>
      </c>
      <c r="F2181" t="s">
        <v>1460</v>
      </c>
    </row>
    <row r="2182" spans="1:6">
      <c r="A2182">
        <v>64</v>
      </c>
      <c r="B2182" t="s">
        <v>1753</v>
      </c>
      <c r="C2182">
        <v>193500</v>
      </c>
      <c r="D2182" t="s">
        <v>1604</v>
      </c>
      <c r="E2182" t="s">
        <v>1605</v>
      </c>
      <c r="F2182" t="s">
        <v>1606</v>
      </c>
    </row>
    <row r="2183" spans="1:6">
      <c r="A2183">
        <v>64</v>
      </c>
      <c r="B2183" t="s">
        <v>1753</v>
      </c>
      <c r="C2183">
        <v>23293</v>
      </c>
      <c r="D2183" t="s">
        <v>1273</v>
      </c>
      <c r="E2183" t="s">
        <v>1274</v>
      </c>
      <c r="F2183" t="s">
        <v>1275</v>
      </c>
    </row>
    <row r="2184" spans="1:6">
      <c r="A2184">
        <v>64</v>
      </c>
      <c r="B2184" t="s">
        <v>1753</v>
      </c>
      <c r="C2184">
        <v>95000</v>
      </c>
      <c r="D2184" t="s">
        <v>1469</v>
      </c>
      <c r="E2184" t="s">
        <v>1470</v>
      </c>
      <c r="F2184" t="s">
        <v>1471</v>
      </c>
    </row>
    <row r="2185" spans="1:6">
      <c r="A2185">
        <v>64</v>
      </c>
      <c r="B2185" t="s">
        <v>1753</v>
      </c>
      <c r="C2185">
        <v>12000</v>
      </c>
      <c r="D2185" t="s">
        <v>1472</v>
      </c>
      <c r="E2185" t="s">
        <v>1473</v>
      </c>
      <c r="F2185" t="s">
        <v>1474</v>
      </c>
    </row>
    <row r="2186" spans="1:6">
      <c r="A2186">
        <v>64</v>
      </c>
      <c r="B2186" t="s">
        <v>1753</v>
      </c>
      <c r="C2186">
        <v>1050210.93</v>
      </c>
      <c r="D2186" t="s">
        <v>1475</v>
      </c>
      <c r="E2186" t="s">
        <v>1476</v>
      </c>
      <c r="F2186" t="s">
        <v>1477</v>
      </c>
    </row>
    <row r="2187" spans="1:6">
      <c r="A2187">
        <v>64</v>
      </c>
      <c r="B2187" t="s">
        <v>1753</v>
      </c>
      <c r="C2187">
        <v>3824990.54</v>
      </c>
      <c r="D2187" t="s">
        <v>1365</v>
      </c>
      <c r="E2187" t="s">
        <v>1366</v>
      </c>
      <c r="F2187" t="s">
        <v>1367</v>
      </c>
    </row>
    <row r="2188" spans="1:6">
      <c r="A2188">
        <v>64</v>
      </c>
      <c r="B2188" t="s">
        <v>1753</v>
      </c>
      <c r="C2188">
        <v>3431958</v>
      </c>
      <c r="D2188" t="s">
        <v>1607</v>
      </c>
      <c r="E2188" t="s">
        <v>1608</v>
      </c>
      <c r="F2188" t="s">
        <v>1609</v>
      </c>
    </row>
    <row r="2189" spans="1:6">
      <c r="A2189">
        <v>64</v>
      </c>
      <c r="B2189" t="s">
        <v>1753</v>
      </c>
      <c r="C2189">
        <v>19053580</v>
      </c>
      <c r="D2189" t="s">
        <v>1610</v>
      </c>
      <c r="E2189" t="s">
        <v>1481</v>
      </c>
      <c r="F2189" t="s">
        <v>1482</v>
      </c>
    </row>
    <row r="2190" spans="1:6">
      <c r="A2190">
        <v>64</v>
      </c>
      <c r="B2190" t="s">
        <v>1753</v>
      </c>
      <c r="C2190">
        <v>6225898</v>
      </c>
      <c r="D2190" t="s">
        <v>1415</v>
      </c>
      <c r="E2190" t="s">
        <v>1416</v>
      </c>
      <c r="F2190" t="s">
        <v>1417</v>
      </c>
    </row>
    <row r="2191" spans="1:6">
      <c r="A2191">
        <v>64</v>
      </c>
      <c r="B2191" t="s">
        <v>1753</v>
      </c>
      <c r="C2191">
        <v>46086837</v>
      </c>
      <c r="D2191" t="s">
        <v>1418</v>
      </c>
      <c r="E2191" t="s">
        <v>1419</v>
      </c>
      <c r="F2191" t="s">
        <v>1420</v>
      </c>
    </row>
    <row r="2192" spans="1:6">
      <c r="A2192">
        <v>65</v>
      </c>
      <c r="B2192" t="s">
        <v>1754</v>
      </c>
      <c r="C2192">
        <v>52367</v>
      </c>
      <c r="D2192" t="s">
        <v>1567</v>
      </c>
      <c r="E2192" t="s">
        <v>1568</v>
      </c>
      <c r="F2192" t="s">
        <v>1569</v>
      </c>
    </row>
    <row r="2193" spans="1:6">
      <c r="A2193">
        <v>65</v>
      </c>
      <c r="B2193" t="s">
        <v>1754</v>
      </c>
      <c r="C2193">
        <v>1207814</v>
      </c>
      <c r="D2193" t="s">
        <v>1570</v>
      </c>
      <c r="E2193" t="s">
        <v>1571</v>
      </c>
      <c r="F2193" t="s">
        <v>1572</v>
      </c>
    </row>
    <row r="2194" spans="1:6">
      <c r="A2194">
        <v>65</v>
      </c>
      <c r="B2194" t="s">
        <v>1754</v>
      </c>
      <c r="C2194">
        <v>25062</v>
      </c>
      <c r="D2194" t="s">
        <v>1520</v>
      </c>
      <c r="E2194" t="s">
        <v>1521</v>
      </c>
      <c r="F2194" t="s">
        <v>1522</v>
      </c>
    </row>
    <row r="2195" spans="1:6">
      <c r="A2195">
        <v>65</v>
      </c>
      <c r="B2195" t="s">
        <v>1754</v>
      </c>
      <c r="C2195">
        <v>2358</v>
      </c>
      <c r="D2195" t="s">
        <v>1371</v>
      </c>
      <c r="E2195" t="s">
        <v>1372</v>
      </c>
      <c r="F2195" t="s">
        <v>1373</v>
      </c>
    </row>
    <row r="2196" spans="1:6">
      <c r="A2196">
        <v>65</v>
      </c>
      <c r="B2196" t="s">
        <v>1754</v>
      </c>
      <c r="C2196">
        <v>2842</v>
      </c>
      <c r="D2196" t="s">
        <v>1390</v>
      </c>
      <c r="E2196" t="s">
        <v>1391</v>
      </c>
      <c r="F2196" t="s">
        <v>1392</v>
      </c>
    </row>
    <row r="2197" spans="1:6">
      <c r="A2197">
        <v>65</v>
      </c>
      <c r="B2197" t="s">
        <v>1754</v>
      </c>
      <c r="C2197">
        <v>744.99</v>
      </c>
      <c r="D2197" t="s">
        <v>1374</v>
      </c>
      <c r="E2197" t="s">
        <v>1375</v>
      </c>
      <c r="F2197" t="s">
        <v>1376</v>
      </c>
    </row>
    <row r="2198" spans="1:6">
      <c r="A2198">
        <v>65</v>
      </c>
      <c r="B2198" t="s">
        <v>1754</v>
      </c>
      <c r="C2198">
        <v>1654.61</v>
      </c>
      <c r="D2198" t="s">
        <v>1377</v>
      </c>
      <c r="E2198" t="s">
        <v>1375</v>
      </c>
      <c r="F2198" t="s">
        <v>1378</v>
      </c>
    </row>
    <row r="2199" spans="1:6">
      <c r="A2199">
        <v>65</v>
      </c>
      <c r="B2199" t="s">
        <v>1754</v>
      </c>
      <c r="C2199">
        <v>9293.56</v>
      </c>
      <c r="D2199" t="s">
        <v>1379</v>
      </c>
      <c r="E2199" t="s">
        <v>1380</v>
      </c>
      <c r="F2199" t="s">
        <v>1381</v>
      </c>
    </row>
    <row r="2200" spans="1:6">
      <c r="A2200">
        <v>65</v>
      </c>
      <c r="B2200" t="s">
        <v>1754</v>
      </c>
      <c r="C2200">
        <v>9293.56</v>
      </c>
      <c r="D2200" t="s">
        <v>1475</v>
      </c>
      <c r="E2200" t="s">
        <v>1476</v>
      </c>
      <c r="F2200" t="s">
        <v>1477</v>
      </c>
    </row>
    <row r="2201" spans="1:6">
      <c r="A2201">
        <v>65</v>
      </c>
      <c r="B2201" t="s">
        <v>1754</v>
      </c>
      <c r="C2201">
        <v>59607.59</v>
      </c>
      <c r="D2201" t="s">
        <v>1365</v>
      </c>
      <c r="E2201" t="s">
        <v>1366</v>
      </c>
      <c r="F2201" t="s">
        <v>1367</v>
      </c>
    </row>
    <row r="2202" spans="1:6">
      <c r="A2202">
        <v>66</v>
      </c>
      <c r="B2202" t="s">
        <v>1175</v>
      </c>
      <c r="C2202">
        <v>2387469</v>
      </c>
      <c r="D2202" t="s">
        <v>1570</v>
      </c>
      <c r="E2202" t="s">
        <v>1571</v>
      </c>
      <c r="F2202" t="s">
        <v>1572</v>
      </c>
    </row>
    <row r="2203" spans="1:6">
      <c r="A2203">
        <v>67</v>
      </c>
      <c r="B2203" t="s">
        <v>1755</v>
      </c>
      <c r="C2203">
        <v>3965</v>
      </c>
      <c r="D2203" t="s">
        <v>1489</v>
      </c>
      <c r="E2203" t="s">
        <v>1490</v>
      </c>
      <c r="F2203" t="s">
        <v>1491</v>
      </c>
    </row>
    <row r="2204" spans="1:6">
      <c r="A2204">
        <v>67</v>
      </c>
      <c r="B2204" t="s">
        <v>1755</v>
      </c>
      <c r="C2204">
        <v>102250</v>
      </c>
      <c r="D2204" t="s">
        <v>1404</v>
      </c>
      <c r="E2204" t="s">
        <v>1405</v>
      </c>
      <c r="F2204" t="s">
        <v>1406</v>
      </c>
    </row>
    <row r="2205" spans="1:6">
      <c r="A2205">
        <v>67</v>
      </c>
      <c r="B2205" t="s">
        <v>1755</v>
      </c>
      <c r="C2205">
        <v>73744</v>
      </c>
      <c r="D2205" t="s">
        <v>1567</v>
      </c>
      <c r="E2205" t="s">
        <v>1568</v>
      </c>
      <c r="F2205" t="s">
        <v>1569</v>
      </c>
    </row>
    <row r="2206" spans="1:6">
      <c r="A2206">
        <v>67</v>
      </c>
      <c r="B2206" t="s">
        <v>1755</v>
      </c>
      <c r="C2206">
        <v>5687553</v>
      </c>
      <c r="D2206" t="s">
        <v>1570</v>
      </c>
      <c r="E2206" t="s">
        <v>1571</v>
      </c>
      <c r="F2206" t="s">
        <v>1572</v>
      </c>
    </row>
    <row r="2207" spans="1:6">
      <c r="A2207">
        <v>67</v>
      </c>
      <c r="B2207" t="s">
        <v>1755</v>
      </c>
      <c r="C2207">
        <v>60381</v>
      </c>
      <c r="D2207" t="s">
        <v>1573</v>
      </c>
      <c r="E2207" t="s">
        <v>1574</v>
      </c>
      <c r="F2207" t="s">
        <v>1575</v>
      </c>
    </row>
    <row r="2208" spans="1:6">
      <c r="A2208">
        <v>67</v>
      </c>
      <c r="B2208" t="s">
        <v>1755</v>
      </c>
      <c r="C2208">
        <v>10465</v>
      </c>
      <c r="D2208" t="s">
        <v>1523</v>
      </c>
      <c r="E2208" t="s">
        <v>1521</v>
      </c>
      <c r="F2208" t="s">
        <v>1524</v>
      </c>
    </row>
    <row r="2209" spans="1:6">
      <c r="A2209">
        <v>67</v>
      </c>
      <c r="B2209" t="s">
        <v>1755</v>
      </c>
      <c r="C2209">
        <v>37075</v>
      </c>
      <c r="D2209" t="s">
        <v>1528</v>
      </c>
      <c r="E2209" t="s">
        <v>1529</v>
      </c>
      <c r="F2209" t="s">
        <v>1530</v>
      </c>
    </row>
    <row r="2210" spans="1:6">
      <c r="A2210">
        <v>67</v>
      </c>
      <c r="B2210" t="s">
        <v>1755</v>
      </c>
      <c r="C2210">
        <v>65397</v>
      </c>
      <c r="D2210" t="s">
        <v>1390</v>
      </c>
      <c r="E2210" t="s">
        <v>1391</v>
      </c>
      <c r="F2210" t="s">
        <v>1392</v>
      </c>
    </row>
    <row r="2211" spans="1:6">
      <c r="A2211">
        <v>67</v>
      </c>
      <c r="B2211" t="s">
        <v>1755</v>
      </c>
      <c r="C2211">
        <v>9312.09</v>
      </c>
      <c r="D2211" t="s">
        <v>1431</v>
      </c>
      <c r="E2211" t="s">
        <v>1432</v>
      </c>
      <c r="F2211" t="s">
        <v>1433</v>
      </c>
    </row>
    <row r="2212" spans="1:6">
      <c r="A2212">
        <v>67</v>
      </c>
      <c r="B2212" t="s">
        <v>1755</v>
      </c>
      <c r="C2212">
        <v>22671.84</v>
      </c>
      <c r="D2212" t="s">
        <v>1434</v>
      </c>
      <c r="E2212" t="s">
        <v>1432</v>
      </c>
      <c r="F2212" t="s">
        <v>1435</v>
      </c>
    </row>
    <row r="2213" spans="1:6">
      <c r="A2213">
        <v>67</v>
      </c>
      <c r="B2213" t="s">
        <v>1755</v>
      </c>
      <c r="C2213">
        <v>4961</v>
      </c>
      <c r="D2213" t="s">
        <v>1584</v>
      </c>
      <c r="E2213" t="s">
        <v>1585</v>
      </c>
      <c r="F2213" t="s">
        <v>1586</v>
      </c>
    </row>
    <row r="2214" spans="1:6">
      <c r="A2214">
        <v>67</v>
      </c>
      <c r="B2214" t="s">
        <v>1755</v>
      </c>
      <c r="C2214">
        <v>24600</v>
      </c>
      <c r="D2214" t="s">
        <v>1587</v>
      </c>
      <c r="E2214" t="s">
        <v>1585</v>
      </c>
      <c r="F2214" t="s">
        <v>1588</v>
      </c>
    </row>
    <row r="2215" spans="1:6">
      <c r="A2215">
        <v>67</v>
      </c>
      <c r="B2215" t="s">
        <v>1755</v>
      </c>
      <c r="C2215">
        <v>2022</v>
      </c>
      <c r="D2215" t="s">
        <v>1592</v>
      </c>
      <c r="E2215" t="s">
        <v>1590</v>
      </c>
      <c r="F2215" t="s">
        <v>1593</v>
      </c>
    </row>
    <row r="2216" spans="1:6">
      <c r="A2216">
        <v>67</v>
      </c>
      <c r="B2216" t="s">
        <v>1755</v>
      </c>
      <c r="C2216">
        <v>1597</v>
      </c>
      <c r="D2216" t="s">
        <v>1597</v>
      </c>
      <c r="E2216" t="s">
        <v>1595</v>
      </c>
      <c r="F2216" t="s">
        <v>1598</v>
      </c>
    </row>
    <row r="2217" spans="1:6">
      <c r="A2217">
        <v>67</v>
      </c>
      <c r="B2217" t="s">
        <v>1755</v>
      </c>
      <c r="C2217">
        <v>87563</v>
      </c>
      <c r="D2217" t="s">
        <v>1599</v>
      </c>
      <c r="E2217" t="s">
        <v>1600</v>
      </c>
      <c r="F2217" t="s">
        <v>1601</v>
      </c>
    </row>
    <row r="2218" spans="1:6">
      <c r="A2218">
        <v>67</v>
      </c>
      <c r="B2218" t="s">
        <v>1755</v>
      </c>
      <c r="C2218">
        <v>90000</v>
      </c>
      <c r="D2218" t="s">
        <v>1602</v>
      </c>
      <c r="E2218" t="s">
        <v>1600</v>
      </c>
      <c r="F2218" t="s">
        <v>1603</v>
      </c>
    </row>
    <row r="2219" spans="1:6">
      <c r="A2219">
        <v>67</v>
      </c>
      <c r="B2219" t="s">
        <v>1755</v>
      </c>
      <c r="C2219">
        <v>6249</v>
      </c>
      <c r="D2219" t="s">
        <v>1604</v>
      </c>
      <c r="E2219" t="s">
        <v>1605</v>
      </c>
      <c r="F2219" t="s">
        <v>1606</v>
      </c>
    </row>
    <row r="2220" spans="1:6">
      <c r="A2220">
        <v>67</v>
      </c>
      <c r="B2220" t="s">
        <v>1755</v>
      </c>
      <c r="C2220">
        <v>1905</v>
      </c>
      <c r="D2220" t="s">
        <v>1610</v>
      </c>
      <c r="E2220" t="s">
        <v>1481</v>
      </c>
      <c r="F2220" t="s">
        <v>1482</v>
      </c>
    </row>
    <row r="2221" spans="1:6">
      <c r="A2221">
        <v>68</v>
      </c>
      <c r="B2221" t="s">
        <v>1756</v>
      </c>
      <c r="C2221">
        <v>964</v>
      </c>
      <c r="D2221" t="s">
        <v>1489</v>
      </c>
      <c r="E2221" t="s">
        <v>1490</v>
      </c>
      <c r="F2221" t="s">
        <v>1491</v>
      </c>
    </row>
    <row r="2222" spans="1:6">
      <c r="A2222">
        <v>68</v>
      </c>
      <c r="B2222" t="s">
        <v>1756</v>
      </c>
      <c r="C2222">
        <v>2780</v>
      </c>
      <c r="D2222" t="s">
        <v>1567</v>
      </c>
      <c r="E2222" t="s">
        <v>1568</v>
      </c>
      <c r="F2222" t="s">
        <v>1569</v>
      </c>
    </row>
    <row r="2223" spans="1:6">
      <c r="A2223">
        <v>68</v>
      </c>
      <c r="B2223" t="s">
        <v>1756</v>
      </c>
      <c r="C2223">
        <v>125929</v>
      </c>
      <c r="D2223" t="s">
        <v>1570</v>
      </c>
      <c r="E2223" t="s">
        <v>1571</v>
      </c>
      <c r="F2223" t="s">
        <v>1572</v>
      </c>
    </row>
    <row r="2224" spans="1:6">
      <c r="A2224">
        <v>68</v>
      </c>
      <c r="B2224" t="s">
        <v>1756</v>
      </c>
      <c r="C2224">
        <v>44068</v>
      </c>
      <c r="D2224" t="s">
        <v>1573</v>
      </c>
      <c r="E2224" t="s">
        <v>1574</v>
      </c>
      <c r="F2224" t="s">
        <v>1575</v>
      </c>
    </row>
    <row r="2225" spans="1:6">
      <c r="A2225">
        <v>68</v>
      </c>
      <c r="B2225" t="s">
        <v>1756</v>
      </c>
      <c r="C2225">
        <v>848</v>
      </c>
      <c r="D2225" t="s">
        <v>1371</v>
      </c>
      <c r="E2225" t="s">
        <v>1372</v>
      </c>
      <c r="F2225" t="s">
        <v>1373</v>
      </c>
    </row>
    <row r="2226" spans="1:6">
      <c r="A2226">
        <v>68</v>
      </c>
      <c r="B2226" t="s">
        <v>1756</v>
      </c>
      <c r="C2226">
        <v>3594.3</v>
      </c>
      <c r="D2226" t="s">
        <v>1431</v>
      </c>
      <c r="E2226" t="s">
        <v>1432</v>
      </c>
      <c r="F2226" t="s">
        <v>1433</v>
      </c>
    </row>
    <row r="2227" spans="1:6">
      <c r="A2227">
        <v>68</v>
      </c>
      <c r="B2227" t="s">
        <v>1756</v>
      </c>
      <c r="C2227">
        <v>8467.2900000000009</v>
      </c>
      <c r="D2227" t="s">
        <v>1434</v>
      </c>
      <c r="E2227" t="s">
        <v>1432</v>
      </c>
      <c r="F2227" t="s">
        <v>1435</v>
      </c>
    </row>
    <row r="2228" spans="1:6">
      <c r="A2228">
        <v>68</v>
      </c>
      <c r="B2228" t="s">
        <v>1756</v>
      </c>
      <c r="C2228">
        <v>864</v>
      </c>
      <c r="D2228" t="s">
        <v>1442</v>
      </c>
      <c r="E2228" t="s">
        <v>1582</v>
      </c>
      <c r="F2228" t="s">
        <v>1443</v>
      </c>
    </row>
    <row r="2229" spans="1:6">
      <c r="A2229">
        <v>68</v>
      </c>
      <c r="B2229" t="s">
        <v>1756</v>
      </c>
      <c r="C2229">
        <v>20035</v>
      </c>
      <c r="D2229" t="s">
        <v>1584</v>
      </c>
      <c r="E2229" t="s">
        <v>1585</v>
      </c>
      <c r="F2229" t="s">
        <v>1586</v>
      </c>
    </row>
    <row r="2230" spans="1:6">
      <c r="A2230">
        <v>68</v>
      </c>
      <c r="B2230" t="s">
        <v>1756</v>
      </c>
      <c r="C2230">
        <v>3122</v>
      </c>
      <c r="D2230" t="s">
        <v>1589</v>
      </c>
      <c r="E2230" t="s">
        <v>1590</v>
      </c>
      <c r="F2230" t="s">
        <v>1591</v>
      </c>
    </row>
    <row r="2231" spans="1:6">
      <c r="A2231">
        <v>68</v>
      </c>
      <c r="B2231" t="s">
        <v>1756</v>
      </c>
      <c r="C2231">
        <v>981</v>
      </c>
      <c r="D2231" t="s">
        <v>1594</v>
      </c>
      <c r="E2231" t="s">
        <v>1595</v>
      </c>
      <c r="F2231" t="s">
        <v>1596</v>
      </c>
    </row>
    <row r="2232" spans="1:6">
      <c r="A2232">
        <v>69</v>
      </c>
      <c r="B2232" t="s">
        <v>1757</v>
      </c>
      <c r="C2232">
        <v>6174</v>
      </c>
      <c r="D2232" t="s">
        <v>1176</v>
      </c>
      <c r="E2232" t="s">
        <v>1177</v>
      </c>
      <c r="F2232" t="s">
        <v>1178</v>
      </c>
    </row>
    <row r="2233" spans="1:6">
      <c r="A2233">
        <v>69</v>
      </c>
      <c r="B2233" t="s">
        <v>1757</v>
      </c>
      <c r="C2233">
        <v>17900</v>
      </c>
      <c r="D2233" t="s">
        <v>1483</v>
      </c>
      <c r="E2233" t="s">
        <v>1484</v>
      </c>
      <c r="F2233" t="s">
        <v>1485</v>
      </c>
    </row>
    <row r="2234" spans="1:6">
      <c r="A2234">
        <v>69</v>
      </c>
      <c r="B2234" t="s">
        <v>1757</v>
      </c>
      <c r="C2234">
        <v>25000</v>
      </c>
      <c r="D2234" t="s">
        <v>1232</v>
      </c>
      <c r="E2234" t="s">
        <v>1402</v>
      </c>
      <c r="F2234" t="s">
        <v>1403</v>
      </c>
    </row>
    <row r="2235" spans="1:6">
      <c r="A2235">
        <v>69</v>
      </c>
      <c r="B2235" t="s">
        <v>1757</v>
      </c>
      <c r="C2235">
        <v>12943</v>
      </c>
      <c r="D2235" t="s">
        <v>1489</v>
      </c>
      <c r="E2235" t="s">
        <v>1490</v>
      </c>
      <c r="F2235" t="s">
        <v>1491</v>
      </c>
    </row>
    <row r="2236" spans="1:6">
      <c r="A2236">
        <v>69</v>
      </c>
      <c r="B2236" t="s">
        <v>1757</v>
      </c>
      <c r="C2236">
        <v>102250</v>
      </c>
      <c r="D2236" t="s">
        <v>1404</v>
      </c>
      <c r="E2236" t="s">
        <v>1405</v>
      </c>
      <c r="F2236" t="s">
        <v>1406</v>
      </c>
    </row>
    <row r="2237" spans="1:6">
      <c r="A2237">
        <v>69</v>
      </c>
      <c r="B2237" t="s">
        <v>1757</v>
      </c>
      <c r="C2237">
        <v>80108</v>
      </c>
      <c r="D2237" t="s">
        <v>1407</v>
      </c>
      <c r="E2237" t="s">
        <v>1408</v>
      </c>
      <c r="F2237" t="s">
        <v>1409</v>
      </c>
    </row>
    <row r="2238" spans="1:6">
      <c r="A2238">
        <v>69</v>
      </c>
      <c r="B2238" t="s">
        <v>1757</v>
      </c>
      <c r="C2238">
        <v>444166</v>
      </c>
      <c r="D2238" t="s">
        <v>1567</v>
      </c>
      <c r="E2238" t="s">
        <v>1568</v>
      </c>
      <c r="F2238" t="s">
        <v>1569</v>
      </c>
    </row>
    <row r="2239" spans="1:6">
      <c r="A2239">
        <v>69</v>
      </c>
      <c r="B2239" t="s">
        <v>1757</v>
      </c>
      <c r="C2239">
        <v>35274</v>
      </c>
      <c r="D2239" t="s">
        <v>1496</v>
      </c>
      <c r="E2239" t="s">
        <v>1497</v>
      </c>
      <c r="F2239" t="s">
        <v>1498</v>
      </c>
    </row>
    <row r="2240" spans="1:6">
      <c r="A2240">
        <v>69</v>
      </c>
      <c r="B2240" t="s">
        <v>1757</v>
      </c>
      <c r="C2240">
        <v>13659447</v>
      </c>
      <c r="D2240" t="s">
        <v>1570</v>
      </c>
      <c r="E2240" t="s">
        <v>1571</v>
      </c>
      <c r="F2240" t="s">
        <v>1572</v>
      </c>
    </row>
    <row r="2241" spans="1:6">
      <c r="A2241">
        <v>69</v>
      </c>
      <c r="B2241" t="s">
        <v>1757</v>
      </c>
      <c r="C2241">
        <v>72222</v>
      </c>
      <c r="D2241" t="s">
        <v>1382</v>
      </c>
      <c r="E2241" t="s">
        <v>1383</v>
      </c>
      <c r="F2241" t="s">
        <v>1384</v>
      </c>
    </row>
    <row r="2242" spans="1:6">
      <c r="A2242">
        <v>69</v>
      </c>
      <c r="B2242" t="s">
        <v>1757</v>
      </c>
      <c r="C2242">
        <v>9000</v>
      </c>
      <c r="D2242" t="s">
        <v>1515</v>
      </c>
      <c r="E2242" t="s">
        <v>1516</v>
      </c>
      <c r="F2242" t="s">
        <v>1517</v>
      </c>
    </row>
    <row r="2243" spans="1:6">
      <c r="A2243">
        <v>69</v>
      </c>
      <c r="B2243" t="s">
        <v>1757</v>
      </c>
      <c r="C2243">
        <v>1896</v>
      </c>
      <c r="D2243" t="s">
        <v>1518</v>
      </c>
      <c r="E2243" t="s">
        <v>1516</v>
      </c>
      <c r="F2243" t="s">
        <v>1519</v>
      </c>
    </row>
    <row r="2244" spans="1:6">
      <c r="A2244">
        <v>69</v>
      </c>
      <c r="B2244" t="s">
        <v>1757</v>
      </c>
      <c r="C2244">
        <v>417948</v>
      </c>
      <c r="D2244" t="s">
        <v>1520</v>
      </c>
      <c r="E2244" t="s">
        <v>1521</v>
      </c>
      <c r="F2244" t="s">
        <v>1522</v>
      </c>
    </row>
    <row r="2245" spans="1:6">
      <c r="A2245">
        <v>69</v>
      </c>
      <c r="B2245" t="s">
        <v>1757</v>
      </c>
      <c r="C2245">
        <v>441821</v>
      </c>
      <c r="D2245" t="s">
        <v>1573</v>
      </c>
      <c r="E2245" t="s">
        <v>1574</v>
      </c>
      <c r="F2245" t="s">
        <v>1575</v>
      </c>
    </row>
    <row r="2246" spans="1:6">
      <c r="A2246">
        <v>69</v>
      </c>
      <c r="B2246" t="s">
        <v>1757</v>
      </c>
      <c r="C2246">
        <v>81494</v>
      </c>
      <c r="D2246" t="s">
        <v>1523</v>
      </c>
      <c r="E2246" t="s">
        <v>1521</v>
      </c>
      <c r="F2246" t="s">
        <v>1524</v>
      </c>
    </row>
    <row r="2247" spans="1:6">
      <c r="A2247">
        <v>69</v>
      </c>
      <c r="B2247" t="s">
        <v>1757</v>
      </c>
      <c r="C2247">
        <v>12852</v>
      </c>
      <c r="D2247" t="s">
        <v>1525</v>
      </c>
      <c r="E2247" t="s">
        <v>1526</v>
      </c>
      <c r="F2247" t="s">
        <v>1527</v>
      </c>
    </row>
    <row r="2248" spans="1:6">
      <c r="A2248">
        <v>69</v>
      </c>
      <c r="B2248" t="s">
        <v>1757</v>
      </c>
      <c r="C2248">
        <v>100000</v>
      </c>
      <c r="D2248" t="s">
        <v>1204</v>
      </c>
      <c r="E2248" t="s">
        <v>1205</v>
      </c>
      <c r="F2248" t="s">
        <v>1206</v>
      </c>
    </row>
    <row r="2249" spans="1:6">
      <c r="A2249">
        <v>69</v>
      </c>
      <c r="B2249" t="s">
        <v>1757</v>
      </c>
      <c r="C2249">
        <v>133000</v>
      </c>
      <c r="D2249" t="s">
        <v>1390</v>
      </c>
      <c r="E2249" t="s">
        <v>1391</v>
      </c>
      <c r="F2249" t="s">
        <v>1392</v>
      </c>
    </row>
    <row r="2250" spans="1:6">
      <c r="A2250">
        <v>69</v>
      </c>
      <c r="B2250" t="s">
        <v>1757</v>
      </c>
      <c r="C2250">
        <v>31800</v>
      </c>
      <c r="D2250" t="s">
        <v>1534</v>
      </c>
      <c r="E2250" t="s">
        <v>1535</v>
      </c>
      <c r="F2250" t="s">
        <v>1536</v>
      </c>
    </row>
    <row r="2251" spans="1:6">
      <c r="A2251">
        <v>69</v>
      </c>
      <c r="B2251" t="s">
        <v>1757</v>
      </c>
      <c r="C2251">
        <v>18665.27</v>
      </c>
      <c r="D2251" t="s">
        <v>1537</v>
      </c>
      <c r="E2251" t="s">
        <v>1538</v>
      </c>
      <c r="F2251" t="s">
        <v>1539</v>
      </c>
    </row>
    <row r="2252" spans="1:6">
      <c r="A2252">
        <v>69</v>
      </c>
      <c r="B2252" t="s">
        <v>1757</v>
      </c>
      <c r="C2252">
        <v>42140.99</v>
      </c>
      <c r="D2252" t="s">
        <v>1540</v>
      </c>
      <c r="E2252" t="s">
        <v>1538</v>
      </c>
      <c r="F2252" t="s">
        <v>1541</v>
      </c>
    </row>
    <row r="2253" spans="1:6">
      <c r="A2253">
        <v>69</v>
      </c>
      <c r="B2253" t="s">
        <v>1757</v>
      </c>
      <c r="C2253">
        <v>11318</v>
      </c>
      <c r="D2253" t="s">
        <v>1542</v>
      </c>
      <c r="E2253" t="s">
        <v>1424</v>
      </c>
      <c r="F2253" t="s">
        <v>1425</v>
      </c>
    </row>
    <row r="2254" spans="1:6">
      <c r="A2254">
        <v>69</v>
      </c>
      <c r="B2254" t="s">
        <v>1757</v>
      </c>
      <c r="C2254">
        <v>1223</v>
      </c>
      <c r="D2254" t="s">
        <v>1428</v>
      </c>
      <c r="E2254" t="s">
        <v>1429</v>
      </c>
      <c r="F2254" t="s">
        <v>1430</v>
      </c>
    </row>
    <row r="2255" spans="1:6">
      <c r="A2255">
        <v>69</v>
      </c>
      <c r="B2255" t="s">
        <v>1757</v>
      </c>
      <c r="C2255">
        <v>98591.96</v>
      </c>
      <c r="D2255" t="s">
        <v>1431</v>
      </c>
      <c r="E2255" t="s">
        <v>1432</v>
      </c>
      <c r="F2255" t="s">
        <v>1433</v>
      </c>
    </row>
    <row r="2256" spans="1:6">
      <c r="A2256">
        <v>69</v>
      </c>
      <c r="B2256" t="s">
        <v>1757</v>
      </c>
      <c r="C2256">
        <v>218969.8</v>
      </c>
      <c r="D2256" t="s">
        <v>1434</v>
      </c>
      <c r="E2256" t="s">
        <v>1432</v>
      </c>
      <c r="F2256" t="s">
        <v>1435</v>
      </c>
    </row>
    <row r="2257" spans="1:6">
      <c r="A2257">
        <v>69</v>
      </c>
      <c r="B2257" t="s">
        <v>1757</v>
      </c>
      <c r="C2257">
        <v>74084</v>
      </c>
      <c r="D2257" t="s">
        <v>1576</v>
      </c>
      <c r="E2257" t="s">
        <v>1577</v>
      </c>
      <c r="F2257" t="s">
        <v>1578</v>
      </c>
    </row>
    <row r="2258" spans="1:6">
      <c r="A2258">
        <v>69</v>
      </c>
      <c r="B2258" t="s">
        <v>1757</v>
      </c>
      <c r="C2258">
        <v>230565</v>
      </c>
      <c r="D2258" t="s">
        <v>1579</v>
      </c>
      <c r="E2258" t="s">
        <v>1577</v>
      </c>
      <c r="F2258" t="s">
        <v>1580</v>
      </c>
    </row>
    <row r="2259" spans="1:6">
      <c r="A2259">
        <v>69</v>
      </c>
      <c r="B2259" t="s">
        <v>1757</v>
      </c>
      <c r="C2259">
        <v>30845</v>
      </c>
      <c r="D2259" t="s">
        <v>1436</v>
      </c>
      <c r="E2259" t="s">
        <v>1437</v>
      </c>
      <c r="F2259" t="s">
        <v>1438</v>
      </c>
    </row>
    <row r="2260" spans="1:6">
      <c r="A2260">
        <v>69</v>
      </c>
      <c r="B2260" t="s">
        <v>1757</v>
      </c>
      <c r="C2260">
        <v>25310</v>
      </c>
      <c r="D2260" t="s">
        <v>1179</v>
      </c>
      <c r="E2260" t="s">
        <v>1440</v>
      </c>
      <c r="F2260" t="s">
        <v>1441</v>
      </c>
    </row>
    <row r="2261" spans="1:6">
      <c r="A2261">
        <v>69</v>
      </c>
      <c r="B2261" t="s">
        <v>1757</v>
      </c>
      <c r="C2261">
        <v>70322</v>
      </c>
      <c r="D2261" t="s">
        <v>1256</v>
      </c>
      <c r="E2261" t="s">
        <v>1257</v>
      </c>
      <c r="F2261" t="s">
        <v>1258</v>
      </c>
    </row>
    <row r="2262" spans="1:6">
      <c r="A2262">
        <v>69</v>
      </c>
      <c r="B2262" t="s">
        <v>1757</v>
      </c>
      <c r="C2262">
        <v>3491</v>
      </c>
      <c r="D2262" t="s">
        <v>1442</v>
      </c>
      <c r="E2262" t="s">
        <v>1582</v>
      </c>
      <c r="F2262" t="s">
        <v>1443</v>
      </c>
    </row>
    <row r="2263" spans="1:6">
      <c r="A2263">
        <v>69</v>
      </c>
      <c r="B2263" t="s">
        <v>1757</v>
      </c>
      <c r="C2263">
        <v>62414</v>
      </c>
      <c r="D2263" t="s">
        <v>1584</v>
      </c>
      <c r="E2263" t="s">
        <v>1585</v>
      </c>
      <c r="F2263" t="s">
        <v>1586</v>
      </c>
    </row>
    <row r="2264" spans="1:6">
      <c r="A2264">
        <v>69</v>
      </c>
      <c r="B2264" t="s">
        <v>1757</v>
      </c>
      <c r="C2264">
        <v>69331</v>
      </c>
      <c r="D2264" t="s">
        <v>1587</v>
      </c>
      <c r="E2264" t="s">
        <v>1585</v>
      </c>
      <c r="F2264" t="s">
        <v>1588</v>
      </c>
    </row>
    <row r="2265" spans="1:6">
      <c r="A2265">
        <v>69</v>
      </c>
      <c r="B2265" t="s">
        <v>1757</v>
      </c>
      <c r="C2265">
        <v>70000</v>
      </c>
      <c r="D2265" t="s">
        <v>1452</v>
      </c>
      <c r="E2265" t="s">
        <v>1450</v>
      </c>
      <c r="F2265" t="s">
        <v>1453</v>
      </c>
    </row>
    <row r="2266" spans="1:6">
      <c r="A2266">
        <v>69</v>
      </c>
      <c r="B2266" t="s">
        <v>1757</v>
      </c>
      <c r="C2266">
        <v>9337</v>
      </c>
      <c r="D2266" t="s">
        <v>1454</v>
      </c>
      <c r="E2266" t="s">
        <v>1455</v>
      </c>
      <c r="F2266" t="s">
        <v>1456</v>
      </c>
    </row>
    <row r="2267" spans="1:6">
      <c r="A2267">
        <v>69</v>
      </c>
      <c r="B2267" t="s">
        <v>1757</v>
      </c>
      <c r="C2267">
        <v>8000</v>
      </c>
      <c r="D2267" t="s">
        <v>1457</v>
      </c>
      <c r="E2267" t="s">
        <v>1455</v>
      </c>
      <c r="F2267" t="s">
        <v>1458</v>
      </c>
    </row>
    <row r="2268" spans="1:6">
      <c r="A2268">
        <v>69</v>
      </c>
      <c r="B2268" t="s">
        <v>1757</v>
      </c>
      <c r="C2268">
        <v>8805</v>
      </c>
      <c r="D2268" t="s">
        <v>1589</v>
      </c>
      <c r="E2268" t="s">
        <v>1590</v>
      </c>
      <c r="F2268" t="s">
        <v>1591</v>
      </c>
    </row>
    <row r="2269" spans="1:6">
      <c r="A2269">
        <v>69</v>
      </c>
      <c r="B2269" t="s">
        <v>1757</v>
      </c>
      <c r="C2269">
        <v>4260</v>
      </c>
      <c r="D2269" t="s">
        <v>1592</v>
      </c>
      <c r="E2269" t="s">
        <v>1590</v>
      </c>
      <c r="F2269" t="s">
        <v>1593</v>
      </c>
    </row>
    <row r="2270" spans="1:6">
      <c r="A2270">
        <v>69</v>
      </c>
      <c r="B2270" t="s">
        <v>1757</v>
      </c>
      <c r="C2270">
        <v>7700</v>
      </c>
      <c r="D2270" t="s">
        <v>1594</v>
      </c>
      <c r="E2270" t="s">
        <v>1595</v>
      </c>
      <c r="F2270" t="s">
        <v>1596</v>
      </c>
    </row>
    <row r="2271" spans="1:6">
      <c r="A2271">
        <v>69</v>
      </c>
      <c r="B2271" t="s">
        <v>1757</v>
      </c>
      <c r="C2271">
        <v>2690</v>
      </c>
      <c r="D2271" t="s">
        <v>1597</v>
      </c>
      <c r="E2271" t="s">
        <v>1595</v>
      </c>
      <c r="F2271" t="s">
        <v>1598</v>
      </c>
    </row>
    <row r="2272" spans="1:6">
      <c r="A2272">
        <v>69</v>
      </c>
      <c r="B2272" t="s">
        <v>1757</v>
      </c>
      <c r="C2272">
        <v>216117</v>
      </c>
      <c r="D2272" t="s">
        <v>1599</v>
      </c>
      <c r="E2272" t="s">
        <v>1600</v>
      </c>
      <c r="F2272" t="s">
        <v>1601</v>
      </c>
    </row>
    <row r="2273" spans="1:6">
      <c r="A2273">
        <v>69</v>
      </c>
      <c r="B2273" t="s">
        <v>1757</v>
      </c>
      <c r="C2273">
        <v>498000</v>
      </c>
      <c r="D2273" t="s">
        <v>1602</v>
      </c>
      <c r="E2273" t="s">
        <v>1600</v>
      </c>
      <c r="F2273" t="s">
        <v>1603</v>
      </c>
    </row>
    <row r="2274" spans="1:6">
      <c r="A2274">
        <v>69</v>
      </c>
      <c r="B2274" t="s">
        <v>1757</v>
      </c>
      <c r="C2274">
        <v>13661</v>
      </c>
      <c r="D2274" t="s">
        <v>1459</v>
      </c>
      <c r="E2274" t="s">
        <v>1605</v>
      </c>
      <c r="F2274" t="s">
        <v>1460</v>
      </c>
    </row>
    <row r="2275" spans="1:6">
      <c r="A2275">
        <v>69</v>
      </c>
      <c r="B2275" t="s">
        <v>1757</v>
      </c>
      <c r="C2275">
        <v>28000</v>
      </c>
      <c r="D2275" t="s">
        <v>1604</v>
      </c>
      <c r="E2275" t="s">
        <v>1605</v>
      </c>
      <c r="F2275" t="s">
        <v>1606</v>
      </c>
    </row>
    <row r="2276" spans="1:6">
      <c r="A2276">
        <v>69</v>
      </c>
      <c r="B2276" t="s">
        <v>1757</v>
      </c>
      <c r="C2276">
        <v>2100</v>
      </c>
      <c r="D2276" t="s">
        <v>1472</v>
      </c>
      <c r="E2276" t="s">
        <v>1473</v>
      </c>
      <c r="F2276" t="s">
        <v>1474</v>
      </c>
    </row>
    <row r="2277" spans="1:6">
      <c r="A2277">
        <v>69</v>
      </c>
      <c r="B2277" t="s">
        <v>1757</v>
      </c>
      <c r="C2277">
        <v>82230.66</v>
      </c>
      <c r="D2277" t="s">
        <v>1475</v>
      </c>
      <c r="E2277" t="s">
        <v>1476</v>
      </c>
      <c r="F2277" t="s">
        <v>1477</v>
      </c>
    </row>
    <row r="2278" spans="1:6">
      <c r="A2278">
        <v>69</v>
      </c>
      <c r="B2278" t="s">
        <v>1757</v>
      </c>
      <c r="C2278">
        <v>820869.03</v>
      </c>
      <c r="D2278" t="s">
        <v>1478</v>
      </c>
      <c r="E2278" t="s">
        <v>1479</v>
      </c>
      <c r="F2278" t="s">
        <v>1480</v>
      </c>
    </row>
    <row r="2279" spans="1:6">
      <c r="A2279">
        <v>69</v>
      </c>
      <c r="B2279" t="s">
        <v>1757</v>
      </c>
      <c r="C2279">
        <v>107679.06</v>
      </c>
      <c r="D2279" t="s">
        <v>1365</v>
      </c>
      <c r="E2279" t="s">
        <v>1366</v>
      </c>
      <c r="F2279" t="s">
        <v>1367</v>
      </c>
    </row>
    <row r="2280" spans="1:6">
      <c r="A2280">
        <v>70</v>
      </c>
      <c r="B2280" t="s">
        <v>1180</v>
      </c>
      <c r="C2280">
        <v>2043668</v>
      </c>
      <c r="D2280" t="s">
        <v>1570</v>
      </c>
      <c r="E2280" t="s">
        <v>1571</v>
      </c>
      <c r="F2280" t="s">
        <v>1572</v>
      </c>
    </row>
    <row r="2281" spans="1:6">
      <c r="A2281">
        <v>70</v>
      </c>
      <c r="B2281" t="s">
        <v>1180</v>
      </c>
      <c r="C2281">
        <v>14000</v>
      </c>
      <c r="D2281" t="s">
        <v>1528</v>
      </c>
      <c r="E2281" t="s">
        <v>1529</v>
      </c>
      <c r="F2281" t="s">
        <v>1530</v>
      </c>
    </row>
    <row r="2282" spans="1:6">
      <c r="A2282">
        <v>71</v>
      </c>
      <c r="B2282" t="s">
        <v>1758</v>
      </c>
      <c r="C2282">
        <v>7870</v>
      </c>
      <c r="D2282" t="s">
        <v>1486</v>
      </c>
      <c r="E2282" t="s">
        <v>1487</v>
      </c>
      <c r="F2282" t="s">
        <v>1488</v>
      </c>
    </row>
    <row r="2283" spans="1:6">
      <c r="A2283">
        <v>71</v>
      </c>
      <c r="B2283" t="s">
        <v>1758</v>
      </c>
      <c r="C2283">
        <v>3681</v>
      </c>
      <c r="D2283" t="s">
        <v>1489</v>
      </c>
      <c r="E2283" t="s">
        <v>1490</v>
      </c>
      <c r="F2283" t="s">
        <v>1491</v>
      </c>
    </row>
    <row r="2284" spans="1:6">
      <c r="A2284">
        <v>71</v>
      </c>
      <c r="B2284" t="s">
        <v>1758</v>
      </c>
      <c r="C2284">
        <v>73553</v>
      </c>
      <c r="D2284" t="s">
        <v>1407</v>
      </c>
      <c r="E2284" t="s">
        <v>1408</v>
      </c>
      <c r="F2284" t="s">
        <v>1409</v>
      </c>
    </row>
    <row r="2285" spans="1:6">
      <c r="A2285">
        <v>71</v>
      </c>
      <c r="B2285" t="s">
        <v>1758</v>
      </c>
      <c r="C2285">
        <v>206565</v>
      </c>
      <c r="D2285" t="s">
        <v>1567</v>
      </c>
      <c r="E2285" t="s">
        <v>1568</v>
      </c>
      <c r="F2285" t="s">
        <v>1569</v>
      </c>
    </row>
    <row r="2286" spans="1:6">
      <c r="A2286">
        <v>71</v>
      </c>
      <c r="B2286" t="s">
        <v>1758</v>
      </c>
      <c r="C2286">
        <v>4684095</v>
      </c>
      <c r="D2286" t="s">
        <v>1570</v>
      </c>
      <c r="E2286" t="s">
        <v>1571</v>
      </c>
      <c r="F2286" t="s">
        <v>1572</v>
      </c>
    </row>
    <row r="2287" spans="1:6">
      <c r="A2287">
        <v>71</v>
      </c>
      <c r="B2287" t="s">
        <v>1758</v>
      </c>
      <c r="C2287">
        <v>15197</v>
      </c>
      <c r="D2287" t="s">
        <v>1520</v>
      </c>
      <c r="E2287" t="s">
        <v>1521</v>
      </c>
      <c r="F2287" t="s">
        <v>1522</v>
      </c>
    </row>
    <row r="2288" spans="1:6">
      <c r="A2288">
        <v>71</v>
      </c>
      <c r="B2288" t="s">
        <v>1758</v>
      </c>
      <c r="C2288">
        <v>287634</v>
      </c>
      <c r="D2288" t="s">
        <v>1573</v>
      </c>
      <c r="E2288" t="s">
        <v>1574</v>
      </c>
      <c r="F2288" t="s">
        <v>1575</v>
      </c>
    </row>
    <row r="2289" spans="1:6">
      <c r="A2289">
        <v>71</v>
      </c>
      <c r="B2289" t="s">
        <v>1758</v>
      </c>
      <c r="C2289">
        <v>150000</v>
      </c>
      <c r="D2289" t="s">
        <v>1390</v>
      </c>
      <c r="E2289" t="s">
        <v>1391</v>
      </c>
      <c r="F2289" t="s">
        <v>1392</v>
      </c>
    </row>
    <row r="2290" spans="1:6">
      <c r="A2290">
        <v>71</v>
      </c>
      <c r="B2290" t="s">
        <v>1758</v>
      </c>
      <c r="C2290">
        <v>497.42</v>
      </c>
      <c r="D2290" t="s">
        <v>1374</v>
      </c>
      <c r="E2290" t="s">
        <v>1375</v>
      </c>
      <c r="F2290" t="s">
        <v>1376</v>
      </c>
    </row>
    <row r="2291" spans="1:6">
      <c r="A2291">
        <v>71</v>
      </c>
      <c r="B2291" t="s">
        <v>1758</v>
      </c>
      <c r="C2291">
        <v>1296.3499999999999</v>
      </c>
      <c r="D2291" t="s">
        <v>1377</v>
      </c>
      <c r="E2291" t="s">
        <v>1375</v>
      </c>
      <c r="F2291" t="s">
        <v>1378</v>
      </c>
    </row>
    <row r="2292" spans="1:6">
      <c r="A2292">
        <v>71</v>
      </c>
      <c r="B2292" t="s">
        <v>1758</v>
      </c>
      <c r="C2292">
        <v>2696.81</v>
      </c>
      <c r="D2292" t="s">
        <v>1537</v>
      </c>
      <c r="E2292" t="s">
        <v>1538</v>
      </c>
      <c r="F2292" t="s">
        <v>1539</v>
      </c>
    </row>
    <row r="2293" spans="1:6">
      <c r="A2293">
        <v>71</v>
      </c>
      <c r="B2293" t="s">
        <v>1758</v>
      </c>
      <c r="C2293">
        <v>7270.12</v>
      </c>
      <c r="D2293" t="s">
        <v>1540</v>
      </c>
      <c r="E2293" t="s">
        <v>1538</v>
      </c>
      <c r="F2293" t="s">
        <v>1541</v>
      </c>
    </row>
    <row r="2294" spans="1:6">
      <c r="A2294">
        <v>71</v>
      </c>
      <c r="B2294" t="s">
        <v>1758</v>
      </c>
      <c r="C2294">
        <v>15283.65</v>
      </c>
      <c r="D2294" t="s">
        <v>1431</v>
      </c>
      <c r="E2294" t="s">
        <v>1432</v>
      </c>
      <c r="F2294" t="s">
        <v>1433</v>
      </c>
    </row>
    <row r="2295" spans="1:6">
      <c r="A2295">
        <v>71</v>
      </c>
      <c r="B2295" t="s">
        <v>1758</v>
      </c>
      <c r="C2295">
        <v>41580.239999999998</v>
      </c>
      <c r="D2295" t="s">
        <v>1434</v>
      </c>
      <c r="E2295" t="s">
        <v>1432</v>
      </c>
      <c r="F2295" t="s">
        <v>1435</v>
      </c>
    </row>
    <row r="2296" spans="1:6">
      <c r="A2296">
        <v>71</v>
      </c>
      <c r="B2296" t="s">
        <v>1758</v>
      </c>
      <c r="C2296">
        <v>71740</v>
      </c>
      <c r="D2296" t="s">
        <v>1579</v>
      </c>
      <c r="E2296" t="s">
        <v>1577</v>
      </c>
      <c r="F2296" t="s">
        <v>1580</v>
      </c>
    </row>
    <row r="2297" spans="1:6">
      <c r="A2297">
        <v>71</v>
      </c>
      <c r="B2297" t="s">
        <v>1758</v>
      </c>
      <c r="C2297">
        <v>45813</v>
      </c>
      <c r="D2297" t="s">
        <v>1436</v>
      </c>
      <c r="E2297" t="s">
        <v>1437</v>
      </c>
      <c r="F2297" t="s">
        <v>1438</v>
      </c>
    </row>
    <row r="2298" spans="1:6">
      <c r="A2298">
        <v>71</v>
      </c>
      <c r="B2298" t="s">
        <v>1758</v>
      </c>
      <c r="C2298">
        <v>550</v>
      </c>
      <c r="D2298" t="s">
        <v>1581</v>
      </c>
      <c r="E2298" t="s">
        <v>1582</v>
      </c>
      <c r="F2298" t="s">
        <v>1583</v>
      </c>
    </row>
    <row r="2299" spans="1:6">
      <c r="A2299">
        <v>71</v>
      </c>
      <c r="B2299" t="s">
        <v>1758</v>
      </c>
      <c r="C2299">
        <v>11574</v>
      </c>
      <c r="D2299" t="s">
        <v>1584</v>
      </c>
      <c r="E2299" t="s">
        <v>1585</v>
      </c>
      <c r="F2299" t="s">
        <v>1586</v>
      </c>
    </row>
    <row r="2300" spans="1:6">
      <c r="A2300">
        <v>71</v>
      </c>
      <c r="B2300" t="s">
        <v>1758</v>
      </c>
      <c r="C2300">
        <v>31037</v>
      </c>
      <c r="D2300" t="s">
        <v>1587</v>
      </c>
      <c r="E2300" t="s">
        <v>1585</v>
      </c>
      <c r="F2300" t="s">
        <v>1588</v>
      </c>
    </row>
    <row r="2301" spans="1:6">
      <c r="A2301">
        <v>71</v>
      </c>
      <c r="B2301" t="s">
        <v>1758</v>
      </c>
      <c r="C2301">
        <v>2158</v>
      </c>
      <c r="D2301" t="s">
        <v>1589</v>
      </c>
      <c r="E2301" t="s">
        <v>1590</v>
      </c>
      <c r="F2301" t="s">
        <v>1591</v>
      </c>
    </row>
    <row r="2302" spans="1:6">
      <c r="A2302">
        <v>71</v>
      </c>
      <c r="B2302" t="s">
        <v>1758</v>
      </c>
      <c r="C2302">
        <v>3690</v>
      </c>
      <c r="D2302" t="s">
        <v>1592</v>
      </c>
      <c r="E2302" t="s">
        <v>1590</v>
      </c>
      <c r="F2302" t="s">
        <v>1593</v>
      </c>
    </row>
    <row r="2303" spans="1:6">
      <c r="A2303">
        <v>71</v>
      </c>
      <c r="B2303" t="s">
        <v>1758</v>
      </c>
      <c r="C2303">
        <v>1783</v>
      </c>
      <c r="D2303" t="s">
        <v>1594</v>
      </c>
      <c r="E2303" t="s">
        <v>1595</v>
      </c>
      <c r="F2303" t="s">
        <v>1596</v>
      </c>
    </row>
    <row r="2304" spans="1:6">
      <c r="A2304">
        <v>71</v>
      </c>
      <c r="B2304" t="s">
        <v>1758</v>
      </c>
      <c r="C2304">
        <v>2251</v>
      </c>
      <c r="D2304" t="s">
        <v>1597</v>
      </c>
      <c r="E2304" t="s">
        <v>1595</v>
      </c>
      <c r="F2304" t="s">
        <v>1598</v>
      </c>
    </row>
    <row r="2305" spans="1:6">
      <c r="A2305">
        <v>71</v>
      </c>
      <c r="B2305" t="s">
        <v>1758</v>
      </c>
      <c r="C2305">
        <v>52508</v>
      </c>
      <c r="D2305" t="s">
        <v>1599</v>
      </c>
      <c r="E2305" t="s">
        <v>1600</v>
      </c>
      <c r="F2305" t="s">
        <v>1601</v>
      </c>
    </row>
    <row r="2306" spans="1:6">
      <c r="A2306">
        <v>71</v>
      </c>
      <c r="B2306" t="s">
        <v>1758</v>
      </c>
      <c r="C2306">
        <v>248515</v>
      </c>
      <c r="D2306" t="s">
        <v>1602</v>
      </c>
      <c r="E2306" t="s">
        <v>1600</v>
      </c>
      <c r="F2306" t="s">
        <v>1603</v>
      </c>
    </row>
    <row r="2307" spans="1:6">
      <c r="A2307">
        <v>71</v>
      </c>
      <c r="B2307" t="s">
        <v>1758</v>
      </c>
      <c r="C2307">
        <v>8259</v>
      </c>
      <c r="D2307" t="s">
        <v>1459</v>
      </c>
      <c r="E2307" t="s">
        <v>1605</v>
      </c>
      <c r="F2307" t="s">
        <v>1460</v>
      </c>
    </row>
    <row r="2308" spans="1:6">
      <c r="A2308">
        <v>71</v>
      </c>
      <c r="B2308" t="s">
        <v>1758</v>
      </c>
      <c r="C2308">
        <v>10335</v>
      </c>
      <c r="D2308" t="s">
        <v>1604</v>
      </c>
      <c r="E2308" t="s">
        <v>1605</v>
      </c>
      <c r="F2308" t="s">
        <v>1606</v>
      </c>
    </row>
    <row r="2309" spans="1:6">
      <c r="A2309">
        <v>71</v>
      </c>
      <c r="B2309" t="s">
        <v>1758</v>
      </c>
      <c r="C2309">
        <v>32112</v>
      </c>
      <c r="D2309" t="s">
        <v>1273</v>
      </c>
      <c r="E2309" t="s">
        <v>1274</v>
      </c>
      <c r="F2309" t="s">
        <v>1275</v>
      </c>
    </row>
    <row r="2310" spans="1:6">
      <c r="A2310">
        <v>71</v>
      </c>
      <c r="B2310" t="s">
        <v>1758</v>
      </c>
      <c r="C2310">
        <v>88451.520000000004</v>
      </c>
      <c r="D2310" t="s">
        <v>1475</v>
      </c>
      <c r="E2310" t="s">
        <v>1476</v>
      </c>
      <c r="F2310" t="s">
        <v>1477</v>
      </c>
    </row>
    <row r="2311" spans="1:6">
      <c r="A2311">
        <v>71</v>
      </c>
      <c r="B2311" t="s">
        <v>1758</v>
      </c>
      <c r="C2311">
        <v>280859.18</v>
      </c>
      <c r="D2311" t="s">
        <v>1478</v>
      </c>
      <c r="E2311" t="s">
        <v>1479</v>
      </c>
      <c r="F2311" t="s">
        <v>1480</v>
      </c>
    </row>
    <row r="2312" spans="1:6">
      <c r="A2312">
        <v>71</v>
      </c>
      <c r="B2312" t="s">
        <v>1758</v>
      </c>
      <c r="C2312">
        <v>136516.22</v>
      </c>
      <c r="D2312" t="s">
        <v>1365</v>
      </c>
      <c r="E2312" t="s">
        <v>1366</v>
      </c>
      <c r="F2312" t="s">
        <v>1367</v>
      </c>
    </row>
    <row r="2313" spans="1:6">
      <c r="A2313">
        <v>71</v>
      </c>
      <c r="B2313" t="s">
        <v>1758</v>
      </c>
      <c r="C2313">
        <v>6254</v>
      </c>
      <c r="D2313" t="s">
        <v>1610</v>
      </c>
      <c r="E2313" t="s">
        <v>1481</v>
      </c>
      <c r="F2313" t="s">
        <v>1482</v>
      </c>
    </row>
    <row r="2314" spans="1:6">
      <c r="A2314">
        <v>72</v>
      </c>
      <c r="B2314" t="s">
        <v>1759</v>
      </c>
      <c r="C2314">
        <v>2443</v>
      </c>
      <c r="D2314" t="s">
        <v>1489</v>
      </c>
      <c r="E2314" t="s">
        <v>1490</v>
      </c>
      <c r="F2314" t="s">
        <v>1491</v>
      </c>
    </row>
    <row r="2315" spans="1:6">
      <c r="A2315">
        <v>72</v>
      </c>
      <c r="B2315" t="s">
        <v>1759</v>
      </c>
      <c r="C2315">
        <v>197375</v>
      </c>
      <c r="D2315" t="s">
        <v>1407</v>
      </c>
      <c r="E2315" t="s">
        <v>1408</v>
      </c>
      <c r="F2315" t="s">
        <v>1409</v>
      </c>
    </row>
    <row r="2316" spans="1:6">
      <c r="A2316">
        <v>72</v>
      </c>
      <c r="B2316" t="s">
        <v>1759</v>
      </c>
      <c r="C2316">
        <v>327130</v>
      </c>
      <c r="D2316" t="s">
        <v>1567</v>
      </c>
      <c r="E2316" t="s">
        <v>1568</v>
      </c>
      <c r="F2316" t="s">
        <v>1569</v>
      </c>
    </row>
    <row r="2317" spans="1:6">
      <c r="A2317">
        <v>72</v>
      </c>
      <c r="B2317" t="s">
        <v>1759</v>
      </c>
      <c r="C2317">
        <v>10538687</v>
      </c>
      <c r="D2317" t="s">
        <v>1570</v>
      </c>
      <c r="E2317" t="s">
        <v>1571</v>
      </c>
      <c r="F2317" t="s">
        <v>1572</v>
      </c>
    </row>
    <row r="2318" spans="1:6">
      <c r="A2318">
        <v>72</v>
      </c>
      <c r="B2318" t="s">
        <v>1759</v>
      </c>
      <c r="C2318">
        <v>244895</v>
      </c>
      <c r="D2318" t="s">
        <v>1520</v>
      </c>
      <c r="E2318" t="s">
        <v>1521</v>
      </c>
      <c r="F2318" t="s">
        <v>1522</v>
      </c>
    </row>
    <row r="2319" spans="1:6">
      <c r="A2319">
        <v>72</v>
      </c>
      <c r="B2319" t="s">
        <v>1759</v>
      </c>
      <c r="C2319">
        <v>430051</v>
      </c>
      <c r="D2319" t="s">
        <v>1573</v>
      </c>
      <c r="E2319" t="s">
        <v>1574</v>
      </c>
      <c r="F2319" t="s">
        <v>1575</v>
      </c>
    </row>
    <row r="2320" spans="1:6">
      <c r="A2320">
        <v>72</v>
      </c>
      <c r="B2320" t="s">
        <v>1759</v>
      </c>
      <c r="C2320">
        <v>43006</v>
      </c>
      <c r="D2320" t="s">
        <v>1371</v>
      </c>
      <c r="E2320" t="s">
        <v>1372</v>
      </c>
      <c r="F2320" t="s">
        <v>1373</v>
      </c>
    </row>
    <row r="2321" spans="1:6">
      <c r="A2321">
        <v>72</v>
      </c>
      <c r="B2321" t="s">
        <v>1759</v>
      </c>
      <c r="C2321">
        <v>18463</v>
      </c>
      <c r="D2321" t="s">
        <v>1528</v>
      </c>
      <c r="E2321" t="s">
        <v>1529</v>
      </c>
      <c r="F2321" t="s">
        <v>1530</v>
      </c>
    </row>
    <row r="2322" spans="1:6">
      <c r="A2322">
        <v>72</v>
      </c>
      <c r="B2322" t="s">
        <v>1759</v>
      </c>
      <c r="C2322">
        <v>27880</v>
      </c>
      <c r="D2322" t="s">
        <v>1387</v>
      </c>
      <c r="E2322" t="s">
        <v>1388</v>
      </c>
      <c r="F2322" t="s">
        <v>1389</v>
      </c>
    </row>
    <row r="2323" spans="1:6">
      <c r="A2323">
        <v>72</v>
      </c>
      <c r="B2323" t="s">
        <v>1759</v>
      </c>
      <c r="C2323">
        <v>5808.36</v>
      </c>
      <c r="D2323" t="s">
        <v>1374</v>
      </c>
      <c r="E2323" t="s">
        <v>1375</v>
      </c>
      <c r="F2323" t="s">
        <v>1376</v>
      </c>
    </row>
    <row r="2324" spans="1:6">
      <c r="A2324">
        <v>72</v>
      </c>
      <c r="B2324" t="s">
        <v>1759</v>
      </c>
      <c r="C2324">
        <v>11936.65</v>
      </c>
      <c r="D2324" t="s">
        <v>1377</v>
      </c>
      <c r="E2324" t="s">
        <v>1375</v>
      </c>
      <c r="F2324" t="s">
        <v>1378</v>
      </c>
    </row>
    <row r="2325" spans="1:6">
      <c r="A2325">
        <v>72</v>
      </c>
      <c r="B2325" t="s">
        <v>1759</v>
      </c>
      <c r="C2325">
        <v>2082.27</v>
      </c>
      <c r="D2325" t="s">
        <v>1537</v>
      </c>
      <c r="E2325" t="s">
        <v>1538</v>
      </c>
      <c r="F2325" t="s">
        <v>1539</v>
      </c>
    </row>
    <row r="2326" spans="1:6">
      <c r="A2326">
        <v>72</v>
      </c>
      <c r="B2326" t="s">
        <v>1759</v>
      </c>
      <c r="C2326">
        <v>5736.99</v>
      </c>
      <c r="D2326" t="s">
        <v>1540</v>
      </c>
      <c r="E2326" t="s">
        <v>1538</v>
      </c>
      <c r="F2326" t="s">
        <v>1541</v>
      </c>
    </row>
    <row r="2327" spans="1:6">
      <c r="A2327">
        <v>72</v>
      </c>
      <c r="B2327" t="s">
        <v>1759</v>
      </c>
      <c r="C2327">
        <v>10103.84</v>
      </c>
      <c r="D2327" t="s">
        <v>1431</v>
      </c>
      <c r="E2327" t="s">
        <v>1432</v>
      </c>
      <c r="F2327" t="s">
        <v>1433</v>
      </c>
    </row>
    <row r="2328" spans="1:6">
      <c r="A2328">
        <v>72</v>
      </c>
      <c r="B2328" t="s">
        <v>1759</v>
      </c>
      <c r="C2328">
        <v>36822.21</v>
      </c>
      <c r="D2328" t="s">
        <v>1434</v>
      </c>
      <c r="E2328" t="s">
        <v>1432</v>
      </c>
      <c r="F2328" t="s">
        <v>1435</v>
      </c>
    </row>
    <row r="2329" spans="1:6">
      <c r="A2329">
        <v>72</v>
      </c>
      <c r="B2329" t="s">
        <v>1759</v>
      </c>
      <c r="C2329">
        <v>5782</v>
      </c>
      <c r="D2329" t="s">
        <v>1576</v>
      </c>
      <c r="E2329" t="s">
        <v>1577</v>
      </c>
      <c r="F2329" t="s">
        <v>1578</v>
      </c>
    </row>
    <row r="2330" spans="1:6">
      <c r="A2330">
        <v>72</v>
      </c>
      <c r="B2330" t="s">
        <v>1759</v>
      </c>
      <c r="C2330">
        <v>89846</v>
      </c>
      <c r="D2330" t="s">
        <v>1579</v>
      </c>
      <c r="E2330" t="s">
        <v>1577</v>
      </c>
      <c r="F2330" t="s">
        <v>1580</v>
      </c>
    </row>
    <row r="2331" spans="1:6">
      <c r="A2331">
        <v>72</v>
      </c>
      <c r="B2331" t="s">
        <v>1759</v>
      </c>
      <c r="C2331">
        <v>688</v>
      </c>
      <c r="D2331" t="s">
        <v>1581</v>
      </c>
      <c r="E2331" t="s">
        <v>1582</v>
      </c>
      <c r="F2331" t="s">
        <v>1583</v>
      </c>
    </row>
    <row r="2332" spans="1:6">
      <c r="A2332">
        <v>72</v>
      </c>
      <c r="B2332" t="s">
        <v>1759</v>
      </c>
      <c r="C2332">
        <v>20257</v>
      </c>
      <c r="D2332" t="s">
        <v>1584</v>
      </c>
      <c r="E2332" t="s">
        <v>1585</v>
      </c>
      <c r="F2332" t="s">
        <v>1586</v>
      </c>
    </row>
    <row r="2333" spans="1:6">
      <c r="A2333">
        <v>72</v>
      </c>
      <c r="B2333" t="s">
        <v>1759</v>
      </c>
      <c r="C2333">
        <v>30000</v>
      </c>
      <c r="D2333" t="s">
        <v>1587</v>
      </c>
      <c r="E2333" t="s">
        <v>1585</v>
      </c>
      <c r="F2333" t="s">
        <v>1588</v>
      </c>
    </row>
    <row r="2334" spans="1:6">
      <c r="A2334">
        <v>72</v>
      </c>
      <c r="B2334" t="s">
        <v>1759</v>
      </c>
      <c r="C2334">
        <v>5970</v>
      </c>
      <c r="D2334" t="s">
        <v>1592</v>
      </c>
      <c r="E2334" t="s">
        <v>1590</v>
      </c>
      <c r="F2334" t="s">
        <v>1593</v>
      </c>
    </row>
    <row r="2335" spans="1:6">
      <c r="A2335">
        <v>72</v>
      </c>
      <c r="B2335" t="s">
        <v>1759</v>
      </c>
      <c r="C2335">
        <v>4545</v>
      </c>
      <c r="D2335" t="s">
        <v>1594</v>
      </c>
      <c r="E2335" t="s">
        <v>1595</v>
      </c>
      <c r="F2335" t="s">
        <v>1596</v>
      </c>
    </row>
    <row r="2336" spans="1:6">
      <c r="A2336">
        <v>72</v>
      </c>
      <c r="B2336" t="s">
        <v>1759</v>
      </c>
      <c r="C2336">
        <v>4153</v>
      </c>
      <c r="D2336" t="s">
        <v>1597</v>
      </c>
      <c r="E2336" t="s">
        <v>1595</v>
      </c>
      <c r="F2336" t="s">
        <v>1598</v>
      </c>
    </row>
    <row r="2337" spans="1:6">
      <c r="A2337">
        <v>72</v>
      </c>
      <c r="B2337" t="s">
        <v>1759</v>
      </c>
      <c r="C2337">
        <v>30884</v>
      </c>
      <c r="D2337" t="s">
        <v>1599</v>
      </c>
      <c r="E2337" t="s">
        <v>1600</v>
      </c>
      <c r="F2337" t="s">
        <v>1601</v>
      </c>
    </row>
    <row r="2338" spans="1:6">
      <c r="A2338">
        <v>72</v>
      </c>
      <c r="B2338" t="s">
        <v>1759</v>
      </c>
      <c r="C2338">
        <v>450000</v>
      </c>
      <c r="D2338" t="s">
        <v>1602</v>
      </c>
      <c r="E2338" t="s">
        <v>1600</v>
      </c>
      <c r="F2338" t="s">
        <v>1603</v>
      </c>
    </row>
    <row r="2339" spans="1:6">
      <c r="A2339">
        <v>72</v>
      </c>
      <c r="B2339" t="s">
        <v>1759</v>
      </c>
      <c r="C2339">
        <v>21054</v>
      </c>
      <c r="D2339" t="s">
        <v>1604</v>
      </c>
      <c r="E2339" t="s">
        <v>1605</v>
      </c>
      <c r="F2339" t="s">
        <v>1606</v>
      </c>
    </row>
    <row r="2340" spans="1:6">
      <c r="A2340">
        <v>72</v>
      </c>
      <c r="B2340" t="s">
        <v>1759</v>
      </c>
      <c r="C2340">
        <v>18276.25</v>
      </c>
      <c r="D2340" t="s">
        <v>1475</v>
      </c>
      <c r="E2340" t="s">
        <v>1476</v>
      </c>
      <c r="F2340" t="s">
        <v>1477</v>
      </c>
    </row>
    <row r="2341" spans="1:6">
      <c r="A2341">
        <v>72</v>
      </c>
      <c r="B2341" t="s">
        <v>1759</v>
      </c>
      <c r="C2341">
        <v>54568.54</v>
      </c>
      <c r="D2341" t="s">
        <v>1478</v>
      </c>
      <c r="E2341" t="s">
        <v>1479</v>
      </c>
      <c r="F2341" t="s">
        <v>1480</v>
      </c>
    </row>
    <row r="2342" spans="1:6">
      <c r="A2342">
        <v>72</v>
      </c>
      <c r="B2342" t="s">
        <v>1759</v>
      </c>
      <c r="C2342">
        <v>331236</v>
      </c>
      <c r="D2342" t="s">
        <v>1607</v>
      </c>
      <c r="E2342" t="s">
        <v>1608</v>
      </c>
      <c r="F2342" t="s">
        <v>1609</v>
      </c>
    </row>
    <row r="2343" spans="1:6">
      <c r="A2343">
        <v>72</v>
      </c>
      <c r="B2343" t="s">
        <v>1759</v>
      </c>
      <c r="C2343">
        <v>127233</v>
      </c>
      <c r="D2343" t="s">
        <v>1610</v>
      </c>
      <c r="E2343" t="s">
        <v>1481</v>
      </c>
      <c r="F2343" t="s">
        <v>1482</v>
      </c>
    </row>
    <row r="2344" spans="1:6">
      <c r="A2344">
        <v>73</v>
      </c>
      <c r="B2344" t="s">
        <v>1760</v>
      </c>
      <c r="C2344">
        <v>6454</v>
      </c>
      <c r="D2344" t="s">
        <v>1486</v>
      </c>
      <c r="E2344" t="s">
        <v>1487</v>
      </c>
      <c r="F2344" t="s">
        <v>1488</v>
      </c>
    </row>
    <row r="2345" spans="1:6">
      <c r="A2345">
        <v>73</v>
      </c>
      <c r="B2345" t="s">
        <v>1760</v>
      </c>
      <c r="C2345">
        <v>3019</v>
      </c>
      <c r="D2345" t="s">
        <v>1489</v>
      </c>
      <c r="E2345" t="s">
        <v>1490</v>
      </c>
      <c r="F2345" t="s">
        <v>1491</v>
      </c>
    </row>
    <row r="2346" spans="1:6">
      <c r="A2346">
        <v>73</v>
      </c>
      <c r="B2346" t="s">
        <v>1760</v>
      </c>
      <c r="C2346">
        <v>164161</v>
      </c>
      <c r="D2346" t="s">
        <v>1567</v>
      </c>
      <c r="E2346" t="s">
        <v>1568</v>
      </c>
      <c r="F2346" t="s">
        <v>1569</v>
      </c>
    </row>
    <row r="2347" spans="1:6">
      <c r="A2347">
        <v>73</v>
      </c>
      <c r="B2347" t="s">
        <v>1760</v>
      </c>
      <c r="C2347">
        <v>3471779</v>
      </c>
      <c r="D2347" t="s">
        <v>1570</v>
      </c>
      <c r="E2347" t="s">
        <v>1571</v>
      </c>
      <c r="F2347" t="s">
        <v>1572</v>
      </c>
    </row>
    <row r="2348" spans="1:6">
      <c r="A2348">
        <v>73</v>
      </c>
      <c r="B2348" t="s">
        <v>1760</v>
      </c>
      <c r="C2348">
        <v>4034</v>
      </c>
      <c r="D2348" t="s">
        <v>1573</v>
      </c>
      <c r="E2348" t="s">
        <v>1574</v>
      </c>
      <c r="F2348" t="s">
        <v>1575</v>
      </c>
    </row>
    <row r="2349" spans="1:6">
      <c r="A2349">
        <v>73</v>
      </c>
      <c r="B2349" t="s">
        <v>1760</v>
      </c>
      <c r="C2349">
        <v>2600</v>
      </c>
      <c r="D2349" t="s">
        <v>1387</v>
      </c>
      <c r="E2349" t="s">
        <v>1388</v>
      </c>
      <c r="F2349" t="s">
        <v>1389</v>
      </c>
    </row>
    <row r="2350" spans="1:6">
      <c r="A2350">
        <v>73</v>
      </c>
      <c r="B2350" t="s">
        <v>1760</v>
      </c>
      <c r="C2350">
        <v>351.39</v>
      </c>
      <c r="D2350" t="s">
        <v>1374</v>
      </c>
      <c r="E2350" t="s">
        <v>1375</v>
      </c>
      <c r="F2350" t="s">
        <v>1376</v>
      </c>
    </row>
    <row r="2351" spans="1:6">
      <c r="A2351">
        <v>73</v>
      </c>
      <c r="B2351" t="s">
        <v>1760</v>
      </c>
      <c r="C2351">
        <v>1071.6099999999999</v>
      </c>
      <c r="D2351" t="s">
        <v>1377</v>
      </c>
      <c r="E2351" t="s">
        <v>1375</v>
      </c>
      <c r="F2351" t="s">
        <v>1378</v>
      </c>
    </row>
    <row r="2352" spans="1:6">
      <c r="A2352">
        <v>73</v>
      </c>
      <c r="B2352" t="s">
        <v>1760</v>
      </c>
      <c r="C2352">
        <v>1759.17</v>
      </c>
      <c r="D2352" t="s">
        <v>1537</v>
      </c>
      <c r="E2352" t="s">
        <v>1538</v>
      </c>
      <c r="F2352" t="s">
        <v>1539</v>
      </c>
    </row>
    <row r="2353" spans="1:6">
      <c r="A2353">
        <v>73</v>
      </c>
      <c r="B2353" t="s">
        <v>1760</v>
      </c>
      <c r="C2353">
        <v>4181</v>
      </c>
      <c r="D2353" t="s">
        <v>1540</v>
      </c>
      <c r="E2353" t="s">
        <v>1538</v>
      </c>
      <c r="F2353" t="s">
        <v>1541</v>
      </c>
    </row>
    <row r="2354" spans="1:6">
      <c r="A2354">
        <v>73</v>
      </c>
      <c r="B2354" t="s">
        <v>1760</v>
      </c>
      <c r="C2354">
        <v>12348.04</v>
      </c>
      <c r="D2354" t="s">
        <v>1431</v>
      </c>
      <c r="E2354" t="s">
        <v>1432</v>
      </c>
      <c r="F2354" t="s">
        <v>1433</v>
      </c>
    </row>
    <row r="2355" spans="1:6">
      <c r="A2355">
        <v>73</v>
      </c>
      <c r="B2355" t="s">
        <v>1760</v>
      </c>
      <c r="C2355">
        <v>26607.09</v>
      </c>
      <c r="D2355" t="s">
        <v>1434</v>
      </c>
      <c r="E2355" t="s">
        <v>1432</v>
      </c>
      <c r="F2355" t="s">
        <v>1435</v>
      </c>
    </row>
    <row r="2356" spans="1:6">
      <c r="A2356">
        <v>73</v>
      </c>
      <c r="B2356" t="s">
        <v>1760</v>
      </c>
      <c r="C2356">
        <v>5952</v>
      </c>
      <c r="D2356" t="s">
        <v>1576</v>
      </c>
      <c r="E2356" t="s">
        <v>1577</v>
      </c>
      <c r="F2356" t="s">
        <v>1578</v>
      </c>
    </row>
    <row r="2357" spans="1:6">
      <c r="A2357">
        <v>73</v>
      </c>
      <c r="B2357" t="s">
        <v>1760</v>
      </c>
      <c r="C2357">
        <v>26038</v>
      </c>
      <c r="D2357" t="s">
        <v>1579</v>
      </c>
      <c r="E2357" t="s">
        <v>1577</v>
      </c>
      <c r="F2357" t="s">
        <v>1580</v>
      </c>
    </row>
    <row r="2358" spans="1:6">
      <c r="A2358">
        <v>73</v>
      </c>
      <c r="B2358" t="s">
        <v>1760</v>
      </c>
      <c r="C2358">
        <v>200</v>
      </c>
      <c r="D2358" t="s">
        <v>1581</v>
      </c>
      <c r="E2358" t="s">
        <v>1582</v>
      </c>
      <c r="F2358" t="s">
        <v>1583</v>
      </c>
    </row>
    <row r="2359" spans="1:6">
      <c r="A2359">
        <v>73</v>
      </c>
      <c r="B2359" t="s">
        <v>1760</v>
      </c>
      <c r="C2359">
        <v>914</v>
      </c>
      <c r="D2359" t="s">
        <v>1584</v>
      </c>
      <c r="E2359" t="s">
        <v>1585</v>
      </c>
      <c r="F2359" t="s">
        <v>1586</v>
      </c>
    </row>
    <row r="2360" spans="1:6">
      <c r="A2360">
        <v>73</v>
      </c>
      <c r="B2360" t="s">
        <v>1760</v>
      </c>
      <c r="C2360">
        <v>10578</v>
      </c>
      <c r="D2360" t="s">
        <v>1587</v>
      </c>
      <c r="E2360" t="s">
        <v>1585</v>
      </c>
      <c r="F2360" t="s">
        <v>1588</v>
      </c>
    </row>
    <row r="2361" spans="1:6">
      <c r="A2361">
        <v>73</v>
      </c>
      <c r="B2361" t="s">
        <v>1760</v>
      </c>
      <c r="C2361">
        <v>1390</v>
      </c>
      <c r="D2361" t="s">
        <v>1592</v>
      </c>
      <c r="E2361" t="s">
        <v>1590</v>
      </c>
      <c r="F2361" t="s">
        <v>1593</v>
      </c>
    </row>
    <row r="2362" spans="1:6">
      <c r="A2362">
        <v>73</v>
      </c>
      <c r="B2362" t="s">
        <v>1760</v>
      </c>
      <c r="C2362">
        <v>791</v>
      </c>
      <c r="D2362" t="s">
        <v>1597</v>
      </c>
      <c r="E2362" t="s">
        <v>1595</v>
      </c>
      <c r="F2362" t="s">
        <v>1598</v>
      </c>
    </row>
    <row r="2363" spans="1:6">
      <c r="A2363">
        <v>73</v>
      </c>
      <c r="B2363" t="s">
        <v>1760</v>
      </c>
      <c r="C2363">
        <v>15290</v>
      </c>
      <c r="D2363" t="s">
        <v>1599</v>
      </c>
      <c r="E2363" t="s">
        <v>1600</v>
      </c>
      <c r="F2363" t="s">
        <v>1601</v>
      </c>
    </row>
    <row r="2364" spans="1:6">
      <c r="A2364">
        <v>73</v>
      </c>
      <c r="B2364" t="s">
        <v>1760</v>
      </c>
      <c r="C2364">
        <v>112665</v>
      </c>
      <c r="D2364" t="s">
        <v>1602</v>
      </c>
      <c r="E2364" t="s">
        <v>1600</v>
      </c>
      <c r="F2364" t="s">
        <v>1603</v>
      </c>
    </row>
    <row r="2365" spans="1:6">
      <c r="A2365">
        <v>73</v>
      </c>
      <c r="B2365" t="s">
        <v>1760</v>
      </c>
      <c r="C2365">
        <v>10145</v>
      </c>
      <c r="D2365" t="s">
        <v>1604</v>
      </c>
      <c r="E2365" t="s">
        <v>1605</v>
      </c>
      <c r="F2365" t="s">
        <v>1606</v>
      </c>
    </row>
    <row r="2366" spans="1:6">
      <c r="A2366">
        <v>73</v>
      </c>
      <c r="B2366" t="s">
        <v>1760</v>
      </c>
      <c r="C2366">
        <v>4076.5</v>
      </c>
      <c r="D2366" t="s">
        <v>1379</v>
      </c>
      <c r="E2366" t="s">
        <v>1380</v>
      </c>
      <c r="F2366" t="s">
        <v>1381</v>
      </c>
    </row>
    <row r="2367" spans="1:6">
      <c r="A2367">
        <v>73</v>
      </c>
      <c r="B2367" t="s">
        <v>1760</v>
      </c>
      <c r="C2367">
        <v>114324.21</v>
      </c>
      <c r="D2367" t="s">
        <v>1478</v>
      </c>
      <c r="E2367" t="s">
        <v>1479</v>
      </c>
      <c r="F2367" t="s">
        <v>1480</v>
      </c>
    </row>
    <row r="2368" spans="1:6">
      <c r="A2368">
        <v>73</v>
      </c>
      <c r="B2368" t="s">
        <v>1760</v>
      </c>
      <c r="C2368">
        <v>98768</v>
      </c>
      <c r="D2368" t="s">
        <v>1610</v>
      </c>
      <c r="E2368" t="s">
        <v>1481</v>
      </c>
      <c r="F2368" t="s">
        <v>1482</v>
      </c>
    </row>
    <row r="2369" spans="1:6">
      <c r="A2369">
        <v>74</v>
      </c>
      <c r="B2369" t="s">
        <v>1761</v>
      </c>
      <c r="C2369">
        <v>53315</v>
      </c>
      <c r="D2369" t="s">
        <v>1567</v>
      </c>
      <c r="E2369" t="s">
        <v>1568</v>
      </c>
      <c r="F2369" t="s">
        <v>1569</v>
      </c>
    </row>
    <row r="2370" spans="1:6">
      <c r="A2370">
        <v>74</v>
      </c>
      <c r="B2370" t="s">
        <v>1761</v>
      </c>
      <c r="C2370">
        <v>1149602</v>
      </c>
      <c r="D2370" t="s">
        <v>1570</v>
      </c>
      <c r="E2370" t="s">
        <v>1571</v>
      </c>
      <c r="F2370" t="s">
        <v>1572</v>
      </c>
    </row>
    <row r="2371" spans="1:6">
      <c r="A2371">
        <v>74</v>
      </c>
      <c r="B2371" t="s">
        <v>1761</v>
      </c>
      <c r="C2371">
        <v>7425</v>
      </c>
      <c r="D2371" t="s">
        <v>1520</v>
      </c>
      <c r="E2371" t="s">
        <v>1521</v>
      </c>
      <c r="F2371" t="s">
        <v>1522</v>
      </c>
    </row>
    <row r="2372" spans="1:6">
      <c r="A2372">
        <v>74</v>
      </c>
      <c r="B2372" t="s">
        <v>1761</v>
      </c>
      <c r="C2372">
        <v>172198</v>
      </c>
      <c r="D2372" t="s">
        <v>1573</v>
      </c>
      <c r="E2372" t="s">
        <v>1574</v>
      </c>
      <c r="F2372" t="s">
        <v>1575</v>
      </c>
    </row>
    <row r="2373" spans="1:6">
      <c r="A2373">
        <v>74</v>
      </c>
      <c r="B2373" t="s">
        <v>1761</v>
      </c>
      <c r="C2373">
        <v>25919</v>
      </c>
      <c r="D2373" t="s">
        <v>1523</v>
      </c>
      <c r="E2373" t="s">
        <v>1521</v>
      </c>
      <c r="F2373" t="s">
        <v>1524</v>
      </c>
    </row>
    <row r="2374" spans="1:6">
      <c r="A2374">
        <v>74</v>
      </c>
      <c r="B2374" t="s">
        <v>1761</v>
      </c>
      <c r="C2374">
        <v>9</v>
      </c>
      <c r="D2374" t="s">
        <v>1525</v>
      </c>
      <c r="E2374" t="s">
        <v>1526</v>
      </c>
      <c r="F2374" t="s">
        <v>1527</v>
      </c>
    </row>
    <row r="2375" spans="1:6">
      <c r="A2375">
        <v>74</v>
      </c>
      <c r="B2375" t="s">
        <v>1761</v>
      </c>
      <c r="C2375">
        <v>6500</v>
      </c>
      <c r="D2375" t="s">
        <v>1387</v>
      </c>
      <c r="E2375" t="s">
        <v>1388</v>
      </c>
      <c r="F2375" t="s">
        <v>1389</v>
      </c>
    </row>
    <row r="2376" spans="1:6">
      <c r="A2376">
        <v>74</v>
      </c>
      <c r="B2376" t="s">
        <v>1761</v>
      </c>
      <c r="C2376">
        <v>17940</v>
      </c>
      <c r="D2376" t="s">
        <v>1413</v>
      </c>
      <c r="E2376" t="s">
        <v>1414</v>
      </c>
      <c r="F2376" t="s">
        <v>1578</v>
      </c>
    </row>
    <row r="2377" spans="1:6">
      <c r="A2377">
        <v>74</v>
      </c>
      <c r="B2377" t="s">
        <v>1761</v>
      </c>
      <c r="C2377">
        <v>61192</v>
      </c>
      <c r="D2377" t="s">
        <v>1579</v>
      </c>
      <c r="E2377" t="s">
        <v>1577</v>
      </c>
      <c r="F2377" t="s">
        <v>1580</v>
      </c>
    </row>
    <row r="2378" spans="1:6">
      <c r="A2378">
        <v>74</v>
      </c>
      <c r="B2378" t="s">
        <v>1761</v>
      </c>
      <c r="C2378">
        <v>2000</v>
      </c>
      <c r="D2378" t="s">
        <v>1355</v>
      </c>
      <c r="E2378" t="s">
        <v>1414</v>
      </c>
      <c r="F2378" t="s">
        <v>1580</v>
      </c>
    </row>
    <row r="2379" spans="1:6">
      <c r="A2379">
        <v>74</v>
      </c>
      <c r="B2379" t="s">
        <v>1761</v>
      </c>
      <c r="C2379">
        <v>469</v>
      </c>
      <c r="D2379" t="s">
        <v>1581</v>
      </c>
      <c r="E2379" t="s">
        <v>1582</v>
      </c>
      <c r="F2379" t="s">
        <v>1583</v>
      </c>
    </row>
    <row r="2380" spans="1:6">
      <c r="A2380">
        <v>74</v>
      </c>
      <c r="B2380" t="s">
        <v>1761</v>
      </c>
      <c r="C2380">
        <v>33206</v>
      </c>
      <c r="D2380" t="s">
        <v>1587</v>
      </c>
      <c r="E2380" t="s">
        <v>1585</v>
      </c>
      <c r="F2380" t="s">
        <v>1588</v>
      </c>
    </row>
    <row r="2381" spans="1:6">
      <c r="A2381">
        <v>74</v>
      </c>
      <c r="B2381" t="s">
        <v>1761</v>
      </c>
      <c r="C2381">
        <v>3541</v>
      </c>
      <c r="D2381" t="s">
        <v>1592</v>
      </c>
      <c r="E2381" t="s">
        <v>1590</v>
      </c>
      <c r="F2381" t="s">
        <v>1593</v>
      </c>
    </row>
    <row r="2382" spans="1:6">
      <c r="A2382">
        <v>74</v>
      </c>
      <c r="B2382" t="s">
        <v>1761</v>
      </c>
      <c r="C2382">
        <v>1500</v>
      </c>
      <c r="D2382" t="s">
        <v>1597</v>
      </c>
      <c r="E2382" t="s">
        <v>1595</v>
      </c>
      <c r="F2382" t="s">
        <v>1598</v>
      </c>
    </row>
    <row r="2383" spans="1:6">
      <c r="A2383">
        <v>74</v>
      </c>
      <c r="B2383" t="s">
        <v>1761</v>
      </c>
      <c r="C2383">
        <v>234841</v>
      </c>
      <c r="D2383" t="s">
        <v>1602</v>
      </c>
      <c r="E2383" t="s">
        <v>1600</v>
      </c>
      <c r="F2383" t="s">
        <v>1603</v>
      </c>
    </row>
    <row r="2384" spans="1:6">
      <c r="A2384">
        <v>74</v>
      </c>
      <c r="B2384" t="s">
        <v>1761</v>
      </c>
      <c r="C2384">
        <v>7992</v>
      </c>
      <c r="D2384" t="s">
        <v>1604</v>
      </c>
      <c r="E2384" t="s">
        <v>1605</v>
      </c>
      <c r="F2384" t="s">
        <v>1606</v>
      </c>
    </row>
    <row r="2385" spans="1:6">
      <c r="A2385">
        <v>74</v>
      </c>
      <c r="B2385" t="s">
        <v>1761</v>
      </c>
      <c r="C2385">
        <v>3035567</v>
      </c>
      <c r="D2385" t="s">
        <v>1607</v>
      </c>
      <c r="E2385" t="s">
        <v>1608</v>
      </c>
      <c r="F2385" t="s">
        <v>1609</v>
      </c>
    </row>
    <row r="2386" spans="1:6">
      <c r="A2386">
        <v>74</v>
      </c>
      <c r="B2386" t="s">
        <v>1761</v>
      </c>
      <c r="C2386">
        <v>821523</v>
      </c>
      <c r="D2386" t="s">
        <v>1610</v>
      </c>
      <c r="E2386" t="s">
        <v>1481</v>
      </c>
      <c r="F2386" t="s">
        <v>1482</v>
      </c>
    </row>
    <row r="2387" spans="1:6">
      <c r="A2387">
        <v>75</v>
      </c>
      <c r="B2387" t="s">
        <v>1181</v>
      </c>
      <c r="C2387">
        <v>107345</v>
      </c>
      <c r="D2387" t="s">
        <v>1570</v>
      </c>
      <c r="E2387" t="s">
        <v>1571</v>
      </c>
      <c r="F2387" t="s">
        <v>1572</v>
      </c>
    </row>
    <row r="2388" spans="1:6">
      <c r="A2388">
        <v>75</v>
      </c>
      <c r="B2388" t="s">
        <v>1181</v>
      </c>
      <c r="C2388">
        <v>1838</v>
      </c>
      <c r="D2388" t="s">
        <v>1371</v>
      </c>
      <c r="E2388" t="s">
        <v>1372</v>
      </c>
      <c r="F2388" t="s">
        <v>1373</v>
      </c>
    </row>
    <row r="2389" spans="1:6">
      <c r="A2389">
        <v>76</v>
      </c>
      <c r="B2389" t="s">
        <v>1762</v>
      </c>
      <c r="C2389">
        <v>11367</v>
      </c>
      <c r="D2389" t="s">
        <v>1489</v>
      </c>
      <c r="E2389" t="s">
        <v>1490</v>
      </c>
      <c r="F2389" t="s">
        <v>1491</v>
      </c>
    </row>
    <row r="2390" spans="1:6">
      <c r="A2390">
        <v>76</v>
      </c>
      <c r="B2390" t="s">
        <v>1762</v>
      </c>
      <c r="C2390">
        <v>49393</v>
      </c>
      <c r="D2390" t="s">
        <v>1567</v>
      </c>
      <c r="E2390" t="s">
        <v>1568</v>
      </c>
      <c r="F2390" t="s">
        <v>1569</v>
      </c>
    </row>
    <row r="2391" spans="1:6">
      <c r="A2391">
        <v>76</v>
      </c>
      <c r="B2391" t="s">
        <v>1762</v>
      </c>
      <c r="C2391">
        <v>11203</v>
      </c>
      <c r="D2391" t="s">
        <v>1496</v>
      </c>
      <c r="E2391" t="s">
        <v>1497</v>
      </c>
      <c r="F2391" t="s">
        <v>1498</v>
      </c>
    </row>
    <row r="2392" spans="1:6">
      <c r="A2392">
        <v>76</v>
      </c>
      <c r="B2392" t="s">
        <v>1762</v>
      </c>
      <c r="C2392">
        <v>1110094</v>
      </c>
      <c r="D2392" t="s">
        <v>1570</v>
      </c>
      <c r="E2392" t="s">
        <v>1571</v>
      </c>
      <c r="F2392" t="s">
        <v>1572</v>
      </c>
    </row>
    <row r="2393" spans="1:6">
      <c r="A2393">
        <v>76</v>
      </c>
      <c r="B2393" t="s">
        <v>1762</v>
      </c>
      <c r="C2393">
        <v>173176</v>
      </c>
      <c r="D2393" t="s">
        <v>1520</v>
      </c>
      <c r="E2393" t="s">
        <v>1521</v>
      </c>
      <c r="F2393" t="s">
        <v>1522</v>
      </c>
    </row>
    <row r="2394" spans="1:6">
      <c r="A2394">
        <v>76</v>
      </c>
      <c r="B2394" t="s">
        <v>1762</v>
      </c>
      <c r="C2394">
        <v>774696</v>
      </c>
      <c r="D2394" t="s">
        <v>1573</v>
      </c>
      <c r="E2394" t="s">
        <v>1574</v>
      </c>
      <c r="F2394" t="s">
        <v>1575</v>
      </c>
    </row>
    <row r="2395" spans="1:6">
      <c r="A2395">
        <v>76</v>
      </c>
      <c r="B2395" t="s">
        <v>1762</v>
      </c>
      <c r="C2395">
        <v>2606</v>
      </c>
      <c r="D2395" t="s">
        <v>1525</v>
      </c>
      <c r="E2395" t="s">
        <v>1526</v>
      </c>
      <c r="F2395" t="s">
        <v>1527</v>
      </c>
    </row>
    <row r="2396" spans="1:6">
      <c r="A2396">
        <v>76</v>
      </c>
      <c r="B2396" t="s">
        <v>1762</v>
      </c>
      <c r="C2396">
        <v>28497</v>
      </c>
      <c r="D2396" t="s">
        <v>1528</v>
      </c>
      <c r="E2396" t="s">
        <v>1529</v>
      </c>
      <c r="F2396" t="s">
        <v>1530</v>
      </c>
    </row>
    <row r="2397" spans="1:6">
      <c r="A2397">
        <v>76</v>
      </c>
      <c r="B2397" t="s">
        <v>1762</v>
      </c>
      <c r="C2397">
        <v>7800</v>
      </c>
      <c r="D2397" t="s">
        <v>1387</v>
      </c>
      <c r="E2397" t="s">
        <v>1388</v>
      </c>
      <c r="F2397" t="s">
        <v>1389</v>
      </c>
    </row>
    <row r="2398" spans="1:6">
      <c r="A2398">
        <v>76</v>
      </c>
      <c r="B2398" t="s">
        <v>1762</v>
      </c>
      <c r="C2398">
        <v>70961</v>
      </c>
      <c r="D2398" t="s">
        <v>1390</v>
      </c>
      <c r="E2398" t="s">
        <v>1391</v>
      </c>
      <c r="F2398" t="s">
        <v>1392</v>
      </c>
    </row>
    <row r="2399" spans="1:6">
      <c r="A2399">
        <v>76</v>
      </c>
      <c r="B2399" t="s">
        <v>1762</v>
      </c>
      <c r="C2399">
        <v>23503.25</v>
      </c>
      <c r="D2399" t="s">
        <v>1431</v>
      </c>
      <c r="E2399" t="s">
        <v>1432</v>
      </c>
      <c r="F2399" t="s">
        <v>1433</v>
      </c>
    </row>
    <row r="2400" spans="1:6">
      <c r="A2400">
        <v>76</v>
      </c>
      <c r="B2400" t="s">
        <v>1762</v>
      </c>
      <c r="C2400">
        <v>52334.9</v>
      </c>
      <c r="D2400" t="s">
        <v>1434</v>
      </c>
      <c r="E2400" t="s">
        <v>1432</v>
      </c>
      <c r="F2400" t="s">
        <v>1435</v>
      </c>
    </row>
    <row r="2401" spans="1:6">
      <c r="A2401">
        <v>76</v>
      </c>
      <c r="B2401" t="s">
        <v>1762</v>
      </c>
      <c r="C2401">
        <v>16312</v>
      </c>
      <c r="D2401" t="s">
        <v>1436</v>
      </c>
      <c r="E2401" t="s">
        <v>1437</v>
      </c>
      <c r="F2401" t="s">
        <v>1438</v>
      </c>
    </row>
    <row r="2402" spans="1:6">
      <c r="A2402">
        <v>76</v>
      </c>
      <c r="B2402" t="s">
        <v>1762</v>
      </c>
      <c r="C2402">
        <v>50771</v>
      </c>
      <c r="D2402" t="s">
        <v>1587</v>
      </c>
      <c r="E2402" t="s">
        <v>1585</v>
      </c>
      <c r="F2402" t="s">
        <v>1588</v>
      </c>
    </row>
    <row r="2403" spans="1:6">
      <c r="A2403">
        <v>76</v>
      </c>
      <c r="B2403" t="s">
        <v>1762</v>
      </c>
      <c r="C2403">
        <v>1346</v>
      </c>
      <c r="D2403" t="s">
        <v>1182</v>
      </c>
      <c r="E2403" t="s">
        <v>1455</v>
      </c>
      <c r="F2403" t="s">
        <v>1183</v>
      </c>
    </row>
    <row r="2404" spans="1:6">
      <c r="A2404">
        <v>76</v>
      </c>
      <c r="B2404" t="s">
        <v>1762</v>
      </c>
      <c r="C2404">
        <v>6835</v>
      </c>
      <c r="D2404" t="s">
        <v>1592</v>
      </c>
      <c r="E2404" t="s">
        <v>1590</v>
      </c>
      <c r="F2404" t="s">
        <v>1593</v>
      </c>
    </row>
    <row r="2405" spans="1:6">
      <c r="A2405">
        <v>76</v>
      </c>
      <c r="B2405" t="s">
        <v>1762</v>
      </c>
      <c r="C2405">
        <v>2711</v>
      </c>
      <c r="D2405" t="s">
        <v>1597</v>
      </c>
      <c r="E2405" t="s">
        <v>1595</v>
      </c>
      <c r="F2405" t="s">
        <v>1598</v>
      </c>
    </row>
    <row r="2406" spans="1:6">
      <c r="A2406">
        <v>76</v>
      </c>
      <c r="B2406" t="s">
        <v>1762</v>
      </c>
      <c r="C2406">
        <v>625118</v>
      </c>
      <c r="D2406" t="s">
        <v>1602</v>
      </c>
      <c r="E2406" t="s">
        <v>1600</v>
      </c>
      <c r="F2406" t="s">
        <v>1603</v>
      </c>
    </row>
    <row r="2407" spans="1:6">
      <c r="A2407">
        <v>76</v>
      </c>
      <c r="B2407" t="s">
        <v>1762</v>
      </c>
      <c r="C2407">
        <v>11320</v>
      </c>
      <c r="D2407" t="s">
        <v>1604</v>
      </c>
      <c r="E2407" t="s">
        <v>1605</v>
      </c>
      <c r="F2407" t="s">
        <v>1606</v>
      </c>
    </row>
    <row r="2408" spans="1:6">
      <c r="A2408">
        <v>76</v>
      </c>
      <c r="B2408" t="s">
        <v>1762</v>
      </c>
      <c r="C2408">
        <v>7500</v>
      </c>
      <c r="D2408" t="s">
        <v>1466</v>
      </c>
      <c r="E2408" t="s">
        <v>1467</v>
      </c>
      <c r="F2408" t="s">
        <v>1468</v>
      </c>
    </row>
    <row r="2409" spans="1:6">
      <c r="A2409">
        <v>76</v>
      </c>
      <c r="B2409" t="s">
        <v>1762</v>
      </c>
      <c r="C2409">
        <v>8479.0300000000007</v>
      </c>
      <c r="D2409" t="s">
        <v>1475</v>
      </c>
      <c r="E2409" t="s">
        <v>1476</v>
      </c>
      <c r="F2409" t="s">
        <v>1477</v>
      </c>
    </row>
    <row r="2410" spans="1:6">
      <c r="A2410">
        <v>76</v>
      </c>
      <c r="B2410" t="s">
        <v>1762</v>
      </c>
      <c r="C2410">
        <v>25830.94</v>
      </c>
      <c r="D2410" t="s">
        <v>1365</v>
      </c>
      <c r="E2410" t="s">
        <v>1366</v>
      </c>
      <c r="F2410" t="s">
        <v>1367</v>
      </c>
    </row>
    <row r="2411" spans="1:6">
      <c r="A2411">
        <v>77</v>
      </c>
      <c r="B2411" t="s">
        <v>1763</v>
      </c>
      <c r="C2411">
        <v>27279</v>
      </c>
      <c r="D2411" t="s">
        <v>1314</v>
      </c>
      <c r="E2411" t="s">
        <v>1315</v>
      </c>
      <c r="F2411" t="s">
        <v>1316</v>
      </c>
    </row>
    <row r="2412" spans="1:6">
      <c r="A2412">
        <v>77</v>
      </c>
      <c r="B2412" t="s">
        <v>1763</v>
      </c>
      <c r="C2412">
        <v>36407</v>
      </c>
      <c r="D2412" t="s">
        <v>1489</v>
      </c>
      <c r="E2412" t="s">
        <v>1490</v>
      </c>
      <c r="F2412" t="s">
        <v>1491</v>
      </c>
    </row>
    <row r="2413" spans="1:6">
      <c r="A2413">
        <v>77</v>
      </c>
      <c r="B2413" t="s">
        <v>1763</v>
      </c>
      <c r="C2413">
        <v>550232</v>
      </c>
      <c r="D2413" t="s">
        <v>1567</v>
      </c>
      <c r="E2413" t="s">
        <v>1568</v>
      </c>
      <c r="F2413" t="s">
        <v>1569</v>
      </c>
    </row>
    <row r="2414" spans="1:6">
      <c r="A2414">
        <v>77</v>
      </c>
      <c r="B2414" t="s">
        <v>1763</v>
      </c>
      <c r="C2414">
        <v>136242</v>
      </c>
      <c r="D2414" t="s">
        <v>1496</v>
      </c>
      <c r="E2414" t="s">
        <v>1497</v>
      </c>
      <c r="F2414" t="s">
        <v>1498</v>
      </c>
    </row>
    <row r="2415" spans="1:6">
      <c r="A2415">
        <v>77</v>
      </c>
      <c r="B2415" t="s">
        <v>1763</v>
      </c>
      <c r="C2415">
        <v>26390128</v>
      </c>
      <c r="D2415" t="s">
        <v>1570</v>
      </c>
      <c r="E2415" t="s">
        <v>1571</v>
      </c>
      <c r="F2415" t="s">
        <v>1572</v>
      </c>
    </row>
    <row r="2416" spans="1:6">
      <c r="A2416">
        <v>77</v>
      </c>
      <c r="B2416" t="s">
        <v>1763</v>
      </c>
      <c r="C2416">
        <v>2432</v>
      </c>
      <c r="D2416" t="s">
        <v>1327</v>
      </c>
      <c r="E2416" t="s">
        <v>1328</v>
      </c>
      <c r="F2416" t="s">
        <v>1329</v>
      </c>
    </row>
    <row r="2417" spans="1:6">
      <c r="A2417">
        <v>77</v>
      </c>
      <c r="B2417" t="s">
        <v>1763</v>
      </c>
      <c r="C2417">
        <v>27000</v>
      </c>
      <c r="D2417" t="s">
        <v>1515</v>
      </c>
      <c r="E2417" t="s">
        <v>1516</v>
      </c>
      <c r="F2417" t="s">
        <v>1517</v>
      </c>
    </row>
    <row r="2418" spans="1:6">
      <c r="A2418">
        <v>77</v>
      </c>
      <c r="B2418" t="s">
        <v>1763</v>
      </c>
      <c r="C2418">
        <v>4618</v>
      </c>
      <c r="D2418" t="s">
        <v>1518</v>
      </c>
      <c r="E2418" t="s">
        <v>1516</v>
      </c>
      <c r="F2418" t="s">
        <v>1519</v>
      </c>
    </row>
    <row r="2419" spans="1:6">
      <c r="A2419">
        <v>77</v>
      </c>
      <c r="B2419" t="s">
        <v>1763</v>
      </c>
      <c r="C2419">
        <v>844422</v>
      </c>
      <c r="D2419" t="s">
        <v>1520</v>
      </c>
      <c r="E2419" t="s">
        <v>1521</v>
      </c>
      <c r="F2419" t="s">
        <v>1522</v>
      </c>
    </row>
    <row r="2420" spans="1:6">
      <c r="A2420">
        <v>77</v>
      </c>
      <c r="B2420" t="s">
        <v>1763</v>
      </c>
      <c r="C2420">
        <v>564905</v>
      </c>
      <c r="D2420" t="s">
        <v>1573</v>
      </c>
      <c r="E2420" t="s">
        <v>1574</v>
      </c>
      <c r="F2420" t="s">
        <v>1575</v>
      </c>
    </row>
    <row r="2421" spans="1:6">
      <c r="A2421">
        <v>77</v>
      </c>
      <c r="B2421" t="s">
        <v>1763</v>
      </c>
      <c r="C2421">
        <v>60316</v>
      </c>
      <c r="D2421" t="s">
        <v>1523</v>
      </c>
      <c r="E2421" t="s">
        <v>1521</v>
      </c>
      <c r="F2421" t="s">
        <v>1524</v>
      </c>
    </row>
    <row r="2422" spans="1:6">
      <c r="A2422">
        <v>77</v>
      </c>
      <c r="B2422" t="s">
        <v>1763</v>
      </c>
      <c r="C2422">
        <v>168184</v>
      </c>
      <c r="D2422" t="s">
        <v>1371</v>
      </c>
      <c r="E2422" t="s">
        <v>1372</v>
      </c>
      <c r="F2422" t="s">
        <v>1373</v>
      </c>
    </row>
    <row r="2423" spans="1:6">
      <c r="A2423">
        <v>77</v>
      </c>
      <c r="B2423" t="s">
        <v>1763</v>
      </c>
      <c r="C2423">
        <v>111452</v>
      </c>
      <c r="D2423" t="s">
        <v>1525</v>
      </c>
      <c r="E2423" t="s">
        <v>1526</v>
      </c>
      <c r="F2423" t="s">
        <v>1527</v>
      </c>
    </row>
    <row r="2424" spans="1:6">
      <c r="A2424">
        <v>77</v>
      </c>
      <c r="B2424" t="s">
        <v>1763</v>
      </c>
      <c r="C2424">
        <v>37562</v>
      </c>
      <c r="D2424" t="s">
        <v>1528</v>
      </c>
      <c r="E2424" t="s">
        <v>1529</v>
      </c>
      <c r="F2424" t="s">
        <v>1530</v>
      </c>
    </row>
    <row r="2425" spans="1:6">
      <c r="A2425">
        <v>77</v>
      </c>
      <c r="B2425" t="s">
        <v>1763</v>
      </c>
      <c r="C2425">
        <v>100000</v>
      </c>
      <c r="D2425" t="s">
        <v>1204</v>
      </c>
      <c r="E2425" t="s">
        <v>1205</v>
      </c>
      <c r="F2425" t="s">
        <v>1206</v>
      </c>
    </row>
    <row r="2426" spans="1:6">
      <c r="A2426">
        <v>77</v>
      </c>
      <c r="B2426" t="s">
        <v>1763</v>
      </c>
      <c r="C2426">
        <v>50700</v>
      </c>
      <c r="D2426" t="s">
        <v>1387</v>
      </c>
      <c r="E2426" t="s">
        <v>1388</v>
      </c>
      <c r="F2426" t="s">
        <v>1389</v>
      </c>
    </row>
    <row r="2427" spans="1:6">
      <c r="A2427">
        <v>77</v>
      </c>
      <c r="B2427" t="s">
        <v>1763</v>
      </c>
      <c r="C2427">
        <v>305.58999999999997</v>
      </c>
      <c r="D2427" t="s">
        <v>1374</v>
      </c>
      <c r="E2427" t="s">
        <v>1375</v>
      </c>
      <c r="F2427" t="s">
        <v>1376</v>
      </c>
    </row>
    <row r="2428" spans="1:6">
      <c r="A2428">
        <v>77</v>
      </c>
      <c r="B2428" t="s">
        <v>1763</v>
      </c>
      <c r="C2428">
        <v>890.94</v>
      </c>
      <c r="D2428" t="s">
        <v>1377</v>
      </c>
      <c r="E2428" t="s">
        <v>1375</v>
      </c>
      <c r="F2428" t="s">
        <v>1378</v>
      </c>
    </row>
    <row r="2429" spans="1:6">
      <c r="A2429">
        <v>77</v>
      </c>
      <c r="B2429" t="s">
        <v>1763</v>
      </c>
      <c r="C2429">
        <v>31651.93</v>
      </c>
      <c r="D2429" t="s">
        <v>1537</v>
      </c>
      <c r="E2429" t="s">
        <v>1538</v>
      </c>
      <c r="F2429" t="s">
        <v>1539</v>
      </c>
    </row>
    <row r="2430" spans="1:6">
      <c r="A2430">
        <v>77</v>
      </c>
      <c r="B2430" t="s">
        <v>1763</v>
      </c>
      <c r="C2430">
        <v>85318.47</v>
      </c>
      <c r="D2430" t="s">
        <v>1540</v>
      </c>
      <c r="E2430" t="s">
        <v>1538</v>
      </c>
      <c r="F2430" t="s">
        <v>1541</v>
      </c>
    </row>
    <row r="2431" spans="1:6">
      <c r="A2431">
        <v>77</v>
      </c>
      <c r="B2431" t="s">
        <v>1763</v>
      </c>
      <c r="C2431">
        <v>16280</v>
      </c>
      <c r="D2431" t="s">
        <v>1220</v>
      </c>
      <c r="E2431" t="s">
        <v>1221</v>
      </c>
      <c r="F2431" t="s">
        <v>1222</v>
      </c>
    </row>
    <row r="2432" spans="1:6">
      <c r="A2432">
        <v>77</v>
      </c>
      <c r="B2432" t="s">
        <v>1763</v>
      </c>
      <c r="C2432">
        <v>0</v>
      </c>
      <c r="D2432" t="s">
        <v>1190</v>
      </c>
      <c r="E2432" t="s">
        <v>1221</v>
      </c>
      <c r="F2432" t="s">
        <v>1222</v>
      </c>
    </row>
    <row r="2433" spans="1:6">
      <c r="A2433">
        <v>77</v>
      </c>
      <c r="B2433" t="s">
        <v>1763</v>
      </c>
      <c r="C2433">
        <v>12092</v>
      </c>
      <c r="D2433" t="s">
        <v>1223</v>
      </c>
      <c r="E2433" t="s">
        <v>1221</v>
      </c>
      <c r="F2433" t="s">
        <v>1224</v>
      </c>
    </row>
    <row r="2434" spans="1:6">
      <c r="A2434">
        <v>77</v>
      </c>
      <c r="B2434" t="s">
        <v>1763</v>
      </c>
      <c r="C2434">
        <v>51910</v>
      </c>
      <c r="D2434" t="s">
        <v>1191</v>
      </c>
      <c r="E2434" t="s">
        <v>1221</v>
      </c>
      <c r="F2434" t="s">
        <v>1224</v>
      </c>
    </row>
    <row r="2435" spans="1:6">
      <c r="A2435">
        <v>77</v>
      </c>
      <c r="B2435" t="s">
        <v>1763</v>
      </c>
      <c r="C2435">
        <v>43892</v>
      </c>
      <c r="D2435" t="s">
        <v>1542</v>
      </c>
      <c r="E2435" t="s">
        <v>1424</v>
      </c>
      <c r="F2435" t="s">
        <v>1425</v>
      </c>
    </row>
    <row r="2436" spans="1:6">
      <c r="A2436">
        <v>77</v>
      </c>
      <c r="B2436" t="s">
        <v>1763</v>
      </c>
      <c r="C2436">
        <v>870</v>
      </c>
      <c r="D2436" t="s">
        <v>1225</v>
      </c>
      <c r="E2436" t="s">
        <v>1226</v>
      </c>
      <c r="F2436" t="s">
        <v>1227</v>
      </c>
    </row>
    <row r="2437" spans="1:6">
      <c r="A2437">
        <v>77</v>
      </c>
      <c r="B2437" t="s">
        <v>1763</v>
      </c>
      <c r="C2437">
        <v>2030</v>
      </c>
      <c r="D2437" t="s">
        <v>1228</v>
      </c>
      <c r="E2437" t="s">
        <v>1226</v>
      </c>
      <c r="F2437" t="s">
        <v>1229</v>
      </c>
    </row>
    <row r="2438" spans="1:6">
      <c r="A2438">
        <v>77</v>
      </c>
      <c r="B2438" t="s">
        <v>1763</v>
      </c>
      <c r="C2438">
        <v>5443</v>
      </c>
      <c r="D2438" t="s">
        <v>1428</v>
      </c>
      <c r="E2438" t="s">
        <v>1429</v>
      </c>
      <c r="F2438" t="s">
        <v>1430</v>
      </c>
    </row>
    <row r="2439" spans="1:6">
      <c r="A2439">
        <v>77</v>
      </c>
      <c r="B2439" t="s">
        <v>1763</v>
      </c>
      <c r="C2439">
        <v>251960</v>
      </c>
      <c r="D2439" t="s">
        <v>1431</v>
      </c>
      <c r="E2439" t="s">
        <v>1432</v>
      </c>
      <c r="F2439" t="s">
        <v>1433</v>
      </c>
    </row>
    <row r="2440" spans="1:6">
      <c r="A2440">
        <v>77</v>
      </c>
      <c r="B2440" t="s">
        <v>1763</v>
      </c>
      <c r="C2440">
        <v>646103.88</v>
      </c>
      <c r="D2440" t="s">
        <v>1434</v>
      </c>
      <c r="E2440" t="s">
        <v>1432</v>
      </c>
      <c r="F2440" t="s">
        <v>1435</v>
      </c>
    </row>
    <row r="2441" spans="1:6">
      <c r="A2441">
        <v>77</v>
      </c>
      <c r="B2441" t="s">
        <v>1763</v>
      </c>
      <c r="C2441">
        <v>319660</v>
      </c>
      <c r="D2441" t="s">
        <v>1576</v>
      </c>
      <c r="E2441" t="s">
        <v>1577</v>
      </c>
      <c r="F2441" t="s">
        <v>1578</v>
      </c>
    </row>
    <row r="2442" spans="1:6">
      <c r="A2442">
        <v>77</v>
      </c>
      <c r="B2442" t="s">
        <v>1763</v>
      </c>
      <c r="C2442">
        <v>708000</v>
      </c>
      <c r="D2442" t="s">
        <v>1579</v>
      </c>
      <c r="E2442" t="s">
        <v>1577</v>
      </c>
      <c r="F2442" t="s">
        <v>1580</v>
      </c>
    </row>
    <row r="2443" spans="1:6">
      <c r="A2443">
        <v>77</v>
      </c>
      <c r="B2443" t="s">
        <v>1763</v>
      </c>
      <c r="C2443">
        <v>107618</v>
      </c>
      <c r="D2443" t="s">
        <v>1436</v>
      </c>
      <c r="E2443" t="s">
        <v>1437</v>
      </c>
      <c r="F2443" t="s">
        <v>1438</v>
      </c>
    </row>
    <row r="2444" spans="1:6">
      <c r="A2444">
        <v>77</v>
      </c>
      <c r="B2444" t="s">
        <v>1763</v>
      </c>
      <c r="C2444">
        <v>11721</v>
      </c>
      <c r="D2444" t="s">
        <v>1442</v>
      </c>
      <c r="E2444" t="s">
        <v>1582</v>
      </c>
      <c r="F2444" t="s">
        <v>1443</v>
      </c>
    </row>
    <row r="2445" spans="1:6">
      <c r="A2445">
        <v>77</v>
      </c>
      <c r="B2445" t="s">
        <v>1763</v>
      </c>
      <c r="C2445">
        <v>24910</v>
      </c>
      <c r="D2445" t="s">
        <v>1444</v>
      </c>
      <c r="E2445" t="s">
        <v>1445</v>
      </c>
      <c r="F2445" t="s">
        <v>1443</v>
      </c>
    </row>
    <row r="2446" spans="1:6">
      <c r="A2446">
        <v>77</v>
      </c>
      <c r="B2446" t="s">
        <v>1763</v>
      </c>
      <c r="C2446">
        <v>1400</v>
      </c>
      <c r="D2446" t="s">
        <v>1581</v>
      </c>
      <c r="E2446" t="s">
        <v>1582</v>
      </c>
      <c r="F2446" t="s">
        <v>1583</v>
      </c>
    </row>
    <row r="2447" spans="1:6">
      <c r="A2447">
        <v>77</v>
      </c>
      <c r="B2447" t="s">
        <v>1763</v>
      </c>
      <c r="C2447">
        <v>89150</v>
      </c>
      <c r="D2447" t="s">
        <v>1584</v>
      </c>
      <c r="E2447" t="s">
        <v>1585</v>
      </c>
      <c r="F2447" t="s">
        <v>1586</v>
      </c>
    </row>
    <row r="2448" spans="1:6">
      <c r="A2448">
        <v>77</v>
      </c>
      <c r="B2448" t="s">
        <v>1763</v>
      </c>
      <c r="C2448">
        <v>74000</v>
      </c>
      <c r="D2448" t="s">
        <v>1587</v>
      </c>
      <c r="E2448" t="s">
        <v>1585</v>
      </c>
      <c r="F2448" t="s">
        <v>1588</v>
      </c>
    </row>
    <row r="2449" spans="1:6">
      <c r="A2449">
        <v>77</v>
      </c>
      <c r="B2449" t="s">
        <v>1763</v>
      </c>
      <c r="C2449">
        <v>33498</v>
      </c>
      <c r="D2449" t="s">
        <v>1449</v>
      </c>
      <c r="E2449" t="s">
        <v>1450</v>
      </c>
      <c r="F2449" t="s">
        <v>1451</v>
      </c>
    </row>
    <row r="2450" spans="1:6">
      <c r="A2450">
        <v>77</v>
      </c>
      <c r="B2450" t="s">
        <v>1763</v>
      </c>
      <c r="C2450">
        <v>165000</v>
      </c>
      <c r="D2450" t="s">
        <v>1452</v>
      </c>
      <c r="E2450" t="s">
        <v>1450</v>
      </c>
      <c r="F2450" t="s">
        <v>1453</v>
      </c>
    </row>
    <row r="2451" spans="1:6">
      <c r="A2451">
        <v>77</v>
      </c>
      <c r="B2451" t="s">
        <v>1763</v>
      </c>
      <c r="C2451">
        <v>19364</v>
      </c>
      <c r="D2451" t="s">
        <v>1454</v>
      </c>
      <c r="E2451" t="s">
        <v>1455</v>
      </c>
      <c r="F2451" t="s">
        <v>1456</v>
      </c>
    </row>
    <row r="2452" spans="1:6">
      <c r="A2452">
        <v>77</v>
      </c>
      <c r="B2452" t="s">
        <v>1763</v>
      </c>
      <c r="C2452">
        <v>5500</v>
      </c>
      <c r="D2452" t="s">
        <v>1457</v>
      </c>
      <c r="E2452" t="s">
        <v>1455</v>
      </c>
      <c r="F2452" t="s">
        <v>1458</v>
      </c>
    </row>
    <row r="2453" spans="1:6">
      <c r="A2453">
        <v>77</v>
      </c>
      <c r="B2453" t="s">
        <v>1763</v>
      </c>
      <c r="C2453">
        <v>3000</v>
      </c>
      <c r="D2453" t="s">
        <v>1287</v>
      </c>
      <c r="E2453" t="s">
        <v>1288</v>
      </c>
      <c r="F2453" t="s">
        <v>1289</v>
      </c>
    </row>
    <row r="2454" spans="1:6">
      <c r="A2454">
        <v>77</v>
      </c>
      <c r="B2454" t="s">
        <v>1763</v>
      </c>
      <c r="C2454">
        <v>28689</v>
      </c>
      <c r="D2454" t="s">
        <v>1589</v>
      </c>
      <c r="E2454" t="s">
        <v>1590</v>
      </c>
      <c r="F2454" t="s">
        <v>1591</v>
      </c>
    </row>
    <row r="2455" spans="1:6">
      <c r="A2455">
        <v>77</v>
      </c>
      <c r="B2455" t="s">
        <v>1763</v>
      </c>
      <c r="C2455">
        <v>8500</v>
      </c>
      <c r="D2455" t="s">
        <v>1592</v>
      </c>
      <c r="E2455" t="s">
        <v>1590</v>
      </c>
      <c r="F2455" t="s">
        <v>1593</v>
      </c>
    </row>
    <row r="2456" spans="1:6">
      <c r="A2456">
        <v>77</v>
      </c>
      <c r="B2456" t="s">
        <v>1763</v>
      </c>
      <c r="C2456">
        <v>14792</v>
      </c>
      <c r="D2456" t="s">
        <v>1594</v>
      </c>
      <c r="E2456" t="s">
        <v>1595</v>
      </c>
      <c r="F2456" t="s">
        <v>1596</v>
      </c>
    </row>
    <row r="2457" spans="1:6">
      <c r="A2457">
        <v>77</v>
      </c>
      <c r="B2457" t="s">
        <v>1763</v>
      </c>
      <c r="C2457">
        <v>5500</v>
      </c>
      <c r="D2457" t="s">
        <v>1597</v>
      </c>
      <c r="E2457" t="s">
        <v>1595</v>
      </c>
      <c r="F2457" t="s">
        <v>1598</v>
      </c>
    </row>
    <row r="2458" spans="1:6">
      <c r="A2458">
        <v>77</v>
      </c>
      <c r="B2458" t="s">
        <v>1763</v>
      </c>
      <c r="C2458">
        <v>952670</v>
      </c>
      <c r="D2458" t="s">
        <v>1599</v>
      </c>
      <c r="E2458" t="s">
        <v>1600</v>
      </c>
      <c r="F2458" t="s">
        <v>1601</v>
      </c>
    </row>
    <row r="2459" spans="1:6">
      <c r="A2459">
        <v>77</v>
      </c>
      <c r="B2459" t="s">
        <v>1763</v>
      </c>
      <c r="C2459">
        <v>576000</v>
      </c>
      <c r="D2459" t="s">
        <v>1602</v>
      </c>
      <c r="E2459" t="s">
        <v>1600</v>
      </c>
      <c r="F2459" t="s">
        <v>1603</v>
      </c>
    </row>
    <row r="2460" spans="1:6">
      <c r="A2460">
        <v>77</v>
      </c>
      <c r="B2460" t="s">
        <v>1763</v>
      </c>
      <c r="C2460">
        <v>68802</v>
      </c>
      <c r="D2460" t="s">
        <v>1604</v>
      </c>
      <c r="E2460" t="s">
        <v>1605</v>
      </c>
      <c r="F2460" t="s">
        <v>1606</v>
      </c>
    </row>
    <row r="2461" spans="1:6">
      <c r="A2461">
        <v>77</v>
      </c>
      <c r="B2461" t="s">
        <v>1763</v>
      </c>
      <c r="C2461">
        <v>5500</v>
      </c>
      <c r="D2461" t="s">
        <v>1466</v>
      </c>
      <c r="E2461" t="s">
        <v>1467</v>
      </c>
      <c r="F2461" t="s">
        <v>1468</v>
      </c>
    </row>
    <row r="2462" spans="1:6">
      <c r="A2462">
        <v>77</v>
      </c>
      <c r="B2462" t="s">
        <v>1763</v>
      </c>
      <c r="C2462">
        <v>64269.29</v>
      </c>
      <c r="D2462" t="s">
        <v>1475</v>
      </c>
      <c r="E2462" t="s">
        <v>1476</v>
      </c>
      <c r="F2462" t="s">
        <v>1477</v>
      </c>
    </row>
    <row r="2463" spans="1:6">
      <c r="A2463">
        <v>77</v>
      </c>
      <c r="B2463" t="s">
        <v>1763</v>
      </c>
      <c r="C2463">
        <v>211196.25</v>
      </c>
      <c r="D2463" t="s">
        <v>1478</v>
      </c>
      <c r="E2463" t="s">
        <v>1479</v>
      </c>
      <c r="F2463" t="s">
        <v>1480</v>
      </c>
    </row>
    <row r="2464" spans="1:6">
      <c r="A2464">
        <v>77</v>
      </c>
      <c r="B2464" t="s">
        <v>1763</v>
      </c>
      <c r="C2464">
        <v>131751.06</v>
      </c>
      <c r="D2464" t="s">
        <v>1365</v>
      </c>
      <c r="E2464" t="s">
        <v>1366</v>
      </c>
      <c r="F2464" t="s">
        <v>1367</v>
      </c>
    </row>
    <row r="2465" spans="1:6">
      <c r="A2465">
        <v>77</v>
      </c>
      <c r="B2465" t="s">
        <v>1763</v>
      </c>
      <c r="C2465">
        <v>7074205</v>
      </c>
      <c r="D2465" t="s">
        <v>1607</v>
      </c>
      <c r="E2465" t="s">
        <v>1608</v>
      </c>
      <c r="F2465" t="s">
        <v>1609</v>
      </c>
    </row>
    <row r="2466" spans="1:6">
      <c r="A2466">
        <v>77</v>
      </c>
      <c r="B2466" t="s">
        <v>1763</v>
      </c>
      <c r="C2466">
        <v>11420277</v>
      </c>
      <c r="D2466" t="s">
        <v>1610</v>
      </c>
      <c r="E2466" t="s">
        <v>1481</v>
      </c>
      <c r="F2466" t="s">
        <v>1482</v>
      </c>
    </row>
    <row r="2467" spans="1:6">
      <c r="A2467">
        <v>78</v>
      </c>
      <c r="B2467" t="s">
        <v>1764</v>
      </c>
      <c r="C2467">
        <v>13470</v>
      </c>
      <c r="D2467" t="s">
        <v>1486</v>
      </c>
      <c r="E2467" t="s">
        <v>1487</v>
      </c>
      <c r="F2467" t="s">
        <v>1488</v>
      </c>
    </row>
    <row r="2468" spans="1:6">
      <c r="A2468">
        <v>78</v>
      </c>
      <c r="B2468" t="s">
        <v>1764</v>
      </c>
      <c r="C2468">
        <v>6300</v>
      </c>
      <c r="D2468" t="s">
        <v>1489</v>
      </c>
      <c r="E2468" t="s">
        <v>1490</v>
      </c>
      <c r="F2468" t="s">
        <v>1491</v>
      </c>
    </row>
    <row r="2469" spans="1:6">
      <c r="A2469">
        <v>78</v>
      </c>
      <c r="B2469" t="s">
        <v>1764</v>
      </c>
      <c r="C2469">
        <v>265653</v>
      </c>
      <c r="D2469" t="s">
        <v>1567</v>
      </c>
      <c r="E2469" t="s">
        <v>1568</v>
      </c>
      <c r="F2469" t="s">
        <v>1569</v>
      </c>
    </row>
    <row r="2470" spans="1:6">
      <c r="A2470">
        <v>78</v>
      </c>
      <c r="B2470" t="s">
        <v>1764</v>
      </c>
      <c r="C2470">
        <v>13148</v>
      </c>
      <c r="D2470" t="s">
        <v>1496</v>
      </c>
      <c r="E2470" t="s">
        <v>1497</v>
      </c>
      <c r="F2470" t="s">
        <v>1498</v>
      </c>
    </row>
    <row r="2471" spans="1:6">
      <c r="A2471">
        <v>78</v>
      </c>
      <c r="B2471" t="s">
        <v>1764</v>
      </c>
      <c r="C2471">
        <v>8804733</v>
      </c>
      <c r="D2471" t="s">
        <v>1570</v>
      </c>
      <c r="E2471" t="s">
        <v>1571</v>
      </c>
      <c r="F2471" t="s">
        <v>1572</v>
      </c>
    </row>
    <row r="2472" spans="1:6">
      <c r="A2472">
        <v>78</v>
      </c>
      <c r="B2472" t="s">
        <v>1764</v>
      </c>
      <c r="C2472">
        <v>3000</v>
      </c>
      <c r="D2472" t="s">
        <v>1515</v>
      </c>
      <c r="E2472" t="s">
        <v>1516</v>
      </c>
      <c r="F2472" t="s">
        <v>1517</v>
      </c>
    </row>
    <row r="2473" spans="1:6">
      <c r="A2473">
        <v>78</v>
      </c>
      <c r="B2473" t="s">
        <v>1764</v>
      </c>
      <c r="C2473">
        <v>282</v>
      </c>
      <c r="D2473" t="s">
        <v>1518</v>
      </c>
      <c r="E2473" t="s">
        <v>1516</v>
      </c>
      <c r="F2473" t="s">
        <v>1519</v>
      </c>
    </row>
    <row r="2474" spans="1:6">
      <c r="A2474">
        <v>78</v>
      </c>
      <c r="B2474" t="s">
        <v>1764</v>
      </c>
      <c r="C2474">
        <v>28963</v>
      </c>
      <c r="D2474" t="s">
        <v>1520</v>
      </c>
      <c r="E2474" t="s">
        <v>1521</v>
      </c>
      <c r="F2474" t="s">
        <v>1522</v>
      </c>
    </row>
    <row r="2475" spans="1:6">
      <c r="A2475">
        <v>78</v>
      </c>
      <c r="B2475" t="s">
        <v>1764</v>
      </c>
      <c r="C2475">
        <v>68904</v>
      </c>
      <c r="D2475" t="s">
        <v>1573</v>
      </c>
      <c r="E2475" t="s">
        <v>1574</v>
      </c>
      <c r="F2475" t="s">
        <v>1575</v>
      </c>
    </row>
    <row r="2476" spans="1:6">
      <c r="A2476">
        <v>78</v>
      </c>
      <c r="B2476" t="s">
        <v>1764</v>
      </c>
      <c r="C2476">
        <v>105800</v>
      </c>
      <c r="D2476" t="s">
        <v>1371</v>
      </c>
      <c r="E2476" t="s">
        <v>1372</v>
      </c>
      <c r="F2476" t="s">
        <v>1373</v>
      </c>
    </row>
    <row r="2477" spans="1:6">
      <c r="A2477">
        <v>78</v>
      </c>
      <c r="B2477" t="s">
        <v>1764</v>
      </c>
      <c r="C2477">
        <v>16341</v>
      </c>
      <c r="D2477" t="s">
        <v>1528</v>
      </c>
      <c r="E2477" t="s">
        <v>1529</v>
      </c>
      <c r="F2477" t="s">
        <v>1530</v>
      </c>
    </row>
    <row r="2478" spans="1:6">
      <c r="A2478">
        <v>78</v>
      </c>
      <c r="B2478" t="s">
        <v>1764</v>
      </c>
      <c r="C2478">
        <v>109848</v>
      </c>
      <c r="D2478" t="s">
        <v>1390</v>
      </c>
      <c r="E2478" t="s">
        <v>1391</v>
      </c>
      <c r="F2478" t="s">
        <v>1392</v>
      </c>
    </row>
    <row r="2479" spans="1:6">
      <c r="A2479">
        <v>78</v>
      </c>
      <c r="B2479" t="s">
        <v>1764</v>
      </c>
      <c r="C2479">
        <v>29.19</v>
      </c>
      <c r="D2479" t="s">
        <v>1374</v>
      </c>
      <c r="E2479" t="s">
        <v>1375</v>
      </c>
      <c r="F2479" t="s">
        <v>1376</v>
      </c>
    </row>
    <row r="2480" spans="1:6">
      <c r="A2480">
        <v>78</v>
      </c>
      <c r="B2480" t="s">
        <v>1764</v>
      </c>
      <c r="C2480">
        <v>54.25</v>
      </c>
      <c r="D2480" t="s">
        <v>1377</v>
      </c>
      <c r="E2480" t="s">
        <v>1375</v>
      </c>
      <c r="F2480" t="s">
        <v>1378</v>
      </c>
    </row>
    <row r="2481" spans="1:6">
      <c r="A2481">
        <v>78</v>
      </c>
      <c r="B2481" t="s">
        <v>1764</v>
      </c>
      <c r="C2481">
        <v>6452.58</v>
      </c>
      <c r="D2481" t="s">
        <v>1537</v>
      </c>
      <c r="E2481" t="s">
        <v>1538</v>
      </c>
      <c r="F2481" t="s">
        <v>1539</v>
      </c>
    </row>
    <row r="2482" spans="1:6">
      <c r="A2482">
        <v>78</v>
      </c>
      <c r="B2482" t="s">
        <v>1764</v>
      </c>
      <c r="C2482">
        <v>14620.2</v>
      </c>
      <c r="D2482" t="s">
        <v>1540</v>
      </c>
      <c r="E2482" t="s">
        <v>1538</v>
      </c>
      <c r="F2482" t="s">
        <v>1541</v>
      </c>
    </row>
    <row r="2483" spans="1:6">
      <c r="A2483">
        <v>78</v>
      </c>
      <c r="B2483" t="s">
        <v>1764</v>
      </c>
      <c r="C2483">
        <v>9990</v>
      </c>
      <c r="D2483" t="s">
        <v>1220</v>
      </c>
      <c r="E2483" t="s">
        <v>1221</v>
      </c>
      <c r="F2483" t="s">
        <v>1222</v>
      </c>
    </row>
    <row r="2484" spans="1:6">
      <c r="A2484">
        <v>78</v>
      </c>
      <c r="B2484" t="s">
        <v>1764</v>
      </c>
      <c r="C2484">
        <v>11931</v>
      </c>
      <c r="D2484" t="s">
        <v>1223</v>
      </c>
      <c r="E2484" t="s">
        <v>1221</v>
      </c>
      <c r="F2484" t="s">
        <v>1224</v>
      </c>
    </row>
    <row r="2485" spans="1:6">
      <c r="A2485">
        <v>78</v>
      </c>
      <c r="B2485" t="s">
        <v>1764</v>
      </c>
      <c r="C2485">
        <v>1419</v>
      </c>
      <c r="D2485" t="s">
        <v>1225</v>
      </c>
      <c r="E2485" t="s">
        <v>1226</v>
      </c>
      <c r="F2485" t="s">
        <v>1227</v>
      </c>
    </row>
    <row r="2486" spans="1:6">
      <c r="A2486">
        <v>78</v>
      </c>
      <c r="B2486" t="s">
        <v>1764</v>
      </c>
      <c r="C2486">
        <v>1635</v>
      </c>
      <c r="D2486" t="s">
        <v>1228</v>
      </c>
      <c r="E2486" t="s">
        <v>1226</v>
      </c>
      <c r="F2486" t="s">
        <v>1229</v>
      </c>
    </row>
    <row r="2487" spans="1:6">
      <c r="A2487">
        <v>78</v>
      </c>
      <c r="B2487" t="s">
        <v>1764</v>
      </c>
      <c r="C2487">
        <v>36168.480000000003</v>
      </c>
      <c r="D2487" t="s">
        <v>1431</v>
      </c>
      <c r="E2487" t="s">
        <v>1432</v>
      </c>
      <c r="F2487" t="s">
        <v>1433</v>
      </c>
    </row>
    <row r="2488" spans="1:6">
      <c r="A2488">
        <v>78</v>
      </c>
      <c r="B2488" t="s">
        <v>1764</v>
      </c>
      <c r="C2488">
        <v>83919.3</v>
      </c>
      <c r="D2488" t="s">
        <v>1434</v>
      </c>
      <c r="E2488" t="s">
        <v>1432</v>
      </c>
      <c r="F2488" t="s">
        <v>1435</v>
      </c>
    </row>
    <row r="2489" spans="1:6">
      <c r="A2489">
        <v>78</v>
      </c>
      <c r="B2489" t="s">
        <v>1764</v>
      </c>
      <c r="C2489">
        <v>137262</v>
      </c>
      <c r="D2489" t="s">
        <v>1579</v>
      </c>
      <c r="E2489" t="s">
        <v>1577</v>
      </c>
      <c r="F2489" t="s">
        <v>1580</v>
      </c>
    </row>
    <row r="2490" spans="1:6">
      <c r="A2490">
        <v>78</v>
      </c>
      <c r="B2490" t="s">
        <v>1764</v>
      </c>
      <c r="C2490">
        <v>126</v>
      </c>
      <c r="D2490" t="s">
        <v>1355</v>
      </c>
      <c r="E2490" t="s">
        <v>1414</v>
      </c>
      <c r="F2490" t="s">
        <v>1580</v>
      </c>
    </row>
    <row r="2491" spans="1:6">
      <c r="A2491">
        <v>78</v>
      </c>
      <c r="B2491" t="s">
        <v>1764</v>
      </c>
      <c r="C2491">
        <v>2019</v>
      </c>
      <c r="D2491" t="s">
        <v>1192</v>
      </c>
      <c r="E2491" t="s">
        <v>1582</v>
      </c>
      <c r="F2491" t="s">
        <v>1210</v>
      </c>
    </row>
    <row r="2492" spans="1:6">
      <c r="A2492">
        <v>78</v>
      </c>
      <c r="B2492" t="s">
        <v>1764</v>
      </c>
      <c r="C2492">
        <v>8645</v>
      </c>
      <c r="D2492" t="s">
        <v>1193</v>
      </c>
      <c r="E2492" t="s">
        <v>1445</v>
      </c>
      <c r="F2492" t="s">
        <v>1210</v>
      </c>
    </row>
    <row r="2493" spans="1:6">
      <c r="A2493">
        <v>78</v>
      </c>
      <c r="B2493" t="s">
        <v>1764</v>
      </c>
      <c r="C2493">
        <v>2381</v>
      </c>
      <c r="D2493" t="s">
        <v>1442</v>
      </c>
      <c r="E2493" t="s">
        <v>1582</v>
      </c>
      <c r="F2493" t="s">
        <v>1443</v>
      </c>
    </row>
    <row r="2494" spans="1:6">
      <c r="A2494">
        <v>78</v>
      </c>
      <c r="B2494" t="s">
        <v>1764</v>
      </c>
      <c r="C2494">
        <v>17</v>
      </c>
      <c r="D2494" t="s">
        <v>1581</v>
      </c>
      <c r="E2494" t="s">
        <v>1582</v>
      </c>
      <c r="F2494" t="s">
        <v>1583</v>
      </c>
    </row>
    <row r="2495" spans="1:6">
      <c r="A2495">
        <v>78</v>
      </c>
      <c r="B2495" t="s">
        <v>1764</v>
      </c>
      <c r="C2495">
        <v>45561</v>
      </c>
      <c r="D2495" t="s">
        <v>1587</v>
      </c>
      <c r="E2495" t="s">
        <v>1585</v>
      </c>
      <c r="F2495" t="s">
        <v>1588</v>
      </c>
    </row>
    <row r="2496" spans="1:6">
      <c r="A2496">
        <v>78</v>
      </c>
      <c r="B2496" t="s">
        <v>1764</v>
      </c>
      <c r="C2496">
        <v>2801</v>
      </c>
      <c r="D2496" t="s">
        <v>1589</v>
      </c>
      <c r="E2496" t="s">
        <v>1590</v>
      </c>
      <c r="F2496" t="s">
        <v>1591</v>
      </c>
    </row>
    <row r="2497" spans="1:6">
      <c r="A2497">
        <v>78</v>
      </c>
      <c r="B2497" t="s">
        <v>1764</v>
      </c>
      <c r="C2497">
        <v>1374</v>
      </c>
      <c r="D2497" t="s">
        <v>1592</v>
      </c>
      <c r="E2497" t="s">
        <v>1590</v>
      </c>
      <c r="F2497" t="s">
        <v>1593</v>
      </c>
    </row>
    <row r="2498" spans="1:6">
      <c r="A2498">
        <v>78</v>
      </c>
      <c r="B2498" t="s">
        <v>1764</v>
      </c>
      <c r="C2498">
        <v>2728</v>
      </c>
      <c r="D2498" t="s">
        <v>1594</v>
      </c>
      <c r="E2498" t="s">
        <v>1595</v>
      </c>
      <c r="F2498" t="s">
        <v>1596</v>
      </c>
    </row>
    <row r="2499" spans="1:6">
      <c r="A2499">
        <v>78</v>
      </c>
      <c r="B2499" t="s">
        <v>1764</v>
      </c>
      <c r="C2499">
        <v>2050</v>
      </c>
      <c r="D2499" t="s">
        <v>1597</v>
      </c>
      <c r="E2499" t="s">
        <v>1595</v>
      </c>
      <c r="F2499" t="s">
        <v>1598</v>
      </c>
    </row>
    <row r="2500" spans="1:6">
      <c r="A2500">
        <v>78</v>
      </c>
      <c r="B2500" t="s">
        <v>1764</v>
      </c>
      <c r="C2500">
        <v>244870</v>
      </c>
      <c r="D2500" t="s">
        <v>1602</v>
      </c>
      <c r="E2500" t="s">
        <v>1600</v>
      </c>
      <c r="F2500" t="s">
        <v>1603</v>
      </c>
    </row>
    <row r="2501" spans="1:6">
      <c r="A2501">
        <v>78</v>
      </c>
      <c r="B2501" t="s">
        <v>1764</v>
      </c>
      <c r="C2501">
        <v>16392</v>
      </c>
      <c r="D2501" t="s">
        <v>1604</v>
      </c>
      <c r="E2501" t="s">
        <v>1605</v>
      </c>
      <c r="F2501" t="s">
        <v>1606</v>
      </c>
    </row>
    <row r="2502" spans="1:6">
      <c r="A2502">
        <v>78</v>
      </c>
      <c r="B2502" t="s">
        <v>1764</v>
      </c>
      <c r="C2502">
        <v>12468</v>
      </c>
      <c r="D2502" t="s">
        <v>1273</v>
      </c>
      <c r="E2502" t="s">
        <v>1274</v>
      </c>
      <c r="F2502" t="s">
        <v>1275</v>
      </c>
    </row>
    <row r="2503" spans="1:6">
      <c r="A2503">
        <v>78</v>
      </c>
      <c r="B2503" t="s">
        <v>1764</v>
      </c>
      <c r="C2503">
        <v>32737.5</v>
      </c>
      <c r="D2503" t="s">
        <v>1475</v>
      </c>
      <c r="E2503" t="s">
        <v>1476</v>
      </c>
      <c r="F2503" t="s">
        <v>1477</v>
      </c>
    </row>
    <row r="2504" spans="1:6">
      <c r="A2504">
        <v>78</v>
      </c>
      <c r="B2504" t="s">
        <v>1764</v>
      </c>
      <c r="C2504">
        <v>262724.21000000002</v>
      </c>
      <c r="D2504" t="s">
        <v>1365</v>
      </c>
      <c r="E2504" t="s">
        <v>1366</v>
      </c>
      <c r="F2504" t="s">
        <v>1367</v>
      </c>
    </row>
    <row r="2505" spans="1:6">
      <c r="A2505">
        <v>79</v>
      </c>
      <c r="B2505" t="s">
        <v>1765</v>
      </c>
      <c r="C2505">
        <v>6097</v>
      </c>
      <c r="D2505" t="s">
        <v>1486</v>
      </c>
      <c r="E2505" t="s">
        <v>1487</v>
      </c>
      <c r="F2505" t="s">
        <v>1488</v>
      </c>
    </row>
    <row r="2506" spans="1:6">
      <c r="A2506">
        <v>79</v>
      </c>
      <c r="B2506" t="s">
        <v>1765</v>
      </c>
      <c r="C2506">
        <v>2852</v>
      </c>
      <c r="D2506" t="s">
        <v>1489</v>
      </c>
      <c r="E2506" t="s">
        <v>1490</v>
      </c>
      <c r="F2506" t="s">
        <v>1491</v>
      </c>
    </row>
    <row r="2507" spans="1:6">
      <c r="A2507">
        <v>79</v>
      </c>
      <c r="B2507" t="s">
        <v>1765</v>
      </c>
      <c r="C2507">
        <v>32197</v>
      </c>
      <c r="D2507" t="s">
        <v>1567</v>
      </c>
      <c r="E2507" t="s">
        <v>1568</v>
      </c>
      <c r="F2507" t="s">
        <v>1569</v>
      </c>
    </row>
    <row r="2508" spans="1:6">
      <c r="A2508">
        <v>79</v>
      </c>
      <c r="B2508" t="s">
        <v>1765</v>
      </c>
      <c r="C2508">
        <v>2742920</v>
      </c>
      <c r="D2508" t="s">
        <v>1570</v>
      </c>
      <c r="E2508" t="s">
        <v>1571</v>
      </c>
      <c r="F2508" t="s">
        <v>1572</v>
      </c>
    </row>
    <row r="2509" spans="1:6">
      <c r="A2509">
        <v>79</v>
      </c>
      <c r="B2509" t="s">
        <v>1765</v>
      </c>
      <c r="C2509">
        <v>33505</v>
      </c>
      <c r="D2509" t="s">
        <v>1573</v>
      </c>
      <c r="E2509" t="s">
        <v>1574</v>
      </c>
      <c r="F2509" t="s">
        <v>1575</v>
      </c>
    </row>
    <row r="2510" spans="1:6">
      <c r="A2510">
        <v>79</v>
      </c>
      <c r="B2510" t="s">
        <v>1765</v>
      </c>
      <c r="C2510">
        <v>6124.39</v>
      </c>
      <c r="D2510" t="s">
        <v>1431</v>
      </c>
      <c r="E2510" t="s">
        <v>1432</v>
      </c>
      <c r="F2510" t="s">
        <v>1433</v>
      </c>
    </row>
    <row r="2511" spans="1:6">
      <c r="A2511">
        <v>79</v>
      </c>
      <c r="B2511" t="s">
        <v>1765</v>
      </c>
      <c r="C2511">
        <v>14009.26</v>
      </c>
      <c r="D2511" t="s">
        <v>1434</v>
      </c>
      <c r="E2511" t="s">
        <v>1432</v>
      </c>
      <c r="F2511" t="s">
        <v>1435</v>
      </c>
    </row>
    <row r="2512" spans="1:6">
      <c r="A2512">
        <v>79</v>
      </c>
      <c r="B2512" t="s">
        <v>1765</v>
      </c>
      <c r="C2512">
        <v>9251</v>
      </c>
      <c r="D2512" t="s">
        <v>1587</v>
      </c>
      <c r="E2512" t="s">
        <v>1585</v>
      </c>
      <c r="F2512" t="s">
        <v>1588</v>
      </c>
    </row>
    <row r="2513" spans="1:6">
      <c r="A2513">
        <v>79</v>
      </c>
      <c r="B2513" t="s">
        <v>1765</v>
      </c>
      <c r="C2513">
        <v>1008</v>
      </c>
      <c r="D2513" t="s">
        <v>1592</v>
      </c>
      <c r="E2513" t="s">
        <v>1590</v>
      </c>
      <c r="F2513" t="s">
        <v>1593</v>
      </c>
    </row>
    <row r="2514" spans="1:6">
      <c r="A2514">
        <v>79</v>
      </c>
      <c r="B2514" t="s">
        <v>1765</v>
      </c>
      <c r="C2514">
        <v>746</v>
      </c>
      <c r="D2514" t="s">
        <v>1597</v>
      </c>
      <c r="E2514" t="s">
        <v>1595</v>
      </c>
      <c r="F2514" t="s">
        <v>1598</v>
      </c>
    </row>
    <row r="2515" spans="1:6">
      <c r="A2515">
        <v>79</v>
      </c>
      <c r="B2515" t="s">
        <v>1765</v>
      </c>
      <c r="C2515">
        <v>100262</v>
      </c>
      <c r="D2515" t="s">
        <v>1602</v>
      </c>
      <c r="E2515" t="s">
        <v>1600</v>
      </c>
      <c r="F2515" t="s">
        <v>1603</v>
      </c>
    </row>
    <row r="2516" spans="1:6">
      <c r="A2516">
        <v>79</v>
      </c>
      <c r="B2516" t="s">
        <v>1765</v>
      </c>
      <c r="C2516">
        <v>4830</v>
      </c>
      <c r="D2516" t="s">
        <v>1604</v>
      </c>
      <c r="E2516" t="s">
        <v>1605</v>
      </c>
      <c r="F2516" t="s">
        <v>1606</v>
      </c>
    </row>
    <row r="2517" spans="1:6">
      <c r="A2517">
        <v>80</v>
      </c>
      <c r="B2517" t="s">
        <v>1766</v>
      </c>
      <c r="C2517">
        <v>90506</v>
      </c>
      <c r="D2517" t="s">
        <v>1486</v>
      </c>
      <c r="E2517" t="s">
        <v>1487</v>
      </c>
      <c r="F2517" t="s">
        <v>1488</v>
      </c>
    </row>
    <row r="2518" spans="1:6">
      <c r="A2518">
        <v>80</v>
      </c>
      <c r="B2518" t="s">
        <v>1766</v>
      </c>
      <c r="C2518">
        <v>46844</v>
      </c>
      <c r="D2518" t="s">
        <v>1489</v>
      </c>
      <c r="E2518" t="s">
        <v>1490</v>
      </c>
      <c r="F2518" t="s">
        <v>1491</v>
      </c>
    </row>
    <row r="2519" spans="1:6">
      <c r="A2519">
        <v>80</v>
      </c>
      <c r="B2519" t="s">
        <v>1766</v>
      </c>
      <c r="C2519">
        <v>102250</v>
      </c>
      <c r="D2519" t="s">
        <v>1404</v>
      </c>
      <c r="E2519" t="s">
        <v>1405</v>
      </c>
      <c r="F2519" t="s">
        <v>1406</v>
      </c>
    </row>
    <row r="2520" spans="1:6">
      <c r="A2520">
        <v>80</v>
      </c>
      <c r="B2520" t="s">
        <v>1766</v>
      </c>
      <c r="C2520">
        <v>102250</v>
      </c>
      <c r="D2520" t="s">
        <v>1317</v>
      </c>
      <c r="E2520" t="s">
        <v>1405</v>
      </c>
      <c r="F2520" t="s">
        <v>1406</v>
      </c>
    </row>
    <row r="2521" spans="1:6">
      <c r="A2521">
        <v>80</v>
      </c>
      <c r="B2521" t="s">
        <v>1766</v>
      </c>
      <c r="C2521">
        <v>925311</v>
      </c>
      <c r="D2521" t="s">
        <v>1567</v>
      </c>
      <c r="E2521" t="s">
        <v>1568</v>
      </c>
      <c r="F2521" t="s">
        <v>1569</v>
      </c>
    </row>
    <row r="2522" spans="1:6">
      <c r="A2522">
        <v>80</v>
      </c>
      <c r="B2522" t="s">
        <v>1766</v>
      </c>
      <c r="C2522">
        <v>130149</v>
      </c>
      <c r="D2522" t="s">
        <v>1496</v>
      </c>
      <c r="E2522" t="s">
        <v>1497</v>
      </c>
      <c r="F2522" t="s">
        <v>1498</v>
      </c>
    </row>
    <row r="2523" spans="1:6">
      <c r="A2523">
        <v>80</v>
      </c>
      <c r="B2523" t="s">
        <v>1766</v>
      </c>
      <c r="C2523">
        <v>46425260</v>
      </c>
      <c r="D2523" t="s">
        <v>1570</v>
      </c>
      <c r="E2523" t="s">
        <v>1571</v>
      </c>
      <c r="F2523" t="s">
        <v>1572</v>
      </c>
    </row>
    <row r="2524" spans="1:6">
      <c r="A2524">
        <v>80</v>
      </c>
      <c r="B2524" t="s">
        <v>1766</v>
      </c>
      <c r="C2524">
        <v>70983</v>
      </c>
      <c r="D2524" t="s">
        <v>1327</v>
      </c>
      <c r="E2524" t="s">
        <v>1328</v>
      </c>
      <c r="F2524" t="s">
        <v>1329</v>
      </c>
    </row>
    <row r="2525" spans="1:6">
      <c r="A2525">
        <v>80</v>
      </c>
      <c r="B2525" t="s">
        <v>1766</v>
      </c>
      <c r="C2525">
        <v>1228359</v>
      </c>
      <c r="D2525" t="s">
        <v>1499</v>
      </c>
      <c r="E2525" t="s">
        <v>1500</v>
      </c>
      <c r="F2525" t="s">
        <v>1501</v>
      </c>
    </row>
    <row r="2526" spans="1:6">
      <c r="A2526">
        <v>80</v>
      </c>
      <c r="B2526" t="s">
        <v>1766</v>
      </c>
      <c r="C2526">
        <v>850483</v>
      </c>
      <c r="D2526" t="s">
        <v>1502</v>
      </c>
      <c r="E2526" t="s">
        <v>1503</v>
      </c>
      <c r="F2526" t="s">
        <v>1504</v>
      </c>
    </row>
    <row r="2527" spans="1:6">
      <c r="A2527">
        <v>80</v>
      </c>
      <c r="B2527" t="s">
        <v>1766</v>
      </c>
      <c r="C2527">
        <v>167082</v>
      </c>
      <c r="D2527" t="s">
        <v>1505</v>
      </c>
      <c r="E2527" t="s">
        <v>1506</v>
      </c>
      <c r="F2527" t="s">
        <v>1507</v>
      </c>
    </row>
    <row r="2528" spans="1:6">
      <c r="A2528">
        <v>80</v>
      </c>
      <c r="B2528" t="s">
        <v>1766</v>
      </c>
      <c r="C2528">
        <v>194769</v>
      </c>
      <c r="D2528" t="s">
        <v>1508</v>
      </c>
      <c r="E2528" t="s">
        <v>1509</v>
      </c>
      <c r="F2528" t="s">
        <v>1510</v>
      </c>
    </row>
    <row r="2529" spans="1:6">
      <c r="A2529">
        <v>80</v>
      </c>
      <c r="B2529" t="s">
        <v>1766</v>
      </c>
      <c r="C2529">
        <v>16381</v>
      </c>
      <c r="D2529" t="s">
        <v>1330</v>
      </c>
      <c r="E2529" t="s">
        <v>1331</v>
      </c>
      <c r="F2529" t="s">
        <v>1332</v>
      </c>
    </row>
    <row r="2530" spans="1:6">
      <c r="A2530">
        <v>80</v>
      </c>
      <c r="B2530" t="s">
        <v>1766</v>
      </c>
      <c r="C2530">
        <v>27000</v>
      </c>
      <c r="D2530" t="s">
        <v>1515</v>
      </c>
      <c r="E2530" t="s">
        <v>1516</v>
      </c>
      <c r="F2530" t="s">
        <v>1517</v>
      </c>
    </row>
    <row r="2531" spans="1:6">
      <c r="A2531">
        <v>80</v>
      </c>
      <c r="B2531" t="s">
        <v>1766</v>
      </c>
      <c r="C2531">
        <v>7266</v>
      </c>
      <c r="D2531" t="s">
        <v>1518</v>
      </c>
      <c r="E2531" t="s">
        <v>1516</v>
      </c>
      <c r="F2531" t="s">
        <v>1519</v>
      </c>
    </row>
    <row r="2532" spans="1:6">
      <c r="A2532">
        <v>80</v>
      </c>
      <c r="B2532" t="s">
        <v>1766</v>
      </c>
      <c r="C2532">
        <v>991261</v>
      </c>
      <c r="D2532" t="s">
        <v>1520</v>
      </c>
      <c r="E2532" t="s">
        <v>1521</v>
      </c>
      <c r="F2532" t="s">
        <v>1522</v>
      </c>
    </row>
    <row r="2533" spans="1:6">
      <c r="A2533">
        <v>80</v>
      </c>
      <c r="B2533" t="s">
        <v>1766</v>
      </c>
      <c r="C2533">
        <v>143960</v>
      </c>
      <c r="D2533" t="s">
        <v>1216</v>
      </c>
      <c r="E2533" t="s">
        <v>1217</v>
      </c>
      <c r="F2533" t="s">
        <v>1218</v>
      </c>
    </row>
    <row r="2534" spans="1:6">
      <c r="A2534">
        <v>80</v>
      </c>
      <c r="B2534" t="s">
        <v>1766</v>
      </c>
      <c r="C2534">
        <v>991044</v>
      </c>
      <c r="D2534" t="s">
        <v>1573</v>
      </c>
      <c r="E2534" t="s">
        <v>1574</v>
      </c>
      <c r="F2534" t="s">
        <v>1575</v>
      </c>
    </row>
    <row r="2535" spans="1:6">
      <c r="A2535">
        <v>80</v>
      </c>
      <c r="B2535" t="s">
        <v>1766</v>
      </c>
      <c r="C2535">
        <v>68332</v>
      </c>
      <c r="D2535" t="s">
        <v>1523</v>
      </c>
      <c r="E2535" t="s">
        <v>1521</v>
      </c>
      <c r="F2535" t="s">
        <v>1524</v>
      </c>
    </row>
    <row r="2536" spans="1:6">
      <c r="A2536">
        <v>80</v>
      </c>
      <c r="B2536" t="s">
        <v>1766</v>
      </c>
      <c r="C2536">
        <v>228059</v>
      </c>
      <c r="D2536" t="s">
        <v>1525</v>
      </c>
      <c r="E2536" t="s">
        <v>1526</v>
      </c>
      <c r="F2536" t="s">
        <v>1527</v>
      </c>
    </row>
    <row r="2537" spans="1:6">
      <c r="A2537">
        <v>80</v>
      </c>
      <c r="B2537" t="s">
        <v>1766</v>
      </c>
      <c r="C2537">
        <v>49560</v>
      </c>
      <c r="D2537" t="s">
        <v>1528</v>
      </c>
      <c r="E2537" t="s">
        <v>1529</v>
      </c>
      <c r="F2537" t="s">
        <v>1530</v>
      </c>
    </row>
    <row r="2538" spans="1:6">
      <c r="A2538">
        <v>80</v>
      </c>
      <c r="B2538" t="s">
        <v>1766</v>
      </c>
      <c r="C2538">
        <v>15600</v>
      </c>
      <c r="D2538" t="s">
        <v>1387</v>
      </c>
      <c r="E2538" t="s">
        <v>1388</v>
      </c>
      <c r="F2538" t="s">
        <v>1389</v>
      </c>
    </row>
    <row r="2539" spans="1:6">
      <c r="A2539">
        <v>80</v>
      </c>
      <c r="B2539" t="s">
        <v>1766</v>
      </c>
      <c r="C2539">
        <v>140652</v>
      </c>
      <c r="D2539" t="s">
        <v>1390</v>
      </c>
      <c r="E2539" t="s">
        <v>1391</v>
      </c>
      <c r="F2539" t="s">
        <v>1392</v>
      </c>
    </row>
    <row r="2540" spans="1:6">
      <c r="A2540">
        <v>80</v>
      </c>
      <c r="B2540" t="s">
        <v>1766</v>
      </c>
      <c r="C2540">
        <v>125090</v>
      </c>
      <c r="D2540" t="s">
        <v>1534</v>
      </c>
      <c r="E2540" t="s">
        <v>1535</v>
      </c>
      <c r="F2540" t="s">
        <v>1536</v>
      </c>
    </row>
    <row r="2541" spans="1:6">
      <c r="A2541">
        <v>80</v>
      </c>
      <c r="B2541" t="s">
        <v>1766</v>
      </c>
      <c r="C2541">
        <v>1768.37</v>
      </c>
      <c r="D2541" t="s">
        <v>1374</v>
      </c>
      <c r="E2541" t="s">
        <v>1375</v>
      </c>
      <c r="F2541" t="s">
        <v>1376</v>
      </c>
    </row>
    <row r="2542" spans="1:6">
      <c r="A2542">
        <v>80</v>
      </c>
      <c r="B2542" t="s">
        <v>1766</v>
      </c>
      <c r="C2542">
        <v>4467.45</v>
      </c>
      <c r="D2542" t="s">
        <v>1377</v>
      </c>
      <c r="E2542" t="s">
        <v>1375</v>
      </c>
      <c r="F2542" t="s">
        <v>1378</v>
      </c>
    </row>
    <row r="2543" spans="1:6">
      <c r="A2543">
        <v>80</v>
      </c>
      <c r="B2543" t="s">
        <v>1766</v>
      </c>
      <c r="C2543">
        <v>60031.26</v>
      </c>
      <c r="D2543" t="s">
        <v>1537</v>
      </c>
      <c r="E2543" t="s">
        <v>1538</v>
      </c>
      <c r="F2543" t="s">
        <v>1539</v>
      </c>
    </row>
    <row r="2544" spans="1:6">
      <c r="A2544">
        <v>80</v>
      </c>
      <c r="B2544" t="s">
        <v>1766</v>
      </c>
      <c r="C2544">
        <v>128643.96</v>
      </c>
      <c r="D2544" t="s">
        <v>1540</v>
      </c>
      <c r="E2544" t="s">
        <v>1538</v>
      </c>
      <c r="F2544" t="s">
        <v>1541</v>
      </c>
    </row>
    <row r="2545" spans="1:6">
      <c r="A2545">
        <v>80</v>
      </c>
      <c r="B2545" t="s">
        <v>1766</v>
      </c>
      <c r="C2545">
        <v>500548.2</v>
      </c>
      <c r="D2545" t="s">
        <v>1431</v>
      </c>
      <c r="E2545" t="s">
        <v>1432</v>
      </c>
      <c r="F2545" t="s">
        <v>1433</v>
      </c>
    </row>
    <row r="2546" spans="1:6">
      <c r="A2546">
        <v>80</v>
      </c>
      <c r="B2546" t="s">
        <v>1766</v>
      </c>
      <c r="C2546">
        <v>1166010.07</v>
      </c>
      <c r="D2546" t="s">
        <v>1434</v>
      </c>
      <c r="E2546" t="s">
        <v>1432</v>
      </c>
      <c r="F2546" t="s">
        <v>1435</v>
      </c>
    </row>
    <row r="2547" spans="1:6">
      <c r="A2547">
        <v>80</v>
      </c>
      <c r="B2547" t="s">
        <v>1766</v>
      </c>
      <c r="C2547">
        <v>2051000</v>
      </c>
      <c r="D2547" t="s">
        <v>1579</v>
      </c>
      <c r="E2547" t="s">
        <v>1577</v>
      </c>
      <c r="F2547" t="s">
        <v>1580</v>
      </c>
    </row>
    <row r="2548" spans="1:6">
      <c r="A2548">
        <v>80</v>
      </c>
      <c r="B2548" t="s">
        <v>1766</v>
      </c>
      <c r="C2548">
        <v>12255</v>
      </c>
      <c r="D2548" t="s">
        <v>1359</v>
      </c>
      <c r="E2548" t="s">
        <v>1357</v>
      </c>
      <c r="F2548" t="s">
        <v>1360</v>
      </c>
    </row>
    <row r="2549" spans="1:6">
      <c r="A2549">
        <v>80</v>
      </c>
      <c r="B2549" t="s">
        <v>1766</v>
      </c>
      <c r="C2549">
        <v>175285</v>
      </c>
      <c r="D2549" t="s">
        <v>1436</v>
      </c>
      <c r="E2549" t="s">
        <v>1437</v>
      </c>
      <c r="F2549" t="s">
        <v>1438</v>
      </c>
    </row>
    <row r="2550" spans="1:6">
      <c r="A2550">
        <v>80</v>
      </c>
      <c r="B2550" t="s">
        <v>1766</v>
      </c>
      <c r="C2550">
        <v>3577</v>
      </c>
      <c r="D2550" t="s">
        <v>1442</v>
      </c>
      <c r="E2550" t="s">
        <v>1582</v>
      </c>
      <c r="F2550" t="s">
        <v>1443</v>
      </c>
    </row>
    <row r="2551" spans="1:6">
      <c r="A2551">
        <v>80</v>
      </c>
      <c r="B2551" t="s">
        <v>1766</v>
      </c>
      <c r="C2551">
        <v>17950</v>
      </c>
      <c r="D2551" t="s">
        <v>1581</v>
      </c>
      <c r="E2551" t="s">
        <v>1582</v>
      </c>
      <c r="F2551" t="s">
        <v>1583</v>
      </c>
    </row>
    <row r="2552" spans="1:6">
      <c r="A2552">
        <v>80</v>
      </c>
      <c r="B2552" t="s">
        <v>1766</v>
      </c>
      <c r="C2552">
        <v>5000</v>
      </c>
      <c r="D2552" t="s">
        <v>1194</v>
      </c>
      <c r="E2552" t="s">
        <v>1265</v>
      </c>
      <c r="F2552" t="s">
        <v>1195</v>
      </c>
    </row>
    <row r="2553" spans="1:6">
      <c r="A2553">
        <v>80</v>
      </c>
      <c r="B2553" t="s">
        <v>1766</v>
      </c>
      <c r="C2553">
        <v>250000</v>
      </c>
      <c r="D2553" t="s">
        <v>1446</v>
      </c>
      <c r="E2553" t="s">
        <v>1447</v>
      </c>
      <c r="F2553" t="s">
        <v>1448</v>
      </c>
    </row>
    <row r="2554" spans="1:6">
      <c r="A2554">
        <v>80</v>
      </c>
      <c r="B2554" t="s">
        <v>1766</v>
      </c>
      <c r="C2554">
        <v>35579</v>
      </c>
      <c r="D2554" t="s">
        <v>1584</v>
      </c>
      <c r="E2554" t="s">
        <v>1585</v>
      </c>
      <c r="F2554" t="s">
        <v>1586</v>
      </c>
    </row>
    <row r="2555" spans="1:6">
      <c r="A2555">
        <v>80</v>
      </c>
      <c r="B2555" t="s">
        <v>1766</v>
      </c>
      <c r="C2555">
        <v>491500</v>
      </c>
      <c r="D2555" t="s">
        <v>1587</v>
      </c>
      <c r="E2555" t="s">
        <v>1585</v>
      </c>
      <c r="F2555" t="s">
        <v>1588</v>
      </c>
    </row>
    <row r="2556" spans="1:6">
      <c r="A2556">
        <v>80</v>
      </c>
      <c r="B2556" t="s">
        <v>1766</v>
      </c>
      <c r="C2556">
        <v>134500</v>
      </c>
      <c r="D2556" t="s">
        <v>1452</v>
      </c>
      <c r="E2556" t="s">
        <v>1450</v>
      </c>
      <c r="F2556" t="s">
        <v>1453</v>
      </c>
    </row>
    <row r="2557" spans="1:6">
      <c r="A2557">
        <v>80</v>
      </c>
      <c r="B2557" t="s">
        <v>1766</v>
      </c>
      <c r="C2557">
        <v>103275</v>
      </c>
      <c r="D2557" t="s">
        <v>1457</v>
      </c>
      <c r="E2557" t="s">
        <v>1455</v>
      </c>
      <c r="F2557" t="s">
        <v>1458</v>
      </c>
    </row>
    <row r="2558" spans="1:6">
      <c r="A2558">
        <v>80</v>
      </c>
      <c r="B2558" t="s">
        <v>1766</v>
      </c>
      <c r="C2558">
        <v>663</v>
      </c>
      <c r="D2558" t="s">
        <v>1589</v>
      </c>
      <c r="E2558" t="s">
        <v>1590</v>
      </c>
      <c r="F2558" t="s">
        <v>1591</v>
      </c>
    </row>
    <row r="2559" spans="1:6">
      <c r="A2559">
        <v>80</v>
      </c>
      <c r="B2559" t="s">
        <v>1766</v>
      </c>
      <c r="C2559">
        <v>33300</v>
      </c>
      <c r="D2559" t="s">
        <v>1592</v>
      </c>
      <c r="E2559" t="s">
        <v>1590</v>
      </c>
      <c r="F2559" t="s">
        <v>1593</v>
      </c>
    </row>
    <row r="2560" spans="1:6">
      <c r="A2560">
        <v>80</v>
      </c>
      <c r="B2560" t="s">
        <v>1766</v>
      </c>
      <c r="C2560">
        <v>17200</v>
      </c>
      <c r="D2560" t="s">
        <v>1597</v>
      </c>
      <c r="E2560" t="s">
        <v>1595</v>
      </c>
      <c r="F2560" t="s">
        <v>1598</v>
      </c>
    </row>
    <row r="2561" spans="1:6">
      <c r="A2561">
        <v>80</v>
      </c>
      <c r="B2561" t="s">
        <v>1766</v>
      </c>
      <c r="C2561">
        <v>20633</v>
      </c>
      <c r="D2561" t="s">
        <v>1196</v>
      </c>
      <c r="E2561" t="s">
        <v>1197</v>
      </c>
      <c r="F2561" t="s">
        <v>1198</v>
      </c>
    </row>
    <row r="2562" spans="1:6">
      <c r="A2562">
        <v>80</v>
      </c>
      <c r="B2562" t="s">
        <v>1766</v>
      </c>
      <c r="C2562">
        <v>5324</v>
      </c>
      <c r="D2562" t="s">
        <v>1599</v>
      </c>
      <c r="E2562" t="s">
        <v>1600</v>
      </c>
      <c r="F2562" t="s">
        <v>1601</v>
      </c>
    </row>
    <row r="2563" spans="1:6">
      <c r="A2563">
        <v>80</v>
      </c>
      <c r="B2563" t="s">
        <v>1766</v>
      </c>
      <c r="C2563">
        <v>1985408</v>
      </c>
      <c r="D2563" t="s">
        <v>1602</v>
      </c>
      <c r="E2563" t="s">
        <v>1600</v>
      </c>
      <c r="F2563" t="s">
        <v>1603</v>
      </c>
    </row>
    <row r="2564" spans="1:6">
      <c r="A2564">
        <v>80</v>
      </c>
      <c r="B2564" t="s">
        <v>1766</v>
      </c>
      <c r="C2564">
        <v>79253</v>
      </c>
      <c r="D2564" t="s">
        <v>1604</v>
      </c>
      <c r="E2564" t="s">
        <v>1605</v>
      </c>
      <c r="F2564" t="s">
        <v>1606</v>
      </c>
    </row>
    <row r="2565" spans="1:6">
      <c r="A2565">
        <v>80</v>
      </c>
      <c r="B2565" t="s">
        <v>1766</v>
      </c>
      <c r="C2565">
        <v>11750</v>
      </c>
      <c r="D2565" t="s">
        <v>1466</v>
      </c>
      <c r="E2565" t="s">
        <v>1467</v>
      </c>
      <c r="F2565" t="s">
        <v>1468</v>
      </c>
    </row>
    <row r="2566" spans="1:6">
      <c r="A2566">
        <v>80</v>
      </c>
      <c r="B2566" t="s">
        <v>1766</v>
      </c>
      <c r="C2566">
        <v>47681</v>
      </c>
      <c r="D2566" t="s">
        <v>1469</v>
      </c>
      <c r="E2566" t="s">
        <v>1470</v>
      </c>
      <c r="F2566" t="s">
        <v>1471</v>
      </c>
    </row>
    <row r="2567" spans="1:6">
      <c r="A2567">
        <v>80</v>
      </c>
      <c r="B2567" t="s">
        <v>1766</v>
      </c>
      <c r="C2567">
        <v>52445.84</v>
      </c>
      <c r="D2567" t="s">
        <v>1475</v>
      </c>
      <c r="E2567" t="s">
        <v>1476</v>
      </c>
      <c r="F2567" t="s">
        <v>1477</v>
      </c>
    </row>
    <row r="2568" spans="1:6">
      <c r="A2568">
        <v>80</v>
      </c>
      <c r="B2568" t="s">
        <v>1766</v>
      </c>
      <c r="C2568">
        <v>1382295.59</v>
      </c>
      <c r="D2568" t="s">
        <v>1365</v>
      </c>
      <c r="E2568" t="s">
        <v>1366</v>
      </c>
      <c r="F2568" t="s">
        <v>1367</v>
      </c>
    </row>
    <row r="2569" spans="1:6">
      <c r="A2569">
        <v>80</v>
      </c>
      <c r="B2569" t="s">
        <v>1766</v>
      </c>
      <c r="C2569">
        <v>2057556</v>
      </c>
      <c r="D2569" t="s">
        <v>1610</v>
      </c>
      <c r="E2569" t="s">
        <v>1481</v>
      </c>
      <c r="F2569" t="s">
        <v>1482</v>
      </c>
    </row>
    <row r="2570" spans="1:6">
      <c r="A2570">
        <v>81</v>
      </c>
      <c r="B2570" t="s">
        <v>1199</v>
      </c>
      <c r="C2570">
        <v>436040</v>
      </c>
      <c r="D2570" t="s">
        <v>1570</v>
      </c>
      <c r="E2570" t="s">
        <v>1571</v>
      </c>
      <c r="F2570" t="s">
        <v>1572</v>
      </c>
    </row>
    <row r="2571" spans="1:6">
      <c r="A2571">
        <v>82</v>
      </c>
      <c r="B2571" t="s">
        <v>1200</v>
      </c>
      <c r="C2571">
        <v>1765134</v>
      </c>
      <c r="D2571" t="s">
        <v>1570</v>
      </c>
      <c r="E2571" t="s">
        <v>1571</v>
      </c>
      <c r="F2571" t="s">
        <v>1572</v>
      </c>
    </row>
    <row r="2572" spans="1:6">
      <c r="A2572">
        <v>83</v>
      </c>
      <c r="B2572" t="s">
        <v>1767</v>
      </c>
      <c r="C2572">
        <v>6174</v>
      </c>
      <c r="D2572" t="s">
        <v>1176</v>
      </c>
      <c r="E2572" t="s">
        <v>1177</v>
      </c>
      <c r="F2572" t="s">
        <v>1178</v>
      </c>
    </row>
    <row r="2573" spans="1:6">
      <c r="A2573">
        <v>83</v>
      </c>
      <c r="B2573" t="s">
        <v>1767</v>
      </c>
      <c r="C2573">
        <v>20231</v>
      </c>
      <c r="D2573" t="s">
        <v>1483</v>
      </c>
      <c r="E2573" t="s">
        <v>1484</v>
      </c>
      <c r="F2573" t="s">
        <v>1485</v>
      </c>
    </row>
    <row r="2574" spans="1:6">
      <c r="A2574">
        <v>83</v>
      </c>
      <c r="B2574" t="s">
        <v>1767</v>
      </c>
      <c r="C2574">
        <v>21092</v>
      </c>
      <c r="D2574" t="s">
        <v>1489</v>
      </c>
      <c r="E2574" t="s">
        <v>1490</v>
      </c>
      <c r="F2574" t="s">
        <v>1491</v>
      </c>
    </row>
    <row r="2575" spans="1:6">
      <c r="A2575">
        <v>83</v>
      </c>
      <c r="B2575" t="s">
        <v>1767</v>
      </c>
      <c r="C2575">
        <v>102250</v>
      </c>
      <c r="D2575" t="s">
        <v>1404</v>
      </c>
      <c r="E2575" t="s">
        <v>1405</v>
      </c>
      <c r="F2575" t="s">
        <v>1406</v>
      </c>
    </row>
    <row r="2576" spans="1:6">
      <c r="A2576">
        <v>83</v>
      </c>
      <c r="B2576" t="s">
        <v>1767</v>
      </c>
      <c r="C2576">
        <v>102250</v>
      </c>
      <c r="D2576" t="s">
        <v>1317</v>
      </c>
      <c r="E2576" t="s">
        <v>1405</v>
      </c>
      <c r="F2576" t="s">
        <v>1406</v>
      </c>
    </row>
    <row r="2577" spans="1:6">
      <c r="A2577">
        <v>83</v>
      </c>
      <c r="B2577" t="s">
        <v>1767</v>
      </c>
      <c r="C2577">
        <v>88119</v>
      </c>
      <c r="D2577" t="s">
        <v>1407</v>
      </c>
      <c r="E2577" t="s">
        <v>1408</v>
      </c>
      <c r="F2577" t="s">
        <v>1409</v>
      </c>
    </row>
    <row r="2578" spans="1:6">
      <c r="A2578">
        <v>83</v>
      </c>
      <c r="B2578" t="s">
        <v>1767</v>
      </c>
      <c r="C2578">
        <v>1078693</v>
      </c>
      <c r="D2578" t="s">
        <v>1567</v>
      </c>
      <c r="E2578" t="s">
        <v>1568</v>
      </c>
      <c r="F2578" t="s">
        <v>1569</v>
      </c>
    </row>
    <row r="2579" spans="1:6">
      <c r="A2579">
        <v>83</v>
      </c>
      <c r="B2579" t="s">
        <v>1767</v>
      </c>
      <c r="C2579">
        <v>167365</v>
      </c>
      <c r="D2579" t="s">
        <v>1496</v>
      </c>
      <c r="E2579" t="s">
        <v>1497</v>
      </c>
      <c r="F2579" t="s">
        <v>1498</v>
      </c>
    </row>
    <row r="2580" spans="1:6">
      <c r="A2580">
        <v>83</v>
      </c>
      <c r="B2580" t="s">
        <v>1767</v>
      </c>
      <c r="C2580">
        <v>13621805</v>
      </c>
      <c r="D2580" t="s">
        <v>1570</v>
      </c>
      <c r="E2580" t="s">
        <v>1571</v>
      </c>
      <c r="F2580" t="s">
        <v>1572</v>
      </c>
    </row>
    <row r="2581" spans="1:6">
      <c r="A2581">
        <v>83</v>
      </c>
      <c r="B2581" t="s">
        <v>1767</v>
      </c>
      <c r="C2581">
        <v>16381</v>
      </c>
      <c r="D2581" t="s">
        <v>1330</v>
      </c>
      <c r="E2581" t="s">
        <v>1331</v>
      </c>
      <c r="F2581" t="s">
        <v>1332</v>
      </c>
    </row>
    <row r="2582" spans="1:6">
      <c r="A2582">
        <v>83</v>
      </c>
      <c r="B2582" t="s">
        <v>1767</v>
      </c>
      <c r="C2582">
        <v>87817</v>
      </c>
      <c r="D2582" t="s">
        <v>1382</v>
      </c>
      <c r="E2582" t="s">
        <v>1383</v>
      </c>
      <c r="F2582" t="s">
        <v>1384</v>
      </c>
    </row>
    <row r="2583" spans="1:6">
      <c r="A2583">
        <v>83</v>
      </c>
      <c r="B2583" t="s">
        <v>1767</v>
      </c>
      <c r="C2583">
        <v>33000</v>
      </c>
      <c r="D2583" t="s">
        <v>1515</v>
      </c>
      <c r="E2583" t="s">
        <v>1516</v>
      </c>
      <c r="F2583" t="s">
        <v>1517</v>
      </c>
    </row>
    <row r="2584" spans="1:6">
      <c r="A2584">
        <v>83</v>
      </c>
      <c r="B2584" t="s">
        <v>1767</v>
      </c>
      <c r="C2584">
        <v>4362</v>
      </c>
      <c r="D2584" t="s">
        <v>1518</v>
      </c>
      <c r="E2584" t="s">
        <v>1516</v>
      </c>
      <c r="F2584" t="s">
        <v>1519</v>
      </c>
    </row>
    <row r="2585" spans="1:6">
      <c r="A2585">
        <v>83</v>
      </c>
      <c r="B2585" t="s">
        <v>1767</v>
      </c>
      <c r="C2585">
        <v>429574</v>
      </c>
      <c r="D2585" t="s">
        <v>1520</v>
      </c>
      <c r="E2585" t="s">
        <v>1521</v>
      </c>
      <c r="F2585" t="s">
        <v>1522</v>
      </c>
    </row>
    <row r="2586" spans="1:6">
      <c r="A2586">
        <v>83</v>
      </c>
      <c r="B2586" t="s">
        <v>1767</v>
      </c>
      <c r="C2586">
        <v>847601</v>
      </c>
      <c r="D2586" t="s">
        <v>1573</v>
      </c>
      <c r="E2586" t="s">
        <v>1574</v>
      </c>
      <c r="F2586" t="s">
        <v>1575</v>
      </c>
    </row>
    <row r="2587" spans="1:6">
      <c r="A2587">
        <v>83</v>
      </c>
      <c r="B2587" t="s">
        <v>1767</v>
      </c>
      <c r="C2587">
        <v>178893</v>
      </c>
      <c r="D2587" t="s">
        <v>1523</v>
      </c>
      <c r="E2587" t="s">
        <v>1521</v>
      </c>
      <c r="F2587" t="s">
        <v>1524</v>
      </c>
    </row>
    <row r="2588" spans="1:6">
      <c r="A2588">
        <v>83</v>
      </c>
      <c r="B2588" t="s">
        <v>1767</v>
      </c>
      <c r="C2588">
        <v>9468</v>
      </c>
      <c r="D2588" t="s">
        <v>1371</v>
      </c>
      <c r="E2588" t="s">
        <v>1372</v>
      </c>
      <c r="F2588" t="s">
        <v>1373</v>
      </c>
    </row>
    <row r="2589" spans="1:6">
      <c r="A2589">
        <v>83</v>
      </c>
      <c r="B2589" t="s">
        <v>1767</v>
      </c>
      <c r="C2589">
        <v>132623</v>
      </c>
      <c r="D2589" t="s">
        <v>1525</v>
      </c>
      <c r="E2589" t="s">
        <v>1526</v>
      </c>
      <c r="F2589" t="s">
        <v>1527</v>
      </c>
    </row>
    <row r="2590" spans="1:6">
      <c r="A2590">
        <v>83</v>
      </c>
      <c r="B2590" t="s">
        <v>1767</v>
      </c>
      <c r="C2590">
        <v>31606</v>
      </c>
      <c r="D2590" t="s">
        <v>1528</v>
      </c>
      <c r="E2590" t="s">
        <v>1529</v>
      </c>
      <c r="F2590" t="s">
        <v>1530</v>
      </c>
    </row>
    <row r="2591" spans="1:6">
      <c r="A2591">
        <v>83</v>
      </c>
      <c r="B2591" t="s">
        <v>1767</v>
      </c>
      <c r="C2591">
        <v>100000</v>
      </c>
      <c r="D2591" t="s">
        <v>1204</v>
      </c>
      <c r="E2591" t="s">
        <v>1205</v>
      </c>
      <c r="F2591" t="s">
        <v>1206</v>
      </c>
    </row>
    <row r="2592" spans="1:6">
      <c r="A2592">
        <v>83</v>
      </c>
      <c r="B2592" t="s">
        <v>1767</v>
      </c>
      <c r="C2592">
        <v>243100</v>
      </c>
      <c r="D2592" t="s">
        <v>1387</v>
      </c>
      <c r="E2592" t="s">
        <v>1388</v>
      </c>
      <c r="F2592" t="s">
        <v>1389</v>
      </c>
    </row>
    <row r="2593" spans="1:6">
      <c r="A2593">
        <v>83</v>
      </c>
      <c r="B2593" t="s">
        <v>1767</v>
      </c>
      <c r="C2593">
        <v>55000</v>
      </c>
      <c r="D2593" t="s">
        <v>1306</v>
      </c>
      <c r="E2593" t="s">
        <v>1307</v>
      </c>
      <c r="F2593" t="s">
        <v>1308</v>
      </c>
    </row>
    <row r="2594" spans="1:6">
      <c r="A2594">
        <v>83</v>
      </c>
      <c r="B2594" t="s">
        <v>1767</v>
      </c>
      <c r="C2594">
        <v>7235</v>
      </c>
      <c r="D2594" t="s">
        <v>1390</v>
      </c>
      <c r="E2594" t="s">
        <v>1391</v>
      </c>
      <c r="F2594" t="s">
        <v>1392</v>
      </c>
    </row>
    <row r="2595" spans="1:6">
      <c r="A2595">
        <v>83</v>
      </c>
      <c r="B2595" t="s">
        <v>1767</v>
      </c>
      <c r="C2595">
        <v>36103.74</v>
      </c>
      <c r="D2595" t="s">
        <v>1537</v>
      </c>
      <c r="E2595" t="s">
        <v>1538</v>
      </c>
      <c r="F2595" t="s">
        <v>1539</v>
      </c>
    </row>
    <row r="2596" spans="1:6">
      <c r="A2596">
        <v>83</v>
      </c>
      <c r="B2596" t="s">
        <v>1767</v>
      </c>
      <c r="C2596">
        <v>86509.5</v>
      </c>
      <c r="D2596" t="s">
        <v>1540</v>
      </c>
      <c r="E2596" t="s">
        <v>1538</v>
      </c>
      <c r="F2596" t="s">
        <v>1541</v>
      </c>
    </row>
    <row r="2597" spans="1:6">
      <c r="A2597">
        <v>83</v>
      </c>
      <c r="B2597" t="s">
        <v>1767</v>
      </c>
      <c r="C2597">
        <v>191000.24</v>
      </c>
      <c r="D2597" t="s">
        <v>1431</v>
      </c>
      <c r="E2597" t="s">
        <v>1432</v>
      </c>
      <c r="F2597" t="s">
        <v>1433</v>
      </c>
    </row>
    <row r="2598" spans="1:6">
      <c r="A2598">
        <v>83</v>
      </c>
      <c r="B2598" t="s">
        <v>1767</v>
      </c>
      <c r="C2598">
        <v>416957.12</v>
      </c>
      <c r="D2598" t="s">
        <v>1434</v>
      </c>
      <c r="E2598" t="s">
        <v>1432</v>
      </c>
      <c r="F2598" t="s">
        <v>1435</v>
      </c>
    </row>
    <row r="2599" spans="1:6">
      <c r="A2599">
        <v>83</v>
      </c>
      <c r="B2599" t="s">
        <v>1767</v>
      </c>
      <c r="C2599">
        <v>25000</v>
      </c>
      <c r="D2599" t="s">
        <v>1168</v>
      </c>
      <c r="E2599" t="s">
        <v>1169</v>
      </c>
      <c r="F2599" t="s">
        <v>1354</v>
      </c>
    </row>
    <row r="2600" spans="1:6">
      <c r="A2600">
        <v>83</v>
      </c>
      <c r="B2600" t="s">
        <v>1767</v>
      </c>
      <c r="C2600">
        <v>107223</v>
      </c>
      <c r="D2600" t="s">
        <v>1576</v>
      </c>
      <c r="E2600" t="s">
        <v>1577</v>
      </c>
      <c r="F2600" t="s">
        <v>1578</v>
      </c>
    </row>
    <row r="2601" spans="1:6">
      <c r="A2601">
        <v>83</v>
      </c>
      <c r="B2601" t="s">
        <v>1767</v>
      </c>
      <c r="C2601">
        <v>942365</v>
      </c>
      <c r="D2601" t="s">
        <v>1579</v>
      </c>
      <c r="E2601" t="s">
        <v>1577</v>
      </c>
      <c r="F2601" t="s">
        <v>1580</v>
      </c>
    </row>
    <row r="2602" spans="1:6">
      <c r="A2602">
        <v>83</v>
      </c>
      <c r="B2602" t="s">
        <v>1767</v>
      </c>
      <c r="C2602">
        <v>71598</v>
      </c>
      <c r="D2602" t="s">
        <v>1436</v>
      </c>
      <c r="E2602" t="s">
        <v>1437</v>
      </c>
      <c r="F2602" t="s">
        <v>1438</v>
      </c>
    </row>
    <row r="2603" spans="1:6">
      <c r="A2603">
        <v>83</v>
      </c>
      <c r="B2603" t="s">
        <v>1767</v>
      </c>
      <c r="C2603">
        <v>5759</v>
      </c>
      <c r="D2603" t="s">
        <v>1442</v>
      </c>
      <c r="E2603" t="s">
        <v>1582</v>
      </c>
      <c r="F2603" t="s">
        <v>1443</v>
      </c>
    </row>
    <row r="2604" spans="1:6">
      <c r="A2604">
        <v>83</v>
      </c>
      <c r="B2604" t="s">
        <v>1767</v>
      </c>
      <c r="C2604">
        <v>7679</v>
      </c>
      <c r="D2604" t="s">
        <v>1581</v>
      </c>
      <c r="E2604" t="s">
        <v>1582</v>
      </c>
      <c r="F2604" t="s">
        <v>1583</v>
      </c>
    </row>
    <row r="2605" spans="1:6">
      <c r="A2605">
        <v>83</v>
      </c>
      <c r="B2605" t="s">
        <v>1767</v>
      </c>
      <c r="C2605">
        <v>48055</v>
      </c>
      <c r="D2605" t="s">
        <v>1097</v>
      </c>
      <c r="E2605" t="s">
        <v>1437</v>
      </c>
      <c r="F2605" t="s">
        <v>1098</v>
      </c>
    </row>
    <row r="2606" spans="1:6">
      <c r="A2606">
        <v>83</v>
      </c>
      <c r="B2606" t="s">
        <v>1767</v>
      </c>
      <c r="C2606">
        <v>250000</v>
      </c>
      <c r="D2606" t="s">
        <v>1446</v>
      </c>
      <c r="E2606" t="s">
        <v>1447</v>
      </c>
      <c r="F2606" t="s">
        <v>1448</v>
      </c>
    </row>
    <row r="2607" spans="1:6">
      <c r="A2607">
        <v>83</v>
      </c>
      <c r="B2607" t="s">
        <v>1767</v>
      </c>
      <c r="C2607">
        <v>93915</v>
      </c>
      <c r="D2607" t="s">
        <v>1584</v>
      </c>
      <c r="E2607" t="s">
        <v>1585</v>
      </c>
      <c r="F2607" t="s">
        <v>1586</v>
      </c>
    </row>
    <row r="2608" spans="1:6">
      <c r="A2608">
        <v>83</v>
      </c>
      <c r="B2608" t="s">
        <v>1767</v>
      </c>
      <c r="C2608">
        <v>165846</v>
      </c>
      <c r="D2608" t="s">
        <v>1587</v>
      </c>
      <c r="E2608" t="s">
        <v>1585</v>
      </c>
      <c r="F2608" t="s">
        <v>1588</v>
      </c>
    </row>
    <row r="2609" spans="1:6">
      <c r="A2609">
        <v>83</v>
      </c>
      <c r="B2609" t="s">
        <v>1767</v>
      </c>
      <c r="C2609">
        <v>74766</v>
      </c>
      <c r="D2609" t="s">
        <v>1452</v>
      </c>
      <c r="E2609" t="s">
        <v>1450</v>
      </c>
      <c r="F2609" t="s">
        <v>1453</v>
      </c>
    </row>
    <row r="2610" spans="1:6">
      <c r="A2610">
        <v>83</v>
      </c>
      <c r="B2610" t="s">
        <v>1767</v>
      </c>
      <c r="C2610">
        <v>96</v>
      </c>
      <c r="D2610" t="s">
        <v>1454</v>
      </c>
      <c r="E2610" t="s">
        <v>1455</v>
      </c>
      <c r="F2610" t="s">
        <v>1456</v>
      </c>
    </row>
    <row r="2611" spans="1:6">
      <c r="A2611">
        <v>83</v>
      </c>
      <c r="B2611" t="s">
        <v>1767</v>
      </c>
      <c r="C2611">
        <v>10000</v>
      </c>
      <c r="D2611" t="s">
        <v>1457</v>
      </c>
      <c r="E2611" t="s">
        <v>1455</v>
      </c>
      <c r="F2611" t="s">
        <v>1458</v>
      </c>
    </row>
    <row r="2612" spans="1:6">
      <c r="A2612">
        <v>83</v>
      </c>
      <c r="B2612" t="s">
        <v>1767</v>
      </c>
      <c r="C2612">
        <v>10519</v>
      </c>
      <c r="D2612" t="s">
        <v>1589</v>
      </c>
      <c r="E2612" t="s">
        <v>1590</v>
      </c>
      <c r="F2612" t="s">
        <v>1591</v>
      </c>
    </row>
    <row r="2613" spans="1:6">
      <c r="A2613">
        <v>83</v>
      </c>
      <c r="B2613" t="s">
        <v>1767</v>
      </c>
      <c r="C2613">
        <v>31196</v>
      </c>
      <c r="D2613" t="s">
        <v>1592</v>
      </c>
      <c r="E2613" t="s">
        <v>1590</v>
      </c>
      <c r="F2613" t="s">
        <v>1593</v>
      </c>
    </row>
    <row r="2614" spans="1:6">
      <c r="A2614">
        <v>83</v>
      </c>
      <c r="B2614" t="s">
        <v>1767</v>
      </c>
      <c r="C2614">
        <v>3728</v>
      </c>
      <c r="D2614" t="s">
        <v>1594</v>
      </c>
      <c r="E2614" t="s">
        <v>1595</v>
      </c>
      <c r="F2614" t="s">
        <v>1596</v>
      </c>
    </row>
    <row r="2615" spans="1:6">
      <c r="A2615">
        <v>83</v>
      </c>
      <c r="B2615" t="s">
        <v>1767</v>
      </c>
      <c r="C2615">
        <v>3357</v>
      </c>
      <c r="D2615" t="s">
        <v>1597</v>
      </c>
      <c r="E2615" t="s">
        <v>1595</v>
      </c>
      <c r="F2615" t="s">
        <v>1598</v>
      </c>
    </row>
    <row r="2616" spans="1:6">
      <c r="A2616">
        <v>83</v>
      </c>
      <c r="B2616" t="s">
        <v>1767</v>
      </c>
      <c r="C2616">
        <v>253121</v>
      </c>
      <c r="D2616" t="s">
        <v>1599</v>
      </c>
      <c r="E2616" t="s">
        <v>1600</v>
      </c>
      <c r="F2616" t="s">
        <v>1601</v>
      </c>
    </row>
    <row r="2617" spans="1:6">
      <c r="A2617">
        <v>83</v>
      </c>
      <c r="B2617" t="s">
        <v>1767</v>
      </c>
      <c r="C2617">
        <v>10000</v>
      </c>
      <c r="D2617" t="s">
        <v>1269</v>
      </c>
      <c r="E2617" t="s">
        <v>1270</v>
      </c>
      <c r="F2617" t="s">
        <v>1601</v>
      </c>
    </row>
    <row r="2618" spans="1:6">
      <c r="A2618">
        <v>83</v>
      </c>
      <c r="B2618" t="s">
        <v>1767</v>
      </c>
      <c r="C2618">
        <v>895000</v>
      </c>
      <c r="D2618" t="s">
        <v>1602</v>
      </c>
      <c r="E2618" t="s">
        <v>1600</v>
      </c>
      <c r="F2618" t="s">
        <v>1603</v>
      </c>
    </row>
    <row r="2619" spans="1:6">
      <c r="A2619">
        <v>83</v>
      </c>
      <c r="B2619" t="s">
        <v>1767</v>
      </c>
      <c r="C2619">
        <v>41007</v>
      </c>
      <c r="D2619" t="s">
        <v>1604</v>
      </c>
      <c r="E2619" t="s">
        <v>1605</v>
      </c>
      <c r="F2619" t="s">
        <v>1606</v>
      </c>
    </row>
    <row r="2620" spans="1:6">
      <c r="A2620">
        <v>83</v>
      </c>
      <c r="B2620" t="s">
        <v>1767</v>
      </c>
      <c r="C2620">
        <v>8065</v>
      </c>
      <c r="D2620" t="s">
        <v>1273</v>
      </c>
      <c r="E2620" t="s">
        <v>1274</v>
      </c>
      <c r="F2620" t="s">
        <v>1275</v>
      </c>
    </row>
    <row r="2621" spans="1:6">
      <c r="A2621">
        <v>83</v>
      </c>
      <c r="B2621" t="s">
        <v>1767</v>
      </c>
      <c r="C2621">
        <v>32009</v>
      </c>
      <c r="D2621" t="s">
        <v>1469</v>
      </c>
      <c r="E2621" t="s">
        <v>1470</v>
      </c>
      <c r="F2621" t="s">
        <v>1471</v>
      </c>
    </row>
    <row r="2622" spans="1:6">
      <c r="A2622">
        <v>83</v>
      </c>
      <c r="B2622" t="s">
        <v>1767</v>
      </c>
      <c r="C2622">
        <v>2373</v>
      </c>
      <c r="D2622" t="s">
        <v>1472</v>
      </c>
      <c r="E2622" t="s">
        <v>1473</v>
      </c>
      <c r="F2622" t="s">
        <v>1474</v>
      </c>
    </row>
    <row r="2623" spans="1:6">
      <c r="A2623">
        <v>83</v>
      </c>
      <c r="B2623" t="s">
        <v>1767</v>
      </c>
      <c r="C2623">
        <v>48838.14</v>
      </c>
      <c r="D2623" t="s">
        <v>1379</v>
      </c>
      <c r="E2623" t="s">
        <v>1380</v>
      </c>
      <c r="F2623" t="s">
        <v>1381</v>
      </c>
    </row>
    <row r="2624" spans="1:6">
      <c r="A2624">
        <v>83</v>
      </c>
      <c r="B2624" t="s">
        <v>1767</v>
      </c>
      <c r="C2624">
        <v>43536.53</v>
      </c>
      <c r="D2624" t="s">
        <v>1475</v>
      </c>
      <c r="E2624" t="s">
        <v>1476</v>
      </c>
      <c r="F2624" t="s">
        <v>1477</v>
      </c>
    </row>
    <row r="2625" spans="1:6">
      <c r="A2625">
        <v>83</v>
      </c>
      <c r="B2625" t="s">
        <v>1767</v>
      </c>
      <c r="C2625">
        <v>62532.28</v>
      </c>
      <c r="D2625" t="s">
        <v>1478</v>
      </c>
      <c r="E2625" t="s">
        <v>1479</v>
      </c>
      <c r="F2625" t="s">
        <v>1480</v>
      </c>
    </row>
    <row r="2626" spans="1:6">
      <c r="A2626">
        <v>83</v>
      </c>
      <c r="B2626" t="s">
        <v>1767</v>
      </c>
      <c r="C2626">
        <v>591002.07999999996</v>
      </c>
      <c r="D2626" t="s">
        <v>1365</v>
      </c>
      <c r="E2626" t="s">
        <v>1366</v>
      </c>
      <c r="F2626" t="s">
        <v>1367</v>
      </c>
    </row>
    <row r="2627" spans="1:6">
      <c r="A2627">
        <v>83</v>
      </c>
      <c r="B2627" t="s">
        <v>1767</v>
      </c>
      <c r="C2627">
        <v>2059291</v>
      </c>
      <c r="D2627" t="s">
        <v>1607</v>
      </c>
      <c r="E2627" t="s">
        <v>1608</v>
      </c>
      <c r="F2627" t="s">
        <v>1609</v>
      </c>
    </row>
    <row r="2628" spans="1:6">
      <c r="A2628">
        <v>83</v>
      </c>
      <c r="B2628" t="s">
        <v>1767</v>
      </c>
      <c r="C2628">
        <v>20278107</v>
      </c>
      <c r="D2628" t="s">
        <v>1610</v>
      </c>
      <c r="E2628" t="s">
        <v>1481</v>
      </c>
      <c r="F2628" t="s">
        <v>1482</v>
      </c>
    </row>
    <row r="2629" spans="1:6">
      <c r="A2629">
        <v>84</v>
      </c>
      <c r="B2629" t="s">
        <v>1768</v>
      </c>
      <c r="C2629">
        <v>29736</v>
      </c>
      <c r="D2629" t="s">
        <v>1489</v>
      </c>
      <c r="E2629" t="s">
        <v>1490</v>
      </c>
      <c r="F2629" t="s">
        <v>1491</v>
      </c>
    </row>
    <row r="2630" spans="1:6">
      <c r="A2630">
        <v>84</v>
      </c>
      <c r="B2630" t="s">
        <v>1768</v>
      </c>
      <c r="C2630">
        <v>102250</v>
      </c>
      <c r="D2630" t="s">
        <v>1404</v>
      </c>
      <c r="E2630" t="s">
        <v>1405</v>
      </c>
      <c r="F2630" t="s">
        <v>1406</v>
      </c>
    </row>
    <row r="2631" spans="1:6">
      <c r="A2631">
        <v>84</v>
      </c>
      <c r="B2631" t="s">
        <v>1768</v>
      </c>
      <c r="C2631">
        <v>162627</v>
      </c>
      <c r="D2631" t="s">
        <v>1567</v>
      </c>
      <c r="E2631" t="s">
        <v>1568</v>
      </c>
      <c r="F2631" t="s">
        <v>1569</v>
      </c>
    </row>
    <row r="2632" spans="1:6">
      <c r="A2632">
        <v>84</v>
      </c>
      <c r="B2632" t="s">
        <v>1768</v>
      </c>
      <c r="C2632">
        <v>83146</v>
      </c>
      <c r="D2632" t="s">
        <v>1496</v>
      </c>
      <c r="E2632" t="s">
        <v>1497</v>
      </c>
      <c r="F2632" t="s">
        <v>1498</v>
      </c>
    </row>
    <row r="2633" spans="1:6">
      <c r="A2633">
        <v>84</v>
      </c>
      <c r="B2633" t="s">
        <v>1768</v>
      </c>
      <c r="C2633">
        <v>9793722</v>
      </c>
      <c r="D2633" t="s">
        <v>1570</v>
      </c>
      <c r="E2633" t="s">
        <v>1571</v>
      </c>
      <c r="F2633" t="s">
        <v>1572</v>
      </c>
    </row>
    <row r="2634" spans="1:6">
      <c r="A2634">
        <v>84</v>
      </c>
      <c r="B2634" t="s">
        <v>1768</v>
      </c>
      <c r="C2634">
        <v>6000</v>
      </c>
      <c r="D2634" t="s">
        <v>1515</v>
      </c>
      <c r="E2634" t="s">
        <v>1516</v>
      </c>
      <c r="F2634" t="s">
        <v>1517</v>
      </c>
    </row>
    <row r="2635" spans="1:6">
      <c r="A2635">
        <v>84</v>
      </c>
      <c r="B2635" t="s">
        <v>1768</v>
      </c>
      <c r="C2635">
        <v>1119</v>
      </c>
      <c r="D2635" t="s">
        <v>1518</v>
      </c>
      <c r="E2635" t="s">
        <v>1516</v>
      </c>
      <c r="F2635" t="s">
        <v>1519</v>
      </c>
    </row>
    <row r="2636" spans="1:6">
      <c r="A2636">
        <v>84</v>
      </c>
      <c r="B2636" t="s">
        <v>1768</v>
      </c>
      <c r="C2636">
        <v>238454</v>
      </c>
      <c r="D2636" t="s">
        <v>1520</v>
      </c>
      <c r="E2636" t="s">
        <v>1521</v>
      </c>
      <c r="F2636" t="s">
        <v>1522</v>
      </c>
    </row>
    <row r="2637" spans="1:6">
      <c r="A2637">
        <v>84</v>
      </c>
      <c r="B2637" t="s">
        <v>1768</v>
      </c>
      <c r="C2637">
        <v>249116</v>
      </c>
      <c r="D2637" t="s">
        <v>1573</v>
      </c>
      <c r="E2637" t="s">
        <v>1574</v>
      </c>
      <c r="F2637" t="s">
        <v>1575</v>
      </c>
    </row>
    <row r="2638" spans="1:6">
      <c r="A2638">
        <v>84</v>
      </c>
      <c r="B2638" t="s">
        <v>1768</v>
      </c>
      <c r="C2638">
        <v>4896</v>
      </c>
      <c r="D2638" t="s">
        <v>1523</v>
      </c>
      <c r="E2638" t="s">
        <v>1521</v>
      </c>
      <c r="F2638" t="s">
        <v>1524</v>
      </c>
    </row>
    <row r="2639" spans="1:6">
      <c r="A2639">
        <v>84</v>
      </c>
      <c r="B2639" t="s">
        <v>1768</v>
      </c>
      <c r="C2639">
        <v>6142</v>
      </c>
      <c r="D2639" t="s">
        <v>1371</v>
      </c>
      <c r="E2639" t="s">
        <v>1372</v>
      </c>
      <c r="F2639" t="s">
        <v>1373</v>
      </c>
    </row>
    <row r="2640" spans="1:6">
      <c r="A2640">
        <v>84</v>
      </c>
      <c r="B2640" t="s">
        <v>1768</v>
      </c>
      <c r="C2640">
        <v>37519</v>
      </c>
      <c r="D2640" t="s">
        <v>1525</v>
      </c>
      <c r="E2640" t="s">
        <v>1526</v>
      </c>
      <c r="F2640" t="s">
        <v>1527</v>
      </c>
    </row>
    <row r="2641" spans="1:6">
      <c r="A2641">
        <v>84</v>
      </c>
      <c r="B2641" t="s">
        <v>1768</v>
      </c>
      <c r="C2641">
        <v>37303</v>
      </c>
      <c r="D2641" t="s">
        <v>1528</v>
      </c>
      <c r="E2641" t="s">
        <v>1529</v>
      </c>
      <c r="F2641" t="s">
        <v>1530</v>
      </c>
    </row>
    <row r="2642" spans="1:6">
      <c r="A2642">
        <v>84</v>
      </c>
      <c r="B2642" t="s">
        <v>1768</v>
      </c>
      <c r="C2642">
        <v>42000</v>
      </c>
      <c r="D2642" t="s">
        <v>1531</v>
      </c>
      <c r="E2642" t="s">
        <v>1532</v>
      </c>
      <c r="F2642" t="s">
        <v>1533</v>
      </c>
    </row>
    <row r="2643" spans="1:6">
      <c r="A2643">
        <v>84</v>
      </c>
      <c r="B2643" t="s">
        <v>1768</v>
      </c>
      <c r="C2643">
        <v>15840</v>
      </c>
      <c r="D2643" t="s">
        <v>1387</v>
      </c>
      <c r="E2643" t="s">
        <v>1388</v>
      </c>
      <c r="F2643" t="s">
        <v>1389</v>
      </c>
    </row>
    <row r="2644" spans="1:6">
      <c r="A2644">
        <v>84</v>
      </c>
      <c r="B2644" t="s">
        <v>1768</v>
      </c>
      <c r="C2644">
        <v>24794.14</v>
      </c>
      <c r="D2644" t="s">
        <v>1537</v>
      </c>
      <c r="E2644" t="s">
        <v>1538</v>
      </c>
      <c r="F2644" t="s">
        <v>1539</v>
      </c>
    </row>
    <row r="2645" spans="1:6">
      <c r="A2645">
        <v>84</v>
      </c>
      <c r="B2645" t="s">
        <v>1768</v>
      </c>
      <c r="C2645">
        <v>59834.54</v>
      </c>
      <c r="D2645" t="s">
        <v>1540</v>
      </c>
      <c r="E2645" t="s">
        <v>1538</v>
      </c>
      <c r="F2645" t="s">
        <v>1541</v>
      </c>
    </row>
    <row r="2646" spans="1:6">
      <c r="A2646">
        <v>84</v>
      </c>
      <c r="B2646" t="s">
        <v>1768</v>
      </c>
      <c r="C2646">
        <v>146139.92000000001</v>
      </c>
      <c r="D2646" t="s">
        <v>1431</v>
      </c>
      <c r="E2646" t="s">
        <v>1432</v>
      </c>
      <c r="F2646" t="s">
        <v>1433</v>
      </c>
    </row>
    <row r="2647" spans="1:6">
      <c r="A2647">
        <v>84</v>
      </c>
      <c r="B2647" t="s">
        <v>1768</v>
      </c>
      <c r="C2647">
        <v>321197.02</v>
      </c>
      <c r="D2647" t="s">
        <v>1434</v>
      </c>
      <c r="E2647" t="s">
        <v>1432</v>
      </c>
      <c r="F2647" t="s">
        <v>1435</v>
      </c>
    </row>
    <row r="2648" spans="1:6">
      <c r="A2648">
        <v>84</v>
      </c>
      <c r="B2648" t="s">
        <v>1768</v>
      </c>
      <c r="C2648">
        <v>90032</v>
      </c>
      <c r="D2648" t="s">
        <v>1576</v>
      </c>
      <c r="E2648" t="s">
        <v>1577</v>
      </c>
      <c r="F2648" t="s">
        <v>1578</v>
      </c>
    </row>
    <row r="2649" spans="1:6">
      <c r="A2649">
        <v>84</v>
      </c>
      <c r="B2649" t="s">
        <v>1768</v>
      </c>
      <c r="C2649">
        <v>340000</v>
      </c>
      <c r="D2649" t="s">
        <v>1579</v>
      </c>
      <c r="E2649" t="s">
        <v>1577</v>
      </c>
      <c r="F2649" t="s">
        <v>1580</v>
      </c>
    </row>
    <row r="2650" spans="1:6">
      <c r="A2650">
        <v>84</v>
      </c>
      <c r="B2650" t="s">
        <v>1768</v>
      </c>
      <c r="C2650">
        <v>62246</v>
      </c>
      <c r="D2650" t="s">
        <v>1436</v>
      </c>
      <c r="E2650" t="s">
        <v>1437</v>
      </c>
      <c r="F2650" t="s">
        <v>1438</v>
      </c>
    </row>
    <row r="2651" spans="1:6">
      <c r="A2651">
        <v>84</v>
      </c>
      <c r="B2651" t="s">
        <v>1768</v>
      </c>
      <c r="C2651">
        <v>7500</v>
      </c>
      <c r="D2651" t="s">
        <v>1442</v>
      </c>
      <c r="E2651" t="s">
        <v>1582</v>
      </c>
      <c r="F2651" t="s">
        <v>1443</v>
      </c>
    </row>
    <row r="2652" spans="1:6">
      <c r="A2652">
        <v>84</v>
      </c>
      <c r="B2652" t="s">
        <v>1768</v>
      </c>
      <c r="C2652">
        <v>768</v>
      </c>
      <c r="D2652" t="s">
        <v>1581</v>
      </c>
      <c r="E2652" t="s">
        <v>1582</v>
      </c>
      <c r="F2652" t="s">
        <v>1583</v>
      </c>
    </row>
    <row r="2653" spans="1:6">
      <c r="A2653">
        <v>84</v>
      </c>
      <c r="B2653" t="s">
        <v>1768</v>
      </c>
      <c r="C2653">
        <v>76095</v>
      </c>
      <c r="D2653" t="s">
        <v>1584</v>
      </c>
      <c r="E2653" t="s">
        <v>1585</v>
      </c>
      <c r="F2653" t="s">
        <v>1586</v>
      </c>
    </row>
    <row r="2654" spans="1:6">
      <c r="A2654">
        <v>84</v>
      </c>
      <c r="B2654" t="s">
        <v>1768</v>
      </c>
      <c r="C2654">
        <v>101125</v>
      </c>
      <c r="D2654" t="s">
        <v>1587</v>
      </c>
      <c r="E2654" t="s">
        <v>1585</v>
      </c>
      <c r="F2654" t="s">
        <v>1588</v>
      </c>
    </row>
    <row r="2655" spans="1:6">
      <c r="A2655">
        <v>84</v>
      </c>
      <c r="B2655" t="s">
        <v>1768</v>
      </c>
      <c r="C2655">
        <v>14170</v>
      </c>
      <c r="D2655" t="s">
        <v>1454</v>
      </c>
      <c r="E2655" t="s">
        <v>1455</v>
      </c>
      <c r="F2655" t="s">
        <v>1456</v>
      </c>
    </row>
    <row r="2656" spans="1:6">
      <c r="A2656">
        <v>84</v>
      </c>
      <c r="B2656" t="s">
        <v>1768</v>
      </c>
      <c r="C2656">
        <v>16000</v>
      </c>
      <c r="D2656" t="s">
        <v>1457</v>
      </c>
      <c r="E2656" t="s">
        <v>1455</v>
      </c>
      <c r="F2656" t="s">
        <v>1458</v>
      </c>
    </row>
    <row r="2657" spans="1:6">
      <c r="A2657">
        <v>84</v>
      </c>
      <c r="B2657" t="s">
        <v>1768</v>
      </c>
      <c r="C2657">
        <v>8000</v>
      </c>
      <c r="D2657" t="s">
        <v>1589</v>
      </c>
      <c r="E2657" t="s">
        <v>1590</v>
      </c>
      <c r="F2657" t="s">
        <v>1591</v>
      </c>
    </row>
    <row r="2658" spans="1:6">
      <c r="A2658">
        <v>84</v>
      </c>
      <c r="B2658" t="s">
        <v>1768</v>
      </c>
      <c r="C2658">
        <v>18000</v>
      </c>
      <c r="D2658" t="s">
        <v>1592</v>
      </c>
      <c r="E2658" t="s">
        <v>1590</v>
      </c>
      <c r="F2658" t="s">
        <v>1593</v>
      </c>
    </row>
    <row r="2659" spans="1:6">
      <c r="A2659">
        <v>84</v>
      </c>
      <c r="B2659" t="s">
        <v>1768</v>
      </c>
      <c r="C2659">
        <v>7800</v>
      </c>
      <c r="D2659" t="s">
        <v>1594</v>
      </c>
      <c r="E2659" t="s">
        <v>1595</v>
      </c>
      <c r="F2659" t="s">
        <v>1596</v>
      </c>
    </row>
    <row r="2660" spans="1:6">
      <c r="A2660">
        <v>84</v>
      </c>
      <c r="B2660" t="s">
        <v>1768</v>
      </c>
      <c r="C2660">
        <v>1819</v>
      </c>
      <c r="D2660" t="s">
        <v>1597</v>
      </c>
      <c r="E2660" t="s">
        <v>1595</v>
      </c>
      <c r="F2660" t="s">
        <v>1598</v>
      </c>
    </row>
    <row r="2661" spans="1:6">
      <c r="A2661">
        <v>84</v>
      </c>
      <c r="B2661" t="s">
        <v>1768</v>
      </c>
      <c r="C2661">
        <v>492892</v>
      </c>
      <c r="D2661" t="s">
        <v>1599</v>
      </c>
      <c r="E2661" t="s">
        <v>1600</v>
      </c>
      <c r="F2661" t="s">
        <v>1601</v>
      </c>
    </row>
    <row r="2662" spans="1:6">
      <c r="A2662">
        <v>84</v>
      </c>
      <c r="B2662" t="s">
        <v>1768</v>
      </c>
      <c r="C2662">
        <v>850000</v>
      </c>
      <c r="D2662" t="s">
        <v>1602</v>
      </c>
      <c r="E2662" t="s">
        <v>1600</v>
      </c>
      <c r="F2662" t="s">
        <v>1603</v>
      </c>
    </row>
    <row r="2663" spans="1:6">
      <c r="A2663">
        <v>84</v>
      </c>
      <c r="B2663" t="s">
        <v>1768</v>
      </c>
      <c r="C2663">
        <v>8875</v>
      </c>
      <c r="D2663" t="s">
        <v>1459</v>
      </c>
      <c r="E2663" t="s">
        <v>1605</v>
      </c>
      <c r="F2663" t="s">
        <v>1460</v>
      </c>
    </row>
    <row r="2664" spans="1:6">
      <c r="A2664">
        <v>84</v>
      </c>
      <c r="B2664" t="s">
        <v>1768</v>
      </c>
      <c r="C2664">
        <v>48890</v>
      </c>
      <c r="D2664" t="s">
        <v>1604</v>
      </c>
      <c r="E2664" t="s">
        <v>1605</v>
      </c>
      <c r="F2664" t="s">
        <v>1606</v>
      </c>
    </row>
    <row r="2665" spans="1:6">
      <c r="A2665">
        <v>84</v>
      </c>
      <c r="B2665" t="s">
        <v>1768</v>
      </c>
      <c r="C2665">
        <v>169.6</v>
      </c>
      <c r="D2665" t="s">
        <v>1276</v>
      </c>
      <c r="E2665" t="s">
        <v>1277</v>
      </c>
      <c r="F2665" t="s">
        <v>1278</v>
      </c>
    </row>
    <row r="2666" spans="1:6">
      <c r="A2666">
        <v>84</v>
      </c>
      <c r="B2666" t="s">
        <v>1768</v>
      </c>
      <c r="C2666">
        <v>53186.41</v>
      </c>
      <c r="D2666" t="s">
        <v>1379</v>
      </c>
      <c r="E2666" t="s">
        <v>1380</v>
      </c>
      <c r="F2666" t="s">
        <v>1381</v>
      </c>
    </row>
    <row r="2667" spans="1:6">
      <c r="A2667">
        <v>84</v>
      </c>
      <c r="B2667" t="s">
        <v>1768</v>
      </c>
      <c r="C2667">
        <v>156171.31</v>
      </c>
      <c r="D2667" t="s">
        <v>1475</v>
      </c>
      <c r="E2667" t="s">
        <v>1476</v>
      </c>
      <c r="F2667" t="s">
        <v>1477</v>
      </c>
    </row>
    <row r="2668" spans="1:6">
      <c r="A2668">
        <v>84</v>
      </c>
      <c r="B2668" t="s">
        <v>1768</v>
      </c>
      <c r="C2668">
        <v>673.04</v>
      </c>
      <c r="D2668" t="s">
        <v>1099</v>
      </c>
      <c r="E2668" t="s">
        <v>1479</v>
      </c>
      <c r="F2668" t="s">
        <v>1100</v>
      </c>
    </row>
    <row r="2669" spans="1:6">
      <c r="A2669">
        <v>84</v>
      </c>
      <c r="B2669" t="s">
        <v>1768</v>
      </c>
      <c r="C2669">
        <v>294771.92</v>
      </c>
      <c r="D2669" t="s">
        <v>1478</v>
      </c>
      <c r="E2669" t="s">
        <v>1479</v>
      </c>
      <c r="F2669" t="s">
        <v>1480</v>
      </c>
    </row>
    <row r="2670" spans="1:6">
      <c r="A2670">
        <v>84</v>
      </c>
      <c r="B2670" t="s">
        <v>1768</v>
      </c>
      <c r="C2670">
        <v>402572.86</v>
      </c>
      <c r="D2670" t="s">
        <v>1365</v>
      </c>
      <c r="E2670" t="s">
        <v>1366</v>
      </c>
      <c r="F2670" t="s">
        <v>1367</v>
      </c>
    </row>
    <row r="2671" spans="1:6">
      <c r="A2671">
        <v>84</v>
      </c>
      <c r="B2671" t="s">
        <v>1768</v>
      </c>
      <c r="C2671">
        <v>309575</v>
      </c>
      <c r="D2671" t="s">
        <v>1607</v>
      </c>
      <c r="E2671" t="s">
        <v>1608</v>
      </c>
      <c r="F2671" t="s">
        <v>1609</v>
      </c>
    </row>
    <row r="2672" spans="1:6">
      <c r="A2672">
        <v>84</v>
      </c>
      <c r="B2672" t="s">
        <v>1768</v>
      </c>
      <c r="C2672">
        <v>321716</v>
      </c>
      <c r="D2672" t="s">
        <v>1610</v>
      </c>
      <c r="E2672" t="s">
        <v>1481</v>
      </c>
      <c r="F2672" t="s">
        <v>1482</v>
      </c>
    </row>
    <row r="2673" spans="1:6">
      <c r="A2673">
        <v>85</v>
      </c>
      <c r="B2673" t="s">
        <v>1769</v>
      </c>
      <c r="C2673">
        <v>14019</v>
      </c>
      <c r="D2673" t="s">
        <v>1489</v>
      </c>
      <c r="E2673" t="s">
        <v>1490</v>
      </c>
      <c r="F2673" t="s">
        <v>1491</v>
      </c>
    </row>
    <row r="2674" spans="1:6">
      <c r="A2674">
        <v>85</v>
      </c>
      <c r="B2674" t="s">
        <v>1769</v>
      </c>
      <c r="C2674">
        <v>108576</v>
      </c>
      <c r="D2674" t="s">
        <v>1567</v>
      </c>
      <c r="E2674" t="s">
        <v>1568</v>
      </c>
      <c r="F2674" t="s">
        <v>1569</v>
      </c>
    </row>
    <row r="2675" spans="1:6">
      <c r="A2675">
        <v>85</v>
      </c>
      <c r="B2675" t="s">
        <v>1769</v>
      </c>
      <c r="C2675">
        <v>6501</v>
      </c>
      <c r="D2675" t="s">
        <v>1496</v>
      </c>
      <c r="E2675" t="s">
        <v>1497</v>
      </c>
      <c r="F2675" t="s">
        <v>1498</v>
      </c>
    </row>
    <row r="2676" spans="1:6">
      <c r="A2676">
        <v>85</v>
      </c>
      <c r="B2676" t="s">
        <v>1769</v>
      </c>
      <c r="C2676">
        <v>5696181</v>
      </c>
      <c r="D2676" t="s">
        <v>1570</v>
      </c>
      <c r="E2676" t="s">
        <v>1571</v>
      </c>
      <c r="F2676" t="s">
        <v>1572</v>
      </c>
    </row>
    <row r="2677" spans="1:6">
      <c r="A2677">
        <v>85</v>
      </c>
      <c r="B2677" t="s">
        <v>1769</v>
      </c>
      <c r="C2677">
        <v>37568</v>
      </c>
      <c r="D2677" t="s">
        <v>1382</v>
      </c>
      <c r="E2677" t="s">
        <v>1383</v>
      </c>
      <c r="F2677" t="s">
        <v>1384</v>
      </c>
    </row>
    <row r="2678" spans="1:6">
      <c r="A2678">
        <v>85</v>
      </c>
      <c r="B2678" t="s">
        <v>1769</v>
      </c>
      <c r="C2678">
        <v>141700</v>
      </c>
      <c r="D2678" t="s">
        <v>1520</v>
      </c>
      <c r="E2678" t="s">
        <v>1521</v>
      </c>
      <c r="F2678" t="s">
        <v>1522</v>
      </c>
    </row>
    <row r="2679" spans="1:6">
      <c r="A2679">
        <v>85</v>
      </c>
      <c r="B2679" t="s">
        <v>1769</v>
      </c>
      <c r="C2679">
        <v>393207</v>
      </c>
      <c r="D2679" t="s">
        <v>1573</v>
      </c>
      <c r="E2679" t="s">
        <v>1574</v>
      </c>
      <c r="F2679" t="s">
        <v>1575</v>
      </c>
    </row>
    <row r="2680" spans="1:6">
      <c r="A2680">
        <v>85</v>
      </c>
      <c r="B2680" t="s">
        <v>1769</v>
      </c>
      <c r="C2680">
        <v>6558</v>
      </c>
      <c r="D2680" t="s">
        <v>1525</v>
      </c>
      <c r="E2680" t="s">
        <v>1526</v>
      </c>
      <c r="F2680" t="s">
        <v>1527</v>
      </c>
    </row>
    <row r="2681" spans="1:6">
      <c r="A2681">
        <v>85</v>
      </c>
      <c r="B2681" t="s">
        <v>1769</v>
      </c>
      <c r="C2681">
        <v>30217</v>
      </c>
      <c r="D2681" t="s">
        <v>1531</v>
      </c>
      <c r="E2681" t="s">
        <v>1532</v>
      </c>
      <c r="F2681" t="s">
        <v>1533</v>
      </c>
    </row>
    <row r="2682" spans="1:6">
      <c r="A2682">
        <v>85</v>
      </c>
      <c r="B2682" t="s">
        <v>1769</v>
      </c>
      <c r="C2682">
        <v>52000</v>
      </c>
      <c r="D2682" t="s">
        <v>1387</v>
      </c>
      <c r="E2682" t="s">
        <v>1388</v>
      </c>
      <c r="F2682" t="s">
        <v>1389</v>
      </c>
    </row>
    <row r="2683" spans="1:6">
      <c r="A2683">
        <v>85</v>
      </c>
      <c r="B2683" t="s">
        <v>1769</v>
      </c>
      <c r="C2683">
        <v>31660.37</v>
      </c>
      <c r="D2683" t="s">
        <v>1431</v>
      </c>
      <c r="E2683" t="s">
        <v>1432</v>
      </c>
      <c r="F2683" t="s">
        <v>1433</v>
      </c>
    </row>
    <row r="2684" spans="1:6">
      <c r="A2684">
        <v>85</v>
      </c>
      <c r="B2684" t="s">
        <v>1769</v>
      </c>
      <c r="C2684">
        <v>79155.490000000005</v>
      </c>
      <c r="D2684" t="s">
        <v>1434</v>
      </c>
      <c r="E2684" t="s">
        <v>1432</v>
      </c>
      <c r="F2684" t="s">
        <v>1435</v>
      </c>
    </row>
    <row r="2685" spans="1:6">
      <c r="A2685">
        <v>85</v>
      </c>
      <c r="B2685" t="s">
        <v>1769</v>
      </c>
      <c r="C2685">
        <v>70300</v>
      </c>
      <c r="D2685" t="s">
        <v>1579</v>
      </c>
      <c r="E2685" t="s">
        <v>1577</v>
      </c>
      <c r="F2685" t="s">
        <v>1580</v>
      </c>
    </row>
    <row r="2686" spans="1:6">
      <c r="A2686">
        <v>85</v>
      </c>
      <c r="B2686" t="s">
        <v>1769</v>
      </c>
      <c r="C2686">
        <v>24549</v>
      </c>
      <c r="D2686" t="s">
        <v>1436</v>
      </c>
      <c r="E2686" t="s">
        <v>1437</v>
      </c>
      <c r="F2686" t="s">
        <v>1438</v>
      </c>
    </row>
    <row r="2687" spans="1:6">
      <c r="A2687">
        <v>85</v>
      </c>
      <c r="B2687" t="s">
        <v>1769</v>
      </c>
      <c r="C2687">
        <v>645</v>
      </c>
      <c r="D2687" t="s">
        <v>1581</v>
      </c>
      <c r="E2687" t="s">
        <v>1582</v>
      </c>
      <c r="F2687" t="s">
        <v>1583</v>
      </c>
    </row>
    <row r="2688" spans="1:6">
      <c r="A2688">
        <v>85</v>
      </c>
      <c r="B2688" t="s">
        <v>1769</v>
      </c>
      <c r="C2688">
        <v>14916</v>
      </c>
      <c r="D2688" t="s">
        <v>1584</v>
      </c>
      <c r="E2688" t="s">
        <v>1585</v>
      </c>
      <c r="F2688" t="s">
        <v>1586</v>
      </c>
    </row>
    <row r="2689" spans="1:6">
      <c r="A2689">
        <v>85</v>
      </c>
      <c r="B2689" t="s">
        <v>1769</v>
      </c>
      <c r="C2689">
        <v>40000</v>
      </c>
      <c r="D2689" t="s">
        <v>1587</v>
      </c>
      <c r="E2689" t="s">
        <v>1585</v>
      </c>
      <c r="F2689" t="s">
        <v>1588</v>
      </c>
    </row>
    <row r="2690" spans="1:6">
      <c r="A2690">
        <v>85</v>
      </c>
      <c r="B2690" t="s">
        <v>1769</v>
      </c>
      <c r="C2690">
        <v>8510</v>
      </c>
      <c r="D2690" t="s">
        <v>1592</v>
      </c>
      <c r="E2690" t="s">
        <v>1590</v>
      </c>
      <c r="F2690" t="s">
        <v>1593</v>
      </c>
    </row>
    <row r="2691" spans="1:6">
      <c r="A2691">
        <v>85</v>
      </c>
      <c r="B2691" t="s">
        <v>1769</v>
      </c>
      <c r="C2691">
        <v>3977</v>
      </c>
      <c r="D2691" t="s">
        <v>1597</v>
      </c>
      <c r="E2691" t="s">
        <v>1595</v>
      </c>
      <c r="F2691" t="s">
        <v>1598</v>
      </c>
    </row>
    <row r="2692" spans="1:6">
      <c r="A2692">
        <v>85</v>
      </c>
      <c r="B2692" t="s">
        <v>1769</v>
      </c>
      <c r="C2692">
        <v>113314</v>
      </c>
      <c r="D2692" t="s">
        <v>1599</v>
      </c>
      <c r="E2692" t="s">
        <v>1600</v>
      </c>
      <c r="F2692" t="s">
        <v>1601</v>
      </c>
    </row>
    <row r="2693" spans="1:6">
      <c r="A2693">
        <v>85</v>
      </c>
      <c r="B2693" t="s">
        <v>1769</v>
      </c>
      <c r="C2693">
        <v>522900</v>
      </c>
      <c r="D2693" t="s">
        <v>1602</v>
      </c>
      <c r="E2693" t="s">
        <v>1600</v>
      </c>
      <c r="F2693" t="s">
        <v>1603</v>
      </c>
    </row>
    <row r="2694" spans="1:6">
      <c r="A2694">
        <v>85</v>
      </c>
      <c r="B2694" t="s">
        <v>1769</v>
      </c>
      <c r="C2694">
        <v>5096</v>
      </c>
      <c r="D2694" t="s">
        <v>1459</v>
      </c>
      <c r="E2694" t="s">
        <v>1605</v>
      </c>
      <c r="F2694" t="s">
        <v>1460</v>
      </c>
    </row>
    <row r="2695" spans="1:6">
      <c r="A2695">
        <v>85</v>
      </c>
      <c r="B2695" t="s">
        <v>1769</v>
      </c>
      <c r="C2695">
        <v>22200</v>
      </c>
      <c r="D2695" t="s">
        <v>1604</v>
      </c>
      <c r="E2695" t="s">
        <v>1605</v>
      </c>
      <c r="F2695" t="s">
        <v>1606</v>
      </c>
    </row>
    <row r="2696" spans="1:6">
      <c r="A2696">
        <v>85</v>
      </c>
      <c r="B2696" t="s">
        <v>1769</v>
      </c>
      <c r="C2696">
        <v>92938.61</v>
      </c>
      <c r="D2696" t="s">
        <v>1379</v>
      </c>
      <c r="E2696" t="s">
        <v>1380</v>
      </c>
      <c r="F2696" t="s">
        <v>1381</v>
      </c>
    </row>
    <row r="2697" spans="1:6">
      <c r="A2697">
        <v>85</v>
      </c>
      <c r="B2697" t="s">
        <v>1769</v>
      </c>
      <c r="C2697">
        <v>91482.62</v>
      </c>
      <c r="D2697" t="s">
        <v>1475</v>
      </c>
      <c r="E2697" t="s">
        <v>1476</v>
      </c>
      <c r="F2697" t="s">
        <v>1477</v>
      </c>
    </row>
    <row r="2698" spans="1:6">
      <c r="A2698">
        <v>85</v>
      </c>
      <c r="B2698" t="s">
        <v>1769</v>
      </c>
      <c r="C2698">
        <v>74301.33</v>
      </c>
      <c r="D2698" t="s">
        <v>1478</v>
      </c>
      <c r="E2698" t="s">
        <v>1479</v>
      </c>
      <c r="F2698" t="s">
        <v>1480</v>
      </c>
    </row>
    <row r="2699" spans="1:6">
      <c r="A2699">
        <v>85</v>
      </c>
      <c r="B2699" t="s">
        <v>1769</v>
      </c>
      <c r="C2699">
        <v>341372.87</v>
      </c>
      <c r="D2699" t="s">
        <v>1365</v>
      </c>
      <c r="E2699" t="s">
        <v>1366</v>
      </c>
      <c r="F2699" t="s">
        <v>1367</v>
      </c>
    </row>
    <row r="2700" spans="1:6">
      <c r="A2700">
        <v>86</v>
      </c>
      <c r="B2700" t="s">
        <v>1770</v>
      </c>
      <c r="C2700">
        <v>20530</v>
      </c>
      <c r="D2700" t="s">
        <v>1486</v>
      </c>
      <c r="E2700" t="s">
        <v>1487</v>
      </c>
      <c r="F2700" t="s">
        <v>1488</v>
      </c>
    </row>
    <row r="2701" spans="1:6">
      <c r="A2701">
        <v>86</v>
      </c>
      <c r="B2701" t="s">
        <v>1770</v>
      </c>
      <c r="C2701">
        <v>12003</v>
      </c>
      <c r="D2701" t="s">
        <v>1489</v>
      </c>
      <c r="E2701" t="s">
        <v>1490</v>
      </c>
      <c r="F2701" t="s">
        <v>1491</v>
      </c>
    </row>
    <row r="2702" spans="1:6">
      <c r="A2702">
        <v>86</v>
      </c>
      <c r="B2702" t="s">
        <v>1770</v>
      </c>
      <c r="C2702">
        <v>421477</v>
      </c>
      <c r="D2702" t="s">
        <v>1567</v>
      </c>
      <c r="E2702" t="s">
        <v>1568</v>
      </c>
      <c r="F2702" t="s">
        <v>1569</v>
      </c>
    </row>
    <row r="2703" spans="1:6">
      <c r="A2703">
        <v>86</v>
      </c>
      <c r="B2703" t="s">
        <v>1770</v>
      </c>
      <c r="C2703">
        <v>20892</v>
      </c>
      <c r="D2703" t="s">
        <v>1496</v>
      </c>
      <c r="E2703" t="s">
        <v>1497</v>
      </c>
      <c r="F2703" t="s">
        <v>1498</v>
      </c>
    </row>
    <row r="2704" spans="1:6">
      <c r="A2704">
        <v>86</v>
      </c>
      <c r="B2704" t="s">
        <v>1770</v>
      </c>
      <c r="C2704">
        <v>10788065</v>
      </c>
      <c r="D2704" t="s">
        <v>1570</v>
      </c>
      <c r="E2704" t="s">
        <v>1571</v>
      </c>
      <c r="F2704" t="s">
        <v>1572</v>
      </c>
    </row>
    <row r="2705" spans="1:6">
      <c r="A2705">
        <v>86</v>
      </c>
      <c r="B2705" t="s">
        <v>1770</v>
      </c>
      <c r="C2705">
        <v>3937</v>
      </c>
      <c r="D2705" t="s">
        <v>1327</v>
      </c>
      <c r="E2705" t="s">
        <v>1328</v>
      </c>
      <c r="F2705" t="s">
        <v>1329</v>
      </c>
    </row>
    <row r="2706" spans="1:6">
      <c r="A2706">
        <v>86</v>
      </c>
      <c r="B2706" t="s">
        <v>1770</v>
      </c>
      <c r="C2706">
        <v>89116</v>
      </c>
      <c r="D2706" t="s">
        <v>1520</v>
      </c>
      <c r="E2706" t="s">
        <v>1521</v>
      </c>
      <c r="F2706" t="s">
        <v>1522</v>
      </c>
    </row>
    <row r="2707" spans="1:6">
      <c r="A2707">
        <v>86</v>
      </c>
      <c r="B2707" t="s">
        <v>1770</v>
      </c>
      <c r="C2707">
        <v>58961</v>
      </c>
      <c r="D2707" t="s">
        <v>1573</v>
      </c>
      <c r="E2707" t="s">
        <v>1574</v>
      </c>
      <c r="F2707" t="s">
        <v>1575</v>
      </c>
    </row>
    <row r="2708" spans="1:6">
      <c r="A2708">
        <v>86</v>
      </c>
      <c r="B2708" t="s">
        <v>1770</v>
      </c>
      <c r="C2708">
        <v>13524</v>
      </c>
      <c r="D2708" t="s">
        <v>1525</v>
      </c>
      <c r="E2708" t="s">
        <v>1526</v>
      </c>
      <c r="F2708" t="s">
        <v>1527</v>
      </c>
    </row>
    <row r="2709" spans="1:6">
      <c r="A2709">
        <v>86</v>
      </c>
      <c r="B2709" t="s">
        <v>1770</v>
      </c>
      <c r="C2709">
        <v>18257</v>
      </c>
      <c r="D2709" t="s">
        <v>1528</v>
      </c>
      <c r="E2709" t="s">
        <v>1529</v>
      </c>
      <c r="F2709" t="s">
        <v>1530</v>
      </c>
    </row>
    <row r="2710" spans="1:6">
      <c r="A2710">
        <v>86</v>
      </c>
      <c r="B2710" t="s">
        <v>1770</v>
      </c>
      <c r="C2710">
        <v>54600</v>
      </c>
      <c r="D2710" t="s">
        <v>1387</v>
      </c>
      <c r="E2710" t="s">
        <v>1388</v>
      </c>
      <c r="F2710" t="s">
        <v>1389</v>
      </c>
    </row>
    <row r="2711" spans="1:6">
      <c r="A2711">
        <v>86</v>
      </c>
      <c r="B2711" t="s">
        <v>1770</v>
      </c>
      <c r="C2711">
        <v>25000</v>
      </c>
      <c r="D2711" t="s">
        <v>1207</v>
      </c>
      <c r="E2711" t="s">
        <v>1350</v>
      </c>
      <c r="F2711" t="s">
        <v>1351</v>
      </c>
    </row>
    <row r="2712" spans="1:6">
      <c r="A2712">
        <v>86</v>
      </c>
      <c r="B2712" t="s">
        <v>1770</v>
      </c>
      <c r="C2712">
        <v>70748</v>
      </c>
      <c r="D2712" t="s">
        <v>1390</v>
      </c>
      <c r="E2712" t="s">
        <v>1391</v>
      </c>
      <c r="F2712" t="s">
        <v>1392</v>
      </c>
    </row>
    <row r="2713" spans="1:6">
      <c r="A2713">
        <v>86</v>
      </c>
      <c r="B2713" t="s">
        <v>1770</v>
      </c>
      <c r="C2713">
        <v>8195.6</v>
      </c>
      <c r="D2713" t="s">
        <v>1537</v>
      </c>
      <c r="E2713" t="s">
        <v>1538</v>
      </c>
      <c r="F2713" t="s">
        <v>1539</v>
      </c>
    </row>
    <row r="2714" spans="1:6">
      <c r="A2714">
        <v>86</v>
      </c>
      <c r="B2714" t="s">
        <v>1770</v>
      </c>
      <c r="C2714">
        <v>23660.13</v>
      </c>
      <c r="D2714" t="s">
        <v>1540</v>
      </c>
      <c r="E2714" t="s">
        <v>1538</v>
      </c>
      <c r="F2714" t="s">
        <v>1541</v>
      </c>
    </row>
    <row r="2715" spans="1:6">
      <c r="A2715">
        <v>86</v>
      </c>
      <c r="B2715" t="s">
        <v>1770</v>
      </c>
      <c r="C2715">
        <v>48222.76</v>
      </c>
      <c r="D2715" t="s">
        <v>1431</v>
      </c>
      <c r="E2715" t="s">
        <v>1432</v>
      </c>
      <c r="F2715" t="s">
        <v>1433</v>
      </c>
    </row>
    <row r="2716" spans="1:6">
      <c r="A2716">
        <v>86</v>
      </c>
      <c r="B2716" t="s">
        <v>1770</v>
      </c>
      <c r="C2716">
        <v>138923.73000000001</v>
      </c>
      <c r="D2716" t="s">
        <v>1434</v>
      </c>
      <c r="E2716" t="s">
        <v>1432</v>
      </c>
      <c r="F2716" t="s">
        <v>1435</v>
      </c>
    </row>
    <row r="2717" spans="1:6">
      <c r="A2717">
        <v>86</v>
      </c>
      <c r="B2717" t="s">
        <v>1770</v>
      </c>
      <c r="C2717">
        <v>261426</v>
      </c>
      <c r="D2717" t="s">
        <v>1579</v>
      </c>
      <c r="E2717" t="s">
        <v>1577</v>
      </c>
      <c r="F2717" t="s">
        <v>1580</v>
      </c>
    </row>
    <row r="2718" spans="1:6">
      <c r="A2718">
        <v>86</v>
      </c>
      <c r="B2718" t="s">
        <v>1770</v>
      </c>
      <c r="C2718">
        <v>24680</v>
      </c>
      <c r="D2718" t="s">
        <v>1436</v>
      </c>
      <c r="E2718" t="s">
        <v>1437</v>
      </c>
      <c r="F2718" t="s">
        <v>1438</v>
      </c>
    </row>
    <row r="2719" spans="1:6">
      <c r="A2719">
        <v>86</v>
      </c>
      <c r="B2719" t="s">
        <v>1770</v>
      </c>
      <c r="C2719">
        <v>2003</v>
      </c>
      <c r="D2719" t="s">
        <v>1581</v>
      </c>
      <c r="E2719" t="s">
        <v>1582</v>
      </c>
      <c r="F2719" t="s">
        <v>1583</v>
      </c>
    </row>
    <row r="2720" spans="1:6">
      <c r="A2720">
        <v>86</v>
      </c>
      <c r="B2720" t="s">
        <v>1770</v>
      </c>
      <c r="C2720">
        <v>20100</v>
      </c>
      <c r="D2720" t="s">
        <v>1584</v>
      </c>
      <c r="E2720" t="s">
        <v>1585</v>
      </c>
      <c r="F2720" t="s">
        <v>1586</v>
      </c>
    </row>
    <row r="2721" spans="1:6">
      <c r="A2721">
        <v>86</v>
      </c>
      <c r="B2721" t="s">
        <v>1770</v>
      </c>
      <c r="C2721">
        <v>85400</v>
      </c>
      <c r="D2721" t="s">
        <v>1587</v>
      </c>
      <c r="E2721" t="s">
        <v>1585</v>
      </c>
      <c r="F2721" t="s">
        <v>1588</v>
      </c>
    </row>
    <row r="2722" spans="1:6">
      <c r="A2722">
        <v>86</v>
      </c>
      <c r="B2722" t="s">
        <v>1770</v>
      </c>
      <c r="C2722">
        <v>12606</v>
      </c>
      <c r="D2722" t="s">
        <v>1457</v>
      </c>
      <c r="E2722" t="s">
        <v>1455</v>
      </c>
      <c r="F2722" t="s">
        <v>1458</v>
      </c>
    </row>
    <row r="2723" spans="1:6">
      <c r="A2723">
        <v>86</v>
      </c>
      <c r="B2723" t="s">
        <v>1770</v>
      </c>
      <c r="C2723">
        <v>2016</v>
      </c>
      <c r="D2723" t="s">
        <v>1589</v>
      </c>
      <c r="E2723" t="s">
        <v>1590</v>
      </c>
      <c r="F2723" t="s">
        <v>1591</v>
      </c>
    </row>
    <row r="2724" spans="1:6">
      <c r="A2724">
        <v>86</v>
      </c>
      <c r="B2724" t="s">
        <v>1770</v>
      </c>
      <c r="C2724">
        <v>10451</v>
      </c>
      <c r="D2724" t="s">
        <v>1592</v>
      </c>
      <c r="E2724" t="s">
        <v>1590</v>
      </c>
      <c r="F2724" t="s">
        <v>1593</v>
      </c>
    </row>
    <row r="2725" spans="1:6">
      <c r="A2725">
        <v>86</v>
      </c>
      <c r="B2725" t="s">
        <v>1770</v>
      </c>
      <c r="C2725">
        <v>5386</v>
      </c>
      <c r="D2725" t="s">
        <v>1597</v>
      </c>
      <c r="E2725" t="s">
        <v>1595</v>
      </c>
      <c r="F2725" t="s">
        <v>1598</v>
      </c>
    </row>
    <row r="2726" spans="1:6">
      <c r="A2726">
        <v>86</v>
      </c>
      <c r="B2726" t="s">
        <v>1770</v>
      </c>
      <c r="C2726">
        <v>592684</v>
      </c>
      <c r="D2726" t="s">
        <v>1602</v>
      </c>
      <c r="E2726" t="s">
        <v>1600</v>
      </c>
      <c r="F2726" t="s">
        <v>1603</v>
      </c>
    </row>
    <row r="2727" spans="1:6">
      <c r="A2727">
        <v>86</v>
      </c>
      <c r="B2727" t="s">
        <v>1770</v>
      </c>
      <c r="C2727">
        <v>15829</v>
      </c>
      <c r="D2727" t="s">
        <v>1604</v>
      </c>
      <c r="E2727" t="s">
        <v>1605</v>
      </c>
      <c r="F2727" t="s">
        <v>1606</v>
      </c>
    </row>
    <row r="2728" spans="1:6">
      <c r="A2728">
        <v>86</v>
      </c>
      <c r="B2728" t="s">
        <v>1770</v>
      </c>
      <c r="C2728">
        <v>26345.48</v>
      </c>
      <c r="D2728" t="s">
        <v>1379</v>
      </c>
      <c r="E2728" t="s">
        <v>1380</v>
      </c>
      <c r="F2728" t="s">
        <v>1381</v>
      </c>
    </row>
    <row r="2729" spans="1:6">
      <c r="A2729">
        <v>86</v>
      </c>
      <c r="B2729" t="s">
        <v>1770</v>
      </c>
      <c r="C2729">
        <v>155860.34</v>
      </c>
      <c r="D2729" t="s">
        <v>1475</v>
      </c>
      <c r="E2729" t="s">
        <v>1476</v>
      </c>
      <c r="F2729" t="s">
        <v>1477</v>
      </c>
    </row>
    <row r="2730" spans="1:6">
      <c r="A2730">
        <v>86</v>
      </c>
      <c r="B2730" t="s">
        <v>1770</v>
      </c>
      <c r="C2730">
        <v>532274.22</v>
      </c>
      <c r="D2730" t="s">
        <v>1365</v>
      </c>
      <c r="E2730" t="s">
        <v>1366</v>
      </c>
      <c r="F2730" t="s">
        <v>1367</v>
      </c>
    </row>
    <row r="2731" spans="1:6">
      <c r="A2731">
        <v>86</v>
      </c>
      <c r="B2731" t="s">
        <v>1770</v>
      </c>
      <c r="C2731">
        <v>2893120</v>
      </c>
      <c r="D2731" t="s">
        <v>1607</v>
      </c>
      <c r="E2731" t="s">
        <v>1608</v>
      </c>
      <c r="F2731" t="s">
        <v>1609</v>
      </c>
    </row>
    <row r="2732" spans="1:6">
      <c r="A2732">
        <v>86</v>
      </c>
      <c r="B2732" t="s">
        <v>1770</v>
      </c>
      <c r="C2732">
        <v>8129921</v>
      </c>
      <c r="D2732" t="s">
        <v>1610</v>
      </c>
      <c r="E2732" t="s">
        <v>1481</v>
      </c>
      <c r="F2732" t="s">
        <v>1482</v>
      </c>
    </row>
    <row r="2733" spans="1:6">
      <c r="A2733">
        <v>87</v>
      </c>
      <c r="B2733" t="s">
        <v>1101</v>
      </c>
      <c r="C2733">
        <v>603682</v>
      </c>
      <c r="D2733" t="s">
        <v>1570</v>
      </c>
      <c r="E2733" t="s">
        <v>1571</v>
      </c>
      <c r="F2733" t="s">
        <v>1572</v>
      </c>
    </row>
    <row r="2734" spans="1:6">
      <c r="A2734">
        <v>87</v>
      </c>
      <c r="B2734" t="s">
        <v>1101</v>
      </c>
      <c r="C2734">
        <v>1656</v>
      </c>
      <c r="D2734" t="s">
        <v>1371</v>
      </c>
      <c r="E2734" t="s">
        <v>1372</v>
      </c>
      <c r="F2734" t="s">
        <v>1373</v>
      </c>
    </row>
    <row r="2735" spans="1:6">
      <c r="A2735">
        <v>88</v>
      </c>
      <c r="B2735" t="s">
        <v>1771</v>
      </c>
      <c r="C2735">
        <v>20031</v>
      </c>
      <c r="D2735" t="s">
        <v>1489</v>
      </c>
      <c r="E2735" t="s">
        <v>1490</v>
      </c>
      <c r="F2735" t="s">
        <v>1491</v>
      </c>
    </row>
    <row r="2736" spans="1:6">
      <c r="A2736">
        <v>88</v>
      </c>
      <c r="B2736" t="s">
        <v>1771</v>
      </c>
      <c r="C2736">
        <v>683598</v>
      </c>
      <c r="D2736" t="s">
        <v>1567</v>
      </c>
      <c r="E2736" t="s">
        <v>1568</v>
      </c>
      <c r="F2736" t="s">
        <v>1569</v>
      </c>
    </row>
    <row r="2737" spans="1:6">
      <c r="A2737">
        <v>88</v>
      </c>
      <c r="B2737" t="s">
        <v>1771</v>
      </c>
      <c r="C2737">
        <v>29844</v>
      </c>
      <c r="D2737" t="s">
        <v>1496</v>
      </c>
      <c r="E2737" t="s">
        <v>1497</v>
      </c>
      <c r="F2737" t="s">
        <v>1498</v>
      </c>
    </row>
    <row r="2738" spans="1:6">
      <c r="A2738">
        <v>88</v>
      </c>
      <c r="B2738" t="s">
        <v>1771</v>
      </c>
      <c r="C2738">
        <v>25850076</v>
      </c>
      <c r="D2738" t="s">
        <v>1570</v>
      </c>
      <c r="E2738" t="s">
        <v>1571</v>
      </c>
      <c r="F2738" t="s">
        <v>1572</v>
      </c>
    </row>
    <row r="2739" spans="1:6">
      <c r="A2739">
        <v>88</v>
      </c>
      <c r="B2739" t="s">
        <v>1771</v>
      </c>
      <c r="C2739">
        <v>11633</v>
      </c>
      <c r="D2739" t="s">
        <v>1515</v>
      </c>
      <c r="E2739" t="s">
        <v>1516</v>
      </c>
      <c r="F2739" t="s">
        <v>1517</v>
      </c>
    </row>
    <row r="2740" spans="1:6">
      <c r="A2740">
        <v>88</v>
      </c>
      <c r="B2740" t="s">
        <v>1771</v>
      </c>
      <c r="C2740">
        <v>2345</v>
      </c>
      <c r="D2740" t="s">
        <v>1518</v>
      </c>
      <c r="E2740" t="s">
        <v>1516</v>
      </c>
      <c r="F2740" t="s">
        <v>1519</v>
      </c>
    </row>
    <row r="2741" spans="1:6">
      <c r="A2741">
        <v>88</v>
      </c>
      <c r="B2741" t="s">
        <v>1771</v>
      </c>
      <c r="C2741">
        <v>462645</v>
      </c>
      <c r="D2741" t="s">
        <v>1520</v>
      </c>
      <c r="E2741" t="s">
        <v>1521</v>
      </c>
      <c r="F2741" t="s">
        <v>1522</v>
      </c>
    </row>
    <row r="2742" spans="1:6">
      <c r="A2742">
        <v>88</v>
      </c>
      <c r="B2742" t="s">
        <v>1771</v>
      </c>
      <c r="C2742">
        <v>98226</v>
      </c>
      <c r="D2742" t="s">
        <v>1216</v>
      </c>
      <c r="E2742" t="s">
        <v>1217</v>
      </c>
      <c r="F2742" t="s">
        <v>1218</v>
      </c>
    </row>
    <row r="2743" spans="1:6">
      <c r="A2743">
        <v>88</v>
      </c>
      <c r="B2743" t="s">
        <v>1771</v>
      </c>
      <c r="C2743">
        <v>182516</v>
      </c>
      <c r="D2743" t="s">
        <v>1573</v>
      </c>
      <c r="E2743" t="s">
        <v>1574</v>
      </c>
      <c r="F2743" t="s">
        <v>1575</v>
      </c>
    </row>
    <row r="2744" spans="1:6">
      <c r="A2744">
        <v>88</v>
      </c>
      <c r="B2744" t="s">
        <v>1771</v>
      </c>
      <c r="C2744">
        <v>89336</v>
      </c>
      <c r="D2744" t="s">
        <v>1523</v>
      </c>
      <c r="E2744" t="s">
        <v>1521</v>
      </c>
      <c r="F2744" t="s">
        <v>1524</v>
      </c>
    </row>
    <row r="2745" spans="1:6">
      <c r="A2745">
        <v>88</v>
      </c>
      <c r="B2745" t="s">
        <v>1771</v>
      </c>
      <c r="C2745">
        <v>52471</v>
      </c>
      <c r="D2745" t="s">
        <v>1525</v>
      </c>
      <c r="E2745" t="s">
        <v>1526</v>
      </c>
      <c r="F2745" t="s">
        <v>1527</v>
      </c>
    </row>
    <row r="2746" spans="1:6">
      <c r="A2746">
        <v>88</v>
      </c>
      <c r="B2746" t="s">
        <v>1771</v>
      </c>
      <c r="C2746">
        <v>26596</v>
      </c>
      <c r="D2746" t="s">
        <v>1528</v>
      </c>
      <c r="E2746" t="s">
        <v>1529</v>
      </c>
      <c r="F2746" t="s">
        <v>1530</v>
      </c>
    </row>
    <row r="2747" spans="1:6">
      <c r="A2747">
        <v>88</v>
      </c>
      <c r="B2747" t="s">
        <v>1771</v>
      </c>
      <c r="C2747">
        <v>100000</v>
      </c>
      <c r="D2747" t="s">
        <v>1204</v>
      </c>
      <c r="E2747" t="s">
        <v>1205</v>
      </c>
      <c r="F2747" t="s">
        <v>1206</v>
      </c>
    </row>
    <row r="2748" spans="1:6">
      <c r="A2748">
        <v>88</v>
      </c>
      <c r="B2748" t="s">
        <v>1771</v>
      </c>
      <c r="C2748">
        <v>77400</v>
      </c>
      <c r="D2748" t="s">
        <v>1387</v>
      </c>
      <c r="E2748" t="s">
        <v>1388</v>
      </c>
      <c r="F2748" t="s">
        <v>1389</v>
      </c>
    </row>
    <row r="2749" spans="1:6">
      <c r="A2749">
        <v>88</v>
      </c>
      <c r="B2749" t="s">
        <v>1771</v>
      </c>
      <c r="C2749">
        <v>1400.46</v>
      </c>
      <c r="D2749" t="s">
        <v>1374</v>
      </c>
      <c r="E2749" t="s">
        <v>1375</v>
      </c>
      <c r="F2749" t="s">
        <v>1376</v>
      </c>
    </row>
    <row r="2750" spans="1:6">
      <c r="A2750">
        <v>88</v>
      </c>
      <c r="B2750" t="s">
        <v>1771</v>
      </c>
      <c r="C2750">
        <v>2420.58</v>
      </c>
      <c r="D2750" t="s">
        <v>1377</v>
      </c>
      <c r="E2750" t="s">
        <v>1375</v>
      </c>
      <c r="F2750" t="s">
        <v>1378</v>
      </c>
    </row>
    <row r="2751" spans="1:6">
      <c r="A2751">
        <v>88</v>
      </c>
      <c r="B2751" t="s">
        <v>1771</v>
      </c>
      <c r="C2751">
        <v>12038.65</v>
      </c>
      <c r="D2751" t="s">
        <v>1537</v>
      </c>
      <c r="E2751" t="s">
        <v>1538</v>
      </c>
      <c r="F2751" t="s">
        <v>1539</v>
      </c>
    </row>
    <row r="2752" spans="1:6">
      <c r="A2752">
        <v>88</v>
      </c>
      <c r="B2752" t="s">
        <v>1771</v>
      </c>
      <c r="C2752">
        <v>32857.08</v>
      </c>
      <c r="D2752" t="s">
        <v>1540</v>
      </c>
      <c r="E2752" t="s">
        <v>1538</v>
      </c>
      <c r="F2752" t="s">
        <v>1541</v>
      </c>
    </row>
    <row r="2753" spans="1:6">
      <c r="A2753">
        <v>88</v>
      </c>
      <c r="B2753" t="s">
        <v>1771</v>
      </c>
      <c r="C2753">
        <v>14635</v>
      </c>
      <c r="D2753" t="s">
        <v>1220</v>
      </c>
      <c r="E2753" t="s">
        <v>1221</v>
      </c>
      <c r="F2753" t="s">
        <v>1222</v>
      </c>
    </row>
    <row r="2754" spans="1:6">
      <c r="A2754">
        <v>88</v>
      </c>
      <c r="B2754" t="s">
        <v>1771</v>
      </c>
      <c r="C2754">
        <v>0</v>
      </c>
      <c r="D2754" t="s">
        <v>1190</v>
      </c>
      <c r="E2754" t="s">
        <v>1221</v>
      </c>
      <c r="F2754" t="s">
        <v>1222</v>
      </c>
    </row>
    <row r="2755" spans="1:6">
      <c r="A2755">
        <v>88</v>
      </c>
      <c r="B2755" t="s">
        <v>1771</v>
      </c>
      <c r="C2755">
        <v>7017</v>
      </c>
      <c r="D2755" t="s">
        <v>1223</v>
      </c>
      <c r="E2755" t="s">
        <v>1221</v>
      </c>
      <c r="F2755" t="s">
        <v>1224</v>
      </c>
    </row>
    <row r="2756" spans="1:6">
      <c r="A2756">
        <v>88</v>
      </c>
      <c r="B2756" t="s">
        <v>1771</v>
      </c>
      <c r="C2756">
        <v>29386</v>
      </c>
      <c r="D2756" t="s">
        <v>1191</v>
      </c>
      <c r="E2756" t="s">
        <v>1221</v>
      </c>
      <c r="F2756" t="s">
        <v>1224</v>
      </c>
    </row>
    <row r="2757" spans="1:6">
      <c r="A2757">
        <v>88</v>
      </c>
      <c r="B2757" t="s">
        <v>1771</v>
      </c>
      <c r="C2757">
        <v>1021</v>
      </c>
      <c r="D2757" t="s">
        <v>1225</v>
      </c>
      <c r="E2757" t="s">
        <v>1226</v>
      </c>
      <c r="F2757" t="s">
        <v>1227</v>
      </c>
    </row>
    <row r="2758" spans="1:6">
      <c r="A2758">
        <v>88</v>
      </c>
      <c r="B2758" t="s">
        <v>1771</v>
      </c>
      <c r="C2758">
        <v>1844</v>
      </c>
      <c r="D2758" t="s">
        <v>1228</v>
      </c>
      <c r="E2758" t="s">
        <v>1226</v>
      </c>
      <c r="F2758" t="s">
        <v>1229</v>
      </c>
    </row>
    <row r="2759" spans="1:6">
      <c r="A2759">
        <v>88</v>
      </c>
      <c r="B2759" t="s">
        <v>1771</v>
      </c>
      <c r="C2759">
        <v>164875.60999999999</v>
      </c>
      <c r="D2759" t="s">
        <v>1431</v>
      </c>
      <c r="E2759" t="s">
        <v>1432</v>
      </c>
      <c r="F2759" t="s">
        <v>1433</v>
      </c>
    </row>
    <row r="2760" spans="1:6">
      <c r="A2760">
        <v>88</v>
      </c>
      <c r="B2760" t="s">
        <v>1771</v>
      </c>
      <c r="C2760">
        <v>368619.24</v>
      </c>
      <c r="D2760" t="s">
        <v>1434</v>
      </c>
      <c r="E2760" t="s">
        <v>1432</v>
      </c>
      <c r="F2760" t="s">
        <v>1435</v>
      </c>
    </row>
    <row r="2761" spans="1:6">
      <c r="A2761">
        <v>88</v>
      </c>
      <c r="B2761" t="s">
        <v>1771</v>
      </c>
      <c r="C2761">
        <v>88969</v>
      </c>
      <c r="D2761" t="s">
        <v>1576</v>
      </c>
      <c r="E2761" t="s">
        <v>1577</v>
      </c>
      <c r="F2761" t="s">
        <v>1578</v>
      </c>
    </row>
    <row r="2762" spans="1:6">
      <c r="A2762">
        <v>88</v>
      </c>
      <c r="B2762" t="s">
        <v>1771</v>
      </c>
      <c r="C2762">
        <v>330000</v>
      </c>
      <c r="D2762" t="s">
        <v>1579</v>
      </c>
      <c r="E2762" t="s">
        <v>1577</v>
      </c>
      <c r="F2762" t="s">
        <v>1580</v>
      </c>
    </row>
    <row r="2763" spans="1:6">
      <c r="A2763">
        <v>88</v>
      </c>
      <c r="B2763" t="s">
        <v>1771</v>
      </c>
      <c r="C2763">
        <v>52000</v>
      </c>
      <c r="D2763" t="s">
        <v>1436</v>
      </c>
      <c r="E2763" t="s">
        <v>1437</v>
      </c>
      <c r="F2763" t="s">
        <v>1438</v>
      </c>
    </row>
    <row r="2764" spans="1:6">
      <c r="A2764">
        <v>88</v>
      </c>
      <c r="B2764" t="s">
        <v>1771</v>
      </c>
      <c r="C2764">
        <v>195</v>
      </c>
      <c r="D2764" t="s">
        <v>1581</v>
      </c>
      <c r="E2764" t="s">
        <v>1582</v>
      </c>
      <c r="F2764" t="s">
        <v>1583</v>
      </c>
    </row>
    <row r="2765" spans="1:6">
      <c r="A2765">
        <v>88</v>
      </c>
      <c r="B2765" t="s">
        <v>1771</v>
      </c>
      <c r="C2765">
        <v>27536</v>
      </c>
      <c r="D2765" t="s">
        <v>1584</v>
      </c>
      <c r="E2765" t="s">
        <v>1585</v>
      </c>
      <c r="F2765" t="s">
        <v>1586</v>
      </c>
    </row>
    <row r="2766" spans="1:6">
      <c r="A2766">
        <v>88</v>
      </c>
      <c r="B2766" t="s">
        <v>1771</v>
      </c>
      <c r="C2766">
        <v>126000</v>
      </c>
      <c r="D2766" t="s">
        <v>1587</v>
      </c>
      <c r="E2766" t="s">
        <v>1585</v>
      </c>
      <c r="F2766" t="s">
        <v>1588</v>
      </c>
    </row>
    <row r="2767" spans="1:6">
      <c r="A2767">
        <v>88</v>
      </c>
      <c r="B2767" t="s">
        <v>1771</v>
      </c>
      <c r="C2767">
        <v>4050</v>
      </c>
      <c r="D2767" t="s">
        <v>1454</v>
      </c>
      <c r="E2767" t="s">
        <v>1455</v>
      </c>
      <c r="F2767" t="s">
        <v>1456</v>
      </c>
    </row>
    <row r="2768" spans="1:6">
      <c r="A2768">
        <v>88</v>
      </c>
      <c r="B2768" t="s">
        <v>1771</v>
      </c>
      <c r="C2768">
        <v>22500</v>
      </c>
      <c r="D2768" t="s">
        <v>1457</v>
      </c>
      <c r="E2768" t="s">
        <v>1455</v>
      </c>
      <c r="F2768" t="s">
        <v>1458</v>
      </c>
    </row>
    <row r="2769" spans="1:6">
      <c r="A2769">
        <v>88</v>
      </c>
      <c r="B2769" t="s">
        <v>1771</v>
      </c>
      <c r="C2769">
        <v>15000</v>
      </c>
      <c r="D2769" t="s">
        <v>1592</v>
      </c>
      <c r="E2769" t="s">
        <v>1590</v>
      </c>
      <c r="F2769" t="s">
        <v>1593</v>
      </c>
    </row>
    <row r="2770" spans="1:6">
      <c r="A2770">
        <v>88</v>
      </c>
      <c r="B2770" t="s">
        <v>1771</v>
      </c>
      <c r="C2770">
        <v>5800</v>
      </c>
      <c r="D2770" t="s">
        <v>1597</v>
      </c>
      <c r="E2770" t="s">
        <v>1595</v>
      </c>
      <c r="F2770" t="s">
        <v>1598</v>
      </c>
    </row>
    <row r="2771" spans="1:6">
      <c r="A2771">
        <v>88</v>
      </c>
      <c r="B2771" t="s">
        <v>1771</v>
      </c>
      <c r="C2771">
        <v>103395</v>
      </c>
      <c r="D2771" t="s">
        <v>1599</v>
      </c>
      <c r="E2771" t="s">
        <v>1600</v>
      </c>
      <c r="F2771" t="s">
        <v>1601</v>
      </c>
    </row>
    <row r="2772" spans="1:6">
      <c r="A2772">
        <v>88</v>
      </c>
      <c r="B2772" t="s">
        <v>1771</v>
      </c>
      <c r="C2772">
        <v>636500</v>
      </c>
      <c r="D2772" t="s">
        <v>1602</v>
      </c>
      <c r="E2772" t="s">
        <v>1600</v>
      </c>
      <c r="F2772" t="s">
        <v>1603</v>
      </c>
    </row>
    <row r="2773" spans="1:6">
      <c r="A2773">
        <v>88</v>
      </c>
      <c r="B2773" t="s">
        <v>1771</v>
      </c>
      <c r="C2773">
        <v>25736</v>
      </c>
      <c r="D2773" t="s">
        <v>1604</v>
      </c>
      <c r="E2773" t="s">
        <v>1605</v>
      </c>
      <c r="F2773" t="s">
        <v>1606</v>
      </c>
    </row>
    <row r="2774" spans="1:6">
      <c r="A2774">
        <v>88</v>
      </c>
      <c r="B2774" t="s">
        <v>1771</v>
      </c>
      <c r="C2774">
        <v>16329.92</v>
      </c>
      <c r="D2774" t="s">
        <v>1379</v>
      </c>
      <c r="E2774" t="s">
        <v>1380</v>
      </c>
      <c r="F2774" t="s">
        <v>1381</v>
      </c>
    </row>
    <row r="2775" spans="1:6">
      <c r="A2775">
        <v>88</v>
      </c>
      <c r="B2775" t="s">
        <v>1771</v>
      </c>
      <c r="C2775">
        <v>113269.37</v>
      </c>
      <c r="D2775" t="s">
        <v>1475</v>
      </c>
      <c r="E2775" t="s">
        <v>1476</v>
      </c>
      <c r="F2775" t="s">
        <v>1477</v>
      </c>
    </row>
    <row r="2776" spans="1:6">
      <c r="A2776">
        <v>88</v>
      </c>
      <c r="B2776" t="s">
        <v>1771</v>
      </c>
      <c r="C2776">
        <v>212901.48</v>
      </c>
      <c r="D2776" t="s">
        <v>1478</v>
      </c>
      <c r="E2776" t="s">
        <v>1479</v>
      </c>
      <c r="F2776" t="s">
        <v>1480</v>
      </c>
    </row>
    <row r="2777" spans="1:6">
      <c r="A2777">
        <v>88</v>
      </c>
      <c r="B2777" t="s">
        <v>1771</v>
      </c>
      <c r="C2777">
        <v>250246.89</v>
      </c>
      <c r="D2777" t="s">
        <v>1365</v>
      </c>
      <c r="E2777" t="s">
        <v>1366</v>
      </c>
      <c r="F2777" t="s">
        <v>1367</v>
      </c>
    </row>
    <row r="2778" spans="1:6">
      <c r="A2778">
        <v>89</v>
      </c>
      <c r="B2778" t="s">
        <v>1772</v>
      </c>
      <c r="C2778">
        <v>122216</v>
      </c>
      <c r="D2778" t="s">
        <v>1486</v>
      </c>
      <c r="E2778" t="s">
        <v>1487</v>
      </c>
      <c r="F2778" t="s">
        <v>1488</v>
      </c>
    </row>
    <row r="2779" spans="1:6">
      <c r="A2779">
        <v>89</v>
      </c>
      <c r="B2779" t="s">
        <v>1772</v>
      </c>
      <c r="C2779">
        <v>57400</v>
      </c>
      <c r="D2779" t="s">
        <v>1489</v>
      </c>
      <c r="E2779" t="s">
        <v>1490</v>
      </c>
      <c r="F2779" t="s">
        <v>1491</v>
      </c>
    </row>
    <row r="2780" spans="1:6">
      <c r="A2780">
        <v>89</v>
      </c>
      <c r="B2780" t="s">
        <v>1772</v>
      </c>
      <c r="C2780">
        <v>102250</v>
      </c>
      <c r="D2780" t="s">
        <v>1404</v>
      </c>
      <c r="E2780" t="s">
        <v>1405</v>
      </c>
      <c r="F2780" t="s">
        <v>1406</v>
      </c>
    </row>
    <row r="2781" spans="1:6">
      <c r="A2781">
        <v>89</v>
      </c>
      <c r="B2781" t="s">
        <v>1772</v>
      </c>
      <c r="C2781">
        <v>102250</v>
      </c>
      <c r="D2781" t="s">
        <v>1317</v>
      </c>
      <c r="E2781" t="s">
        <v>1405</v>
      </c>
      <c r="F2781" t="s">
        <v>1406</v>
      </c>
    </row>
    <row r="2782" spans="1:6">
      <c r="A2782">
        <v>89</v>
      </c>
      <c r="B2782" t="s">
        <v>1772</v>
      </c>
      <c r="C2782">
        <v>2536830</v>
      </c>
      <c r="D2782" t="s">
        <v>1567</v>
      </c>
      <c r="E2782" t="s">
        <v>1568</v>
      </c>
      <c r="F2782" t="s">
        <v>1569</v>
      </c>
    </row>
    <row r="2783" spans="1:6">
      <c r="A2783">
        <v>89</v>
      </c>
      <c r="B2783" t="s">
        <v>1772</v>
      </c>
      <c r="C2783">
        <v>103380</v>
      </c>
      <c r="D2783" t="s">
        <v>1496</v>
      </c>
      <c r="E2783" t="s">
        <v>1497</v>
      </c>
      <c r="F2783" t="s">
        <v>1498</v>
      </c>
    </row>
    <row r="2784" spans="1:6">
      <c r="A2784">
        <v>89</v>
      </c>
      <c r="B2784" t="s">
        <v>1772</v>
      </c>
      <c r="C2784">
        <v>64079306</v>
      </c>
      <c r="D2784" t="s">
        <v>1570</v>
      </c>
      <c r="E2784" t="s">
        <v>1571</v>
      </c>
      <c r="F2784" t="s">
        <v>1572</v>
      </c>
    </row>
    <row r="2785" spans="1:6">
      <c r="A2785">
        <v>89</v>
      </c>
      <c r="B2785" t="s">
        <v>1772</v>
      </c>
      <c r="C2785">
        <v>160378</v>
      </c>
      <c r="D2785" t="s">
        <v>1327</v>
      </c>
      <c r="E2785" t="s">
        <v>1328</v>
      </c>
      <c r="F2785" t="s">
        <v>1329</v>
      </c>
    </row>
    <row r="2786" spans="1:6">
      <c r="A2786">
        <v>89</v>
      </c>
      <c r="B2786" t="s">
        <v>1772</v>
      </c>
      <c r="C2786">
        <v>2420909</v>
      </c>
      <c r="D2786" t="s">
        <v>1499</v>
      </c>
      <c r="E2786" t="s">
        <v>1500</v>
      </c>
      <c r="F2786" t="s">
        <v>1501</v>
      </c>
    </row>
    <row r="2787" spans="1:6">
      <c r="A2787">
        <v>89</v>
      </c>
      <c r="B2787" t="s">
        <v>1772</v>
      </c>
      <c r="C2787">
        <v>1276939</v>
      </c>
      <c r="D2787" t="s">
        <v>1502</v>
      </c>
      <c r="E2787" t="s">
        <v>1503</v>
      </c>
      <c r="F2787" t="s">
        <v>1504</v>
      </c>
    </row>
    <row r="2788" spans="1:6">
      <c r="A2788">
        <v>89</v>
      </c>
      <c r="B2788" t="s">
        <v>1772</v>
      </c>
      <c r="C2788">
        <v>191788</v>
      </c>
      <c r="D2788" t="s">
        <v>1505</v>
      </c>
      <c r="E2788" t="s">
        <v>1506</v>
      </c>
      <c r="F2788" t="s">
        <v>1507</v>
      </c>
    </row>
    <row r="2789" spans="1:6">
      <c r="A2789">
        <v>89</v>
      </c>
      <c r="B2789" t="s">
        <v>1772</v>
      </c>
      <c r="C2789">
        <v>227543</v>
      </c>
      <c r="D2789" t="s">
        <v>1508</v>
      </c>
      <c r="E2789" t="s">
        <v>1509</v>
      </c>
      <c r="F2789" t="s">
        <v>1510</v>
      </c>
    </row>
    <row r="2790" spans="1:6">
      <c r="A2790">
        <v>89</v>
      </c>
      <c r="B2790" t="s">
        <v>1772</v>
      </c>
      <c r="C2790">
        <v>42000</v>
      </c>
      <c r="D2790" t="s">
        <v>1515</v>
      </c>
      <c r="E2790" t="s">
        <v>1516</v>
      </c>
      <c r="F2790" t="s">
        <v>1517</v>
      </c>
    </row>
    <row r="2791" spans="1:6">
      <c r="A2791">
        <v>89</v>
      </c>
      <c r="B2791" t="s">
        <v>1772</v>
      </c>
      <c r="C2791">
        <v>19406</v>
      </c>
      <c r="D2791" t="s">
        <v>1518</v>
      </c>
      <c r="E2791" t="s">
        <v>1516</v>
      </c>
      <c r="F2791" t="s">
        <v>1519</v>
      </c>
    </row>
    <row r="2792" spans="1:6">
      <c r="A2792">
        <v>89</v>
      </c>
      <c r="B2792" t="s">
        <v>1772</v>
      </c>
      <c r="C2792">
        <v>8065</v>
      </c>
      <c r="D2792" t="s">
        <v>1346</v>
      </c>
      <c r="E2792" t="s">
        <v>1347</v>
      </c>
      <c r="F2792" t="s">
        <v>1348</v>
      </c>
    </row>
    <row r="2793" spans="1:6">
      <c r="A2793">
        <v>89</v>
      </c>
      <c r="B2793" t="s">
        <v>1772</v>
      </c>
      <c r="C2793">
        <v>805785</v>
      </c>
      <c r="D2793" t="s">
        <v>1520</v>
      </c>
      <c r="E2793" t="s">
        <v>1521</v>
      </c>
      <c r="F2793" t="s">
        <v>1522</v>
      </c>
    </row>
    <row r="2794" spans="1:6">
      <c r="A2794">
        <v>89</v>
      </c>
      <c r="B2794" t="s">
        <v>1772</v>
      </c>
      <c r="C2794">
        <v>20844</v>
      </c>
      <c r="D2794" t="s">
        <v>1216</v>
      </c>
      <c r="E2794" t="s">
        <v>1217</v>
      </c>
      <c r="F2794" t="s">
        <v>1218</v>
      </c>
    </row>
    <row r="2795" spans="1:6">
      <c r="A2795">
        <v>89</v>
      </c>
      <c r="B2795" t="s">
        <v>1772</v>
      </c>
      <c r="C2795">
        <v>801957</v>
      </c>
      <c r="D2795" t="s">
        <v>1573</v>
      </c>
      <c r="E2795" t="s">
        <v>1574</v>
      </c>
      <c r="F2795" t="s">
        <v>1575</v>
      </c>
    </row>
    <row r="2796" spans="1:6">
      <c r="A2796">
        <v>89</v>
      </c>
      <c r="B2796" t="s">
        <v>1772</v>
      </c>
      <c r="C2796">
        <v>146759</v>
      </c>
      <c r="D2796" t="s">
        <v>1523</v>
      </c>
      <c r="E2796" t="s">
        <v>1521</v>
      </c>
      <c r="F2796" t="s">
        <v>1524</v>
      </c>
    </row>
    <row r="2797" spans="1:6">
      <c r="A2797">
        <v>89</v>
      </c>
      <c r="B2797" t="s">
        <v>1772</v>
      </c>
      <c r="C2797">
        <v>365966</v>
      </c>
      <c r="D2797" t="s">
        <v>1371</v>
      </c>
      <c r="E2797" t="s">
        <v>1372</v>
      </c>
      <c r="F2797" t="s">
        <v>1373</v>
      </c>
    </row>
    <row r="2798" spans="1:6">
      <c r="A2798">
        <v>89</v>
      </c>
      <c r="B2798" t="s">
        <v>1772</v>
      </c>
      <c r="C2798">
        <v>509907</v>
      </c>
      <c r="D2798" t="s">
        <v>1525</v>
      </c>
      <c r="E2798" t="s">
        <v>1526</v>
      </c>
      <c r="F2798" t="s">
        <v>1527</v>
      </c>
    </row>
    <row r="2799" spans="1:6">
      <c r="A2799">
        <v>89</v>
      </c>
      <c r="B2799" t="s">
        <v>1772</v>
      </c>
      <c r="C2799">
        <v>72782</v>
      </c>
      <c r="D2799" t="s">
        <v>1528</v>
      </c>
      <c r="E2799" t="s">
        <v>1529</v>
      </c>
      <c r="F2799" t="s">
        <v>1530</v>
      </c>
    </row>
    <row r="2800" spans="1:6">
      <c r="A2800">
        <v>89</v>
      </c>
      <c r="B2800" t="s">
        <v>1772</v>
      </c>
      <c r="C2800">
        <v>41600</v>
      </c>
      <c r="D2800" t="s">
        <v>1387</v>
      </c>
      <c r="E2800" t="s">
        <v>1388</v>
      </c>
      <c r="F2800" t="s">
        <v>1389</v>
      </c>
    </row>
    <row r="2801" spans="1:6">
      <c r="A2801">
        <v>89</v>
      </c>
      <c r="B2801" t="s">
        <v>1772</v>
      </c>
      <c r="C2801">
        <v>198078.76</v>
      </c>
      <c r="D2801" t="s">
        <v>1537</v>
      </c>
      <c r="E2801" t="s">
        <v>1538</v>
      </c>
      <c r="F2801" t="s">
        <v>1539</v>
      </c>
    </row>
    <row r="2802" spans="1:6">
      <c r="A2802">
        <v>89</v>
      </c>
      <c r="B2802" t="s">
        <v>1772</v>
      </c>
      <c r="C2802">
        <v>300576.86</v>
      </c>
      <c r="D2802" t="s">
        <v>1540</v>
      </c>
      <c r="E2802" t="s">
        <v>1538</v>
      </c>
      <c r="F2802" t="s">
        <v>1541</v>
      </c>
    </row>
    <row r="2803" spans="1:6">
      <c r="A2803">
        <v>89</v>
      </c>
      <c r="B2803" t="s">
        <v>1772</v>
      </c>
      <c r="C2803">
        <v>804299.26</v>
      </c>
      <c r="D2803" t="s">
        <v>1431</v>
      </c>
      <c r="E2803" t="s">
        <v>1432</v>
      </c>
      <c r="F2803" t="s">
        <v>1433</v>
      </c>
    </row>
    <row r="2804" spans="1:6">
      <c r="A2804">
        <v>89</v>
      </c>
      <c r="B2804" t="s">
        <v>1772</v>
      </c>
      <c r="C2804">
        <v>1496514.76</v>
      </c>
      <c r="D2804" t="s">
        <v>1434</v>
      </c>
      <c r="E2804" t="s">
        <v>1432</v>
      </c>
      <c r="F2804" t="s">
        <v>1435</v>
      </c>
    </row>
    <row r="2805" spans="1:6">
      <c r="A2805">
        <v>89</v>
      </c>
      <c r="B2805" t="s">
        <v>1772</v>
      </c>
      <c r="C2805">
        <v>2293860</v>
      </c>
      <c r="D2805" t="s">
        <v>1576</v>
      </c>
      <c r="E2805" t="s">
        <v>1577</v>
      </c>
      <c r="F2805" t="s">
        <v>1578</v>
      </c>
    </row>
    <row r="2806" spans="1:6">
      <c r="A2806">
        <v>89</v>
      </c>
      <c r="B2806" t="s">
        <v>1772</v>
      </c>
      <c r="C2806">
        <v>1904070</v>
      </c>
      <c r="D2806" t="s">
        <v>1579</v>
      </c>
      <c r="E2806" t="s">
        <v>1577</v>
      </c>
      <c r="F2806" t="s">
        <v>1580</v>
      </c>
    </row>
    <row r="2807" spans="1:6">
      <c r="A2807">
        <v>89</v>
      </c>
      <c r="B2807" t="s">
        <v>1772</v>
      </c>
      <c r="C2807">
        <v>35382</v>
      </c>
      <c r="D2807" t="s">
        <v>1356</v>
      </c>
      <c r="E2807" t="s">
        <v>1357</v>
      </c>
      <c r="F2807" t="s">
        <v>1358</v>
      </c>
    </row>
    <row r="2808" spans="1:6">
      <c r="A2808">
        <v>89</v>
      </c>
      <c r="B2808" t="s">
        <v>1772</v>
      </c>
      <c r="C2808">
        <v>46000</v>
      </c>
      <c r="D2808" t="s">
        <v>1359</v>
      </c>
      <c r="E2808" t="s">
        <v>1357</v>
      </c>
      <c r="F2808" t="s">
        <v>1360</v>
      </c>
    </row>
    <row r="2809" spans="1:6">
      <c r="A2809">
        <v>89</v>
      </c>
      <c r="B2809" t="s">
        <v>1772</v>
      </c>
      <c r="C2809">
        <v>272808</v>
      </c>
      <c r="D2809" t="s">
        <v>1436</v>
      </c>
      <c r="E2809" t="s">
        <v>1437</v>
      </c>
      <c r="F2809" t="s">
        <v>1438</v>
      </c>
    </row>
    <row r="2810" spans="1:6">
      <c r="A2810">
        <v>89</v>
      </c>
      <c r="B2810" t="s">
        <v>1772</v>
      </c>
      <c r="C2810">
        <v>65539</v>
      </c>
      <c r="D2810" t="s">
        <v>1442</v>
      </c>
      <c r="E2810" t="s">
        <v>1582</v>
      </c>
      <c r="F2810" t="s">
        <v>1443</v>
      </c>
    </row>
    <row r="2811" spans="1:6">
      <c r="A2811">
        <v>89</v>
      </c>
      <c r="B2811" t="s">
        <v>1772</v>
      </c>
      <c r="C2811">
        <v>14000</v>
      </c>
      <c r="D2811" t="s">
        <v>1581</v>
      </c>
      <c r="E2811" t="s">
        <v>1582</v>
      </c>
      <c r="F2811" t="s">
        <v>1583</v>
      </c>
    </row>
    <row r="2812" spans="1:6">
      <c r="A2812">
        <v>89</v>
      </c>
      <c r="B2812" t="s">
        <v>1772</v>
      </c>
      <c r="C2812">
        <v>18118</v>
      </c>
      <c r="D2812" t="s">
        <v>1194</v>
      </c>
      <c r="E2812" t="s">
        <v>1265</v>
      </c>
      <c r="F2812" t="s">
        <v>1195</v>
      </c>
    </row>
    <row r="2813" spans="1:6">
      <c r="A2813">
        <v>89</v>
      </c>
      <c r="B2813" t="s">
        <v>1772</v>
      </c>
      <c r="C2813">
        <v>232760</v>
      </c>
      <c r="D2813" t="s">
        <v>1446</v>
      </c>
      <c r="E2813" t="s">
        <v>1447</v>
      </c>
      <c r="F2813" t="s">
        <v>1448</v>
      </c>
    </row>
    <row r="2814" spans="1:6">
      <c r="A2814">
        <v>89</v>
      </c>
      <c r="B2814" t="s">
        <v>1772</v>
      </c>
      <c r="C2814">
        <v>368648</v>
      </c>
      <c r="D2814" t="s">
        <v>1584</v>
      </c>
      <c r="E2814" t="s">
        <v>1585</v>
      </c>
      <c r="F2814" t="s">
        <v>1586</v>
      </c>
    </row>
    <row r="2815" spans="1:6">
      <c r="A2815">
        <v>89</v>
      </c>
      <c r="B2815" t="s">
        <v>1772</v>
      </c>
      <c r="C2815">
        <v>199562</v>
      </c>
      <c r="D2815" t="s">
        <v>1587</v>
      </c>
      <c r="E2815" t="s">
        <v>1585</v>
      </c>
      <c r="F2815" t="s">
        <v>1588</v>
      </c>
    </row>
    <row r="2816" spans="1:6">
      <c r="A2816">
        <v>89</v>
      </c>
      <c r="B2816" t="s">
        <v>1772</v>
      </c>
      <c r="C2816">
        <v>190500</v>
      </c>
      <c r="D2816" t="s">
        <v>1452</v>
      </c>
      <c r="E2816" t="s">
        <v>1450</v>
      </c>
      <c r="F2816" t="s">
        <v>1453</v>
      </c>
    </row>
    <row r="2817" spans="1:6">
      <c r="A2817">
        <v>89</v>
      </c>
      <c r="B2817" t="s">
        <v>1772</v>
      </c>
      <c r="C2817">
        <v>403500</v>
      </c>
      <c r="D2817" t="s">
        <v>1268</v>
      </c>
      <c r="E2817" t="s">
        <v>1450</v>
      </c>
      <c r="F2817" t="s">
        <v>1453</v>
      </c>
    </row>
    <row r="2818" spans="1:6">
      <c r="A2818">
        <v>89</v>
      </c>
      <c r="B2818" t="s">
        <v>1772</v>
      </c>
      <c r="C2818">
        <v>161982</v>
      </c>
      <c r="D2818" t="s">
        <v>1203</v>
      </c>
      <c r="E2818" t="s">
        <v>1450</v>
      </c>
      <c r="F2818" t="s">
        <v>1453</v>
      </c>
    </row>
    <row r="2819" spans="1:6">
      <c r="A2819">
        <v>89</v>
      </c>
      <c r="B2819" t="s">
        <v>1772</v>
      </c>
      <c r="C2819">
        <v>113459</v>
      </c>
      <c r="D2819" t="s">
        <v>1454</v>
      </c>
      <c r="E2819" t="s">
        <v>1455</v>
      </c>
      <c r="F2819" t="s">
        <v>1456</v>
      </c>
    </row>
    <row r="2820" spans="1:6">
      <c r="A2820">
        <v>89</v>
      </c>
      <c r="B2820" t="s">
        <v>1772</v>
      </c>
      <c r="C2820">
        <v>62500</v>
      </c>
      <c r="D2820" t="s">
        <v>1457</v>
      </c>
      <c r="E2820" t="s">
        <v>1455</v>
      </c>
      <c r="F2820" t="s">
        <v>1458</v>
      </c>
    </row>
    <row r="2821" spans="1:6">
      <c r="A2821">
        <v>89</v>
      </c>
      <c r="B2821" t="s">
        <v>1772</v>
      </c>
      <c r="C2821">
        <v>20549</v>
      </c>
      <c r="D2821" t="s">
        <v>1230</v>
      </c>
      <c r="E2821" t="s">
        <v>1288</v>
      </c>
      <c r="F2821" t="s">
        <v>1231</v>
      </c>
    </row>
    <row r="2822" spans="1:6">
      <c r="A2822">
        <v>89</v>
      </c>
      <c r="B2822" t="s">
        <v>1772</v>
      </c>
      <c r="C2822">
        <v>36108</v>
      </c>
      <c r="D2822" t="s">
        <v>1287</v>
      </c>
      <c r="E2822" t="s">
        <v>1288</v>
      </c>
      <c r="F2822" t="s">
        <v>1289</v>
      </c>
    </row>
    <row r="2823" spans="1:6">
      <c r="A2823">
        <v>89</v>
      </c>
      <c r="B2823" t="s">
        <v>1772</v>
      </c>
      <c r="C2823">
        <v>85783</v>
      </c>
      <c r="D2823" t="s">
        <v>1589</v>
      </c>
      <c r="E2823" t="s">
        <v>1590</v>
      </c>
      <c r="F2823" t="s">
        <v>1591</v>
      </c>
    </row>
    <row r="2824" spans="1:6">
      <c r="A2824">
        <v>89</v>
      </c>
      <c r="B2824" t="s">
        <v>1772</v>
      </c>
      <c r="C2824">
        <v>29890</v>
      </c>
      <c r="D2824" t="s">
        <v>1592</v>
      </c>
      <c r="E2824" t="s">
        <v>1590</v>
      </c>
      <c r="F2824" t="s">
        <v>1593</v>
      </c>
    </row>
    <row r="2825" spans="1:6">
      <c r="A2825">
        <v>89</v>
      </c>
      <c r="B2825" t="s">
        <v>1772</v>
      </c>
      <c r="C2825">
        <v>48440</v>
      </c>
      <c r="D2825" t="s">
        <v>1594</v>
      </c>
      <c r="E2825" t="s">
        <v>1595</v>
      </c>
      <c r="F2825" t="s">
        <v>1596</v>
      </c>
    </row>
    <row r="2826" spans="1:6">
      <c r="A2826">
        <v>89</v>
      </c>
      <c r="B2826" t="s">
        <v>1772</v>
      </c>
      <c r="C2826">
        <v>6850</v>
      </c>
      <c r="D2826" t="s">
        <v>1597</v>
      </c>
      <c r="E2826" t="s">
        <v>1595</v>
      </c>
      <c r="F2826" t="s">
        <v>1598</v>
      </c>
    </row>
    <row r="2827" spans="1:6">
      <c r="A2827">
        <v>89</v>
      </c>
      <c r="B2827" t="s">
        <v>1772</v>
      </c>
      <c r="C2827">
        <v>30963</v>
      </c>
      <c r="D2827" t="s">
        <v>1196</v>
      </c>
      <c r="E2827" t="s">
        <v>1197</v>
      </c>
      <c r="F2827" t="s">
        <v>1198</v>
      </c>
    </row>
    <row r="2828" spans="1:6">
      <c r="A2828">
        <v>89</v>
      </c>
      <c r="B2828" t="s">
        <v>1772</v>
      </c>
      <c r="C2828">
        <v>51797</v>
      </c>
      <c r="D2828" t="s">
        <v>1102</v>
      </c>
      <c r="E2828" t="s">
        <v>1197</v>
      </c>
      <c r="F2828" t="s">
        <v>1103</v>
      </c>
    </row>
    <row r="2829" spans="1:6">
      <c r="A2829">
        <v>89</v>
      </c>
      <c r="B2829" t="s">
        <v>1772</v>
      </c>
      <c r="C2829">
        <v>1947995</v>
      </c>
      <c r="D2829" t="s">
        <v>1599</v>
      </c>
      <c r="E2829" t="s">
        <v>1600</v>
      </c>
      <c r="F2829" t="s">
        <v>1601</v>
      </c>
    </row>
    <row r="2830" spans="1:6">
      <c r="A2830">
        <v>89</v>
      </c>
      <c r="B2830" t="s">
        <v>1772</v>
      </c>
      <c r="C2830">
        <v>8381</v>
      </c>
      <c r="D2830" t="s">
        <v>1269</v>
      </c>
      <c r="E2830" t="s">
        <v>1270</v>
      </c>
      <c r="F2830" t="s">
        <v>1601</v>
      </c>
    </row>
    <row r="2831" spans="1:6">
      <c r="A2831">
        <v>89</v>
      </c>
      <c r="B2831" t="s">
        <v>1772</v>
      </c>
      <c r="C2831">
        <v>414000</v>
      </c>
      <c r="D2831" t="s">
        <v>1602</v>
      </c>
      <c r="E2831" t="s">
        <v>1600</v>
      </c>
      <c r="F2831" t="s">
        <v>1603</v>
      </c>
    </row>
    <row r="2832" spans="1:6">
      <c r="A2832">
        <v>89</v>
      </c>
      <c r="B2832" t="s">
        <v>1772</v>
      </c>
      <c r="C2832">
        <v>8945</v>
      </c>
      <c r="D2832" t="s">
        <v>1459</v>
      </c>
      <c r="E2832" t="s">
        <v>1605</v>
      </c>
      <c r="F2832" t="s">
        <v>1460</v>
      </c>
    </row>
    <row r="2833" spans="1:6">
      <c r="A2833">
        <v>89</v>
      </c>
      <c r="B2833" t="s">
        <v>1772</v>
      </c>
      <c r="C2833">
        <v>71972</v>
      </c>
      <c r="D2833" t="s">
        <v>1604</v>
      </c>
      <c r="E2833" t="s">
        <v>1605</v>
      </c>
      <c r="F2833" t="s">
        <v>1606</v>
      </c>
    </row>
    <row r="2834" spans="1:6">
      <c r="A2834">
        <v>89</v>
      </c>
      <c r="B2834" t="s">
        <v>1772</v>
      </c>
      <c r="C2834">
        <v>138322</v>
      </c>
      <c r="D2834" t="s">
        <v>1464</v>
      </c>
      <c r="E2834" t="s">
        <v>1462</v>
      </c>
      <c r="F2834" t="s">
        <v>1465</v>
      </c>
    </row>
    <row r="2835" spans="1:6">
      <c r="A2835">
        <v>89</v>
      </c>
      <c r="B2835" t="s">
        <v>1772</v>
      </c>
      <c r="C2835">
        <v>83898</v>
      </c>
      <c r="D2835" t="s">
        <v>1273</v>
      </c>
      <c r="E2835" t="s">
        <v>1274</v>
      </c>
      <c r="F2835" t="s">
        <v>1275</v>
      </c>
    </row>
    <row r="2836" spans="1:6">
      <c r="A2836">
        <v>89</v>
      </c>
      <c r="B2836" t="s">
        <v>1772</v>
      </c>
      <c r="C2836">
        <v>67184</v>
      </c>
      <c r="D2836" t="s">
        <v>1469</v>
      </c>
      <c r="E2836" t="s">
        <v>1470</v>
      </c>
      <c r="F2836" t="s">
        <v>1471</v>
      </c>
    </row>
    <row r="2837" spans="1:6">
      <c r="A2837">
        <v>89</v>
      </c>
      <c r="B2837" t="s">
        <v>1772</v>
      </c>
      <c r="C2837">
        <v>68272.3</v>
      </c>
      <c r="D2837" t="s">
        <v>1379</v>
      </c>
      <c r="E2837" t="s">
        <v>1380</v>
      </c>
      <c r="F2837" t="s">
        <v>1381</v>
      </c>
    </row>
    <row r="2838" spans="1:6">
      <c r="A2838">
        <v>89</v>
      </c>
      <c r="B2838" t="s">
        <v>1772</v>
      </c>
      <c r="C2838">
        <v>1008659.57</v>
      </c>
      <c r="D2838" t="s">
        <v>1475</v>
      </c>
      <c r="E2838" t="s">
        <v>1476</v>
      </c>
      <c r="F2838" t="s">
        <v>1477</v>
      </c>
    </row>
    <row r="2839" spans="1:6">
      <c r="A2839">
        <v>89</v>
      </c>
      <c r="B2839" t="s">
        <v>1772</v>
      </c>
      <c r="C2839">
        <v>387247.19</v>
      </c>
      <c r="D2839" t="s">
        <v>1478</v>
      </c>
      <c r="E2839" t="s">
        <v>1479</v>
      </c>
      <c r="F2839" t="s">
        <v>1480</v>
      </c>
    </row>
    <row r="2840" spans="1:6">
      <c r="A2840">
        <v>89</v>
      </c>
      <c r="B2840" t="s">
        <v>1772</v>
      </c>
      <c r="C2840">
        <v>3505130.77</v>
      </c>
      <c r="D2840" t="s">
        <v>1365</v>
      </c>
      <c r="E2840" t="s">
        <v>1366</v>
      </c>
      <c r="F2840" t="s">
        <v>1367</v>
      </c>
    </row>
    <row r="2841" spans="1:6">
      <c r="A2841">
        <v>89</v>
      </c>
      <c r="B2841" t="s">
        <v>1772</v>
      </c>
      <c r="C2841">
        <v>3344683</v>
      </c>
      <c r="D2841" t="s">
        <v>1607</v>
      </c>
      <c r="E2841" t="s">
        <v>1608</v>
      </c>
      <c r="F2841" t="s">
        <v>1609</v>
      </c>
    </row>
    <row r="2842" spans="1:6">
      <c r="A2842">
        <v>89</v>
      </c>
      <c r="B2842" t="s">
        <v>1772</v>
      </c>
      <c r="C2842">
        <v>2545337</v>
      </c>
      <c r="D2842" t="s">
        <v>1610</v>
      </c>
      <c r="E2842" t="s">
        <v>1481</v>
      </c>
      <c r="F2842" t="s">
        <v>1482</v>
      </c>
    </row>
    <row r="2843" spans="1:6">
      <c r="A2843">
        <v>90</v>
      </c>
      <c r="B2843" t="s">
        <v>1773</v>
      </c>
      <c r="C2843">
        <v>722</v>
      </c>
      <c r="D2843" t="s">
        <v>1567</v>
      </c>
      <c r="E2843" t="s">
        <v>1568</v>
      </c>
      <c r="F2843" t="s">
        <v>1569</v>
      </c>
    </row>
    <row r="2844" spans="1:6">
      <c r="A2844">
        <v>90</v>
      </c>
      <c r="B2844" t="s">
        <v>1773</v>
      </c>
      <c r="C2844">
        <v>16009</v>
      </c>
      <c r="D2844" t="s">
        <v>1496</v>
      </c>
      <c r="E2844" t="s">
        <v>1497</v>
      </c>
      <c r="F2844" t="s">
        <v>1498</v>
      </c>
    </row>
    <row r="2845" spans="1:6">
      <c r="A2845">
        <v>90</v>
      </c>
      <c r="B2845" t="s">
        <v>1773</v>
      </c>
      <c r="C2845">
        <v>1011944</v>
      </c>
      <c r="D2845" t="s">
        <v>1570</v>
      </c>
      <c r="E2845" t="s">
        <v>1571</v>
      </c>
      <c r="F2845" t="s">
        <v>1572</v>
      </c>
    </row>
    <row r="2846" spans="1:6">
      <c r="A2846">
        <v>90</v>
      </c>
      <c r="B2846" t="s">
        <v>1773</v>
      </c>
      <c r="C2846">
        <v>120479</v>
      </c>
      <c r="D2846" t="s">
        <v>1382</v>
      </c>
      <c r="E2846" t="s">
        <v>1383</v>
      </c>
      <c r="F2846" t="s">
        <v>1384</v>
      </c>
    </row>
    <row r="2847" spans="1:6">
      <c r="A2847">
        <v>90</v>
      </c>
      <c r="B2847" t="s">
        <v>1773</v>
      </c>
      <c r="C2847">
        <v>48367</v>
      </c>
      <c r="D2847" t="s">
        <v>1338</v>
      </c>
      <c r="E2847" t="s">
        <v>1383</v>
      </c>
      <c r="F2847" t="s">
        <v>1384</v>
      </c>
    </row>
    <row r="2848" spans="1:6">
      <c r="A2848">
        <v>90</v>
      </c>
      <c r="B2848" t="s">
        <v>1773</v>
      </c>
      <c r="C2848">
        <v>62456</v>
      </c>
      <c r="D2848" t="s">
        <v>1520</v>
      </c>
      <c r="E2848" t="s">
        <v>1521</v>
      </c>
      <c r="F2848" t="s">
        <v>1522</v>
      </c>
    </row>
    <row r="2849" spans="1:6">
      <c r="A2849">
        <v>90</v>
      </c>
      <c r="B2849" t="s">
        <v>1773</v>
      </c>
      <c r="C2849">
        <v>623698</v>
      </c>
      <c r="D2849" t="s">
        <v>1573</v>
      </c>
      <c r="E2849" t="s">
        <v>1574</v>
      </c>
      <c r="F2849" t="s">
        <v>1575</v>
      </c>
    </row>
    <row r="2850" spans="1:6">
      <c r="A2850">
        <v>90</v>
      </c>
      <c r="B2850" t="s">
        <v>1773</v>
      </c>
      <c r="C2850">
        <v>15489</v>
      </c>
      <c r="D2850" t="s">
        <v>1371</v>
      </c>
      <c r="E2850" t="s">
        <v>1372</v>
      </c>
      <c r="F2850" t="s">
        <v>1373</v>
      </c>
    </row>
    <row r="2851" spans="1:6">
      <c r="A2851">
        <v>90</v>
      </c>
      <c r="B2851" t="s">
        <v>1773</v>
      </c>
      <c r="C2851">
        <v>14410</v>
      </c>
      <c r="D2851" t="s">
        <v>1528</v>
      </c>
      <c r="E2851" t="s">
        <v>1529</v>
      </c>
      <c r="F2851" t="s">
        <v>1530</v>
      </c>
    </row>
    <row r="2852" spans="1:6">
      <c r="A2852">
        <v>90</v>
      </c>
      <c r="B2852" t="s">
        <v>1773</v>
      </c>
      <c r="C2852">
        <v>910</v>
      </c>
      <c r="D2852" t="s">
        <v>1387</v>
      </c>
      <c r="E2852" t="s">
        <v>1388</v>
      </c>
      <c r="F2852" t="s">
        <v>1389</v>
      </c>
    </row>
    <row r="2853" spans="1:6">
      <c r="A2853">
        <v>90</v>
      </c>
      <c r="B2853" t="s">
        <v>1773</v>
      </c>
      <c r="C2853">
        <v>23411</v>
      </c>
      <c r="D2853" t="s">
        <v>1436</v>
      </c>
      <c r="E2853" t="s">
        <v>1437</v>
      </c>
      <c r="F2853" t="s">
        <v>1438</v>
      </c>
    </row>
    <row r="2854" spans="1:6">
      <c r="A2854">
        <v>90</v>
      </c>
      <c r="B2854" t="s">
        <v>1773</v>
      </c>
      <c r="C2854">
        <v>72604</v>
      </c>
      <c r="D2854" t="s">
        <v>1587</v>
      </c>
      <c r="E2854" t="s">
        <v>1585</v>
      </c>
      <c r="F2854" t="s">
        <v>1588</v>
      </c>
    </row>
    <row r="2855" spans="1:6">
      <c r="A2855">
        <v>90</v>
      </c>
      <c r="B2855" t="s">
        <v>1773</v>
      </c>
      <c r="C2855">
        <v>8539</v>
      </c>
      <c r="D2855" t="s">
        <v>1592</v>
      </c>
      <c r="E2855" t="s">
        <v>1590</v>
      </c>
      <c r="F2855" t="s">
        <v>1593</v>
      </c>
    </row>
    <row r="2856" spans="1:6">
      <c r="A2856">
        <v>90</v>
      </c>
      <c r="B2856" t="s">
        <v>1773</v>
      </c>
      <c r="C2856">
        <v>1578</v>
      </c>
      <c r="D2856" t="s">
        <v>1597</v>
      </c>
      <c r="E2856" t="s">
        <v>1595</v>
      </c>
      <c r="F2856" t="s">
        <v>1598</v>
      </c>
    </row>
    <row r="2857" spans="1:6">
      <c r="A2857">
        <v>90</v>
      </c>
      <c r="B2857" t="s">
        <v>1773</v>
      </c>
      <c r="C2857">
        <v>323709</v>
      </c>
      <c r="D2857" t="s">
        <v>1599</v>
      </c>
      <c r="E2857" t="s">
        <v>1600</v>
      </c>
      <c r="F2857" t="s">
        <v>1601</v>
      </c>
    </row>
    <row r="2858" spans="1:6">
      <c r="A2858">
        <v>90</v>
      </c>
      <c r="B2858" t="s">
        <v>1773</v>
      </c>
      <c r="C2858">
        <v>327600</v>
      </c>
      <c r="D2858" t="s">
        <v>1602</v>
      </c>
      <c r="E2858" t="s">
        <v>1600</v>
      </c>
      <c r="F2858" t="s">
        <v>1603</v>
      </c>
    </row>
    <row r="2859" spans="1:6">
      <c r="A2859">
        <v>90</v>
      </c>
      <c r="B2859" t="s">
        <v>1773</v>
      </c>
      <c r="C2859">
        <v>17385</v>
      </c>
      <c r="D2859" t="s">
        <v>1604</v>
      </c>
      <c r="E2859" t="s">
        <v>1605</v>
      </c>
      <c r="F2859" t="s">
        <v>1606</v>
      </c>
    </row>
    <row r="2860" spans="1:6">
      <c r="A2860">
        <v>90</v>
      </c>
      <c r="B2860" t="s">
        <v>1773</v>
      </c>
      <c r="C2860">
        <v>29169.24</v>
      </c>
      <c r="D2860" t="s">
        <v>1379</v>
      </c>
      <c r="E2860" t="s">
        <v>1380</v>
      </c>
      <c r="F2860" t="s">
        <v>1381</v>
      </c>
    </row>
    <row r="2861" spans="1:6">
      <c r="A2861">
        <v>90</v>
      </c>
      <c r="B2861" t="s">
        <v>1773</v>
      </c>
      <c r="C2861">
        <v>95596.66</v>
      </c>
      <c r="D2861" t="s">
        <v>1475</v>
      </c>
      <c r="E2861" t="s">
        <v>1476</v>
      </c>
      <c r="F2861" t="s">
        <v>1477</v>
      </c>
    </row>
    <row r="2862" spans="1:6">
      <c r="A2862">
        <v>90</v>
      </c>
      <c r="B2862" t="s">
        <v>1773</v>
      </c>
      <c r="C2862">
        <v>67973.789999999994</v>
      </c>
      <c r="D2862" t="s">
        <v>1478</v>
      </c>
      <c r="E2862" t="s">
        <v>1479</v>
      </c>
      <c r="F2862" t="s">
        <v>1480</v>
      </c>
    </row>
    <row r="2863" spans="1:6">
      <c r="A2863">
        <v>90</v>
      </c>
      <c r="B2863" t="s">
        <v>1773</v>
      </c>
      <c r="C2863">
        <v>306389.96000000002</v>
      </c>
      <c r="D2863" t="s">
        <v>1365</v>
      </c>
      <c r="E2863" t="s">
        <v>1366</v>
      </c>
      <c r="F2863" t="s">
        <v>1367</v>
      </c>
    </row>
    <row r="2864" spans="1:6">
      <c r="A2864">
        <v>90</v>
      </c>
      <c r="B2864" t="s">
        <v>1773</v>
      </c>
      <c r="C2864">
        <v>460099</v>
      </c>
      <c r="D2864" t="s">
        <v>1607</v>
      </c>
      <c r="E2864" t="s">
        <v>1608</v>
      </c>
      <c r="F2864" t="s">
        <v>1609</v>
      </c>
    </row>
    <row r="2865" spans="1:6">
      <c r="A2865">
        <v>90</v>
      </c>
      <c r="B2865" t="s">
        <v>1773</v>
      </c>
      <c r="C2865">
        <v>1866187</v>
      </c>
      <c r="D2865" t="s">
        <v>1610</v>
      </c>
      <c r="E2865" t="s">
        <v>1481</v>
      </c>
      <c r="F2865" t="s">
        <v>1482</v>
      </c>
    </row>
    <row r="2866" spans="1:6">
      <c r="A2866">
        <v>91</v>
      </c>
      <c r="B2866" t="s">
        <v>1774</v>
      </c>
      <c r="C2866">
        <v>22357</v>
      </c>
      <c r="D2866" t="s">
        <v>1483</v>
      </c>
      <c r="E2866" t="s">
        <v>1484</v>
      </c>
      <c r="F2866" t="s">
        <v>1485</v>
      </c>
    </row>
    <row r="2867" spans="1:6">
      <c r="A2867">
        <v>91</v>
      </c>
      <c r="B2867" t="s">
        <v>1774</v>
      </c>
      <c r="C2867">
        <v>25000</v>
      </c>
      <c r="D2867" t="s">
        <v>1232</v>
      </c>
      <c r="E2867" t="s">
        <v>1402</v>
      </c>
      <c r="F2867" t="s">
        <v>1403</v>
      </c>
    </row>
    <row r="2868" spans="1:6">
      <c r="A2868">
        <v>91</v>
      </c>
      <c r="B2868" t="s">
        <v>1774</v>
      </c>
      <c r="C2868">
        <v>16393</v>
      </c>
      <c r="D2868" t="s">
        <v>1486</v>
      </c>
      <c r="E2868" t="s">
        <v>1487</v>
      </c>
      <c r="F2868" t="s">
        <v>1488</v>
      </c>
    </row>
    <row r="2869" spans="1:6">
      <c r="A2869">
        <v>91</v>
      </c>
      <c r="B2869" t="s">
        <v>1774</v>
      </c>
      <c r="C2869">
        <v>7667</v>
      </c>
      <c r="D2869" t="s">
        <v>1489</v>
      </c>
      <c r="E2869" t="s">
        <v>1490</v>
      </c>
      <c r="F2869" t="s">
        <v>1491</v>
      </c>
    </row>
    <row r="2870" spans="1:6">
      <c r="A2870">
        <v>91</v>
      </c>
      <c r="B2870" t="s">
        <v>1774</v>
      </c>
      <c r="C2870">
        <v>61976</v>
      </c>
      <c r="D2870" t="s">
        <v>1567</v>
      </c>
      <c r="E2870" t="s">
        <v>1568</v>
      </c>
      <c r="F2870" t="s">
        <v>1569</v>
      </c>
    </row>
    <row r="2871" spans="1:6">
      <c r="A2871">
        <v>91</v>
      </c>
      <c r="B2871" t="s">
        <v>1774</v>
      </c>
      <c r="C2871">
        <v>4000117</v>
      </c>
      <c r="D2871" t="s">
        <v>1570</v>
      </c>
      <c r="E2871" t="s">
        <v>1571</v>
      </c>
      <c r="F2871" t="s">
        <v>1572</v>
      </c>
    </row>
    <row r="2872" spans="1:6">
      <c r="A2872">
        <v>91</v>
      </c>
      <c r="B2872" t="s">
        <v>1774</v>
      </c>
      <c r="C2872">
        <v>205670</v>
      </c>
      <c r="D2872" t="s">
        <v>1573</v>
      </c>
      <c r="E2872" t="s">
        <v>1574</v>
      </c>
      <c r="F2872" t="s">
        <v>1575</v>
      </c>
    </row>
    <row r="2873" spans="1:6">
      <c r="A2873">
        <v>91</v>
      </c>
      <c r="B2873" t="s">
        <v>1774</v>
      </c>
      <c r="C2873">
        <v>19500</v>
      </c>
      <c r="D2873" t="s">
        <v>1387</v>
      </c>
      <c r="E2873" t="s">
        <v>1388</v>
      </c>
      <c r="F2873" t="s">
        <v>1389</v>
      </c>
    </row>
    <row r="2874" spans="1:6">
      <c r="A2874">
        <v>91</v>
      </c>
      <c r="B2874" t="s">
        <v>1774</v>
      </c>
      <c r="C2874">
        <v>78320</v>
      </c>
      <c r="D2874" t="s">
        <v>1390</v>
      </c>
      <c r="E2874" t="s">
        <v>1391</v>
      </c>
      <c r="F2874" t="s">
        <v>1392</v>
      </c>
    </row>
    <row r="2875" spans="1:6">
      <c r="A2875">
        <v>91</v>
      </c>
      <c r="B2875" t="s">
        <v>1774</v>
      </c>
      <c r="C2875">
        <v>22778.720000000001</v>
      </c>
      <c r="D2875" t="s">
        <v>1431</v>
      </c>
      <c r="E2875" t="s">
        <v>1432</v>
      </c>
      <c r="F2875" t="s">
        <v>1433</v>
      </c>
    </row>
    <row r="2876" spans="1:6">
      <c r="A2876">
        <v>91</v>
      </c>
      <c r="B2876" t="s">
        <v>1774</v>
      </c>
      <c r="C2876">
        <v>49869.38</v>
      </c>
      <c r="D2876" t="s">
        <v>1434</v>
      </c>
      <c r="E2876" t="s">
        <v>1432</v>
      </c>
      <c r="F2876" t="s">
        <v>1435</v>
      </c>
    </row>
    <row r="2877" spans="1:6">
      <c r="A2877">
        <v>91</v>
      </c>
      <c r="B2877" t="s">
        <v>1774</v>
      </c>
      <c r="C2877">
        <v>15975</v>
      </c>
      <c r="D2877" t="s">
        <v>1436</v>
      </c>
      <c r="E2877" t="s">
        <v>1437</v>
      </c>
      <c r="F2877" t="s">
        <v>1438</v>
      </c>
    </row>
    <row r="2878" spans="1:6">
      <c r="A2878">
        <v>91</v>
      </c>
      <c r="B2878" t="s">
        <v>1774</v>
      </c>
      <c r="C2878">
        <v>33538</v>
      </c>
      <c r="D2878" t="s">
        <v>1584</v>
      </c>
      <c r="E2878" t="s">
        <v>1585</v>
      </c>
      <c r="F2878" t="s">
        <v>1586</v>
      </c>
    </row>
    <row r="2879" spans="1:6">
      <c r="A2879">
        <v>91</v>
      </c>
      <c r="B2879" t="s">
        <v>1774</v>
      </c>
      <c r="C2879">
        <v>12193</v>
      </c>
      <c r="D2879" t="s">
        <v>1587</v>
      </c>
      <c r="E2879" t="s">
        <v>1585</v>
      </c>
      <c r="F2879" t="s">
        <v>1588</v>
      </c>
    </row>
    <row r="2880" spans="1:6">
      <c r="A2880">
        <v>91</v>
      </c>
      <c r="B2880" t="s">
        <v>1774</v>
      </c>
      <c r="C2880">
        <v>6238</v>
      </c>
      <c r="D2880" t="s">
        <v>1589</v>
      </c>
      <c r="E2880" t="s">
        <v>1590</v>
      </c>
      <c r="F2880" t="s">
        <v>1591</v>
      </c>
    </row>
    <row r="2881" spans="1:6">
      <c r="A2881">
        <v>91</v>
      </c>
      <c r="B2881" t="s">
        <v>1774</v>
      </c>
      <c r="C2881">
        <v>5160</v>
      </c>
      <c r="D2881" t="s">
        <v>1594</v>
      </c>
      <c r="E2881" t="s">
        <v>1595</v>
      </c>
      <c r="F2881" t="s">
        <v>1596</v>
      </c>
    </row>
    <row r="2882" spans="1:6">
      <c r="A2882">
        <v>91</v>
      </c>
      <c r="B2882" t="s">
        <v>1774</v>
      </c>
      <c r="C2882">
        <v>449154</v>
      </c>
      <c r="D2882" t="s">
        <v>1599</v>
      </c>
      <c r="E2882" t="s">
        <v>1600</v>
      </c>
      <c r="F2882" t="s">
        <v>1601</v>
      </c>
    </row>
    <row r="2883" spans="1:6">
      <c r="A2883">
        <v>91</v>
      </c>
      <c r="B2883" t="s">
        <v>1774</v>
      </c>
      <c r="C2883">
        <v>3053</v>
      </c>
      <c r="D2883" t="s">
        <v>1602</v>
      </c>
      <c r="E2883" t="s">
        <v>1600</v>
      </c>
      <c r="F2883" t="s">
        <v>1603</v>
      </c>
    </row>
    <row r="2884" spans="1:6">
      <c r="A2884">
        <v>91</v>
      </c>
      <c r="B2884" t="s">
        <v>1774</v>
      </c>
      <c r="C2884">
        <v>13738</v>
      </c>
      <c r="D2884" t="s">
        <v>1459</v>
      </c>
      <c r="E2884" t="s">
        <v>1605</v>
      </c>
      <c r="F2884" t="s">
        <v>1460</v>
      </c>
    </row>
    <row r="2885" spans="1:6">
      <c r="A2885">
        <v>91</v>
      </c>
      <c r="B2885" t="s">
        <v>1774</v>
      </c>
      <c r="C2885">
        <v>2625</v>
      </c>
      <c r="D2885" t="s">
        <v>1472</v>
      </c>
      <c r="E2885" t="s">
        <v>1473</v>
      </c>
      <c r="F2885" t="s">
        <v>1474</v>
      </c>
    </row>
    <row r="2886" spans="1:6">
      <c r="A2886">
        <v>91</v>
      </c>
      <c r="B2886" t="s">
        <v>1774</v>
      </c>
      <c r="C2886">
        <v>6692.37</v>
      </c>
      <c r="D2886" t="s">
        <v>1379</v>
      </c>
      <c r="E2886" t="s">
        <v>1380</v>
      </c>
      <c r="F2886" t="s">
        <v>1381</v>
      </c>
    </row>
    <row r="2887" spans="1:6">
      <c r="A2887">
        <v>91</v>
      </c>
      <c r="B2887" t="s">
        <v>1774</v>
      </c>
      <c r="C2887">
        <v>135751.39000000001</v>
      </c>
      <c r="D2887" t="s">
        <v>1475</v>
      </c>
      <c r="E2887" t="s">
        <v>1476</v>
      </c>
      <c r="F2887" t="s">
        <v>1477</v>
      </c>
    </row>
    <row r="2888" spans="1:6">
      <c r="A2888">
        <v>91</v>
      </c>
      <c r="B2888" t="s">
        <v>1774</v>
      </c>
      <c r="C2888">
        <v>87638.9</v>
      </c>
      <c r="D2888" t="s">
        <v>1478</v>
      </c>
      <c r="E2888" t="s">
        <v>1479</v>
      </c>
      <c r="F2888" t="s">
        <v>1480</v>
      </c>
    </row>
    <row r="2889" spans="1:6">
      <c r="A2889">
        <v>91</v>
      </c>
      <c r="B2889" t="s">
        <v>1774</v>
      </c>
      <c r="C2889">
        <v>335963.52</v>
      </c>
      <c r="D2889" t="s">
        <v>1365</v>
      </c>
      <c r="E2889" t="s">
        <v>1366</v>
      </c>
      <c r="F2889" t="s">
        <v>1367</v>
      </c>
    </row>
    <row r="2890" spans="1:6">
      <c r="A2890">
        <v>92</v>
      </c>
      <c r="B2890" t="s">
        <v>1775</v>
      </c>
      <c r="C2890">
        <v>4620</v>
      </c>
      <c r="D2890" t="s">
        <v>1486</v>
      </c>
      <c r="E2890" t="s">
        <v>1487</v>
      </c>
      <c r="F2890" t="s">
        <v>1488</v>
      </c>
    </row>
    <row r="2891" spans="1:6">
      <c r="A2891">
        <v>92</v>
      </c>
      <c r="B2891" t="s">
        <v>1775</v>
      </c>
      <c r="C2891">
        <v>2161</v>
      </c>
      <c r="D2891" t="s">
        <v>1489</v>
      </c>
      <c r="E2891" t="s">
        <v>1490</v>
      </c>
      <c r="F2891" t="s">
        <v>1491</v>
      </c>
    </row>
    <row r="2892" spans="1:6">
      <c r="A2892">
        <v>92</v>
      </c>
      <c r="B2892" t="s">
        <v>1775</v>
      </c>
      <c r="C2892">
        <v>82122</v>
      </c>
      <c r="D2892" t="s">
        <v>1567</v>
      </c>
      <c r="E2892" t="s">
        <v>1568</v>
      </c>
      <c r="F2892" t="s">
        <v>1569</v>
      </c>
    </row>
    <row r="2893" spans="1:6">
      <c r="A2893">
        <v>92</v>
      </c>
      <c r="B2893" t="s">
        <v>1775</v>
      </c>
      <c r="C2893">
        <v>2727241</v>
      </c>
      <c r="D2893" t="s">
        <v>1570</v>
      </c>
      <c r="E2893" t="s">
        <v>1571</v>
      </c>
      <c r="F2893" t="s">
        <v>1572</v>
      </c>
    </row>
    <row r="2894" spans="1:6">
      <c r="A2894">
        <v>92</v>
      </c>
      <c r="B2894" t="s">
        <v>1775</v>
      </c>
      <c r="C2894">
        <v>39283</v>
      </c>
      <c r="D2894" t="s">
        <v>1573</v>
      </c>
      <c r="E2894" t="s">
        <v>1574</v>
      </c>
      <c r="F2894" t="s">
        <v>1575</v>
      </c>
    </row>
    <row r="2895" spans="1:6">
      <c r="A2895">
        <v>92</v>
      </c>
      <c r="B2895" t="s">
        <v>1775</v>
      </c>
      <c r="C2895">
        <v>722</v>
      </c>
      <c r="D2895" t="s">
        <v>1371</v>
      </c>
      <c r="E2895" t="s">
        <v>1372</v>
      </c>
      <c r="F2895" t="s">
        <v>1373</v>
      </c>
    </row>
    <row r="2896" spans="1:6">
      <c r="A2896">
        <v>92</v>
      </c>
      <c r="B2896" t="s">
        <v>1775</v>
      </c>
      <c r="C2896">
        <v>82897</v>
      </c>
      <c r="D2896" t="s">
        <v>1390</v>
      </c>
      <c r="E2896" t="s">
        <v>1391</v>
      </c>
      <c r="F2896" t="s">
        <v>1392</v>
      </c>
    </row>
    <row r="2897" spans="1:6">
      <c r="A2897">
        <v>92</v>
      </c>
      <c r="B2897" t="s">
        <v>1775</v>
      </c>
      <c r="C2897">
        <v>411.92</v>
      </c>
      <c r="D2897" t="s">
        <v>1374</v>
      </c>
      <c r="E2897" t="s">
        <v>1375</v>
      </c>
      <c r="F2897" t="s">
        <v>1376</v>
      </c>
    </row>
    <row r="2898" spans="1:6">
      <c r="A2898">
        <v>92</v>
      </c>
      <c r="B2898" t="s">
        <v>1775</v>
      </c>
      <c r="C2898">
        <v>745.14</v>
      </c>
      <c r="D2898" t="s">
        <v>1377</v>
      </c>
      <c r="E2898" t="s">
        <v>1375</v>
      </c>
      <c r="F2898" t="s">
        <v>1378</v>
      </c>
    </row>
    <row r="2899" spans="1:6">
      <c r="A2899">
        <v>92</v>
      </c>
      <c r="B2899" t="s">
        <v>1775</v>
      </c>
      <c r="C2899">
        <v>5585.94</v>
      </c>
      <c r="D2899" t="s">
        <v>1431</v>
      </c>
      <c r="E2899" t="s">
        <v>1432</v>
      </c>
      <c r="F2899" t="s">
        <v>1433</v>
      </c>
    </row>
    <row r="2900" spans="1:6">
      <c r="A2900">
        <v>92</v>
      </c>
      <c r="B2900" t="s">
        <v>1775</v>
      </c>
      <c r="C2900">
        <v>13836</v>
      </c>
      <c r="D2900" t="s">
        <v>1434</v>
      </c>
      <c r="E2900" t="s">
        <v>1432</v>
      </c>
      <c r="F2900" t="s">
        <v>1435</v>
      </c>
    </row>
    <row r="2901" spans="1:6">
      <c r="A2901">
        <v>92</v>
      </c>
      <c r="B2901" t="s">
        <v>1775</v>
      </c>
      <c r="C2901">
        <v>6598</v>
      </c>
      <c r="D2901" t="s">
        <v>1576</v>
      </c>
      <c r="E2901" t="s">
        <v>1577</v>
      </c>
      <c r="F2901" t="s">
        <v>1578</v>
      </c>
    </row>
    <row r="2902" spans="1:6">
      <c r="A2902">
        <v>92</v>
      </c>
      <c r="B2902" t="s">
        <v>1775</v>
      </c>
      <c r="C2902">
        <v>2447</v>
      </c>
      <c r="D2902" t="s">
        <v>1584</v>
      </c>
      <c r="E2902" t="s">
        <v>1585</v>
      </c>
      <c r="F2902" t="s">
        <v>1586</v>
      </c>
    </row>
    <row r="2903" spans="1:6">
      <c r="A2903">
        <v>92</v>
      </c>
      <c r="B2903" t="s">
        <v>1775</v>
      </c>
      <c r="C2903">
        <v>11686</v>
      </c>
      <c r="D2903" t="s">
        <v>1587</v>
      </c>
      <c r="E2903" t="s">
        <v>1585</v>
      </c>
      <c r="F2903" t="s">
        <v>1588</v>
      </c>
    </row>
    <row r="2904" spans="1:6">
      <c r="A2904">
        <v>92</v>
      </c>
      <c r="B2904" t="s">
        <v>1775</v>
      </c>
      <c r="C2904">
        <v>29</v>
      </c>
      <c r="D2904" t="s">
        <v>1298</v>
      </c>
      <c r="E2904" t="s">
        <v>1590</v>
      </c>
      <c r="F2904" t="s">
        <v>1285</v>
      </c>
    </row>
    <row r="2905" spans="1:6">
      <c r="A2905">
        <v>92</v>
      </c>
      <c r="B2905" t="s">
        <v>1775</v>
      </c>
      <c r="C2905">
        <v>835</v>
      </c>
      <c r="D2905" t="s">
        <v>1589</v>
      </c>
      <c r="E2905" t="s">
        <v>1590</v>
      </c>
      <c r="F2905" t="s">
        <v>1591</v>
      </c>
    </row>
    <row r="2906" spans="1:6">
      <c r="A2906">
        <v>92</v>
      </c>
      <c r="B2906" t="s">
        <v>1775</v>
      </c>
      <c r="C2906">
        <v>409</v>
      </c>
      <c r="D2906" t="s">
        <v>1592</v>
      </c>
      <c r="E2906" t="s">
        <v>1590</v>
      </c>
      <c r="F2906" t="s">
        <v>1593</v>
      </c>
    </row>
    <row r="2907" spans="1:6">
      <c r="A2907">
        <v>92</v>
      </c>
      <c r="B2907" t="s">
        <v>1775</v>
      </c>
      <c r="C2907">
        <v>207</v>
      </c>
      <c r="D2907" t="s">
        <v>1594</v>
      </c>
      <c r="E2907" t="s">
        <v>1595</v>
      </c>
      <c r="F2907" t="s">
        <v>1596</v>
      </c>
    </row>
    <row r="2908" spans="1:6">
      <c r="A2908">
        <v>92</v>
      </c>
      <c r="B2908" t="s">
        <v>1775</v>
      </c>
      <c r="C2908">
        <v>720</v>
      </c>
      <c r="D2908" t="s">
        <v>1597</v>
      </c>
      <c r="E2908" t="s">
        <v>1595</v>
      </c>
      <c r="F2908" t="s">
        <v>1598</v>
      </c>
    </row>
    <row r="2909" spans="1:6">
      <c r="A2909">
        <v>92</v>
      </c>
      <c r="B2909" t="s">
        <v>1775</v>
      </c>
      <c r="C2909">
        <v>25964</v>
      </c>
      <c r="D2909" t="s">
        <v>1599</v>
      </c>
      <c r="E2909" t="s">
        <v>1600</v>
      </c>
      <c r="F2909" t="s">
        <v>1601</v>
      </c>
    </row>
    <row r="2910" spans="1:6">
      <c r="A2910">
        <v>92</v>
      </c>
      <c r="B2910" t="s">
        <v>1775</v>
      </c>
      <c r="C2910">
        <v>81039</v>
      </c>
      <c r="D2910" t="s">
        <v>1602</v>
      </c>
      <c r="E2910" t="s">
        <v>1600</v>
      </c>
      <c r="F2910" t="s">
        <v>1603</v>
      </c>
    </row>
    <row r="2911" spans="1:6">
      <c r="A2911">
        <v>92</v>
      </c>
      <c r="B2911" t="s">
        <v>1775</v>
      </c>
      <c r="C2911">
        <v>934</v>
      </c>
      <c r="D2911" t="s">
        <v>1459</v>
      </c>
      <c r="E2911" t="s">
        <v>1605</v>
      </c>
      <c r="F2911" t="s">
        <v>1460</v>
      </c>
    </row>
    <row r="2912" spans="1:6">
      <c r="A2912">
        <v>92</v>
      </c>
      <c r="B2912" t="s">
        <v>1775</v>
      </c>
      <c r="C2912">
        <v>8072</v>
      </c>
      <c r="D2912" t="s">
        <v>1604</v>
      </c>
      <c r="E2912" t="s">
        <v>1605</v>
      </c>
      <c r="F2912" t="s">
        <v>1606</v>
      </c>
    </row>
    <row r="2913" spans="1:6">
      <c r="A2913">
        <v>92</v>
      </c>
      <c r="B2913" t="s">
        <v>1775</v>
      </c>
      <c r="C2913">
        <v>540.14</v>
      </c>
      <c r="D2913" t="s">
        <v>1379</v>
      </c>
      <c r="E2913" t="s">
        <v>1380</v>
      </c>
      <c r="F2913" t="s">
        <v>1381</v>
      </c>
    </row>
    <row r="2914" spans="1:6">
      <c r="A2914">
        <v>92</v>
      </c>
      <c r="B2914" t="s">
        <v>1775</v>
      </c>
      <c r="C2914">
        <v>6087.95</v>
      </c>
      <c r="D2914" t="s">
        <v>1475</v>
      </c>
      <c r="E2914" t="s">
        <v>1476</v>
      </c>
      <c r="F2914" t="s">
        <v>1477</v>
      </c>
    </row>
    <row r="2915" spans="1:6">
      <c r="A2915">
        <v>92</v>
      </c>
      <c r="B2915" t="s">
        <v>1775</v>
      </c>
      <c r="C2915">
        <v>5731.58</v>
      </c>
      <c r="D2915" t="s">
        <v>1478</v>
      </c>
      <c r="E2915" t="s">
        <v>1479</v>
      </c>
      <c r="F2915" t="s">
        <v>1480</v>
      </c>
    </row>
    <row r="2916" spans="1:6">
      <c r="A2916">
        <v>92</v>
      </c>
      <c r="B2916" t="s">
        <v>1775</v>
      </c>
      <c r="C2916">
        <v>64811.01</v>
      </c>
      <c r="D2916" t="s">
        <v>1365</v>
      </c>
      <c r="E2916" t="s">
        <v>1366</v>
      </c>
      <c r="F2916" t="s">
        <v>1367</v>
      </c>
    </row>
    <row r="2917" spans="1:6">
      <c r="A2917">
        <v>92</v>
      </c>
      <c r="B2917" t="s">
        <v>1775</v>
      </c>
      <c r="C2917">
        <v>267353</v>
      </c>
      <c r="D2917" t="s">
        <v>1607</v>
      </c>
      <c r="E2917" t="s">
        <v>1608</v>
      </c>
      <c r="F2917" t="s">
        <v>1609</v>
      </c>
    </row>
    <row r="2918" spans="1:6">
      <c r="A2918">
        <v>92</v>
      </c>
      <c r="B2918" t="s">
        <v>1775</v>
      </c>
      <c r="C2918">
        <v>37647</v>
      </c>
      <c r="D2918" t="s">
        <v>1610</v>
      </c>
      <c r="E2918" t="s">
        <v>1481</v>
      </c>
      <c r="F2918" t="s">
        <v>1482</v>
      </c>
    </row>
    <row r="2919" spans="1:6">
      <c r="A2919">
        <v>93</v>
      </c>
      <c r="B2919" t="s">
        <v>1776</v>
      </c>
      <c r="C2919">
        <v>259338</v>
      </c>
      <c r="D2919" t="s">
        <v>1486</v>
      </c>
      <c r="E2919" t="s">
        <v>1487</v>
      </c>
      <c r="F2919" t="s">
        <v>1488</v>
      </c>
    </row>
    <row r="2920" spans="1:6">
      <c r="A2920">
        <v>93</v>
      </c>
      <c r="B2920" t="s">
        <v>1776</v>
      </c>
      <c r="C2920">
        <v>125501</v>
      </c>
      <c r="D2920" t="s">
        <v>1489</v>
      </c>
      <c r="E2920" t="s">
        <v>1490</v>
      </c>
      <c r="F2920" t="s">
        <v>1491</v>
      </c>
    </row>
    <row r="2921" spans="1:6">
      <c r="A2921">
        <v>93</v>
      </c>
      <c r="B2921" t="s">
        <v>1776</v>
      </c>
      <c r="C2921">
        <v>102250</v>
      </c>
      <c r="D2921" t="s">
        <v>1404</v>
      </c>
      <c r="E2921" t="s">
        <v>1405</v>
      </c>
      <c r="F2921" t="s">
        <v>1406</v>
      </c>
    </row>
    <row r="2922" spans="1:6">
      <c r="A2922">
        <v>93</v>
      </c>
      <c r="B2922" t="s">
        <v>1776</v>
      </c>
      <c r="C2922">
        <v>102250</v>
      </c>
      <c r="D2922" t="s">
        <v>1317</v>
      </c>
      <c r="E2922" t="s">
        <v>1405</v>
      </c>
      <c r="F2922" t="s">
        <v>1406</v>
      </c>
    </row>
    <row r="2923" spans="1:6">
      <c r="A2923">
        <v>93</v>
      </c>
      <c r="B2923" t="s">
        <v>1776</v>
      </c>
      <c r="C2923">
        <v>102250</v>
      </c>
      <c r="D2923" t="s">
        <v>1318</v>
      </c>
      <c r="E2923" t="s">
        <v>1405</v>
      </c>
      <c r="F2923" t="s">
        <v>1406</v>
      </c>
    </row>
    <row r="2924" spans="1:6">
      <c r="A2924">
        <v>93</v>
      </c>
      <c r="B2924" t="s">
        <v>1776</v>
      </c>
      <c r="C2924">
        <v>283434</v>
      </c>
      <c r="D2924" t="s">
        <v>1407</v>
      </c>
      <c r="E2924" t="s">
        <v>1408</v>
      </c>
      <c r="F2924" t="s">
        <v>1409</v>
      </c>
    </row>
    <row r="2925" spans="1:6">
      <c r="A2925">
        <v>93</v>
      </c>
      <c r="B2925" t="s">
        <v>1776</v>
      </c>
      <c r="C2925">
        <v>3795454</v>
      </c>
      <c r="D2925" t="s">
        <v>1567</v>
      </c>
      <c r="E2925" t="s">
        <v>1568</v>
      </c>
      <c r="F2925" t="s">
        <v>1569</v>
      </c>
    </row>
    <row r="2926" spans="1:6">
      <c r="A2926">
        <v>93</v>
      </c>
      <c r="B2926" t="s">
        <v>1776</v>
      </c>
      <c r="C2926">
        <v>94368</v>
      </c>
      <c r="D2926" t="s">
        <v>1496</v>
      </c>
      <c r="E2926" t="s">
        <v>1497</v>
      </c>
      <c r="F2926" t="s">
        <v>1498</v>
      </c>
    </row>
    <row r="2927" spans="1:6">
      <c r="A2927">
        <v>93</v>
      </c>
      <c r="B2927" t="s">
        <v>1776</v>
      </c>
      <c r="C2927">
        <v>128296594</v>
      </c>
      <c r="D2927" t="s">
        <v>1570</v>
      </c>
      <c r="E2927" t="s">
        <v>1571</v>
      </c>
      <c r="F2927" t="s">
        <v>1572</v>
      </c>
    </row>
    <row r="2928" spans="1:6">
      <c r="A2928">
        <v>93</v>
      </c>
      <c r="B2928" t="s">
        <v>1776</v>
      </c>
      <c r="C2928">
        <v>207391</v>
      </c>
      <c r="D2928" t="s">
        <v>1327</v>
      </c>
      <c r="E2928" t="s">
        <v>1328</v>
      </c>
      <c r="F2928" t="s">
        <v>1329</v>
      </c>
    </row>
    <row r="2929" spans="1:6">
      <c r="A2929">
        <v>93</v>
      </c>
      <c r="B2929" t="s">
        <v>1776</v>
      </c>
      <c r="C2929">
        <v>6625100</v>
      </c>
      <c r="D2929" t="s">
        <v>1499</v>
      </c>
      <c r="E2929" t="s">
        <v>1500</v>
      </c>
      <c r="F2929" t="s">
        <v>1501</v>
      </c>
    </row>
    <row r="2930" spans="1:6">
      <c r="A2930">
        <v>93</v>
      </c>
      <c r="B2930" t="s">
        <v>1776</v>
      </c>
      <c r="C2930">
        <v>2510138</v>
      </c>
      <c r="D2930" t="s">
        <v>1502</v>
      </c>
      <c r="E2930" t="s">
        <v>1503</v>
      </c>
      <c r="F2930" t="s">
        <v>1504</v>
      </c>
    </row>
    <row r="2931" spans="1:6">
      <c r="A2931">
        <v>93</v>
      </c>
      <c r="B2931" t="s">
        <v>1776</v>
      </c>
      <c r="C2931">
        <v>340783</v>
      </c>
      <c r="D2931" t="s">
        <v>1505</v>
      </c>
      <c r="E2931" t="s">
        <v>1506</v>
      </c>
      <c r="F2931" t="s">
        <v>1507</v>
      </c>
    </row>
    <row r="2932" spans="1:6">
      <c r="A2932">
        <v>93</v>
      </c>
      <c r="B2932" t="s">
        <v>1776</v>
      </c>
      <c r="C2932">
        <v>392527</v>
      </c>
      <c r="D2932" t="s">
        <v>1508</v>
      </c>
      <c r="E2932" t="s">
        <v>1509</v>
      </c>
      <c r="F2932" t="s">
        <v>1510</v>
      </c>
    </row>
    <row r="2933" spans="1:6">
      <c r="A2933">
        <v>93</v>
      </c>
      <c r="B2933" t="s">
        <v>1776</v>
      </c>
      <c r="C2933">
        <v>16381</v>
      </c>
      <c r="D2933" t="s">
        <v>1330</v>
      </c>
      <c r="E2933" t="s">
        <v>1331</v>
      </c>
      <c r="F2933" t="s">
        <v>1332</v>
      </c>
    </row>
    <row r="2934" spans="1:6">
      <c r="A2934">
        <v>93</v>
      </c>
      <c r="B2934" t="s">
        <v>1776</v>
      </c>
      <c r="C2934">
        <v>131000</v>
      </c>
      <c r="D2934" t="s">
        <v>1333</v>
      </c>
      <c r="E2934" t="s">
        <v>1383</v>
      </c>
      <c r="F2934" t="s">
        <v>1334</v>
      </c>
    </row>
    <row r="2935" spans="1:6">
      <c r="A2935">
        <v>93</v>
      </c>
      <c r="B2935" t="s">
        <v>1776</v>
      </c>
      <c r="C2935">
        <v>200000</v>
      </c>
      <c r="D2935" t="s">
        <v>1382</v>
      </c>
      <c r="E2935" t="s">
        <v>1383</v>
      </c>
      <c r="F2935" t="s">
        <v>1384</v>
      </c>
    </row>
    <row r="2936" spans="1:6">
      <c r="A2936">
        <v>93</v>
      </c>
      <c r="B2936" t="s">
        <v>1776</v>
      </c>
      <c r="C2936">
        <v>108607</v>
      </c>
      <c r="D2936" t="s">
        <v>1385</v>
      </c>
      <c r="E2936" t="s">
        <v>1383</v>
      </c>
      <c r="F2936" t="s">
        <v>1386</v>
      </c>
    </row>
    <row r="2937" spans="1:6">
      <c r="A2937">
        <v>93</v>
      </c>
      <c r="B2937" t="s">
        <v>1776</v>
      </c>
      <c r="C2937">
        <v>135000</v>
      </c>
      <c r="D2937" t="s">
        <v>1515</v>
      </c>
      <c r="E2937" t="s">
        <v>1516</v>
      </c>
      <c r="F2937" t="s">
        <v>1517</v>
      </c>
    </row>
    <row r="2938" spans="1:6">
      <c r="A2938">
        <v>93</v>
      </c>
      <c r="B2938" t="s">
        <v>1776</v>
      </c>
      <c r="C2938">
        <v>79573</v>
      </c>
      <c r="D2938" t="s">
        <v>1518</v>
      </c>
      <c r="E2938" t="s">
        <v>1516</v>
      </c>
      <c r="F2938" t="s">
        <v>1519</v>
      </c>
    </row>
    <row r="2939" spans="1:6">
      <c r="A2939">
        <v>93</v>
      </c>
      <c r="B2939" t="s">
        <v>1776</v>
      </c>
      <c r="C2939">
        <v>2393955</v>
      </c>
      <c r="D2939" t="s">
        <v>1520</v>
      </c>
      <c r="E2939" t="s">
        <v>1521</v>
      </c>
      <c r="F2939" t="s">
        <v>1522</v>
      </c>
    </row>
    <row r="2940" spans="1:6">
      <c r="A2940">
        <v>93</v>
      </c>
      <c r="B2940" t="s">
        <v>1776</v>
      </c>
      <c r="C2940">
        <v>197876</v>
      </c>
      <c r="D2940" t="s">
        <v>1573</v>
      </c>
      <c r="E2940" t="s">
        <v>1574</v>
      </c>
      <c r="F2940" t="s">
        <v>1575</v>
      </c>
    </row>
    <row r="2941" spans="1:6">
      <c r="A2941">
        <v>93</v>
      </c>
      <c r="B2941" t="s">
        <v>1776</v>
      </c>
      <c r="C2941">
        <v>882908</v>
      </c>
      <c r="D2941" t="s">
        <v>1523</v>
      </c>
      <c r="E2941" t="s">
        <v>1521</v>
      </c>
      <c r="F2941" t="s">
        <v>1524</v>
      </c>
    </row>
    <row r="2942" spans="1:6">
      <c r="A2942">
        <v>93</v>
      </c>
      <c r="B2942" t="s">
        <v>1776</v>
      </c>
      <c r="C2942">
        <v>292455</v>
      </c>
      <c r="D2942" t="s">
        <v>1525</v>
      </c>
      <c r="E2942" t="s">
        <v>1526</v>
      </c>
      <c r="F2942" t="s">
        <v>1527</v>
      </c>
    </row>
    <row r="2943" spans="1:6">
      <c r="A2943">
        <v>93</v>
      </c>
      <c r="B2943" t="s">
        <v>1776</v>
      </c>
      <c r="C2943">
        <v>122861</v>
      </c>
      <c r="D2943" t="s">
        <v>1528</v>
      </c>
      <c r="E2943" t="s">
        <v>1529</v>
      </c>
      <c r="F2943" t="s">
        <v>1530</v>
      </c>
    </row>
    <row r="2944" spans="1:6">
      <c r="A2944">
        <v>93</v>
      </c>
      <c r="B2944" t="s">
        <v>1776</v>
      </c>
      <c r="C2944">
        <v>116326</v>
      </c>
      <c r="D2944" t="s">
        <v>1531</v>
      </c>
      <c r="E2944" t="s">
        <v>1532</v>
      </c>
      <c r="F2944" t="s">
        <v>1533</v>
      </c>
    </row>
    <row r="2945" spans="1:6">
      <c r="A2945">
        <v>93</v>
      </c>
      <c r="B2945" t="s">
        <v>1776</v>
      </c>
      <c r="C2945">
        <v>1912300</v>
      </c>
      <c r="D2945" t="s">
        <v>1387</v>
      </c>
      <c r="E2945" t="s">
        <v>1388</v>
      </c>
      <c r="F2945" t="s">
        <v>1389</v>
      </c>
    </row>
    <row r="2946" spans="1:6">
      <c r="A2946">
        <v>93</v>
      </c>
      <c r="B2946" t="s">
        <v>1776</v>
      </c>
      <c r="C2946">
        <v>1144937</v>
      </c>
      <c r="D2946" t="s">
        <v>1104</v>
      </c>
      <c r="E2946" t="s">
        <v>1411</v>
      </c>
      <c r="F2946" t="s">
        <v>1412</v>
      </c>
    </row>
    <row r="2947" spans="1:6">
      <c r="A2947">
        <v>93</v>
      </c>
      <c r="B2947" t="s">
        <v>1776</v>
      </c>
      <c r="C2947">
        <v>1177133</v>
      </c>
      <c r="D2947" t="s">
        <v>1105</v>
      </c>
      <c r="E2947" t="s">
        <v>1411</v>
      </c>
      <c r="F2947" t="s">
        <v>1412</v>
      </c>
    </row>
    <row r="2948" spans="1:6">
      <c r="A2948">
        <v>93</v>
      </c>
      <c r="B2948" t="s">
        <v>1776</v>
      </c>
      <c r="C2948">
        <v>1491217</v>
      </c>
      <c r="D2948" t="s">
        <v>1106</v>
      </c>
      <c r="E2948" t="s">
        <v>1411</v>
      </c>
      <c r="F2948" t="s">
        <v>1412</v>
      </c>
    </row>
    <row r="2949" spans="1:6">
      <c r="A2949">
        <v>93</v>
      </c>
      <c r="B2949" t="s">
        <v>1776</v>
      </c>
      <c r="C2949">
        <v>2506789</v>
      </c>
      <c r="D2949" t="s">
        <v>1107</v>
      </c>
      <c r="E2949" t="s">
        <v>1411</v>
      </c>
      <c r="F2949" t="s">
        <v>1412</v>
      </c>
    </row>
    <row r="2950" spans="1:6">
      <c r="A2950">
        <v>93</v>
      </c>
      <c r="B2950" t="s">
        <v>1776</v>
      </c>
      <c r="C2950">
        <v>817716</v>
      </c>
      <c r="D2950" t="s">
        <v>1108</v>
      </c>
      <c r="E2950" t="s">
        <v>1411</v>
      </c>
      <c r="F2950" t="s">
        <v>1412</v>
      </c>
    </row>
    <row r="2951" spans="1:6">
      <c r="A2951">
        <v>93</v>
      </c>
      <c r="B2951" t="s">
        <v>1776</v>
      </c>
      <c r="C2951">
        <v>1928543</v>
      </c>
      <c r="D2951" t="s">
        <v>1109</v>
      </c>
      <c r="E2951" t="s">
        <v>1411</v>
      </c>
      <c r="F2951" t="s">
        <v>1412</v>
      </c>
    </row>
    <row r="2952" spans="1:6">
      <c r="A2952">
        <v>93</v>
      </c>
      <c r="B2952" t="s">
        <v>1776</v>
      </c>
      <c r="C2952">
        <v>1199286</v>
      </c>
      <c r="D2952" t="s">
        <v>1110</v>
      </c>
      <c r="E2952" t="s">
        <v>1411</v>
      </c>
      <c r="F2952" t="s">
        <v>1412</v>
      </c>
    </row>
    <row r="2953" spans="1:6">
      <c r="A2953">
        <v>93</v>
      </c>
      <c r="B2953" t="s">
        <v>1776</v>
      </c>
      <c r="C2953">
        <v>1013450</v>
      </c>
      <c r="D2953" t="s">
        <v>1111</v>
      </c>
      <c r="E2953" t="s">
        <v>1411</v>
      </c>
      <c r="F2953" t="s">
        <v>1412</v>
      </c>
    </row>
    <row r="2954" spans="1:6">
      <c r="A2954">
        <v>93</v>
      </c>
      <c r="B2954" t="s">
        <v>1776</v>
      </c>
      <c r="C2954">
        <v>755957</v>
      </c>
      <c r="D2954" t="s">
        <v>1112</v>
      </c>
      <c r="E2954" t="s">
        <v>1411</v>
      </c>
      <c r="F2954" t="s">
        <v>1412</v>
      </c>
    </row>
    <row r="2955" spans="1:6">
      <c r="A2955">
        <v>93</v>
      </c>
      <c r="B2955" t="s">
        <v>1776</v>
      </c>
      <c r="C2955">
        <v>1285807</v>
      </c>
      <c r="D2955" t="s">
        <v>1113</v>
      </c>
      <c r="E2955" t="s">
        <v>1411</v>
      </c>
      <c r="F2955" t="s">
        <v>1412</v>
      </c>
    </row>
    <row r="2956" spans="1:6">
      <c r="A2956">
        <v>93</v>
      </c>
      <c r="B2956" t="s">
        <v>1776</v>
      </c>
      <c r="C2956">
        <v>723349</v>
      </c>
      <c r="D2956" t="s">
        <v>1114</v>
      </c>
      <c r="E2956" t="s">
        <v>1411</v>
      </c>
      <c r="F2956" t="s">
        <v>1412</v>
      </c>
    </row>
    <row r="2957" spans="1:6">
      <c r="A2957">
        <v>93</v>
      </c>
      <c r="B2957" t="s">
        <v>1776</v>
      </c>
      <c r="C2957">
        <v>670365</v>
      </c>
      <c r="D2957" t="s">
        <v>1115</v>
      </c>
      <c r="E2957" t="s">
        <v>1411</v>
      </c>
      <c r="F2957" t="s">
        <v>1412</v>
      </c>
    </row>
    <row r="2958" spans="1:6">
      <c r="A2958">
        <v>93</v>
      </c>
      <c r="B2958" t="s">
        <v>1776</v>
      </c>
      <c r="C2958">
        <v>698396</v>
      </c>
      <c r="D2958" t="s">
        <v>1116</v>
      </c>
      <c r="E2958" t="s">
        <v>1411</v>
      </c>
      <c r="F2958" t="s">
        <v>1412</v>
      </c>
    </row>
    <row r="2959" spans="1:6">
      <c r="A2959">
        <v>93</v>
      </c>
      <c r="B2959" t="s">
        <v>1776</v>
      </c>
      <c r="C2959">
        <v>549157</v>
      </c>
      <c r="D2959" t="s">
        <v>1117</v>
      </c>
      <c r="E2959" t="s">
        <v>1411</v>
      </c>
      <c r="F2959" t="s">
        <v>1412</v>
      </c>
    </row>
    <row r="2960" spans="1:6">
      <c r="A2960">
        <v>93</v>
      </c>
      <c r="B2960" t="s">
        <v>1776</v>
      </c>
      <c r="C2960">
        <v>150000</v>
      </c>
      <c r="D2960" t="s">
        <v>1207</v>
      </c>
      <c r="E2960" t="s">
        <v>1350</v>
      </c>
      <c r="F2960" t="s">
        <v>1351</v>
      </c>
    </row>
    <row r="2961" spans="1:6">
      <c r="A2961">
        <v>93</v>
      </c>
      <c r="B2961" t="s">
        <v>1776</v>
      </c>
      <c r="C2961">
        <v>150000</v>
      </c>
      <c r="D2961" t="s">
        <v>1349</v>
      </c>
      <c r="E2961" t="s">
        <v>1350</v>
      </c>
      <c r="F2961" t="s">
        <v>1351</v>
      </c>
    </row>
    <row r="2962" spans="1:6">
      <c r="A2962">
        <v>93</v>
      </c>
      <c r="B2962" t="s">
        <v>1776</v>
      </c>
      <c r="C2962">
        <v>75000</v>
      </c>
      <c r="D2962" t="s">
        <v>1306</v>
      </c>
      <c r="E2962" t="s">
        <v>1307</v>
      </c>
      <c r="F2962" t="s">
        <v>1308</v>
      </c>
    </row>
    <row r="2963" spans="1:6">
      <c r="A2963">
        <v>93</v>
      </c>
      <c r="B2963" t="s">
        <v>1776</v>
      </c>
      <c r="C2963">
        <v>121266</v>
      </c>
      <c r="D2963" t="s">
        <v>1534</v>
      </c>
      <c r="E2963" t="s">
        <v>1535</v>
      </c>
      <c r="F2963" t="s">
        <v>1536</v>
      </c>
    </row>
    <row r="2964" spans="1:6">
      <c r="A2964">
        <v>93</v>
      </c>
      <c r="B2964" t="s">
        <v>1776</v>
      </c>
      <c r="C2964">
        <v>785942.19</v>
      </c>
      <c r="D2964" t="s">
        <v>1537</v>
      </c>
      <c r="E2964" t="s">
        <v>1538</v>
      </c>
      <c r="F2964" t="s">
        <v>1539</v>
      </c>
    </row>
    <row r="2965" spans="1:6">
      <c r="A2965">
        <v>93</v>
      </c>
      <c r="B2965" t="s">
        <v>1776</v>
      </c>
      <c r="C2965">
        <v>1488869.93</v>
      </c>
      <c r="D2965" t="s">
        <v>1540</v>
      </c>
      <c r="E2965" t="s">
        <v>1538</v>
      </c>
      <c r="F2965" t="s">
        <v>1541</v>
      </c>
    </row>
    <row r="2966" spans="1:6">
      <c r="A2966">
        <v>93</v>
      </c>
      <c r="B2966" t="s">
        <v>1776</v>
      </c>
      <c r="C2966">
        <v>141356</v>
      </c>
      <c r="D2966" t="s">
        <v>1220</v>
      </c>
      <c r="E2966" t="s">
        <v>1221</v>
      </c>
      <c r="F2966" t="s">
        <v>1222</v>
      </c>
    </row>
    <row r="2967" spans="1:6">
      <c r="A2967">
        <v>93</v>
      </c>
      <c r="B2967" t="s">
        <v>1776</v>
      </c>
      <c r="C2967">
        <v>141336</v>
      </c>
      <c r="D2967" t="s">
        <v>1223</v>
      </c>
      <c r="E2967" t="s">
        <v>1221</v>
      </c>
      <c r="F2967" t="s">
        <v>1224</v>
      </c>
    </row>
    <row r="2968" spans="1:6">
      <c r="A2968">
        <v>93</v>
      </c>
      <c r="B2968" t="s">
        <v>1776</v>
      </c>
      <c r="C2968">
        <v>7730</v>
      </c>
      <c r="D2968" t="s">
        <v>1225</v>
      </c>
      <c r="E2968" t="s">
        <v>1226</v>
      </c>
      <c r="F2968" t="s">
        <v>1227</v>
      </c>
    </row>
    <row r="2969" spans="1:6">
      <c r="A2969">
        <v>93</v>
      </c>
      <c r="B2969" t="s">
        <v>1776</v>
      </c>
      <c r="C2969">
        <v>7570</v>
      </c>
      <c r="D2969" t="s">
        <v>1228</v>
      </c>
      <c r="E2969" t="s">
        <v>1226</v>
      </c>
      <c r="F2969" t="s">
        <v>1229</v>
      </c>
    </row>
    <row r="2970" spans="1:6">
      <c r="A2970">
        <v>93</v>
      </c>
      <c r="B2970" t="s">
        <v>1776</v>
      </c>
      <c r="C2970">
        <v>1750400.3</v>
      </c>
      <c r="D2970" t="s">
        <v>1431</v>
      </c>
      <c r="E2970" t="s">
        <v>1432</v>
      </c>
      <c r="F2970" t="s">
        <v>1433</v>
      </c>
    </row>
    <row r="2971" spans="1:6">
      <c r="A2971">
        <v>93</v>
      </c>
      <c r="B2971" t="s">
        <v>1776</v>
      </c>
      <c r="C2971">
        <v>3504579.73</v>
      </c>
      <c r="D2971" t="s">
        <v>1434</v>
      </c>
      <c r="E2971" t="s">
        <v>1432</v>
      </c>
      <c r="F2971" t="s">
        <v>1435</v>
      </c>
    </row>
    <row r="2972" spans="1:6">
      <c r="A2972">
        <v>93</v>
      </c>
      <c r="B2972" t="s">
        <v>1776</v>
      </c>
      <c r="C2972">
        <v>2008283</v>
      </c>
      <c r="D2972" t="s">
        <v>1576</v>
      </c>
      <c r="E2972" t="s">
        <v>1577</v>
      </c>
      <c r="F2972" t="s">
        <v>1578</v>
      </c>
    </row>
    <row r="2973" spans="1:6">
      <c r="A2973">
        <v>93</v>
      </c>
      <c r="B2973" t="s">
        <v>1776</v>
      </c>
      <c r="C2973">
        <v>10802632</v>
      </c>
      <c r="D2973" t="s">
        <v>1579</v>
      </c>
      <c r="E2973" t="s">
        <v>1577</v>
      </c>
      <c r="F2973" t="s">
        <v>1580</v>
      </c>
    </row>
    <row r="2974" spans="1:6">
      <c r="A2974">
        <v>93</v>
      </c>
      <c r="B2974" t="s">
        <v>1776</v>
      </c>
      <c r="C2974">
        <v>466228</v>
      </c>
      <c r="D2974" t="s">
        <v>1356</v>
      </c>
      <c r="E2974" t="s">
        <v>1357</v>
      </c>
      <c r="F2974" t="s">
        <v>1358</v>
      </c>
    </row>
    <row r="2975" spans="1:6">
      <c r="A2975">
        <v>93</v>
      </c>
      <c r="B2975" t="s">
        <v>1776</v>
      </c>
      <c r="C2975">
        <v>29000</v>
      </c>
      <c r="D2975" t="s">
        <v>1359</v>
      </c>
      <c r="E2975" t="s">
        <v>1357</v>
      </c>
      <c r="F2975" t="s">
        <v>1360</v>
      </c>
    </row>
    <row r="2976" spans="1:6">
      <c r="A2976">
        <v>93</v>
      </c>
      <c r="B2976" t="s">
        <v>1776</v>
      </c>
      <c r="C2976">
        <v>653228</v>
      </c>
      <c r="D2976" t="s">
        <v>1436</v>
      </c>
      <c r="E2976" t="s">
        <v>1437</v>
      </c>
      <c r="F2976" t="s">
        <v>1438</v>
      </c>
    </row>
    <row r="2977" spans="1:6">
      <c r="A2977">
        <v>93</v>
      </c>
      <c r="B2977" t="s">
        <v>1776</v>
      </c>
      <c r="C2977">
        <v>113697</v>
      </c>
      <c r="D2977" t="s">
        <v>1442</v>
      </c>
      <c r="E2977" t="s">
        <v>1582</v>
      </c>
      <c r="F2977" t="s">
        <v>1443</v>
      </c>
    </row>
    <row r="2978" spans="1:6">
      <c r="A2978">
        <v>93</v>
      </c>
      <c r="B2978" t="s">
        <v>1776</v>
      </c>
      <c r="C2978">
        <v>37176</v>
      </c>
      <c r="D2978" t="s">
        <v>1581</v>
      </c>
      <c r="E2978" t="s">
        <v>1582</v>
      </c>
      <c r="F2978" t="s">
        <v>1583</v>
      </c>
    </row>
    <row r="2979" spans="1:6">
      <c r="A2979">
        <v>93</v>
      </c>
      <c r="B2979" t="s">
        <v>1776</v>
      </c>
      <c r="C2979">
        <v>18804</v>
      </c>
      <c r="D2979" t="s">
        <v>1118</v>
      </c>
      <c r="E2979" t="s">
        <v>1265</v>
      </c>
      <c r="F2979" t="s">
        <v>1195</v>
      </c>
    </row>
    <row r="2980" spans="1:6">
      <c r="A2980">
        <v>93</v>
      </c>
      <c r="B2980" t="s">
        <v>1776</v>
      </c>
      <c r="C2980">
        <v>270175</v>
      </c>
      <c r="D2980" t="s">
        <v>1446</v>
      </c>
      <c r="E2980" t="s">
        <v>1447</v>
      </c>
      <c r="F2980" t="s">
        <v>1448</v>
      </c>
    </row>
    <row r="2981" spans="1:6">
      <c r="A2981">
        <v>93</v>
      </c>
      <c r="B2981" t="s">
        <v>1776</v>
      </c>
      <c r="C2981">
        <v>269921</v>
      </c>
      <c r="D2981" t="s">
        <v>1264</v>
      </c>
      <c r="E2981" t="s">
        <v>1265</v>
      </c>
      <c r="F2981" t="s">
        <v>1448</v>
      </c>
    </row>
    <row r="2982" spans="1:6">
      <c r="A2982">
        <v>93</v>
      </c>
      <c r="B2982" t="s">
        <v>1776</v>
      </c>
      <c r="C2982">
        <v>258039</v>
      </c>
      <c r="D2982" t="s">
        <v>1266</v>
      </c>
      <c r="E2982" t="s">
        <v>1265</v>
      </c>
      <c r="F2982" t="s">
        <v>1448</v>
      </c>
    </row>
    <row r="2983" spans="1:6">
      <c r="A2983">
        <v>93</v>
      </c>
      <c r="B2983" t="s">
        <v>1776</v>
      </c>
      <c r="C2983">
        <v>487414</v>
      </c>
      <c r="D2983" t="s">
        <v>1584</v>
      </c>
      <c r="E2983" t="s">
        <v>1585</v>
      </c>
      <c r="F2983" t="s">
        <v>1586</v>
      </c>
    </row>
    <row r="2984" spans="1:6">
      <c r="A2984">
        <v>93</v>
      </c>
      <c r="B2984" t="s">
        <v>1776</v>
      </c>
      <c r="C2984">
        <v>1839289</v>
      </c>
      <c r="D2984" t="s">
        <v>1587</v>
      </c>
      <c r="E2984" t="s">
        <v>1585</v>
      </c>
      <c r="F2984" t="s">
        <v>1588</v>
      </c>
    </row>
    <row r="2985" spans="1:6">
      <c r="A2985">
        <v>93</v>
      </c>
      <c r="B2985" t="s">
        <v>1776</v>
      </c>
      <c r="C2985">
        <v>35269</v>
      </c>
      <c r="D2985" t="s">
        <v>1119</v>
      </c>
      <c r="E2985" t="s">
        <v>1450</v>
      </c>
      <c r="F2985" t="s">
        <v>1451</v>
      </c>
    </row>
    <row r="2986" spans="1:6">
      <c r="A2986">
        <v>93</v>
      </c>
      <c r="B2986" t="s">
        <v>1776</v>
      </c>
      <c r="C2986">
        <v>26061</v>
      </c>
      <c r="D2986" t="s">
        <v>1120</v>
      </c>
      <c r="E2986" t="s">
        <v>1450</v>
      </c>
      <c r="F2986" t="s">
        <v>1451</v>
      </c>
    </row>
    <row r="2987" spans="1:6">
      <c r="A2987">
        <v>93</v>
      </c>
      <c r="B2987" t="s">
        <v>1776</v>
      </c>
      <c r="C2987">
        <v>284406</v>
      </c>
      <c r="D2987" t="s">
        <v>1267</v>
      </c>
      <c r="E2987" t="s">
        <v>1450</v>
      </c>
      <c r="F2987" t="s">
        <v>1453</v>
      </c>
    </row>
    <row r="2988" spans="1:6">
      <c r="A2988">
        <v>93</v>
      </c>
      <c r="B2988" t="s">
        <v>1776</v>
      </c>
      <c r="C2988">
        <v>403481</v>
      </c>
      <c r="D2988" t="s">
        <v>1268</v>
      </c>
      <c r="E2988" t="s">
        <v>1450</v>
      </c>
      <c r="F2988" t="s">
        <v>1453</v>
      </c>
    </row>
    <row r="2989" spans="1:6">
      <c r="A2989">
        <v>93</v>
      </c>
      <c r="B2989" t="s">
        <v>1776</v>
      </c>
      <c r="C2989">
        <v>142561</v>
      </c>
      <c r="D2989" t="s">
        <v>1203</v>
      </c>
      <c r="E2989" t="s">
        <v>1450</v>
      </c>
      <c r="F2989" t="s">
        <v>1453</v>
      </c>
    </row>
    <row r="2990" spans="1:6">
      <c r="A2990">
        <v>93</v>
      </c>
      <c r="B2990" t="s">
        <v>1776</v>
      </c>
      <c r="C2990">
        <v>104089</v>
      </c>
      <c r="D2990" t="s">
        <v>1454</v>
      </c>
      <c r="E2990" t="s">
        <v>1455</v>
      </c>
      <c r="F2990" t="s">
        <v>1456</v>
      </c>
    </row>
    <row r="2991" spans="1:6">
      <c r="A2991">
        <v>93</v>
      </c>
      <c r="B2991" t="s">
        <v>1776</v>
      </c>
      <c r="C2991">
        <v>239816</v>
      </c>
      <c r="D2991" t="s">
        <v>1457</v>
      </c>
      <c r="E2991" t="s">
        <v>1455</v>
      </c>
      <c r="F2991" t="s">
        <v>1458</v>
      </c>
    </row>
    <row r="2992" spans="1:6">
      <c r="A2992">
        <v>93</v>
      </c>
      <c r="B2992" t="s">
        <v>1776</v>
      </c>
      <c r="C2992">
        <v>61490</v>
      </c>
      <c r="D2992" t="s">
        <v>1589</v>
      </c>
      <c r="E2992" t="s">
        <v>1590</v>
      </c>
      <c r="F2992" t="s">
        <v>1591</v>
      </c>
    </row>
    <row r="2993" spans="1:6">
      <c r="A2993">
        <v>93</v>
      </c>
      <c r="B2993" t="s">
        <v>1776</v>
      </c>
      <c r="C2993">
        <v>248163</v>
      </c>
      <c r="D2993" t="s">
        <v>1592</v>
      </c>
      <c r="E2993" t="s">
        <v>1590</v>
      </c>
      <c r="F2993" t="s">
        <v>1593</v>
      </c>
    </row>
    <row r="2994" spans="1:6">
      <c r="A2994">
        <v>93</v>
      </c>
      <c r="B2994" t="s">
        <v>1776</v>
      </c>
      <c r="C2994">
        <v>80162</v>
      </c>
      <c r="D2994" t="s">
        <v>1594</v>
      </c>
      <c r="E2994" t="s">
        <v>1595</v>
      </c>
      <c r="F2994" t="s">
        <v>1596</v>
      </c>
    </row>
    <row r="2995" spans="1:6">
      <c r="A2995">
        <v>93</v>
      </c>
      <c r="B2995" t="s">
        <v>1776</v>
      </c>
      <c r="C2995">
        <v>47600</v>
      </c>
      <c r="D2995" t="s">
        <v>1597</v>
      </c>
      <c r="E2995" t="s">
        <v>1595</v>
      </c>
      <c r="F2995" t="s">
        <v>1598</v>
      </c>
    </row>
    <row r="2996" spans="1:6">
      <c r="A2996">
        <v>93</v>
      </c>
      <c r="B2996" t="s">
        <v>1776</v>
      </c>
      <c r="C2996">
        <v>674491</v>
      </c>
      <c r="D2996" t="s">
        <v>1599</v>
      </c>
      <c r="E2996" t="s">
        <v>1600</v>
      </c>
      <c r="F2996" t="s">
        <v>1601</v>
      </c>
    </row>
    <row r="2997" spans="1:6">
      <c r="A2997">
        <v>93</v>
      </c>
      <c r="B2997" t="s">
        <v>1776</v>
      </c>
      <c r="C2997">
        <v>3946282</v>
      </c>
      <c r="D2997" t="s">
        <v>1602</v>
      </c>
      <c r="E2997" t="s">
        <v>1600</v>
      </c>
      <c r="F2997" t="s">
        <v>1603</v>
      </c>
    </row>
    <row r="2998" spans="1:6">
      <c r="A2998">
        <v>93</v>
      </c>
      <c r="B2998" t="s">
        <v>1776</v>
      </c>
      <c r="C2998">
        <v>37143</v>
      </c>
      <c r="D2998" t="s">
        <v>1459</v>
      </c>
      <c r="E2998" t="s">
        <v>1605</v>
      </c>
      <c r="F2998" t="s">
        <v>1460</v>
      </c>
    </row>
    <row r="2999" spans="1:6">
      <c r="A2999">
        <v>93</v>
      </c>
      <c r="B2999" t="s">
        <v>1776</v>
      </c>
      <c r="C2999">
        <v>86898</v>
      </c>
      <c r="D2999" t="s">
        <v>1604</v>
      </c>
      <c r="E2999" t="s">
        <v>1605</v>
      </c>
      <c r="F2999" t="s">
        <v>1606</v>
      </c>
    </row>
    <row r="3000" spans="1:6">
      <c r="A3000">
        <v>93</v>
      </c>
      <c r="B3000" t="s">
        <v>1776</v>
      </c>
      <c r="C3000">
        <v>38293</v>
      </c>
      <c r="D3000" t="s">
        <v>1121</v>
      </c>
      <c r="E3000" t="s">
        <v>1462</v>
      </c>
      <c r="F3000" t="s">
        <v>1272</v>
      </c>
    </row>
    <row r="3001" spans="1:6">
      <c r="A3001">
        <v>93</v>
      </c>
      <c r="B3001" t="s">
        <v>1776</v>
      </c>
      <c r="C3001">
        <v>34802</v>
      </c>
      <c r="D3001" t="s">
        <v>1271</v>
      </c>
      <c r="E3001" t="s">
        <v>1462</v>
      </c>
      <c r="F3001" t="s">
        <v>1272</v>
      </c>
    </row>
    <row r="3002" spans="1:6">
      <c r="A3002">
        <v>93</v>
      </c>
      <c r="B3002" t="s">
        <v>1776</v>
      </c>
      <c r="C3002">
        <v>164641</v>
      </c>
      <c r="D3002" t="s">
        <v>1461</v>
      </c>
      <c r="E3002" t="s">
        <v>1462</v>
      </c>
      <c r="F3002" t="s">
        <v>1463</v>
      </c>
    </row>
    <row r="3003" spans="1:6">
      <c r="A3003">
        <v>93</v>
      </c>
      <c r="B3003" t="s">
        <v>1776</v>
      </c>
      <c r="C3003">
        <v>162933</v>
      </c>
      <c r="D3003" t="s">
        <v>1122</v>
      </c>
      <c r="E3003" t="s">
        <v>1462</v>
      </c>
      <c r="F3003" t="s">
        <v>1463</v>
      </c>
    </row>
    <row r="3004" spans="1:6">
      <c r="A3004">
        <v>93</v>
      </c>
      <c r="B3004" t="s">
        <v>1776</v>
      </c>
      <c r="C3004">
        <v>10000</v>
      </c>
      <c r="D3004" t="s">
        <v>1123</v>
      </c>
      <c r="E3004" t="s">
        <v>1124</v>
      </c>
      <c r="F3004" t="s">
        <v>1125</v>
      </c>
    </row>
    <row r="3005" spans="1:6">
      <c r="A3005">
        <v>93</v>
      </c>
      <c r="B3005" t="s">
        <v>1776</v>
      </c>
      <c r="C3005">
        <v>11500</v>
      </c>
      <c r="D3005" t="s">
        <v>1466</v>
      </c>
      <c r="E3005" t="s">
        <v>1467</v>
      </c>
      <c r="F3005" t="s">
        <v>1468</v>
      </c>
    </row>
    <row r="3006" spans="1:6">
      <c r="A3006">
        <v>93</v>
      </c>
      <c r="B3006" t="s">
        <v>1776</v>
      </c>
      <c r="C3006">
        <v>136942</v>
      </c>
      <c r="D3006" t="s">
        <v>1469</v>
      </c>
      <c r="E3006" t="s">
        <v>1470</v>
      </c>
      <c r="F3006" t="s">
        <v>1471</v>
      </c>
    </row>
    <row r="3007" spans="1:6">
      <c r="A3007">
        <v>93</v>
      </c>
      <c r="B3007" t="s">
        <v>1776</v>
      </c>
      <c r="C3007">
        <v>118334.58</v>
      </c>
      <c r="D3007" t="s">
        <v>1379</v>
      </c>
      <c r="E3007" t="s">
        <v>1380</v>
      </c>
      <c r="F3007" t="s">
        <v>1381</v>
      </c>
    </row>
    <row r="3008" spans="1:6">
      <c r="A3008">
        <v>93</v>
      </c>
      <c r="B3008" t="s">
        <v>1776</v>
      </c>
      <c r="C3008">
        <v>2913369.75</v>
      </c>
      <c r="D3008" t="s">
        <v>1475</v>
      </c>
      <c r="E3008" t="s">
        <v>1476</v>
      </c>
      <c r="F3008" t="s">
        <v>1477</v>
      </c>
    </row>
    <row r="3009" spans="1:6">
      <c r="A3009">
        <v>93</v>
      </c>
      <c r="B3009" t="s">
        <v>1776</v>
      </c>
      <c r="C3009">
        <v>3431866.47</v>
      </c>
      <c r="D3009" t="s">
        <v>1478</v>
      </c>
      <c r="E3009" t="s">
        <v>1479</v>
      </c>
      <c r="F3009" t="s">
        <v>1480</v>
      </c>
    </row>
    <row r="3010" spans="1:6">
      <c r="A3010">
        <v>93</v>
      </c>
      <c r="B3010" t="s">
        <v>1776</v>
      </c>
      <c r="C3010">
        <v>6415385.2699999996</v>
      </c>
      <c r="D3010" t="s">
        <v>1365</v>
      </c>
      <c r="E3010" t="s">
        <v>1366</v>
      </c>
      <c r="F3010" t="s">
        <v>1367</v>
      </c>
    </row>
    <row r="3011" spans="1:6">
      <c r="A3011">
        <v>93</v>
      </c>
      <c r="B3011" t="s">
        <v>1776</v>
      </c>
      <c r="C3011">
        <v>4988787</v>
      </c>
      <c r="D3011" t="s">
        <v>1607</v>
      </c>
      <c r="E3011" t="s">
        <v>1608</v>
      </c>
      <c r="F3011" t="s">
        <v>1609</v>
      </c>
    </row>
    <row r="3012" spans="1:6">
      <c r="A3012">
        <v>93</v>
      </c>
      <c r="B3012" t="s">
        <v>1776</v>
      </c>
      <c r="C3012">
        <v>43185255</v>
      </c>
      <c r="D3012" t="s">
        <v>1610</v>
      </c>
      <c r="E3012" t="s">
        <v>1481</v>
      </c>
      <c r="F3012" t="s">
        <v>1482</v>
      </c>
    </row>
    <row r="3013" spans="1:6">
      <c r="A3013">
        <v>93</v>
      </c>
      <c r="B3013" t="s">
        <v>1776</v>
      </c>
      <c r="C3013">
        <v>5174433</v>
      </c>
      <c r="D3013" t="s">
        <v>1415</v>
      </c>
      <c r="E3013" t="s">
        <v>1416</v>
      </c>
      <c r="F3013" t="s">
        <v>1417</v>
      </c>
    </row>
    <row r="3014" spans="1:6">
      <c r="A3014">
        <v>93</v>
      </c>
      <c r="B3014" t="s">
        <v>1776</v>
      </c>
      <c r="C3014">
        <v>56351545</v>
      </c>
      <c r="D3014" t="s">
        <v>1418</v>
      </c>
      <c r="E3014" t="s">
        <v>1419</v>
      </c>
      <c r="F3014" t="s">
        <v>1420</v>
      </c>
    </row>
    <row r="3015" spans="1:6">
      <c r="A3015">
        <v>94</v>
      </c>
      <c r="B3015" t="s">
        <v>1777</v>
      </c>
      <c r="C3015">
        <v>68192</v>
      </c>
      <c r="D3015" t="s">
        <v>1401</v>
      </c>
      <c r="E3015" t="s">
        <v>1402</v>
      </c>
      <c r="F3015" t="s">
        <v>1403</v>
      </c>
    </row>
    <row r="3016" spans="1:6">
      <c r="A3016">
        <v>94</v>
      </c>
      <c r="B3016" t="s">
        <v>1777</v>
      </c>
      <c r="C3016">
        <v>17876</v>
      </c>
      <c r="D3016" t="s">
        <v>1489</v>
      </c>
      <c r="E3016" t="s">
        <v>1490</v>
      </c>
      <c r="F3016" t="s">
        <v>1491</v>
      </c>
    </row>
    <row r="3017" spans="1:6">
      <c r="A3017">
        <v>94</v>
      </c>
      <c r="B3017" t="s">
        <v>1777</v>
      </c>
      <c r="C3017">
        <v>359289</v>
      </c>
      <c r="D3017" t="s">
        <v>1567</v>
      </c>
      <c r="E3017" t="s">
        <v>1568</v>
      </c>
      <c r="F3017" t="s">
        <v>1569</v>
      </c>
    </row>
    <row r="3018" spans="1:6">
      <c r="A3018">
        <v>94</v>
      </c>
      <c r="B3018" t="s">
        <v>1777</v>
      </c>
      <c r="C3018">
        <v>17106</v>
      </c>
      <c r="D3018" t="s">
        <v>1496</v>
      </c>
      <c r="E3018" t="s">
        <v>1497</v>
      </c>
      <c r="F3018" t="s">
        <v>1498</v>
      </c>
    </row>
    <row r="3019" spans="1:6">
      <c r="A3019">
        <v>94</v>
      </c>
      <c r="B3019" t="s">
        <v>1777</v>
      </c>
      <c r="C3019">
        <v>10394743</v>
      </c>
      <c r="D3019" t="s">
        <v>1570</v>
      </c>
      <c r="E3019" t="s">
        <v>1571</v>
      </c>
      <c r="F3019" t="s">
        <v>1572</v>
      </c>
    </row>
    <row r="3020" spans="1:6">
      <c r="A3020">
        <v>94</v>
      </c>
      <c r="B3020" t="s">
        <v>1777</v>
      </c>
      <c r="C3020">
        <v>36095</v>
      </c>
      <c r="D3020" t="s">
        <v>1382</v>
      </c>
      <c r="E3020" t="s">
        <v>1383</v>
      </c>
      <c r="F3020" t="s">
        <v>1384</v>
      </c>
    </row>
    <row r="3021" spans="1:6">
      <c r="A3021">
        <v>94</v>
      </c>
      <c r="B3021" t="s">
        <v>1777</v>
      </c>
      <c r="C3021">
        <v>195938</v>
      </c>
      <c r="D3021" t="s">
        <v>1520</v>
      </c>
      <c r="E3021" t="s">
        <v>1521</v>
      </c>
      <c r="F3021" t="s">
        <v>1522</v>
      </c>
    </row>
    <row r="3022" spans="1:6">
      <c r="A3022">
        <v>94</v>
      </c>
      <c r="B3022" t="s">
        <v>1777</v>
      </c>
      <c r="C3022">
        <v>547331</v>
      </c>
      <c r="D3022" t="s">
        <v>1573</v>
      </c>
      <c r="E3022" t="s">
        <v>1574</v>
      </c>
      <c r="F3022" t="s">
        <v>1575</v>
      </c>
    </row>
    <row r="3023" spans="1:6">
      <c r="A3023">
        <v>94</v>
      </c>
      <c r="B3023" t="s">
        <v>1777</v>
      </c>
      <c r="C3023">
        <v>509</v>
      </c>
      <c r="D3023" t="s">
        <v>1523</v>
      </c>
      <c r="E3023" t="s">
        <v>1521</v>
      </c>
      <c r="F3023" t="s">
        <v>1524</v>
      </c>
    </row>
    <row r="3024" spans="1:6">
      <c r="A3024">
        <v>94</v>
      </c>
      <c r="B3024" t="s">
        <v>1777</v>
      </c>
      <c r="C3024">
        <v>9858</v>
      </c>
      <c r="D3024" t="s">
        <v>1525</v>
      </c>
      <c r="E3024" t="s">
        <v>1526</v>
      </c>
      <c r="F3024" t="s">
        <v>1527</v>
      </c>
    </row>
    <row r="3025" spans="1:6">
      <c r="A3025">
        <v>94</v>
      </c>
      <c r="B3025" t="s">
        <v>1777</v>
      </c>
      <c r="C3025">
        <v>22866</v>
      </c>
      <c r="D3025" t="s">
        <v>1528</v>
      </c>
      <c r="E3025" t="s">
        <v>1529</v>
      </c>
      <c r="F3025" t="s">
        <v>1530</v>
      </c>
    </row>
    <row r="3026" spans="1:6">
      <c r="A3026">
        <v>94</v>
      </c>
      <c r="B3026" t="s">
        <v>1777</v>
      </c>
      <c r="C3026">
        <v>118758</v>
      </c>
      <c r="D3026" t="s">
        <v>1531</v>
      </c>
      <c r="E3026" t="s">
        <v>1532</v>
      </c>
      <c r="F3026" t="s">
        <v>1533</v>
      </c>
    </row>
    <row r="3027" spans="1:6">
      <c r="A3027">
        <v>94</v>
      </c>
      <c r="B3027" t="s">
        <v>1777</v>
      </c>
      <c r="C3027">
        <v>26304</v>
      </c>
      <c r="D3027" t="s">
        <v>1387</v>
      </c>
      <c r="E3027" t="s">
        <v>1388</v>
      </c>
      <c r="F3027" t="s">
        <v>1389</v>
      </c>
    </row>
    <row r="3028" spans="1:6">
      <c r="A3028">
        <v>94</v>
      </c>
      <c r="B3028" t="s">
        <v>1777</v>
      </c>
      <c r="C3028">
        <v>74673.66</v>
      </c>
      <c r="D3028" t="s">
        <v>1431</v>
      </c>
      <c r="E3028" t="s">
        <v>1432</v>
      </c>
      <c r="F3028" t="s">
        <v>1433</v>
      </c>
    </row>
    <row r="3029" spans="1:6">
      <c r="A3029">
        <v>94</v>
      </c>
      <c r="B3029" t="s">
        <v>1777</v>
      </c>
      <c r="C3029">
        <v>188267.71</v>
      </c>
      <c r="D3029" t="s">
        <v>1434</v>
      </c>
      <c r="E3029" t="s">
        <v>1432</v>
      </c>
      <c r="F3029" t="s">
        <v>1435</v>
      </c>
    </row>
    <row r="3030" spans="1:6">
      <c r="A3030">
        <v>94</v>
      </c>
      <c r="B3030" t="s">
        <v>1777</v>
      </c>
      <c r="C3030">
        <v>15296</v>
      </c>
      <c r="D3030" t="s">
        <v>1576</v>
      </c>
      <c r="E3030" t="s">
        <v>1577</v>
      </c>
      <c r="F3030" t="s">
        <v>1578</v>
      </c>
    </row>
    <row r="3031" spans="1:6">
      <c r="A3031">
        <v>94</v>
      </c>
      <c r="B3031" t="s">
        <v>1777</v>
      </c>
      <c r="C3031">
        <v>90680</v>
      </c>
      <c r="D3031" t="s">
        <v>1579</v>
      </c>
      <c r="E3031" t="s">
        <v>1577</v>
      </c>
      <c r="F3031" t="s">
        <v>1580</v>
      </c>
    </row>
    <row r="3032" spans="1:6">
      <c r="A3032">
        <v>94</v>
      </c>
      <c r="B3032" t="s">
        <v>1777</v>
      </c>
      <c r="C3032">
        <v>31907</v>
      </c>
      <c r="D3032" t="s">
        <v>1436</v>
      </c>
      <c r="E3032" t="s">
        <v>1437</v>
      </c>
      <c r="F3032" t="s">
        <v>1438</v>
      </c>
    </row>
    <row r="3033" spans="1:6">
      <c r="A3033">
        <v>94</v>
      </c>
      <c r="B3033" t="s">
        <v>1777</v>
      </c>
      <c r="C3033">
        <v>1916</v>
      </c>
      <c r="D3033" t="s">
        <v>1442</v>
      </c>
      <c r="E3033" t="s">
        <v>1582</v>
      </c>
      <c r="F3033" t="s">
        <v>1443</v>
      </c>
    </row>
    <row r="3034" spans="1:6">
      <c r="A3034">
        <v>94</v>
      </c>
      <c r="B3034" t="s">
        <v>1777</v>
      </c>
      <c r="C3034">
        <v>70500</v>
      </c>
      <c r="D3034" t="s">
        <v>1584</v>
      </c>
      <c r="E3034" t="s">
        <v>1585</v>
      </c>
      <c r="F3034" t="s">
        <v>1586</v>
      </c>
    </row>
    <row r="3035" spans="1:6">
      <c r="A3035">
        <v>94</v>
      </c>
      <c r="B3035" t="s">
        <v>1777</v>
      </c>
      <c r="C3035">
        <v>14846</v>
      </c>
      <c r="D3035" t="s">
        <v>1454</v>
      </c>
      <c r="E3035" t="s">
        <v>1455</v>
      </c>
      <c r="F3035" t="s">
        <v>1456</v>
      </c>
    </row>
    <row r="3036" spans="1:6">
      <c r="A3036">
        <v>94</v>
      </c>
      <c r="B3036" t="s">
        <v>1777</v>
      </c>
      <c r="C3036">
        <v>50</v>
      </c>
      <c r="D3036" t="s">
        <v>1457</v>
      </c>
      <c r="E3036" t="s">
        <v>1455</v>
      </c>
      <c r="F3036" t="s">
        <v>1458</v>
      </c>
    </row>
    <row r="3037" spans="1:6">
      <c r="A3037">
        <v>94</v>
      </c>
      <c r="B3037" t="s">
        <v>1777</v>
      </c>
      <c r="C3037">
        <v>12094</v>
      </c>
      <c r="D3037" t="s">
        <v>1589</v>
      </c>
      <c r="E3037" t="s">
        <v>1590</v>
      </c>
      <c r="F3037" t="s">
        <v>1591</v>
      </c>
    </row>
    <row r="3038" spans="1:6">
      <c r="A3038">
        <v>94</v>
      </c>
      <c r="B3038" t="s">
        <v>1777</v>
      </c>
      <c r="C3038">
        <v>11453</v>
      </c>
      <c r="D3038" t="s">
        <v>1594</v>
      </c>
      <c r="E3038" t="s">
        <v>1595</v>
      </c>
      <c r="F3038" t="s">
        <v>1596</v>
      </c>
    </row>
    <row r="3039" spans="1:6">
      <c r="A3039">
        <v>94</v>
      </c>
      <c r="B3039" t="s">
        <v>1777</v>
      </c>
      <c r="C3039">
        <v>689807</v>
      </c>
      <c r="D3039" t="s">
        <v>1599</v>
      </c>
      <c r="E3039" t="s">
        <v>1600</v>
      </c>
      <c r="F3039" t="s">
        <v>1601</v>
      </c>
    </row>
    <row r="3040" spans="1:6">
      <c r="A3040">
        <v>94</v>
      </c>
      <c r="B3040" t="s">
        <v>1777</v>
      </c>
      <c r="C3040">
        <v>22593</v>
      </c>
      <c r="D3040" t="s">
        <v>1459</v>
      </c>
      <c r="E3040" t="s">
        <v>1605</v>
      </c>
      <c r="F3040" t="s">
        <v>1460</v>
      </c>
    </row>
    <row r="3041" spans="1:6">
      <c r="A3041">
        <v>94</v>
      </c>
      <c r="B3041" t="s">
        <v>1777</v>
      </c>
      <c r="C3041">
        <v>1218.82</v>
      </c>
      <c r="D3041" t="s">
        <v>1379</v>
      </c>
      <c r="E3041" t="s">
        <v>1380</v>
      </c>
      <c r="F3041" t="s">
        <v>1381</v>
      </c>
    </row>
    <row r="3042" spans="1:6">
      <c r="A3042">
        <v>94</v>
      </c>
      <c r="B3042" t="s">
        <v>1777</v>
      </c>
      <c r="C3042">
        <v>34823.379999999997</v>
      </c>
      <c r="D3042" t="s">
        <v>1478</v>
      </c>
      <c r="E3042" t="s">
        <v>1479</v>
      </c>
      <c r="F3042" t="s">
        <v>1480</v>
      </c>
    </row>
    <row r="3043" spans="1:6">
      <c r="A3043">
        <v>94</v>
      </c>
      <c r="B3043" t="s">
        <v>1777</v>
      </c>
      <c r="C3043">
        <v>189451</v>
      </c>
      <c r="D3043" t="s">
        <v>1610</v>
      </c>
      <c r="E3043" t="s">
        <v>1481</v>
      </c>
      <c r="F3043" t="s">
        <v>1482</v>
      </c>
    </row>
    <row r="3044" spans="1:6">
      <c r="A3044">
        <v>95</v>
      </c>
      <c r="B3044" t="s">
        <v>1778</v>
      </c>
      <c r="C3044">
        <v>6174</v>
      </c>
      <c r="D3044" t="s">
        <v>1176</v>
      </c>
      <c r="E3044" t="s">
        <v>1177</v>
      </c>
      <c r="F3044" t="s">
        <v>1178</v>
      </c>
    </row>
    <row r="3045" spans="1:6">
      <c r="A3045">
        <v>95</v>
      </c>
      <c r="B3045" t="s">
        <v>1778</v>
      </c>
      <c r="C3045">
        <v>17900</v>
      </c>
      <c r="D3045" t="s">
        <v>1483</v>
      </c>
      <c r="E3045" t="s">
        <v>1484</v>
      </c>
      <c r="F3045" t="s">
        <v>1485</v>
      </c>
    </row>
    <row r="3046" spans="1:6">
      <c r="A3046">
        <v>95</v>
      </c>
      <c r="B3046" t="s">
        <v>1778</v>
      </c>
      <c r="C3046">
        <v>46462</v>
      </c>
      <c r="D3046" t="s">
        <v>1290</v>
      </c>
      <c r="E3046" t="s">
        <v>1291</v>
      </c>
      <c r="F3046" t="s">
        <v>1292</v>
      </c>
    </row>
    <row r="3047" spans="1:6">
      <c r="A3047">
        <v>95</v>
      </c>
      <c r="B3047" t="s">
        <v>1778</v>
      </c>
      <c r="C3047">
        <v>31250</v>
      </c>
      <c r="D3047" t="s">
        <v>1126</v>
      </c>
      <c r="E3047" t="s">
        <v>1127</v>
      </c>
      <c r="F3047" t="s">
        <v>1128</v>
      </c>
    </row>
    <row r="3048" spans="1:6">
      <c r="A3048">
        <v>95</v>
      </c>
      <c r="B3048" t="s">
        <v>1778</v>
      </c>
      <c r="C3048">
        <v>31211</v>
      </c>
      <c r="D3048" t="s">
        <v>1486</v>
      </c>
      <c r="E3048" t="s">
        <v>1487</v>
      </c>
      <c r="F3048" t="s">
        <v>1488</v>
      </c>
    </row>
    <row r="3049" spans="1:6">
      <c r="A3049">
        <v>95</v>
      </c>
      <c r="B3049" t="s">
        <v>1778</v>
      </c>
      <c r="C3049">
        <v>24279</v>
      </c>
      <c r="D3049" t="s">
        <v>1489</v>
      </c>
      <c r="E3049" t="s">
        <v>1490</v>
      </c>
      <c r="F3049" t="s">
        <v>1491</v>
      </c>
    </row>
    <row r="3050" spans="1:6">
      <c r="A3050">
        <v>95</v>
      </c>
      <c r="B3050" t="s">
        <v>1778</v>
      </c>
      <c r="C3050">
        <v>357084</v>
      </c>
      <c r="D3050" t="s">
        <v>1567</v>
      </c>
      <c r="E3050" t="s">
        <v>1568</v>
      </c>
      <c r="F3050" t="s">
        <v>1569</v>
      </c>
    </row>
    <row r="3051" spans="1:6">
      <c r="A3051">
        <v>95</v>
      </c>
      <c r="B3051" t="s">
        <v>1778</v>
      </c>
      <c r="C3051">
        <v>43840</v>
      </c>
      <c r="D3051" t="s">
        <v>1496</v>
      </c>
      <c r="E3051" t="s">
        <v>1497</v>
      </c>
      <c r="F3051" t="s">
        <v>1498</v>
      </c>
    </row>
    <row r="3052" spans="1:6">
      <c r="A3052">
        <v>95</v>
      </c>
      <c r="B3052" t="s">
        <v>1778</v>
      </c>
      <c r="C3052">
        <v>413356</v>
      </c>
      <c r="D3052" t="s">
        <v>1324</v>
      </c>
      <c r="E3052" t="s">
        <v>1325</v>
      </c>
      <c r="F3052" t="s">
        <v>1326</v>
      </c>
    </row>
    <row r="3053" spans="1:6">
      <c r="A3053">
        <v>95</v>
      </c>
      <c r="B3053" t="s">
        <v>1778</v>
      </c>
      <c r="C3053">
        <v>20224178</v>
      </c>
      <c r="D3053" t="s">
        <v>1570</v>
      </c>
      <c r="E3053" t="s">
        <v>1571</v>
      </c>
      <c r="F3053" t="s">
        <v>1572</v>
      </c>
    </row>
    <row r="3054" spans="1:6">
      <c r="A3054">
        <v>95</v>
      </c>
      <c r="B3054" t="s">
        <v>1778</v>
      </c>
      <c r="C3054">
        <v>74573</v>
      </c>
      <c r="D3054" t="s">
        <v>1327</v>
      </c>
      <c r="E3054" t="s">
        <v>1328</v>
      </c>
      <c r="F3054" t="s">
        <v>1329</v>
      </c>
    </row>
    <row r="3055" spans="1:6">
      <c r="A3055">
        <v>95</v>
      </c>
      <c r="B3055" t="s">
        <v>1778</v>
      </c>
      <c r="C3055">
        <v>1228359</v>
      </c>
      <c r="D3055" t="s">
        <v>1499</v>
      </c>
      <c r="E3055" t="s">
        <v>1500</v>
      </c>
      <c r="F3055" t="s">
        <v>1501</v>
      </c>
    </row>
    <row r="3056" spans="1:6">
      <c r="A3056">
        <v>95</v>
      </c>
      <c r="B3056" t="s">
        <v>1778</v>
      </c>
      <c r="C3056">
        <v>299945</v>
      </c>
      <c r="D3056" t="s">
        <v>1502</v>
      </c>
      <c r="E3056" t="s">
        <v>1503</v>
      </c>
      <c r="F3056" t="s">
        <v>1504</v>
      </c>
    </row>
    <row r="3057" spans="1:6">
      <c r="A3057">
        <v>95</v>
      </c>
      <c r="B3057" t="s">
        <v>1778</v>
      </c>
      <c r="C3057">
        <v>58891</v>
      </c>
      <c r="D3057" t="s">
        <v>1505</v>
      </c>
      <c r="E3057" t="s">
        <v>1506</v>
      </c>
      <c r="F3057" t="s">
        <v>1507</v>
      </c>
    </row>
    <row r="3058" spans="1:6">
      <c r="A3058">
        <v>95</v>
      </c>
      <c r="B3058" t="s">
        <v>1778</v>
      </c>
      <c r="C3058">
        <v>71425</v>
      </c>
      <c r="D3058" t="s">
        <v>1508</v>
      </c>
      <c r="E3058" t="s">
        <v>1509</v>
      </c>
      <c r="F3058" t="s">
        <v>1510</v>
      </c>
    </row>
    <row r="3059" spans="1:6">
      <c r="A3059">
        <v>95</v>
      </c>
      <c r="B3059" t="s">
        <v>1778</v>
      </c>
      <c r="C3059">
        <v>27000</v>
      </c>
      <c r="D3059" t="s">
        <v>1515</v>
      </c>
      <c r="E3059" t="s">
        <v>1516</v>
      </c>
      <c r="F3059" t="s">
        <v>1517</v>
      </c>
    </row>
    <row r="3060" spans="1:6">
      <c r="A3060">
        <v>95</v>
      </c>
      <c r="B3060" t="s">
        <v>1778</v>
      </c>
      <c r="C3060">
        <v>9253</v>
      </c>
      <c r="D3060" t="s">
        <v>1518</v>
      </c>
      <c r="E3060" t="s">
        <v>1516</v>
      </c>
      <c r="F3060" t="s">
        <v>1519</v>
      </c>
    </row>
    <row r="3061" spans="1:6">
      <c r="A3061">
        <v>95</v>
      </c>
      <c r="B3061" t="s">
        <v>1778</v>
      </c>
      <c r="C3061">
        <v>436266</v>
      </c>
      <c r="D3061" t="s">
        <v>1520</v>
      </c>
      <c r="E3061" t="s">
        <v>1521</v>
      </c>
      <c r="F3061" t="s">
        <v>1522</v>
      </c>
    </row>
    <row r="3062" spans="1:6">
      <c r="A3062">
        <v>95</v>
      </c>
      <c r="B3062" t="s">
        <v>1778</v>
      </c>
      <c r="C3062">
        <v>118210</v>
      </c>
      <c r="D3062" t="s">
        <v>1573</v>
      </c>
      <c r="E3062" t="s">
        <v>1574</v>
      </c>
      <c r="F3062" t="s">
        <v>1575</v>
      </c>
    </row>
    <row r="3063" spans="1:6">
      <c r="A3063">
        <v>95</v>
      </c>
      <c r="B3063" t="s">
        <v>1778</v>
      </c>
      <c r="C3063">
        <v>49938</v>
      </c>
      <c r="D3063" t="s">
        <v>1523</v>
      </c>
      <c r="E3063" t="s">
        <v>1521</v>
      </c>
      <c r="F3063" t="s">
        <v>1524</v>
      </c>
    </row>
    <row r="3064" spans="1:6">
      <c r="A3064">
        <v>95</v>
      </c>
      <c r="B3064" t="s">
        <v>1778</v>
      </c>
      <c r="C3064">
        <v>173278</v>
      </c>
      <c r="D3064" t="s">
        <v>1371</v>
      </c>
      <c r="E3064" t="s">
        <v>1372</v>
      </c>
      <c r="F3064" t="s">
        <v>1373</v>
      </c>
    </row>
    <row r="3065" spans="1:6">
      <c r="A3065">
        <v>95</v>
      </c>
      <c r="B3065" t="s">
        <v>1778</v>
      </c>
      <c r="C3065">
        <v>52158</v>
      </c>
      <c r="D3065" t="s">
        <v>1525</v>
      </c>
      <c r="E3065" t="s">
        <v>1526</v>
      </c>
      <c r="F3065" t="s">
        <v>1527</v>
      </c>
    </row>
    <row r="3066" spans="1:6">
      <c r="A3066">
        <v>95</v>
      </c>
      <c r="B3066" t="s">
        <v>1778</v>
      </c>
      <c r="C3066">
        <v>26594</v>
      </c>
      <c r="D3066" t="s">
        <v>1528</v>
      </c>
      <c r="E3066" t="s">
        <v>1529</v>
      </c>
      <c r="F3066" t="s">
        <v>1530</v>
      </c>
    </row>
    <row r="3067" spans="1:6">
      <c r="A3067">
        <v>95</v>
      </c>
      <c r="B3067" t="s">
        <v>1778</v>
      </c>
      <c r="C3067">
        <v>286191</v>
      </c>
      <c r="D3067" t="s">
        <v>1387</v>
      </c>
      <c r="E3067" t="s">
        <v>1388</v>
      </c>
      <c r="F3067" t="s">
        <v>1389</v>
      </c>
    </row>
    <row r="3068" spans="1:6">
      <c r="A3068">
        <v>95</v>
      </c>
      <c r="B3068" t="s">
        <v>1778</v>
      </c>
      <c r="C3068">
        <v>457944</v>
      </c>
      <c r="D3068" t="s">
        <v>1129</v>
      </c>
      <c r="E3068" t="s">
        <v>1411</v>
      </c>
      <c r="F3068" t="s">
        <v>1412</v>
      </c>
    </row>
    <row r="3069" spans="1:6">
      <c r="A3069">
        <v>95</v>
      </c>
      <c r="B3069" t="s">
        <v>1778</v>
      </c>
      <c r="C3069">
        <v>150000</v>
      </c>
      <c r="D3069" t="s">
        <v>1207</v>
      </c>
      <c r="E3069" t="s">
        <v>1350</v>
      </c>
      <c r="F3069" t="s">
        <v>1351</v>
      </c>
    </row>
    <row r="3070" spans="1:6">
      <c r="A3070">
        <v>95</v>
      </c>
      <c r="B3070" t="s">
        <v>1778</v>
      </c>
      <c r="C3070">
        <v>33334</v>
      </c>
      <c r="D3070" t="s">
        <v>1306</v>
      </c>
      <c r="E3070" t="s">
        <v>1307</v>
      </c>
      <c r="F3070" t="s">
        <v>1308</v>
      </c>
    </row>
    <row r="3071" spans="1:6">
      <c r="A3071">
        <v>95</v>
      </c>
      <c r="B3071" t="s">
        <v>1778</v>
      </c>
      <c r="C3071">
        <v>8985</v>
      </c>
      <c r="D3071" t="s">
        <v>1390</v>
      </c>
      <c r="E3071" t="s">
        <v>1391</v>
      </c>
      <c r="F3071" t="s">
        <v>1392</v>
      </c>
    </row>
    <row r="3072" spans="1:6">
      <c r="A3072">
        <v>95</v>
      </c>
      <c r="B3072" t="s">
        <v>1778</v>
      </c>
      <c r="C3072">
        <v>84593.600000000006</v>
      </c>
      <c r="D3072" t="s">
        <v>1537</v>
      </c>
      <c r="E3072" t="s">
        <v>1538</v>
      </c>
      <c r="F3072" t="s">
        <v>1539</v>
      </c>
    </row>
    <row r="3073" spans="1:6">
      <c r="A3073">
        <v>95</v>
      </c>
      <c r="B3073" t="s">
        <v>1778</v>
      </c>
      <c r="C3073">
        <v>163988.46</v>
      </c>
      <c r="D3073" t="s">
        <v>1540</v>
      </c>
      <c r="E3073" t="s">
        <v>1538</v>
      </c>
      <c r="F3073" t="s">
        <v>1541</v>
      </c>
    </row>
    <row r="3074" spans="1:6">
      <c r="A3074">
        <v>95</v>
      </c>
      <c r="B3074" t="s">
        <v>1778</v>
      </c>
      <c r="C3074">
        <v>354134.84</v>
      </c>
      <c r="D3074" t="s">
        <v>1431</v>
      </c>
      <c r="E3074" t="s">
        <v>1432</v>
      </c>
      <c r="F3074" t="s">
        <v>1433</v>
      </c>
    </row>
    <row r="3075" spans="1:6">
      <c r="A3075">
        <v>95</v>
      </c>
      <c r="B3075" t="s">
        <v>1778</v>
      </c>
      <c r="C3075">
        <v>673541.31</v>
      </c>
      <c r="D3075" t="s">
        <v>1434</v>
      </c>
      <c r="E3075" t="s">
        <v>1432</v>
      </c>
      <c r="F3075" t="s">
        <v>1435</v>
      </c>
    </row>
    <row r="3076" spans="1:6">
      <c r="A3076">
        <v>95</v>
      </c>
      <c r="B3076" t="s">
        <v>1778</v>
      </c>
      <c r="C3076">
        <v>1109000</v>
      </c>
      <c r="D3076" t="s">
        <v>1579</v>
      </c>
      <c r="E3076" t="s">
        <v>1577</v>
      </c>
      <c r="F3076" t="s">
        <v>1580</v>
      </c>
    </row>
    <row r="3077" spans="1:6">
      <c r="A3077">
        <v>95</v>
      </c>
      <c r="B3077" t="s">
        <v>1778</v>
      </c>
      <c r="C3077">
        <v>15300</v>
      </c>
      <c r="D3077" t="s">
        <v>1356</v>
      </c>
      <c r="E3077" t="s">
        <v>1357</v>
      </c>
      <c r="F3077" t="s">
        <v>1358</v>
      </c>
    </row>
    <row r="3078" spans="1:6">
      <c r="A3078">
        <v>95</v>
      </c>
      <c r="B3078" t="s">
        <v>1778</v>
      </c>
      <c r="C3078">
        <v>88917</v>
      </c>
      <c r="D3078" t="s">
        <v>1436</v>
      </c>
      <c r="E3078" t="s">
        <v>1437</v>
      </c>
      <c r="F3078" t="s">
        <v>1438</v>
      </c>
    </row>
    <row r="3079" spans="1:6">
      <c r="A3079">
        <v>95</v>
      </c>
      <c r="B3079" t="s">
        <v>1778</v>
      </c>
      <c r="C3079">
        <v>30310</v>
      </c>
      <c r="D3079" t="s">
        <v>1361</v>
      </c>
      <c r="E3079" t="s">
        <v>1440</v>
      </c>
      <c r="F3079" t="s">
        <v>1362</v>
      </c>
    </row>
    <row r="3080" spans="1:6">
      <c r="A3080">
        <v>95</v>
      </c>
      <c r="B3080" t="s">
        <v>1778</v>
      </c>
      <c r="C3080">
        <v>20356</v>
      </c>
      <c r="D3080" t="s">
        <v>1442</v>
      </c>
      <c r="E3080" t="s">
        <v>1582</v>
      </c>
      <c r="F3080" t="s">
        <v>1443</v>
      </c>
    </row>
    <row r="3081" spans="1:6">
      <c r="A3081">
        <v>95</v>
      </c>
      <c r="B3081" t="s">
        <v>1778</v>
      </c>
      <c r="C3081">
        <v>9735</v>
      </c>
      <c r="D3081" t="s">
        <v>1581</v>
      </c>
      <c r="E3081" t="s">
        <v>1582</v>
      </c>
      <c r="F3081" t="s">
        <v>1583</v>
      </c>
    </row>
    <row r="3082" spans="1:6">
      <c r="A3082">
        <v>95</v>
      </c>
      <c r="B3082" t="s">
        <v>1778</v>
      </c>
      <c r="C3082">
        <v>46000</v>
      </c>
      <c r="D3082" t="s">
        <v>1263</v>
      </c>
      <c r="E3082" t="s">
        <v>1445</v>
      </c>
      <c r="F3082" t="s">
        <v>1583</v>
      </c>
    </row>
    <row r="3083" spans="1:6">
      <c r="A3083">
        <v>95</v>
      </c>
      <c r="B3083" t="s">
        <v>1778</v>
      </c>
      <c r="C3083">
        <v>250000</v>
      </c>
      <c r="D3083" t="s">
        <v>1446</v>
      </c>
      <c r="E3083" t="s">
        <v>1447</v>
      </c>
      <c r="F3083" t="s">
        <v>1448</v>
      </c>
    </row>
    <row r="3084" spans="1:6">
      <c r="A3084">
        <v>95</v>
      </c>
      <c r="B3084" t="s">
        <v>1778</v>
      </c>
      <c r="C3084">
        <v>156432</v>
      </c>
      <c r="D3084" t="s">
        <v>1584</v>
      </c>
      <c r="E3084" t="s">
        <v>1585</v>
      </c>
      <c r="F3084" t="s">
        <v>1586</v>
      </c>
    </row>
    <row r="3085" spans="1:6">
      <c r="A3085">
        <v>95</v>
      </c>
      <c r="B3085" t="s">
        <v>1778</v>
      </c>
      <c r="C3085">
        <v>266000</v>
      </c>
      <c r="D3085" t="s">
        <v>1587</v>
      </c>
      <c r="E3085" t="s">
        <v>1585</v>
      </c>
      <c r="F3085" t="s">
        <v>1588</v>
      </c>
    </row>
    <row r="3086" spans="1:6">
      <c r="A3086">
        <v>95</v>
      </c>
      <c r="B3086" t="s">
        <v>1778</v>
      </c>
      <c r="C3086">
        <v>88000</v>
      </c>
      <c r="D3086" t="s">
        <v>1452</v>
      </c>
      <c r="E3086" t="s">
        <v>1450</v>
      </c>
      <c r="F3086" t="s">
        <v>1453</v>
      </c>
    </row>
    <row r="3087" spans="1:6">
      <c r="A3087">
        <v>95</v>
      </c>
      <c r="B3087" t="s">
        <v>1778</v>
      </c>
      <c r="C3087">
        <v>80178</v>
      </c>
      <c r="D3087" t="s">
        <v>1454</v>
      </c>
      <c r="E3087" t="s">
        <v>1455</v>
      </c>
      <c r="F3087" t="s">
        <v>1456</v>
      </c>
    </row>
    <row r="3088" spans="1:6">
      <c r="A3088">
        <v>95</v>
      </c>
      <c r="B3088" t="s">
        <v>1778</v>
      </c>
      <c r="C3088">
        <v>20000</v>
      </c>
      <c r="D3088" t="s">
        <v>1457</v>
      </c>
      <c r="E3088" t="s">
        <v>1455</v>
      </c>
      <c r="F3088" t="s">
        <v>1458</v>
      </c>
    </row>
    <row r="3089" spans="1:6">
      <c r="A3089">
        <v>95</v>
      </c>
      <c r="B3089" t="s">
        <v>1778</v>
      </c>
      <c r="C3089">
        <v>10279</v>
      </c>
      <c r="D3089" t="s">
        <v>1230</v>
      </c>
      <c r="E3089" t="s">
        <v>1288</v>
      </c>
      <c r="F3089" t="s">
        <v>1231</v>
      </c>
    </row>
    <row r="3090" spans="1:6">
      <c r="A3090">
        <v>95</v>
      </c>
      <c r="B3090" t="s">
        <v>1778</v>
      </c>
      <c r="C3090">
        <v>7980</v>
      </c>
      <c r="D3090" t="s">
        <v>1589</v>
      </c>
      <c r="E3090" t="s">
        <v>1590</v>
      </c>
      <c r="F3090" t="s">
        <v>1591</v>
      </c>
    </row>
    <row r="3091" spans="1:6">
      <c r="A3091">
        <v>95</v>
      </c>
      <c r="B3091" t="s">
        <v>1778</v>
      </c>
      <c r="C3091">
        <v>20500</v>
      </c>
      <c r="D3091" t="s">
        <v>1592</v>
      </c>
      <c r="E3091" t="s">
        <v>1590</v>
      </c>
      <c r="F3091" t="s">
        <v>1593</v>
      </c>
    </row>
    <row r="3092" spans="1:6">
      <c r="A3092">
        <v>95</v>
      </c>
      <c r="B3092" t="s">
        <v>1778</v>
      </c>
      <c r="C3092">
        <v>35000</v>
      </c>
      <c r="D3092" t="s">
        <v>1233</v>
      </c>
      <c r="E3092" t="s">
        <v>1234</v>
      </c>
      <c r="F3092" t="s">
        <v>1235</v>
      </c>
    </row>
    <row r="3093" spans="1:6">
      <c r="A3093">
        <v>95</v>
      </c>
      <c r="B3093" t="s">
        <v>1778</v>
      </c>
      <c r="C3093">
        <v>9709</v>
      </c>
      <c r="D3093" t="s">
        <v>1594</v>
      </c>
      <c r="E3093" t="s">
        <v>1595</v>
      </c>
      <c r="F3093" t="s">
        <v>1596</v>
      </c>
    </row>
    <row r="3094" spans="1:6">
      <c r="A3094">
        <v>95</v>
      </c>
      <c r="B3094" t="s">
        <v>1778</v>
      </c>
      <c r="C3094">
        <v>8363</v>
      </c>
      <c r="D3094" t="s">
        <v>1597</v>
      </c>
      <c r="E3094" t="s">
        <v>1595</v>
      </c>
      <c r="F3094" t="s">
        <v>1598</v>
      </c>
    </row>
    <row r="3095" spans="1:6">
      <c r="A3095">
        <v>95</v>
      </c>
      <c r="B3095" t="s">
        <v>1778</v>
      </c>
      <c r="C3095">
        <v>474965</v>
      </c>
      <c r="D3095" t="s">
        <v>1599</v>
      </c>
      <c r="E3095" t="s">
        <v>1600</v>
      </c>
      <c r="F3095" t="s">
        <v>1601</v>
      </c>
    </row>
    <row r="3096" spans="1:6">
      <c r="A3096">
        <v>95</v>
      </c>
      <c r="B3096" t="s">
        <v>1778</v>
      </c>
      <c r="C3096">
        <v>290000</v>
      </c>
      <c r="D3096" t="s">
        <v>1602</v>
      </c>
      <c r="E3096" t="s">
        <v>1600</v>
      </c>
      <c r="F3096" t="s">
        <v>1603</v>
      </c>
    </row>
    <row r="3097" spans="1:6">
      <c r="A3097">
        <v>95</v>
      </c>
      <c r="B3097" t="s">
        <v>1778</v>
      </c>
      <c r="C3097">
        <v>11923</v>
      </c>
      <c r="D3097" t="s">
        <v>1459</v>
      </c>
      <c r="E3097" t="s">
        <v>1605</v>
      </c>
      <c r="F3097" t="s">
        <v>1460</v>
      </c>
    </row>
    <row r="3098" spans="1:6">
      <c r="A3098">
        <v>95</v>
      </c>
      <c r="B3098" t="s">
        <v>1778</v>
      </c>
      <c r="C3098">
        <v>16000</v>
      </c>
      <c r="D3098" t="s">
        <v>1604</v>
      </c>
      <c r="E3098" t="s">
        <v>1605</v>
      </c>
      <c r="F3098" t="s">
        <v>1606</v>
      </c>
    </row>
    <row r="3099" spans="1:6">
      <c r="A3099">
        <v>95</v>
      </c>
      <c r="B3099" t="s">
        <v>1778</v>
      </c>
      <c r="C3099">
        <v>200494</v>
      </c>
      <c r="D3099" t="s">
        <v>1464</v>
      </c>
      <c r="E3099" t="s">
        <v>1462</v>
      </c>
      <c r="F3099" t="s">
        <v>1465</v>
      </c>
    </row>
    <row r="3100" spans="1:6">
      <c r="A3100">
        <v>95</v>
      </c>
      <c r="B3100" t="s">
        <v>1778</v>
      </c>
      <c r="C3100">
        <v>139747</v>
      </c>
      <c r="D3100" t="s">
        <v>1131</v>
      </c>
      <c r="E3100" t="s">
        <v>1462</v>
      </c>
      <c r="F3100" t="s">
        <v>1465</v>
      </c>
    </row>
    <row r="3101" spans="1:6">
      <c r="A3101">
        <v>95</v>
      </c>
      <c r="B3101" t="s">
        <v>1778</v>
      </c>
      <c r="C3101">
        <v>25000</v>
      </c>
      <c r="D3101" t="s">
        <v>1466</v>
      </c>
      <c r="E3101" t="s">
        <v>1467</v>
      </c>
      <c r="F3101" t="s">
        <v>1468</v>
      </c>
    </row>
    <row r="3102" spans="1:6">
      <c r="A3102">
        <v>95</v>
      </c>
      <c r="B3102" t="s">
        <v>1778</v>
      </c>
      <c r="C3102">
        <v>45000</v>
      </c>
      <c r="D3102" t="s">
        <v>1273</v>
      </c>
      <c r="E3102" t="s">
        <v>1274</v>
      </c>
      <c r="F3102" t="s">
        <v>1275</v>
      </c>
    </row>
    <row r="3103" spans="1:6">
      <c r="A3103">
        <v>95</v>
      </c>
      <c r="B3103" t="s">
        <v>1778</v>
      </c>
      <c r="C3103">
        <v>2100</v>
      </c>
      <c r="D3103" t="s">
        <v>1472</v>
      </c>
      <c r="E3103" t="s">
        <v>1473</v>
      </c>
      <c r="F3103" t="s">
        <v>1474</v>
      </c>
    </row>
    <row r="3104" spans="1:6">
      <c r="A3104">
        <v>95</v>
      </c>
      <c r="B3104" t="s">
        <v>1778</v>
      </c>
      <c r="C3104">
        <v>205204.51</v>
      </c>
      <c r="D3104" t="s">
        <v>1475</v>
      </c>
      <c r="E3104" t="s">
        <v>1476</v>
      </c>
      <c r="F3104" t="s">
        <v>1477</v>
      </c>
    </row>
    <row r="3105" spans="1:6">
      <c r="A3105">
        <v>95</v>
      </c>
      <c r="B3105" t="s">
        <v>1778</v>
      </c>
      <c r="C3105">
        <v>326028.56</v>
      </c>
      <c r="D3105" t="s">
        <v>1365</v>
      </c>
      <c r="E3105" t="s">
        <v>1366</v>
      </c>
      <c r="F3105" t="s">
        <v>1367</v>
      </c>
    </row>
    <row r="3106" spans="1:6">
      <c r="A3106">
        <v>95</v>
      </c>
      <c r="B3106" t="s">
        <v>1778</v>
      </c>
      <c r="C3106">
        <v>8034010</v>
      </c>
      <c r="D3106" t="s">
        <v>1610</v>
      </c>
      <c r="E3106" t="s">
        <v>1481</v>
      </c>
      <c r="F3106" t="s">
        <v>1482</v>
      </c>
    </row>
    <row r="3107" spans="1:6">
      <c r="A3107">
        <v>95</v>
      </c>
      <c r="B3107" t="s">
        <v>1778</v>
      </c>
      <c r="C3107">
        <v>3512543</v>
      </c>
      <c r="D3107" t="s">
        <v>1418</v>
      </c>
      <c r="E3107" t="s">
        <v>1419</v>
      </c>
      <c r="F3107" t="s">
        <v>1420</v>
      </c>
    </row>
    <row r="3108" spans="1:6">
      <c r="A3108">
        <v>96</v>
      </c>
      <c r="B3108" t="s">
        <v>1779</v>
      </c>
      <c r="C3108">
        <v>35663</v>
      </c>
      <c r="D3108" t="s">
        <v>1486</v>
      </c>
      <c r="E3108" t="s">
        <v>1487</v>
      </c>
      <c r="F3108" t="s">
        <v>1488</v>
      </c>
    </row>
    <row r="3109" spans="1:6">
      <c r="A3109">
        <v>96</v>
      </c>
      <c r="B3109" t="s">
        <v>1779</v>
      </c>
      <c r="C3109">
        <v>16680</v>
      </c>
      <c r="D3109" t="s">
        <v>1489</v>
      </c>
      <c r="E3109" t="s">
        <v>1490</v>
      </c>
      <c r="F3109" t="s">
        <v>1491</v>
      </c>
    </row>
    <row r="3110" spans="1:6">
      <c r="A3110">
        <v>96</v>
      </c>
      <c r="B3110" t="s">
        <v>1779</v>
      </c>
      <c r="C3110">
        <v>387694</v>
      </c>
      <c r="D3110" t="s">
        <v>1567</v>
      </c>
      <c r="E3110" t="s">
        <v>1568</v>
      </c>
      <c r="F3110" t="s">
        <v>1569</v>
      </c>
    </row>
    <row r="3111" spans="1:6">
      <c r="A3111">
        <v>96</v>
      </c>
      <c r="B3111" t="s">
        <v>1779</v>
      </c>
      <c r="C3111">
        <v>5597</v>
      </c>
      <c r="D3111" t="s">
        <v>1496</v>
      </c>
      <c r="E3111" t="s">
        <v>1497</v>
      </c>
      <c r="F3111" t="s">
        <v>1498</v>
      </c>
    </row>
    <row r="3112" spans="1:6">
      <c r="A3112">
        <v>96</v>
      </c>
      <c r="B3112" t="s">
        <v>1779</v>
      </c>
      <c r="C3112">
        <v>10769214</v>
      </c>
      <c r="D3112" t="s">
        <v>1570</v>
      </c>
      <c r="E3112" t="s">
        <v>1571</v>
      </c>
      <c r="F3112" t="s">
        <v>1572</v>
      </c>
    </row>
    <row r="3113" spans="1:6">
      <c r="A3113">
        <v>96</v>
      </c>
      <c r="B3113" t="s">
        <v>1779</v>
      </c>
      <c r="C3113">
        <v>235865</v>
      </c>
      <c r="D3113" t="s">
        <v>1520</v>
      </c>
      <c r="E3113" t="s">
        <v>1521</v>
      </c>
      <c r="F3113" t="s">
        <v>1522</v>
      </c>
    </row>
    <row r="3114" spans="1:6">
      <c r="A3114">
        <v>96</v>
      </c>
      <c r="B3114" t="s">
        <v>1779</v>
      </c>
      <c r="C3114">
        <v>885550</v>
      </c>
      <c r="D3114" t="s">
        <v>1573</v>
      </c>
      <c r="E3114" t="s">
        <v>1574</v>
      </c>
      <c r="F3114" t="s">
        <v>1575</v>
      </c>
    </row>
    <row r="3115" spans="1:6">
      <c r="A3115">
        <v>96</v>
      </c>
      <c r="B3115" t="s">
        <v>1779</v>
      </c>
      <c r="C3115">
        <v>10778</v>
      </c>
      <c r="D3115" t="s">
        <v>1523</v>
      </c>
      <c r="E3115" t="s">
        <v>1521</v>
      </c>
      <c r="F3115" t="s">
        <v>1524</v>
      </c>
    </row>
    <row r="3116" spans="1:6">
      <c r="A3116">
        <v>96</v>
      </c>
      <c r="B3116" t="s">
        <v>1779</v>
      </c>
      <c r="C3116">
        <v>6969</v>
      </c>
      <c r="D3116" t="s">
        <v>1525</v>
      </c>
      <c r="E3116" t="s">
        <v>1526</v>
      </c>
      <c r="F3116" t="s">
        <v>1527</v>
      </c>
    </row>
    <row r="3117" spans="1:6">
      <c r="A3117">
        <v>96</v>
      </c>
      <c r="B3117" t="s">
        <v>1779</v>
      </c>
      <c r="C3117">
        <v>21498</v>
      </c>
      <c r="D3117" t="s">
        <v>1528</v>
      </c>
      <c r="E3117" t="s">
        <v>1529</v>
      </c>
      <c r="F3117" t="s">
        <v>1530</v>
      </c>
    </row>
    <row r="3118" spans="1:6">
      <c r="A3118">
        <v>96</v>
      </c>
      <c r="B3118" t="s">
        <v>1779</v>
      </c>
      <c r="C3118">
        <v>19500</v>
      </c>
      <c r="D3118" t="s">
        <v>1387</v>
      </c>
      <c r="E3118" t="s">
        <v>1388</v>
      </c>
      <c r="F3118" t="s">
        <v>1389</v>
      </c>
    </row>
    <row r="3119" spans="1:6">
      <c r="A3119">
        <v>96</v>
      </c>
      <c r="B3119" t="s">
        <v>1779</v>
      </c>
      <c r="C3119">
        <v>86051</v>
      </c>
      <c r="D3119" t="s">
        <v>1390</v>
      </c>
      <c r="E3119" t="s">
        <v>1391</v>
      </c>
      <c r="F3119" t="s">
        <v>1392</v>
      </c>
    </row>
    <row r="3120" spans="1:6">
      <c r="A3120">
        <v>96</v>
      </c>
      <c r="B3120" t="s">
        <v>1779</v>
      </c>
      <c r="C3120">
        <v>4424.58</v>
      </c>
      <c r="D3120" t="s">
        <v>1537</v>
      </c>
      <c r="E3120" t="s">
        <v>1538</v>
      </c>
      <c r="F3120" t="s">
        <v>1539</v>
      </c>
    </row>
    <row r="3121" spans="1:6">
      <c r="A3121">
        <v>96</v>
      </c>
      <c r="B3121" t="s">
        <v>1779</v>
      </c>
      <c r="C3121">
        <v>11035.57</v>
      </c>
      <c r="D3121" t="s">
        <v>1540</v>
      </c>
      <c r="E3121" t="s">
        <v>1538</v>
      </c>
      <c r="F3121" t="s">
        <v>1541</v>
      </c>
    </row>
    <row r="3122" spans="1:6">
      <c r="A3122">
        <v>96</v>
      </c>
      <c r="B3122" t="s">
        <v>1779</v>
      </c>
      <c r="C3122">
        <v>64472.12</v>
      </c>
      <c r="D3122" t="s">
        <v>1431</v>
      </c>
      <c r="E3122" t="s">
        <v>1432</v>
      </c>
      <c r="F3122" t="s">
        <v>1433</v>
      </c>
    </row>
    <row r="3123" spans="1:6">
      <c r="A3123">
        <v>96</v>
      </c>
      <c r="B3123" t="s">
        <v>1779</v>
      </c>
      <c r="C3123">
        <v>148658.34</v>
      </c>
      <c r="D3123" t="s">
        <v>1434</v>
      </c>
      <c r="E3123" t="s">
        <v>1432</v>
      </c>
      <c r="F3123" t="s">
        <v>1435</v>
      </c>
    </row>
    <row r="3124" spans="1:6">
      <c r="A3124">
        <v>96</v>
      </c>
      <c r="B3124" t="s">
        <v>1779</v>
      </c>
      <c r="C3124">
        <v>24986</v>
      </c>
      <c r="D3124" t="s">
        <v>1576</v>
      </c>
      <c r="E3124" t="s">
        <v>1577</v>
      </c>
      <c r="F3124" t="s">
        <v>1578</v>
      </c>
    </row>
    <row r="3125" spans="1:6">
      <c r="A3125">
        <v>96</v>
      </c>
      <c r="B3125" t="s">
        <v>1779</v>
      </c>
      <c r="C3125">
        <v>110640</v>
      </c>
      <c r="D3125" t="s">
        <v>1579</v>
      </c>
      <c r="E3125" t="s">
        <v>1577</v>
      </c>
      <c r="F3125" t="s">
        <v>1580</v>
      </c>
    </row>
    <row r="3126" spans="1:6">
      <c r="A3126">
        <v>96</v>
      </c>
      <c r="B3126" t="s">
        <v>1779</v>
      </c>
      <c r="C3126">
        <v>39065</v>
      </c>
      <c r="D3126" t="s">
        <v>1436</v>
      </c>
      <c r="E3126" t="s">
        <v>1437</v>
      </c>
      <c r="F3126" t="s">
        <v>1438</v>
      </c>
    </row>
    <row r="3127" spans="1:6">
      <c r="A3127">
        <v>96</v>
      </c>
      <c r="B3127" t="s">
        <v>1779</v>
      </c>
      <c r="C3127">
        <v>3058</v>
      </c>
      <c r="D3127" t="s">
        <v>1442</v>
      </c>
      <c r="E3127" t="s">
        <v>1582</v>
      </c>
      <c r="F3127" t="s">
        <v>1443</v>
      </c>
    </row>
    <row r="3128" spans="1:6">
      <c r="A3128">
        <v>96</v>
      </c>
      <c r="B3128" t="s">
        <v>1779</v>
      </c>
      <c r="C3128">
        <v>8595</v>
      </c>
      <c r="D3128" t="s">
        <v>1584</v>
      </c>
      <c r="E3128" t="s">
        <v>1585</v>
      </c>
      <c r="F3128" t="s">
        <v>1586</v>
      </c>
    </row>
    <row r="3129" spans="1:6">
      <c r="A3129">
        <v>96</v>
      </c>
      <c r="B3129" t="s">
        <v>1779</v>
      </c>
      <c r="C3129">
        <v>86439</v>
      </c>
      <c r="D3129" t="s">
        <v>1587</v>
      </c>
      <c r="E3129" t="s">
        <v>1585</v>
      </c>
      <c r="F3129" t="s">
        <v>1588</v>
      </c>
    </row>
    <row r="3130" spans="1:6">
      <c r="A3130">
        <v>96</v>
      </c>
      <c r="B3130" t="s">
        <v>1779</v>
      </c>
      <c r="C3130">
        <v>15492</v>
      </c>
      <c r="D3130" t="s">
        <v>1457</v>
      </c>
      <c r="E3130" t="s">
        <v>1455</v>
      </c>
      <c r="F3130" t="s">
        <v>1458</v>
      </c>
    </row>
    <row r="3131" spans="1:6">
      <c r="A3131">
        <v>96</v>
      </c>
      <c r="B3131" t="s">
        <v>1779</v>
      </c>
      <c r="C3131">
        <v>14348</v>
      </c>
      <c r="D3131" t="s">
        <v>1589</v>
      </c>
      <c r="E3131" t="s">
        <v>1590</v>
      </c>
      <c r="F3131" t="s">
        <v>1591</v>
      </c>
    </row>
    <row r="3132" spans="1:6">
      <c r="A3132">
        <v>96</v>
      </c>
      <c r="B3132" t="s">
        <v>1779</v>
      </c>
      <c r="C3132">
        <v>1088</v>
      </c>
      <c r="D3132" t="s">
        <v>1594</v>
      </c>
      <c r="E3132" t="s">
        <v>1595</v>
      </c>
      <c r="F3132" t="s">
        <v>1596</v>
      </c>
    </row>
    <row r="3133" spans="1:6">
      <c r="A3133">
        <v>96</v>
      </c>
      <c r="B3133" t="s">
        <v>1779</v>
      </c>
      <c r="C3133">
        <v>654750</v>
      </c>
      <c r="D3133" t="s">
        <v>1599</v>
      </c>
      <c r="E3133" t="s">
        <v>1600</v>
      </c>
      <c r="F3133" t="s">
        <v>1601</v>
      </c>
    </row>
    <row r="3134" spans="1:6">
      <c r="A3134">
        <v>96</v>
      </c>
      <c r="B3134" t="s">
        <v>1779</v>
      </c>
      <c r="C3134">
        <v>160000</v>
      </c>
      <c r="D3134" t="s">
        <v>1602</v>
      </c>
      <c r="E3134" t="s">
        <v>1600</v>
      </c>
      <c r="F3134" t="s">
        <v>1603</v>
      </c>
    </row>
    <row r="3135" spans="1:6">
      <c r="A3135">
        <v>96</v>
      </c>
      <c r="B3135" t="s">
        <v>1779</v>
      </c>
      <c r="C3135">
        <v>24566</v>
      </c>
      <c r="D3135" t="s">
        <v>1459</v>
      </c>
      <c r="E3135" t="s">
        <v>1605</v>
      </c>
      <c r="F3135" t="s">
        <v>1460</v>
      </c>
    </row>
    <row r="3136" spans="1:6">
      <c r="A3136">
        <v>96</v>
      </c>
      <c r="B3136" t="s">
        <v>1779</v>
      </c>
      <c r="C3136">
        <v>467796.79</v>
      </c>
      <c r="D3136" t="s">
        <v>1475</v>
      </c>
      <c r="E3136" t="s">
        <v>1476</v>
      </c>
      <c r="F3136" t="s">
        <v>1477</v>
      </c>
    </row>
    <row r="3137" spans="1:6">
      <c r="A3137">
        <v>96</v>
      </c>
      <c r="B3137" t="s">
        <v>1779</v>
      </c>
      <c r="C3137">
        <v>101749.57</v>
      </c>
      <c r="D3137" t="s">
        <v>1478</v>
      </c>
      <c r="E3137" t="s">
        <v>1479</v>
      </c>
      <c r="F3137" t="s">
        <v>1480</v>
      </c>
    </row>
    <row r="3138" spans="1:6">
      <c r="A3138">
        <v>96</v>
      </c>
      <c r="B3138" t="s">
        <v>1779</v>
      </c>
      <c r="C3138">
        <v>1262868.8799999999</v>
      </c>
      <c r="D3138" t="s">
        <v>1365</v>
      </c>
      <c r="E3138" t="s">
        <v>1366</v>
      </c>
      <c r="F3138" t="s">
        <v>1367</v>
      </c>
    </row>
    <row r="3139" spans="1:6">
      <c r="A3139">
        <v>97</v>
      </c>
      <c r="B3139" t="s">
        <v>1780</v>
      </c>
      <c r="C3139">
        <v>16129</v>
      </c>
      <c r="D3139" t="s">
        <v>1489</v>
      </c>
      <c r="E3139" t="s">
        <v>1490</v>
      </c>
      <c r="F3139" t="s">
        <v>1491</v>
      </c>
    </row>
    <row r="3140" spans="1:6">
      <c r="A3140">
        <v>97</v>
      </c>
      <c r="B3140" t="s">
        <v>1780</v>
      </c>
      <c r="C3140">
        <v>177498</v>
      </c>
      <c r="D3140" t="s">
        <v>1567</v>
      </c>
      <c r="E3140" t="s">
        <v>1568</v>
      </c>
      <c r="F3140" t="s">
        <v>1569</v>
      </c>
    </row>
    <row r="3141" spans="1:6">
      <c r="A3141">
        <v>97</v>
      </c>
      <c r="B3141" t="s">
        <v>1780</v>
      </c>
      <c r="C3141">
        <v>12783</v>
      </c>
      <c r="D3141" t="s">
        <v>1496</v>
      </c>
      <c r="E3141" t="s">
        <v>1497</v>
      </c>
      <c r="F3141" t="s">
        <v>1498</v>
      </c>
    </row>
    <row r="3142" spans="1:6">
      <c r="A3142">
        <v>97</v>
      </c>
      <c r="B3142" t="s">
        <v>1780</v>
      </c>
      <c r="C3142">
        <v>4015426</v>
      </c>
      <c r="D3142" t="s">
        <v>1570</v>
      </c>
      <c r="E3142" t="s">
        <v>1571</v>
      </c>
      <c r="F3142" t="s">
        <v>1572</v>
      </c>
    </row>
    <row r="3143" spans="1:6">
      <c r="A3143">
        <v>97</v>
      </c>
      <c r="B3143" t="s">
        <v>1780</v>
      </c>
      <c r="C3143">
        <v>208386</v>
      </c>
      <c r="D3143" t="s">
        <v>1520</v>
      </c>
      <c r="E3143" t="s">
        <v>1521</v>
      </c>
      <c r="F3143" t="s">
        <v>1522</v>
      </c>
    </row>
    <row r="3144" spans="1:6">
      <c r="A3144">
        <v>97</v>
      </c>
      <c r="B3144" t="s">
        <v>1780</v>
      </c>
      <c r="C3144">
        <v>853991</v>
      </c>
      <c r="D3144" t="s">
        <v>1573</v>
      </c>
      <c r="E3144" t="s">
        <v>1574</v>
      </c>
      <c r="F3144" t="s">
        <v>1575</v>
      </c>
    </row>
    <row r="3145" spans="1:6">
      <c r="A3145">
        <v>97</v>
      </c>
      <c r="B3145" t="s">
        <v>1780</v>
      </c>
      <c r="C3145">
        <v>6105</v>
      </c>
      <c r="D3145" t="s">
        <v>1523</v>
      </c>
      <c r="E3145" t="s">
        <v>1521</v>
      </c>
      <c r="F3145" t="s">
        <v>1524</v>
      </c>
    </row>
    <row r="3146" spans="1:6">
      <c r="A3146">
        <v>97</v>
      </c>
      <c r="B3146" t="s">
        <v>1780</v>
      </c>
      <c r="C3146">
        <v>19515</v>
      </c>
      <c r="D3146" t="s">
        <v>1525</v>
      </c>
      <c r="E3146" t="s">
        <v>1526</v>
      </c>
      <c r="F3146" t="s">
        <v>1527</v>
      </c>
    </row>
    <row r="3147" spans="1:6">
      <c r="A3147">
        <v>97</v>
      </c>
      <c r="B3147" t="s">
        <v>1780</v>
      </c>
      <c r="C3147">
        <v>21275</v>
      </c>
      <c r="D3147" t="s">
        <v>1528</v>
      </c>
      <c r="E3147" t="s">
        <v>1529</v>
      </c>
      <c r="F3147" t="s">
        <v>1530</v>
      </c>
    </row>
    <row r="3148" spans="1:6">
      <c r="A3148">
        <v>97</v>
      </c>
      <c r="B3148" t="s">
        <v>1780</v>
      </c>
      <c r="C3148">
        <v>24700</v>
      </c>
      <c r="D3148" t="s">
        <v>1387</v>
      </c>
      <c r="E3148" t="s">
        <v>1388</v>
      </c>
      <c r="F3148" t="s">
        <v>1389</v>
      </c>
    </row>
    <row r="3149" spans="1:6">
      <c r="A3149">
        <v>97</v>
      </c>
      <c r="B3149" t="s">
        <v>1780</v>
      </c>
      <c r="C3149">
        <v>71400</v>
      </c>
      <c r="D3149" t="s">
        <v>1390</v>
      </c>
      <c r="E3149" t="s">
        <v>1391</v>
      </c>
      <c r="F3149" t="s">
        <v>1392</v>
      </c>
    </row>
    <row r="3150" spans="1:6">
      <c r="A3150">
        <v>97</v>
      </c>
      <c r="B3150" t="s">
        <v>1780</v>
      </c>
      <c r="C3150">
        <v>589.47</v>
      </c>
      <c r="D3150" t="s">
        <v>1374</v>
      </c>
      <c r="E3150" t="s">
        <v>1375</v>
      </c>
      <c r="F3150" t="s">
        <v>1376</v>
      </c>
    </row>
    <row r="3151" spans="1:6">
      <c r="A3151">
        <v>97</v>
      </c>
      <c r="B3151" t="s">
        <v>1780</v>
      </c>
      <c r="C3151">
        <v>1890.96</v>
      </c>
      <c r="D3151" t="s">
        <v>1377</v>
      </c>
      <c r="E3151" t="s">
        <v>1375</v>
      </c>
      <c r="F3151" t="s">
        <v>1378</v>
      </c>
    </row>
    <row r="3152" spans="1:6">
      <c r="A3152">
        <v>97</v>
      </c>
      <c r="B3152" t="s">
        <v>1780</v>
      </c>
      <c r="C3152">
        <v>541.67999999999995</v>
      </c>
      <c r="D3152" t="s">
        <v>1537</v>
      </c>
      <c r="E3152" t="s">
        <v>1538</v>
      </c>
      <c r="F3152" t="s">
        <v>1539</v>
      </c>
    </row>
    <row r="3153" spans="1:6">
      <c r="A3153">
        <v>97</v>
      </c>
      <c r="B3153" t="s">
        <v>1780</v>
      </c>
      <c r="C3153">
        <v>1168.77</v>
      </c>
      <c r="D3153" t="s">
        <v>1540</v>
      </c>
      <c r="E3153" t="s">
        <v>1538</v>
      </c>
      <c r="F3153" t="s">
        <v>1541</v>
      </c>
    </row>
    <row r="3154" spans="1:6">
      <c r="A3154">
        <v>97</v>
      </c>
      <c r="B3154" t="s">
        <v>1780</v>
      </c>
      <c r="C3154">
        <v>5906</v>
      </c>
      <c r="D3154" t="s">
        <v>1220</v>
      </c>
      <c r="E3154" t="s">
        <v>1221</v>
      </c>
      <c r="F3154" t="s">
        <v>1222</v>
      </c>
    </row>
    <row r="3155" spans="1:6">
      <c r="A3155">
        <v>97</v>
      </c>
      <c r="B3155" t="s">
        <v>1780</v>
      </c>
      <c r="C3155">
        <v>7587</v>
      </c>
      <c r="D3155" t="s">
        <v>1223</v>
      </c>
      <c r="E3155" t="s">
        <v>1221</v>
      </c>
      <c r="F3155" t="s">
        <v>1224</v>
      </c>
    </row>
    <row r="3156" spans="1:6">
      <c r="A3156">
        <v>97</v>
      </c>
      <c r="B3156" t="s">
        <v>1780</v>
      </c>
      <c r="C3156">
        <v>825</v>
      </c>
      <c r="D3156" t="s">
        <v>1225</v>
      </c>
      <c r="E3156" t="s">
        <v>1226</v>
      </c>
      <c r="F3156" t="s">
        <v>1227</v>
      </c>
    </row>
    <row r="3157" spans="1:6">
      <c r="A3157">
        <v>97</v>
      </c>
      <c r="B3157" t="s">
        <v>1780</v>
      </c>
      <c r="C3157">
        <v>1146</v>
      </c>
      <c r="D3157" t="s">
        <v>1228</v>
      </c>
      <c r="E3157" t="s">
        <v>1226</v>
      </c>
      <c r="F3157" t="s">
        <v>1229</v>
      </c>
    </row>
    <row r="3158" spans="1:6">
      <c r="A3158">
        <v>97</v>
      </c>
      <c r="B3158" t="s">
        <v>1780</v>
      </c>
      <c r="C3158">
        <v>21625.66</v>
      </c>
      <c r="D3158" t="s">
        <v>1431</v>
      </c>
      <c r="E3158" t="s">
        <v>1432</v>
      </c>
      <c r="F3158" t="s">
        <v>1433</v>
      </c>
    </row>
    <row r="3159" spans="1:6">
      <c r="A3159">
        <v>97</v>
      </c>
      <c r="B3159" t="s">
        <v>1780</v>
      </c>
      <c r="C3159">
        <v>80634.009999999995</v>
      </c>
      <c r="D3159" t="s">
        <v>1434</v>
      </c>
      <c r="E3159" t="s">
        <v>1432</v>
      </c>
      <c r="F3159" t="s">
        <v>1435</v>
      </c>
    </row>
    <row r="3160" spans="1:6">
      <c r="A3160">
        <v>97</v>
      </c>
      <c r="B3160" t="s">
        <v>1780</v>
      </c>
      <c r="C3160">
        <v>10286</v>
      </c>
      <c r="D3160" t="s">
        <v>1132</v>
      </c>
      <c r="E3160" t="s">
        <v>1169</v>
      </c>
      <c r="F3160" t="s">
        <v>1133</v>
      </c>
    </row>
    <row r="3161" spans="1:6">
      <c r="A3161">
        <v>97</v>
      </c>
      <c r="B3161" t="s">
        <v>1780</v>
      </c>
      <c r="C3161">
        <v>3100</v>
      </c>
      <c r="D3161" t="s">
        <v>1168</v>
      </c>
      <c r="E3161" t="s">
        <v>1169</v>
      </c>
      <c r="F3161" t="s">
        <v>1354</v>
      </c>
    </row>
    <row r="3162" spans="1:6">
      <c r="A3162">
        <v>97</v>
      </c>
      <c r="B3162" t="s">
        <v>1780</v>
      </c>
      <c r="C3162">
        <v>31218</v>
      </c>
      <c r="D3162" t="s">
        <v>1576</v>
      </c>
      <c r="E3162" t="s">
        <v>1577</v>
      </c>
      <c r="F3162" t="s">
        <v>1578</v>
      </c>
    </row>
    <row r="3163" spans="1:6">
      <c r="A3163">
        <v>97</v>
      </c>
      <c r="B3163" t="s">
        <v>1780</v>
      </c>
      <c r="C3163">
        <v>135000</v>
      </c>
      <c r="D3163" t="s">
        <v>1579</v>
      </c>
      <c r="E3163" t="s">
        <v>1577</v>
      </c>
      <c r="F3163" t="s">
        <v>1580</v>
      </c>
    </row>
    <row r="3164" spans="1:6">
      <c r="A3164">
        <v>97</v>
      </c>
      <c r="B3164" t="s">
        <v>1780</v>
      </c>
      <c r="C3164">
        <v>35337</v>
      </c>
      <c r="D3164" t="s">
        <v>1436</v>
      </c>
      <c r="E3164" t="s">
        <v>1437</v>
      </c>
      <c r="F3164" t="s">
        <v>1438</v>
      </c>
    </row>
    <row r="3165" spans="1:6">
      <c r="A3165">
        <v>97</v>
      </c>
      <c r="B3165" t="s">
        <v>1780</v>
      </c>
      <c r="C3165">
        <v>1885</v>
      </c>
      <c r="D3165" t="s">
        <v>1442</v>
      </c>
      <c r="E3165" t="s">
        <v>1582</v>
      </c>
      <c r="F3165" t="s">
        <v>1443</v>
      </c>
    </row>
    <row r="3166" spans="1:6">
      <c r="A3166">
        <v>97</v>
      </c>
      <c r="B3166" t="s">
        <v>1780</v>
      </c>
      <c r="C3166">
        <v>39282</v>
      </c>
      <c r="D3166" t="s">
        <v>1584</v>
      </c>
      <c r="E3166" t="s">
        <v>1585</v>
      </c>
      <c r="F3166" t="s">
        <v>1586</v>
      </c>
    </row>
    <row r="3167" spans="1:6">
      <c r="A3167">
        <v>97</v>
      </c>
      <c r="B3167" t="s">
        <v>1780</v>
      </c>
      <c r="C3167">
        <v>51600</v>
      </c>
      <c r="D3167" t="s">
        <v>1587</v>
      </c>
      <c r="E3167" t="s">
        <v>1585</v>
      </c>
      <c r="F3167" t="s">
        <v>1588</v>
      </c>
    </row>
    <row r="3168" spans="1:6">
      <c r="A3168">
        <v>97</v>
      </c>
      <c r="B3168" t="s">
        <v>1780</v>
      </c>
      <c r="C3168">
        <v>3278</v>
      </c>
      <c r="D3168" t="s">
        <v>1589</v>
      </c>
      <c r="E3168" t="s">
        <v>1590</v>
      </c>
      <c r="F3168" t="s">
        <v>1591</v>
      </c>
    </row>
    <row r="3169" spans="1:6">
      <c r="A3169">
        <v>97</v>
      </c>
      <c r="B3169" t="s">
        <v>1780</v>
      </c>
      <c r="C3169">
        <v>9400</v>
      </c>
      <c r="D3169" t="s">
        <v>1592</v>
      </c>
      <c r="E3169" t="s">
        <v>1590</v>
      </c>
      <c r="F3169" t="s">
        <v>1593</v>
      </c>
    </row>
    <row r="3170" spans="1:6">
      <c r="A3170">
        <v>97</v>
      </c>
      <c r="B3170" t="s">
        <v>1780</v>
      </c>
      <c r="C3170">
        <v>1043</v>
      </c>
      <c r="D3170" t="s">
        <v>1594</v>
      </c>
      <c r="E3170" t="s">
        <v>1595</v>
      </c>
      <c r="F3170" t="s">
        <v>1596</v>
      </c>
    </row>
    <row r="3171" spans="1:6">
      <c r="A3171">
        <v>97</v>
      </c>
      <c r="B3171" t="s">
        <v>1780</v>
      </c>
      <c r="C3171">
        <v>4894</v>
      </c>
      <c r="D3171" t="s">
        <v>1597</v>
      </c>
      <c r="E3171" t="s">
        <v>1595</v>
      </c>
      <c r="F3171" t="s">
        <v>1598</v>
      </c>
    </row>
    <row r="3172" spans="1:6">
      <c r="A3172">
        <v>97</v>
      </c>
      <c r="B3172" t="s">
        <v>1780</v>
      </c>
      <c r="C3172">
        <v>125346</v>
      </c>
      <c r="D3172" t="s">
        <v>1599</v>
      </c>
      <c r="E3172" t="s">
        <v>1600</v>
      </c>
      <c r="F3172" t="s">
        <v>1601</v>
      </c>
    </row>
    <row r="3173" spans="1:6">
      <c r="A3173">
        <v>97</v>
      </c>
      <c r="B3173" t="s">
        <v>1780</v>
      </c>
      <c r="C3173">
        <v>670000</v>
      </c>
      <c r="D3173" t="s">
        <v>1602</v>
      </c>
      <c r="E3173" t="s">
        <v>1600</v>
      </c>
      <c r="F3173" t="s">
        <v>1603</v>
      </c>
    </row>
    <row r="3174" spans="1:6">
      <c r="A3174">
        <v>97</v>
      </c>
      <c r="B3174" t="s">
        <v>1780</v>
      </c>
      <c r="C3174">
        <v>29127</v>
      </c>
      <c r="D3174" t="s">
        <v>1459</v>
      </c>
      <c r="E3174" t="s">
        <v>1605</v>
      </c>
      <c r="F3174" t="s">
        <v>1460</v>
      </c>
    </row>
    <row r="3175" spans="1:6">
      <c r="A3175">
        <v>97</v>
      </c>
      <c r="B3175" t="s">
        <v>1780</v>
      </c>
      <c r="C3175">
        <v>32583.63</v>
      </c>
      <c r="D3175" t="s">
        <v>1379</v>
      </c>
      <c r="E3175" t="s">
        <v>1380</v>
      </c>
      <c r="F3175" t="s">
        <v>1381</v>
      </c>
    </row>
    <row r="3176" spans="1:6">
      <c r="A3176">
        <v>97</v>
      </c>
      <c r="B3176" t="s">
        <v>1780</v>
      </c>
      <c r="C3176">
        <v>221300.33</v>
      </c>
      <c r="D3176" t="s">
        <v>1475</v>
      </c>
      <c r="E3176" t="s">
        <v>1476</v>
      </c>
      <c r="F3176" t="s">
        <v>1477</v>
      </c>
    </row>
    <row r="3177" spans="1:6">
      <c r="A3177">
        <v>97</v>
      </c>
      <c r="B3177" t="s">
        <v>1780</v>
      </c>
      <c r="C3177">
        <v>206980.94</v>
      </c>
      <c r="D3177" t="s">
        <v>1478</v>
      </c>
      <c r="E3177" t="s">
        <v>1479</v>
      </c>
      <c r="F3177" t="s">
        <v>1480</v>
      </c>
    </row>
    <row r="3178" spans="1:6">
      <c r="A3178">
        <v>97</v>
      </c>
      <c r="B3178" t="s">
        <v>1780</v>
      </c>
      <c r="C3178">
        <v>524593.56000000006</v>
      </c>
      <c r="D3178" t="s">
        <v>1365</v>
      </c>
      <c r="E3178" t="s">
        <v>1366</v>
      </c>
      <c r="F3178" t="s">
        <v>1367</v>
      </c>
    </row>
    <row r="3179" spans="1:6">
      <c r="A3179">
        <v>98</v>
      </c>
      <c r="B3179" t="s">
        <v>1781</v>
      </c>
      <c r="C3179">
        <v>994</v>
      </c>
      <c r="D3179" t="s">
        <v>1486</v>
      </c>
      <c r="E3179" t="s">
        <v>1487</v>
      </c>
      <c r="F3179" t="s">
        <v>1488</v>
      </c>
    </row>
    <row r="3180" spans="1:6">
      <c r="A3180">
        <v>98</v>
      </c>
      <c r="B3180" t="s">
        <v>1781</v>
      </c>
      <c r="C3180">
        <v>581</v>
      </c>
      <c r="D3180" t="s">
        <v>1489</v>
      </c>
      <c r="E3180" t="s">
        <v>1490</v>
      </c>
      <c r="F3180" t="s">
        <v>1491</v>
      </c>
    </row>
    <row r="3181" spans="1:6">
      <c r="A3181">
        <v>98</v>
      </c>
      <c r="B3181" t="s">
        <v>1781</v>
      </c>
      <c r="C3181">
        <v>5902</v>
      </c>
      <c r="D3181" t="s">
        <v>1567</v>
      </c>
      <c r="E3181" t="s">
        <v>1568</v>
      </c>
      <c r="F3181" t="s">
        <v>1569</v>
      </c>
    </row>
    <row r="3182" spans="1:6">
      <c r="A3182">
        <v>98</v>
      </c>
      <c r="B3182" t="s">
        <v>1781</v>
      </c>
      <c r="C3182">
        <v>350792</v>
      </c>
      <c r="D3182" t="s">
        <v>1570</v>
      </c>
      <c r="E3182" t="s">
        <v>1571</v>
      </c>
      <c r="F3182" t="s">
        <v>1572</v>
      </c>
    </row>
    <row r="3183" spans="1:6">
      <c r="A3183">
        <v>98</v>
      </c>
      <c r="B3183" t="s">
        <v>1781</v>
      </c>
      <c r="C3183">
        <v>24298</v>
      </c>
      <c r="D3183" t="s">
        <v>1520</v>
      </c>
      <c r="E3183" t="s">
        <v>1521</v>
      </c>
      <c r="F3183" t="s">
        <v>1522</v>
      </c>
    </row>
    <row r="3184" spans="1:6">
      <c r="A3184">
        <v>98</v>
      </c>
      <c r="B3184" t="s">
        <v>1781</v>
      </c>
      <c r="C3184">
        <v>429</v>
      </c>
      <c r="D3184" t="s">
        <v>1371</v>
      </c>
      <c r="E3184" t="s">
        <v>1372</v>
      </c>
      <c r="F3184" t="s">
        <v>1373</v>
      </c>
    </row>
    <row r="3185" spans="1:6">
      <c r="A3185">
        <v>98</v>
      </c>
      <c r="B3185" t="s">
        <v>1781</v>
      </c>
      <c r="C3185">
        <v>63.3</v>
      </c>
      <c r="D3185" t="s">
        <v>1374</v>
      </c>
      <c r="E3185" t="s">
        <v>1375</v>
      </c>
      <c r="F3185" t="s">
        <v>1376</v>
      </c>
    </row>
    <row r="3186" spans="1:6">
      <c r="A3186">
        <v>98</v>
      </c>
      <c r="B3186" t="s">
        <v>1781</v>
      </c>
      <c r="C3186">
        <v>132.85</v>
      </c>
      <c r="D3186" t="s">
        <v>1377</v>
      </c>
      <c r="E3186" t="s">
        <v>1375</v>
      </c>
      <c r="F3186" t="s">
        <v>1378</v>
      </c>
    </row>
    <row r="3187" spans="1:6">
      <c r="A3187">
        <v>98</v>
      </c>
      <c r="B3187" t="s">
        <v>1781</v>
      </c>
      <c r="C3187">
        <v>1952.24</v>
      </c>
      <c r="D3187" t="s">
        <v>1431</v>
      </c>
      <c r="E3187" t="s">
        <v>1432</v>
      </c>
      <c r="F3187" t="s">
        <v>1433</v>
      </c>
    </row>
    <row r="3188" spans="1:6">
      <c r="A3188">
        <v>98</v>
      </c>
      <c r="B3188" t="s">
        <v>1781</v>
      </c>
      <c r="C3188">
        <v>4605.83</v>
      </c>
      <c r="D3188" t="s">
        <v>1434</v>
      </c>
      <c r="E3188" t="s">
        <v>1432</v>
      </c>
      <c r="F3188" t="s">
        <v>1435</v>
      </c>
    </row>
    <row r="3189" spans="1:6">
      <c r="A3189">
        <v>98</v>
      </c>
      <c r="B3189" t="s">
        <v>1781</v>
      </c>
      <c r="C3189">
        <v>4776.0600000000004</v>
      </c>
      <c r="D3189" t="s">
        <v>1379</v>
      </c>
      <c r="E3189" t="s">
        <v>1380</v>
      </c>
      <c r="F3189" t="s">
        <v>1381</v>
      </c>
    </row>
    <row r="3190" spans="1:6">
      <c r="A3190">
        <v>98</v>
      </c>
      <c r="B3190" t="s">
        <v>1781</v>
      </c>
      <c r="C3190">
        <v>4776.0600000000004</v>
      </c>
      <c r="D3190" t="s">
        <v>1475</v>
      </c>
      <c r="E3190" t="s">
        <v>1476</v>
      </c>
      <c r="F3190" t="s">
        <v>1477</v>
      </c>
    </row>
    <row r="3191" spans="1:6">
      <c r="A3191">
        <v>98</v>
      </c>
      <c r="B3191" t="s">
        <v>1781</v>
      </c>
      <c r="C3191">
        <v>55107.040000000001</v>
      </c>
      <c r="D3191" t="s">
        <v>1365</v>
      </c>
      <c r="E3191" t="s">
        <v>1366</v>
      </c>
      <c r="F3191" t="s">
        <v>1367</v>
      </c>
    </row>
    <row r="3192" spans="1:6">
      <c r="A3192">
        <v>99</v>
      </c>
      <c r="B3192" t="s">
        <v>1782</v>
      </c>
      <c r="C3192">
        <v>22375</v>
      </c>
      <c r="D3192" t="s">
        <v>1483</v>
      </c>
      <c r="E3192" t="s">
        <v>1484</v>
      </c>
      <c r="F3192" t="s">
        <v>1485</v>
      </c>
    </row>
    <row r="3193" spans="1:6">
      <c r="A3193">
        <v>99</v>
      </c>
      <c r="B3193" t="s">
        <v>1782</v>
      </c>
      <c r="C3193">
        <v>8282</v>
      </c>
      <c r="D3193" t="s">
        <v>1489</v>
      </c>
      <c r="E3193" t="s">
        <v>1490</v>
      </c>
      <c r="F3193" t="s">
        <v>1491</v>
      </c>
    </row>
    <row r="3194" spans="1:6">
      <c r="A3194">
        <v>99</v>
      </c>
      <c r="B3194" t="s">
        <v>1782</v>
      </c>
      <c r="C3194">
        <v>102250</v>
      </c>
      <c r="D3194" t="s">
        <v>1404</v>
      </c>
      <c r="E3194" t="s">
        <v>1405</v>
      </c>
      <c r="F3194" t="s">
        <v>1406</v>
      </c>
    </row>
    <row r="3195" spans="1:6">
      <c r="A3195">
        <v>99</v>
      </c>
      <c r="B3195" t="s">
        <v>1782</v>
      </c>
      <c r="C3195">
        <v>243960</v>
      </c>
      <c r="D3195" t="s">
        <v>1567</v>
      </c>
      <c r="E3195" t="s">
        <v>1568</v>
      </c>
      <c r="F3195" t="s">
        <v>1569</v>
      </c>
    </row>
    <row r="3196" spans="1:6">
      <c r="A3196">
        <v>99</v>
      </c>
      <c r="B3196" t="s">
        <v>1782</v>
      </c>
      <c r="C3196">
        <v>7046164</v>
      </c>
      <c r="D3196" t="s">
        <v>1570</v>
      </c>
      <c r="E3196" t="s">
        <v>1571</v>
      </c>
      <c r="F3196" t="s">
        <v>1572</v>
      </c>
    </row>
    <row r="3197" spans="1:6">
      <c r="A3197">
        <v>99</v>
      </c>
      <c r="B3197" t="s">
        <v>1782</v>
      </c>
      <c r="C3197">
        <v>50217</v>
      </c>
      <c r="D3197" t="s">
        <v>1520</v>
      </c>
      <c r="E3197" t="s">
        <v>1521</v>
      </c>
      <c r="F3197" t="s">
        <v>1522</v>
      </c>
    </row>
    <row r="3198" spans="1:6">
      <c r="A3198">
        <v>99</v>
      </c>
      <c r="B3198" t="s">
        <v>1782</v>
      </c>
      <c r="C3198">
        <v>215588</v>
      </c>
      <c r="D3198" t="s">
        <v>1573</v>
      </c>
      <c r="E3198" t="s">
        <v>1574</v>
      </c>
      <c r="F3198" t="s">
        <v>1575</v>
      </c>
    </row>
    <row r="3199" spans="1:6">
      <c r="A3199">
        <v>99</v>
      </c>
      <c r="B3199" t="s">
        <v>1782</v>
      </c>
      <c r="C3199">
        <v>52866</v>
      </c>
      <c r="D3199" t="s">
        <v>1531</v>
      </c>
      <c r="E3199" t="s">
        <v>1532</v>
      </c>
      <c r="F3199" t="s">
        <v>1533</v>
      </c>
    </row>
    <row r="3200" spans="1:6">
      <c r="A3200">
        <v>99</v>
      </c>
      <c r="B3200" t="s">
        <v>1782</v>
      </c>
      <c r="C3200">
        <v>39520</v>
      </c>
      <c r="D3200" t="s">
        <v>1390</v>
      </c>
      <c r="E3200" t="s">
        <v>1391</v>
      </c>
      <c r="F3200" t="s">
        <v>1392</v>
      </c>
    </row>
    <row r="3201" spans="1:6">
      <c r="A3201">
        <v>99</v>
      </c>
      <c r="B3201" t="s">
        <v>1782</v>
      </c>
      <c r="C3201">
        <v>23887.47</v>
      </c>
      <c r="D3201" t="s">
        <v>1431</v>
      </c>
      <c r="E3201" t="s">
        <v>1432</v>
      </c>
      <c r="F3201" t="s">
        <v>1433</v>
      </c>
    </row>
    <row r="3202" spans="1:6">
      <c r="A3202">
        <v>99</v>
      </c>
      <c r="B3202" t="s">
        <v>1782</v>
      </c>
      <c r="C3202">
        <v>70026.3</v>
      </c>
      <c r="D3202" t="s">
        <v>1434</v>
      </c>
      <c r="E3202" t="s">
        <v>1432</v>
      </c>
      <c r="F3202" t="s">
        <v>1435</v>
      </c>
    </row>
    <row r="3203" spans="1:6">
      <c r="A3203">
        <v>99</v>
      </c>
      <c r="B3203" t="s">
        <v>1782</v>
      </c>
      <c r="C3203">
        <v>32095</v>
      </c>
      <c r="D3203" t="s">
        <v>1584</v>
      </c>
      <c r="E3203" t="s">
        <v>1585</v>
      </c>
      <c r="F3203" t="s">
        <v>1586</v>
      </c>
    </row>
    <row r="3204" spans="1:6">
      <c r="A3204">
        <v>99</v>
      </c>
      <c r="B3204" t="s">
        <v>1782</v>
      </c>
      <c r="C3204">
        <v>22000</v>
      </c>
      <c r="D3204" t="s">
        <v>1587</v>
      </c>
      <c r="E3204" t="s">
        <v>1585</v>
      </c>
      <c r="F3204" t="s">
        <v>1588</v>
      </c>
    </row>
    <row r="3205" spans="1:6">
      <c r="A3205">
        <v>99</v>
      </c>
      <c r="B3205" t="s">
        <v>1782</v>
      </c>
      <c r="C3205">
        <v>2534</v>
      </c>
      <c r="D3205" t="s">
        <v>1589</v>
      </c>
      <c r="E3205" t="s">
        <v>1590</v>
      </c>
      <c r="F3205" t="s">
        <v>1591</v>
      </c>
    </row>
    <row r="3206" spans="1:6">
      <c r="A3206">
        <v>99</v>
      </c>
      <c r="B3206" t="s">
        <v>1782</v>
      </c>
      <c r="C3206">
        <v>2700</v>
      </c>
      <c r="D3206" t="s">
        <v>1592</v>
      </c>
      <c r="E3206" t="s">
        <v>1590</v>
      </c>
      <c r="F3206" t="s">
        <v>1593</v>
      </c>
    </row>
    <row r="3207" spans="1:6">
      <c r="A3207">
        <v>99</v>
      </c>
      <c r="B3207" t="s">
        <v>1782</v>
      </c>
      <c r="C3207">
        <v>4254</v>
      </c>
      <c r="D3207" t="s">
        <v>1594</v>
      </c>
      <c r="E3207" t="s">
        <v>1595</v>
      </c>
      <c r="F3207" t="s">
        <v>1596</v>
      </c>
    </row>
    <row r="3208" spans="1:6">
      <c r="A3208">
        <v>99</v>
      </c>
      <c r="B3208" t="s">
        <v>1782</v>
      </c>
      <c r="C3208">
        <v>144202</v>
      </c>
      <c r="D3208" t="s">
        <v>1599</v>
      </c>
      <c r="E3208" t="s">
        <v>1600</v>
      </c>
      <c r="F3208" t="s">
        <v>1601</v>
      </c>
    </row>
    <row r="3209" spans="1:6">
      <c r="A3209">
        <v>99</v>
      </c>
      <c r="B3209" t="s">
        <v>1782</v>
      </c>
      <c r="C3209">
        <v>275000</v>
      </c>
      <c r="D3209" t="s">
        <v>1602</v>
      </c>
      <c r="E3209" t="s">
        <v>1600</v>
      </c>
      <c r="F3209" t="s">
        <v>1603</v>
      </c>
    </row>
    <row r="3210" spans="1:6">
      <c r="A3210">
        <v>99</v>
      </c>
      <c r="B3210" t="s">
        <v>1782</v>
      </c>
      <c r="C3210">
        <v>11857</v>
      </c>
      <c r="D3210" t="s">
        <v>1459</v>
      </c>
      <c r="E3210" t="s">
        <v>1605</v>
      </c>
      <c r="F3210" t="s">
        <v>1460</v>
      </c>
    </row>
    <row r="3211" spans="1:6">
      <c r="A3211">
        <v>99</v>
      </c>
      <c r="B3211" t="s">
        <v>1782</v>
      </c>
      <c r="C3211">
        <v>18325</v>
      </c>
      <c r="D3211" t="s">
        <v>1604</v>
      </c>
      <c r="E3211" t="s">
        <v>1605</v>
      </c>
      <c r="F3211" t="s">
        <v>1606</v>
      </c>
    </row>
    <row r="3212" spans="1:6">
      <c r="A3212">
        <v>99</v>
      </c>
      <c r="B3212" t="s">
        <v>1782</v>
      </c>
      <c r="C3212">
        <v>2625</v>
      </c>
      <c r="D3212" t="s">
        <v>1472</v>
      </c>
      <c r="E3212" t="s">
        <v>1473</v>
      </c>
      <c r="F3212" t="s">
        <v>1474</v>
      </c>
    </row>
    <row r="3213" spans="1:6">
      <c r="A3213">
        <v>99</v>
      </c>
      <c r="B3213" t="s">
        <v>1782</v>
      </c>
      <c r="C3213">
        <v>89006.78</v>
      </c>
      <c r="D3213" t="s">
        <v>1379</v>
      </c>
      <c r="E3213" t="s">
        <v>1380</v>
      </c>
      <c r="F3213" t="s">
        <v>1381</v>
      </c>
    </row>
    <row r="3214" spans="1:6">
      <c r="A3214">
        <v>99</v>
      </c>
      <c r="B3214" t="s">
        <v>1782</v>
      </c>
      <c r="C3214">
        <v>88418.7</v>
      </c>
      <c r="D3214" t="s">
        <v>1475</v>
      </c>
      <c r="E3214" t="s">
        <v>1476</v>
      </c>
      <c r="F3214" t="s">
        <v>1477</v>
      </c>
    </row>
    <row r="3215" spans="1:6">
      <c r="A3215">
        <v>99</v>
      </c>
      <c r="B3215" t="s">
        <v>1782</v>
      </c>
      <c r="C3215">
        <v>276440.2</v>
      </c>
      <c r="D3215" t="s">
        <v>1478</v>
      </c>
      <c r="E3215" t="s">
        <v>1479</v>
      </c>
      <c r="F3215" t="s">
        <v>1480</v>
      </c>
    </row>
    <row r="3216" spans="1:6">
      <c r="A3216">
        <v>99</v>
      </c>
      <c r="B3216" t="s">
        <v>1782</v>
      </c>
      <c r="C3216">
        <v>84064.77</v>
      </c>
      <c r="D3216" t="s">
        <v>1365</v>
      </c>
      <c r="E3216" t="s">
        <v>1366</v>
      </c>
      <c r="F3216" t="s">
        <v>1367</v>
      </c>
    </row>
    <row r="3217" spans="1:6">
      <c r="A3217">
        <v>100</v>
      </c>
      <c r="B3217" t="s">
        <v>1783</v>
      </c>
      <c r="C3217">
        <v>1607</v>
      </c>
      <c r="D3217" t="s">
        <v>1486</v>
      </c>
      <c r="E3217" t="s">
        <v>1487</v>
      </c>
      <c r="F3217" t="s">
        <v>1488</v>
      </c>
    </row>
    <row r="3218" spans="1:6">
      <c r="A3218">
        <v>100</v>
      </c>
      <c r="B3218" t="s">
        <v>1783</v>
      </c>
      <c r="C3218">
        <v>1879</v>
      </c>
      <c r="D3218" t="s">
        <v>1489</v>
      </c>
      <c r="E3218" t="s">
        <v>1490</v>
      </c>
      <c r="F3218" t="s">
        <v>1491</v>
      </c>
    </row>
    <row r="3219" spans="1:6">
      <c r="A3219">
        <v>100</v>
      </c>
      <c r="B3219" t="s">
        <v>1783</v>
      </c>
      <c r="C3219">
        <v>73609</v>
      </c>
      <c r="D3219" t="s">
        <v>1567</v>
      </c>
      <c r="E3219" t="s">
        <v>1568</v>
      </c>
      <c r="F3219" t="s">
        <v>1569</v>
      </c>
    </row>
    <row r="3220" spans="1:6">
      <c r="A3220">
        <v>100</v>
      </c>
      <c r="B3220" t="s">
        <v>1783</v>
      </c>
      <c r="C3220">
        <v>1827473</v>
      </c>
      <c r="D3220" t="s">
        <v>1570</v>
      </c>
      <c r="E3220" t="s">
        <v>1571</v>
      </c>
      <c r="F3220" t="s">
        <v>1572</v>
      </c>
    </row>
    <row r="3221" spans="1:6">
      <c r="A3221">
        <v>100</v>
      </c>
      <c r="B3221" t="s">
        <v>1783</v>
      </c>
      <c r="C3221">
        <v>1484</v>
      </c>
      <c r="D3221" t="s">
        <v>1371</v>
      </c>
      <c r="E3221" t="s">
        <v>1372</v>
      </c>
      <c r="F3221" t="s">
        <v>1373</v>
      </c>
    </row>
    <row r="3222" spans="1:6">
      <c r="A3222">
        <v>100</v>
      </c>
      <c r="B3222" t="s">
        <v>1783</v>
      </c>
      <c r="C3222">
        <v>30.2</v>
      </c>
      <c r="D3222" t="s">
        <v>1374</v>
      </c>
      <c r="E3222" t="s">
        <v>1375</v>
      </c>
      <c r="F3222" t="s">
        <v>1376</v>
      </c>
    </row>
    <row r="3223" spans="1:6">
      <c r="A3223">
        <v>100</v>
      </c>
      <c r="B3223" t="s">
        <v>1783</v>
      </c>
      <c r="C3223">
        <v>155.79</v>
      </c>
      <c r="D3223" t="s">
        <v>1377</v>
      </c>
      <c r="E3223" t="s">
        <v>1375</v>
      </c>
      <c r="F3223" t="s">
        <v>1378</v>
      </c>
    </row>
    <row r="3224" spans="1:6">
      <c r="A3224">
        <v>100</v>
      </c>
      <c r="B3224" t="s">
        <v>1783</v>
      </c>
      <c r="C3224">
        <v>9102.91</v>
      </c>
      <c r="D3224" t="s">
        <v>1431</v>
      </c>
      <c r="E3224" t="s">
        <v>1432</v>
      </c>
      <c r="F3224" t="s">
        <v>1433</v>
      </c>
    </row>
    <row r="3225" spans="1:6">
      <c r="A3225">
        <v>100</v>
      </c>
      <c r="B3225" t="s">
        <v>1783</v>
      </c>
      <c r="C3225">
        <v>24254.97</v>
      </c>
      <c r="D3225" t="s">
        <v>1434</v>
      </c>
      <c r="E3225" t="s">
        <v>1432</v>
      </c>
      <c r="F3225" t="s">
        <v>1435</v>
      </c>
    </row>
    <row r="3226" spans="1:6">
      <c r="A3226">
        <v>100</v>
      </c>
      <c r="B3226" t="s">
        <v>1783</v>
      </c>
      <c r="C3226">
        <v>36901</v>
      </c>
      <c r="D3226" t="s">
        <v>1579</v>
      </c>
      <c r="E3226" t="s">
        <v>1577</v>
      </c>
      <c r="F3226" t="s">
        <v>1580</v>
      </c>
    </row>
    <row r="3227" spans="1:6">
      <c r="A3227">
        <v>100</v>
      </c>
      <c r="B3227" t="s">
        <v>1783</v>
      </c>
      <c r="C3227">
        <v>780</v>
      </c>
      <c r="D3227" t="s">
        <v>1442</v>
      </c>
      <c r="E3227" t="s">
        <v>1582</v>
      </c>
      <c r="F3227" t="s">
        <v>1443</v>
      </c>
    </row>
    <row r="3228" spans="1:6">
      <c r="A3228">
        <v>100</v>
      </c>
      <c r="B3228" t="s">
        <v>1783</v>
      </c>
      <c r="C3228">
        <v>13156</v>
      </c>
      <c r="D3228" t="s">
        <v>1584</v>
      </c>
      <c r="E3228" t="s">
        <v>1585</v>
      </c>
      <c r="F3228" t="s">
        <v>1586</v>
      </c>
    </row>
    <row r="3229" spans="1:6">
      <c r="A3229">
        <v>100</v>
      </c>
      <c r="B3229" t="s">
        <v>1783</v>
      </c>
      <c r="C3229">
        <v>1615</v>
      </c>
      <c r="D3229" t="s">
        <v>1589</v>
      </c>
      <c r="E3229" t="s">
        <v>1590</v>
      </c>
      <c r="F3229" t="s">
        <v>1591</v>
      </c>
    </row>
    <row r="3230" spans="1:6">
      <c r="A3230">
        <v>100</v>
      </c>
      <c r="B3230" t="s">
        <v>1783</v>
      </c>
      <c r="C3230">
        <v>893</v>
      </c>
      <c r="D3230" t="s">
        <v>1594</v>
      </c>
      <c r="E3230" t="s">
        <v>1595</v>
      </c>
      <c r="F3230" t="s">
        <v>1596</v>
      </c>
    </row>
    <row r="3231" spans="1:6">
      <c r="A3231">
        <v>100</v>
      </c>
      <c r="B3231" t="s">
        <v>1783</v>
      </c>
      <c r="C3231">
        <v>25029.19</v>
      </c>
      <c r="D3231" t="s">
        <v>1475</v>
      </c>
      <c r="E3231" t="s">
        <v>1476</v>
      </c>
      <c r="F3231" t="s">
        <v>1477</v>
      </c>
    </row>
    <row r="3232" spans="1:6">
      <c r="A3232">
        <v>100</v>
      </c>
      <c r="B3232" t="s">
        <v>1783</v>
      </c>
      <c r="C3232">
        <v>126865.46</v>
      </c>
      <c r="D3232" t="s">
        <v>1365</v>
      </c>
      <c r="E3232" t="s">
        <v>1366</v>
      </c>
      <c r="F3232" t="s">
        <v>1367</v>
      </c>
    </row>
    <row r="3233" spans="1:6">
      <c r="A3233">
        <v>101</v>
      </c>
      <c r="B3233" t="s">
        <v>1784</v>
      </c>
      <c r="C3233">
        <v>69100</v>
      </c>
      <c r="D3233" t="s">
        <v>1401</v>
      </c>
      <c r="E3233" t="s">
        <v>1402</v>
      </c>
      <c r="F3233" t="s">
        <v>1403</v>
      </c>
    </row>
    <row r="3234" spans="1:6">
      <c r="A3234">
        <v>101</v>
      </c>
      <c r="B3234" t="s">
        <v>1784</v>
      </c>
      <c r="C3234">
        <v>14793</v>
      </c>
      <c r="D3234" t="s">
        <v>1486</v>
      </c>
      <c r="E3234" t="s">
        <v>1487</v>
      </c>
      <c r="F3234" t="s">
        <v>1488</v>
      </c>
    </row>
    <row r="3235" spans="1:6">
      <c r="A3235">
        <v>101</v>
      </c>
      <c r="B3235" t="s">
        <v>1784</v>
      </c>
      <c r="C3235">
        <v>11532</v>
      </c>
      <c r="D3235" t="s">
        <v>1489</v>
      </c>
      <c r="E3235" t="s">
        <v>1490</v>
      </c>
      <c r="F3235" t="s">
        <v>1491</v>
      </c>
    </row>
    <row r="3236" spans="1:6">
      <c r="A3236">
        <v>101</v>
      </c>
      <c r="B3236" t="s">
        <v>1784</v>
      </c>
      <c r="C3236">
        <v>145176</v>
      </c>
      <c r="D3236" t="s">
        <v>1567</v>
      </c>
      <c r="E3236" t="s">
        <v>1568</v>
      </c>
      <c r="F3236" t="s">
        <v>1569</v>
      </c>
    </row>
    <row r="3237" spans="1:6">
      <c r="A3237">
        <v>101</v>
      </c>
      <c r="B3237" t="s">
        <v>1784</v>
      </c>
      <c r="C3237">
        <v>1773215</v>
      </c>
      <c r="D3237" t="s">
        <v>1570</v>
      </c>
      <c r="E3237" t="s">
        <v>1571</v>
      </c>
      <c r="F3237" t="s">
        <v>1572</v>
      </c>
    </row>
    <row r="3238" spans="1:6">
      <c r="A3238">
        <v>101</v>
      </c>
      <c r="B3238" t="s">
        <v>1784</v>
      </c>
      <c r="C3238">
        <v>268418</v>
      </c>
      <c r="D3238" t="s">
        <v>1520</v>
      </c>
      <c r="E3238" t="s">
        <v>1521</v>
      </c>
      <c r="F3238" t="s">
        <v>1522</v>
      </c>
    </row>
    <row r="3239" spans="1:6">
      <c r="A3239">
        <v>101</v>
      </c>
      <c r="B3239" t="s">
        <v>1784</v>
      </c>
      <c r="C3239">
        <v>751562</v>
      </c>
      <c r="D3239" t="s">
        <v>1573</v>
      </c>
      <c r="E3239" t="s">
        <v>1574</v>
      </c>
      <c r="F3239" t="s">
        <v>1575</v>
      </c>
    </row>
    <row r="3240" spans="1:6">
      <c r="A3240">
        <v>101</v>
      </c>
      <c r="B3240" t="s">
        <v>1784</v>
      </c>
      <c r="C3240">
        <v>17337</v>
      </c>
      <c r="D3240" t="s">
        <v>1528</v>
      </c>
      <c r="E3240" t="s">
        <v>1529</v>
      </c>
      <c r="F3240" t="s">
        <v>1530</v>
      </c>
    </row>
    <row r="3241" spans="1:6">
      <c r="A3241">
        <v>101</v>
      </c>
      <c r="B3241" t="s">
        <v>1784</v>
      </c>
      <c r="C3241">
        <v>210977</v>
      </c>
      <c r="D3241" t="s">
        <v>1531</v>
      </c>
      <c r="E3241" t="s">
        <v>1532</v>
      </c>
      <c r="F3241" t="s">
        <v>1533</v>
      </c>
    </row>
    <row r="3242" spans="1:6">
      <c r="A3242">
        <v>101</v>
      </c>
      <c r="B3242" t="s">
        <v>1784</v>
      </c>
      <c r="C3242">
        <v>40300</v>
      </c>
      <c r="D3242" t="s">
        <v>1387</v>
      </c>
      <c r="E3242" t="s">
        <v>1388</v>
      </c>
      <c r="F3242" t="s">
        <v>1389</v>
      </c>
    </row>
    <row r="3243" spans="1:6">
      <c r="A3243">
        <v>101</v>
      </c>
      <c r="B3243" t="s">
        <v>1784</v>
      </c>
      <c r="C3243">
        <v>1613.1</v>
      </c>
      <c r="D3243" t="s">
        <v>1537</v>
      </c>
      <c r="E3243" t="s">
        <v>1538</v>
      </c>
      <c r="F3243" t="s">
        <v>1539</v>
      </c>
    </row>
    <row r="3244" spans="1:6">
      <c r="A3244">
        <v>101</v>
      </c>
      <c r="B3244" t="s">
        <v>1784</v>
      </c>
      <c r="C3244">
        <v>3378.39</v>
      </c>
      <c r="D3244" t="s">
        <v>1540</v>
      </c>
      <c r="E3244" t="s">
        <v>1538</v>
      </c>
      <c r="F3244" t="s">
        <v>1541</v>
      </c>
    </row>
    <row r="3245" spans="1:6">
      <c r="A3245">
        <v>101</v>
      </c>
      <c r="B3245" t="s">
        <v>1784</v>
      </c>
      <c r="C3245">
        <v>158</v>
      </c>
      <c r="D3245" t="s">
        <v>1220</v>
      </c>
      <c r="E3245" t="s">
        <v>1221</v>
      </c>
      <c r="F3245" t="s">
        <v>1222</v>
      </c>
    </row>
    <row r="3246" spans="1:6">
      <c r="A3246">
        <v>101</v>
      </c>
      <c r="B3246" t="s">
        <v>1784</v>
      </c>
      <c r="C3246">
        <v>1732</v>
      </c>
      <c r="D3246" t="s">
        <v>1190</v>
      </c>
      <c r="E3246" t="s">
        <v>1221</v>
      </c>
      <c r="F3246" t="s">
        <v>1222</v>
      </c>
    </row>
    <row r="3247" spans="1:6">
      <c r="A3247">
        <v>101</v>
      </c>
      <c r="B3247" t="s">
        <v>1784</v>
      </c>
      <c r="C3247">
        <v>7176</v>
      </c>
      <c r="D3247" t="s">
        <v>1191</v>
      </c>
      <c r="E3247" t="s">
        <v>1221</v>
      </c>
      <c r="F3247" t="s">
        <v>1224</v>
      </c>
    </row>
    <row r="3248" spans="1:6">
      <c r="A3248">
        <v>101</v>
      </c>
      <c r="B3248" t="s">
        <v>1784</v>
      </c>
      <c r="C3248">
        <v>321</v>
      </c>
      <c r="D3248" t="s">
        <v>1225</v>
      </c>
      <c r="E3248" t="s">
        <v>1226</v>
      </c>
      <c r="F3248" t="s">
        <v>1227</v>
      </c>
    </row>
    <row r="3249" spans="1:6">
      <c r="A3249">
        <v>101</v>
      </c>
      <c r="B3249" t="s">
        <v>1784</v>
      </c>
      <c r="C3249">
        <v>305</v>
      </c>
      <c r="D3249" t="s">
        <v>1228</v>
      </c>
      <c r="E3249" t="s">
        <v>1226</v>
      </c>
      <c r="F3249" t="s">
        <v>1229</v>
      </c>
    </row>
    <row r="3250" spans="1:6">
      <c r="A3250">
        <v>101</v>
      </c>
      <c r="B3250" t="s">
        <v>1784</v>
      </c>
      <c r="C3250">
        <v>40137.599999999999</v>
      </c>
      <c r="D3250" t="s">
        <v>1431</v>
      </c>
      <c r="E3250" t="s">
        <v>1432</v>
      </c>
      <c r="F3250" t="s">
        <v>1433</v>
      </c>
    </row>
    <row r="3251" spans="1:6">
      <c r="A3251">
        <v>101</v>
      </c>
      <c r="B3251" t="s">
        <v>1784</v>
      </c>
      <c r="C3251">
        <v>91956.22</v>
      </c>
      <c r="D3251" t="s">
        <v>1434</v>
      </c>
      <c r="E3251" t="s">
        <v>1432</v>
      </c>
      <c r="F3251" t="s">
        <v>1435</v>
      </c>
    </row>
    <row r="3252" spans="1:6">
      <c r="A3252">
        <v>101</v>
      </c>
      <c r="B3252" t="s">
        <v>1784</v>
      </c>
      <c r="C3252">
        <v>22868</v>
      </c>
      <c r="D3252" t="s">
        <v>1584</v>
      </c>
      <c r="E3252" t="s">
        <v>1585</v>
      </c>
      <c r="F3252" t="s">
        <v>1586</v>
      </c>
    </row>
    <row r="3253" spans="1:6">
      <c r="A3253">
        <v>101</v>
      </c>
      <c r="B3253" t="s">
        <v>1784</v>
      </c>
      <c r="C3253">
        <v>50000</v>
      </c>
      <c r="D3253" t="s">
        <v>1587</v>
      </c>
      <c r="E3253" t="s">
        <v>1585</v>
      </c>
      <c r="F3253" t="s">
        <v>1588</v>
      </c>
    </row>
    <row r="3254" spans="1:6">
      <c r="A3254">
        <v>101</v>
      </c>
      <c r="B3254" t="s">
        <v>1784</v>
      </c>
      <c r="C3254">
        <v>6218</v>
      </c>
      <c r="D3254" t="s">
        <v>1592</v>
      </c>
      <c r="E3254" t="s">
        <v>1590</v>
      </c>
      <c r="F3254" t="s">
        <v>1593</v>
      </c>
    </row>
    <row r="3255" spans="1:6">
      <c r="A3255">
        <v>101</v>
      </c>
      <c r="B3255" t="s">
        <v>1784</v>
      </c>
      <c r="C3255">
        <v>3372</v>
      </c>
      <c r="D3255" t="s">
        <v>1597</v>
      </c>
      <c r="E3255" t="s">
        <v>1595</v>
      </c>
      <c r="F3255" t="s">
        <v>1598</v>
      </c>
    </row>
    <row r="3256" spans="1:6">
      <c r="A3256">
        <v>101</v>
      </c>
      <c r="B3256" t="s">
        <v>1784</v>
      </c>
      <c r="C3256">
        <v>257181</v>
      </c>
      <c r="D3256" t="s">
        <v>1599</v>
      </c>
      <c r="E3256" t="s">
        <v>1600</v>
      </c>
      <c r="F3256" t="s">
        <v>1601</v>
      </c>
    </row>
    <row r="3257" spans="1:6">
      <c r="A3257">
        <v>101</v>
      </c>
      <c r="B3257" t="s">
        <v>1784</v>
      </c>
      <c r="C3257">
        <v>300000</v>
      </c>
      <c r="D3257" t="s">
        <v>1602</v>
      </c>
      <c r="E3257" t="s">
        <v>1600</v>
      </c>
      <c r="F3257" t="s">
        <v>1603</v>
      </c>
    </row>
    <row r="3258" spans="1:6">
      <c r="A3258">
        <v>101</v>
      </c>
      <c r="B3258" t="s">
        <v>1784</v>
      </c>
      <c r="C3258">
        <v>24739</v>
      </c>
      <c r="D3258" t="s">
        <v>1604</v>
      </c>
      <c r="E3258" t="s">
        <v>1605</v>
      </c>
      <c r="F3258" t="s">
        <v>1606</v>
      </c>
    </row>
    <row r="3259" spans="1:6">
      <c r="A3259">
        <v>101</v>
      </c>
      <c r="B3259" t="s">
        <v>1784</v>
      </c>
      <c r="C3259">
        <v>46550.81</v>
      </c>
      <c r="D3259" t="s">
        <v>1379</v>
      </c>
      <c r="E3259" t="s">
        <v>1380</v>
      </c>
      <c r="F3259" t="s">
        <v>1381</v>
      </c>
    </row>
    <row r="3260" spans="1:6">
      <c r="A3260">
        <v>101</v>
      </c>
      <c r="B3260" t="s">
        <v>1784</v>
      </c>
      <c r="C3260">
        <v>64824.69</v>
      </c>
      <c r="D3260" t="s">
        <v>1475</v>
      </c>
      <c r="E3260" t="s">
        <v>1476</v>
      </c>
      <c r="F3260" t="s">
        <v>1477</v>
      </c>
    </row>
    <row r="3261" spans="1:6">
      <c r="A3261">
        <v>101</v>
      </c>
      <c r="B3261" t="s">
        <v>1784</v>
      </c>
      <c r="C3261">
        <v>343912.05</v>
      </c>
      <c r="D3261" t="s">
        <v>1478</v>
      </c>
      <c r="E3261" t="s">
        <v>1479</v>
      </c>
      <c r="F3261" t="s">
        <v>1480</v>
      </c>
    </row>
    <row r="3262" spans="1:6">
      <c r="A3262">
        <v>101</v>
      </c>
      <c r="B3262" t="s">
        <v>1784</v>
      </c>
      <c r="C3262">
        <v>1066590</v>
      </c>
      <c r="D3262" t="s">
        <v>1607</v>
      </c>
      <c r="E3262" t="s">
        <v>1608</v>
      </c>
      <c r="F3262" t="s">
        <v>1609</v>
      </c>
    </row>
    <row r="3263" spans="1:6">
      <c r="A3263">
        <v>101</v>
      </c>
      <c r="B3263" t="s">
        <v>1784</v>
      </c>
      <c r="C3263">
        <v>1532781</v>
      </c>
      <c r="D3263" t="s">
        <v>1610</v>
      </c>
      <c r="E3263" t="s">
        <v>1481</v>
      </c>
      <c r="F3263" t="s">
        <v>1482</v>
      </c>
    </row>
    <row r="3264" spans="1:6">
      <c r="A3264">
        <v>102</v>
      </c>
      <c r="B3264" t="s">
        <v>1785</v>
      </c>
      <c r="C3264">
        <v>5675</v>
      </c>
      <c r="D3264" t="s">
        <v>1486</v>
      </c>
      <c r="E3264" t="s">
        <v>1487</v>
      </c>
      <c r="F3264" t="s">
        <v>1488</v>
      </c>
    </row>
    <row r="3265" spans="1:6">
      <c r="A3265">
        <v>102</v>
      </c>
      <c r="B3265" t="s">
        <v>1785</v>
      </c>
      <c r="C3265">
        <v>2654</v>
      </c>
      <c r="D3265" t="s">
        <v>1489</v>
      </c>
      <c r="E3265" t="s">
        <v>1490</v>
      </c>
      <c r="F3265" t="s">
        <v>1491</v>
      </c>
    </row>
    <row r="3266" spans="1:6">
      <c r="A3266">
        <v>102</v>
      </c>
      <c r="B3266" t="s">
        <v>1785</v>
      </c>
      <c r="C3266">
        <v>110825</v>
      </c>
      <c r="D3266" t="s">
        <v>1567</v>
      </c>
      <c r="E3266" t="s">
        <v>1568</v>
      </c>
      <c r="F3266" t="s">
        <v>1569</v>
      </c>
    </row>
    <row r="3267" spans="1:6">
      <c r="A3267">
        <v>102</v>
      </c>
      <c r="B3267" t="s">
        <v>1785</v>
      </c>
      <c r="C3267">
        <v>2026</v>
      </c>
      <c r="D3267" t="s">
        <v>1496</v>
      </c>
      <c r="E3267" t="s">
        <v>1497</v>
      </c>
      <c r="F3267" t="s">
        <v>1498</v>
      </c>
    </row>
    <row r="3268" spans="1:6">
      <c r="A3268">
        <v>102</v>
      </c>
      <c r="B3268" t="s">
        <v>1785</v>
      </c>
      <c r="C3268">
        <v>2649386</v>
      </c>
      <c r="D3268" t="s">
        <v>1570</v>
      </c>
      <c r="E3268" t="s">
        <v>1571</v>
      </c>
      <c r="F3268" t="s">
        <v>1572</v>
      </c>
    </row>
    <row r="3269" spans="1:6">
      <c r="A3269">
        <v>102</v>
      </c>
      <c r="B3269" t="s">
        <v>1785</v>
      </c>
      <c r="C3269">
        <v>72488</v>
      </c>
      <c r="D3269" t="s">
        <v>1573</v>
      </c>
      <c r="E3269" t="s">
        <v>1574</v>
      </c>
      <c r="F3269" t="s">
        <v>1575</v>
      </c>
    </row>
    <row r="3270" spans="1:6">
      <c r="A3270">
        <v>102</v>
      </c>
      <c r="B3270" t="s">
        <v>1785</v>
      </c>
      <c r="C3270">
        <v>13028</v>
      </c>
      <c r="D3270" t="s">
        <v>1371</v>
      </c>
      <c r="E3270" t="s">
        <v>1372</v>
      </c>
      <c r="F3270" t="s">
        <v>1373</v>
      </c>
    </row>
    <row r="3271" spans="1:6">
      <c r="A3271">
        <v>102</v>
      </c>
      <c r="B3271" t="s">
        <v>1785</v>
      </c>
      <c r="C3271">
        <v>5200</v>
      </c>
      <c r="D3271" t="s">
        <v>1387</v>
      </c>
      <c r="E3271" t="s">
        <v>1388</v>
      </c>
      <c r="F3271" t="s">
        <v>1389</v>
      </c>
    </row>
    <row r="3272" spans="1:6">
      <c r="A3272">
        <v>102</v>
      </c>
      <c r="B3272" t="s">
        <v>1785</v>
      </c>
      <c r="C3272">
        <v>40000</v>
      </c>
      <c r="D3272" t="s">
        <v>1390</v>
      </c>
      <c r="E3272" t="s">
        <v>1391</v>
      </c>
      <c r="F3272" t="s">
        <v>1392</v>
      </c>
    </row>
    <row r="3273" spans="1:6">
      <c r="A3273">
        <v>102</v>
      </c>
      <c r="B3273" t="s">
        <v>1785</v>
      </c>
      <c r="C3273">
        <v>3389.06</v>
      </c>
      <c r="D3273" t="s">
        <v>1537</v>
      </c>
      <c r="E3273" t="s">
        <v>1538</v>
      </c>
      <c r="F3273" t="s">
        <v>1539</v>
      </c>
    </row>
    <row r="3274" spans="1:6">
      <c r="A3274">
        <v>102</v>
      </c>
      <c r="B3274" t="s">
        <v>1785</v>
      </c>
      <c r="C3274">
        <v>10033.24</v>
      </c>
      <c r="D3274" t="s">
        <v>1540</v>
      </c>
      <c r="E3274" t="s">
        <v>1538</v>
      </c>
      <c r="F3274" t="s">
        <v>1541</v>
      </c>
    </row>
    <row r="3275" spans="1:6">
      <c r="A3275">
        <v>102</v>
      </c>
      <c r="B3275" t="s">
        <v>1785</v>
      </c>
      <c r="C3275">
        <v>13339.8</v>
      </c>
      <c r="D3275" t="s">
        <v>1431</v>
      </c>
      <c r="E3275" t="s">
        <v>1432</v>
      </c>
      <c r="F3275" t="s">
        <v>1433</v>
      </c>
    </row>
    <row r="3276" spans="1:6">
      <c r="A3276">
        <v>102</v>
      </c>
      <c r="B3276" t="s">
        <v>1785</v>
      </c>
      <c r="C3276">
        <v>36233.75</v>
      </c>
      <c r="D3276" t="s">
        <v>1434</v>
      </c>
      <c r="E3276" t="s">
        <v>1432</v>
      </c>
      <c r="F3276" t="s">
        <v>1435</v>
      </c>
    </row>
    <row r="3277" spans="1:6">
      <c r="A3277">
        <v>102</v>
      </c>
      <c r="B3277" t="s">
        <v>1785</v>
      </c>
      <c r="C3277">
        <v>18000</v>
      </c>
      <c r="D3277" t="s">
        <v>1576</v>
      </c>
      <c r="E3277" t="s">
        <v>1577</v>
      </c>
      <c r="F3277" t="s">
        <v>1578</v>
      </c>
    </row>
    <row r="3278" spans="1:6">
      <c r="A3278">
        <v>102</v>
      </c>
      <c r="B3278" t="s">
        <v>1785</v>
      </c>
      <c r="C3278">
        <v>117000</v>
      </c>
      <c r="D3278" t="s">
        <v>1579</v>
      </c>
      <c r="E3278" t="s">
        <v>1577</v>
      </c>
      <c r="F3278" t="s">
        <v>1580</v>
      </c>
    </row>
    <row r="3279" spans="1:6">
      <c r="A3279">
        <v>102</v>
      </c>
      <c r="B3279" t="s">
        <v>1785</v>
      </c>
      <c r="C3279">
        <v>40000</v>
      </c>
      <c r="D3279" t="s">
        <v>1444</v>
      </c>
      <c r="E3279" t="s">
        <v>1445</v>
      </c>
      <c r="F3279" t="s">
        <v>1443</v>
      </c>
    </row>
    <row r="3280" spans="1:6">
      <c r="A3280">
        <v>102</v>
      </c>
      <c r="B3280" t="s">
        <v>1785</v>
      </c>
      <c r="C3280">
        <v>916</v>
      </c>
      <c r="D3280" t="s">
        <v>1581</v>
      </c>
      <c r="E3280" t="s">
        <v>1582</v>
      </c>
      <c r="F3280" t="s">
        <v>1583</v>
      </c>
    </row>
    <row r="3281" spans="1:6">
      <c r="A3281">
        <v>102</v>
      </c>
      <c r="B3281" t="s">
        <v>1785</v>
      </c>
      <c r="C3281">
        <v>30178</v>
      </c>
      <c r="D3281" t="s">
        <v>1584</v>
      </c>
      <c r="E3281" t="s">
        <v>1585</v>
      </c>
      <c r="F3281" t="s">
        <v>1586</v>
      </c>
    </row>
    <row r="3282" spans="1:6">
      <c r="A3282">
        <v>102</v>
      </c>
      <c r="B3282" t="s">
        <v>1785</v>
      </c>
      <c r="C3282">
        <v>13000</v>
      </c>
      <c r="D3282" t="s">
        <v>1587</v>
      </c>
      <c r="E3282" t="s">
        <v>1585</v>
      </c>
      <c r="F3282" t="s">
        <v>1588</v>
      </c>
    </row>
    <row r="3283" spans="1:6">
      <c r="A3283">
        <v>102</v>
      </c>
      <c r="B3283" t="s">
        <v>1785</v>
      </c>
      <c r="C3283">
        <v>3373</v>
      </c>
      <c r="D3283" t="s">
        <v>1592</v>
      </c>
      <c r="E3283" t="s">
        <v>1590</v>
      </c>
      <c r="F3283" t="s">
        <v>1593</v>
      </c>
    </row>
    <row r="3284" spans="1:6">
      <c r="A3284">
        <v>102</v>
      </c>
      <c r="B3284" t="s">
        <v>1785</v>
      </c>
      <c r="C3284">
        <v>964</v>
      </c>
      <c r="D3284" t="s">
        <v>1597</v>
      </c>
      <c r="E3284" t="s">
        <v>1595</v>
      </c>
      <c r="F3284" t="s">
        <v>1598</v>
      </c>
    </row>
    <row r="3285" spans="1:6">
      <c r="A3285">
        <v>102</v>
      </c>
      <c r="B3285" t="s">
        <v>1785</v>
      </c>
      <c r="C3285">
        <v>57106</v>
      </c>
      <c r="D3285" t="s">
        <v>1599</v>
      </c>
      <c r="E3285" t="s">
        <v>1600</v>
      </c>
      <c r="F3285" t="s">
        <v>1601</v>
      </c>
    </row>
    <row r="3286" spans="1:6">
      <c r="A3286">
        <v>102</v>
      </c>
      <c r="B3286" t="s">
        <v>1785</v>
      </c>
      <c r="C3286">
        <v>128000</v>
      </c>
      <c r="D3286" t="s">
        <v>1602</v>
      </c>
      <c r="E3286" t="s">
        <v>1600</v>
      </c>
      <c r="F3286" t="s">
        <v>1603</v>
      </c>
    </row>
    <row r="3287" spans="1:6">
      <c r="A3287">
        <v>102</v>
      </c>
      <c r="B3287" t="s">
        <v>1785</v>
      </c>
      <c r="C3287">
        <v>5090</v>
      </c>
      <c r="D3287" t="s">
        <v>1604</v>
      </c>
      <c r="E3287" t="s">
        <v>1605</v>
      </c>
      <c r="F3287" t="s">
        <v>1606</v>
      </c>
    </row>
    <row r="3288" spans="1:6">
      <c r="A3288">
        <v>102</v>
      </c>
      <c r="B3288" t="s">
        <v>1785</v>
      </c>
      <c r="C3288">
        <v>2500</v>
      </c>
      <c r="D3288" t="s">
        <v>1466</v>
      </c>
      <c r="E3288" t="s">
        <v>1467</v>
      </c>
      <c r="F3288" t="s">
        <v>1468</v>
      </c>
    </row>
    <row r="3289" spans="1:6">
      <c r="A3289">
        <v>102</v>
      </c>
      <c r="B3289" t="s">
        <v>1785</v>
      </c>
      <c r="C3289">
        <v>74782.720000000001</v>
      </c>
      <c r="D3289" t="s">
        <v>1475</v>
      </c>
      <c r="E3289" t="s">
        <v>1476</v>
      </c>
      <c r="F3289" t="s">
        <v>1477</v>
      </c>
    </row>
    <row r="3290" spans="1:6">
      <c r="A3290">
        <v>102</v>
      </c>
      <c r="B3290" t="s">
        <v>1785</v>
      </c>
      <c r="C3290">
        <v>370583.42</v>
      </c>
      <c r="D3290" t="s">
        <v>1365</v>
      </c>
      <c r="E3290" t="s">
        <v>1366</v>
      </c>
      <c r="F3290" t="s">
        <v>1367</v>
      </c>
    </row>
    <row r="3291" spans="1:6">
      <c r="A3291">
        <v>103</v>
      </c>
      <c r="B3291" t="s">
        <v>1786</v>
      </c>
      <c r="C3291">
        <v>58024</v>
      </c>
      <c r="D3291" t="s">
        <v>1486</v>
      </c>
      <c r="E3291" t="s">
        <v>1487</v>
      </c>
      <c r="F3291" t="s">
        <v>1488</v>
      </c>
    </row>
    <row r="3292" spans="1:6">
      <c r="A3292">
        <v>103</v>
      </c>
      <c r="B3292" t="s">
        <v>1786</v>
      </c>
      <c r="C3292">
        <v>30388</v>
      </c>
      <c r="D3292" t="s">
        <v>1489</v>
      </c>
      <c r="E3292" t="s">
        <v>1490</v>
      </c>
      <c r="F3292" t="s">
        <v>1491</v>
      </c>
    </row>
    <row r="3293" spans="1:6">
      <c r="A3293">
        <v>103</v>
      </c>
      <c r="B3293" t="s">
        <v>1786</v>
      </c>
      <c r="C3293">
        <v>102250</v>
      </c>
      <c r="D3293" t="s">
        <v>1404</v>
      </c>
      <c r="E3293" t="s">
        <v>1405</v>
      </c>
      <c r="F3293" t="s">
        <v>1406</v>
      </c>
    </row>
    <row r="3294" spans="1:6">
      <c r="A3294">
        <v>103</v>
      </c>
      <c r="B3294" t="s">
        <v>1786</v>
      </c>
      <c r="C3294">
        <v>102250</v>
      </c>
      <c r="D3294" t="s">
        <v>1317</v>
      </c>
      <c r="E3294" t="s">
        <v>1405</v>
      </c>
      <c r="F3294" t="s">
        <v>1406</v>
      </c>
    </row>
    <row r="3295" spans="1:6">
      <c r="A3295">
        <v>103</v>
      </c>
      <c r="B3295" t="s">
        <v>1786</v>
      </c>
      <c r="C3295">
        <v>154089</v>
      </c>
      <c r="D3295" t="s">
        <v>1567</v>
      </c>
      <c r="E3295" t="s">
        <v>1568</v>
      </c>
      <c r="F3295" t="s">
        <v>1569</v>
      </c>
    </row>
    <row r="3296" spans="1:6">
      <c r="A3296">
        <v>103</v>
      </c>
      <c r="B3296" t="s">
        <v>1786</v>
      </c>
      <c r="C3296">
        <v>48641</v>
      </c>
      <c r="D3296" t="s">
        <v>1496</v>
      </c>
      <c r="E3296" t="s">
        <v>1497</v>
      </c>
      <c r="F3296" t="s">
        <v>1498</v>
      </c>
    </row>
    <row r="3297" spans="1:6">
      <c r="A3297">
        <v>103</v>
      </c>
      <c r="B3297" t="s">
        <v>1786</v>
      </c>
      <c r="C3297">
        <v>8681793</v>
      </c>
      <c r="D3297" t="s">
        <v>1570</v>
      </c>
      <c r="E3297" t="s">
        <v>1571</v>
      </c>
      <c r="F3297" t="s">
        <v>1572</v>
      </c>
    </row>
    <row r="3298" spans="1:6">
      <c r="A3298">
        <v>103</v>
      </c>
      <c r="B3298" t="s">
        <v>1786</v>
      </c>
      <c r="C3298">
        <v>121818</v>
      </c>
      <c r="D3298" t="s">
        <v>1327</v>
      </c>
      <c r="E3298" t="s">
        <v>1328</v>
      </c>
      <c r="F3298" t="s">
        <v>1329</v>
      </c>
    </row>
    <row r="3299" spans="1:6">
      <c r="A3299">
        <v>103</v>
      </c>
      <c r="B3299" t="s">
        <v>1786</v>
      </c>
      <c r="C3299">
        <v>2420909</v>
      </c>
      <c r="D3299" t="s">
        <v>1499</v>
      </c>
      <c r="E3299" t="s">
        <v>1500</v>
      </c>
      <c r="F3299" t="s">
        <v>1501</v>
      </c>
    </row>
    <row r="3300" spans="1:6">
      <c r="A3300">
        <v>103</v>
      </c>
      <c r="B3300" t="s">
        <v>1786</v>
      </c>
      <c r="C3300">
        <v>1036968</v>
      </c>
      <c r="D3300" t="s">
        <v>1502</v>
      </c>
      <c r="E3300" t="s">
        <v>1503</v>
      </c>
      <c r="F3300" t="s">
        <v>1504</v>
      </c>
    </row>
    <row r="3301" spans="1:6">
      <c r="A3301">
        <v>103</v>
      </c>
      <c r="B3301" t="s">
        <v>1786</v>
      </c>
      <c r="C3301">
        <v>191725</v>
      </c>
      <c r="D3301" t="s">
        <v>1505</v>
      </c>
      <c r="E3301" t="s">
        <v>1506</v>
      </c>
      <c r="F3301" t="s">
        <v>1507</v>
      </c>
    </row>
    <row r="3302" spans="1:6">
      <c r="A3302">
        <v>103</v>
      </c>
      <c r="B3302" t="s">
        <v>1786</v>
      </c>
      <c r="C3302">
        <v>223426</v>
      </c>
      <c r="D3302" t="s">
        <v>1508</v>
      </c>
      <c r="E3302" t="s">
        <v>1509</v>
      </c>
      <c r="F3302" t="s">
        <v>1510</v>
      </c>
    </row>
    <row r="3303" spans="1:6">
      <c r="A3303">
        <v>103</v>
      </c>
      <c r="B3303" t="s">
        <v>1786</v>
      </c>
      <c r="C3303">
        <v>16380</v>
      </c>
      <c r="D3303" t="s">
        <v>1330</v>
      </c>
      <c r="E3303" t="s">
        <v>1331</v>
      </c>
      <c r="F3303" t="s">
        <v>1332</v>
      </c>
    </row>
    <row r="3304" spans="1:6">
      <c r="A3304">
        <v>103</v>
      </c>
      <c r="B3304" t="s">
        <v>1786</v>
      </c>
      <c r="C3304">
        <v>82468</v>
      </c>
      <c r="D3304" t="s">
        <v>1333</v>
      </c>
      <c r="E3304" t="s">
        <v>1383</v>
      </c>
      <c r="F3304" t="s">
        <v>1334</v>
      </c>
    </row>
    <row r="3305" spans="1:6">
      <c r="A3305">
        <v>103</v>
      </c>
      <c r="B3305" t="s">
        <v>1786</v>
      </c>
      <c r="C3305">
        <v>63317</v>
      </c>
      <c r="D3305" t="s">
        <v>1382</v>
      </c>
      <c r="E3305" t="s">
        <v>1383</v>
      </c>
      <c r="F3305" t="s">
        <v>1384</v>
      </c>
    </row>
    <row r="3306" spans="1:6">
      <c r="A3306">
        <v>103</v>
      </c>
      <c r="B3306" t="s">
        <v>1786</v>
      </c>
      <c r="C3306">
        <v>60000</v>
      </c>
      <c r="D3306" t="s">
        <v>1515</v>
      </c>
      <c r="E3306" t="s">
        <v>1516</v>
      </c>
      <c r="F3306" t="s">
        <v>1517</v>
      </c>
    </row>
    <row r="3307" spans="1:6">
      <c r="A3307">
        <v>103</v>
      </c>
      <c r="B3307" t="s">
        <v>1786</v>
      </c>
      <c r="C3307">
        <v>7938</v>
      </c>
      <c r="D3307" t="s">
        <v>1518</v>
      </c>
      <c r="E3307" t="s">
        <v>1516</v>
      </c>
      <c r="F3307" t="s">
        <v>1519</v>
      </c>
    </row>
    <row r="3308" spans="1:6">
      <c r="A3308">
        <v>103</v>
      </c>
      <c r="B3308" t="s">
        <v>1786</v>
      </c>
      <c r="C3308">
        <v>392426</v>
      </c>
      <c r="D3308" t="s">
        <v>1520</v>
      </c>
      <c r="E3308" t="s">
        <v>1521</v>
      </c>
      <c r="F3308" t="s">
        <v>1522</v>
      </c>
    </row>
    <row r="3309" spans="1:6">
      <c r="A3309">
        <v>103</v>
      </c>
      <c r="B3309" t="s">
        <v>1786</v>
      </c>
      <c r="C3309">
        <v>1137025</v>
      </c>
      <c r="D3309" t="s">
        <v>1573</v>
      </c>
      <c r="E3309" t="s">
        <v>1574</v>
      </c>
      <c r="F3309" t="s">
        <v>1575</v>
      </c>
    </row>
    <row r="3310" spans="1:6">
      <c r="A3310">
        <v>103</v>
      </c>
      <c r="B3310" t="s">
        <v>1786</v>
      </c>
      <c r="C3310">
        <v>16215</v>
      </c>
      <c r="D3310" t="s">
        <v>1523</v>
      </c>
      <c r="E3310" t="s">
        <v>1521</v>
      </c>
      <c r="F3310" t="s">
        <v>1524</v>
      </c>
    </row>
    <row r="3311" spans="1:6">
      <c r="A3311">
        <v>103</v>
      </c>
      <c r="B3311" t="s">
        <v>1786</v>
      </c>
      <c r="C3311">
        <v>12012</v>
      </c>
      <c r="D3311" t="s">
        <v>1371</v>
      </c>
      <c r="E3311" t="s">
        <v>1372</v>
      </c>
      <c r="F3311" t="s">
        <v>1373</v>
      </c>
    </row>
    <row r="3312" spans="1:6">
      <c r="A3312">
        <v>103</v>
      </c>
      <c r="B3312" t="s">
        <v>1786</v>
      </c>
      <c r="C3312">
        <v>15593</v>
      </c>
      <c r="D3312" t="s">
        <v>1525</v>
      </c>
      <c r="E3312" t="s">
        <v>1526</v>
      </c>
      <c r="F3312" t="s">
        <v>1527</v>
      </c>
    </row>
    <row r="3313" spans="1:6">
      <c r="A3313">
        <v>103</v>
      </c>
      <c r="B3313" t="s">
        <v>1786</v>
      </c>
      <c r="C3313">
        <v>65932</v>
      </c>
      <c r="D3313" t="s">
        <v>1528</v>
      </c>
      <c r="E3313" t="s">
        <v>1529</v>
      </c>
      <c r="F3313" t="s">
        <v>1530</v>
      </c>
    </row>
    <row r="3314" spans="1:6">
      <c r="A3314">
        <v>103</v>
      </c>
      <c r="B3314" t="s">
        <v>1786</v>
      </c>
      <c r="C3314">
        <v>228800</v>
      </c>
      <c r="D3314" t="s">
        <v>1387</v>
      </c>
      <c r="E3314" t="s">
        <v>1388</v>
      </c>
      <c r="F3314" t="s">
        <v>1389</v>
      </c>
    </row>
    <row r="3315" spans="1:6">
      <c r="A3315">
        <v>103</v>
      </c>
      <c r="B3315" t="s">
        <v>1786</v>
      </c>
      <c r="C3315">
        <v>847812</v>
      </c>
      <c r="D3315" t="s">
        <v>1134</v>
      </c>
      <c r="E3315" t="s">
        <v>1411</v>
      </c>
      <c r="F3315" t="s">
        <v>1412</v>
      </c>
    </row>
    <row r="3316" spans="1:6">
      <c r="A3316">
        <v>103</v>
      </c>
      <c r="B3316" t="s">
        <v>1786</v>
      </c>
      <c r="C3316">
        <v>72134</v>
      </c>
      <c r="D3316" t="s">
        <v>1534</v>
      </c>
      <c r="E3316" t="s">
        <v>1535</v>
      </c>
      <c r="F3316" t="s">
        <v>1536</v>
      </c>
    </row>
    <row r="3317" spans="1:6">
      <c r="A3317">
        <v>103</v>
      </c>
      <c r="B3317" t="s">
        <v>1786</v>
      </c>
      <c r="C3317">
        <v>69978.710000000006</v>
      </c>
      <c r="D3317" t="s">
        <v>1537</v>
      </c>
      <c r="E3317" t="s">
        <v>1538</v>
      </c>
      <c r="F3317" t="s">
        <v>1539</v>
      </c>
    </row>
    <row r="3318" spans="1:6">
      <c r="A3318">
        <v>103</v>
      </c>
      <c r="B3318" t="s">
        <v>1786</v>
      </c>
      <c r="C3318">
        <v>117652.32</v>
      </c>
      <c r="D3318" t="s">
        <v>1540</v>
      </c>
      <c r="E3318" t="s">
        <v>1538</v>
      </c>
      <c r="F3318" t="s">
        <v>1541</v>
      </c>
    </row>
    <row r="3319" spans="1:6">
      <c r="A3319">
        <v>103</v>
      </c>
      <c r="B3319" t="s">
        <v>1786</v>
      </c>
      <c r="C3319">
        <v>342861.25</v>
      </c>
      <c r="D3319" t="s">
        <v>1431</v>
      </c>
      <c r="E3319" t="s">
        <v>1432</v>
      </c>
      <c r="F3319" t="s">
        <v>1433</v>
      </c>
    </row>
    <row r="3320" spans="1:6">
      <c r="A3320">
        <v>103</v>
      </c>
      <c r="B3320" t="s">
        <v>1786</v>
      </c>
      <c r="C3320">
        <v>725328.85</v>
      </c>
      <c r="D3320" t="s">
        <v>1434</v>
      </c>
      <c r="E3320" t="s">
        <v>1432</v>
      </c>
      <c r="F3320" t="s">
        <v>1435</v>
      </c>
    </row>
    <row r="3321" spans="1:6">
      <c r="A3321">
        <v>103</v>
      </c>
      <c r="B3321" t="s">
        <v>1786</v>
      </c>
      <c r="C3321">
        <v>100000</v>
      </c>
      <c r="D3321" t="s">
        <v>1576</v>
      </c>
      <c r="E3321" t="s">
        <v>1577</v>
      </c>
      <c r="F3321" t="s">
        <v>1578</v>
      </c>
    </row>
    <row r="3322" spans="1:6">
      <c r="A3322">
        <v>103</v>
      </c>
      <c r="B3322" t="s">
        <v>1786</v>
      </c>
      <c r="C3322">
        <v>3610</v>
      </c>
      <c r="D3322" t="s">
        <v>1413</v>
      </c>
      <c r="E3322" t="s">
        <v>1414</v>
      </c>
      <c r="F3322" t="s">
        <v>1578</v>
      </c>
    </row>
    <row r="3323" spans="1:6">
      <c r="A3323">
        <v>103</v>
      </c>
      <c r="B3323" t="s">
        <v>1786</v>
      </c>
      <c r="C3323">
        <v>1576186</v>
      </c>
      <c r="D3323" t="s">
        <v>1579</v>
      </c>
      <c r="E3323" t="s">
        <v>1577</v>
      </c>
      <c r="F3323" t="s">
        <v>1580</v>
      </c>
    </row>
    <row r="3324" spans="1:6">
      <c r="A3324">
        <v>103</v>
      </c>
      <c r="B3324" t="s">
        <v>1786</v>
      </c>
      <c r="C3324">
        <v>157768</v>
      </c>
      <c r="D3324" t="s">
        <v>1436</v>
      </c>
      <c r="E3324" t="s">
        <v>1437</v>
      </c>
      <c r="F3324" t="s">
        <v>1438</v>
      </c>
    </row>
    <row r="3325" spans="1:6">
      <c r="A3325">
        <v>103</v>
      </c>
      <c r="B3325" t="s">
        <v>1786</v>
      </c>
      <c r="C3325">
        <v>55000</v>
      </c>
      <c r="D3325" t="s">
        <v>1256</v>
      </c>
      <c r="E3325" t="s">
        <v>1257</v>
      </c>
      <c r="F3325" t="s">
        <v>1258</v>
      </c>
    </row>
    <row r="3326" spans="1:6">
      <c r="A3326">
        <v>103</v>
      </c>
      <c r="B3326" t="s">
        <v>1786</v>
      </c>
      <c r="C3326">
        <v>55000</v>
      </c>
      <c r="D3326" t="s">
        <v>1259</v>
      </c>
      <c r="E3326" t="s">
        <v>1257</v>
      </c>
      <c r="F3326" t="s">
        <v>1258</v>
      </c>
    </row>
    <row r="3327" spans="1:6">
      <c r="A3327">
        <v>103</v>
      </c>
      <c r="B3327" t="s">
        <v>1786</v>
      </c>
      <c r="C3327">
        <v>55000</v>
      </c>
      <c r="D3327" t="s">
        <v>1260</v>
      </c>
      <c r="E3327" t="s">
        <v>1257</v>
      </c>
      <c r="F3327" t="s">
        <v>1258</v>
      </c>
    </row>
    <row r="3328" spans="1:6">
      <c r="A3328">
        <v>103</v>
      </c>
      <c r="B3328" t="s">
        <v>1786</v>
      </c>
      <c r="C3328">
        <v>55000</v>
      </c>
      <c r="D3328" t="s">
        <v>1261</v>
      </c>
      <c r="E3328" t="s">
        <v>1257</v>
      </c>
      <c r="F3328" t="s">
        <v>1258</v>
      </c>
    </row>
    <row r="3329" spans="1:6">
      <c r="A3329">
        <v>103</v>
      </c>
      <c r="B3329" t="s">
        <v>1786</v>
      </c>
      <c r="C3329">
        <v>12078</v>
      </c>
      <c r="D3329" t="s">
        <v>1581</v>
      </c>
      <c r="E3329" t="s">
        <v>1582</v>
      </c>
      <c r="F3329" t="s">
        <v>1583</v>
      </c>
    </row>
    <row r="3330" spans="1:6">
      <c r="A3330">
        <v>103</v>
      </c>
      <c r="B3330" t="s">
        <v>1786</v>
      </c>
      <c r="C3330">
        <v>100528</v>
      </c>
      <c r="D3330" t="s">
        <v>1584</v>
      </c>
      <c r="E3330" t="s">
        <v>1585</v>
      </c>
      <c r="F3330" t="s">
        <v>1586</v>
      </c>
    </row>
    <row r="3331" spans="1:6">
      <c r="A3331">
        <v>103</v>
      </c>
      <c r="B3331" t="s">
        <v>1786</v>
      </c>
      <c r="C3331">
        <v>350000</v>
      </c>
      <c r="D3331" t="s">
        <v>1587</v>
      </c>
      <c r="E3331" t="s">
        <v>1585</v>
      </c>
      <c r="F3331" t="s">
        <v>1588</v>
      </c>
    </row>
    <row r="3332" spans="1:6">
      <c r="A3332">
        <v>103</v>
      </c>
      <c r="B3332" t="s">
        <v>1786</v>
      </c>
      <c r="C3332">
        <v>118173</v>
      </c>
      <c r="D3332" t="s">
        <v>1454</v>
      </c>
      <c r="E3332" t="s">
        <v>1455</v>
      </c>
      <c r="F3332" t="s">
        <v>1456</v>
      </c>
    </row>
    <row r="3333" spans="1:6">
      <c r="A3333">
        <v>103</v>
      </c>
      <c r="B3333" t="s">
        <v>1786</v>
      </c>
      <c r="C3333">
        <v>135000</v>
      </c>
      <c r="D3333" t="s">
        <v>1457</v>
      </c>
      <c r="E3333" t="s">
        <v>1455</v>
      </c>
      <c r="F3333" t="s">
        <v>1458</v>
      </c>
    </row>
    <row r="3334" spans="1:6">
      <c r="A3334">
        <v>103</v>
      </c>
      <c r="B3334" t="s">
        <v>1786</v>
      </c>
      <c r="C3334">
        <v>38034</v>
      </c>
      <c r="D3334" t="s">
        <v>1230</v>
      </c>
      <c r="E3334" t="s">
        <v>1288</v>
      </c>
      <c r="F3334" t="s">
        <v>1231</v>
      </c>
    </row>
    <row r="3335" spans="1:6">
      <c r="A3335">
        <v>103</v>
      </c>
      <c r="B3335" t="s">
        <v>1786</v>
      </c>
      <c r="C3335">
        <v>4218</v>
      </c>
      <c r="D3335" t="s">
        <v>1589</v>
      </c>
      <c r="E3335" t="s">
        <v>1590</v>
      </c>
      <c r="F3335" t="s">
        <v>1591</v>
      </c>
    </row>
    <row r="3336" spans="1:6">
      <c r="A3336">
        <v>103</v>
      </c>
      <c r="B3336" t="s">
        <v>1786</v>
      </c>
      <c r="C3336">
        <v>35000</v>
      </c>
      <c r="D3336" t="s">
        <v>1592</v>
      </c>
      <c r="E3336" t="s">
        <v>1590</v>
      </c>
      <c r="F3336" t="s">
        <v>1593</v>
      </c>
    </row>
    <row r="3337" spans="1:6">
      <c r="A3337">
        <v>103</v>
      </c>
      <c r="B3337" t="s">
        <v>1786</v>
      </c>
      <c r="C3337">
        <v>11172</v>
      </c>
      <c r="D3337" t="s">
        <v>1597</v>
      </c>
      <c r="E3337" t="s">
        <v>1595</v>
      </c>
      <c r="F3337" t="s">
        <v>1598</v>
      </c>
    </row>
    <row r="3338" spans="1:6">
      <c r="A3338">
        <v>103</v>
      </c>
      <c r="B3338" t="s">
        <v>1786</v>
      </c>
      <c r="C3338">
        <v>499000</v>
      </c>
      <c r="D3338" t="s">
        <v>1599</v>
      </c>
      <c r="E3338" t="s">
        <v>1600</v>
      </c>
      <c r="F3338" t="s">
        <v>1601</v>
      </c>
    </row>
    <row r="3339" spans="1:6">
      <c r="A3339">
        <v>103</v>
      </c>
      <c r="B3339" t="s">
        <v>1786</v>
      </c>
      <c r="C3339">
        <v>1835034</v>
      </c>
      <c r="D3339" t="s">
        <v>1602</v>
      </c>
      <c r="E3339" t="s">
        <v>1600</v>
      </c>
      <c r="F3339" t="s">
        <v>1603</v>
      </c>
    </row>
    <row r="3340" spans="1:6">
      <c r="A3340">
        <v>103</v>
      </c>
      <c r="B3340" t="s">
        <v>1786</v>
      </c>
      <c r="C3340">
        <v>22000</v>
      </c>
      <c r="D3340" t="s">
        <v>1459</v>
      </c>
      <c r="E3340" t="s">
        <v>1605</v>
      </c>
      <c r="F3340" t="s">
        <v>1460</v>
      </c>
    </row>
    <row r="3341" spans="1:6">
      <c r="A3341">
        <v>103</v>
      </c>
      <c r="B3341" t="s">
        <v>1786</v>
      </c>
      <c r="C3341">
        <v>65000</v>
      </c>
      <c r="D3341" t="s">
        <v>1604</v>
      </c>
      <c r="E3341" t="s">
        <v>1605</v>
      </c>
      <c r="F3341" t="s">
        <v>1606</v>
      </c>
    </row>
    <row r="3342" spans="1:6">
      <c r="A3342">
        <v>103</v>
      </c>
      <c r="B3342" t="s">
        <v>1786</v>
      </c>
      <c r="C3342">
        <v>147934</v>
      </c>
      <c r="D3342" t="s">
        <v>1461</v>
      </c>
      <c r="E3342" t="s">
        <v>1462</v>
      </c>
      <c r="F3342" t="s">
        <v>1463</v>
      </c>
    </row>
    <row r="3343" spans="1:6">
      <c r="A3343">
        <v>103</v>
      </c>
      <c r="B3343" t="s">
        <v>1786</v>
      </c>
      <c r="C3343">
        <v>63414</v>
      </c>
      <c r="D3343" t="s">
        <v>1469</v>
      </c>
      <c r="E3343" t="s">
        <v>1470</v>
      </c>
      <c r="F3343" t="s">
        <v>1471</v>
      </c>
    </row>
    <row r="3344" spans="1:6">
      <c r="A3344">
        <v>103</v>
      </c>
      <c r="B3344" t="s">
        <v>1786</v>
      </c>
      <c r="C3344">
        <v>29863.94</v>
      </c>
      <c r="D3344" t="s">
        <v>1475</v>
      </c>
      <c r="E3344" t="s">
        <v>1476</v>
      </c>
      <c r="F3344" t="s">
        <v>1477</v>
      </c>
    </row>
    <row r="3345" spans="1:6">
      <c r="A3345">
        <v>103</v>
      </c>
      <c r="B3345" t="s">
        <v>1786</v>
      </c>
      <c r="C3345">
        <v>376452.28</v>
      </c>
      <c r="D3345" t="s">
        <v>1478</v>
      </c>
      <c r="E3345" t="s">
        <v>1479</v>
      </c>
      <c r="F3345" t="s">
        <v>1480</v>
      </c>
    </row>
    <row r="3346" spans="1:6">
      <c r="A3346">
        <v>103</v>
      </c>
      <c r="B3346" t="s">
        <v>1786</v>
      </c>
      <c r="C3346">
        <v>123007.42</v>
      </c>
      <c r="D3346" t="s">
        <v>1365</v>
      </c>
      <c r="E3346" t="s">
        <v>1366</v>
      </c>
      <c r="F3346" t="s">
        <v>1367</v>
      </c>
    </row>
    <row r="3347" spans="1:6">
      <c r="A3347">
        <v>103</v>
      </c>
      <c r="B3347" t="s">
        <v>1786</v>
      </c>
      <c r="C3347">
        <v>1528947</v>
      </c>
      <c r="D3347" t="s">
        <v>1607</v>
      </c>
      <c r="E3347" t="s">
        <v>1608</v>
      </c>
      <c r="F3347" t="s">
        <v>1609</v>
      </c>
    </row>
    <row r="3348" spans="1:6">
      <c r="A3348">
        <v>103</v>
      </c>
      <c r="B3348" t="s">
        <v>1786</v>
      </c>
      <c r="C3348">
        <v>6562073</v>
      </c>
      <c r="D3348" t="s">
        <v>1610</v>
      </c>
      <c r="E3348" t="s">
        <v>1481</v>
      </c>
      <c r="F3348" t="s">
        <v>1482</v>
      </c>
    </row>
    <row r="3349" spans="1:6">
      <c r="A3349">
        <v>103</v>
      </c>
      <c r="B3349" t="s">
        <v>1786</v>
      </c>
      <c r="C3349">
        <v>31697</v>
      </c>
      <c r="D3349" t="s">
        <v>1418</v>
      </c>
      <c r="E3349" t="s">
        <v>1419</v>
      </c>
      <c r="F3349" t="s">
        <v>1420</v>
      </c>
    </row>
    <row r="3350" spans="1:6">
      <c r="A3350">
        <v>104</v>
      </c>
      <c r="B3350" t="s">
        <v>1787</v>
      </c>
      <c r="C3350">
        <v>50086</v>
      </c>
      <c r="D3350" t="s">
        <v>1486</v>
      </c>
      <c r="E3350" t="s">
        <v>1487</v>
      </c>
      <c r="F3350" t="s">
        <v>1488</v>
      </c>
    </row>
    <row r="3351" spans="1:6">
      <c r="A3351">
        <v>104</v>
      </c>
      <c r="B3351" t="s">
        <v>1787</v>
      </c>
      <c r="C3351">
        <v>23426</v>
      </c>
      <c r="D3351" t="s">
        <v>1489</v>
      </c>
      <c r="E3351" t="s">
        <v>1490</v>
      </c>
      <c r="F3351" t="s">
        <v>1491</v>
      </c>
    </row>
    <row r="3352" spans="1:6">
      <c r="A3352">
        <v>104</v>
      </c>
      <c r="B3352" t="s">
        <v>1787</v>
      </c>
      <c r="C3352">
        <v>102250</v>
      </c>
      <c r="D3352" t="s">
        <v>1404</v>
      </c>
      <c r="E3352" t="s">
        <v>1405</v>
      </c>
      <c r="F3352" t="s">
        <v>1406</v>
      </c>
    </row>
    <row r="3353" spans="1:6">
      <c r="A3353">
        <v>104</v>
      </c>
      <c r="B3353" t="s">
        <v>1787</v>
      </c>
      <c r="C3353">
        <v>1011881</v>
      </c>
      <c r="D3353" t="s">
        <v>1567</v>
      </c>
      <c r="E3353" t="s">
        <v>1568</v>
      </c>
      <c r="F3353" t="s">
        <v>1569</v>
      </c>
    </row>
    <row r="3354" spans="1:6">
      <c r="A3354">
        <v>104</v>
      </c>
      <c r="B3354" t="s">
        <v>1787</v>
      </c>
      <c r="C3354">
        <v>95714</v>
      </c>
      <c r="D3354" t="s">
        <v>1496</v>
      </c>
      <c r="E3354" t="s">
        <v>1497</v>
      </c>
      <c r="F3354" t="s">
        <v>1498</v>
      </c>
    </row>
    <row r="3355" spans="1:6">
      <c r="A3355">
        <v>104</v>
      </c>
      <c r="B3355" t="s">
        <v>1787</v>
      </c>
      <c r="C3355">
        <v>28346282</v>
      </c>
      <c r="D3355" t="s">
        <v>1570</v>
      </c>
      <c r="E3355" t="s">
        <v>1571</v>
      </c>
      <c r="F3355" t="s">
        <v>1572</v>
      </c>
    </row>
    <row r="3356" spans="1:6">
      <c r="A3356">
        <v>104</v>
      </c>
      <c r="B3356" t="s">
        <v>1787</v>
      </c>
      <c r="C3356">
        <v>13432</v>
      </c>
      <c r="D3356" t="s">
        <v>1327</v>
      </c>
      <c r="E3356" t="s">
        <v>1328</v>
      </c>
      <c r="F3356" t="s">
        <v>1329</v>
      </c>
    </row>
    <row r="3357" spans="1:6">
      <c r="A3357">
        <v>104</v>
      </c>
      <c r="B3357" t="s">
        <v>1787</v>
      </c>
      <c r="C3357">
        <v>1228359</v>
      </c>
      <c r="D3357" t="s">
        <v>1499</v>
      </c>
      <c r="E3357" t="s">
        <v>1500</v>
      </c>
      <c r="F3357" t="s">
        <v>1501</v>
      </c>
    </row>
    <row r="3358" spans="1:6">
      <c r="A3358">
        <v>104</v>
      </c>
      <c r="B3358" t="s">
        <v>1787</v>
      </c>
      <c r="C3358">
        <v>487001</v>
      </c>
      <c r="D3358" t="s">
        <v>1502</v>
      </c>
      <c r="E3358" t="s">
        <v>1503</v>
      </c>
      <c r="F3358" t="s">
        <v>1504</v>
      </c>
    </row>
    <row r="3359" spans="1:6">
      <c r="A3359">
        <v>104</v>
      </c>
      <c r="B3359" t="s">
        <v>1787</v>
      </c>
      <c r="C3359">
        <v>99676</v>
      </c>
      <c r="D3359" t="s">
        <v>1505</v>
      </c>
      <c r="E3359" t="s">
        <v>1506</v>
      </c>
      <c r="F3359" t="s">
        <v>1507</v>
      </c>
    </row>
    <row r="3360" spans="1:6">
      <c r="A3360">
        <v>104</v>
      </c>
      <c r="B3360" t="s">
        <v>1787</v>
      </c>
      <c r="C3360">
        <v>115820</v>
      </c>
      <c r="D3360" t="s">
        <v>1508</v>
      </c>
      <c r="E3360" t="s">
        <v>1509</v>
      </c>
      <c r="F3360" t="s">
        <v>1510</v>
      </c>
    </row>
    <row r="3361" spans="1:6">
      <c r="A3361">
        <v>104</v>
      </c>
      <c r="B3361" t="s">
        <v>1787</v>
      </c>
      <c r="C3361">
        <v>109926</v>
      </c>
      <c r="D3361" t="s">
        <v>1382</v>
      </c>
      <c r="E3361" t="s">
        <v>1383</v>
      </c>
      <c r="F3361" t="s">
        <v>1384</v>
      </c>
    </row>
    <row r="3362" spans="1:6">
      <c r="A3362">
        <v>104</v>
      </c>
      <c r="B3362" t="s">
        <v>1787</v>
      </c>
      <c r="C3362">
        <v>36000</v>
      </c>
      <c r="D3362" t="s">
        <v>1515</v>
      </c>
      <c r="E3362" t="s">
        <v>1516</v>
      </c>
      <c r="F3362" t="s">
        <v>1517</v>
      </c>
    </row>
    <row r="3363" spans="1:6">
      <c r="A3363">
        <v>104</v>
      </c>
      <c r="B3363" t="s">
        <v>1787</v>
      </c>
      <c r="C3363">
        <v>13024</v>
      </c>
      <c r="D3363" t="s">
        <v>1518</v>
      </c>
      <c r="E3363" t="s">
        <v>1516</v>
      </c>
      <c r="F3363" t="s">
        <v>1519</v>
      </c>
    </row>
    <row r="3364" spans="1:6">
      <c r="A3364">
        <v>104</v>
      </c>
      <c r="B3364" t="s">
        <v>1787</v>
      </c>
      <c r="C3364">
        <v>954497</v>
      </c>
      <c r="D3364" t="s">
        <v>1520</v>
      </c>
      <c r="E3364" t="s">
        <v>1521</v>
      </c>
      <c r="F3364" t="s">
        <v>1522</v>
      </c>
    </row>
    <row r="3365" spans="1:6">
      <c r="A3365">
        <v>104</v>
      </c>
      <c r="B3365" t="s">
        <v>1787</v>
      </c>
      <c r="C3365">
        <v>877163</v>
      </c>
      <c r="D3365" t="s">
        <v>1573</v>
      </c>
      <c r="E3365" t="s">
        <v>1574</v>
      </c>
      <c r="F3365" t="s">
        <v>1575</v>
      </c>
    </row>
    <row r="3366" spans="1:6">
      <c r="A3366">
        <v>104</v>
      </c>
      <c r="B3366" t="s">
        <v>1787</v>
      </c>
      <c r="C3366">
        <v>78071</v>
      </c>
      <c r="D3366" t="s">
        <v>1523</v>
      </c>
      <c r="E3366" t="s">
        <v>1521</v>
      </c>
      <c r="F3366" t="s">
        <v>1524</v>
      </c>
    </row>
    <row r="3367" spans="1:6">
      <c r="A3367">
        <v>104</v>
      </c>
      <c r="B3367" t="s">
        <v>1787</v>
      </c>
      <c r="C3367">
        <v>185325</v>
      </c>
      <c r="D3367" t="s">
        <v>1371</v>
      </c>
      <c r="E3367" t="s">
        <v>1372</v>
      </c>
      <c r="F3367" t="s">
        <v>1373</v>
      </c>
    </row>
    <row r="3368" spans="1:6">
      <c r="A3368">
        <v>104</v>
      </c>
      <c r="B3368" t="s">
        <v>1787</v>
      </c>
      <c r="C3368">
        <v>89615</v>
      </c>
      <c r="D3368" t="s">
        <v>1525</v>
      </c>
      <c r="E3368" t="s">
        <v>1526</v>
      </c>
      <c r="F3368" t="s">
        <v>1527</v>
      </c>
    </row>
    <row r="3369" spans="1:6">
      <c r="A3369">
        <v>104</v>
      </c>
      <c r="B3369" t="s">
        <v>1787</v>
      </c>
      <c r="C3369">
        <v>87482</v>
      </c>
      <c r="D3369" t="s">
        <v>1528</v>
      </c>
      <c r="E3369" t="s">
        <v>1529</v>
      </c>
      <c r="F3369" t="s">
        <v>1530</v>
      </c>
    </row>
    <row r="3370" spans="1:6">
      <c r="A3370">
        <v>104</v>
      </c>
      <c r="B3370" t="s">
        <v>1787</v>
      </c>
      <c r="C3370">
        <v>19500</v>
      </c>
      <c r="D3370" t="s">
        <v>1387</v>
      </c>
      <c r="E3370" t="s">
        <v>1388</v>
      </c>
      <c r="F3370" t="s">
        <v>1389</v>
      </c>
    </row>
    <row r="3371" spans="1:6">
      <c r="A3371">
        <v>104</v>
      </c>
      <c r="B3371" t="s">
        <v>1787</v>
      </c>
      <c r="C3371">
        <v>65444</v>
      </c>
      <c r="D3371" t="s">
        <v>1207</v>
      </c>
      <c r="E3371" t="s">
        <v>1350</v>
      </c>
      <c r="F3371" t="s">
        <v>1351</v>
      </c>
    </row>
    <row r="3372" spans="1:6">
      <c r="A3372">
        <v>104</v>
      </c>
      <c r="B3372" t="s">
        <v>1787</v>
      </c>
      <c r="C3372">
        <v>33333</v>
      </c>
      <c r="D3372" t="s">
        <v>1306</v>
      </c>
      <c r="E3372" t="s">
        <v>1307</v>
      </c>
      <c r="F3372" t="s">
        <v>1308</v>
      </c>
    </row>
    <row r="3373" spans="1:6">
      <c r="A3373">
        <v>104</v>
      </c>
      <c r="B3373" t="s">
        <v>1787</v>
      </c>
      <c r="C3373">
        <v>94783.97</v>
      </c>
      <c r="D3373" t="s">
        <v>1537</v>
      </c>
      <c r="E3373" t="s">
        <v>1538</v>
      </c>
      <c r="F3373" t="s">
        <v>1539</v>
      </c>
    </row>
    <row r="3374" spans="1:6">
      <c r="A3374">
        <v>104</v>
      </c>
      <c r="B3374" t="s">
        <v>1787</v>
      </c>
      <c r="C3374">
        <v>225049.14</v>
      </c>
      <c r="D3374" t="s">
        <v>1540</v>
      </c>
      <c r="E3374" t="s">
        <v>1538</v>
      </c>
      <c r="F3374" t="s">
        <v>1541</v>
      </c>
    </row>
    <row r="3375" spans="1:6">
      <c r="A3375">
        <v>104</v>
      </c>
      <c r="B3375" t="s">
        <v>1787</v>
      </c>
      <c r="C3375">
        <v>36128</v>
      </c>
      <c r="D3375" t="s">
        <v>1542</v>
      </c>
      <c r="E3375" t="s">
        <v>1424</v>
      </c>
      <c r="F3375" t="s">
        <v>1425</v>
      </c>
    </row>
    <row r="3376" spans="1:6">
      <c r="A3376">
        <v>104</v>
      </c>
      <c r="B3376" t="s">
        <v>1787</v>
      </c>
      <c r="C3376">
        <v>3502</v>
      </c>
      <c r="D3376" t="s">
        <v>1428</v>
      </c>
      <c r="E3376" t="s">
        <v>1429</v>
      </c>
      <c r="F3376" t="s">
        <v>1430</v>
      </c>
    </row>
    <row r="3377" spans="1:6">
      <c r="A3377">
        <v>104</v>
      </c>
      <c r="B3377" t="s">
        <v>1787</v>
      </c>
      <c r="C3377">
        <v>246779.54</v>
      </c>
      <c r="D3377" t="s">
        <v>1431</v>
      </c>
      <c r="E3377" t="s">
        <v>1432</v>
      </c>
      <c r="F3377" t="s">
        <v>1433</v>
      </c>
    </row>
    <row r="3378" spans="1:6">
      <c r="A3378">
        <v>104</v>
      </c>
      <c r="B3378" t="s">
        <v>1787</v>
      </c>
      <c r="C3378">
        <v>572629.98</v>
      </c>
      <c r="D3378" t="s">
        <v>1434</v>
      </c>
      <c r="E3378" t="s">
        <v>1432</v>
      </c>
      <c r="F3378" t="s">
        <v>1435</v>
      </c>
    </row>
    <row r="3379" spans="1:6">
      <c r="A3379">
        <v>104</v>
      </c>
      <c r="B3379" t="s">
        <v>1787</v>
      </c>
      <c r="C3379">
        <v>387466</v>
      </c>
      <c r="D3379" t="s">
        <v>1576</v>
      </c>
      <c r="E3379" t="s">
        <v>1577</v>
      </c>
      <c r="F3379" t="s">
        <v>1578</v>
      </c>
    </row>
    <row r="3380" spans="1:6">
      <c r="A3380">
        <v>104</v>
      </c>
      <c r="B3380" t="s">
        <v>1787</v>
      </c>
      <c r="C3380">
        <v>1395005</v>
      </c>
      <c r="D3380" t="s">
        <v>1579</v>
      </c>
      <c r="E3380" t="s">
        <v>1577</v>
      </c>
      <c r="F3380" t="s">
        <v>1580</v>
      </c>
    </row>
    <row r="3381" spans="1:6">
      <c r="A3381">
        <v>104</v>
      </c>
      <c r="B3381" t="s">
        <v>1787</v>
      </c>
      <c r="C3381">
        <v>50310</v>
      </c>
      <c r="D3381" t="s">
        <v>1361</v>
      </c>
      <c r="E3381" t="s">
        <v>1440</v>
      </c>
      <c r="F3381" t="s">
        <v>1362</v>
      </c>
    </row>
    <row r="3382" spans="1:6">
      <c r="A3382">
        <v>104</v>
      </c>
      <c r="B3382" t="s">
        <v>1787</v>
      </c>
      <c r="C3382">
        <v>15473</v>
      </c>
      <c r="D3382" t="s">
        <v>1442</v>
      </c>
      <c r="E3382" t="s">
        <v>1582</v>
      </c>
      <c r="F3382" t="s">
        <v>1443</v>
      </c>
    </row>
    <row r="3383" spans="1:6">
      <c r="A3383">
        <v>104</v>
      </c>
      <c r="B3383" t="s">
        <v>1787</v>
      </c>
      <c r="C3383">
        <v>35000</v>
      </c>
      <c r="D3383" t="s">
        <v>1444</v>
      </c>
      <c r="E3383" t="s">
        <v>1445</v>
      </c>
      <c r="F3383" t="s">
        <v>1443</v>
      </c>
    </row>
    <row r="3384" spans="1:6">
      <c r="A3384">
        <v>104</v>
      </c>
      <c r="B3384" t="s">
        <v>1787</v>
      </c>
      <c r="C3384">
        <v>7590</v>
      </c>
      <c r="D3384" t="s">
        <v>1581</v>
      </c>
      <c r="E3384" t="s">
        <v>1582</v>
      </c>
      <c r="F3384" t="s">
        <v>1583</v>
      </c>
    </row>
    <row r="3385" spans="1:6">
      <c r="A3385">
        <v>104</v>
      </c>
      <c r="B3385" t="s">
        <v>1787</v>
      </c>
      <c r="C3385">
        <v>218506</v>
      </c>
      <c r="D3385" t="s">
        <v>1446</v>
      </c>
      <c r="E3385" t="s">
        <v>1447</v>
      </c>
      <c r="F3385" t="s">
        <v>1448</v>
      </c>
    </row>
    <row r="3386" spans="1:6">
      <c r="A3386">
        <v>104</v>
      </c>
      <c r="B3386" t="s">
        <v>1787</v>
      </c>
      <c r="C3386">
        <v>116865</v>
      </c>
      <c r="D3386" t="s">
        <v>1584</v>
      </c>
      <c r="E3386" t="s">
        <v>1585</v>
      </c>
      <c r="F3386" t="s">
        <v>1586</v>
      </c>
    </row>
    <row r="3387" spans="1:6">
      <c r="A3387">
        <v>104</v>
      </c>
      <c r="B3387" t="s">
        <v>1787</v>
      </c>
      <c r="C3387">
        <v>317757</v>
      </c>
      <c r="D3387" t="s">
        <v>1587</v>
      </c>
      <c r="E3387" t="s">
        <v>1585</v>
      </c>
      <c r="F3387" t="s">
        <v>1588</v>
      </c>
    </row>
    <row r="3388" spans="1:6">
      <c r="A3388">
        <v>104</v>
      </c>
      <c r="B3388" t="s">
        <v>1787</v>
      </c>
      <c r="C3388">
        <v>22245</v>
      </c>
      <c r="D3388" t="s">
        <v>1454</v>
      </c>
      <c r="E3388" t="s">
        <v>1455</v>
      </c>
      <c r="F3388" t="s">
        <v>1456</v>
      </c>
    </row>
    <row r="3389" spans="1:6">
      <c r="A3389">
        <v>104</v>
      </c>
      <c r="B3389" t="s">
        <v>1787</v>
      </c>
      <c r="C3389">
        <v>39281</v>
      </c>
      <c r="D3389" t="s">
        <v>1457</v>
      </c>
      <c r="E3389" t="s">
        <v>1455</v>
      </c>
      <c r="F3389" t="s">
        <v>1458</v>
      </c>
    </row>
    <row r="3390" spans="1:6">
      <c r="A3390">
        <v>104</v>
      </c>
      <c r="B3390" t="s">
        <v>1787</v>
      </c>
      <c r="C3390">
        <v>22693</v>
      </c>
      <c r="D3390" t="s">
        <v>1592</v>
      </c>
      <c r="E3390" t="s">
        <v>1590</v>
      </c>
      <c r="F3390" t="s">
        <v>1593</v>
      </c>
    </row>
    <row r="3391" spans="1:6">
      <c r="A3391">
        <v>104</v>
      </c>
      <c r="B3391" t="s">
        <v>1787</v>
      </c>
      <c r="C3391">
        <v>10815</v>
      </c>
      <c r="D3391" t="s">
        <v>1233</v>
      </c>
      <c r="E3391" t="s">
        <v>1234</v>
      </c>
      <c r="F3391" t="s">
        <v>1235</v>
      </c>
    </row>
    <row r="3392" spans="1:6">
      <c r="A3392">
        <v>104</v>
      </c>
      <c r="B3392" t="s">
        <v>1787</v>
      </c>
      <c r="C3392">
        <v>24271</v>
      </c>
      <c r="D3392" t="s">
        <v>1594</v>
      </c>
      <c r="E3392" t="s">
        <v>1595</v>
      </c>
      <c r="F3392" t="s">
        <v>1596</v>
      </c>
    </row>
    <row r="3393" spans="1:6">
      <c r="A3393">
        <v>104</v>
      </c>
      <c r="B3393" t="s">
        <v>1787</v>
      </c>
      <c r="C3393">
        <v>6378</v>
      </c>
      <c r="D3393" t="s">
        <v>1597</v>
      </c>
      <c r="E3393" t="s">
        <v>1595</v>
      </c>
      <c r="F3393" t="s">
        <v>1598</v>
      </c>
    </row>
    <row r="3394" spans="1:6">
      <c r="A3394">
        <v>104</v>
      </c>
      <c r="B3394" t="s">
        <v>1787</v>
      </c>
      <c r="C3394">
        <v>305839</v>
      </c>
      <c r="D3394" t="s">
        <v>1599</v>
      </c>
      <c r="E3394" t="s">
        <v>1600</v>
      </c>
      <c r="F3394" t="s">
        <v>1601</v>
      </c>
    </row>
    <row r="3395" spans="1:6">
      <c r="A3395">
        <v>104</v>
      </c>
      <c r="B3395" t="s">
        <v>1787</v>
      </c>
      <c r="C3395">
        <v>799264</v>
      </c>
      <c r="D3395" t="s">
        <v>1602</v>
      </c>
      <c r="E3395" t="s">
        <v>1600</v>
      </c>
      <c r="F3395" t="s">
        <v>1603</v>
      </c>
    </row>
    <row r="3396" spans="1:6">
      <c r="A3396">
        <v>104</v>
      </c>
      <c r="B3396" t="s">
        <v>1787</v>
      </c>
      <c r="C3396">
        <v>26537</v>
      </c>
      <c r="D3396" t="s">
        <v>1459</v>
      </c>
      <c r="E3396" t="s">
        <v>1605</v>
      </c>
      <c r="F3396" t="s">
        <v>1460</v>
      </c>
    </row>
    <row r="3397" spans="1:6">
      <c r="A3397">
        <v>104</v>
      </c>
      <c r="B3397" t="s">
        <v>1787</v>
      </c>
      <c r="C3397">
        <v>23540</v>
      </c>
      <c r="D3397" t="s">
        <v>1604</v>
      </c>
      <c r="E3397" t="s">
        <v>1605</v>
      </c>
      <c r="F3397" t="s">
        <v>1606</v>
      </c>
    </row>
    <row r="3398" spans="1:6">
      <c r="A3398">
        <v>104</v>
      </c>
      <c r="B3398" t="s">
        <v>1787</v>
      </c>
      <c r="C3398">
        <v>5500</v>
      </c>
      <c r="D3398" t="s">
        <v>1466</v>
      </c>
      <c r="E3398" t="s">
        <v>1467</v>
      </c>
      <c r="F3398" t="s">
        <v>1468</v>
      </c>
    </row>
    <row r="3399" spans="1:6">
      <c r="A3399">
        <v>104</v>
      </c>
      <c r="B3399" t="s">
        <v>1787</v>
      </c>
      <c r="C3399">
        <v>27288</v>
      </c>
      <c r="D3399" t="s">
        <v>1273</v>
      </c>
      <c r="E3399" t="s">
        <v>1274</v>
      </c>
      <c r="F3399" t="s">
        <v>1275</v>
      </c>
    </row>
    <row r="3400" spans="1:6">
      <c r="A3400">
        <v>104</v>
      </c>
      <c r="B3400" t="s">
        <v>1787</v>
      </c>
      <c r="C3400">
        <v>25375</v>
      </c>
      <c r="D3400" t="s">
        <v>1469</v>
      </c>
      <c r="E3400" t="s">
        <v>1470</v>
      </c>
      <c r="F3400" t="s">
        <v>1471</v>
      </c>
    </row>
    <row r="3401" spans="1:6">
      <c r="A3401">
        <v>104</v>
      </c>
      <c r="B3401" t="s">
        <v>1787</v>
      </c>
      <c r="C3401">
        <v>35458.559999999998</v>
      </c>
      <c r="D3401" t="s">
        <v>1475</v>
      </c>
      <c r="E3401" t="s">
        <v>1476</v>
      </c>
      <c r="F3401" t="s">
        <v>1477</v>
      </c>
    </row>
    <row r="3402" spans="1:6">
      <c r="A3402">
        <v>104</v>
      </c>
      <c r="B3402" t="s">
        <v>1787</v>
      </c>
      <c r="C3402">
        <v>266154.48</v>
      </c>
      <c r="D3402" t="s">
        <v>1365</v>
      </c>
      <c r="E3402" t="s">
        <v>1366</v>
      </c>
      <c r="F3402" t="s">
        <v>1367</v>
      </c>
    </row>
    <row r="3403" spans="1:6">
      <c r="A3403">
        <v>104</v>
      </c>
      <c r="B3403" t="s">
        <v>1787</v>
      </c>
      <c r="C3403">
        <v>680378</v>
      </c>
      <c r="D3403" t="s">
        <v>1607</v>
      </c>
      <c r="E3403" t="s">
        <v>1608</v>
      </c>
      <c r="F3403" t="s">
        <v>1609</v>
      </c>
    </row>
    <row r="3404" spans="1:6">
      <c r="A3404">
        <v>104</v>
      </c>
      <c r="B3404" t="s">
        <v>1787</v>
      </c>
      <c r="C3404">
        <v>219060</v>
      </c>
      <c r="D3404" t="s">
        <v>1610</v>
      </c>
      <c r="E3404" t="s">
        <v>1481</v>
      </c>
      <c r="F3404" t="s">
        <v>1482</v>
      </c>
    </row>
    <row r="3405" spans="1:6">
      <c r="A3405">
        <v>105</v>
      </c>
      <c r="B3405" t="s">
        <v>1137</v>
      </c>
      <c r="C3405">
        <v>447757</v>
      </c>
      <c r="D3405" t="s">
        <v>1570</v>
      </c>
      <c r="E3405" t="s">
        <v>1571</v>
      </c>
      <c r="F3405" t="s">
        <v>1572</v>
      </c>
    </row>
    <row r="3406" spans="1:6">
      <c r="A3406">
        <v>105</v>
      </c>
      <c r="B3406" t="s">
        <v>1137</v>
      </c>
      <c r="C3406">
        <v>7538</v>
      </c>
      <c r="D3406" t="s">
        <v>1371</v>
      </c>
      <c r="E3406" t="s">
        <v>1372</v>
      </c>
      <c r="F3406" t="s">
        <v>1373</v>
      </c>
    </row>
    <row r="3407" spans="1:6">
      <c r="A3407">
        <v>105</v>
      </c>
      <c r="B3407" t="s">
        <v>1137</v>
      </c>
      <c r="C3407">
        <v>20105</v>
      </c>
      <c r="D3407" t="s">
        <v>1528</v>
      </c>
      <c r="E3407" t="s">
        <v>1529</v>
      </c>
      <c r="F3407" t="s">
        <v>1530</v>
      </c>
    </row>
    <row r="3408" spans="1:6">
      <c r="A3408">
        <v>106</v>
      </c>
      <c r="B3408" t="s">
        <v>1788</v>
      </c>
      <c r="C3408">
        <v>5431</v>
      </c>
      <c r="D3408" t="s">
        <v>1489</v>
      </c>
      <c r="E3408" t="s">
        <v>1490</v>
      </c>
      <c r="F3408" t="s">
        <v>1491</v>
      </c>
    </row>
    <row r="3409" spans="1:6">
      <c r="A3409">
        <v>106</v>
      </c>
      <c r="B3409" t="s">
        <v>1788</v>
      </c>
      <c r="C3409">
        <v>12460</v>
      </c>
      <c r="D3409" t="s">
        <v>1567</v>
      </c>
      <c r="E3409" t="s">
        <v>1568</v>
      </c>
      <c r="F3409" t="s">
        <v>1569</v>
      </c>
    </row>
    <row r="3410" spans="1:6">
      <c r="A3410">
        <v>106</v>
      </c>
      <c r="B3410" t="s">
        <v>1788</v>
      </c>
      <c r="C3410">
        <v>5662</v>
      </c>
      <c r="D3410" t="s">
        <v>1496</v>
      </c>
      <c r="E3410" t="s">
        <v>1497</v>
      </c>
      <c r="F3410" t="s">
        <v>1498</v>
      </c>
    </row>
    <row r="3411" spans="1:6">
      <c r="A3411">
        <v>106</v>
      </c>
      <c r="B3411" t="s">
        <v>1788</v>
      </c>
      <c r="C3411">
        <v>450879</v>
      </c>
      <c r="D3411" t="s">
        <v>1570</v>
      </c>
      <c r="E3411" t="s">
        <v>1571</v>
      </c>
      <c r="F3411" t="s">
        <v>1572</v>
      </c>
    </row>
    <row r="3412" spans="1:6">
      <c r="A3412">
        <v>106</v>
      </c>
      <c r="B3412" t="s">
        <v>1788</v>
      </c>
      <c r="C3412">
        <v>292820</v>
      </c>
      <c r="D3412" t="s">
        <v>1520</v>
      </c>
      <c r="E3412" t="s">
        <v>1521</v>
      </c>
      <c r="F3412" t="s">
        <v>1522</v>
      </c>
    </row>
    <row r="3413" spans="1:6">
      <c r="A3413">
        <v>106</v>
      </c>
      <c r="B3413" t="s">
        <v>1788</v>
      </c>
      <c r="C3413">
        <v>107593</v>
      </c>
      <c r="D3413" t="s">
        <v>1573</v>
      </c>
      <c r="E3413" t="s">
        <v>1574</v>
      </c>
      <c r="F3413" t="s">
        <v>1575</v>
      </c>
    </row>
    <row r="3414" spans="1:6">
      <c r="A3414">
        <v>106</v>
      </c>
      <c r="B3414" t="s">
        <v>1788</v>
      </c>
      <c r="C3414">
        <v>154</v>
      </c>
      <c r="D3414" t="s">
        <v>1525</v>
      </c>
      <c r="E3414" t="s">
        <v>1526</v>
      </c>
      <c r="F3414" t="s">
        <v>1527</v>
      </c>
    </row>
    <row r="3415" spans="1:6">
      <c r="A3415">
        <v>106</v>
      </c>
      <c r="B3415" t="s">
        <v>1788</v>
      </c>
      <c r="C3415">
        <v>37984</v>
      </c>
      <c r="D3415" t="s">
        <v>1528</v>
      </c>
      <c r="E3415" t="s">
        <v>1529</v>
      </c>
      <c r="F3415" t="s">
        <v>1530</v>
      </c>
    </row>
    <row r="3416" spans="1:6">
      <c r="A3416">
        <v>106</v>
      </c>
      <c r="B3416" t="s">
        <v>1788</v>
      </c>
      <c r="C3416">
        <v>17636.849999999999</v>
      </c>
      <c r="D3416" t="s">
        <v>1431</v>
      </c>
      <c r="E3416" t="s">
        <v>1432</v>
      </c>
      <c r="F3416" t="s">
        <v>1433</v>
      </c>
    </row>
    <row r="3417" spans="1:6">
      <c r="A3417">
        <v>106</v>
      </c>
      <c r="B3417" t="s">
        <v>1788</v>
      </c>
      <c r="C3417">
        <v>42220.37</v>
      </c>
      <c r="D3417" t="s">
        <v>1434</v>
      </c>
      <c r="E3417" t="s">
        <v>1432</v>
      </c>
      <c r="F3417" t="s">
        <v>1435</v>
      </c>
    </row>
    <row r="3418" spans="1:6">
      <c r="A3418">
        <v>106</v>
      </c>
      <c r="B3418" t="s">
        <v>1788</v>
      </c>
      <c r="C3418">
        <v>5663</v>
      </c>
      <c r="D3418" t="s">
        <v>1576</v>
      </c>
      <c r="E3418" t="s">
        <v>1577</v>
      </c>
      <c r="F3418" t="s">
        <v>1578</v>
      </c>
    </row>
    <row r="3419" spans="1:6">
      <c r="A3419">
        <v>106</v>
      </c>
      <c r="B3419" t="s">
        <v>1788</v>
      </c>
      <c r="C3419">
        <v>104100</v>
      </c>
      <c r="D3419" t="s">
        <v>1579</v>
      </c>
      <c r="E3419" t="s">
        <v>1577</v>
      </c>
      <c r="F3419" t="s">
        <v>1580</v>
      </c>
    </row>
    <row r="3420" spans="1:6">
      <c r="A3420">
        <v>106</v>
      </c>
      <c r="B3420" t="s">
        <v>1788</v>
      </c>
      <c r="C3420">
        <v>875</v>
      </c>
      <c r="D3420" t="s">
        <v>1581</v>
      </c>
      <c r="E3420" t="s">
        <v>1582</v>
      </c>
      <c r="F3420" t="s">
        <v>1583</v>
      </c>
    </row>
    <row r="3421" spans="1:6">
      <c r="A3421">
        <v>106</v>
      </c>
      <c r="B3421" t="s">
        <v>1788</v>
      </c>
      <c r="C3421">
        <v>1834</v>
      </c>
      <c r="D3421" t="s">
        <v>1584</v>
      </c>
      <c r="E3421" t="s">
        <v>1585</v>
      </c>
      <c r="F3421" t="s">
        <v>1586</v>
      </c>
    </row>
    <row r="3422" spans="1:6">
      <c r="A3422">
        <v>106</v>
      </c>
      <c r="B3422" t="s">
        <v>1788</v>
      </c>
      <c r="C3422">
        <v>38650</v>
      </c>
      <c r="D3422" t="s">
        <v>1587</v>
      </c>
      <c r="E3422" t="s">
        <v>1585</v>
      </c>
      <c r="F3422" t="s">
        <v>1588</v>
      </c>
    </row>
    <row r="3423" spans="1:6">
      <c r="A3423">
        <v>106</v>
      </c>
      <c r="B3423" t="s">
        <v>1788</v>
      </c>
      <c r="C3423">
        <v>4975</v>
      </c>
      <c r="D3423" t="s">
        <v>1592</v>
      </c>
      <c r="E3423" t="s">
        <v>1590</v>
      </c>
      <c r="F3423" t="s">
        <v>1593</v>
      </c>
    </row>
    <row r="3424" spans="1:6">
      <c r="A3424">
        <v>106</v>
      </c>
      <c r="B3424" t="s">
        <v>1788</v>
      </c>
      <c r="C3424">
        <v>1093</v>
      </c>
      <c r="D3424" t="s">
        <v>1597</v>
      </c>
      <c r="E3424" t="s">
        <v>1595</v>
      </c>
      <c r="F3424" t="s">
        <v>1598</v>
      </c>
    </row>
    <row r="3425" spans="1:6">
      <c r="A3425">
        <v>106</v>
      </c>
      <c r="B3425" t="s">
        <v>1788</v>
      </c>
      <c r="C3425">
        <v>19514</v>
      </c>
      <c r="D3425" t="s">
        <v>1599</v>
      </c>
      <c r="E3425" t="s">
        <v>1600</v>
      </c>
      <c r="F3425" t="s">
        <v>1601</v>
      </c>
    </row>
    <row r="3426" spans="1:6">
      <c r="A3426">
        <v>106</v>
      </c>
      <c r="B3426" t="s">
        <v>1788</v>
      </c>
      <c r="C3426">
        <v>267000</v>
      </c>
      <c r="D3426" t="s">
        <v>1602</v>
      </c>
      <c r="E3426" t="s">
        <v>1600</v>
      </c>
      <c r="F3426" t="s">
        <v>1603</v>
      </c>
    </row>
    <row r="3427" spans="1:6">
      <c r="A3427">
        <v>106</v>
      </c>
      <c r="B3427" t="s">
        <v>1788</v>
      </c>
      <c r="C3427">
        <v>785</v>
      </c>
      <c r="D3427" t="s">
        <v>1459</v>
      </c>
      <c r="E3427" t="s">
        <v>1605</v>
      </c>
      <c r="F3427" t="s">
        <v>1460</v>
      </c>
    </row>
    <row r="3428" spans="1:6">
      <c r="A3428">
        <v>106</v>
      </c>
      <c r="B3428" t="s">
        <v>1788</v>
      </c>
      <c r="C3428">
        <v>9800</v>
      </c>
      <c r="D3428" t="s">
        <v>1604</v>
      </c>
      <c r="E3428" t="s">
        <v>1605</v>
      </c>
      <c r="F3428" t="s">
        <v>1606</v>
      </c>
    </row>
    <row r="3429" spans="1:6">
      <c r="A3429">
        <v>106</v>
      </c>
      <c r="B3429" t="s">
        <v>1788</v>
      </c>
      <c r="C3429">
        <v>32705.14</v>
      </c>
      <c r="D3429" t="s">
        <v>1379</v>
      </c>
      <c r="E3429" t="s">
        <v>1380</v>
      </c>
      <c r="F3429" t="s">
        <v>1381</v>
      </c>
    </row>
    <row r="3430" spans="1:6">
      <c r="A3430">
        <v>106</v>
      </c>
      <c r="B3430" t="s">
        <v>1788</v>
      </c>
      <c r="C3430">
        <v>25187.34</v>
      </c>
      <c r="D3430" t="s">
        <v>1475</v>
      </c>
      <c r="E3430" t="s">
        <v>1476</v>
      </c>
      <c r="F3430" t="s">
        <v>1477</v>
      </c>
    </row>
    <row r="3431" spans="1:6">
      <c r="A3431">
        <v>106</v>
      </c>
      <c r="B3431" t="s">
        <v>1788</v>
      </c>
      <c r="C3431">
        <v>326861.21000000002</v>
      </c>
      <c r="D3431" t="s">
        <v>1478</v>
      </c>
      <c r="E3431" t="s">
        <v>1479</v>
      </c>
      <c r="F3431" t="s">
        <v>1480</v>
      </c>
    </row>
    <row r="3432" spans="1:6">
      <c r="A3432">
        <v>106</v>
      </c>
      <c r="B3432" t="s">
        <v>1788</v>
      </c>
      <c r="C3432">
        <v>108964.22</v>
      </c>
      <c r="D3432" t="s">
        <v>1365</v>
      </c>
      <c r="E3432" t="s">
        <v>1366</v>
      </c>
      <c r="F3432" t="s">
        <v>1367</v>
      </c>
    </row>
    <row r="3433" spans="1:6">
      <c r="A3433">
        <v>106</v>
      </c>
      <c r="B3433" t="s">
        <v>1788</v>
      </c>
      <c r="C3433">
        <v>1456213</v>
      </c>
      <c r="D3433" t="s">
        <v>1607</v>
      </c>
      <c r="E3433" t="s">
        <v>1608</v>
      </c>
      <c r="F3433" t="s">
        <v>1609</v>
      </c>
    </row>
    <row r="3434" spans="1:6">
      <c r="A3434">
        <v>106</v>
      </c>
      <c r="B3434" t="s">
        <v>1788</v>
      </c>
      <c r="C3434">
        <v>1232119</v>
      </c>
      <c r="D3434" t="s">
        <v>1610</v>
      </c>
      <c r="E3434" t="s">
        <v>1481</v>
      </c>
      <c r="F3434" t="s">
        <v>1482</v>
      </c>
    </row>
    <row r="3435" spans="1:6">
      <c r="A3435">
        <v>107</v>
      </c>
      <c r="B3435" t="s">
        <v>1789</v>
      </c>
      <c r="C3435">
        <v>11495</v>
      </c>
      <c r="D3435" t="s">
        <v>1486</v>
      </c>
      <c r="E3435" t="s">
        <v>1487</v>
      </c>
      <c r="F3435" t="s">
        <v>1488</v>
      </c>
    </row>
    <row r="3436" spans="1:6">
      <c r="A3436">
        <v>107</v>
      </c>
      <c r="B3436" t="s">
        <v>1789</v>
      </c>
      <c r="C3436">
        <v>5376</v>
      </c>
      <c r="D3436" t="s">
        <v>1489</v>
      </c>
      <c r="E3436" t="s">
        <v>1490</v>
      </c>
      <c r="F3436" t="s">
        <v>1491</v>
      </c>
    </row>
    <row r="3437" spans="1:6">
      <c r="A3437">
        <v>107</v>
      </c>
      <c r="B3437" t="s">
        <v>1789</v>
      </c>
      <c r="C3437">
        <v>17055</v>
      </c>
      <c r="D3437" t="s">
        <v>1567</v>
      </c>
      <c r="E3437" t="s">
        <v>1568</v>
      </c>
      <c r="F3437" t="s">
        <v>1569</v>
      </c>
    </row>
    <row r="3438" spans="1:6">
      <c r="A3438">
        <v>107</v>
      </c>
      <c r="B3438" t="s">
        <v>1789</v>
      </c>
      <c r="C3438">
        <v>1420</v>
      </c>
      <c r="D3438" t="s">
        <v>1496</v>
      </c>
      <c r="E3438" t="s">
        <v>1497</v>
      </c>
      <c r="F3438" t="s">
        <v>1498</v>
      </c>
    </row>
    <row r="3439" spans="1:6">
      <c r="A3439">
        <v>107</v>
      </c>
      <c r="B3439" t="s">
        <v>1789</v>
      </c>
      <c r="C3439">
        <v>736193</v>
      </c>
      <c r="D3439" t="s">
        <v>1570</v>
      </c>
      <c r="E3439" t="s">
        <v>1571</v>
      </c>
      <c r="F3439" t="s">
        <v>1572</v>
      </c>
    </row>
    <row r="3440" spans="1:6">
      <c r="A3440">
        <v>107</v>
      </c>
      <c r="B3440" t="s">
        <v>1789</v>
      </c>
      <c r="C3440">
        <v>92016</v>
      </c>
      <c r="D3440" t="s">
        <v>1520</v>
      </c>
      <c r="E3440" t="s">
        <v>1521</v>
      </c>
      <c r="F3440" t="s">
        <v>1522</v>
      </c>
    </row>
    <row r="3441" spans="1:6">
      <c r="A3441">
        <v>107</v>
      </c>
      <c r="B3441" t="s">
        <v>1789</v>
      </c>
      <c r="C3441">
        <v>350303</v>
      </c>
      <c r="D3441" t="s">
        <v>1573</v>
      </c>
      <c r="E3441" t="s">
        <v>1574</v>
      </c>
      <c r="F3441" t="s">
        <v>1575</v>
      </c>
    </row>
    <row r="3442" spans="1:6">
      <c r="A3442">
        <v>107</v>
      </c>
      <c r="B3442" t="s">
        <v>1789</v>
      </c>
      <c r="C3442">
        <v>3173</v>
      </c>
      <c r="D3442" t="s">
        <v>1371</v>
      </c>
      <c r="E3442" t="s">
        <v>1372</v>
      </c>
      <c r="F3442" t="s">
        <v>1373</v>
      </c>
    </row>
    <row r="3443" spans="1:6">
      <c r="A3443">
        <v>107</v>
      </c>
      <c r="B3443" t="s">
        <v>1789</v>
      </c>
      <c r="C3443">
        <v>53</v>
      </c>
      <c r="D3443" t="s">
        <v>1525</v>
      </c>
      <c r="E3443" t="s">
        <v>1526</v>
      </c>
      <c r="F3443" t="s">
        <v>1527</v>
      </c>
    </row>
    <row r="3444" spans="1:6">
      <c r="A3444">
        <v>107</v>
      </c>
      <c r="B3444" t="s">
        <v>1789</v>
      </c>
      <c r="C3444">
        <v>18072</v>
      </c>
      <c r="D3444" t="s">
        <v>1528</v>
      </c>
      <c r="E3444" t="s">
        <v>1529</v>
      </c>
      <c r="F3444" t="s">
        <v>1530</v>
      </c>
    </row>
    <row r="3445" spans="1:6">
      <c r="A3445">
        <v>107</v>
      </c>
      <c r="B3445" t="s">
        <v>1789</v>
      </c>
      <c r="C3445">
        <v>41244</v>
      </c>
      <c r="D3445" t="s">
        <v>1531</v>
      </c>
      <c r="E3445" t="s">
        <v>1532</v>
      </c>
      <c r="F3445" t="s">
        <v>1533</v>
      </c>
    </row>
    <row r="3446" spans="1:6">
      <c r="A3446">
        <v>107</v>
      </c>
      <c r="B3446" t="s">
        <v>1789</v>
      </c>
      <c r="C3446">
        <v>11976.76</v>
      </c>
      <c r="D3446" t="s">
        <v>1431</v>
      </c>
      <c r="E3446" t="s">
        <v>1432</v>
      </c>
      <c r="F3446" t="s">
        <v>1433</v>
      </c>
    </row>
    <row r="3447" spans="1:6">
      <c r="A3447">
        <v>107</v>
      </c>
      <c r="B3447" t="s">
        <v>1789</v>
      </c>
      <c r="C3447">
        <v>29766.07</v>
      </c>
      <c r="D3447" t="s">
        <v>1434</v>
      </c>
      <c r="E3447" t="s">
        <v>1432</v>
      </c>
      <c r="F3447" t="s">
        <v>1435</v>
      </c>
    </row>
    <row r="3448" spans="1:6">
      <c r="A3448">
        <v>107</v>
      </c>
      <c r="B3448" t="s">
        <v>1789</v>
      </c>
      <c r="C3448">
        <v>25207</v>
      </c>
      <c r="D3448" t="s">
        <v>1584</v>
      </c>
      <c r="E3448" t="s">
        <v>1585</v>
      </c>
      <c r="F3448" t="s">
        <v>1586</v>
      </c>
    </row>
    <row r="3449" spans="1:6">
      <c r="A3449">
        <v>107</v>
      </c>
      <c r="B3449" t="s">
        <v>1789</v>
      </c>
      <c r="C3449">
        <v>2546</v>
      </c>
      <c r="D3449" t="s">
        <v>1592</v>
      </c>
      <c r="E3449" t="s">
        <v>1590</v>
      </c>
      <c r="F3449" t="s">
        <v>1593</v>
      </c>
    </row>
    <row r="3450" spans="1:6">
      <c r="A3450">
        <v>107</v>
      </c>
      <c r="B3450" t="s">
        <v>1789</v>
      </c>
      <c r="C3450">
        <v>1975</v>
      </c>
      <c r="D3450" t="s">
        <v>1594</v>
      </c>
      <c r="E3450" t="s">
        <v>1595</v>
      </c>
      <c r="F3450" t="s">
        <v>1596</v>
      </c>
    </row>
    <row r="3451" spans="1:6">
      <c r="A3451">
        <v>107</v>
      </c>
      <c r="B3451" t="s">
        <v>1789</v>
      </c>
      <c r="C3451">
        <v>253728</v>
      </c>
      <c r="D3451" t="s">
        <v>1602</v>
      </c>
      <c r="E3451" t="s">
        <v>1600</v>
      </c>
      <c r="F3451" t="s">
        <v>1603</v>
      </c>
    </row>
    <row r="3452" spans="1:6">
      <c r="A3452">
        <v>107</v>
      </c>
      <c r="B3452" t="s">
        <v>1789</v>
      </c>
      <c r="C3452">
        <v>12322</v>
      </c>
      <c r="D3452" t="s">
        <v>1604</v>
      </c>
      <c r="E3452" t="s">
        <v>1605</v>
      </c>
      <c r="F3452" t="s">
        <v>1606</v>
      </c>
    </row>
    <row r="3453" spans="1:6">
      <c r="A3453">
        <v>107</v>
      </c>
      <c r="B3453" t="s">
        <v>1789</v>
      </c>
      <c r="C3453">
        <v>519234</v>
      </c>
      <c r="D3453" t="s">
        <v>1607</v>
      </c>
      <c r="E3453" t="s">
        <v>1608</v>
      </c>
      <c r="F3453" t="s">
        <v>1609</v>
      </c>
    </row>
    <row r="3454" spans="1:6">
      <c r="A3454">
        <v>108</v>
      </c>
      <c r="B3454" t="s">
        <v>1790</v>
      </c>
      <c r="C3454">
        <v>22375</v>
      </c>
      <c r="D3454" t="s">
        <v>1483</v>
      </c>
      <c r="E3454" t="s">
        <v>1484</v>
      </c>
      <c r="F3454" t="s">
        <v>1485</v>
      </c>
    </row>
    <row r="3455" spans="1:6">
      <c r="A3455">
        <v>108</v>
      </c>
      <c r="B3455" t="s">
        <v>1790</v>
      </c>
      <c r="C3455">
        <v>5773</v>
      </c>
      <c r="D3455" t="s">
        <v>1489</v>
      </c>
      <c r="E3455" t="s">
        <v>1490</v>
      </c>
      <c r="F3455" t="s">
        <v>1491</v>
      </c>
    </row>
    <row r="3456" spans="1:6">
      <c r="A3456">
        <v>108</v>
      </c>
      <c r="B3456" t="s">
        <v>1790</v>
      </c>
      <c r="C3456">
        <v>135325</v>
      </c>
      <c r="D3456" t="s">
        <v>1567</v>
      </c>
      <c r="E3456" t="s">
        <v>1568</v>
      </c>
      <c r="F3456" t="s">
        <v>1569</v>
      </c>
    </row>
    <row r="3457" spans="1:6">
      <c r="A3457">
        <v>108</v>
      </c>
      <c r="B3457" t="s">
        <v>1790</v>
      </c>
      <c r="C3457">
        <v>3750363</v>
      </c>
      <c r="D3457" t="s">
        <v>1570</v>
      </c>
      <c r="E3457" t="s">
        <v>1571</v>
      </c>
      <c r="F3457" t="s">
        <v>1572</v>
      </c>
    </row>
    <row r="3458" spans="1:6">
      <c r="A3458">
        <v>108</v>
      </c>
      <c r="B3458" t="s">
        <v>1790</v>
      </c>
      <c r="C3458">
        <v>359149</v>
      </c>
      <c r="D3458" t="s">
        <v>1573</v>
      </c>
      <c r="E3458" t="s">
        <v>1574</v>
      </c>
      <c r="F3458" t="s">
        <v>1575</v>
      </c>
    </row>
    <row r="3459" spans="1:6">
      <c r="A3459">
        <v>108</v>
      </c>
      <c r="B3459" t="s">
        <v>1790</v>
      </c>
      <c r="C3459">
        <v>10188</v>
      </c>
      <c r="D3459" t="s">
        <v>1371</v>
      </c>
      <c r="E3459" t="s">
        <v>1372</v>
      </c>
      <c r="F3459" t="s">
        <v>1373</v>
      </c>
    </row>
    <row r="3460" spans="1:6">
      <c r="A3460">
        <v>108</v>
      </c>
      <c r="B3460" t="s">
        <v>1790</v>
      </c>
      <c r="C3460">
        <v>148863</v>
      </c>
      <c r="D3460" t="s">
        <v>1390</v>
      </c>
      <c r="E3460" t="s">
        <v>1391</v>
      </c>
      <c r="F3460" t="s">
        <v>1392</v>
      </c>
    </row>
    <row r="3461" spans="1:6">
      <c r="A3461">
        <v>108</v>
      </c>
      <c r="B3461" t="s">
        <v>1790</v>
      </c>
      <c r="C3461">
        <v>533.54</v>
      </c>
      <c r="D3461" t="s">
        <v>1374</v>
      </c>
      <c r="E3461" t="s">
        <v>1375</v>
      </c>
      <c r="F3461" t="s">
        <v>1376</v>
      </c>
    </row>
    <row r="3462" spans="1:6">
      <c r="A3462">
        <v>108</v>
      </c>
      <c r="B3462" t="s">
        <v>1790</v>
      </c>
      <c r="C3462">
        <v>651.22</v>
      </c>
      <c r="D3462" t="s">
        <v>1377</v>
      </c>
      <c r="E3462" t="s">
        <v>1375</v>
      </c>
      <c r="F3462" t="s">
        <v>1378</v>
      </c>
    </row>
    <row r="3463" spans="1:6">
      <c r="A3463">
        <v>108</v>
      </c>
      <c r="B3463" t="s">
        <v>1790</v>
      </c>
      <c r="C3463">
        <v>19596.419999999998</v>
      </c>
      <c r="D3463" t="s">
        <v>1431</v>
      </c>
      <c r="E3463" t="s">
        <v>1432</v>
      </c>
      <c r="F3463" t="s">
        <v>1433</v>
      </c>
    </row>
    <row r="3464" spans="1:6">
      <c r="A3464">
        <v>108</v>
      </c>
      <c r="B3464" t="s">
        <v>1790</v>
      </c>
      <c r="C3464">
        <v>39207.129999999997</v>
      </c>
      <c r="D3464" t="s">
        <v>1434</v>
      </c>
      <c r="E3464" t="s">
        <v>1432</v>
      </c>
      <c r="F3464" t="s">
        <v>1435</v>
      </c>
    </row>
    <row r="3465" spans="1:6">
      <c r="A3465">
        <v>108</v>
      </c>
      <c r="B3465" t="s">
        <v>1790</v>
      </c>
      <c r="C3465">
        <v>7468</v>
      </c>
      <c r="D3465" t="s">
        <v>1576</v>
      </c>
      <c r="E3465" t="s">
        <v>1577</v>
      </c>
      <c r="F3465" t="s">
        <v>1578</v>
      </c>
    </row>
    <row r="3466" spans="1:6">
      <c r="A3466">
        <v>108</v>
      </c>
      <c r="B3466" t="s">
        <v>1790</v>
      </c>
      <c r="C3466">
        <v>15000</v>
      </c>
      <c r="D3466" t="s">
        <v>1579</v>
      </c>
      <c r="E3466" t="s">
        <v>1577</v>
      </c>
      <c r="F3466" t="s">
        <v>1580</v>
      </c>
    </row>
    <row r="3467" spans="1:6">
      <c r="A3467">
        <v>108</v>
      </c>
      <c r="B3467" t="s">
        <v>1790</v>
      </c>
      <c r="C3467">
        <v>366</v>
      </c>
      <c r="D3467" t="s">
        <v>1442</v>
      </c>
      <c r="E3467" t="s">
        <v>1582</v>
      </c>
      <c r="F3467" t="s">
        <v>1443</v>
      </c>
    </row>
    <row r="3468" spans="1:6">
      <c r="A3468">
        <v>108</v>
      </c>
      <c r="B3468" t="s">
        <v>1790</v>
      </c>
      <c r="C3468">
        <v>100</v>
      </c>
      <c r="D3468" t="s">
        <v>1581</v>
      </c>
      <c r="E3468" t="s">
        <v>1582</v>
      </c>
      <c r="F3468" t="s">
        <v>1583</v>
      </c>
    </row>
    <row r="3469" spans="1:6">
      <c r="A3469">
        <v>108</v>
      </c>
      <c r="B3469" t="s">
        <v>1790</v>
      </c>
      <c r="C3469">
        <v>13617</v>
      </c>
      <c r="D3469" t="s">
        <v>1584</v>
      </c>
      <c r="E3469" t="s">
        <v>1585</v>
      </c>
      <c r="F3469" t="s">
        <v>1586</v>
      </c>
    </row>
    <row r="3470" spans="1:6">
      <c r="A3470">
        <v>108</v>
      </c>
      <c r="B3470" t="s">
        <v>1790</v>
      </c>
      <c r="C3470">
        <v>11000</v>
      </c>
      <c r="D3470" t="s">
        <v>1587</v>
      </c>
      <c r="E3470" t="s">
        <v>1585</v>
      </c>
      <c r="F3470" t="s">
        <v>1588</v>
      </c>
    </row>
    <row r="3471" spans="1:6">
      <c r="A3471">
        <v>108</v>
      </c>
      <c r="B3471" t="s">
        <v>1790</v>
      </c>
      <c r="C3471">
        <v>2676</v>
      </c>
      <c r="D3471" t="s">
        <v>1589</v>
      </c>
      <c r="E3471" t="s">
        <v>1590</v>
      </c>
      <c r="F3471" t="s">
        <v>1591</v>
      </c>
    </row>
    <row r="3472" spans="1:6">
      <c r="A3472">
        <v>108</v>
      </c>
      <c r="B3472" t="s">
        <v>1790</v>
      </c>
      <c r="C3472">
        <v>1500</v>
      </c>
      <c r="D3472" t="s">
        <v>1592</v>
      </c>
      <c r="E3472" t="s">
        <v>1590</v>
      </c>
      <c r="F3472" t="s">
        <v>1593</v>
      </c>
    </row>
    <row r="3473" spans="1:6">
      <c r="A3473">
        <v>108</v>
      </c>
      <c r="B3473" t="s">
        <v>1790</v>
      </c>
      <c r="C3473">
        <v>995</v>
      </c>
      <c r="D3473" t="s">
        <v>1594</v>
      </c>
      <c r="E3473" t="s">
        <v>1595</v>
      </c>
      <c r="F3473" t="s">
        <v>1596</v>
      </c>
    </row>
    <row r="3474" spans="1:6">
      <c r="A3474">
        <v>108</v>
      </c>
      <c r="B3474" t="s">
        <v>1790</v>
      </c>
      <c r="C3474">
        <v>750</v>
      </c>
      <c r="D3474" t="s">
        <v>1597</v>
      </c>
      <c r="E3474" t="s">
        <v>1595</v>
      </c>
      <c r="F3474" t="s">
        <v>1598</v>
      </c>
    </row>
    <row r="3475" spans="1:6">
      <c r="A3475">
        <v>108</v>
      </c>
      <c r="B3475" t="s">
        <v>1790</v>
      </c>
      <c r="C3475">
        <v>10612</v>
      </c>
      <c r="D3475" t="s">
        <v>1599</v>
      </c>
      <c r="E3475" t="s">
        <v>1600</v>
      </c>
      <c r="F3475" t="s">
        <v>1601</v>
      </c>
    </row>
    <row r="3476" spans="1:6">
      <c r="A3476">
        <v>108</v>
      </c>
      <c r="B3476" t="s">
        <v>1790</v>
      </c>
      <c r="C3476">
        <v>220000</v>
      </c>
      <c r="D3476" t="s">
        <v>1602</v>
      </c>
      <c r="E3476" t="s">
        <v>1600</v>
      </c>
      <c r="F3476" t="s">
        <v>1603</v>
      </c>
    </row>
    <row r="3477" spans="1:6">
      <c r="A3477">
        <v>108</v>
      </c>
      <c r="B3477" t="s">
        <v>1790</v>
      </c>
      <c r="C3477">
        <v>10500</v>
      </c>
      <c r="D3477" t="s">
        <v>1604</v>
      </c>
      <c r="E3477" t="s">
        <v>1605</v>
      </c>
      <c r="F3477" t="s">
        <v>1606</v>
      </c>
    </row>
    <row r="3478" spans="1:6">
      <c r="A3478">
        <v>108</v>
      </c>
      <c r="B3478" t="s">
        <v>1790</v>
      </c>
      <c r="C3478">
        <v>2625</v>
      </c>
      <c r="D3478" t="s">
        <v>1472</v>
      </c>
      <c r="E3478" t="s">
        <v>1473</v>
      </c>
      <c r="F3478" t="s">
        <v>1474</v>
      </c>
    </row>
    <row r="3479" spans="1:6">
      <c r="A3479">
        <v>108</v>
      </c>
      <c r="B3479" t="s">
        <v>1790</v>
      </c>
      <c r="C3479">
        <v>8465.68</v>
      </c>
      <c r="D3479" t="s">
        <v>1475</v>
      </c>
      <c r="E3479" t="s">
        <v>1476</v>
      </c>
      <c r="F3479" t="s">
        <v>1477</v>
      </c>
    </row>
    <row r="3480" spans="1:6">
      <c r="A3480">
        <v>108</v>
      </c>
      <c r="B3480" t="s">
        <v>1790</v>
      </c>
      <c r="C3480">
        <v>225806.06</v>
      </c>
      <c r="D3480" t="s">
        <v>1365</v>
      </c>
      <c r="E3480" t="s">
        <v>1366</v>
      </c>
      <c r="F3480" t="s">
        <v>1367</v>
      </c>
    </row>
    <row r="3481" spans="1:6">
      <c r="A3481">
        <v>108</v>
      </c>
      <c r="B3481" t="s">
        <v>1790</v>
      </c>
      <c r="C3481">
        <v>3034061</v>
      </c>
      <c r="D3481" t="s">
        <v>1607</v>
      </c>
      <c r="E3481" t="s">
        <v>1608</v>
      </c>
      <c r="F3481" t="s">
        <v>1609</v>
      </c>
    </row>
    <row r="3482" spans="1:6">
      <c r="A3482">
        <v>108</v>
      </c>
      <c r="B3482" t="s">
        <v>1790</v>
      </c>
      <c r="C3482">
        <v>8351213</v>
      </c>
      <c r="D3482" t="s">
        <v>1610</v>
      </c>
      <c r="E3482" t="s">
        <v>1481</v>
      </c>
      <c r="F3482" t="s">
        <v>1482</v>
      </c>
    </row>
    <row r="3483" spans="1:6">
      <c r="A3483">
        <v>109</v>
      </c>
      <c r="B3483" t="s">
        <v>1791</v>
      </c>
      <c r="C3483">
        <v>21024</v>
      </c>
      <c r="D3483" t="s">
        <v>1483</v>
      </c>
      <c r="E3483" t="s">
        <v>1484</v>
      </c>
      <c r="F3483" t="s">
        <v>1485</v>
      </c>
    </row>
    <row r="3484" spans="1:6">
      <c r="A3484">
        <v>109</v>
      </c>
      <c r="B3484" t="s">
        <v>1791</v>
      </c>
      <c r="C3484">
        <v>10027</v>
      </c>
      <c r="D3484" t="s">
        <v>1489</v>
      </c>
      <c r="E3484" t="s">
        <v>1490</v>
      </c>
      <c r="F3484" t="s">
        <v>1491</v>
      </c>
    </row>
    <row r="3485" spans="1:6">
      <c r="A3485">
        <v>109</v>
      </c>
      <c r="B3485" t="s">
        <v>1791</v>
      </c>
      <c r="C3485">
        <v>102250</v>
      </c>
      <c r="D3485" t="s">
        <v>1404</v>
      </c>
      <c r="E3485" t="s">
        <v>1405</v>
      </c>
      <c r="F3485" t="s">
        <v>1406</v>
      </c>
    </row>
    <row r="3486" spans="1:6">
      <c r="A3486">
        <v>109</v>
      </c>
      <c r="B3486" t="s">
        <v>1791</v>
      </c>
      <c r="C3486">
        <v>543906</v>
      </c>
      <c r="D3486" t="s">
        <v>1567</v>
      </c>
      <c r="E3486" t="s">
        <v>1568</v>
      </c>
      <c r="F3486" t="s">
        <v>1569</v>
      </c>
    </row>
    <row r="3487" spans="1:6">
      <c r="A3487">
        <v>109</v>
      </c>
      <c r="B3487" t="s">
        <v>1791</v>
      </c>
      <c r="C3487">
        <v>66482</v>
      </c>
      <c r="D3487" t="s">
        <v>1496</v>
      </c>
      <c r="E3487" t="s">
        <v>1497</v>
      </c>
      <c r="F3487" t="s">
        <v>1498</v>
      </c>
    </row>
    <row r="3488" spans="1:6">
      <c r="A3488">
        <v>109</v>
      </c>
      <c r="B3488" t="s">
        <v>1791</v>
      </c>
      <c r="C3488">
        <v>13575689</v>
      </c>
      <c r="D3488" t="s">
        <v>1570</v>
      </c>
      <c r="E3488" t="s">
        <v>1571</v>
      </c>
      <c r="F3488" t="s">
        <v>1572</v>
      </c>
    </row>
    <row r="3489" spans="1:6">
      <c r="A3489">
        <v>109</v>
      </c>
      <c r="B3489" t="s">
        <v>1791</v>
      </c>
      <c r="C3489">
        <v>14917</v>
      </c>
      <c r="D3489" t="s">
        <v>1515</v>
      </c>
      <c r="E3489" t="s">
        <v>1516</v>
      </c>
      <c r="F3489" t="s">
        <v>1517</v>
      </c>
    </row>
    <row r="3490" spans="1:6">
      <c r="A3490">
        <v>109</v>
      </c>
      <c r="B3490" t="s">
        <v>1791</v>
      </c>
      <c r="C3490">
        <v>1822</v>
      </c>
      <c r="D3490" t="s">
        <v>1518</v>
      </c>
      <c r="E3490" t="s">
        <v>1516</v>
      </c>
      <c r="F3490" t="s">
        <v>1519</v>
      </c>
    </row>
    <row r="3491" spans="1:6">
      <c r="A3491">
        <v>109</v>
      </c>
      <c r="B3491" t="s">
        <v>1791</v>
      </c>
      <c r="C3491">
        <v>191949</v>
      </c>
      <c r="D3491" t="s">
        <v>1520</v>
      </c>
      <c r="E3491" t="s">
        <v>1521</v>
      </c>
      <c r="F3491" t="s">
        <v>1522</v>
      </c>
    </row>
    <row r="3492" spans="1:6">
      <c r="A3492">
        <v>109</v>
      </c>
      <c r="B3492" t="s">
        <v>1791</v>
      </c>
      <c r="C3492">
        <v>328389</v>
      </c>
      <c r="D3492" t="s">
        <v>1573</v>
      </c>
      <c r="E3492" t="s">
        <v>1574</v>
      </c>
      <c r="F3492" t="s">
        <v>1575</v>
      </c>
    </row>
    <row r="3493" spans="1:6">
      <c r="A3493">
        <v>109</v>
      </c>
      <c r="B3493" t="s">
        <v>1791</v>
      </c>
      <c r="C3493">
        <v>76870</v>
      </c>
      <c r="D3493" t="s">
        <v>1371</v>
      </c>
      <c r="E3493" t="s">
        <v>1372</v>
      </c>
      <c r="F3493" t="s">
        <v>1373</v>
      </c>
    </row>
    <row r="3494" spans="1:6">
      <c r="A3494">
        <v>109</v>
      </c>
      <c r="B3494" t="s">
        <v>1791</v>
      </c>
      <c r="C3494">
        <v>69227</v>
      </c>
      <c r="D3494" t="s">
        <v>1525</v>
      </c>
      <c r="E3494" t="s">
        <v>1526</v>
      </c>
      <c r="F3494" t="s">
        <v>1527</v>
      </c>
    </row>
    <row r="3495" spans="1:6">
      <c r="A3495">
        <v>109</v>
      </c>
      <c r="B3495" t="s">
        <v>1791</v>
      </c>
      <c r="C3495">
        <v>49767</v>
      </c>
      <c r="D3495" t="s">
        <v>1528</v>
      </c>
      <c r="E3495" t="s">
        <v>1529</v>
      </c>
      <c r="F3495" t="s">
        <v>1530</v>
      </c>
    </row>
    <row r="3496" spans="1:6">
      <c r="A3496">
        <v>109</v>
      </c>
      <c r="B3496" t="s">
        <v>1791</v>
      </c>
      <c r="C3496">
        <v>75000</v>
      </c>
      <c r="D3496" t="s">
        <v>1204</v>
      </c>
      <c r="E3496" t="s">
        <v>1205</v>
      </c>
      <c r="F3496" t="s">
        <v>1206</v>
      </c>
    </row>
    <row r="3497" spans="1:6">
      <c r="A3497">
        <v>109</v>
      </c>
      <c r="B3497" t="s">
        <v>1791</v>
      </c>
      <c r="C3497">
        <v>13000</v>
      </c>
      <c r="D3497" t="s">
        <v>1387</v>
      </c>
      <c r="E3497" t="s">
        <v>1388</v>
      </c>
      <c r="F3497" t="s">
        <v>1389</v>
      </c>
    </row>
    <row r="3498" spans="1:6">
      <c r="A3498">
        <v>109</v>
      </c>
      <c r="B3498" t="s">
        <v>1791</v>
      </c>
      <c r="C3498">
        <v>724.65</v>
      </c>
      <c r="D3498" t="s">
        <v>1374</v>
      </c>
      <c r="E3498" t="s">
        <v>1375</v>
      </c>
      <c r="F3498" t="s">
        <v>1376</v>
      </c>
    </row>
    <row r="3499" spans="1:6">
      <c r="A3499">
        <v>109</v>
      </c>
      <c r="B3499" t="s">
        <v>1791</v>
      </c>
      <c r="C3499">
        <v>1653.84</v>
      </c>
      <c r="D3499" t="s">
        <v>1377</v>
      </c>
      <c r="E3499" t="s">
        <v>1375</v>
      </c>
      <c r="F3499" t="s">
        <v>1378</v>
      </c>
    </row>
    <row r="3500" spans="1:6">
      <c r="A3500">
        <v>109</v>
      </c>
      <c r="B3500" t="s">
        <v>1791</v>
      </c>
      <c r="C3500">
        <v>15676.77</v>
      </c>
      <c r="D3500" t="s">
        <v>1537</v>
      </c>
      <c r="E3500" t="s">
        <v>1538</v>
      </c>
      <c r="F3500" t="s">
        <v>1539</v>
      </c>
    </row>
    <row r="3501" spans="1:6">
      <c r="A3501">
        <v>109</v>
      </c>
      <c r="B3501" t="s">
        <v>1791</v>
      </c>
      <c r="C3501">
        <v>41846.699999999997</v>
      </c>
      <c r="D3501" t="s">
        <v>1540</v>
      </c>
      <c r="E3501" t="s">
        <v>1538</v>
      </c>
      <c r="F3501" t="s">
        <v>1541</v>
      </c>
    </row>
    <row r="3502" spans="1:6">
      <c r="A3502">
        <v>109</v>
      </c>
      <c r="B3502" t="s">
        <v>1791</v>
      </c>
      <c r="C3502">
        <v>76415.740000000005</v>
      </c>
      <c r="D3502" t="s">
        <v>1431</v>
      </c>
      <c r="E3502" t="s">
        <v>1432</v>
      </c>
      <c r="F3502" t="s">
        <v>1433</v>
      </c>
    </row>
    <row r="3503" spans="1:6">
      <c r="A3503">
        <v>109</v>
      </c>
      <c r="B3503" t="s">
        <v>1791</v>
      </c>
      <c r="C3503">
        <v>192716.06</v>
      </c>
      <c r="D3503" t="s">
        <v>1434</v>
      </c>
      <c r="E3503" t="s">
        <v>1432</v>
      </c>
      <c r="F3503" t="s">
        <v>1435</v>
      </c>
    </row>
    <row r="3504" spans="1:6">
      <c r="A3504">
        <v>109</v>
      </c>
      <c r="B3504" t="s">
        <v>1791</v>
      </c>
      <c r="C3504">
        <v>103344</v>
      </c>
      <c r="D3504" t="s">
        <v>1576</v>
      </c>
      <c r="E3504" t="s">
        <v>1577</v>
      </c>
      <c r="F3504" t="s">
        <v>1578</v>
      </c>
    </row>
    <row r="3505" spans="1:6">
      <c r="A3505">
        <v>109</v>
      </c>
      <c r="B3505" t="s">
        <v>1791</v>
      </c>
      <c r="C3505">
        <v>450000</v>
      </c>
      <c r="D3505" t="s">
        <v>1579</v>
      </c>
      <c r="E3505" t="s">
        <v>1577</v>
      </c>
      <c r="F3505" t="s">
        <v>1580</v>
      </c>
    </row>
    <row r="3506" spans="1:6">
      <c r="A3506">
        <v>109</v>
      </c>
      <c r="B3506" t="s">
        <v>1791</v>
      </c>
      <c r="C3506">
        <v>28742</v>
      </c>
      <c r="D3506" t="s">
        <v>1436</v>
      </c>
      <c r="E3506" t="s">
        <v>1437</v>
      </c>
      <c r="F3506" t="s">
        <v>1438</v>
      </c>
    </row>
    <row r="3507" spans="1:6">
      <c r="A3507">
        <v>109</v>
      </c>
      <c r="B3507" t="s">
        <v>1791</v>
      </c>
      <c r="C3507">
        <v>8175</v>
      </c>
      <c r="D3507" t="s">
        <v>1442</v>
      </c>
      <c r="E3507" t="s">
        <v>1582</v>
      </c>
      <c r="F3507" t="s">
        <v>1443</v>
      </c>
    </row>
    <row r="3508" spans="1:6">
      <c r="A3508">
        <v>109</v>
      </c>
      <c r="B3508" t="s">
        <v>1791</v>
      </c>
      <c r="C3508">
        <v>1000</v>
      </c>
      <c r="D3508" t="s">
        <v>1581</v>
      </c>
      <c r="E3508" t="s">
        <v>1582</v>
      </c>
      <c r="F3508" t="s">
        <v>1583</v>
      </c>
    </row>
    <row r="3509" spans="1:6">
      <c r="A3509">
        <v>109</v>
      </c>
      <c r="B3509" t="s">
        <v>1791</v>
      </c>
      <c r="C3509">
        <v>47000</v>
      </c>
      <c r="D3509" t="s">
        <v>1263</v>
      </c>
      <c r="E3509" t="s">
        <v>1445</v>
      </c>
      <c r="F3509" t="s">
        <v>1583</v>
      </c>
    </row>
    <row r="3510" spans="1:6">
      <c r="A3510">
        <v>109</v>
      </c>
      <c r="B3510" t="s">
        <v>1791</v>
      </c>
      <c r="C3510">
        <v>230000</v>
      </c>
      <c r="D3510" t="s">
        <v>1446</v>
      </c>
      <c r="E3510" t="s">
        <v>1447</v>
      </c>
      <c r="F3510" t="s">
        <v>1448</v>
      </c>
    </row>
    <row r="3511" spans="1:6">
      <c r="A3511">
        <v>109</v>
      </c>
      <c r="B3511" t="s">
        <v>1791</v>
      </c>
      <c r="C3511">
        <v>47480</v>
      </c>
      <c r="D3511" t="s">
        <v>1584</v>
      </c>
      <c r="E3511" t="s">
        <v>1585</v>
      </c>
      <c r="F3511" t="s">
        <v>1586</v>
      </c>
    </row>
    <row r="3512" spans="1:6">
      <c r="A3512">
        <v>109</v>
      </c>
      <c r="B3512" t="s">
        <v>1791</v>
      </c>
      <c r="C3512">
        <v>80000</v>
      </c>
      <c r="D3512" t="s">
        <v>1587</v>
      </c>
      <c r="E3512" t="s">
        <v>1585</v>
      </c>
      <c r="F3512" t="s">
        <v>1588</v>
      </c>
    </row>
    <row r="3513" spans="1:6">
      <c r="A3513">
        <v>109</v>
      </c>
      <c r="B3513" t="s">
        <v>1791</v>
      </c>
      <c r="C3513">
        <v>8518</v>
      </c>
      <c r="D3513" t="s">
        <v>1589</v>
      </c>
      <c r="E3513" t="s">
        <v>1590</v>
      </c>
      <c r="F3513" t="s">
        <v>1591</v>
      </c>
    </row>
    <row r="3514" spans="1:6">
      <c r="A3514">
        <v>109</v>
      </c>
      <c r="B3514" t="s">
        <v>1791</v>
      </c>
      <c r="C3514">
        <v>9000</v>
      </c>
      <c r="D3514" t="s">
        <v>1592</v>
      </c>
      <c r="E3514" t="s">
        <v>1590</v>
      </c>
      <c r="F3514" t="s">
        <v>1593</v>
      </c>
    </row>
    <row r="3515" spans="1:6">
      <c r="A3515">
        <v>109</v>
      </c>
      <c r="B3515" t="s">
        <v>1791</v>
      </c>
      <c r="C3515">
        <v>449</v>
      </c>
      <c r="D3515" t="s">
        <v>1594</v>
      </c>
      <c r="E3515" t="s">
        <v>1595</v>
      </c>
      <c r="F3515" t="s">
        <v>1596</v>
      </c>
    </row>
    <row r="3516" spans="1:6">
      <c r="A3516">
        <v>109</v>
      </c>
      <c r="B3516" t="s">
        <v>1791</v>
      </c>
      <c r="C3516">
        <v>5000</v>
      </c>
      <c r="D3516" t="s">
        <v>1597</v>
      </c>
      <c r="E3516" t="s">
        <v>1595</v>
      </c>
      <c r="F3516" t="s">
        <v>1598</v>
      </c>
    </row>
    <row r="3517" spans="1:6">
      <c r="A3517">
        <v>109</v>
      </c>
      <c r="B3517" t="s">
        <v>1791</v>
      </c>
      <c r="C3517">
        <v>139101</v>
      </c>
      <c r="D3517" t="s">
        <v>1599</v>
      </c>
      <c r="E3517" t="s">
        <v>1600</v>
      </c>
      <c r="F3517" t="s">
        <v>1601</v>
      </c>
    </row>
    <row r="3518" spans="1:6">
      <c r="A3518">
        <v>109</v>
      </c>
      <c r="B3518" t="s">
        <v>1791</v>
      </c>
      <c r="C3518">
        <v>340000</v>
      </c>
      <c r="D3518" t="s">
        <v>1602</v>
      </c>
      <c r="E3518" t="s">
        <v>1600</v>
      </c>
      <c r="F3518" t="s">
        <v>1603</v>
      </c>
    </row>
    <row r="3519" spans="1:6">
      <c r="A3519">
        <v>109</v>
      </c>
      <c r="B3519" t="s">
        <v>1791</v>
      </c>
      <c r="C3519">
        <v>2782</v>
      </c>
      <c r="D3519" t="s">
        <v>1459</v>
      </c>
      <c r="E3519" t="s">
        <v>1605</v>
      </c>
      <c r="F3519" t="s">
        <v>1460</v>
      </c>
    </row>
    <row r="3520" spans="1:6">
      <c r="A3520">
        <v>109</v>
      </c>
      <c r="B3520" t="s">
        <v>1791</v>
      </c>
      <c r="C3520">
        <v>12000</v>
      </c>
      <c r="D3520" t="s">
        <v>1604</v>
      </c>
      <c r="E3520" t="s">
        <v>1605</v>
      </c>
      <c r="F3520" t="s">
        <v>1606</v>
      </c>
    </row>
    <row r="3521" spans="1:6">
      <c r="A3521">
        <v>109</v>
      </c>
      <c r="B3521" t="s">
        <v>1791</v>
      </c>
      <c r="C3521">
        <v>2466</v>
      </c>
      <c r="D3521" t="s">
        <v>1472</v>
      </c>
      <c r="E3521" t="s">
        <v>1473</v>
      </c>
      <c r="F3521" t="s">
        <v>1474</v>
      </c>
    </row>
    <row r="3522" spans="1:6">
      <c r="A3522">
        <v>109</v>
      </c>
      <c r="B3522" t="s">
        <v>1791</v>
      </c>
      <c r="C3522">
        <v>6672.53</v>
      </c>
      <c r="D3522" t="s">
        <v>1379</v>
      </c>
      <c r="E3522" t="s">
        <v>1380</v>
      </c>
      <c r="F3522" t="s">
        <v>1381</v>
      </c>
    </row>
    <row r="3523" spans="1:6">
      <c r="A3523">
        <v>109</v>
      </c>
      <c r="B3523" t="s">
        <v>1791</v>
      </c>
      <c r="C3523">
        <v>110390.47</v>
      </c>
      <c r="D3523" t="s">
        <v>1475</v>
      </c>
      <c r="E3523" t="s">
        <v>1476</v>
      </c>
      <c r="F3523" t="s">
        <v>1477</v>
      </c>
    </row>
    <row r="3524" spans="1:6">
      <c r="A3524">
        <v>109</v>
      </c>
      <c r="B3524" t="s">
        <v>1791</v>
      </c>
      <c r="C3524">
        <v>1026333.69</v>
      </c>
      <c r="D3524" t="s">
        <v>1365</v>
      </c>
      <c r="E3524" t="s">
        <v>1366</v>
      </c>
      <c r="F3524" t="s">
        <v>1367</v>
      </c>
    </row>
    <row r="3525" spans="1:6">
      <c r="A3525">
        <v>109</v>
      </c>
      <c r="B3525" t="s">
        <v>1791</v>
      </c>
      <c r="C3525">
        <v>1318925</v>
      </c>
      <c r="D3525" t="s">
        <v>1607</v>
      </c>
      <c r="E3525" t="s">
        <v>1608</v>
      </c>
      <c r="F3525" t="s">
        <v>1609</v>
      </c>
    </row>
    <row r="3526" spans="1:6">
      <c r="A3526">
        <v>109</v>
      </c>
      <c r="B3526" t="s">
        <v>1791</v>
      </c>
      <c r="C3526">
        <v>1154383</v>
      </c>
      <c r="D3526" t="s">
        <v>1610</v>
      </c>
      <c r="E3526" t="s">
        <v>1481</v>
      </c>
      <c r="F3526" t="s">
        <v>1482</v>
      </c>
    </row>
    <row r="3527" spans="1:6">
      <c r="A3527">
        <v>110</v>
      </c>
      <c r="B3527" t="s">
        <v>1792</v>
      </c>
      <c r="C3527">
        <v>19153</v>
      </c>
      <c r="D3527" t="s">
        <v>1483</v>
      </c>
      <c r="E3527" t="s">
        <v>1484</v>
      </c>
      <c r="F3527" t="s">
        <v>1485</v>
      </c>
    </row>
    <row r="3528" spans="1:6">
      <c r="A3528">
        <v>110</v>
      </c>
      <c r="B3528" t="s">
        <v>1792</v>
      </c>
      <c r="C3528">
        <v>17893</v>
      </c>
      <c r="D3528" t="s">
        <v>1486</v>
      </c>
      <c r="E3528" t="s">
        <v>1487</v>
      </c>
      <c r="F3528" t="s">
        <v>1488</v>
      </c>
    </row>
    <row r="3529" spans="1:6">
      <c r="A3529">
        <v>110</v>
      </c>
      <c r="B3529" t="s">
        <v>1792</v>
      </c>
      <c r="C3529">
        <v>9298</v>
      </c>
      <c r="D3529" t="s">
        <v>1489</v>
      </c>
      <c r="E3529" t="s">
        <v>1490</v>
      </c>
      <c r="F3529" t="s">
        <v>1491</v>
      </c>
    </row>
    <row r="3530" spans="1:6">
      <c r="A3530">
        <v>110</v>
      </c>
      <c r="B3530" t="s">
        <v>1792</v>
      </c>
      <c r="C3530">
        <v>102250</v>
      </c>
      <c r="D3530" t="s">
        <v>1404</v>
      </c>
      <c r="E3530" t="s">
        <v>1405</v>
      </c>
      <c r="F3530" t="s">
        <v>1406</v>
      </c>
    </row>
    <row r="3531" spans="1:6">
      <c r="A3531">
        <v>110</v>
      </c>
      <c r="B3531" t="s">
        <v>1792</v>
      </c>
      <c r="C3531">
        <v>385372</v>
      </c>
      <c r="D3531" t="s">
        <v>1567</v>
      </c>
      <c r="E3531" t="s">
        <v>1568</v>
      </c>
      <c r="F3531" t="s">
        <v>1569</v>
      </c>
    </row>
    <row r="3532" spans="1:6">
      <c r="A3532">
        <v>110</v>
      </c>
      <c r="B3532" t="s">
        <v>1792</v>
      </c>
      <c r="C3532">
        <v>8651343</v>
      </c>
      <c r="D3532" t="s">
        <v>1570</v>
      </c>
      <c r="E3532" t="s">
        <v>1571</v>
      </c>
      <c r="F3532" t="s">
        <v>1572</v>
      </c>
    </row>
    <row r="3533" spans="1:6">
      <c r="A3533">
        <v>110</v>
      </c>
      <c r="B3533" t="s">
        <v>1792</v>
      </c>
      <c r="C3533">
        <v>168329</v>
      </c>
      <c r="D3533" t="s">
        <v>1520</v>
      </c>
      <c r="E3533" t="s">
        <v>1521</v>
      </c>
      <c r="F3533" t="s">
        <v>1522</v>
      </c>
    </row>
    <row r="3534" spans="1:6">
      <c r="A3534">
        <v>110</v>
      </c>
      <c r="B3534" t="s">
        <v>1792</v>
      </c>
      <c r="C3534">
        <v>321378</v>
      </c>
      <c r="D3534" t="s">
        <v>1216</v>
      </c>
      <c r="E3534" t="s">
        <v>1217</v>
      </c>
      <c r="F3534" t="s">
        <v>1218</v>
      </c>
    </row>
    <row r="3535" spans="1:6">
      <c r="A3535">
        <v>110</v>
      </c>
      <c r="B3535" t="s">
        <v>1792</v>
      </c>
      <c r="C3535">
        <v>384181</v>
      </c>
      <c r="D3535" t="s">
        <v>1573</v>
      </c>
      <c r="E3535" t="s">
        <v>1574</v>
      </c>
      <c r="F3535" t="s">
        <v>1575</v>
      </c>
    </row>
    <row r="3536" spans="1:6">
      <c r="A3536">
        <v>110</v>
      </c>
      <c r="B3536" t="s">
        <v>1792</v>
      </c>
      <c r="C3536">
        <v>24125</v>
      </c>
      <c r="D3536" t="s">
        <v>1528</v>
      </c>
      <c r="E3536" t="s">
        <v>1529</v>
      </c>
      <c r="F3536" t="s">
        <v>1530</v>
      </c>
    </row>
    <row r="3537" spans="1:6">
      <c r="A3537">
        <v>110</v>
      </c>
      <c r="B3537" t="s">
        <v>1792</v>
      </c>
      <c r="C3537">
        <v>130921</v>
      </c>
      <c r="D3537" t="s">
        <v>1531</v>
      </c>
      <c r="E3537" t="s">
        <v>1532</v>
      </c>
      <c r="F3537" t="s">
        <v>1533</v>
      </c>
    </row>
    <row r="3538" spans="1:6">
      <c r="A3538">
        <v>110</v>
      </c>
      <c r="B3538" t="s">
        <v>1792</v>
      </c>
      <c r="C3538">
        <v>50000</v>
      </c>
      <c r="D3538" t="s">
        <v>1207</v>
      </c>
      <c r="E3538" t="s">
        <v>1350</v>
      </c>
      <c r="F3538" t="s">
        <v>1351</v>
      </c>
    </row>
    <row r="3539" spans="1:6">
      <c r="A3539">
        <v>110</v>
      </c>
      <c r="B3539" t="s">
        <v>1792</v>
      </c>
      <c r="C3539">
        <v>111784</v>
      </c>
      <c r="D3539" t="s">
        <v>1390</v>
      </c>
      <c r="E3539" t="s">
        <v>1391</v>
      </c>
      <c r="F3539" t="s">
        <v>1392</v>
      </c>
    </row>
    <row r="3540" spans="1:6">
      <c r="A3540">
        <v>110</v>
      </c>
      <c r="B3540" t="s">
        <v>1792</v>
      </c>
      <c r="C3540">
        <v>52466.02</v>
      </c>
      <c r="D3540" t="s">
        <v>1431</v>
      </c>
      <c r="E3540" t="s">
        <v>1432</v>
      </c>
      <c r="F3540" t="s">
        <v>1433</v>
      </c>
    </row>
    <row r="3541" spans="1:6">
      <c r="A3541">
        <v>110</v>
      </c>
      <c r="B3541" t="s">
        <v>1792</v>
      </c>
      <c r="C3541">
        <v>133163.14000000001</v>
      </c>
      <c r="D3541" t="s">
        <v>1434</v>
      </c>
      <c r="E3541" t="s">
        <v>1432</v>
      </c>
      <c r="F3541" t="s">
        <v>1435</v>
      </c>
    </row>
    <row r="3542" spans="1:6">
      <c r="A3542">
        <v>110</v>
      </c>
      <c r="B3542" t="s">
        <v>1792</v>
      </c>
      <c r="C3542">
        <v>11042</v>
      </c>
      <c r="D3542" t="s">
        <v>1576</v>
      </c>
      <c r="E3542" t="s">
        <v>1577</v>
      </c>
      <c r="F3542" t="s">
        <v>1578</v>
      </c>
    </row>
    <row r="3543" spans="1:6">
      <c r="A3543">
        <v>110</v>
      </c>
      <c r="B3543" t="s">
        <v>1792</v>
      </c>
      <c r="C3543">
        <v>180000</v>
      </c>
      <c r="D3543" t="s">
        <v>1579</v>
      </c>
      <c r="E3543" t="s">
        <v>1577</v>
      </c>
      <c r="F3543" t="s">
        <v>1580</v>
      </c>
    </row>
    <row r="3544" spans="1:6">
      <c r="A3544">
        <v>110</v>
      </c>
      <c r="B3544" t="s">
        <v>1792</v>
      </c>
      <c r="C3544">
        <v>16953</v>
      </c>
      <c r="D3544" t="s">
        <v>1436</v>
      </c>
      <c r="E3544" t="s">
        <v>1437</v>
      </c>
      <c r="F3544" t="s">
        <v>1438</v>
      </c>
    </row>
    <row r="3545" spans="1:6">
      <c r="A3545">
        <v>110</v>
      </c>
      <c r="B3545" t="s">
        <v>1792</v>
      </c>
      <c r="C3545">
        <v>1663</v>
      </c>
      <c r="D3545" t="s">
        <v>1442</v>
      </c>
      <c r="E3545" t="s">
        <v>1582</v>
      </c>
      <c r="F3545" t="s">
        <v>1443</v>
      </c>
    </row>
    <row r="3546" spans="1:6">
      <c r="A3546">
        <v>110</v>
      </c>
      <c r="B3546" t="s">
        <v>1792</v>
      </c>
      <c r="C3546">
        <v>1000</v>
      </c>
      <c r="D3546" t="s">
        <v>1581</v>
      </c>
      <c r="E3546" t="s">
        <v>1582</v>
      </c>
      <c r="F3546" t="s">
        <v>1583</v>
      </c>
    </row>
    <row r="3547" spans="1:6">
      <c r="A3547">
        <v>110</v>
      </c>
      <c r="B3547" t="s">
        <v>1792</v>
      </c>
      <c r="C3547">
        <v>10262</v>
      </c>
      <c r="D3547" t="s">
        <v>1584</v>
      </c>
      <c r="E3547" t="s">
        <v>1585</v>
      </c>
      <c r="F3547" t="s">
        <v>1586</v>
      </c>
    </row>
    <row r="3548" spans="1:6">
      <c r="A3548">
        <v>110</v>
      </c>
      <c r="B3548" t="s">
        <v>1792</v>
      </c>
      <c r="C3548">
        <v>50000</v>
      </c>
      <c r="D3548" t="s">
        <v>1587</v>
      </c>
      <c r="E3548" t="s">
        <v>1585</v>
      </c>
      <c r="F3548" t="s">
        <v>1588</v>
      </c>
    </row>
    <row r="3549" spans="1:6">
      <c r="A3549">
        <v>110</v>
      </c>
      <c r="B3549" t="s">
        <v>1792</v>
      </c>
      <c r="C3549">
        <v>77</v>
      </c>
      <c r="D3549" t="s">
        <v>1454</v>
      </c>
      <c r="E3549" t="s">
        <v>1455</v>
      </c>
      <c r="F3549" t="s">
        <v>1456</v>
      </c>
    </row>
    <row r="3550" spans="1:6">
      <c r="A3550">
        <v>110</v>
      </c>
      <c r="B3550" t="s">
        <v>1792</v>
      </c>
      <c r="C3550">
        <v>16706</v>
      </c>
      <c r="D3550" t="s">
        <v>1457</v>
      </c>
      <c r="E3550" t="s">
        <v>1455</v>
      </c>
      <c r="F3550" t="s">
        <v>1458</v>
      </c>
    </row>
    <row r="3551" spans="1:6">
      <c r="A3551">
        <v>110</v>
      </c>
      <c r="B3551" t="s">
        <v>1792</v>
      </c>
      <c r="C3551">
        <v>2167</v>
      </c>
      <c r="D3551" t="s">
        <v>1589</v>
      </c>
      <c r="E3551" t="s">
        <v>1590</v>
      </c>
      <c r="F3551" t="s">
        <v>1591</v>
      </c>
    </row>
    <row r="3552" spans="1:6">
      <c r="A3552">
        <v>110</v>
      </c>
      <c r="B3552" t="s">
        <v>1792</v>
      </c>
      <c r="C3552">
        <v>7000</v>
      </c>
      <c r="D3552" t="s">
        <v>1592</v>
      </c>
      <c r="E3552" t="s">
        <v>1590</v>
      </c>
      <c r="F3552" t="s">
        <v>1593</v>
      </c>
    </row>
    <row r="3553" spans="1:6">
      <c r="A3553">
        <v>110</v>
      </c>
      <c r="B3553" t="s">
        <v>1792</v>
      </c>
      <c r="C3553">
        <v>1500</v>
      </c>
      <c r="D3553" t="s">
        <v>1597</v>
      </c>
      <c r="E3553" t="s">
        <v>1595</v>
      </c>
      <c r="F3553" t="s">
        <v>1598</v>
      </c>
    </row>
    <row r="3554" spans="1:6">
      <c r="A3554">
        <v>110</v>
      </c>
      <c r="B3554" t="s">
        <v>1792</v>
      </c>
      <c r="C3554">
        <v>227521</v>
      </c>
      <c r="D3554" t="s">
        <v>1599</v>
      </c>
      <c r="E3554" t="s">
        <v>1600</v>
      </c>
      <c r="F3554" t="s">
        <v>1601</v>
      </c>
    </row>
    <row r="3555" spans="1:6">
      <c r="A3555">
        <v>110</v>
      </c>
      <c r="B3555" t="s">
        <v>1792</v>
      </c>
      <c r="C3555">
        <v>315000</v>
      </c>
      <c r="D3555" t="s">
        <v>1602</v>
      </c>
      <c r="E3555" t="s">
        <v>1600</v>
      </c>
      <c r="F3555" t="s">
        <v>1603</v>
      </c>
    </row>
    <row r="3556" spans="1:6">
      <c r="A3556">
        <v>110</v>
      </c>
      <c r="B3556" t="s">
        <v>1792</v>
      </c>
      <c r="C3556">
        <v>3355</v>
      </c>
      <c r="D3556" t="s">
        <v>1459</v>
      </c>
      <c r="E3556" t="s">
        <v>1605</v>
      </c>
      <c r="F3556" t="s">
        <v>1460</v>
      </c>
    </row>
    <row r="3557" spans="1:6">
      <c r="A3557">
        <v>110</v>
      </c>
      <c r="B3557" t="s">
        <v>1792</v>
      </c>
      <c r="C3557">
        <v>10000</v>
      </c>
      <c r="D3557" t="s">
        <v>1604</v>
      </c>
      <c r="E3557" t="s">
        <v>1605</v>
      </c>
      <c r="F3557" t="s">
        <v>1606</v>
      </c>
    </row>
    <row r="3558" spans="1:6">
      <c r="A3558">
        <v>110</v>
      </c>
      <c r="B3558" t="s">
        <v>1792</v>
      </c>
      <c r="C3558">
        <v>25000</v>
      </c>
      <c r="D3558" t="s">
        <v>1281</v>
      </c>
      <c r="E3558" t="s">
        <v>1470</v>
      </c>
      <c r="F3558" t="s">
        <v>1471</v>
      </c>
    </row>
    <row r="3559" spans="1:6">
      <c r="A3559">
        <v>110</v>
      </c>
      <c r="B3559" t="s">
        <v>1792</v>
      </c>
      <c r="C3559">
        <v>2247</v>
      </c>
      <c r="D3559" t="s">
        <v>1472</v>
      </c>
      <c r="E3559" t="s">
        <v>1473</v>
      </c>
      <c r="F3559" t="s">
        <v>1474</v>
      </c>
    </row>
    <row r="3560" spans="1:6">
      <c r="A3560">
        <v>110</v>
      </c>
      <c r="B3560" t="s">
        <v>1792</v>
      </c>
      <c r="C3560">
        <v>29713.1</v>
      </c>
      <c r="D3560" t="s">
        <v>1379</v>
      </c>
      <c r="E3560" t="s">
        <v>1380</v>
      </c>
      <c r="F3560" t="s">
        <v>1381</v>
      </c>
    </row>
    <row r="3561" spans="1:6">
      <c r="A3561">
        <v>110</v>
      </c>
      <c r="B3561" t="s">
        <v>1792</v>
      </c>
      <c r="C3561">
        <v>109018.62</v>
      </c>
      <c r="D3561" t="s">
        <v>1475</v>
      </c>
      <c r="E3561" t="s">
        <v>1476</v>
      </c>
      <c r="F3561" t="s">
        <v>1477</v>
      </c>
    </row>
    <row r="3562" spans="1:6">
      <c r="A3562">
        <v>110</v>
      </c>
      <c r="B3562" t="s">
        <v>1792</v>
      </c>
      <c r="C3562">
        <v>197141.4</v>
      </c>
      <c r="D3562" t="s">
        <v>1099</v>
      </c>
      <c r="E3562" t="s">
        <v>1479</v>
      </c>
      <c r="F3562" t="s">
        <v>1100</v>
      </c>
    </row>
    <row r="3563" spans="1:6">
      <c r="A3563">
        <v>110</v>
      </c>
      <c r="B3563" t="s">
        <v>1792</v>
      </c>
      <c r="C3563">
        <v>144729.91</v>
      </c>
      <c r="D3563" t="s">
        <v>1478</v>
      </c>
      <c r="E3563" t="s">
        <v>1479</v>
      </c>
      <c r="F3563" t="s">
        <v>1480</v>
      </c>
    </row>
    <row r="3564" spans="1:6">
      <c r="A3564">
        <v>110</v>
      </c>
      <c r="B3564" t="s">
        <v>1792</v>
      </c>
      <c r="C3564">
        <v>284969.31</v>
      </c>
      <c r="D3564" t="s">
        <v>1365</v>
      </c>
      <c r="E3564" t="s">
        <v>1366</v>
      </c>
      <c r="F3564" t="s">
        <v>1367</v>
      </c>
    </row>
    <row r="3565" spans="1:6">
      <c r="A3565">
        <v>110</v>
      </c>
      <c r="B3565" t="s">
        <v>1792</v>
      </c>
      <c r="C3565">
        <v>181929</v>
      </c>
      <c r="D3565" t="s">
        <v>1607</v>
      </c>
      <c r="E3565" t="s">
        <v>1608</v>
      </c>
      <c r="F3565" t="s">
        <v>1609</v>
      </c>
    </row>
    <row r="3566" spans="1:6">
      <c r="A3566">
        <v>110</v>
      </c>
      <c r="B3566" t="s">
        <v>1792</v>
      </c>
      <c r="C3566">
        <v>2270285</v>
      </c>
      <c r="D3566" t="s">
        <v>1610</v>
      </c>
      <c r="E3566" t="s">
        <v>1481</v>
      </c>
      <c r="F3566" t="s">
        <v>1482</v>
      </c>
    </row>
    <row r="3567" spans="1:6">
      <c r="A3567">
        <v>111</v>
      </c>
      <c r="B3567" t="s">
        <v>1793</v>
      </c>
      <c r="C3567">
        <v>12583</v>
      </c>
      <c r="D3567" t="s">
        <v>1486</v>
      </c>
      <c r="E3567" t="s">
        <v>1487</v>
      </c>
      <c r="F3567" t="s">
        <v>1488</v>
      </c>
    </row>
    <row r="3568" spans="1:6">
      <c r="A3568">
        <v>111</v>
      </c>
      <c r="B3568" t="s">
        <v>1793</v>
      </c>
      <c r="C3568">
        <v>5885</v>
      </c>
      <c r="D3568" t="s">
        <v>1489</v>
      </c>
      <c r="E3568" t="s">
        <v>1490</v>
      </c>
      <c r="F3568" t="s">
        <v>1491</v>
      </c>
    </row>
    <row r="3569" spans="1:6">
      <c r="A3569">
        <v>111</v>
      </c>
      <c r="B3569" t="s">
        <v>1793</v>
      </c>
      <c r="C3569">
        <v>405382</v>
      </c>
      <c r="D3569" t="s">
        <v>1567</v>
      </c>
      <c r="E3569" t="s">
        <v>1568</v>
      </c>
      <c r="F3569" t="s">
        <v>1569</v>
      </c>
    </row>
    <row r="3570" spans="1:6">
      <c r="A3570">
        <v>111</v>
      </c>
      <c r="B3570" t="s">
        <v>1793</v>
      </c>
      <c r="C3570">
        <v>8456877</v>
      </c>
      <c r="D3570" t="s">
        <v>1570</v>
      </c>
      <c r="E3570" t="s">
        <v>1571</v>
      </c>
      <c r="F3570" t="s">
        <v>1572</v>
      </c>
    </row>
    <row r="3571" spans="1:6">
      <c r="A3571">
        <v>111</v>
      </c>
      <c r="B3571" t="s">
        <v>1793</v>
      </c>
      <c r="C3571">
        <v>30000</v>
      </c>
      <c r="D3571" t="s">
        <v>1385</v>
      </c>
      <c r="E3571" t="s">
        <v>1383</v>
      </c>
      <c r="F3571" t="s">
        <v>1386</v>
      </c>
    </row>
    <row r="3572" spans="1:6">
      <c r="A3572">
        <v>111</v>
      </c>
      <c r="B3572" t="s">
        <v>1793</v>
      </c>
      <c r="C3572">
        <v>26507</v>
      </c>
      <c r="D3572" t="s">
        <v>1520</v>
      </c>
      <c r="E3572" t="s">
        <v>1521</v>
      </c>
      <c r="F3572" t="s">
        <v>1522</v>
      </c>
    </row>
    <row r="3573" spans="1:6">
      <c r="A3573">
        <v>111</v>
      </c>
      <c r="B3573" t="s">
        <v>1793</v>
      </c>
      <c r="C3573">
        <v>524030</v>
      </c>
      <c r="D3573" t="s">
        <v>1573</v>
      </c>
      <c r="E3573" t="s">
        <v>1574</v>
      </c>
      <c r="F3573" t="s">
        <v>1575</v>
      </c>
    </row>
    <row r="3574" spans="1:6">
      <c r="A3574">
        <v>111</v>
      </c>
      <c r="B3574" t="s">
        <v>1793</v>
      </c>
      <c r="C3574">
        <v>25605</v>
      </c>
      <c r="D3574" t="s">
        <v>1371</v>
      </c>
      <c r="E3574" t="s">
        <v>1372</v>
      </c>
      <c r="F3574" t="s">
        <v>1373</v>
      </c>
    </row>
    <row r="3575" spans="1:6">
      <c r="A3575">
        <v>111</v>
      </c>
      <c r="B3575" t="s">
        <v>1793</v>
      </c>
      <c r="C3575">
        <v>149500</v>
      </c>
      <c r="D3575" t="s">
        <v>1387</v>
      </c>
      <c r="E3575" t="s">
        <v>1388</v>
      </c>
      <c r="F3575" t="s">
        <v>1389</v>
      </c>
    </row>
    <row r="3576" spans="1:6">
      <c r="A3576">
        <v>111</v>
      </c>
      <c r="B3576" t="s">
        <v>1793</v>
      </c>
      <c r="C3576">
        <v>29489.360000000001</v>
      </c>
      <c r="D3576" t="s">
        <v>1431</v>
      </c>
      <c r="E3576" t="s">
        <v>1432</v>
      </c>
      <c r="F3576" t="s">
        <v>1433</v>
      </c>
    </row>
    <row r="3577" spans="1:6">
      <c r="A3577">
        <v>111</v>
      </c>
      <c r="B3577" t="s">
        <v>1793</v>
      </c>
      <c r="C3577">
        <v>74715.539999999994</v>
      </c>
      <c r="D3577" t="s">
        <v>1434</v>
      </c>
      <c r="E3577" t="s">
        <v>1432</v>
      </c>
      <c r="F3577" t="s">
        <v>1435</v>
      </c>
    </row>
    <row r="3578" spans="1:6">
      <c r="A3578">
        <v>111</v>
      </c>
      <c r="B3578" t="s">
        <v>1793</v>
      </c>
      <c r="C3578">
        <v>149706</v>
      </c>
      <c r="D3578" t="s">
        <v>1579</v>
      </c>
      <c r="E3578" t="s">
        <v>1577</v>
      </c>
      <c r="F3578" t="s">
        <v>1580</v>
      </c>
    </row>
    <row r="3579" spans="1:6">
      <c r="A3579">
        <v>111</v>
      </c>
      <c r="B3579" t="s">
        <v>1793</v>
      </c>
      <c r="C3579">
        <v>1147</v>
      </c>
      <c r="D3579" t="s">
        <v>1581</v>
      </c>
      <c r="E3579" t="s">
        <v>1582</v>
      </c>
      <c r="F3579" t="s">
        <v>1583</v>
      </c>
    </row>
    <row r="3580" spans="1:6">
      <c r="A3580">
        <v>111</v>
      </c>
      <c r="B3580" t="s">
        <v>1793</v>
      </c>
      <c r="C3580">
        <v>52817</v>
      </c>
      <c r="D3580" t="s">
        <v>1587</v>
      </c>
      <c r="E3580" t="s">
        <v>1585</v>
      </c>
      <c r="F3580" t="s">
        <v>1588</v>
      </c>
    </row>
    <row r="3581" spans="1:6">
      <c r="A3581">
        <v>111</v>
      </c>
      <c r="B3581" t="s">
        <v>1793</v>
      </c>
      <c r="C3581">
        <v>5672</v>
      </c>
      <c r="D3581" t="s">
        <v>1592</v>
      </c>
      <c r="E3581" t="s">
        <v>1590</v>
      </c>
      <c r="F3581" t="s">
        <v>1593</v>
      </c>
    </row>
    <row r="3582" spans="1:6">
      <c r="A3582">
        <v>111</v>
      </c>
      <c r="B3582" t="s">
        <v>1793</v>
      </c>
      <c r="C3582">
        <v>3378</v>
      </c>
      <c r="D3582" t="s">
        <v>1597</v>
      </c>
      <c r="E3582" t="s">
        <v>1595</v>
      </c>
      <c r="F3582" t="s">
        <v>1598</v>
      </c>
    </row>
    <row r="3583" spans="1:6">
      <c r="A3583">
        <v>111</v>
      </c>
      <c r="B3583" t="s">
        <v>1793</v>
      </c>
      <c r="C3583">
        <v>322610</v>
      </c>
      <c r="D3583" t="s">
        <v>1602</v>
      </c>
      <c r="E3583" t="s">
        <v>1600</v>
      </c>
      <c r="F3583" t="s">
        <v>1603</v>
      </c>
    </row>
    <row r="3584" spans="1:6">
      <c r="A3584">
        <v>111</v>
      </c>
      <c r="B3584" t="s">
        <v>1793</v>
      </c>
      <c r="C3584">
        <v>15542</v>
      </c>
      <c r="D3584" t="s">
        <v>1604</v>
      </c>
      <c r="E3584" t="s">
        <v>1605</v>
      </c>
      <c r="F3584" t="s">
        <v>1606</v>
      </c>
    </row>
    <row r="3585" spans="1:6">
      <c r="A3585">
        <v>111</v>
      </c>
      <c r="B3585" t="s">
        <v>1793</v>
      </c>
      <c r="C3585">
        <v>93951.6</v>
      </c>
      <c r="D3585" t="s">
        <v>1475</v>
      </c>
      <c r="E3585" t="s">
        <v>1476</v>
      </c>
      <c r="F3585" t="s">
        <v>1477</v>
      </c>
    </row>
    <row r="3586" spans="1:6">
      <c r="A3586">
        <v>111</v>
      </c>
      <c r="B3586" t="s">
        <v>1793</v>
      </c>
      <c r="C3586">
        <v>390509.07</v>
      </c>
      <c r="D3586" t="s">
        <v>1365</v>
      </c>
      <c r="E3586" t="s">
        <v>1366</v>
      </c>
      <c r="F3586" t="s">
        <v>1367</v>
      </c>
    </row>
    <row r="3587" spans="1:6">
      <c r="A3587">
        <v>111</v>
      </c>
      <c r="B3587" t="s">
        <v>1793</v>
      </c>
      <c r="C3587">
        <v>5637676</v>
      </c>
      <c r="D3587" t="s">
        <v>1607</v>
      </c>
      <c r="E3587" t="s">
        <v>1608</v>
      </c>
      <c r="F3587" t="s">
        <v>1609</v>
      </c>
    </row>
    <row r="3588" spans="1:6">
      <c r="A3588">
        <v>111</v>
      </c>
      <c r="B3588" t="s">
        <v>1793</v>
      </c>
      <c r="C3588">
        <v>6274768</v>
      </c>
      <c r="D3588" t="s">
        <v>1610</v>
      </c>
      <c r="E3588" t="s">
        <v>1481</v>
      </c>
      <c r="F3588" t="s">
        <v>1482</v>
      </c>
    </row>
    <row r="3589" spans="1:6">
      <c r="A3589">
        <v>112</v>
      </c>
      <c r="B3589" t="s">
        <v>1794</v>
      </c>
      <c r="C3589">
        <v>4789</v>
      </c>
      <c r="D3589" t="s">
        <v>1486</v>
      </c>
      <c r="E3589" t="s">
        <v>1487</v>
      </c>
      <c r="F3589" t="s">
        <v>1488</v>
      </c>
    </row>
    <row r="3590" spans="1:6">
      <c r="A3590">
        <v>112</v>
      </c>
      <c r="B3590" t="s">
        <v>1794</v>
      </c>
      <c r="C3590">
        <v>2489</v>
      </c>
      <c r="D3590" t="s">
        <v>1489</v>
      </c>
      <c r="E3590" t="s">
        <v>1490</v>
      </c>
      <c r="F3590" t="s">
        <v>1491</v>
      </c>
    </row>
    <row r="3591" spans="1:6">
      <c r="A3591">
        <v>112</v>
      </c>
      <c r="B3591" t="s">
        <v>1794</v>
      </c>
      <c r="C3591">
        <v>93185</v>
      </c>
      <c r="D3591" t="s">
        <v>1567</v>
      </c>
      <c r="E3591" t="s">
        <v>1568</v>
      </c>
      <c r="F3591" t="s">
        <v>1569</v>
      </c>
    </row>
    <row r="3592" spans="1:6">
      <c r="A3592">
        <v>112</v>
      </c>
      <c r="B3592" t="s">
        <v>1794</v>
      </c>
      <c r="C3592">
        <v>2656605</v>
      </c>
      <c r="D3592" t="s">
        <v>1570</v>
      </c>
      <c r="E3592" t="s">
        <v>1571</v>
      </c>
      <c r="F3592" t="s">
        <v>1572</v>
      </c>
    </row>
    <row r="3593" spans="1:6">
      <c r="A3593">
        <v>112</v>
      </c>
      <c r="B3593" t="s">
        <v>1794</v>
      </c>
      <c r="C3593">
        <v>80322</v>
      </c>
      <c r="D3593" t="s">
        <v>1520</v>
      </c>
      <c r="E3593" t="s">
        <v>1521</v>
      </c>
      <c r="F3593" t="s">
        <v>1522</v>
      </c>
    </row>
    <row r="3594" spans="1:6">
      <c r="A3594">
        <v>112</v>
      </c>
      <c r="B3594" t="s">
        <v>1794</v>
      </c>
      <c r="C3594">
        <v>323037</v>
      </c>
      <c r="D3594" t="s">
        <v>1573</v>
      </c>
      <c r="E3594" t="s">
        <v>1574</v>
      </c>
      <c r="F3594" t="s">
        <v>1575</v>
      </c>
    </row>
    <row r="3595" spans="1:6">
      <c r="A3595">
        <v>112</v>
      </c>
      <c r="B3595" t="s">
        <v>1794</v>
      </c>
      <c r="C3595">
        <v>198.99</v>
      </c>
      <c r="D3595" t="s">
        <v>1374</v>
      </c>
      <c r="E3595" t="s">
        <v>1375</v>
      </c>
      <c r="F3595" t="s">
        <v>1376</v>
      </c>
    </row>
    <row r="3596" spans="1:6">
      <c r="A3596">
        <v>112</v>
      </c>
      <c r="B3596" t="s">
        <v>1794</v>
      </c>
      <c r="C3596">
        <v>479.98</v>
      </c>
      <c r="D3596" t="s">
        <v>1377</v>
      </c>
      <c r="E3596" t="s">
        <v>1375</v>
      </c>
      <c r="F3596" t="s">
        <v>1378</v>
      </c>
    </row>
    <row r="3597" spans="1:6">
      <c r="A3597">
        <v>112</v>
      </c>
      <c r="B3597" t="s">
        <v>1794</v>
      </c>
      <c r="C3597">
        <v>1661.12</v>
      </c>
      <c r="D3597" t="s">
        <v>1537</v>
      </c>
      <c r="E3597" t="s">
        <v>1538</v>
      </c>
      <c r="F3597" t="s">
        <v>1539</v>
      </c>
    </row>
    <row r="3598" spans="1:6">
      <c r="A3598">
        <v>112</v>
      </c>
      <c r="B3598" t="s">
        <v>1794</v>
      </c>
      <c r="C3598">
        <v>2589.3200000000002</v>
      </c>
      <c r="D3598" t="s">
        <v>1540</v>
      </c>
      <c r="E3598" t="s">
        <v>1538</v>
      </c>
      <c r="F3598" t="s">
        <v>1541</v>
      </c>
    </row>
    <row r="3599" spans="1:6">
      <c r="A3599">
        <v>112</v>
      </c>
      <c r="B3599" t="s">
        <v>1794</v>
      </c>
      <c r="C3599">
        <v>7166.52</v>
      </c>
      <c r="D3599" t="s">
        <v>1431</v>
      </c>
      <c r="E3599" t="s">
        <v>1432</v>
      </c>
      <c r="F3599" t="s">
        <v>1433</v>
      </c>
    </row>
    <row r="3600" spans="1:6">
      <c r="A3600">
        <v>112</v>
      </c>
      <c r="B3600" t="s">
        <v>1794</v>
      </c>
      <c r="C3600">
        <v>15425.18</v>
      </c>
      <c r="D3600" t="s">
        <v>1434</v>
      </c>
      <c r="E3600" t="s">
        <v>1432</v>
      </c>
      <c r="F3600" t="s">
        <v>1435</v>
      </c>
    </row>
    <row r="3601" spans="1:6">
      <c r="A3601">
        <v>112</v>
      </c>
      <c r="B3601" t="s">
        <v>1794</v>
      </c>
      <c r="C3601">
        <v>4580</v>
      </c>
      <c r="D3601" t="s">
        <v>1576</v>
      </c>
      <c r="E3601" t="s">
        <v>1577</v>
      </c>
      <c r="F3601" t="s">
        <v>1578</v>
      </c>
    </row>
    <row r="3602" spans="1:6">
      <c r="A3602">
        <v>112</v>
      </c>
      <c r="B3602" t="s">
        <v>1794</v>
      </c>
      <c r="C3602">
        <v>50121</v>
      </c>
      <c r="D3602" t="s">
        <v>1579</v>
      </c>
      <c r="E3602" t="s">
        <v>1577</v>
      </c>
      <c r="F3602" t="s">
        <v>1580</v>
      </c>
    </row>
    <row r="3603" spans="1:6">
      <c r="A3603">
        <v>112</v>
      </c>
      <c r="B3603" t="s">
        <v>1794</v>
      </c>
      <c r="C3603">
        <v>384</v>
      </c>
      <c r="D3603" t="s">
        <v>1581</v>
      </c>
      <c r="E3603" t="s">
        <v>1582</v>
      </c>
      <c r="F3603" t="s">
        <v>1583</v>
      </c>
    </row>
    <row r="3604" spans="1:6">
      <c r="A3604">
        <v>112</v>
      </c>
      <c r="B3604" t="s">
        <v>1794</v>
      </c>
      <c r="C3604">
        <v>21204</v>
      </c>
      <c r="D3604" t="s">
        <v>1587</v>
      </c>
      <c r="E3604" t="s">
        <v>1585</v>
      </c>
      <c r="F3604" t="s">
        <v>1588</v>
      </c>
    </row>
    <row r="3605" spans="1:6">
      <c r="A3605">
        <v>112</v>
      </c>
      <c r="B3605" t="s">
        <v>1794</v>
      </c>
      <c r="C3605">
        <v>2591</v>
      </c>
      <c r="D3605" t="s">
        <v>1592</v>
      </c>
      <c r="E3605" t="s">
        <v>1590</v>
      </c>
      <c r="F3605" t="s">
        <v>1593</v>
      </c>
    </row>
    <row r="3606" spans="1:6">
      <c r="A3606">
        <v>112</v>
      </c>
      <c r="B3606" t="s">
        <v>1794</v>
      </c>
      <c r="C3606">
        <v>670</v>
      </c>
      <c r="D3606" t="s">
        <v>1597</v>
      </c>
      <c r="E3606" t="s">
        <v>1595</v>
      </c>
      <c r="F3606" t="s">
        <v>1598</v>
      </c>
    </row>
    <row r="3607" spans="1:6">
      <c r="A3607">
        <v>112</v>
      </c>
      <c r="B3607" t="s">
        <v>1794</v>
      </c>
      <c r="C3607">
        <v>5922</v>
      </c>
      <c r="D3607" t="s">
        <v>1599</v>
      </c>
      <c r="E3607" t="s">
        <v>1600</v>
      </c>
      <c r="F3607" t="s">
        <v>1601</v>
      </c>
    </row>
    <row r="3608" spans="1:6">
      <c r="A3608">
        <v>112</v>
      </c>
      <c r="B3608" t="s">
        <v>1794</v>
      </c>
      <c r="C3608">
        <v>140000</v>
      </c>
      <c r="D3608" t="s">
        <v>1602</v>
      </c>
      <c r="E3608" t="s">
        <v>1600</v>
      </c>
      <c r="F3608" t="s">
        <v>1603</v>
      </c>
    </row>
    <row r="3609" spans="1:6">
      <c r="A3609">
        <v>112</v>
      </c>
      <c r="B3609" t="s">
        <v>1794</v>
      </c>
      <c r="C3609">
        <v>5123</v>
      </c>
      <c r="D3609" t="s">
        <v>1604</v>
      </c>
      <c r="E3609" t="s">
        <v>1605</v>
      </c>
      <c r="F3609" t="s">
        <v>1606</v>
      </c>
    </row>
    <row r="3610" spans="1:6">
      <c r="A3610">
        <v>112</v>
      </c>
      <c r="B3610" t="s">
        <v>1794</v>
      </c>
      <c r="C3610">
        <v>4702.74</v>
      </c>
      <c r="D3610" t="s">
        <v>1475</v>
      </c>
      <c r="E3610" t="s">
        <v>1476</v>
      </c>
      <c r="F3610" t="s">
        <v>1477</v>
      </c>
    </row>
    <row r="3611" spans="1:6">
      <c r="A3611">
        <v>112</v>
      </c>
      <c r="B3611" t="s">
        <v>1794</v>
      </c>
      <c r="C3611">
        <v>253098.08</v>
      </c>
      <c r="D3611" t="s">
        <v>1365</v>
      </c>
      <c r="E3611" t="s">
        <v>1366</v>
      </c>
      <c r="F3611" t="s">
        <v>1367</v>
      </c>
    </row>
    <row r="3612" spans="1:6">
      <c r="A3612">
        <v>113</v>
      </c>
      <c r="B3612" t="s">
        <v>1795</v>
      </c>
      <c r="C3612">
        <v>66955</v>
      </c>
      <c r="D3612" t="s">
        <v>1401</v>
      </c>
      <c r="E3612" t="s">
        <v>1402</v>
      </c>
      <c r="F3612" t="s">
        <v>1403</v>
      </c>
    </row>
    <row r="3613" spans="1:6">
      <c r="A3613">
        <v>113</v>
      </c>
      <c r="B3613" t="s">
        <v>1795</v>
      </c>
      <c r="C3613">
        <v>4934</v>
      </c>
      <c r="D3613" t="s">
        <v>1489</v>
      </c>
      <c r="E3613" t="s">
        <v>1490</v>
      </c>
      <c r="F3613" t="s">
        <v>1491</v>
      </c>
    </row>
    <row r="3614" spans="1:6">
      <c r="A3614">
        <v>113</v>
      </c>
      <c r="B3614" t="s">
        <v>1795</v>
      </c>
      <c r="C3614">
        <v>133859</v>
      </c>
      <c r="D3614" t="s">
        <v>1567</v>
      </c>
      <c r="E3614" t="s">
        <v>1568</v>
      </c>
      <c r="F3614" t="s">
        <v>1569</v>
      </c>
    </row>
    <row r="3615" spans="1:6">
      <c r="A3615">
        <v>113</v>
      </c>
      <c r="B3615" t="s">
        <v>1795</v>
      </c>
      <c r="C3615">
        <v>3520720</v>
      </c>
      <c r="D3615" t="s">
        <v>1570</v>
      </c>
      <c r="E3615" t="s">
        <v>1571</v>
      </c>
      <c r="F3615" t="s">
        <v>1572</v>
      </c>
    </row>
    <row r="3616" spans="1:6">
      <c r="A3616">
        <v>113</v>
      </c>
      <c r="B3616" t="s">
        <v>1795</v>
      </c>
      <c r="C3616">
        <v>50495</v>
      </c>
      <c r="D3616" t="s">
        <v>1333</v>
      </c>
      <c r="E3616" t="s">
        <v>1383</v>
      </c>
      <c r="F3616" t="s">
        <v>1334</v>
      </c>
    </row>
    <row r="3617" spans="1:6">
      <c r="A3617">
        <v>113</v>
      </c>
      <c r="B3617" t="s">
        <v>1795</v>
      </c>
      <c r="C3617">
        <v>83190</v>
      </c>
      <c r="D3617" t="s">
        <v>1520</v>
      </c>
      <c r="E3617" t="s">
        <v>1521</v>
      </c>
      <c r="F3617" t="s">
        <v>1522</v>
      </c>
    </row>
    <row r="3618" spans="1:6">
      <c r="A3618">
        <v>113</v>
      </c>
      <c r="B3618" t="s">
        <v>1795</v>
      </c>
      <c r="C3618">
        <v>134717</v>
      </c>
      <c r="D3618" t="s">
        <v>1573</v>
      </c>
      <c r="E3618" t="s">
        <v>1574</v>
      </c>
      <c r="F3618" t="s">
        <v>1575</v>
      </c>
    </row>
    <row r="3619" spans="1:6">
      <c r="A3619">
        <v>113</v>
      </c>
      <c r="B3619" t="s">
        <v>1795</v>
      </c>
      <c r="C3619">
        <v>10293</v>
      </c>
      <c r="D3619" t="s">
        <v>1371</v>
      </c>
      <c r="E3619" t="s">
        <v>1372</v>
      </c>
      <c r="F3619" t="s">
        <v>1373</v>
      </c>
    </row>
    <row r="3620" spans="1:6">
      <c r="A3620">
        <v>113</v>
      </c>
      <c r="B3620" t="s">
        <v>1795</v>
      </c>
      <c r="C3620">
        <v>14000</v>
      </c>
      <c r="D3620" t="s">
        <v>1528</v>
      </c>
      <c r="E3620" t="s">
        <v>1529</v>
      </c>
      <c r="F3620" t="s">
        <v>1530</v>
      </c>
    </row>
    <row r="3621" spans="1:6">
      <c r="A3621">
        <v>113</v>
      </c>
      <c r="B3621" t="s">
        <v>1795</v>
      </c>
      <c r="C3621">
        <v>71031</v>
      </c>
      <c r="D3621" t="s">
        <v>1207</v>
      </c>
      <c r="E3621" t="s">
        <v>1350</v>
      </c>
      <c r="F3621" t="s">
        <v>1351</v>
      </c>
    </row>
    <row r="3622" spans="1:6">
      <c r="A3622">
        <v>113</v>
      </c>
      <c r="B3622" t="s">
        <v>1795</v>
      </c>
      <c r="C3622">
        <v>149000</v>
      </c>
      <c r="D3622" t="s">
        <v>1390</v>
      </c>
      <c r="E3622" t="s">
        <v>1391</v>
      </c>
      <c r="F3622" t="s">
        <v>1392</v>
      </c>
    </row>
    <row r="3623" spans="1:6">
      <c r="A3623">
        <v>113</v>
      </c>
      <c r="B3623" t="s">
        <v>1795</v>
      </c>
      <c r="C3623">
        <v>252.62</v>
      </c>
      <c r="D3623" t="s">
        <v>1374</v>
      </c>
      <c r="E3623" t="s">
        <v>1375</v>
      </c>
      <c r="F3623" t="s">
        <v>1376</v>
      </c>
    </row>
    <row r="3624" spans="1:6">
      <c r="A3624">
        <v>113</v>
      </c>
      <c r="B3624" t="s">
        <v>1795</v>
      </c>
      <c r="C3624">
        <v>424.75</v>
      </c>
      <c r="D3624" t="s">
        <v>1377</v>
      </c>
      <c r="E3624" t="s">
        <v>1375</v>
      </c>
      <c r="F3624" t="s">
        <v>1378</v>
      </c>
    </row>
    <row r="3625" spans="1:6">
      <c r="A3625">
        <v>113</v>
      </c>
      <c r="B3625" t="s">
        <v>1795</v>
      </c>
      <c r="C3625">
        <v>21001.74</v>
      </c>
      <c r="D3625" t="s">
        <v>1431</v>
      </c>
      <c r="E3625" t="s">
        <v>1432</v>
      </c>
      <c r="F3625" t="s">
        <v>1433</v>
      </c>
    </row>
    <row r="3626" spans="1:6">
      <c r="A3626">
        <v>113</v>
      </c>
      <c r="B3626" t="s">
        <v>1795</v>
      </c>
      <c r="C3626">
        <v>49197.25</v>
      </c>
      <c r="D3626" t="s">
        <v>1434</v>
      </c>
      <c r="E3626" t="s">
        <v>1432</v>
      </c>
      <c r="F3626" t="s">
        <v>1435</v>
      </c>
    </row>
    <row r="3627" spans="1:6">
      <c r="A3627">
        <v>113</v>
      </c>
      <c r="B3627" t="s">
        <v>1795</v>
      </c>
      <c r="C3627">
        <v>12356</v>
      </c>
      <c r="D3627" t="s">
        <v>1576</v>
      </c>
      <c r="E3627" t="s">
        <v>1577</v>
      </c>
      <c r="F3627" t="s">
        <v>1578</v>
      </c>
    </row>
    <row r="3628" spans="1:6">
      <c r="A3628">
        <v>113</v>
      </c>
      <c r="B3628" t="s">
        <v>1795</v>
      </c>
      <c r="C3628">
        <v>132374</v>
      </c>
      <c r="D3628" t="s">
        <v>1579</v>
      </c>
      <c r="E3628" t="s">
        <v>1577</v>
      </c>
      <c r="F3628" t="s">
        <v>1580</v>
      </c>
    </row>
    <row r="3629" spans="1:6">
      <c r="A3629">
        <v>113</v>
      </c>
      <c r="B3629" t="s">
        <v>1795</v>
      </c>
      <c r="C3629">
        <v>18275</v>
      </c>
      <c r="D3629" t="s">
        <v>1355</v>
      </c>
      <c r="E3629" t="s">
        <v>1414</v>
      </c>
      <c r="F3629" t="s">
        <v>1580</v>
      </c>
    </row>
    <row r="3630" spans="1:6">
      <c r="A3630">
        <v>113</v>
      </c>
      <c r="B3630" t="s">
        <v>1795</v>
      </c>
      <c r="C3630">
        <v>18922</v>
      </c>
      <c r="D3630" t="s">
        <v>1294</v>
      </c>
      <c r="E3630" t="s">
        <v>1295</v>
      </c>
      <c r="F3630" t="s">
        <v>1438</v>
      </c>
    </row>
    <row r="3631" spans="1:6">
      <c r="A3631">
        <v>113</v>
      </c>
      <c r="B3631" t="s">
        <v>1795</v>
      </c>
      <c r="C3631">
        <v>1200</v>
      </c>
      <c r="D3631" t="s">
        <v>1442</v>
      </c>
      <c r="E3631" t="s">
        <v>1582</v>
      </c>
      <c r="F3631" t="s">
        <v>1443</v>
      </c>
    </row>
    <row r="3632" spans="1:6">
      <c r="A3632">
        <v>113</v>
      </c>
      <c r="B3632" t="s">
        <v>1795</v>
      </c>
      <c r="C3632">
        <v>699</v>
      </c>
      <c r="D3632" t="s">
        <v>1581</v>
      </c>
      <c r="E3632" t="s">
        <v>1582</v>
      </c>
      <c r="F3632" t="s">
        <v>1583</v>
      </c>
    </row>
    <row r="3633" spans="1:6">
      <c r="A3633">
        <v>113</v>
      </c>
      <c r="B3633" t="s">
        <v>1795</v>
      </c>
      <c r="C3633">
        <v>19706</v>
      </c>
      <c r="D3633" t="s">
        <v>1584</v>
      </c>
      <c r="E3633" t="s">
        <v>1585</v>
      </c>
      <c r="F3633" t="s">
        <v>1586</v>
      </c>
    </row>
    <row r="3634" spans="1:6">
      <c r="A3634">
        <v>113</v>
      </c>
      <c r="B3634" t="s">
        <v>1795</v>
      </c>
      <c r="C3634">
        <v>20041</v>
      </c>
      <c r="D3634" t="s">
        <v>1587</v>
      </c>
      <c r="E3634" t="s">
        <v>1585</v>
      </c>
      <c r="F3634" t="s">
        <v>1588</v>
      </c>
    </row>
    <row r="3635" spans="1:6">
      <c r="A3635">
        <v>113</v>
      </c>
      <c r="B3635" t="s">
        <v>1795</v>
      </c>
      <c r="C3635">
        <v>2923</v>
      </c>
      <c r="D3635" t="s">
        <v>1589</v>
      </c>
      <c r="E3635" t="s">
        <v>1590</v>
      </c>
      <c r="F3635" t="s">
        <v>1591</v>
      </c>
    </row>
    <row r="3636" spans="1:6">
      <c r="A3636">
        <v>113</v>
      </c>
      <c r="B3636" t="s">
        <v>1795</v>
      </c>
      <c r="C3636">
        <v>4605</v>
      </c>
      <c r="D3636" t="s">
        <v>1592</v>
      </c>
      <c r="E3636" t="s">
        <v>1590</v>
      </c>
      <c r="F3636" t="s">
        <v>1593</v>
      </c>
    </row>
    <row r="3637" spans="1:6">
      <c r="A3637">
        <v>113</v>
      </c>
      <c r="B3637" t="s">
        <v>1795</v>
      </c>
      <c r="C3637">
        <v>247</v>
      </c>
      <c r="D3637" t="s">
        <v>1594</v>
      </c>
      <c r="E3637" t="s">
        <v>1595</v>
      </c>
      <c r="F3637" t="s">
        <v>1596</v>
      </c>
    </row>
    <row r="3638" spans="1:6">
      <c r="A3638">
        <v>113</v>
      </c>
      <c r="B3638" t="s">
        <v>1795</v>
      </c>
      <c r="C3638">
        <v>990</v>
      </c>
      <c r="D3638" t="s">
        <v>1597</v>
      </c>
      <c r="E3638" t="s">
        <v>1595</v>
      </c>
      <c r="F3638" t="s">
        <v>1598</v>
      </c>
    </row>
    <row r="3639" spans="1:6">
      <c r="A3639">
        <v>113</v>
      </c>
      <c r="B3639" t="s">
        <v>1795</v>
      </c>
      <c r="C3639">
        <v>19325</v>
      </c>
      <c r="D3639" t="s">
        <v>1599</v>
      </c>
      <c r="E3639" t="s">
        <v>1600</v>
      </c>
      <c r="F3639" t="s">
        <v>1601</v>
      </c>
    </row>
    <row r="3640" spans="1:6">
      <c r="A3640">
        <v>113</v>
      </c>
      <c r="B3640" t="s">
        <v>1795</v>
      </c>
      <c r="C3640">
        <v>185000</v>
      </c>
      <c r="D3640" t="s">
        <v>1602</v>
      </c>
      <c r="E3640" t="s">
        <v>1600</v>
      </c>
      <c r="F3640" t="s">
        <v>1603</v>
      </c>
    </row>
    <row r="3641" spans="1:6">
      <c r="A3641">
        <v>113</v>
      </c>
      <c r="B3641" t="s">
        <v>1795</v>
      </c>
      <c r="C3641">
        <v>4776</v>
      </c>
      <c r="D3641" t="s">
        <v>1459</v>
      </c>
      <c r="E3641" t="s">
        <v>1605</v>
      </c>
      <c r="F3641" t="s">
        <v>1460</v>
      </c>
    </row>
    <row r="3642" spans="1:6">
      <c r="A3642">
        <v>113</v>
      </c>
      <c r="B3642" t="s">
        <v>1795</v>
      </c>
      <c r="C3642">
        <v>4681</v>
      </c>
      <c r="D3642" t="s">
        <v>1604</v>
      </c>
      <c r="E3642" t="s">
        <v>1605</v>
      </c>
      <c r="F3642" t="s">
        <v>1606</v>
      </c>
    </row>
    <row r="3643" spans="1:6">
      <c r="A3643">
        <v>113</v>
      </c>
      <c r="B3643" t="s">
        <v>1795</v>
      </c>
      <c r="C3643">
        <v>41643.51</v>
      </c>
      <c r="D3643" t="s">
        <v>1475</v>
      </c>
      <c r="E3643" t="s">
        <v>1476</v>
      </c>
      <c r="F3643" t="s">
        <v>1477</v>
      </c>
    </row>
    <row r="3644" spans="1:6">
      <c r="A3644">
        <v>113</v>
      </c>
      <c r="B3644" t="s">
        <v>1795</v>
      </c>
      <c r="C3644">
        <v>243161.89</v>
      </c>
      <c r="D3644" t="s">
        <v>1365</v>
      </c>
      <c r="E3644" t="s">
        <v>1366</v>
      </c>
      <c r="F3644" t="s">
        <v>1367</v>
      </c>
    </row>
    <row r="3645" spans="1:6">
      <c r="A3645">
        <v>113</v>
      </c>
      <c r="B3645" t="s">
        <v>1795</v>
      </c>
      <c r="C3645">
        <v>53292</v>
      </c>
      <c r="D3645" t="s">
        <v>1610</v>
      </c>
      <c r="E3645" t="s">
        <v>1481</v>
      </c>
      <c r="F3645" t="s">
        <v>1482</v>
      </c>
    </row>
    <row r="3646" spans="1:6">
      <c r="A3646">
        <v>114</v>
      </c>
      <c r="B3646" t="s">
        <v>1796</v>
      </c>
      <c r="C3646">
        <v>3825</v>
      </c>
      <c r="D3646" t="s">
        <v>1486</v>
      </c>
      <c r="E3646" t="s">
        <v>1487</v>
      </c>
      <c r="F3646" t="s">
        <v>1488</v>
      </c>
    </row>
    <row r="3647" spans="1:6">
      <c r="A3647">
        <v>114</v>
      </c>
      <c r="B3647" t="s">
        <v>1796</v>
      </c>
      <c r="C3647">
        <v>1789</v>
      </c>
      <c r="D3647" t="s">
        <v>1489</v>
      </c>
      <c r="E3647" t="s">
        <v>1490</v>
      </c>
      <c r="F3647" t="s">
        <v>1491</v>
      </c>
    </row>
    <row r="3648" spans="1:6">
      <c r="A3648">
        <v>114</v>
      </c>
      <c r="B3648" t="s">
        <v>1796</v>
      </c>
      <c r="C3648">
        <v>210876</v>
      </c>
      <c r="D3648" t="s">
        <v>1567</v>
      </c>
      <c r="E3648" t="s">
        <v>1568</v>
      </c>
      <c r="F3648" t="s">
        <v>1569</v>
      </c>
    </row>
    <row r="3649" spans="1:6">
      <c r="A3649">
        <v>114</v>
      </c>
      <c r="B3649" t="s">
        <v>1796</v>
      </c>
      <c r="C3649">
        <v>2611835</v>
      </c>
      <c r="D3649" t="s">
        <v>1570</v>
      </c>
      <c r="E3649" t="s">
        <v>1571</v>
      </c>
      <c r="F3649" t="s">
        <v>1572</v>
      </c>
    </row>
    <row r="3650" spans="1:6">
      <c r="A3650">
        <v>114</v>
      </c>
      <c r="B3650" t="s">
        <v>1796</v>
      </c>
      <c r="C3650">
        <v>30173</v>
      </c>
      <c r="D3650" t="s">
        <v>1520</v>
      </c>
      <c r="E3650" t="s">
        <v>1521</v>
      </c>
      <c r="F3650" t="s">
        <v>1522</v>
      </c>
    </row>
    <row r="3651" spans="1:6">
      <c r="A3651">
        <v>114</v>
      </c>
      <c r="B3651" t="s">
        <v>1796</v>
      </c>
      <c r="C3651">
        <v>161260</v>
      </c>
      <c r="D3651" t="s">
        <v>1573</v>
      </c>
      <c r="E3651" t="s">
        <v>1574</v>
      </c>
      <c r="F3651" t="s">
        <v>1575</v>
      </c>
    </row>
    <row r="3652" spans="1:6">
      <c r="A3652">
        <v>114</v>
      </c>
      <c r="B3652" t="s">
        <v>1796</v>
      </c>
      <c r="C3652">
        <v>72052</v>
      </c>
      <c r="D3652" t="s">
        <v>1371</v>
      </c>
      <c r="E3652" t="s">
        <v>1372</v>
      </c>
      <c r="F3652" t="s">
        <v>1373</v>
      </c>
    </row>
    <row r="3653" spans="1:6">
      <c r="A3653">
        <v>114</v>
      </c>
      <c r="B3653" t="s">
        <v>1796</v>
      </c>
      <c r="C3653">
        <v>14000</v>
      </c>
      <c r="D3653" t="s">
        <v>1528</v>
      </c>
      <c r="E3653" t="s">
        <v>1529</v>
      </c>
      <c r="F3653" t="s">
        <v>1530</v>
      </c>
    </row>
    <row r="3654" spans="1:6">
      <c r="A3654">
        <v>114</v>
      </c>
      <c r="B3654" t="s">
        <v>1796</v>
      </c>
      <c r="C3654">
        <v>7800</v>
      </c>
      <c r="D3654" t="s">
        <v>1387</v>
      </c>
      <c r="E3654" t="s">
        <v>1388</v>
      </c>
      <c r="F3654" t="s">
        <v>1389</v>
      </c>
    </row>
    <row r="3655" spans="1:6">
      <c r="A3655">
        <v>114</v>
      </c>
      <c r="B3655" t="s">
        <v>1796</v>
      </c>
      <c r="C3655">
        <v>6603.97</v>
      </c>
      <c r="D3655" t="s">
        <v>1431</v>
      </c>
      <c r="E3655" t="s">
        <v>1432</v>
      </c>
      <c r="F3655" t="s">
        <v>1433</v>
      </c>
    </row>
    <row r="3656" spans="1:6">
      <c r="A3656">
        <v>114</v>
      </c>
      <c r="B3656" t="s">
        <v>1796</v>
      </c>
      <c r="C3656">
        <v>20862.900000000001</v>
      </c>
      <c r="D3656" t="s">
        <v>1434</v>
      </c>
      <c r="E3656" t="s">
        <v>1432</v>
      </c>
      <c r="F3656" t="s">
        <v>1435</v>
      </c>
    </row>
    <row r="3657" spans="1:6">
      <c r="A3657">
        <v>114</v>
      </c>
      <c r="B3657" t="s">
        <v>1796</v>
      </c>
      <c r="C3657">
        <v>31563</v>
      </c>
      <c r="D3657" t="s">
        <v>1576</v>
      </c>
      <c r="E3657" t="s">
        <v>1577</v>
      </c>
      <c r="F3657" t="s">
        <v>1578</v>
      </c>
    </row>
    <row r="3658" spans="1:6">
      <c r="A3658">
        <v>114</v>
      </c>
      <c r="B3658" t="s">
        <v>1796</v>
      </c>
      <c r="C3658">
        <v>51175</v>
      </c>
      <c r="D3658" t="s">
        <v>1579</v>
      </c>
      <c r="E3658" t="s">
        <v>1577</v>
      </c>
      <c r="F3658" t="s">
        <v>1580</v>
      </c>
    </row>
    <row r="3659" spans="1:6">
      <c r="A3659">
        <v>114</v>
      </c>
      <c r="B3659" t="s">
        <v>1796</v>
      </c>
      <c r="C3659">
        <v>18427</v>
      </c>
      <c r="D3659" t="s">
        <v>1584</v>
      </c>
      <c r="E3659" t="s">
        <v>1585</v>
      </c>
      <c r="F3659" t="s">
        <v>1586</v>
      </c>
    </row>
    <row r="3660" spans="1:6">
      <c r="A3660">
        <v>114</v>
      </c>
      <c r="B3660" t="s">
        <v>1796</v>
      </c>
      <c r="C3660">
        <v>5000</v>
      </c>
      <c r="D3660" t="s">
        <v>1587</v>
      </c>
      <c r="E3660" t="s">
        <v>1585</v>
      </c>
      <c r="F3660" t="s">
        <v>1588</v>
      </c>
    </row>
    <row r="3661" spans="1:6">
      <c r="A3661">
        <v>114</v>
      </c>
      <c r="B3661" t="s">
        <v>1796</v>
      </c>
      <c r="C3661">
        <v>1873</v>
      </c>
      <c r="D3661" t="s">
        <v>1589</v>
      </c>
      <c r="E3661" t="s">
        <v>1590</v>
      </c>
      <c r="F3661" t="s">
        <v>1591</v>
      </c>
    </row>
    <row r="3662" spans="1:6">
      <c r="A3662">
        <v>114</v>
      </c>
      <c r="B3662" t="s">
        <v>1796</v>
      </c>
      <c r="C3662">
        <v>1745</v>
      </c>
      <c r="D3662" t="s">
        <v>1592</v>
      </c>
      <c r="E3662" t="s">
        <v>1590</v>
      </c>
      <c r="F3662" t="s">
        <v>1593</v>
      </c>
    </row>
    <row r="3663" spans="1:6">
      <c r="A3663">
        <v>114</v>
      </c>
      <c r="B3663" t="s">
        <v>1796</v>
      </c>
      <c r="C3663">
        <v>249</v>
      </c>
      <c r="D3663" t="s">
        <v>1594</v>
      </c>
      <c r="E3663" t="s">
        <v>1595</v>
      </c>
      <c r="F3663" t="s">
        <v>1596</v>
      </c>
    </row>
    <row r="3664" spans="1:6">
      <c r="A3664">
        <v>114</v>
      </c>
      <c r="B3664" t="s">
        <v>1796</v>
      </c>
      <c r="C3664">
        <v>56235</v>
      </c>
      <c r="D3664" t="s">
        <v>1599</v>
      </c>
      <c r="E3664" t="s">
        <v>1600</v>
      </c>
      <c r="F3664" t="s">
        <v>1601</v>
      </c>
    </row>
    <row r="3665" spans="1:6">
      <c r="A3665">
        <v>114</v>
      </c>
      <c r="B3665" t="s">
        <v>1796</v>
      </c>
      <c r="C3665">
        <v>7000</v>
      </c>
      <c r="D3665" t="s">
        <v>1602</v>
      </c>
      <c r="E3665" t="s">
        <v>1600</v>
      </c>
      <c r="F3665" t="s">
        <v>1603</v>
      </c>
    </row>
    <row r="3666" spans="1:6">
      <c r="A3666">
        <v>114</v>
      </c>
      <c r="B3666" t="s">
        <v>1796</v>
      </c>
      <c r="C3666">
        <v>2132</v>
      </c>
      <c r="D3666" t="s">
        <v>1459</v>
      </c>
      <c r="E3666" t="s">
        <v>1605</v>
      </c>
      <c r="F3666" t="s">
        <v>1460</v>
      </c>
    </row>
    <row r="3667" spans="1:6">
      <c r="A3667">
        <v>114</v>
      </c>
      <c r="B3667" t="s">
        <v>1796</v>
      </c>
      <c r="C3667">
        <v>2132</v>
      </c>
      <c r="D3667" t="s">
        <v>1604</v>
      </c>
      <c r="E3667" t="s">
        <v>1605</v>
      </c>
      <c r="F3667" t="s">
        <v>1606</v>
      </c>
    </row>
    <row r="3668" spans="1:6">
      <c r="A3668">
        <v>114</v>
      </c>
      <c r="B3668" t="s">
        <v>1796</v>
      </c>
      <c r="C3668">
        <v>285476</v>
      </c>
      <c r="D3668" t="s">
        <v>1610</v>
      </c>
      <c r="E3668" t="s">
        <v>1481</v>
      </c>
      <c r="F3668" t="s">
        <v>1482</v>
      </c>
    </row>
    <row r="3669" spans="1:6">
      <c r="A3669">
        <v>115</v>
      </c>
      <c r="B3669" t="s">
        <v>1138</v>
      </c>
      <c r="C3669">
        <v>4453956</v>
      </c>
      <c r="D3669" t="s">
        <v>1570</v>
      </c>
      <c r="E3669" t="s">
        <v>1571</v>
      </c>
      <c r="F3669" t="s">
        <v>1572</v>
      </c>
    </row>
    <row r="3670" spans="1:6">
      <c r="A3670">
        <v>115</v>
      </c>
      <c r="B3670" t="s">
        <v>1138</v>
      </c>
      <c r="C3670">
        <v>14000</v>
      </c>
      <c r="D3670" t="s">
        <v>1528</v>
      </c>
      <c r="E3670" t="s">
        <v>1529</v>
      </c>
      <c r="F3670" t="s">
        <v>1530</v>
      </c>
    </row>
    <row r="3671" spans="1:6">
      <c r="A3671">
        <v>116</v>
      </c>
      <c r="B3671" t="s">
        <v>1797</v>
      </c>
      <c r="C3671">
        <v>16569</v>
      </c>
      <c r="D3671" t="s">
        <v>1486</v>
      </c>
      <c r="E3671" t="s">
        <v>1487</v>
      </c>
      <c r="F3671" t="s">
        <v>1488</v>
      </c>
    </row>
    <row r="3672" spans="1:6">
      <c r="A3672">
        <v>116</v>
      </c>
      <c r="B3672" t="s">
        <v>1797</v>
      </c>
      <c r="C3672">
        <v>7749</v>
      </c>
      <c r="D3672" t="s">
        <v>1489</v>
      </c>
      <c r="E3672" t="s">
        <v>1490</v>
      </c>
      <c r="F3672" t="s">
        <v>1491</v>
      </c>
    </row>
    <row r="3673" spans="1:6">
      <c r="A3673">
        <v>116</v>
      </c>
      <c r="B3673" t="s">
        <v>1797</v>
      </c>
      <c r="C3673">
        <v>102250</v>
      </c>
      <c r="D3673" t="s">
        <v>1404</v>
      </c>
      <c r="E3673" t="s">
        <v>1405</v>
      </c>
      <c r="F3673" t="s">
        <v>1406</v>
      </c>
    </row>
    <row r="3674" spans="1:6">
      <c r="A3674">
        <v>116</v>
      </c>
      <c r="B3674" t="s">
        <v>1797</v>
      </c>
      <c r="C3674">
        <v>186105</v>
      </c>
      <c r="D3674" t="s">
        <v>1567</v>
      </c>
      <c r="E3674" t="s">
        <v>1568</v>
      </c>
      <c r="F3674" t="s">
        <v>1569</v>
      </c>
    </row>
    <row r="3675" spans="1:6">
      <c r="A3675">
        <v>116</v>
      </c>
      <c r="B3675" t="s">
        <v>1797</v>
      </c>
      <c r="C3675">
        <v>33175</v>
      </c>
      <c r="D3675" t="s">
        <v>1496</v>
      </c>
      <c r="E3675" t="s">
        <v>1497</v>
      </c>
      <c r="F3675" t="s">
        <v>1498</v>
      </c>
    </row>
    <row r="3676" spans="1:6">
      <c r="A3676">
        <v>116</v>
      </c>
      <c r="B3676" t="s">
        <v>1797</v>
      </c>
      <c r="C3676">
        <v>7304928</v>
      </c>
      <c r="D3676" t="s">
        <v>1570</v>
      </c>
      <c r="E3676" t="s">
        <v>1571</v>
      </c>
      <c r="F3676" t="s">
        <v>1572</v>
      </c>
    </row>
    <row r="3677" spans="1:6">
      <c r="A3677">
        <v>116</v>
      </c>
      <c r="B3677" t="s">
        <v>1797</v>
      </c>
      <c r="C3677">
        <v>6000</v>
      </c>
      <c r="D3677" t="s">
        <v>1515</v>
      </c>
      <c r="E3677" t="s">
        <v>1516</v>
      </c>
      <c r="F3677" t="s">
        <v>1517</v>
      </c>
    </row>
    <row r="3678" spans="1:6">
      <c r="A3678">
        <v>116</v>
      </c>
      <c r="B3678" t="s">
        <v>1797</v>
      </c>
      <c r="C3678">
        <v>2811</v>
      </c>
      <c r="D3678" t="s">
        <v>1518</v>
      </c>
      <c r="E3678" t="s">
        <v>1516</v>
      </c>
      <c r="F3678" t="s">
        <v>1519</v>
      </c>
    </row>
    <row r="3679" spans="1:6">
      <c r="A3679">
        <v>116</v>
      </c>
      <c r="B3679" t="s">
        <v>1797</v>
      </c>
      <c r="C3679">
        <v>106741</v>
      </c>
      <c r="D3679" t="s">
        <v>1520</v>
      </c>
      <c r="E3679" t="s">
        <v>1521</v>
      </c>
      <c r="F3679" t="s">
        <v>1522</v>
      </c>
    </row>
    <row r="3680" spans="1:6">
      <c r="A3680">
        <v>116</v>
      </c>
      <c r="B3680" t="s">
        <v>1797</v>
      </c>
      <c r="C3680">
        <v>79758</v>
      </c>
      <c r="D3680" t="s">
        <v>1216</v>
      </c>
      <c r="E3680" t="s">
        <v>1217</v>
      </c>
      <c r="F3680" t="s">
        <v>1218</v>
      </c>
    </row>
    <row r="3681" spans="1:6">
      <c r="A3681">
        <v>116</v>
      </c>
      <c r="B3681" t="s">
        <v>1797</v>
      </c>
      <c r="C3681">
        <v>178266</v>
      </c>
      <c r="D3681" t="s">
        <v>1573</v>
      </c>
      <c r="E3681" t="s">
        <v>1574</v>
      </c>
      <c r="F3681" t="s">
        <v>1575</v>
      </c>
    </row>
    <row r="3682" spans="1:6">
      <c r="A3682">
        <v>116</v>
      </c>
      <c r="B3682" t="s">
        <v>1797</v>
      </c>
      <c r="C3682">
        <v>47949</v>
      </c>
      <c r="D3682" t="s">
        <v>1523</v>
      </c>
      <c r="E3682" t="s">
        <v>1521</v>
      </c>
      <c r="F3682" t="s">
        <v>1524</v>
      </c>
    </row>
    <row r="3683" spans="1:6">
      <c r="A3683">
        <v>116</v>
      </c>
      <c r="B3683" t="s">
        <v>1797</v>
      </c>
      <c r="C3683">
        <v>2175</v>
      </c>
      <c r="D3683" t="s">
        <v>1371</v>
      </c>
      <c r="E3683" t="s">
        <v>1372</v>
      </c>
      <c r="F3683" t="s">
        <v>1373</v>
      </c>
    </row>
    <row r="3684" spans="1:6">
      <c r="A3684">
        <v>116</v>
      </c>
      <c r="B3684" t="s">
        <v>1797</v>
      </c>
      <c r="C3684">
        <v>11543</v>
      </c>
      <c r="D3684" t="s">
        <v>1525</v>
      </c>
      <c r="E3684" t="s">
        <v>1526</v>
      </c>
      <c r="F3684" t="s">
        <v>1527</v>
      </c>
    </row>
    <row r="3685" spans="1:6">
      <c r="A3685">
        <v>116</v>
      </c>
      <c r="B3685" t="s">
        <v>1797</v>
      </c>
      <c r="C3685">
        <v>22102.49</v>
      </c>
      <c r="D3685" t="s">
        <v>1537</v>
      </c>
      <c r="E3685" t="s">
        <v>1538</v>
      </c>
      <c r="F3685" t="s">
        <v>1539</v>
      </c>
    </row>
    <row r="3686" spans="1:6">
      <c r="A3686">
        <v>116</v>
      </c>
      <c r="B3686" t="s">
        <v>1797</v>
      </c>
      <c r="C3686">
        <v>44248.15</v>
      </c>
      <c r="D3686" t="s">
        <v>1540</v>
      </c>
      <c r="E3686" t="s">
        <v>1538</v>
      </c>
      <c r="F3686" t="s">
        <v>1541</v>
      </c>
    </row>
    <row r="3687" spans="1:6">
      <c r="A3687">
        <v>116</v>
      </c>
      <c r="B3687" t="s">
        <v>1797</v>
      </c>
      <c r="C3687">
        <v>72323.490000000005</v>
      </c>
      <c r="D3687" t="s">
        <v>1431</v>
      </c>
      <c r="E3687" t="s">
        <v>1432</v>
      </c>
      <c r="F3687" t="s">
        <v>1433</v>
      </c>
    </row>
    <row r="3688" spans="1:6">
      <c r="A3688">
        <v>116</v>
      </c>
      <c r="B3688" t="s">
        <v>1797</v>
      </c>
      <c r="C3688">
        <v>152888.25</v>
      </c>
      <c r="D3688" t="s">
        <v>1434</v>
      </c>
      <c r="E3688" t="s">
        <v>1432</v>
      </c>
      <c r="F3688" t="s">
        <v>1435</v>
      </c>
    </row>
    <row r="3689" spans="1:6">
      <c r="A3689">
        <v>116</v>
      </c>
      <c r="B3689" t="s">
        <v>1797</v>
      </c>
      <c r="C3689">
        <v>6471</v>
      </c>
      <c r="D3689" t="s">
        <v>1576</v>
      </c>
      <c r="E3689" t="s">
        <v>1577</v>
      </c>
      <c r="F3689" t="s">
        <v>1578</v>
      </c>
    </row>
    <row r="3690" spans="1:6">
      <c r="A3690">
        <v>116</v>
      </c>
      <c r="B3690" t="s">
        <v>1797</v>
      </c>
      <c r="C3690">
        <v>333938</v>
      </c>
      <c r="D3690" t="s">
        <v>1579</v>
      </c>
      <c r="E3690" t="s">
        <v>1577</v>
      </c>
      <c r="F3690" t="s">
        <v>1580</v>
      </c>
    </row>
    <row r="3691" spans="1:6">
      <c r="A3691">
        <v>116</v>
      </c>
      <c r="B3691" t="s">
        <v>1797</v>
      </c>
      <c r="C3691">
        <v>24317</v>
      </c>
      <c r="D3691" t="s">
        <v>1436</v>
      </c>
      <c r="E3691" t="s">
        <v>1437</v>
      </c>
      <c r="F3691" t="s">
        <v>1438</v>
      </c>
    </row>
    <row r="3692" spans="1:6">
      <c r="A3692">
        <v>116</v>
      </c>
      <c r="B3692" t="s">
        <v>1797</v>
      </c>
      <c r="C3692">
        <v>2620</v>
      </c>
      <c r="D3692" t="s">
        <v>1581</v>
      </c>
      <c r="E3692" t="s">
        <v>1582</v>
      </c>
      <c r="F3692" t="s">
        <v>1583</v>
      </c>
    </row>
    <row r="3693" spans="1:6">
      <c r="A3693">
        <v>116</v>
      </c>
      <c r="B3693" t="s">
        <v>1797</v>
      </c>
      <c r="C3693">
        <v>88805</v>
      </c>
      <c r="D3693" t="s">
        <v>1587</v>
      </c>
      <c r="E3693" t="s">
        <v>1585</v>
      </c>
      <c r="F3693" t="s">
        <v>1588</v>
      </c>
    </row>
    <row r="3694" spans="1:6">
      <c r="A3694">
        <v>116</v>
      </c>
      <c r="B3694" t="s">
        <v>1797</v>
      </c>
      <c r="C3694">
        <v>8535</v>
      </c>
      <c r="D3694" t="s">
        <v>1592</v>
      </c>
      <c r="E3694" t="s">
        <v>1590</v>
      </c>
      <c r="F3694" t="s">
        <v>1593</v>
      </c>
    </row>
    <row r="3695" spans="1:6">
      <c r="A3695">
        <v>116</v>
      </c>
      <c r="B3695" t="s">
        <v>1797</v>
      </c>
      <c r="C3695">
        <v>2864</v>
      </c>
      <c r="D3695" t="s">
        <v>1597</v>
      </c>
      <c r="E3695" t="s">
        <v>1595</v>
      </c>
      <c r="F3695" t="s">
        <v>1598</v>
      </c>
    </row>
    <row r="3696" spans="1:6">
      <c r="A3696">
        <v>116</v>
      </c>
      <c r="B3696" t="s">
        <v>1797</v>
      </c>
      <c r="C3696">
        <v>314383</v>
      </c>
      <c r="D3696" t="s">
        <v>1602</v>
      </c>
      <c r="E3696" t="s">
        <v>1600</v>
      </c>
      <c r="F3696" t="s">
        <v>1603</v>
      </c>
    </row>
    <row r="3697" spans="1:6">
      <c r="A3697">
        <v>116</v>
      </c>
      <c r="B3697" t="s">
        <v>1797</v>
      </c>
      <c r="C3697">
        <v>24128</v>
      </c>
      <c r="D3697" t="s">
        <v>1604</v>
      </c>
      <c r="E3697" t="s">
        <v>1605</v>
      </c>
      <c r="F3697" t="s">
        <v>1606</v>
      </c>
    </row>
    <row r="3698" spans="1:6">
      <c r="A3698">
        <v>116</v>
      </c>
      <c r="B3698" t="s">
        <v>1797</v>
      </c>
      <c r="C3698">
        <v>45228</v>
      </c>
      <c r="D3698" t="s">
        <v>1273</v>
      </c>
      <c r="E3698" t="s">
        <v>1274</v>
      </c>
      <c r="F3698" t="s">
        <v>1275</v>
      </c>
    </row>
    <row r="3699" spans="1:6">
      <c r="A3699">
        <v>116</v>
      </c>
      <c r="B3699" t="s">
        <v>1797</v>
      </c>
      <c r="C3699">
        <v>8131</v>
      </c>
      <c r="D3699" t="s">
        <v>1469</v>
      </c>
      <c r="E3699" t="s">
        <v>1470</v>
      </c>
      <c r="F3699" t="s">
        <v>1471</v>
      </c>
    </row>
    <row r="3700" spans="1:6">
      <c r="A3700">
        <v>117</v>
      </c>
      <c r="B3700" t="s">
        <v>1798</v>
      </c>
      <c r="C3700">
        <v>722</v>
      </c>
      <c r="D3700" t="s">
        <v>1567</v>
      </c>
      <c r="E3700" t="s">
        <v>1568</v>
      </c>
      <c r="F3700" t="s">
        <v>1569</v>
      </c>
    </row>
    <row r="3701" spans="1:6">
      <c r="A3701">
        <v>117</v>
      </c>
      <c r="B3701" t="s">
        <v>1798</v>
      </c>
      <c r="C3701">
        <v>469848</v>
      </c>
      <c r="D3701" t="s">
        <v>1570</v>
      </c>
      <c r="E3701" t="s">
        <v>1571</v>
      </c>
      <c r="F3701" t="s">
        <v>1572</v>
      </c>
    </row>
    <row r="3702" spans="1:6">
      <c r="A3702">
        <v>117</v>
      </c>
      <c r="B3702" t="s">
        <v>1798</v>
      </c>
      <c r="C3702">
        <v>7503</v>
      </c>
      <c r="D3702" t="s">
        <v>1520</v>
      </c>
      <c r="E3702" t="s">
        <v>1521</v>
      </c>
      <c r="F3702" t="s">
        <v>1522</v>
      </c>
    </row>
    <row r="3703" spans="1:6">
      <c r="A3703">
        <v>117</v>
      </c>
      <c r="B3703" t="s">
        <v>1798</v>
      </c>
      <c r="C3703">
        <v>105900</v>
      </c>
      <c r="D3703" t="s">
        <v>1573</v>
      </c>
      <c r="E3703" t="s">
        <v>1574</v>
      </c>
      <c r="F3703" t="s">
        <v>1575</v>
      </c>
    </row>
    <row r="3704" spans="1:6">
      <c r="A3704">
        <v>117</v>
      </c>
      <c r="B3704" t="s">
        <v>1798</v>
      </c>
      <c r="C3704">
        <v>6153</v>
      </c>
      <c r="D3704" t="s">
        <v>1371</v>
      </c>
      <c r="E3704" t="s">
        <v>1372</v>
      </c>
      <c r="F3704" t="s">
        <v>1373</v>
      </c>
    </row>
    <row r="3705" spans="1:6">
      <c r="A3705">
        <v>117</v>
      </c>
      <c r="B3705" t="s">
        <v>1798</v>
      </c>
      <c r="C3705">
        <v>6500</v>
      </c>
      <c r="D3705" t="s">
        <v>1387</v>
      </c>
      <c r="E3705" t="s">
        <v>1388</v>
      </c>
      <c r="F3705" t="s">
        <v>1389</v>
      </c>
    </row>
    <row r="3706" spans="1:6">
      <c r="A3706">
        <v>117</v>
      </c>
      <c r="B3706" t="s">
        <v>1798</v>
      </c>
      <c r="C3706">
        <v>26443</v>
      </c>
      <c r="D3706" t="s">
        <v>1576</v>
      </c>
      <c r="E3706" t="s">
        <v>1577</v>
      </c>
      <c r="F3706" t="s">
        <v>1578</v>
      </c>
    </row>
    <row r="3707" spans="1:6">
      <c r="A3707">
        <v>117</v>
      </c>
      <c r="B3707" t="s">
        <v>1798</v>
      </c>
      <c r="C3707">
        <v>648</v>
      </c>
      <c r="D3707" t="s">
        <v>1442</v>
      </c>
      <c r="E3707" t="s">
        <v>1582</v>
      </c>
      <c r="F3707" t="s">
        <v>1443</v>
      </c>
    </row>
    <row r="3708" spans="1:6">
      <c r="A3708">
        <v>117</v>
      </c>
      <c r="B3708" t="s">
        <v>1798</v>
      </c>
      <c r="C3708">
        <v>61</v>
      </c>
      <c r="D3708" t="s">
        <v>1581</v>
      </c>
      <c r="E3708" t="s">
        <v>1582</v>
      </c>
      <c r="F3708" t="s">
        <v>1583</v>
      </c>
    </row>
    <row r="3709" spans="1:6">
      <c r="A3709">
        <v>117</v>
      </c>
      <c r="B3709" t="s">
        <v>1798</v>
      </c>
      <c r="C3709">
        <v>21142</v>
      </c>
      <c r="D3709" t="s">
        <v>1584</v>
      </c>
      <c r="E3709" t="s">
        <v>1585</v>
      </c>
      <c r="F3709" t="s">
        <v>1586</v>
      </c>
    </row>
    <row r="3710" spans="1:6">
      <c r="A3710">
        <v>117</v>
      </c>
      <c r="B3710" t="s">
        <v>1798</v>
      </c>
      <c r="C3710">
        <v>302</v>
      </c>
      <c r="D3710" t="s">
        <v>1587</v>
      </c>
      <c r="E3710" t="s">
        <v>1585</v>
      </c>
      <c r="F3710" t="s">
        <v>1588</v>
      </c>
    </row>
    <row r="3711" spans="1:6">
      <c r="A3711">
        <v>117</v>
      </c>
      <c r="B3711" t="s">
        <v>1798</v>
      </c>
      <c r="C3711">
        <v>4135</v>
      </c>
      <c r="D3711" t="s">
        <v>1589</v>
      </c>
      <c r="E3711" t="s">
        <v>1590</v>
      </c>
      <c r="F3711" t="s">
        <v>1591</v>
      </c>
    </row>
    <row r="3712" spans="1:6">
      <c r="A3712">
        <v>117</v>
      </c>
      <c r="B3712" t="s">
        <v>1798</v>
      </c>
      <c r="C3712">
        <v>770</v>
      </c>
      <c r="D3712" t="s">
        <v>1592</v>
      </c>
      <c r="E3712" t="s">
        <v>1590</v>
      </c>
      <c r="F3712" t="s">
        <v>1593</v>
      </c>
    </row>
    <row r="3713" spans="1:6">
      <c r="A3713">
        <v>117</v>
      </c>
      <c r="B3713" t="s">
        <v>1798</v>
      </c>
      <c r="C3713">
        <v>1622</v>
      </c>
      <c r="D3713" t="s">
        <v>1594</v>
      </c>
      <c r="E3713" t="s">
        <v>1595</v>
      </c>
      <c r="F3713" t="s">
        <v>1596</v>
      </c>
    </row>
    <row r="3714" spans="1:6">
      <c r="A3714">
        <v>117</v>
      </c>
      <c r="B3714" t="s">
        <v>1798</v>
      </c>
      <c r="C3714">
        <v>144</v>
      </c>
      <c r="D3714" t="s">
        <v>1597</v>
      </c>
      <c r="E3714" t="s">
        <v>1595</v>
      </c>
      <c r="F3714" t="s">
        <v>1598</v>
      </c>
    </row>
    <row r="3715" spans="1:6">
      <c r="A3715">
        <v>117</v>
      </c>
      <c r="B3715" t="s">
        <v>1798</v>
      </c>
      <c r="C3715">
        <v>239300</v>
      </c>
      <c r="D3715" t="s">
        <v>1599</v>
      </c>
      <c r="E3715" t="s">
        <v>1600</v>
      </c>
      <c r="F3715" t="s">
        <v>1601</v>
      </c>
    </row>
    <row r="3716" spans="1:6">
      <c r="A3716">
        <v>117</v>
      </c>
      <c r="B3716" t="s">
        <v>1798</v>
      </c>
      <c r="C3716">
        <v>8987</v>
      </c>
      <c r="D3716" t="s">
        <v>1459</v>
      </c>
      <c r="E3716" t="s">
        <v>1605</v>
      </c>
      <c r="F3716" t="s">
        <v>1460</v>
      </c>
    </row>
    <row r="3717" spans="1:6">
      <c r="A3717">
        <v>117</v>
      </c>
      <c r="B3717" t="s">
        <v>1798</v>
      </c>
      <c r="C3717">
        <v>17407.8</v>
      </c>
      <c r="D3717" t="s">
        <v>1475</v>
      </c>
      <c r="E3717" t="s">
        <v>1476</v>
      </c>
      <c r="F3717" t="s">
        <v>1477</v>
      </c>
    </row>
    <row r="3718" spans="1:6">
      <c r="A3718">
        <v>117</v>
      </c>
      <c r="B3718" t="s">
        <v>1798</v>
      </c>
      <c r="C3718">
        <v>68888.11</v>
      </c>
      <c r="D3718" t="s">
        <v>1365</v>
      </c>
      <c r="E3718" t="s">
        <v>1366</v>
      </c>
      <c r="F3718" t="s">
        <v>1367</v>
      </c>
    </row>
    <row r="3719" spans="1:6">
      <c r="A3719">
        <v>118</v>
      </c>
      <c r="B3719" t="s">
        <v>1799</v>
      </c>
      <c r="C3719">
        <v>12536</v>
      </c>
      <c r="D3719" t="s">
        <v>1489</v>
      </c>
      <c r="E3719" t="s">
        <v>1490</v>
      </c>
      <c r="F3719" t="s">
        <v>1491</v>
      </c>
    </row>
    <row r="3720" spans="1:6">
      <c r="A3720">
        <v>118</v>
      </c>
      <c r="B3720" t="s">
        <v>1799</v>
      </c>
      <c r="C3720">
        <v>3493</v>
      </c>
      <c r="D3720" t="s">
        <v>1567</v>
      </c>
      <c r="E3720" t="s">
        <v>1568</v>
      </c>
      <c r="F3720" t="s">
        <v>1569</v>
      </c>
    </row>
    <row r="3721" spans="1:6">
      <c r="A3721">
        <v>118</v>
      </c>
      <c r="B3721" t="s">
        <v>1799</v>
      </c>
      <c r="C3721">
        <v>5987</v>
      </c>
      <c r="D3721" t="s">
        <v>1496</v>
      </c>
      <c r="E3721" t="s">
        <v>1497</v>
      </c>
      <c r="F3721" t="s">
        <v>1498</v>
      </c>
    </row>
    <row r="3722" spans="1:6">
      <c r="A3722">
        <v>118</v>
      </c>
      <c r="B3722" t="s">
        <v>1799</v>
      </c>
      <c r="C3722">
        <v>1284300</v>
      </c>
      <c r="D3722" t="s">
        <v>1570</v>
      </c>
      <c r="E3722" t="s">
        <v>1571</v>
      </c>
      <c r="F3722" t="s">
        <v>1572</v>
      </c>
    </row>
    <row r="3723" spans="1:6">
      <c r="A3723">
        <v>118</v>
      </c>
      <c r="B3723" t="s">
        <v>1799</v>
      </c>
      <c r="C3723">
        <v>957942</v>
      </c>
      <c r="D3723" t="s">
        <v>1573</v>
      </c>
      <c r="E3723" t="s">
        <v>1574</v>
      </c>
      <c r="F3723" t="s">
        <v>1575</v>
      </c>
    </row>
    <row r="3724" spans="1:6">
      <c r="A3724">
        <v>118</v>
      </c>
      <c r="B3724" t="s">
        <v>1799</v>
      </c>
      <c r="C3724">
        <v>32035</v>
      </c>
      <c r="D3724" t="s">
        <v>1523</v>
      </c>
      <c r="E3724" t="s">
        <v>1521</v>
      </c>
      <c r="F3724" t="s">
        <v>1524</v>
      </c>
    </row>
    <row r="3725" spans="1:6">
      <c r="A3725">
        <v>118</v>
      </c>
      <c r="B3725" t="s">
        <v>1799</v>
      </c>
      <c r="C3725">
        <v>14000</v>
      </c>
      <c r="D3725" t="s">
        <v>1528</v>
      </c>
      <c r="E3725" t="s">
        <v>1529</v>
      </c>
      <c r="F3725" t="s">
        <v>1530</v>
      </c>
    </row>
    <row r="3726" spans="1:6">
      <c r="A3726">
        <v>118</v>
      </c>
      <c r="B3726" t="s">
        <v>1799</v>
      </c>
      <c r="C3726">
        <v>16900</v>
      </c>
      <c r="D3726" t="s">
        <v>1387</v>
      </c>
      <c r="E3726" t="s">
        <v>1388</v>
      </c>
      <c r="F3726" t="s">
        <v>1389</v>
      </c>
    </row>
    <row r="3727" spans="1:6">
      <c r="A3727">
        <v>118</v>
      </c>
      <c r="B3727" t="s">
        <v>1799</v>
      </c>
      <c r="C3727">
        <v>21054.080000000002</v>
      </c>
      <c r="D3727" t="s">
        <v>1431</v>
      </c>
      <c r="E3727" t="s">
        <v>1432</v>
      </c>
      <c r="F3727" t="s">
        <v>1433</v>
      </c>
    </row>
    <row r="3728" spans="1:6">
      <c r="A3728">
        <v>118</v>
      </c>
      <c r="B3728" t="s">
        <v>1799</v>
      </c>
      <c r="C3728">
        <v>48622.04</v>
      </c>
      <c r="D3728" t="s">
        <v>1434</v>
      </c>
      <c r="E3728" t="s">
        <v>1432</v>
      </c>
      <c r="F3728" t="s">
        <v>1435</v>
      </c>
    </row>
    <row r="3729" spans="1:6">
      <c r="A3729">
        <v>118</v>
      </c>
      <c r="B3729" t="s">
        <v>1799</v>
      </c>
      <c r="C3729">
        <v>2444</v>
      </c>
      <c r="D3729" t="s">
        <v>1293</v>
      </c>
      <c r="E3729" t="s">
        <v>1437</v>
      </c>
      <c r="F3729" t="s">
        <v>1283</v>
      </c>
    </row>
    <row r="3730" spans="1:6">
      <c r="A3730">
        <v>118</v>
      </c>
      <c r="B3730" t="s">
        <v>1799</v>
      </c>
      <c r="C3730">
        <v>26200</v>
      </c>
      <c r="D3730" t="s">
        <v>1436</v>
      </c>
      <c r="E3730" t="s">
        <v>1437</v>
      </c>
      <c r="F3730" t="s">
        <v>1438</v>
      </c>
    </row>
    <row r="3731" spans="1:6">
      <c r="A3731">
        <v>118</v>
      </c>
      <c r="B3731" t="s">
        <v>1799</v>
      </c>
      <c r="C3731">
        <v>2671</v>
      </c>
      <c r="D3731" t="s">
        <v>1296</v>
      </c>
      <c r="E3731" t="s">
        <v>1585</v>
      </c>
      <c r="F3731" t="s">
        <v>1297</v>
      </c>
    </row>
    <row r="3732" spans="1:6">
      <c r="A3732">
        <v>118</v>
      </c>
      <c r="B3732" t="s">
        <v>1799</v>
      </c>
      <c r="C3732">
        <v>31000</v>
      </c>
      <c r="D3732" t="s">
        <v>1584</v>
      </c>
      <c r="E3732" t="s">
        <v>1585</v>
      </c>
      <c r="F3732" t="s">
        <v>1586</v>
      </c>
    </row>
    <row r="3733" spans="1:6">
      <c r="A3733">
        <v>118</v>
      </c>
      <c r="B3733" t="s">
        <v>1799</v>
      </c>
      <c r="C3733">
        <v>2000</v>
      </c>
      <c r="D3733" t="s">
        <v>1587</v>
      </c>
      <c r="E3733" t="s">
        <v>1585</v>
      </c>
      <c r="F3733" t="s">
        <v>1588</v>
      </c>
    </row>
    <row r="3734" spans="1:6">
      <c r="A3734">
        <v>118</v>
      </c>
      <c r="B3734" t="s">
        <v>1799</v>
      </c>
      <c r="C3734">
        <v>8000</v>
      </c>
      <c r="D3734" t="s">
        <v>1592</v>
      </c>
      <c r="E3734" t="s">
        <v>1590</v>
      </c>
      <c r="F3734" t="s">
        <v>1593</v>
      </c>
    </row>
    <row r="3735" spans="1:6">
      <c r="A3735">
        <v>118</v>
      </c>
      <c r="B3735" t="s">
        <v>1799</v>
      </c>
      <c r="C3735">
        <v>196</v>
      </c>
      <c r="D3735" t="s">
        <v>1299</v>
      </c>
      <c r="E3735" t="s">
        <v>1595</v>
      </c>
      <c r="F3735" t="s">
        <v>1300</v>
      </c>
    </row>
    <row r="3736" spans="1:6">
      <c r="A3736">
        <v>118</v>
      </c>
      <c r="B3736" t="s">
        <v>1799</v>
      </c>
      <c r="C3736">
        <v>4312</v>
      </c>
      <c r="D3736" t="s">
        <v>1594</v>
      </c>
      <c r="E3736" t="s">
        <v>1595</v>
      </c>
      <c r="F3736" t="s">
        <v>1596</v>
      </c>
    </row>
    <row r="3737" spans="1:6">
      <c r="A3737">
        <v>118</v>
      </c>
      <c r="B3737" t="s">
        <v>1799</v>
      </c>
      <c r="C3737">
        <v>1702</v>
      </c>
      <c r="D3737" t="s">
        <v>1213</v>
      </c>
      <c r="E3737" t="s">
        <v>1600</v>
      </c>
      <c r="F3737" t="s">
        <v>1214</v>
      </c>
    </row>
    <row r="3738" spans="1:6">
      <c r="A3738">
        <v>118</v>
      </c>
      <c r="B3738" t="s">
        <v>1799</v>
      </c>
      <c r="C3738">
        <v>377000</v>
      </c>
      <c r="D3738" t="s">
        <v>1599</v>
      </c>
      <c r="E3738" t="s">
        <v>1600</v>
      </c>
      <c r="F3738" t="s">
        <v>1601</v>
      </c>
    </row>
    <row r="3739" spans="1:6">
      <c r="A3739">
        <v>118</v>
      </c>
      <c r="B3739" t="s">
        <v>1799</v>
      </c>
      <c r="C3739">
        <v>308000</v>
      </c>
      <c r="D3739" t="s">
        <v>1602</v>
      </c>
      <c r="E3739" t="s">
        <v>1600</v>
      </c>
      <c r="F3739" t="s">
        <v>1603</v>
      </c>
    </row>
    <row r="3740" spans="1:6">
      <c r="A3740">
        <v>118</v>
      </c>
      <c r="B3740" t="s">
        <v>1799</v>
      </c>
      <c r="C3740">
        <v>30843</v>
      </c>
      <c r="D3740" t="s">
        <v>1459</v>
      </c>
      <c r="E3740" t="s">
        <v>1605</v>
      </c>
      <c r="F3740" t="s">
        <v>1460</v>
      </c>
    </row>
    <row r="3741" spans="1:6">
      <c r="A3741">
        <v>118</v>
      </c>
      <c r="B3741" t="s">
        <v>1799</v>
      </c>
      <c r="C3741">
        <v>566.88</v>
      </c>
      <c r="D3741" t="s">
        <v>1276</v>
      </c>
      <c r="E3741" t="s">
        <v>1277</v>
      </c>
      <c r="F3741" t="s">
        <v>1278</v>
      </c>
    </row>
    <row r="3742" spans="1:6">
      <c r="A3742">
        <v>118</v>
      </c>
      <c r="B3742" t="s">
        <v>1799</v>
      </c>
      <c r="C3742">
        <v>1617.52</v>
      </c>
      <c r="D3742" t="s">
        <v>1475</v>
      </c>
      <c r="E3742" t="s">
        <v>1476</v>
      </c>
      <c r="F3742" t="s">
        <v>1477</v>
      </c>
    </row>
    <row r="3743" spans="1:6">
      <c r="A3743">
        <v>118</v>
      </c>
      <c r="B3743" t="s">
        <v>1799</v>
      </c>
      <c r="C3743">
        <v>24394.15</v>
      </c>
      <c r="D3743" t="s">
        <v>1365</v>
      </c>
      <c r="E3743" t="s">
        <v>1366</v>
      </c>
      <c r="F3743" t="s">
        <v>1367</v>
      </c>
    </row>
    <row r="3744" spans="1:6">
      <c r="A3744">
        <v>118</v>
      </c>
      <c r="B3744" t="s">
        <v>1799</v>
      </c>
      <c r="C3744">
        <v>804938</v>
      </c>
      <c r="D3744" t="s">
        <v>1607</v>
      </c>
      <c r="E3744" t="s">
        <v>1608</v>
      </c>
      <c r="F3744" t="s">
        <v>1609</v>
      </c>
    </row>
    <row r="3745" spans="1:6">
      <c r="A3745">
        <v>118</v>
      </c>
      <c r="B3745" t="s">
        <v>1799</v>
      </c>
      <c r="C3745">
        <v>46468</v>
      </c>
      <c r="D3745" t="s">
        <v>1610</v>
      </c>
      <c r="E3745" t="s">
        <v>1481</v>
      </c>
      <c r="F3745" t="s">
        <v>1482</v>
      </c>
    </row>
    <row r="3746" spans="1:6">
      <c r="A3746">
        <v>119</v>
      </c>
      <c r="B3746" t="s">
        <v>1800</v>
      </c>
      <c r="C3746">
        <v>7379</v>
      </c>
      <c r="D3746" t="s">
        <v>1489</v>
      </c>
      <c r="E3746" t="s">
        <v>1490</v>
      </c>
      <c r="F3746" t="s">
        <v>1491</v>
      </c>
    </row>
    <row r="3747" spans="1:6">
      <c r="A3747">
        <v>119</v>
      </c>
      <c r="B3747" t="s">
        <v>1800</v>
      </c>
      <c r="C3747">
        <v>104801</v>
      </c>
      <c r="D3747" t="s">
        <v>1567</v>
      </c>
      <c r="E3747" t="s">
        <v>1568</v>
      </c>
      <c r="F3747" t="s">
        <v>1569</v>
      </c>
    </row>
    <row r="3748" spans="1:6">
      <c r="A3748">
        <v>119</v>
      </c>
      <c r="B3748" t="s">
        <v>1800</v>
      </c>
      <c r="C3748">
        <v>2268430</v>
      </c>
      <c r="D3748" t="s">
        <v>1570</v>
      </c>
      <c r="E3748" t="s">
        <v>1571</v>
      </c>
      <c r="F3748" t="s">
        <v>1572</v>
      </c>
    </row>
    <row r="3749" spans="1:6">
      <c r="A3749">
        <v>119</v>
      </c>
      <c r="B3749" t="s">
        <v>1800</v>
      </c>
      <c r="C3749">
        <v>65863</v>
      </c>
      <c r="D3749" t="s">
        <v>1520</v>
      </c>
      <c r="E3749" t="s">
        <v>1521</v>
      </c>
      <c r="F3749" t="s">
        <v>1522</v>
      </c>
    </row>
    <row r="3750" spans="1:6">
      <c r="A3750">
        <v>119</v>
      </c>
      <c r="B3750" t="s">
        <v>1800</v>
      </c>
      <c r="C3750">
        <v>268969</v>
      </c>
      <c r="D3750" t="s">
        <v>1573</v>
      </c>
      <c r="E3750" t="s">
        <v>1574</v>
      </c>
      <c r="F3750" t="s">
        <v>1575</v>
      </c>
    </row>
    <row r="3751" spans="1:6">
      <c r="A3751">
        <v>119</v>
      </c>
      <c r="B3751" t="s">
        <v>1800</v>
      </c>
      <c r="C3751">
        <v>16814</v>
      </c>
      <c r="D3751" t="s">
        <v>1528</v>
      </c>
      <c r="E3751" t="s">
        <v>1529</v>
      </c>
      <c r="F3751" t="s">
        <v>1530</v>
      </c>
    </row>
    <row r="3752" spans="1:6">
      <c r="A3752">
        <v>119</v>
      </c>
      <c r="B3752" t="s">
        <v>1800</v>
      </c>
      <c r="C3752">
        <v>76758</v>
      </c>
      <c r="D3752" t="s">
        <v>1531</v>
      </c>
      <c r="E3752" t="s">
        <v>1532</v>
      </c>
      <c r="F3752" t="s">
        <v>1533</v>
      </c>
    </row>
    <row r="3753" spans="1:6">
      <c r="A3753">
        <v>119</v>
      </c>
      <c r="B3753" t="s">
        <v>1800</v>
      </c>
      <c r="C3753">
        <v>54346</v>
      </c>
      <c r="D3753" t="s">
        <v>1387</v>
      </c>
      <c r="E3753" t="s">
        <v>1388</v>
      </c>
      <c r="F3753" t="s">
        <v>1389</v>
      </c>
    </row>
    <row r="3754" spans="1:6">
      <c r="A3754">
        <v>119</v>
      </c>
      <c r="B3754" t="s">
        <v>1800</v>
      </c>
      <c r="C3754">
        <v>462.15</v>
      </c>
      <c r="D3754" t="s">
        <v>1374</v>
      </c>
      <c r="E3754" t="s">
        <v>1375</v>
      </c>
      <c r="F3754" t="s">
        <v>1376</v>
      </c>
    </row>
    <row r="3755" spans="1:6">
      <c r="A3755">
        <v>119</v>
      </c>
      <c r="B3755" t="s">
        <v>1800</v>
      </c>
      <c r="C3755">
        <v>1575.79</v>
      </c>
      <c r="D3755" t="s">
        <v>1377</v>
      </c>
      <c r="E3755" t="s">
        <v>1375</v>
      </c>
      <c r="F3755" t="s">
        <v>1378</v>
      </c>
    </row>
    <row r="3756" spans="1:6">
      <c r="A3756">
        <v>119</v>
      </c>
      <c r="B3756" t="s">
        <v>1800</v>
      </c>
      <c r="C3756">
        <v>24961.47</v>
      </c>
      <c r="D3756" t="s">
        <v>1431</v>
      </c>
      <c r="E3756" t="s">
        <v>1432</v>
      </c>
      <c r="F3756" t="s">
        <v>1433</v>
      </c>
    </row>
    <row r="3757" spans="1:6">
      <c r="A3757">
        <v>119</v>
      </c>
      <c r="B3757" t="s">
        <v>1800</v>
      </c>
      <c r="C3757">
        <v>64635.51</v>
      </c>
      <c r="D3757" t="s">
        <v>1434</v>
      </c>
      <c r="E3757" t="s">
        <v>1432</v>
      </c>
      <c r="F3757" t="s">
        <v>1435</v>
      </c>
    </row>
    <row r="3758" spans="1:6">
      <c r="A3758">
        <v>119</v>
      </c>
      <c r="B3758" t="s">
        <v>1800</v>
      </c>
      <c r="C3758">
        <v>7372</v>
      </c>
      <c r="D3758" t="s">
        <v>1584</v>
      </c>
      <c r="E3758" t="s">
        <v>1585</v>
      </c>
      <c r="F3758" t="s">
        <v>1586</v>
      </c>
    </row>
    <row r="3759" spans="1:6">
      <c r="A3759">
        <v>119</v>
      </c>
      <c r="B3759" t="s">
        <v>1800</v>
      </c>
      <c r="C3759">
        <v>13000</v>
      </c>
      <c r="D3759" t="s">
        <v>1587</v>
      </c>
      <c r="E3759" t="s">
        <v>1585</v>
      </c>
      <c r="F3759" t="s">
        <v>1588</v>
      </c>
    </row>
    <row r="3760" spans="1:6">
      <c r="A3760">
        <v>119</v>
      </c>
      <c r="B3760" t="s">
        <v>1800</v>
      </c>
      <c r="C3760">
        <v>7500</v>
      </c>
      <c r="D3760" t="s">
        <v>1457</v>
      </c>
      <c r="E3760" t="s">
        <v>1455</v>
      </c>
      <c r="F3760" t="s">
        <v>1458</v>
      </c>
    </row>
    <row r="3761" spans="1:6">
      <c r="A3761">
        <v>119</v>
      </c>
      <c r="B3761" t="s">
        <v>1800</v>
      </c>
      <c r="C3761">
        <v>1957</v>
      </c>
      <c r="D3761" t="s">
        <v>1589</v>
      </c>
      <c r="E3761" t="s">
        <v>1590</v>
      </c>
      <c r="F3761" t="s">
        <v>1591</v>
      </c>
    </row>
    <row r="3762" spans="1:6">
      <c r="A3762">
        <v>119</v>
      </c>
      <c r="B3762" t="s">
        <v>1800</v>
      </c>
      <c r="C3762">
        <v>2000</v>
      </c>
      <c r="D3762" t="s">
        <v>1592</v>
      </c>
      <c r="E3762" t="s">
        <v>1590</v>
      </c>
      <c r="F3762" t="s">
        <v>1593</v>
      </c>
    </row>
    <row r="3763" spans="1:6">
      <c r="A3763">
        <v>119</v>
      </c>
      <c r="B3763" t="s">
        <v>1800</v>
      </c>
      <c r="C3763">
        <v>3100</v>
      </c>
      <c r="D3763" t="s">
        <v>1594</v>
      </c>
      <c r="E3763" t="s">
        <v>1595</v>
      </c>
      <c r="F3763" t="s">
        <v>1596</v>
      </c>
    </row>
    <row r="3764" spans="1:6">
      <c r="A3764">
        <v>119</v>
      </c>
      <c r="B3764" t="s">
        <v>1800</v>
      </c>
      <c r="C3764">
        <v>2701</v>
      </c>
      <c r="D3764" t="s">
        <v>1597</v>
      </c>
      <c r="E3764" t="s">
        <v>1595</v>
      </c>
      <c r="F3764" t="s">
        <v>1598</v>
      </c>
    </row>
    <row r="3765" spans="1:6">
      <c r="A3765">
        <v>119</v>
      </c>
      <c r="B3765" t="s">
        <v>1800</v>
      </c>
      <c r="C3765">
        <v>154391</v>
      </c>
      <c r="D3765" t="s">
        <v>1599</v>
      </c>
      <c r="E3765" t="s">
        <v>1600</v>
      </c>
      <c r="F3765" t="s">
        <v>1601</v>
      </c>
    </row>
    <row r="3766" spans="1:6">
      <c r="A3766">
        <v>119</v>
      </c>
      <c r="B3766" t="s">
        <v>1800</v>
      </c>
      <c r="C3766">
        <v>175000</v>
      </c>
      <c r="D3766" t="s">
        <v>1602</v>
      </c>
      <c r="E3766" t="s">
        <v>1600</v>
      </c>
      <c r="F3766" t="s">
        <v>1603</v>
      </c>
    </row>
    <row r="3767" spans="1:6">
      <c r="A3767">
        <v>119</v>
      </c>
      <c r="B3767" t="s">
        <v>1800</v>
      </c>
      <c r="C3767">
        <v>11432</v>
      </c>
      <c r="D3767" t="s">
        <v>1459</v>
      </c>
      <c r="E3767" t="s">
        <v>1605</v>
      </c>
      <c r="F3767" t="s">
        <v>1460</v>
      </c>
    </row>
    <row r="3768" spans="1:6">
      <c r="A3768">
        <v>119</v>
      </c>
      <c r="B3768" t="s">
        <v>1800</v>
      </c>
      <c r="C3768">
        <v>6500</v>
      </c>
      <c r="D3768" t="s">
        <v>1604</v>
      </c>
      <c r="E3768" t="s">
        <v>1605</v>
      </c>
      <c r="F3768" t="s">
        <v>1606</v>
      </c>
    </row>
    <row r="3769" spans="1:6">
      <c r="A3769">
        <v>119</v>
      </c>
      <c r="B3769" t="s">
        <v>1800</v>
      </c>
      <c r="C3769">
        <v>18392.62</v>
      </c>
      <c r="D3769" t="s">
        <v>1475</v>
      </c>
      <c r="E3769" t="s">
        <v>1476</v>
      </c>
      <c r="F3769" t="s">
        <v>1477</v>
      </c>
    </row>
    <row r="3770" spans="1:6">
      <c r="A3770">
        <v>119</v>
      </c>
      <c r="B3770" t="s">
        <v>1800</v>
      </c>
      <c r="C3770">
        <v>253297.49</v>
      </c>
      <c r="D3770" t="s">
        <v>1365</v>
      </c>
      <c r="E3770" t="s">
        <v>1366</v>
      </c>
      <c r="F3770" t="s">
        <v>1367</v>
      </c>
    </row>
    <row r="3771" spans="1:6">
      <c r="A3771">
        <v>120</v>
      </c>
      <c r="B3771" t="s">
        <v>1139</v>
      </c>
      <c r="C3771">
        <v>118661</v>
      </c>
      <c r="D3771" t="s">
        <v>1570</v>
      </c>
      <c r="E3771" t="s">
        <v>1571</v>
      </c>
      <c r="F3771" t="s">
        <v>1572</v>
      </c>
    </row>
    <row r="3772" spans="1:6">
      <c r="A3772">
        <v>120</v>
      </c>
      <c r="B3772" t="s">
        <v>1139</v>
      </c>
      <c r="C3772">
        <v>1887</v>
      </c>
      <c r="D3772" t="s">
        <v>1371</v>
      </c>
      <c r="E3772" t="s">
        <v>1372</v>
      </c>
      <c r="F3772" t="s">
        <v>1373</v>
      </c>
    </row>
    <row r="3773" spans="1:6">
      <c r="A3773">
        <v>121</v>
      </c>
      <c r="B3773" t="s">
        <v>1801</v>
      </c>
      <c r="C3773">
        <v>3350</v>
      </c>
      <c r="D3773" t="s">
        <v>1486</v>
      </c>
      <c r="E3773" t="s">
        <v>1487</v>
      </c>
      <c r="F3773" t="s">
        <v>1488</v>
      </c>
    </row>
    <row r="3774" spans="1:6">
      <c r="A3774">
        <v>121</v>
      </c>
      <c r="B3774" t="s">
        <v>1801</v>
      </c>
      <c r="C3774">
        <v>1958</v>
      </c>
      <c r="D3774" t="s">
        <v>1489</v>
      </c>
      <c r="E3774" t="s">
        <v>1490</v>
      </c>
      <c r="F3774" t="s">
        <v>1491</v>
      </c>
    </row>
    <row r="3775" spans="1:6">
      <c r="A3775">
        <v>121</v>
      </c>
      <c r="B3775" t="s">
        <v>1801</v>
      </c>
      <c r="C3775">
        <v>99254</v>
      </c>
      <c r="D3775" t="s">
        <v>1567</v>
      </c>
      <c r="E3775" t="s">
        <v>1568</v>
      </c>
      <c r="F3775" t="s">
        <v>1569</v>
      </c>
    </row>
    <row r="3776" spans="1:6">
      <c r="A3776">
        <v>121</v>
      </c>
      <c r="B3776" t="s">
        <v>1801</v>
      </c>
      <c r="C3776">
        <v>2767063</v>
      </c>
      <c r="D3776" t="s">
        <v>1570</v>
      </c>
      <c r="E3776" t="s">
        <v>1571</v>
      </c>
      <c r="F3776" t="s">
        <v>1572</v>
      </c>
    </row>
    <row r="3777" spans="1:6">
      <c r="A3777">
        <v>121</v>
      </c>
      <c r="B3777" t="s">
        <v>1801</v>
      </c>
      <c r="C3777">
        <v>3295</v>
      </c>
      <c r="D3777" t="s">
        <v>1520</v>
      </c>
      <c r="E3777" t="s">
        <v>1521</v>
      </c>
      <c r="F3777" t="s">
        <v>1522</v>
      </c>
    </row>
    <row r="3778" spans="1:6">
      <c r="A3778">
        <v>121</v>
      </c>
      <c r="B3778" t="s">
        <v>1801</v>
      </c>
      <c r="C3778">
        <v>116825</v>
      </c>
      <c r="D3778" t="s">
        <v>1573</v>
      </c>
      <c r="E3778" t="s">
        <v>1574</v>
      </c>
      <c r="F3778" t="s">
        <v>1575</v>
      </c>
    </row>
    <row r="3779" spans="1:6">
      <c r="A3779">
        <v>121</v>
      </c>
      <c r="B3779" t="s">
        <v>1801</v>
      </c>
      <c r="C3779">
        <v>7200</v>
      </c>
      <c r="D3779" t="s">
        <v>1387</v>
      </c>
      <c r="E3779" t="s">
        <v>1388</v>
      </c>
      <c r="F3779" t="s">
        <v>1389</v>
      </c>
    </row>
    <row r="3780" spans="1:6">
      <c r="A3780">
        <v>121</v>
      </c>
      <c r="B3780" t="s">
        <v>1801</v>
      </c>
      <c r="C3780">
        <v>29570</v>
      </c>
      <c r="D3780" t="s">
        <v>1390</v>
      </c>
      <c r="E3780" t="s">
        <v>1391</v>
      </c>
      <c r="F3780" t="s">
        <v>1392</v>
      </c>
    </row>
    <row r="3781" spans="1:6">
      <c r="A3781">
        <v>121</v>
      </c>
      <c r="B3781" t="s">
        <v>1801</v>
      </c>
      <c r="C3781">
        <v>82.17</v>
      </c>
      <c r="D3781" t="s">
        <v>1374</v>
      </c>
      <c r="E3781" t="s">
        <v>1375</v>
      </c>
      <c r="F3781" t="s">
        <v>1376</v>
      </c>
    </row>
    <row r="3782" spans="1:6">
      <c r="A3782">
        <v>121</v>
      </c>
      <c r="B3782" t="s">
        <v>1801</v>
      </c>
      <c r="C3782">
        <v>198.63</v>
      </c>
      <c r="D3782" t="s">
        <v>1377</v>
      </c>
      <c r="E3782" t="s">
        <v>1375</v>
      </c>
      <c r="F3782" t="s">
        <v>1378</v>
      </c>
    </row>
    <row r="3783" spans="1:6">
      <c r="A3783">
        <v>121</v>
      </c>
      <c r="B3783" t="s">
        <v>1801</v>
      </c>
      <c r="C3783">
        <v>3449.44</v>
      </c>
      <c r="D3783" t="s">
        <v>1431</v>
      </c>
      <c r="E3783" t="s">
        <v>1432</v>
      </c>
      <c r="F3783" t="s">
        <v>1433</v>
      </c>
    </row>
    <row r="3784" spans="1:6">
      <c r="A3784">
        <v>121</v>
      </c>
      <c r="B3784" t="s">
        <v>1801</v>
      </c>
      <c r="C3784">
        <v>9270.6299999999992</v>
      </c>
      <c r="D3784" t="s">
        <v>1434</v>
      </c>
      <c r="E3784" t="s">
        <v>1432</v>
      </c>
      <c r="F3784" t="s">
        <v>1435</v>
      </c>
    </row>
    <row r="3785" spans="1:6">
      <c r="A3785">
        <v>121</v>
      </c>
      <c r="B3785" t="s">
        <v>1801</v>
      </c>
      <c r="C3785">
        <v>8896</v>
      </c>
      <c r="D3785" t="s">
        <v>1584</v>
      </c>
      <c r="E3785" t="s">
        <v>1585</v>
      </c>
      <c r="F3785" t="s">
        <v>1586</v>
      </c>
    </row>
    <row r="3786" spans="1:6">
      <c r="A3786">
        <v>121</v>
      </c>
      <c r="B3786" t="s">
        <v>1801</v>
      </c>
      <c r="C3786">
        <v>10679</v>
      </c>
      <c r="D3786" t="s">
        <v>1587</v>
      </c>
      <c r="E3786" t="s">
        <v>1585</v>
      </c>
      <c r="F3786" t="s">
        <v>1588</v>
      </c>
    </row>
    <row r="3787" spans="1:6">
      <c r="A3787">
        <v>121</v>
      </c>
      <c r="B3787" t="s">
        <v>1801</v>
      </c>
      <c r="C3787">
        <v>858</v>
      </c>
      <c r="D3787" t="s">
        <v>1592</v>
      </c>
      <c r="E3787" t="s">
        <v>1590</v>
      </c>
      <c r="F3787" t="s">
        <v>1593</v>
      </c>
    </row>
    <row r="3788" spans="1:6">
      <c r="A3788">
        <v>121</v>
      </c>
      <c r="B3788" t="s">
        <v>1801</v>
      </c>
      <c r="C3788">
        <v>1367</v>
      </c>
      <c r="D3788" t="s">
        <v>1594</v>
      </c>
      <c r="E3788" t="s">
        <v>1595</v>
      </c>
      <c r="F3788" t="s">
        <v>1596</v>
      </c>
    </row>
    <row r="3789" spans="1:6">
      <c r="A3789">
        <v>121</v>
      </c>
      <c r="B3789" t="s">
        <v>1801</v>
      </c>
      <c r="C3789">
        <v>645</v>
      </c>
      <c r="D3789" t="s">
        <v>1597</v>
      </c>
      <c r="E3789" t="s">
        <v>1595</v>
      </c>
      <c r="F3789" t="s">
        <v>1598</v>
      </c>
    </row>
    <row r="3790" spans="1:6">
      <c r="A3790">
        <v>121</v>
      </c>
      <c r="B3790" t="s">
        <v>1801</v>
      </c>
      <c r="C3790">
        <v>71506</v>
      </c>
      <c r="D3790" t="s">
        <v>1599</v>
      </c>
      <c r="E3790" t="s">
        <v>1600</v>
      </c>
      <c r="F3790" t="s">
        <v>1601</v>
      </c>
    </row>
    <row r="3791" spans="1:6">
      <c r="A3791">
        <v>121</v>
      </c>
      <c r="B3791" t="s">
        <v>1801</v>
      </c>
      <c r="C3791">
        <v>4000</v>
      </c>
      <c r="D3791" t="s">
        <v>1602</v>
      </c>
      <c r="E3791" t="s">
        <v>1600</v>
      </c>
      <c r="F3791" t="s">
        <v>1603</v>
      </c>
    </row>
    <row r="3792" spans="1:6">
      <c r="A3792">
        <v>121</v>
      </c>
      <c r="B3792" t="s">
        <v>1801</v>
      </c>
      <c r="C3792">
        <v>5249</v>
      </c>
      <c r="D3792" t="s">
        <v>1604</v>
      </c>
      <c r="E3792" t="s">
        <v>1605</v>
      </c>
      <c r="F3792" t="s">
        <v>1606</v>
      </c>
    </row>
    <row r="3793" spans="1:6">
      <c r="A3793">
        <v>121</v>
      </c>
      <c r="B3793" t="s">
        <v>1801</v>
      </c>
      <c r="C3793">
        <v>25900.41</v>
      </c>
      <c r="D3793" t="s">
        <v>1475</v>
      </c>
      <c r="E3793" t="s">
        <v>1476</v>
      </c>
      <c r="F3793" t="s">
        <v>1477</v>
      </c>
    </row>
    <row r="3794" spans="1:6">
      <c r="A3794">
        <v>121</v>
      </c>
      <c r="B3794" t="s">
        <v>1801</v>
      </c>
      <c r="C3794">
        <v>241452.24</v>
      </c>
      <c r="D3794" t="s">
        <v>1365</v>
      </c>
      <c r="E3794" t="s">
        <v>1366</v>
      </c>
      <c r="F3794" t="s">
        <v>1367</v>
      </c>
    </row>
    <row r="3795" spans="1:6">
      <c r="A3795">
        <v>121</v>
      </c>
      <c r="B3795" t="s">
        <v>1801</v>
      </c>
      <c r="C3795">
        <v>35515</v>
      </c>
      <c r="D3795" t="s">
        <v>1610</v>
      </c>
      <c r="E3795" t="s">
        <v>1481</v>
      </c>
      <c r="F3795" t="s">
        <v>1482</v>
      </c>
    </row>
    <row r="3796" spans="1:6">
      <c r="A3796">
        <v>122</v>
      </c>
      <c r="B3796" t="s">
        <v>1802</v>
      </c>
      <c r="C3796">
        <v>1210</v>
      </c>
      <c r="D3796" t="s">
        <v>1489</v>
      </c>
      <c r="E3796" t="s">
        <v>1490</v>
      </c>
      <c r="F3796" t="s">
        <v>1491</v>
      </c>
    </row>
    <row r="3797" spans="1:6">
      <c r="A3797">
        <v>122</v>
      </c>
      <c r="B3797" t="s">
        <v>1802</v>
      </c>
      <c r="C3797">
        <v>2445</v>
      </c>
      <c r="D3797" t="s">
        <v>1567</v>
      </c>
      <c r="E3797" t="s">
        <v>1568</v>
      </c>
      <c r="F3797" t="s">
        <v>1569</v>
      </c>
    </row>
    <row r="3798" spans="1:6">
      <c r="A3798">
        <v>122</v>
      </c>
      <c r="B3798" t="s">
        <v>1802</v>
      </c>
      <c r="C3798">
        <v>133549</v>
      </c>
      <c r="D3798" t="s">
        <v>1570</v>
      </c>
      <c r="E3798" t="s">
        <v>1571</v>
      </c>
      <c r="F3798" t="s">
        <v>1572</v>
      </c>
    </row>
    <row r="3799" spans="1:6">
      <c r="A3799">
        <v>122</v>
      </c>
      <c r="B3799" t="s">
        <v>1802</v>
      </c>
      <c r="C3799">
        <v>1055</v>
      </c>
      <c r="D3799" t="s">
        <v>1371</v>
      </c>
      <c r="E3799" t="s">
        <v>1372</v>
      </c>
      <c r="F3799" t="s">
        <v>1373</v>
      </c>
    </row>
    <row r="3800" spans="1:6">
      <c r="A3800">
        <v>122</v>
      </c>
      <c r="B3800" t="s">
        <v>1802</v>
      </c>
      <c r="C3800">
        <v>4023.52</v>
      </c>
      <c r="D3800" t="s">
        <v>1431</v>
      </c>
      <c r="E3800" t="s">
        <v>1432</v>
      </c>
      <c r="F3800" t="s">
        <v>1433</v>
      </c>
    </row>
    <row r="3801" spans="1:6">
      <c r="A3801">
        <v>122</v>
      </c>
      <c r="B3801" t="s">
        <v>1802</v>
      </c>
      <c r="C3801">
        <v>10219.049999999999</v>
      </c>
      <c r="D3801" t="s">
        <v>1434</v>
      </c>
      <c r="E3801" t="s">
        <v>1432</v>
      </c>
      <c r="F3801" t="s">
        <v>1435</v>
      </c>
    </row>
    <row r="3802" spans="1:6">
      <c r="A3802">
        <v>122</v>
      </c>
      <c r="B3802" t="s">
        <v>1802</v>
      </c>
      <c r="C3802">
        <v>71400</v>
      </c>
      <c r="D3802" t="s">
        <v>1579</v>
      </c>
      <c r="E3802" t="s">
        <v>1577</v>
      </c>
      <c r="F3802" t="s">
        <v>1580</v>
      </c>
    </row>
    <row r="3803" spans="1:6">
      <c r="A3803">
        <v>122</v>
      </c>
      <c r="B3803" t="s">
        <v>1802</v>
      </c>
      <c r="C3803">
        <v>1283</v>
      </c>
      <c r="D3803" t="s">
        <v>1442</v>
      </c>
      <c r="E3803" t="s">
        <v>1582</v>
      </c>
      <c r="F3803" t="s">
        <v>1443</v>
      </c>
    </row>
    <row r="3804" spans="1:6">
      <c r="A3804">
        <v>122</v>
      </c>
      <c r="B3804" t="s">
        <v>1802</v>
      </c>
      <c r="C3804">
        <v>29207</v>
      </c>
      <c r="D3804" t="s">
        <v>1584</v>
      </c>
      <c r="E3804" t="s">
        <v>1585</v>
      </c>
      <c r="F3804" t="s">
        <v>1586</v>
      </c>
    </row>
    <row r="3805" spans="1:6">
      <c r="A3805">
        <v>122</v>
      </c>
      <c r="B3805" t="s">
        <v>1802</v>
      </c>
      <c r="C3805">
        <v>4200</v>
      </c>
      <c r="D3805" t="s">
        <v>1589</v>
      </c>
      <c r="E3805" t="s">
        <v>1590</v>
      </c>
      <c r="F3805" t="s">
        <v>1591</v>
      </c>
    </row>
    <row r="3806" spans="1:6">
      <c r="A3806">
        <v>122</v>
      </c>
      <c r="B3806" t="s">
        <v>1802</v>
      </c>
      <c r="C3806">
        <v>551</v>
      </c>
      <c r="D3806" t="s">
        <v>1594</v>
      </c>
      <c r="E3806" t="s">
        <v>1595</v>
      </c>
      <c r="F3806" t="s">
        <v>1596</v>
      </c>
    </row>
    <row r="3807" spans="1:6">
      <c r="A3807">
        <v>122</v>
      </c>
      <c r="B3807" t="s">
        <v>1802</v>
      </c>
      <c r="C3807">
        <v>6879.68</v>
      </c>
      <c r="D3807" t="s">
        <v>1475</v>
      </c>
      <c r="E3807" t="s">
        <v>1476</v>
      </c>
      <c r="F3807" t="s">
        <v>1477</v>
      </c>
    </row>
    <row r="3808" spans="1:6">
      <c r="A3808">
        <v>122</v>
      </c>
      <c r="B3808" t="s">
        <v>1802</v>
      </c>
      <c r="C3808">
        <v>99800.76</v>
      </c>
      <c r="D3808" t="s">
        <v>1365</v>
      </c>
      <c r="E3808" t="s">
        <v>1366</v>
      </c>
      <c r="F3808" t="s">
        <v>1367</v>
      </c>
    </row>
    <row r="3809" spans="1:6">
      <c r="A3809">
        <v>123</v>
      </c>
      <c r="B3809" t="s">
        <v>1803</v>
      </c>
      <c r="C3809">
        <v>586</v>
      </c>
      <c r="D3809" t="s">
        <v>1486</v>
      </c>
      <c r="E3809" t="s">
        <v>1487</v>
      </c>
      <c r="F3809" t="s">
        <v>1488</v>
      </c>
    </row>
    <row r="3810" spans="1:6">
      <c r="A3810">
        <v>123</v>
      </c>
      <c r="B3810" t="s">
        <v>1803</v>
      </c>
      <c r="C3810">
        <v>569</v>
      </c>
      <c r="D3810" t="s">
        <v>1489</v>
      </c>
      <c r="E3810" t="s">
        <v>1490</v>
      </c>
      <c r="F3810" t="s">
        <v>1491</v>
      </c>
    </row>
    <row r="3811" spans="1:6">
      <c r="A3811">
        <v>123</v>
      </c>
      <c r="B3811" t="s">
        <v>1803</v>
      </c>
      <c r="C3811">
        <v>42331</v>
      </c>
      <c r="D3811" t="s">
        <v>1567</v>
      </c>
      <c r="E3811" t="s">
        <v>1568</v>
      </c>
      <c r="F3811" t="s">
        <v>1569</v>
      </c>
    </row>
    <row r="3812" spans="1:6">
      <c r="A3812">
        <v>123</v>
      </c>
      <c r="B3812" t="s">
        <v>1803</v>
      </c>
      <c r="C3812">
        <v>1286268</v>
      </c>
      <c r="D3812" t="s">
        <v>1570</v>
      </c>
      <c r="E3812" t="s">
        <v>1571</v>
      </c>
      <c r="F3812" t="s">
        <v>1572</v>
      </c>
    </row>
    <row r="3813" spans="1:6">
      <c r="A3813">
        <v>123</v>
      </c>
      <c r="B3813" t="s">
        <v>1803</v>
      </c>
      <c r="C3813">
        <v>25632</v>
      </c>
      <c r="D3813" t="s">
        <v>1573</v>
      </c>
      <c r="E3813" t="s">
        <v>1574</v>
      </c>
      <c r="F3813" t="s">
        <v>1575</v>
      </c>
    </row>
    <row r="3814" spans="1:6">
      <c r="A3814">
        <v>123</v>
      </c>
      <c r="B3814" t="s">
        <v>1803</v>
      </c>
      <c r="C3814">
        <v>22146</v>
      </c>
      <c r="D3814" t="s">
        <v>1371</v>
      </c>
      <c r="E3814" t="s">
        <v>1372</v>
      </c>
      <c r="F3814" t="s">
        <v>1373</v>
      </c>
    </row>
    <row r="3815" spans="1:6">
      <c r="A3815">
        <v>123</v>
      </c>
      <c r="B3815" t="s">
        <v>1803</v>
      </c>
      <c r="C3815">
        <v>2457.7399999999998</v>
      </c>
      <c r="D3815" t="s">
        <v>1431</v>
      </c>
      <c r="E3815" t="s">
        <v>1432</v>
      </c>
      <c r="F3815" t="s">
        <v>1433</v>
      </c>
    </row>
    <row r="3816" spans="1:6">
      <c r="A3816">
        <v>123</v>
      </c>
      <c r="B3816" t="s">
        <v>1803</v>
      </c>
      <c r="C3816">
        <v>7548.19</v>
      </c>
      <c r="D3816" t="s">
        <v>1434</v>
      </c>
      <c r="E3816" t="s">
        <v>1432</v>
      </c>
      <c r="F3816" t="s">
        <v>1435</v>
      </c>
    </row>
    <row r="3817" spans="1:6">
      <c r="A3817">
        <v>123</v>
      </c>
      <c r="B3817" t="s">
        <v>1803</v>
      </c>
      <c r="C3817">
        <v>3287</v>
      </c>
      <c r="D3817" t="s">
        <v>1587</v>
      </c>
      <c r="E3817" t="s">
        <v>1585</v>
      </c>
      <c r="F3817" t="s">
        <v>1588</v>
      </c>
    </row>
    <row r="3818" spans="1:6">
      <c r="A3818">
        <v>123</v>
      </c>
      <c r="B3818" t="s">
        <v>1803</v>
      </c>
      <c r="C3818">
        <v>465</v>
      </c>
      <c r="D3818" t="s">
        <v>1592</v>
      </c>
      <c r="E3818" t="s">
        <v>1590</v>
      </c>
      <c r="F3818" t="s">
        <v>1593</v>
      </c>
    </row>
    <row r="3819" spans="1:6">
      <c r="A3819">
        <v>123</v>
      </c>
      <c r="B3819" t="s">
        <v>1803</v>
      </c>
      <c r="C3819">
        <v>287</v>
      </c>
      <c r="D3819" t="s">
        <v>1597</v>
      </c>
      <c r="E3819" t="s">
        <v>1595</v>
      </c>
      <c r="F3819" t="s">
        <v>1598</v>
      </c>
    </row>
    <row r="3820" spans="1:6">
      <c r="A3820">
        <v>123</v>
      </c>
      <c r="B3820" t="s">
        <v>1803</v>
      </c>
      <c r="C3820">
        <v>23373.84</v>
      </c>
      <c r="D3820" t="s">
        <v>1475</v>
      </c>
      <c r="E3820" t="s">
        <v>1476</v>
      </c>
      <c r="F3820" t="s">
        <v>1477</v>
      </c>
    </row>
    <row r="3821" spans="1:6">
      <c r="A3821">
        <v>123</v>
      </c>
      <c r="B3821" t="s">
        <v>1803</v>
      </c>
      <c r="C3821">
        <v>70496.91</v>
      </c>
      <c r="D3821" t="s">
        <v>1365</v>
      </c>
      <c r="E3821" t="s">
        <v>1366</v>
      </c>
      <c r="F3821" t="s">
        <v>1367</v>
      </c>
    </row>
    <row r="3822" spans="1:6">
      <c r="A3822">
        <v>124</v>
      </c>
      <c r="B3822" t="s">
        <v>1804</v>
      </c>
      <c r="C3822">
        <v>12831</v>
      </c>
      <c r="D3822" t="s">
        <v>1489</v>
      </c>
      <c r="E3822" t="s">
        <v>1490</v>
      </c>
      <c r="F3822" t="s">
        <v>1491</v>
      </c>
    </row>
    <row r="3823" spans="1:6">
      <c r="A3823">
        <v>124</v>
      </c>
      <c r="B3823" t="s">
        <v>1804</v>
      </c>
      <c r="C3823">
        <v>219398</v>
      </c>
      <c r="D3823" t="s">
        <v>1567</v>
      </c>
      <c r="E3823" t="s">
        <v>1568</v>
      </c>
      <c r="F3823" t="s">
        <v>1569</v>
      </c>
    </row>
    <row r="3824" spans="1:6">
      <c r="A3824">
        <v>124</v>
      </c>
      <c r="B3824" t="s">
        <v>1804</v>
      </c>
      <c r="C3824">
        <v>8450440</v>
      </c>
      <c r="D3824" t="s">
        <v>1570</v>
      </c>
      <c r="E3824" t="s">
        <v>1571</v>
      </c>
      <c r="F3824" t="s">
        <v>1572</v>
      </c>
    </row>
    <row r="3825" spans="1:6">
      <c r="A3825">
        <v>124</v>
      </c>
      <c r="B3825" t="s">
        <v>1804</v>
      </c>
      <c r="C3825">
        <v>3000</v>
      </c>
      <c r="D3825" t="s">
        <v>1515</v>
      </c>
      <c r="E3825" t="s">
        <v>1516</v>
      </c>
      <c r="F3825" t="s">
        <v>1517</v>
      </c>
    </row>
    <row r="3826" spans="1:6">
      <c r="A3826">
        <v>124</v>
      </c>
      <c r="B3826" t="s">
        <v>1804</v>
      </c>
      <c r="C3826">
        <v>378</v>
      </c>
      <c r="D3826" t="s">
        <v>1518</v>
      </c>
      <c r="E3826" t="s">
        <v>1516</v>
      </c>
      <c r="F3826" t="s">
        <v>1519</v>
      </c>
    </row>
    <row r="3827" spans="1:6">
      <c r="A3827">
        <v>124</v>
      </c>
      <c r="B3827" t="s">
        <v>1804</v>
      </c>
      <c r="C3827">
        <v>18465</v>
      </c>
      <c r="D3827" t="s">
        <v>1520</v>
      </c>
      <c r="E3827" t="s">
        <v>1521</v>
      </c>
      <c r="F3827" t="s">
        <v>1522</v>
      </c>
    </row>
    <row r="3828" spans="1:6">
      <c r="A3828">
        <v>124</v>
      </c>
      <c r="B3828" t="s">
        <v>1804</v>
      </c>
      <c r="C3828">
        <v>233872</v>
      </c>
      <c r="D3828" t="s">
        <v>1573</v>
      </c>
      <c r="E3828" t="s">
        <v>1574</v>
      </c>
      <c r="F3828" t="s">
        <v>1575</v>
      </c>
    </row>
    <row r="3829" spans="1:6">
      <c r="A3829">
        <v>124</v>
      </c>
      <c r="B3829" t="s">
        <v>1804</v>
      </c>
      <c r="C3829">
        <v>11700</v>
      </c>
      <c r="D3829" t="s">
        <v>1387</v>
      </c>
      <c r="E3829" t="s">
        <v>1388</v>
      </c>
      <c r="F3829" t="s">
        <v>1389</v>
      </c>
    </row>
    <row r="3830" spans="1:6">
      <c r="A3830">
        <v>124</v>
      </c>
      <c r="B3830" t="s">
        <v>1804</v>
      </c>
      <c r="C3830">
        <v>67700</v>
      </c>
      <c r="D3830" t="s">
        <v>1390</v>
      </c>
      <c r="E3830" t="s">
        <v>1391</v>
      </c>
      <c r="F3830" t="s">
        <v>1392</v>
      </c>
    </row>
    <row r="3831" spans="1:6">
      <c r="A3831">
        <v>124</v>
      </c>
      <c r="B3831" t="s">
        <v>1804</v>
      </c>
      <c r="C3831">
        <v>886.07</v>
      </c>
      <c r="D3831" t="s">
        <v>1374</v>
      </c>
      <c r="E3831" t="s">
        <v>1375</v>
      </c>
      <c r="F3831" t="s">
        <v>1376</v>
      </c>
    </row>
    <row r="3832" spans="1:6">
      <c r="A3832">
        <v>124</v>
      </c>
      <c r="B3832" t="s">
        <v>1804</v>
      </c>
      <c r="C3832">
        <v>1928.46</v>
      </c>
      <c r="D3832" t="s">
        <v>1377</v>
      </c>
      <c r="E3832" t="s">
        <v>1375</v>
      </c>
      <c r="F3832" t="s">
        <v>1378</v>
      </c>
    </row>
    <row r="3833" spans="1:6">
      <c r="A3833">
        <v>124</v>
      </c>
      <c r="B3833" t="s">
        <v>1804</v>
      </c>
      <c r="C3833">
        <v>6456.75</v>
      </c>
      <c r="D3833" t="s">
        <v>1537</v>
      </c>
      <c r="E3833" t="s">
        <v>1538</v>
      </c>
      <c r="F3833" t="s">
        <v>1539</v>
      </c>
    </row>
    <row r="3834" spans="1:6">
      <c r="A3834">
        <v>124</v>
      </c>
      <c r="B3834" t="s">
        <v>1804</v>
      </c>
      <c r="C3834">
        <v>13631.25</v>
      </c>
      <c r="D3834" t="s">
        <v>1540</v>
      </c>
      <c r="E3834" t="s">
        <v>1538</v>
      </c>
      <c r="F3834" t="s">
        <v>1541</v>
      </c>
    </row>
    <row r="3835" spans="1:6">
      <c r="A3835">
        <v>124</v>
      </c>
      <c r="B3835" t="s">
        <v>1804</v>
      </c>
      <c r="C3835">
        <v>60802.32</v>
      </c>
      <c r="D3835" t="s">
        <v>1431</v>
      </c>
      <c r="E3835" t="s">
        <v>1432</v>
      </c>
      <c r="F3835" t="s">
        <v>1433</v>
      </c>
    </row>
    <row r="3836" spans="1:6">
      <c r="A3836">
        <v>124</v>
      </c>
      <c r="B3836" t="s">
        <v>1804</v>
      </c>
      <c r="C3836">
        <v>127765.02</v>
      </c>
      <c r="D3836" t="s">
        <v>1434</v>
      </c>
      <c r="E3836" t="s">
        <v>1432</v>
      </c>
      <c r="F3836" t="s">
        <v>1435</v>
      </c>
    </row>
    <row r="3837" spans="1:6">
      <c r="A3837">
        <v>124</v>
      </c>
      <c r="B3837" t="s">
        <v>1804</v>
      </c>
      <c r="C3837">
        <v>48387</v>
      </c>
      <c r="D3837" t="s">
        <v>1576</v>
      </c>
      <c r="E3837" t="s">
        <v>1577</v>
      </c>
      <c r="F3837" t="s">
        <v>1578</v>
      </c>
    </row>
    <row r="3838" spans="1:6">
      <c r="A3838">
        <v>124</v>
      </c>
      <c r="B3838" t="s">
        <v>1804</v>
      </c>
      <c r="C3838">
        <v>126746</v>
      </c>
      <c r="D3838" t="s">
        <v>1579</v>
      </c>
      <c r="E3838" t="s">
        <v>1577</v>
      </c>
      <c r="F3838" t="s">
        <v>1580</v>
      </c>
    </row>
    <row r="3839" spans="1:6">
      <c r="A3839">
        <v>124</v>
      </c>
      <c r="B3839" t="s">
        <v>1804</v>
      </c>
      <c r="C3839">
        <v>18430</v>
      </c>
      <c r="D3839" t="s">
        <v>1436</v>
      </c>
      <c r="E3839" t="s">
        <v>1437</v>
      </c>
      <c r="F3839" t="s">
        <v>1438</v>
      </c>
    </row>
    <row r="3840" spans="1:6">
      <c r="A3840">
        <v>124</v>
      </c>
      <c r="B3840" t="s">
        <v>1804</v>
      </c>
      <c r="C3840">
        <v>2917</v>
      </c>
      <c r="D3840" t="s">
        <v>1442</v>
      </c>
      <c r="E3840" t="s">
        <v>1582</v>
      </c>
      <c r="F3840" t="s">
        <v>1443</v>
      </c>
    </row>
    <row r="3841" spans="1:6">
      <c r="A3841">
        <v>124</v>
      </c>
      <c r="B3841" t="s">
        <v>1804</v>
      </c>
      <c r="C3841">
        <v>43359</v>
      </c>
      <c r="D3841" t="s">
        <v>1584</v>
      </c>
      <c r="E3841" t="s">
        <v>1585</v>
      </c>
      <c r="F3841" t="s">
        <v>1586</v>
      </c>
    </row>
    <row r="3842" spans="1:6">
      <c r="A3842">
        <v>124</v>
      </c>
      <c r="B3842" t="s">
        <v>1804</v>
      </c>
      <c r="C3842">
        <v>6382</v>
      </c>
      <c r="D3842" t="s">
        <v>1587</v>
      </c>
      <c r="E3842" t="s">
        <v>1585</v>
      </c>
      <c r="F3842" t="s">
        <v>1588</v>
      </c>
    </row>
    <row r="3843" spans="1:6">
      <c r="A3843">
        <v>124</v>
      </c>
      <c r="B3843" t="s">
        <v>1804</v>
      </c>
      <c r="C3843">
        <v>4123</v>
      </c>
      <c r="D3843" t="s">
        <v>1589</v>
      </c>
      <c r="E3843" t="s">
        <v>1590</v>
      </c>
      <c r="F3843" t="s">
        <v>1591</v>
      </c>
    </row>
    <row r="3844" spans="1:6">
      <c r="A3844">
        <v>124</v>
      </c>
      <c r="B3844" t="s">
        <v>1804</v>
      </c>
      <c r="C3844">
        <v>3500</v>
      </c>
      <c r="D3844" t="s">
        <v>1592</v>
      </c>
      <c r="E3844" t="s">
        <v>1590</v>
      </c>
      <c r="F3844" t="s">
        <v>1593</v>
      </c>
    </row>
    <row r="3845" spans="1:6">
      <c r="A3845">
        <v>124</v>
      </c>
      <c r="B3845" t="s">
        <v>1804</v>
      </c>
      <c r="C3845">
        <v>1578</v>
      </c>
      <c r="D3845" t="s">
        <v>1594</v>
      </c>
      <c r="E3845" t="s">
        <v>1595</v>
      </c>
      <c r="F3845" t="s">
        <v>1596</v>
      </c>
    </row>
    <row r="3846" spans="1:6">
      <c r="A3846">
        <v>124</v>
      </c>
      <c r="B3846" t="s">
        <v>1804</v>
      </c>
      <c r="C3846">
        <v>111600</v>
      </c>
      <c r="D3846" t="s">
        <v>1599</v>
      </c>
      <c r="E3846" t="s">
        <v>1600</v>
      </c>
      <c r="F3846" t="s">
        <v>1601</v>
      </c>
    </row>
    <row r="3847" spans="1:6">
      <c r="A3847">
        <v>124</v>
      </c>
      <c r="B3847" t="s">
        <v>1804</v>
      </c>
      <c r="C3847">
        <v>363331</v>
      </c>
      <c r="D3847" t="s">
        <v>1602</v>
      </c>
      <c r="E3847" t="s">
        <v>1600</v>
      </c>
      <c r="F3847" t="s">
        <v>1603</v>
      </c>
    </row>
    <row r="3848" spans="1:6">
      <c r="A3848">
        <v>124</v>
      </c>
      <c r="B3848" t="s">
        <v>1804</v>
      </c>
      <c r="C3848">
        <v>2614</v>
      </c>
      <c r="D3848" t="s">
        <v>1459</v>
      </c>
      <c r="E3848" t="s">
        <v>1605</v>
      </c>
      <c r="F3848" t="s">
        <v>1460</v>
      </c>
    </row>
    <row r="3849" spans="1:6">
      <c r="A3849">
        <v>124</v>
      </c>
      <c r="B3849" t="s">
        <v>1804</v>
      </c>
      <c r="C3849">
        <v>20924</v>
      </c>
      <c r="D3849" t="s">
        <v>1604</v>
      </c>
      <c r="E3849" t="s">
        <v>1605</v>
      </c>
      <c r="F3849" t="s">
        <v>1606</v>
      </c>
    </row>
    <row r="3850" spans="1:6">
      <c r="A3850">
        <v>124</v>
      </c>
      <c r="B3850" t="s">
        <v>1804</v>
      </c>
      <c r="C3850">
        <v>6867.27</v>
      </c>
      <c r="D3850" t="s">
        <v>1379</v>
      </c>
      <c r="E3850" t="s">
        <v>1380</v>
      </c>
      <c r="F3850" t="s">
        <v>1381</v>
      </c>
    </row>
    <row r="3851" spans="1:6">
      <c r="A3851">
        <v>124</v>
      </c>
      <c r="B3851" t="s">
        <v>1804</v>
      </c>
      <c r="C3851">
        <v>668.99</v>
      </c>
      <c r="D3851" t="s">
        <v>1475</v>
      </c>
      <c r="E3851" t="s">
        <v>1476</v>
      </c>
      <c r="F3851" t="s">
        <v>1477</v>
      </c>
    </row>
    <row r="3852" spans="1:6">
      <c r="A3852">
        <v>124</v>
      </c>
      <c r="B3852" t="s">
        <v>1804</v>
      </c>
      <c r="C3852">
        <v>246170.73</v>
      </c>
      <c r="D3852" t="s">
        <v>1365</v>
      </c>
      <c r="E3852" t="s">
        <v>1366</v>
      </c>
      <c r="F3852" t="s">
        <v>1367</v>
      </c>
    </row>
    <row r="3853" spans="1:6">
      <c r="A3853">
        <v>124</v>
      </c>
      <c r="B3853" t="s">
        <v>1804</v>
      </c>
      <c r="C3853">
        <v>530299</v>
      </c>
      <c r="D3853" t="s">
        <v>1607</v>
      </c>
      <c r="E3853" t="s">
        <v>1608</v>
      </c>
      <c r="F3853" t="s">
        <v>1609</v>
      </c>
    </row>
    <row r="3854" spans="1:6">
      <c r="A3854">
        <v>125</v>
      </c>
      <c r="B3854" t="s">
        <v>1805</v>
      </c>
      <c r="C3854">
        <v>943</v>
      </c>
      <c r="D3854" t="s">
        <v>1489</v>
      </c>
      <c r="E3854" t="s">
        <v>1490</v>
      </c>
      <c r="F3854" t="s">
        <v>1491</v>
      </c>
    </row>
    <row r="3855" spans="1:6">
      <c r="A3855">
        <v>125</v>
      </c>
      <c r="B3855" t="s">
        <v>1805</v>
      </c>
      <c r="C3855">
        <v>722</v>
      </c>
      <c r="D3855" t="s">
        <v>1567</v>
      </c>
      <c r="E3855" t="s">
        <v>1568</v>
      </c>
      <c r="F3855" t="s">
        <v>1569</v>
      </c>
    </row>
    <row r="3856" spans="1:6">
      <c r="A3856">
        <v>125</v>
      </c>
      <c r="B3856" t="s">
        <v>1805</v>
      </c>
      <c r="C3856">
        <v>106201</v>
      </c>
      <c r="D3856" t="s">
        <v>1570</v>
      </c>
      <c r="E3856" t="s">
        <v>1571</v>
      </c>
      <c r="F3856" t="s">
        <v>1572</v>
      </c>
    </row>
    <row r="3857" spans="1:6">
      <c r="A3857">
        <v>125</v>
      </c>
      <c r="B3857" t="s">
        <v>1805</v>
      </c>
      <c r="C3857">
        <v>1257</v>
      </c>
      <c r="D3857" t="s">
        <v>1371</v>
      </c>
      <c r="E3857" t="s">
        <v>1372</v>
      </c>
      <c r="F3857" t="s">
        <v>1373</v>
      </c>
    </row>
    <row r="3858" spans="1:6">
      <c r="A3858">
        <v>125</v>
      </c>
      <c r="B3858" t="s">
        <v>1805</v>
      </c>
      <c r="C3858">
        <v>10.18</v>
      </c>
      <c r="D3858" t="s">
        <v>1374</v>
      </c>
      <c r="E3858" t="s">
        <v>1375</v>
      </c>
      <c r="F3858" t="s">
        <v>1376</v>
      </c>
    </row>
    <row r="3859" spans="1:6">
      <c r="A3859">
        <v>125</v>
      </c>
      <c r="B3859" t="s">
        <v>1805</v>
      </c>
      <c r="C3859">
        <v>3780.54</v>
      </c>
      <c r="D3859" t="s">
        <v>1431</v>
      </c>
      <c r="E3859" t="s">
        <v>1432</v>
      </c>
      <c r="F3859" t="s">
        <v>1433</v>
      </c>
    </row>
    <row r="3860" spans="1:6">
      <c r="A3860">
        <v>125</v>
      </c>
      <c r="B3860" t="s">
        <v>1805</v>
      </c>
      <c r="C3860">
        <v>9449.76</v>
      </c>
      <c r="D3860" t="s">
        <v>1434</v>
      </c>
      <c r="E3860" t="s">
        <v>1432</v>
      </c>
      <c r="F3860" t="s">
        <v>1435</v>
      </c>
    </row>
    <row r="3861" spans="1:6">
      <c r="A3861">
        <v>125</v>
      </c>
      <c r="B3861" t="s">
        <v>1805</v>
      </c>
      <c r="C3861">
        <v>35305</v>
      </c>
      <c r="D3861" t="s">
        <v>1579</v>
      </c>
      <c r="E3861" t="s">
        <v>1577</v>
      </c>
      <c r="F3861" t="s">
        <v>1580</v>
      </c>
    </row>
    <row r="3862" spans="1:6">
      <c r="A3862">
        <v>125</v>
      </c>
      <c r="B3862" t="s">
        <v>1805</v>
      </c>
      <c r="C3862">
        <v>682</v>
      </c>
      <c r="D3862" t="s">
        <v>1442</v>
      </c>
      <c r="E3862" t="s">
        <v>1582</v>
      </c>
      <c r="F3862" t="s">
        <v>1443</v>
      </c>
    </row>
    <row r="3863" spans="1:6">
      <c r="A3863">
        <v>125</v>
      </c>
      <c r="B3863" t="s">
        <v>1805</v>
      </c>
      <c r="C3863">
        <v>10981</v>
      </c>
      <c r="D3863" t="s">
        <v>1584</v>
      </c>
      <c r="E3863" t="s">
        <v>1585</v>
      </c>
      <c r="F3863" t="s">
        <v>1586</v>
      </c>
    </row>
    <row r="3864" spans="1:6">
      <c r="A3864">
        <v>125</v>
      </c>
      <c r="B3864" t="s">
        <v>1805</v>
      </c>
      <c r="C3864">
        <v>1244</v>
      </c>
      <c r="D3864" t="s">
        <v>1589</v>
      </c>
      <c r="E3864" t="s">
        <v>1590</v>
      </c>
      <c r="F3864" t="s">
        <v>1591</v>
      </c>
    </row>
    <row r="3865" spans="1:6">
      <c r="A3865">
        <v>125</v>
      </c>
      <c r="B3865" t="s">
        <v>1805</v>
      </c>
      <c r="C3865">
        <v>302</v>
      </c>
      <c r="D3865" t="s">
        <v>1594</v>
      </c>
      <c r="E3865" t="s">
        <v>1595</v>
      </c>
      <c r="F3865" t="s">
        <v>1596</v>
      </c>
    </row>
    <row r="3866" spans="1:6">
      <c r="A3866">
        <v>125</v>
      </c>
      <c r="B3866" t="s">
        <v>1805</v>
      </c>
      <c r="C3866">
        <v>1425.18</v>
      </c>
      <c r="D3866" t="s">
        <v>1379</v>
      </c>
      <c r="E3866" t="s">
        <v>1380</v>
      </c>
      <c r="F3866" t="s">
        <v>1381</v>
      </c>
    </row>
    <row r="3867" spans="1:6">
      <c r="A3867">
        <v>125</v>
      </c>
      <c r="B3867" t="s">
        <v>1805</v>
      </c>
      <c r="C3867">
        <v>1425.18</v>
      </c>
      <c r="D3867" t="s">
        <v>1475</v>
      </c>
      <c r="E3867" t="s">
        <v>1476</v>
      </c>
      <c r="F3867" t="s">
        <v>1477</v>
      </c>
    </row>
    <row r="3868" spans="1:6">
      <c r="A3868">
        <v>125</v>
      </c>
      <c r="B3868" t="s">
        <v>1805</v>
      </c>
      <c r="C3868">
        <v>46410.78</v>
      </c>
      <c r="D3868" t="s">
        <v>1365</v>
      </c>
      <c r="E3868" t="s">
        <v>1366</v>
      </c>
      <c r="F3868" t="s">
        <v>1367</v>
      </c>
    </row>
    <row r="3869" spans="1:6">
      <c r="A3869">
        <v>126</v>
      </c>
      <c r="B3869" t="s">
        <v>1806</v>
      </c>
      <c r="C3869">
        <v>22230</v>
      </c>
      <c r="D3869" t="s">
        <v>1489</v>
      </c>
      <c r="E3869" t="s">
        <v>1490</v>
      </c>
      <c r="F3869" t="s">
        <v>1491</v>
      </c>
    </row>
    <row r="3870" spans="1:6">
      <c r="A3870">
        <v>126</v>
      </c>
      <c r="B3870" t="s">
        <v>1806</v>
      </c>
      <c r="C3870">
        <v>199408</v>
      </c>
      <c r="D3870" t="s">
        <v>1567</v>
      </c>
      <c r="E3870" t="s">
        <v>1568</v>
      </c>
      <c r="F3870" t="s">
        <v>1569</v>
      </c>
    </row>
    <row r="3871" spans="1:6">
      <c r="A3871">
        <v>126</v>
      </c>
      <c r="B3871" t="s">
        <v>1806</v>
      </c>
      <c r="C3871">
        <v>30172</v>
      </c>
      <c r="D3871" t="s">
        <v>1496</v>
      </c>
      <c r="E3871" t="s">
        <v>1497</v>
      </c>
      <c r="F3871" t="s">
        <v>1498</v>
      </c>
    </row>
    <row r="3872" spans="1:6">
      <c r="A3872">
        <v>126</v>
      </c>
      <c r="B3872" t="s">
        <v>1806</v>
      </c>
      <c r="C3872">
        <v>4331650</v>
      </c>
      <c r="D3872" t="s">
        <v>1570</v>
      </c>
      <c r="E3872" t="s">
        <v>1571</v>
      </c>
      <c r="F3872" t="s">
        <v>1572</v>
      </c>
    </row>
    <row r="3873" spans="1:6">
      <c r="A3873">
        <v>126</v>
      </c>
      <c r="B3873" t="s">
        <v>1806</v>
      </c>
      <c r="C3873">
        <v>3000</v>
      </c>
      <c r="D3873" t="s">
        <v>1515</v>
      </c>
      <c r="E3873" t="s">
        <v>1516</v>
      </c>
      <c r="F3873" t="s">
        <v>1517</v>
      </c>
    </row>
    <row r="3874" spans="1:6">
      <c r="A3874">
        <v>126</v>
      </c>
      <c r="B3874" t="s">
        <v>1806</v>
      </c>
      <c r="C3874">
        <v>566</v>
      </c>
      <c r="D3874" t="s">
        <v>1518</v>
      </c>
      <c r="E3874" t="s">
        <v>1516</v>
      </c>
      <c r="F3874" t="s">
        <v>1519</v>
      </c>
    </row>
    <row r="3875" spans="1:6">
      <c r="A3875">
        <v>126</v>
      </c>
      <c r="B3875" t="s">
        <v>1806</v>
      </c>
      <c r="C3875">
        <v>142770</v>
      </c>
      <c r="D3875" t="s">
        <v>1520</v>
      </c>
      <c r="E3875" t="s">
        <v>1521</v>
      </c>
      <c r="F3875" t="s">
        <v>1522</v>
      </c>
    </row>
    <row r="3876" spans="1:6">
      <c r="A3876">
        <v>126</v>
      </c>
      <c r="B3876" t="s">
        <v>1806</v>
      </c>
      <c r="C3876">
        <v>1110602</v>
      </c>
      <c r="D3876" t="s">
        <v>1573</v>
      </c>
      <c r="E3876" t="s">
        <v>1574</v>
      </c>
      <c r="F3876" t="s">
        <v>1575</v>
      </c>
    </row>
    <row r="3877" spans="1:6">
      <c r="A3877">
        <v>126</v>
      </c>
      <c r="B3877" t="s">
        <v>1806</v>
      </c>
      <c r="C3877">
        <v>68849</v>
      </c>
      <c r="D3877" t="s">
        <v>1523</v>
      </c>
      <c r="E3877" t="s">
        <v>1521</v>
      </c>
      <c r="F3877" t="s">
        <v>1524</v>
      </c>
    </row>
    <row r="3878" spans="1:6">
      <c r="A3878">
        <v>126</v>
      </c>
      <c r="B3878" t="s">
        <v>1806</v>
      </c>
      <c r="C3878">
        <v>20586</v>
      </c>
      <c r="D3878" t="s">
        <v>1525</v>
      </c>
      <c r="E3878" t="s">
        <v>1526</v>
      </c>
      <c r="F3878" t="s">
        <v>1527</v>
      </c>
    </row>
    <row r="3879" spans="1:6">
      <c r="A3879">
        <v>126</v>
      </c>
      <c r="B3879" t="s">
        <v>1806</v>
      </c>
      <c r="C3879">
        <v>22656</v>
      </c>
      <c r="D3879" t="s">
        <v>1528</v>
      </c>
      <c r="E3879" t="s">
        <v>1529</v>
      </c>
      <c r="F3879" t="s">
        <v>1530</v>
      </c>
    </row>
    <row r="3880" spans="1:6">
      <c r="A3880">
        <v>126</v>
      </c>
      <c r="B3880" t="s">
        <v>1806</v>
      </c>
      <c r="C3880">
        <v>100000</v>
      </c>
      <c r="D3880" t="s">
        <v>1204</v>
      </c>
      <c r="E3880" t="s">
        <v>1205</v>
      </c>
      <c r="F3880" t="s">
        <v>1206</v>
      </c>
    </row>
    <row r="3881" spans="1:6">
      <c r="A3881">
        <v>126</v>
      </c>
      <c r="B3881" t="s">
        <v>1806</v>
      </c>
      <c r="C3881">
        <v>7800</v>
      </c>
      <c r="D3881" t="s">
        <v>1387</v>
      </c>
      <c r="E3881" t="s">
        <v>1388</v>
      </c>
      <c r="F3881" t="s">
        <v>1389</v>
      </c>
    </row>
    <row r="3882" spans="1:6">
      <c r="A3882">
        <v>126</v>
      </c>
      <c r="B3882" t="s">
        <v>1806</v>
      </c>
      <c r="C3882">
        <v>1496.41</v>
      </c>
      <c r="D3882" t="s">
        <v>1374</v>
      </c>
      <c r="E3882" t="s">
        <v>1375</v>
      </c>
      <c r="F3882" t="s">
        <v>1376</v>
      </c>
    </row>
    <row r="3883" spans="1:6">
      <c r="A3883">
        <v>126</v>
      </c>
      <c r="B3883" t="s">
        <v>1806</v>
      </c>
      <c r="C3883">
        <v>3519.04</v>
      </c>
      <c r="D3883" t="s">
        <v>1377</v>
      </c>
      <c r="E3883" t="s">
        <v>1375</v>
      </c>
      <c r="F3883" t="s">
        <v>1378</v>
      </c>
    </row>
    <row r="3884" spans="1:6">
      <c r="A3884">
        <v>126</v>
      </c>
      <c r="B3884" t="s">
        <v>1806</v>
      </c>
      <c r="C3884">
        <v>6275.09</v>
      </c>
      <c r="D3884" t="s">
        <v>1537</v>
      </c>
      <c r="E3884" t="s">
        <v>1538</v>
      </c>
      <c r="F3884" t="s">
        <v>1539</v>
      </c>
    </row>
    <row r="3885" spans="1:6">
      <c r="A3885">
        <v>126</v>
      </c>
      <c r="B3885" t="s">
        <v>1806</v>
      </c>
      <c r="C3885">
        <v>13457.4</v>
      </c>
      <c r="D3885" t="s">
        <v>1540</v>
      </c>
      <c r="E3885" t="s">
        <v>1538</v>
      </c>
      <c r="F3885" t="s">
        <v>1541</v>
      </c>
    </row>
    <row r="3886" spans="1:6">
      <c r="A3886">
        <v>126</v>
      </c>
      <c r="B3886" t="s">
        <v>1806</v>
      </c>
      <c r="C3886">
        <v>86977.51</v>
      </c>
      <c r="D3886" t="s">
        <v>1431</v>
      </c>
      <c r="E3886" t="s">
        <v>1432</v>
      </c>
      <c r="F3886" t="s">
        <v>1433</v>
      </c>
    </row>
    <row r="3887" spans="1:6">
      <c r="A3887">
        <v>126</v>
      </c>
      <c r="B3887" t="s">
        <v>1806</v>
      </c>
      <c r="C3887">
        <v>202672.44</v>
      </c>
      <c r="D3887" t="s">
        <v>1434</v>
      </c>
      <c r="E3887" t="s">
        <v>1432</v>
      </c>
      <c r="F3887" t="s">
        <v>1435</v>
      </c>
    </row>
    <row r="3888" spans="1:6">
      <c r="A3888">
        <v>126</v>
      </c>
      <c r="B3888" t="s">
        <v>1806</v>
      </c>
      <c r="C3888">
        <v>199709</v>
      </c>
      <c r="D3888" t="s">
        <v>1576</v>
      </c>
      <c r="E3888" t="s">
        <v>1577</v>
      </c>
      <c r="F3888" t="s">
        <v>1578</v>
      </c>
    </row>
    <row r="3889" spans="1:6">
      <c r="A3889">
        <v>126</v>
      </c>
      <c r="B3889" t="s">
        <v>1806</v>
      </c>
      <c r="C3889">
        <v>269000</v>
      </c>
      <c r="D3889" t="s">
        <v>1579</v>
      </c>
      <c r="E3889" t="s">
        <v>1577</v>
      </c>
      <c r="F3889" t="s">
        <v>1580</v>
      </c>
    </row>
    <row r="3890" spans="1:6">
      <c r="A3890">
        <v>126</v>
      </c>
      <c r="B3890" t="s">
        <v>1806</v>
      </c>
      <c r="C3890">
        <v>2242</v>
      </c>
      <c r="D3890" t="s">
        <v>1293</v>
      </c>
      <c r="E3890" t="s">
        <v>1437</v>
      </c>
      <c r="F3890" t="s">
        <v>1283</v>
      </c>
    </row>
    <row r="3891" spans="1:6">
      <c r="A3891">
        <v>126</v>
      </c>
      <c r="B3891" t="s">
        <v>1806</v>
      </c>
      <c r="C3891">
        <v>38780</v>
      </c>
      <c r="D3891" t="s">
        <v>1436</v>
      </c>
      <c r="E3891" t="s">
        <v>1437</v>
      </c>
      <c r="F3891" t="s">
        <v>1438</v>
      </c>
    </row>
    <row r="3892" spans="1:6">
      <c r="A3892">
        <v>126</v>
      </c>
      <c r="B3892" t="s">
        <v>1806</v>
      </c>
      <c r="C3892">
        <v>463</v>
      </c>
      <c r="D3892" t="s">
        <v>1192</v>
      </c>
      <c r="E3892" t="s">
        <v>1582</v>
      </c>
      <c r="F3892" t="s">
        <v>1210</v>
      </c>
    </row>
    <row r="3893" spans="1:6">
      <c r="A3893">
        <v>126</v>
      </c>
      <c r="B3893" t="s">
        <v>1806</v>
      </c>
      <c r="C3893">
        <v>4097</v>
      </c>
      <c r="D3893" t="s">
        <v>1442</v>
      </c>
      <c r="E3893" t="s">
        <v>1582</v>
      </c>
      <c r="F3893" t="s">
        <v>1443</v>
      </c>
    </row>
    <row r="3894" spans="1:6">
      <c r="A3894">
        <v>126</v>
      </c>
      <c r="B3894" t="s">
        <v>1806</v>
      </c>
      <c r="C3894">
        <v>1228</v>
      </c>
      <c r="D3894" t="s">
        <v>1581</v>
      </c>
      <c r="E3894" t="s">
        <v>1582</v>
      </c>
      <c r="F3894" t="s">
        <v>1583</v>
      </c>
    </row>
    <row r="3895" spans="1:6">
      <c r="A3895">
        <v>126</v>
      </c>
      <c r="B3895" t="s">
        <v>1806</v>
      </c>
      <c r="C3895">
        <v>16288</v>
      </c>
      <c r="D3895" t="s">
        <v>1584</v>
      </c>
      <c r="E3895" t="s">
        <v>1585</v>
      </c>
      <c r="F3895" t="s">
        <v>1586</v>
      </c>
    </row>
    <row r="3896" spans="1:6">
      <c r="A3896">
        <v>126</v>
      </c>
      <c r="B3896" t="s">
        <v>1806</v>
      </c>
      <c r="C3896">
        <v>120800</v>
      </c>
      <c r="D3896" t="s">
        <v>1587</v>
      </c>
      <c r="E3896" t="s">
        <v>1585</v>
      </c>
      <c r="F3896" t="s">
        <v>1588</v>
      </c>
    </row>
    <row r="3897" spans="1:6">
      <c r="A3897">
        <v>126</v>
      </c>
      <c r="B3897" t="s">
        <v>1806</v>
      </c>
      <c r="C3897">
        <v>4244</v>
      </c>
      <c r="D3897" t="s">
        <v>1454</v>
      </c>
      <c r="E3897" t="s">
        <v>1455</v>
      </c>
      <c r="F3897" t="s">
        <v>1456</v>
      </c>
    </row>
    <row r="3898" spans="1:6">
      <c r="A3898">
        <v>126</v>
      </c>
      <c r="B3898" t="s">
        <v>1806</v>
      </c>
      <c r="C3898">
        <v>17162</v>
      </c>
      <c r="D3898" t="s">
        <v>1457</v>
      </c>
      <c r="E3898" t="s">
        <v>1455</v>
      </c>
      <c r="F3898" t="s">
        <v>1458</v>
      </c>
    </row>
    <row r="3899" spans="1:6">
      <c r="A3899">
        <v>126</v>
      </c>
      <c r="B3899" t="s">
        <v>1806</v>
      </c>
      <c r="C3899">
        <v>10514</v>
      </c>
      <c r="D3899" t="s">
        <v>1589</v>
      </c>
      <c r="E3899" t="s">
        <v>1590</v>
      </c>
      <c r="F3899" t="s">
        <v>1591</v>
      </c>
    </row>
    <row r="3900" spans="1:6">
      <c r="A3900">
        <v>126</v>
      </c>
      <c r="B3900" t="s">
        <v>1806</v>
      </c>
      <c r="C3900">
        <v>15156</v>
      </c>
      <c r="D3900" t="s">
        <v>1592</v>
      </c>
      <c r="E3900" t="s">
        <v>1590</v>
      </c>
      <c r="F3900" t="s">
        <v>1593</v>
      </c>
    </row>
    <row r="3901" spans="1:6">
      <c r="A3901">
        <v>126</v>
      </c>
      <c r="B3901" t="s">
        <v>1806</v>
      </c>
      <c r="C3901">
        <v>2530</v>
      </c>
      <c r="D3901" t="s">
        <v>1212</v>
      </c>
      <c r="E3901" t="s">
        <v>1595</v>
      </c>
      <c r="F3901" t="s">
        <v>1300</v>
      </c>
    </row>
    <row r="3902" spans="1:6">
      <c r="A3902">
        <v>126</v>
      </c>
      <c r="B3902" t="s">
        <v>1806</v>
      </c>
      <c r="C3902">
        <v>11295</v>
      </c>
      <c r="D3902" t="s">
        <v>1594</v>
      </c>
      <c r="E3902" t="s">
        <v>1595</v>
      </c>
      <c r="F3902" t="s">
        <v>1596</v>
      </c>
    </row>
    <row r="3903" spans="1:6">
      <c r="A3903">
        <v>126</v>
      </c>
      <c r="B3903" t="s">
        <v>1806</v>
      </c>
      <c r="C3903">
        <v>5533</v>
      </c>
      <c r="D3903" t="s">
        <v>1597</v>
      </c>
      <c r="E3903" t="s">
        <v>1595</v>
      </c>
      <c r="F3903" t="s">
        <v>1598</v>
      </c>
    </row>
    <row r="3904" spans="1:6">
      <c r="A3904">
        <v>126</v>
      </c>
      <c r="B3904" t="s">
        <v>1806</v>
      </c>
      <c r="C3904">
        <v>447097</v>
      </c>
      <c r="D3904" t="s">
        <v>1599</v>
      </c>
      <c r="E3904" t="s">
        <v>1600</v>
      </c>
      <c r="F3904" t="s">
        <v>1601</v>
      </c>
    </row>
    <row r="3905" spans="1:6">
      <c r="A3905">
        <v>126</v>
      </c>
      <c r="B3905" t="s">
        <v>1806</v>
      </c>
      <c r="C3905">
        <v>735000</v>
      </c>
      <c r="D3905" t="s">
        <v>1602</v>
      </c>
      <c r="E3905" t="s">
        <v>1600</v>
      </c>
      <c r="F3905" t="s">
        <v>1603</v>
      </c>
    </row>
    <row r="3906" spans="1:6">
      <c r="A3906">
        <v>126</v>
      </c>
      <c r="B3906" t="s">
        <v>1806</v>
      </c>
      <c r="C3906">
        <v>36060</v>
      </c>
      <c r="D3906" t="s">
        <v>1604</v>
      </c>
      <c r="E3906" t="s">
        <v>1605</v>
      </c>
      <c r="F3906" t="s">
        <v>1606</v>
      </c>
    </row>
    <row r="3907" spans="1:6">
      <c r="A3907">
        <v>126</v>
      </c>
      <c r="B3907" t="s">
        <v>1806</v>
      </c>
      <c r="C3907">
        <v>1970314</v>
      </c>
      <c r="D3907" t="s">
        <v>1610</v>
      </c>
      <c r="E3907" t="s">
        <v>1481</v>
      </c>
      <c r="F3907" t="s">
        <v>1482</v>
      </c>
    </row>
    <row r="3908" spans="1:6">
      <c r="A3908">
        <v>127</v>
      </c>
      <c r="B3908" t="s">
        <v>1807</v>
      </c>
      <c r="C3908">
        <v>8370</v>
      </c>
      <c r="D3908" t="s">
        <v>1567</v>
      </c>
      <c r="E3908" t="s">
        <v>1568</v>
      </c>
      <c r="F3908" t="s">
        <v>1569</v>
      </c>
    </row>
    <row r="3909" spans="1:6">
      <c r="A3909">
        <v>127</v>
      </c>
      <c r="B3909" t="s">
        <v>1807</v>
      </c>
      <c r="C3909">
        <v>167105</v>
      </c>
      <c r="D3909" t="s">
        <v>1570</v>
      </c>
      <c r="E3909" t="s">
        <v>1571</v>
      </c>
      <c r="F3909" t="s">
        <v>1572</v>
      </c>
    </row>
    <row r="3910" spans="1:6">
      <c r="A3910">
        <v>127</v>
      </c>
      <c r="B3910" t="s">
        <v>1807</v>
      </c>
      <c r="C3910">
        <v>108164</v>
      </c>
      <c r="D3910" t="s">
        <v>1573</v>
      </c>
      <c r="E3910" t="s">
        <v>1574</v>
      </c>
      <c r="F3910" t="s">
        <v>1575</v>
      </c>
    </row>
    <row r="3911" spans="1:6">
      <c r="A3911">
        <v>127</v>
      </c>
      <c r="B3911" t="s">
        <v>1807</v>
      </c>
      <c r="C3911">
        <v>1343</v>
      </c>
      <c r="D3911" t="s">
        <v>1371</v>
      </c>
      <c r="E3911" t="s">
        <v>1372</v>
      </c>
      <c r="F3911" t="s">
        <v>1373</v>
      </c>
    </row>
    <row r="3912" spans="1:6">
      <c r="A3912">
        <v>127</v>
      </c>
      <c r="B3912" t="s">
        <v>1807</v>
      </c>
      <c r="C3912">
        <v>5233</v>
      </c>
      <c r="D3912" t="s">
        <v>1576</v>
      </c>
      <c r="E3912" t="s">
        <v>1577</v>
      </c>
      <c r="F3912" t="s">
        <v>1578</v>
      </c>
    </row>
    <row r="3913" spans="1:6">
      <c r="A3913">
        <v>127</v>
      </c>
      <c r="B3913" t="s">
        <v>1807</v>
      </c>
      <c r="C3913">
        <v>14963</v>
      </c>
      <c r="D3913" t="s">
        <v>1579</v>
      </c>
      <c r="E3913" t="s">
        <v>1577</v>
      </c>
      <c r="F3913" t="s">
        <v>1580</v>
      </c>
    </row>
    <row r="3914" spans="1:6">
      <c r="A3914">
        <v>127</v>
      </c>
      <c r="B3914" t="s">
        <v>1807</v>
      </c>
      <c r="C3914">
        <v>115</v>
      </c>
      <c r="D3914" t="s">
        <v>1581</v>
      </c>
      <c r="E3914" t="s">
        <v>1582</v>
      </c>
      <c r="F3914" t="s">
        <v>1583</v>
      </c>
    </row>
    <row r="3915" spans="1:6">
      <c r="A3915">
        <v>127</v>
      </c>
      <c r="B3915" t="s">
        <v>1807</v>
      </c>
      <c r="C3915">
        <v>2524</v>
      </c>
      <c r="D3915" t="s">
        <v>1584</v>
      </c>
      <c r="E3915" t="s">
        <v>1585</v>
      </c>
      <c r="F3915" t="s">
        <v>1586</v>
      </c>
    </row>
    <row r="3916" spans="1:6">
      <c r="A3916">
        <v>127</v>
      </c>
      <c r="B3916" t="s">
        <v>1807</v>
      </c>
      <c r="C3916">
        <v>8406</v>
      </c>
      <c r="D3916" t="s">
        <v>1587</v>
      </c>
      <c r="E3916" t="s">
        <v>1585</v>
      </c>
      <c r="F3916" t="s">
        <v>1588</v>
      </c>
    </row>
    <row r="3917" spans="1:6">
      <c r="A3917">
        <v>127</v>
      </c>
      <c r="B3917" t="s">
        <v>1807</v>
      </c>
      <c r="C3917">
        <v>314</v>
      </c>
      <c r="D3917" t="s">
        <v>1597</v>
      </c>
      <c r="E3917" t="s">
        <v>1595</v>
      </c>
      <c r="F3917" t="s">
        <v>1598</v>
      </c>
    </row>
    <row r="3918" spans="1:6">
      <c r="A3918">
        <v>127</v>
      </c>
      <c r="B3918" t="s">
        <v>1807</v>
      </c>
      <c r="C3918">
        <v>44078</v>
      </c>
      <c r="D3918" t="s">
        <v>1602</v>
      </c>
      <c r="E3918" t="s">
        <v>1600</v>
      </c>
      <c r="F3918" t="s">
        <v>1603</v>
      </c>
    </row>
    <row r="3919" spans="1:6">
      <c r="A3919">
        <v>127</v>
      </c>
      <c r="B3919" t="s">
        <v>1807</v>
      </c>
      <c r="C3919">
        <v>2</v>
      </c>
      <c r="D3919" t="s">
        <v>1141</v>
      </c>
      <c r="E3919" t="s">
        <v>1605</v>
      </c>
      <c r="F3919" t="s">
        <v>1302</v>
      </c>
    </row>
    <row r="3920" spans="1:6">
      <c r="A3920">
        <v>127</v>
      </c>
      <c r="B3920" t="s">
        <v>1807</v>
      </c>
      <c r="C3920">
        <v>1804</v>
      </c>
      <c r="D3920" t="s">
        <v>1604</v>
      </c>
      <c r="E3920" t="s">
        <v>1605</v>
      </c>
      <c r="F3920" t="s">
        <v>1606</v>
      </c>
    </row>
    <row r="3921" spans="1:6">
      <c r="A3921">
        <v>128</v>
      </c>
      <c r="B3921" t="s">
        <v>1808</v>
      </c>
      <c r="C3921">
        <v>63480</v>
      </c>
      <c r="D3921" t="s">
        <v>1401</v>
      </c>
      <c r="E3921" t="s">
        <v>1402</v>
      </c>
      <c r="F3921" t="s">
        <v>1403</v>
      </c>
    </row>
    <row r="3922" spans="1:6">
      <c r="A3922">
        <v>128</v>
      </c>
      <c r="B3922" t="s">
        <v>1808</v>
      </c>
      <c r="C3922">
        <v>27652</v>
      </c>
      <c r="D3922" t="s">
        <v>1486</v>
      </c>
      <c r="E3922" t="s">
        <v>1487</v>
      </c>
      <c r="F3922" t="s">
        <v>1488</v>
      </c>
    </row>
    <row r="3923" spans="1:6">
      <c r="A3923">
        <v>128</v>
      </c>
      <c r="B3923" t="s">
        <v>1808</v>
      </c>
      <c r="C3923">
        <v>12933</v>
      </c>
      <c r="D3923" t="s">
        <v>1489</v>
      </c>
      <c r="E3923" t="s">
        <v>1490</v>
      </c>
      <c r="F3923" t="s">
        <v>1491</v>
      </c>
    </row>
    <row r="3924" spans="1:6">
      <c r="A3924">
        <v>128</v>
      </c>
      <c r="B3924" t="s">
        <v>1808</v>
      </c>
      <c r="C3924">
        <v>124136</v>
      </c>
      <c r="D3924" t="s">
        <v>1567</v>
      </c>
      <c r="E3924" t="s">
        <v>1568</v>
      </c>
      <c r="F3924" t="s">
        <v>1569</v>
      </c>
    </row>
    <row r="3925" spans="1:6">
      <c r="A3925">
        <v>128</v>
      </c>
      <c r="B3925" t="s">
        <v>1808</v>
      </c>
      <c r="C3925">
        <v>31309</v>
      </c>
      <c r="D3925" t="s">
        <v>1496</v>
      </c>
      <c r="E3925" t="s">
        <v>1497</v>
      </c>
      <c r="F3925" t="s">
        <v>1498</v>
      </c>
    </row>
    <row r="3926" spans="1:6">
      <c r="A3926">
        <v>128</v>
      </c>
      <c r="B3926" t="s">
        <v>1808</v>
      </c>
      <c r="C3926">
        <v>3228880</v>
      </c>
      <c r="D3926" t="s">
        <v>1570</v>
      </c>
      <c r="E3926" t="s">
        <v>1571</v>
      </c>
      <c r="F3926" t="s">
        <v>1572</v>
      </c>
    </row>
    <row r="3927" spans="1:6">
      <c r="A3927">
        <v>128</v>
      </c>
      <c r="B3927" t="s">
        <v>1808</v>
      </c>
      <c r="C3927">
        <v>117840</v>
      </c>
      <c r="D3927" t="s">
        <v>1142</v>
      </c>
      <c r="E3927" t="s">
        <v>1383</v>
      </c>
      <c r="F3927" t="s">
        <v>1143</v>
      </c>
    </row>
    <row r="3928" spans="1:6">
      <c r="A3928">
        <v>128</v>
      </c>
      <c r="B3928" t="s">
        <v>1808</v>
      </c>
      <c r="C3928">
        <v>77105</v>
      </c>
      <c r="D3928" t="s">
        <v>1144</v>
      </c>
      <c r="E3928" t="s">
        <v>1383</v>
      </c>
      <c r="F3928" t="s">
        <v>1143</v>
      </c>
    </row>
    <row r="3929" spans="1:6">
      <c r="A3929">
        <v>128</v>
      </c>
      <c r="B3929" t="s">
        <v>1808</v>
      </c>
      <c r="C3929">
        <v>212862</v>
      </c>
      <c r="D3929" t="s">
        <v>1520</v>
      </c>
      <c r="E3929" t="s">
        <v>1521</v>
      </c>
      <c r="F3929" t="s">
        <v>1522</v>
      </c>
    </row>
    <row r="3930" spans="1:6">
      <c r="A3930">
        <v>128</v>
      </c>
      <c r="B3930" t="s">
        <v>1808</v>
      </c>
      <c r="C3930">
        <v>369605</v>
      </c>
      <c r="D3930" t="s">
        <v>1573</v>
      </c>
      <c r="E3930" t="s">
        <v>1574</v>
      </c>
      <c r="F3930" t="s">
        <v>1575</v>
      </c>
    </row>
    <row r="3931" spans="1:6">
      <c r="A3931">
        <v>128</v>
      </c>
      <c r="B3931" t="s">
        <v>1808</v>
      </c>
      <c r="C3931">
        <v>13911</v>
      </c>
      <c r="D3931" t="s">
        <v>1525</v>
      </c>
      <c r="E3931" t="s">
        <v>1526</v>
      </c>
      <c r="F3931" t="s">
        <v>1527</v>
      </c>
    </row>
    <row r="3932" spans="1:6">
      <c r="A3932">
        <v>128</v>
      </c>
      <c r="B3932" t="s">
        <v>1808</v>
      </c>
      <c r="C3932">
        <v>14000</v>
      </c>
      <c r="D3932" t="s">
        <v>1528</v>
      </c>
      <c r="E3932" t="s">
        <v>1529</v>
      </c>
      <c r="F3932" t="s">
        <v>1530</v>
      </c>
    </row>
    <row r="3933" spans="1:6">
      <c r="A3933">
        <v>128</v>
      </c>
      <c r="B3933" t="s">
        <v>1808</v>
      </c>
      <c r="C3933">
        <v>218923</v>
      </c>
      <c r="D3933" t="s">
        <v>1531</v>
      </c>
      <c r="E3933" t="s">
        <v>1532</v>
      </c>
      <c r="F3933" t="s">
        <v>1533</v>
      </c>
    </row>
    <row r="3934" spans="1:6">
      <c r="A3934">
        <v>128</v>
      </c>
      <c r="B3934" t="s">
        <v>1808</v>
      </c>
      <c r="C3934">
        <v>80600</v>
      </c>
      <c r="D3934" t="s">
        <v>1387</v>
      </c>
      <c r="E3934" t="s">
        <v>1388</v>
      </c>
      <c r="F3934" t="s">
        <v>1389</v>
      </c>
    </row>
    <row r="3935" spans="1:6">
      <c r="A3935">
        <v>128</v>
      </c>
      <c r="B3935" t="s">
        <v>1808</v>
      </c>
      <c r="C3935">
        <v>112000</v>
      </c>
      <c r="D3935" t="s">
        <v>1390</v>
      </c>
      <c r="E3935" t="s">
        <v>1391</v>
      </c>
      <c r="F3935" t="s">
        <v>1392</v>
      </c>
    </row>
    <row r="3936" spans="1:6">
      <c r="A3936">
        <v>128</v>
      </c>
      <c r="B3936" t="s">
        <v>1808</v>
      </c>
      <c r="C3936">
        <v>37210</v>
      </c>
      <c r="D3936" t="s">
        <v>1431</v>
      </c>
      <c r="E3936" t="s">
        <v>1432</v>
      </c>
      <c r="F3936" t="s">
        <v>1433</v>
      </c>
    </row>
    <row r="3937" spans="1:6">
      <c r="A3937">
        <v>128</v>
      </c>
      <c r="B3937" t="s">
        <v>1808</v>
      </c>
      <c r="C3937">
        <v>81950.63</v>
      </c>
      <c r="D3937" t="s">
        <v>1434</v>
      </c>
      <c r="E3937" t="s">
        <v>1432</v>
      </c>
      <c r="F3937" t="s">
        <v>1435</v>
      </c>
    </row>
    <row r="3938" spans="1:6">
      <c r="A3938">
        <v>128</v>
      </c>
      <c r="B3938" t="s">
        <v>1808</v>
      </c>
      <c r="C3938">
        <v>26859</v>
      </c>
      <c r="D3938" t="s">
        <v>1436</v>
      </c>
      <c r="E3938" t="s">
        <v>1437</v>
      </c>
      <c r="F3938" t="s">
        <v>1438</v>
      </c>
    </row>
    <row r="3939" spans="1:6">
      <c r="A3939">
        <v>128</v>
      </c>
      <c r="B3939" t="s">
        <v>1808</v>
      </c>
      <c r="C3939">
        <v>58377</v>
      </c>
      <c r="D3939" t="s">
        <v>1584</v>
      </c>
      <c r="E3939" t="s">
        <v>1585</v>
      </c>
      <c r="F3939" t="s">
        <v>1586</v>
      </c>
    </row>
    <row r="3940" spans="1:6">
      <c r="A3940">
        <v>128</v>
      </c>
      <c r="B3940" t="s">
        <v>1808</v>
      </c>
      <c r="C3940">
        <v>5000</v>
      </c>
      <c r="D3940" t="s">
        <v>1587</v>
      </c>
      <c r="E3940" t="s">
        <v>1585</v>
      </c>
      <c r="F3940" t="s">
        <v>1588</v>
      </c>
    </row>
    <row r="3941" spans="1:6">
      <c r="A3941">
        <v>128</v>
      </c>
      <c r="B3941" t="s">
        <v>1808</v>
      </c>
      <c r="C3941">
        <v>11394</v>
      </c>
      <c r="D3941" t="s">
        <v>1589</v>
      </c>
      <c r="E3941" t="s">
        <v>1590</v>
      </c>
      <c r="F3941" t="s">
        <v>1591</v>
      </c>
    </row>
    <row r="3942" spans="1:6">
      <c r="A3942">
        <v>128</v>
      </c>
      <c r="B3942" t="s">
        <v>1808</v>
      </c>
      <c r="C3942">
        <v>4000</v>
      </c>
      <c r="D3942" t="s">
        <v>1592</v>
      </c>
      <c r="E3942" t="s">
        <v>1590</v>
      </c>
      <c r="F3942" t="s">
        <v>1593</v>
      </c>
    </row>
    <row r="3943" spans="1:6">
      <c r="A3943">
        <v>128</v>
      </c>
      <c r="B3943" t="s">
        <v>1808</v>
      </c>
      <c r="C3943">
        <v>9474</v>
      </c>
      <c r="D3943" t="s">
        <v>1594</v>
      </c>
      <c r="E3943" t="s">
        <v>1595</v>
      </c>
      <c r="F3943" t="s">
        <v>1596</v>
      </c>
    </row>
    <row r="3944" spans="1:6">
      <c r="A3944">
        <v>128</v>
      </c>
      <c r="B3944" t="s">
        <v>1808</v>
      </c>
      <c r="C3944">
        <v>529</v>
      </c>
      <c r="D3944" t="s">
        <v>1597</v>
      </c>
      <c r="E3944" t="s">
        <v>1595</v>
      </c>
      <c r="F3944" t="s">
        <v>1598</v>
      </c>
    </row>
    <row r="3945" spans="1:6">
      <c r="A3945">
        <v>128</v>
      </c>
      <c r="B3945" t="s">
        <v>1808</v>
      </c>
      <c r="C3945">
        <v>527669</v>
      </c>
      <c r="D3945" t="s">
        <v>1599</v>
      </c>
      <c r="E3945" t="s">
        <v>1600</v>
      </c>
      <c r="F3945" t="s">
        <v>1601</v>
      </c>
    </row>
    <row r="3946" spans="1:6">
      <c r="A3946">
        <v>128</v>
      </c>
      <c r="B3946" t="s">
        <v>1808</v>
      </c>
      <c r="C3946">
        <v>425000</v>
      </c>
      <c r="D3946" t="s">
        <v>1602</v>
      </c>
      <c r="E3946" t="s">
        <v>1600</v>
      </c>
      <c r="F3946" t="s">
        <v>1603</v>
      </c>
    </row>
    <row r="3947" spans="1:6">
      <c r="A3947">
        <v>128</v>
      </c>
      <c r="B3947" t="s">
        <v>1808</v>
      </c>
      <c r="C3947">
        <v>19152</v>
      </c>
      <c r="D3947" t="s">
        <v>1459</v>
      </c>
      <c r="E3947" t="s">
        <v>1605</v>
      </c>
      <c r="F3947" t="s">
        <v>1460</v>
      </c>
    </row>
    <row r="3948" spans="1:6">
      <c r="A3948">
        <v>128</v>
      </c>
      <c r="B3948" t="s">
        <v>1808</v>
      </c>
      <c r="C3948">
        <v>10720</v>
      </c>
      <c r="D3948" t="s">
        <v>1604</v>
      </c>
      <c r="E3948" t="s">
        <v>1605</v>
      </c>
      <c r="F3948" t="s">
        <v>1606</v>
      </c>
    </row>
    <row r="3949" spans="1:6">
      <c r="A3949">
        <v>128</v>
      </c>
      <c r="B3949" t="s">
        <v>1808</v>
      </c>
      <c r="C3949">
        <v>54675</v>
      </c>
      <c r="D3949" t="s">
        <v>1610</v>
      </c>
      <c r="E3949" t="s">
        <v>1481</v>
      </c>
      <c r="F3949" t="s">
        <v>1482</v>
      </c>
    </row>
    <row r="3950" spans="1:6">
      <c r="A3950">
        <v>129</v>
      </c>
      <c r="B3950" t="s">
        <v>1809</v>
      </c>
      <c r="C3950">
        <v>51310</v>
      </c>
      <c r="D3950" t="s">
        <v>1401</v>
      </c>
      <c r="E3950" t="s">
        <v>1402</v>
      </c>
      <c r="F3950" t="s">
        <v>1403</v>
      </c>
    </row>
    <row r="3951" spans="1:6">
      <c r="A3951">
        <v>129</v>
      </c>
      <c r="B3951" t="s">
        <v>1809</v>
      </c>
      <c r="C3951">
        <v>176674</v>
      </c>
      <c r="D3951" t="s">
        <v>1567</v>
      </c>
      <c r="E3951" t="s">
        <v>1568</v>
      </c>
      <c r="F3951" t="s">
        <v>1569</v>
      </c>
    </row>
    <row r="3952" spans="1:6">
      <c r="A3952">
        <v>129</v>
      </c>
      <c r="B3952" t="s">
        <v>1809</v>
      </c>
      <c r="C3952">
        <v>4842414</v>
      </c>
      <c r="D3952" t="s">
        <v>1570</v>
      </c>
      <c r="E3952" t="s">
        <v>1571</v>
      </c>
      <c r="F3952" t="s">
        <v>1572</v>
      </c>
    </row>
    <row r="3953" spans="1:6">
      <c r="A3953">
        <v>129</v>
      </c>
      <c r="B3953" t="s">
        <v>1809</v>
      </c>
      <c r="C3953">
        <v>21641</v>
      </c>
      <c r="D3953" t="s">
        <v>1520</v>
      </c>
      <c r="E3953" t="s">
        <v>1521</v>
      </c>
      <c r="F3953" t="s">
        <v>1522</v>
      </c>
    </row>
    <row r="3954" spans="1:6">
      <c r="A3954">
        <v>129</v>
      </c>
      <c r="B3954" t="s">
        <v>1809</v>
      </c>
      <c r="C3954">
        <v>308581</v>
      </c>
      <c r="D3954" t="s">
        <v>1573</v>
      </c>
      <c r="E3954" t="s">
        <v>1574</v>
      </c>
      <c r="F3954" t="s">
        <v>1575</v>
      </c>
    </row>
    <row r="3955" spans="1:6">
      <c r="A3955">
        <v>129</v>
      </c>
      <c r="B3955" t="s">
        <v>1809</v>
      </c>
      <c r="C3955">
        <v>5814</v>
      </c>
      <c r="D3955" t="s">
        <v>1523</v>
      </c>
      <c r="E3955" t="s">
        <v>1521</v>
      </c>
      <c r="F3955" t="s">
        <v>1524</v>
      </c>
    </row>
    <row r="3956" spans="1:6">
      <c r="A3956">
        <v>129</v>
      </c>
      <c r="B3956" t="s">
        <v>1809</v>
      </c>
      <c r="C3956">
        <v>36000</v>
      </c>
      <c r="D3956" t="s">
        <v>1531</v>
      </c>
      <c r="E3956" t="s">
        <v>1532</v>
      </c>
      <c r="F3956" t="s">
        <v>1533</v>
      </c>
    </row>
    <row r="3957" spans="1:6">
      <c r="A3957">
        <v>129</v>
      </c>
      <c r="B3957" t="s">
        <v>1809</v>
      </c>
      <c r="C3957">
        <v>4461.24</v>
      </c>
      <c r="D3957" t="s">
        <v>1374</v>
      </c>
      <c r="E3957" t="s">
        <v>1375</v>
      </c>
      <c r="F3957" t="s">
        <v>1376</v>
      </c>
    </row>
    <row r="3958" spans="1:6">
      <c r="A3958">
        <v>129</v>
      </c>
      <c r="B3958" t="s">
        <v>1809</v>
      </c>
      <c r="C3958">
        <v>7617.3</v>
      </c>
      <c r="D3958" t="s">
        <v>1377</v>
      </c>
      <c r="E3958" t="s">
        <v>1375</v>
      </c>
      <c r="F3958" t="s">
        <v>1378</v>
      </c>
    </row>
    <row r="3959" spans="1:6">
      <c r="A3959">
        <v>129</v>
      </c>
      <c r="B3959" t="s">
        <v>1809</v>
      </c>
      <c r="C3959">
        <v>45000</v>
      </c>
      <c r="D3959" t="s">
        <v>1579</v>
      </c>
      <c r="E3959" t="s">
        <v>1577</v>
      </c>
      <c r="F3959" t="s">
        <v>1580</v>
      </c>
    </row>
    <row r="3960" spans="1:6">
      <c r="A3960">
        <v>129</v>
      </c>
      <c r="B3960" t="s">
        <v>1809</v>
      </c>
      <c r="C3960">
        <v>863</v>
      </c>
      <c r="D3960" t="s">
        <v>1442</v>
      </c>
      <c r="E3960" t="s">
        <v>1582</v>
      </c>
      <c r="F3960" t="s">
        <v>1443</v>
      </c>
    </row>
    <row r="3961" spans="1:6">
      <c r="A3961">
        <v>129</v>
      </c>
      <c r="B3961" t="s">
        <v>1809</v>
      </c>
      <c r="C3961">
        <v>14392</v>
      </c>
      <c r="D3961" t="s">
        <v>1584</v>
      </c>
      <c r="E3961" t="s">
        <v>1585</v>
      </c>
      <c r="F3961" t="s">
        <v>1586</v>
      </c>
    </row>
    <row r="3962" spans="1:6">
      <c r="A3962">
        <v>129</v>
      </c>
      <c r="B3962" t="s">
        <v>1809</v>
      </c>
      <c r="C3962">
        <v>5000</v>
      </c>
      <c r="D3962" t="s">
        <v>1587</v>
      </c>
      <c r="E3962" t="s">
        <v>1585</v>
      </c>
      <c r="F3962" t="s">
        <v>1588</v>
      </c>
    </row>
    <row r="3963" spans="1:6">
      <c r="A3963">
        <v>129</v>
      </c>
      <c r="B3963" t="s">
        <v>1809</v>
      </c>
      <c r="C3963">
        <v>2559</v>
      </c>
      <c r="D3963" t="s">
        <v>1589</v>
      </c>
      <c r="E3963" t="s">
        <v>1590</v>
      </c>
      <c r="F3963" t="s">
        <v>1591</v>
      </c>
    </row>
    <row r="3964" spans="1:6">
      <c r="A3964">
        <v>129</v>
      </c>
      <c r="B3964" t="s">
        <v>1809</v>
      </c>
      <c r="C3964">
        <v>2000</v>
      </c>
      <c r="D3964" t="s">
        <v>1592</v>
      </c>
      <c r="E3964" t="s">
        <v>1590</v>
      </c>
      <c r="F3964" t="s">
        <v>1593</v>
      </c>
    </row>
    <row r="3965" spans="1:6">
      <c r="A3965">
        <v>129</v>
      </c>
      <c r="B3965" t="s">
        <v>1809</v>
      </c>
      <c r="C3965">
        <v>4799</v>
      </c>
      <c r="D3965" t="s">
        <v>1594</v>
      </c>
      <c r="E3965" t="s">
        <v>1595</v>
      </c>
      <c r="F3965" t="s">
        <v>1596</v>
      </c>
    </row>
    <row r="3966" spans="1:6">
      <c r="A3966">
        <v>129</v>
      </c>
      <c r="B3966" t="s">
        <v>1809</v>
      </c>
      <c r="C3966">
        <v>66484</v>
      </c>
      <c r="D3966" t="s">
        <v>1599</v>
      </c>
      <c r="E3966" t="s">
        <v>1600</v>
      </c>
      <c r="F3966" t="s">
        <v>1601</v>
      </c>
    </row>
    <row r="3967" spans="1:6">
      <c r="A3967">
        <v>129</v>
      </c>
      <c r="B3967" t="s">
        <v>1809</v>
      </c>
      <c r="C3967">
        <v>265000</v>
      </c>
      <c r="D3967" t="s">
        <v>1602</v>
      </c>
      <c r="E3967" t="s">
        <v>1600</v>
      </c>
      <c r="F3967" t="s">
        <v>1603</v>
      </c>
    </row>
    <row r="3968" spans="1:6">
      <c r="A3968">
        <v>129</v>
      </c>
      <c r="B3968" t="s">
        <v>1809</v>
      </c>
      <c r="C3968">
        <v>10547</v>
      </c>
      <c r="D3968" t="s">
        <v>1604</v>
      </c>
      <c r="E3968" t="s">
        <v>1605</v>
      </c>
      <c r="F3968" t="s">
        <v>1606</v>
      </c>
    </row>
    <row r="3969" spans="1:6">
      <c r="A3969">
        <v>129</v>
      </c>
      <c r="B3969" t="s">
        <v>1809</v>
      </c>
      <c r="C3969">
        <v>26245.25</v>
      </c>
      <c r="D3969" t="s">
        <v>1379</v>
      </c>
      <c r="E3969" t="s">
        <v>1380</v>
      </c>
      <c r="F3969" t="s">
        <v>1381</v>
      </c>
    </row>
    <row r="3970" spans="1:6">
      <c r="A3970">
        <v>129</v>
      </c>
      <c r="B3970" t="s">
        <v>1809</v>
      </c>
      <c r="C3970">
        <v>80307.3</v>
      </c>
      <c r="D3970" t="s">
        <v>1475</v>
      </c>
      <c r="E3970" t="s">
        <v>1476</v>
      </c>
      <c r="F3970" t="s">
        <v>1477</v>
      </c>
    </row>
    <row r="3971" spans="1:6">
      <c r="A3971">
        <v>129</v>
      </c>
      <c r="B3971" t="s">
        <v>1809</v>
      </c>
      <c r="C3971">
        <v>369173.04</v>
      </c>
      <c r="D3971" t="s">
        <v>1478</v>
      </c>
      <c r="E3971" t="s">
        <v>1479</v>
      </c>
      <c r="F3971" t="s">
        <v>1480</v>
      </c>
    </row>
    <row r="3972" spans="1:6">
      <c r="A3972">
        <v>129</v>
      </c>
      <c r="B3972" t="s">
        <v>1809</v>
      </c>
      <c r="C3972">
        <v>274314.84999999998</v>
      </c>
      <c r="D3972" t="s">
        <v>1365</v>
      </c>
      <c r="E3972" t="s">
        <v>1366</v>
      </c>
      <c r="F3972" t="s">
        <v>1367</v>
      </c>
    </row>
    <row r="3973" spans="1:6">
      <c r="A3973">
        <v>129</v>
      </c>
      <c r="B3973" t="s">
        <v>1809</v>
      </c>
      <c r="C3973">
        <v>502507</v>
      </c>
      <c r="D3973" t="s">
        <v>1607</v>
      </c>
      <c r="E3973" t="s">
        <v>1608</v>
      </c>
      <c r="F3973" t="s">
        <v>1609</v>
      </c>
    </row>
    <row r="3974" spans="1:6">
      <c r="A3974">
        <v>129</v>
      </c>
      <c r="B3974" t="s">
        <v>1809</v>
      </c>
      <c r="C3974">
        <v>1458515</v>
      </c>
      <c r="D3974" t="s">
        <v>1610</v>
      </c>
      <c r="E3974" t="s">
        <v>1481</v>
      </c>
      <c r="F3974" t="s">
        <v>1482</v>
      </c>
    </row>
    <row r="3975" spans="1:6">
      <c r="A3975">
        <v>130</v>
      </c>
      <c r="B3975" t="s">
        <v>1145</v>
      </c>
      <c r="C3975">
        <v>1255552</v>
      </c>
      <c r="D3975" t="s">
        <v>1570</v>
      </c>
      <c r="E3975" t="s">
        <v>1571</v>
      </c>
      <c r="F3975" t="s">
        <v>1572</v>
      </c>
    </row>
    <row r="3976" spans="1:6">
      <c r="A3976">
        <v>131</v>
      </c>
      <c r="B3976" t="s">
        <v>1810</v>
      </c>
      <c r="C3976">
        <v>20394</v>
      </c>
      <c r="D3976" t="s">
        <v>1489</v>
      </c>
      <c r="E3976" t="s">
        <v>1490</v>
      </c>
      <c r="F3976" t="s">
        <v>1491</v>
      </c>
    </row>
    <row r="3977" spans="1:6">
      <c r="A3977">
        <v>131</v>
      </c>
      <c r="B3977" t="s">
        <v>1810</v>
      </c>
      <c r="C3977">
        <v>67727</v>
      </c>
      <c r="D3977" t="s">
        <v>1407</v>
      </c>
      <c r="E3977" t="s">
        <v>1408</v>
      </c>
      <c r="F3977" t="s">
        <v>1409</v>
      </c>
    </row>
    <row r="3978" spans="1:6">
      <c r="A3978">
        <v>131</v>
      </c>
      <c r="B3978" t="s">
        <v>1810</v>
      </c>
      <c r="C3978">
        <v>322255</v>
      </c>
      <c r="D3978" t="s">
        <v>1567</v>
      </c>
      <c r="E3978" t="s">
        <v>1568</v>
      </c>
      <c r="F3978" t="s">
        <v>1569</v>
      </c>
    </row>
    <row r="3979" spans="1:6">
      <c r="A3979">
        <v>131</v>
      </c>
      <c r="B3979" t="s">
        <v>1810</v>
      </c>
      <c r="C3979">
        <v>49863</v>
      </c>
      <c r="D3979" t="s">
        <v>1496</v>
      </c>
      <c r="E3979" t="s">
        <v>1497</v>
      </c>
      <c r="F3979" t="s">
        <v>1498</v>
      </c>
    </row>
    <row r="3980" spans="1:6">
      <c r="A3980">
        <v>131</v>
      </c>
      <c r="B3980" t="s">
        <v>1810</v>
      </c>
      <c r="C3980">
        <v>16317144</v>
      </c>
      <c r="D3980" t="s">
        <v>1570</v>
      </c>
      <c r="E3980" t="s">
        <v>1571</v>
      </c>
      <c r="F3980" t="s">
        <v>1572</v>
      </c>
    </row>
    <row r="3981" spans="1:6">
      <c r="A3981">
        <v>131</v>
      </c>
      <c r="B3981" t="s">
        <v>1810</v>
      </c>
      <c r="C3981">
        <v>332982</v>
      </c>
      <c r="D3981" t="s">
        <v>1520</v>
      </c>
      <c r="E3981" t="s">
        <v>1521</v>
      </c>
      <c r="F3981" t="s">
        <v>1522</v>
      </c>
    </row>
    <row r="3982" spans="1:6">
      <c r="A3982">
        <v>131</v>
      </c>
      <c r="B3982" t="s">
        <v>1810</v>
      </c>
      <c r="C3982">
        <v>28583</v>
      </c>
      <c r="D3982" t="s">
        <v>1216</v>
      </c>
      <c r="E3982" t="s">
        <v>1217</v>
      </c>
      <c r="F3982" t="s">
        <v>1218</v>
      </c>
    </row>
    <row r="3983" spans="1:6">
      <c r="A3983">
        <v>131</v>
      </c>
      <c r="B3983" t="s">
        <v>1810</v>
      </c>
      <c r="C3983">
        <v>728944</v>
      </c>
      <c r="D3983" t="s">
        <v>1573</v>
      </c>
      <c r="E3983" t="s">
        <v>1574</v>
      </c>
      <c r="F3983" t="s">
        <v>1575</v>
      </c>
    </row>
    <row r="3984" spans="1:6">
      <c r="A3984">
        <v>131</v>
      </c>
      <c r="B3984" t="s">
        <v>1810</v>
      </c>
      <c r="C3984">
        <v>71033</v>
      </c>
      <c r="D3984" t="s">
        <v>1523</v>
      </c>
      <c r="E3984" t="s">
        <v>1521</v>
      </c>
      <c r="F3984" t="s">
        <v>1524</v>
      </c>
    </row>
    <row r="3985" spans="1:6">
      <c r="A3985">
        <v>131</v>
      </c>
      <c r="B3985" t="s">
        <v>1810</v>
      </c>
      <c r="C3985">
        <v>76659</v>
      </c>
      <c r="D3985" t="s">
        <v>1371</v>
      </c>
      <c r="E3985" t="s">
        <v>1372</v>
      </c>
      <c r="F3985" t="s">
        <v>1373</v>
      </c>
    </row>
    <row r="3986" spans="1:6">
      <c r="A3986">
        <v>131</v>
      </c>
      <c r="B3986" t="s">
        <v>1810</v>
      </c>
      <c r="C3986">
        <v>44487</v>
      </c>
      <c r="D3986" t="s">
        <v>1525</v>
      </c>
      <c r="E3986" t="s">
        <v>1526</v>
      </c>
      <c r="F3986" t="s">
        <v>1527</v>
      </c>
    </row>
    <row r="3987" spans="1:6">
      <c r="A3987">
        <v>131</v>
      </c>
      <c r="B3987" t="s">
        <v>1810</v>
      </c>
      <c r="C3987">
        <v>26685</v>
      </c>
      <c r="D3987" t="s">
        <v>1528</v>
      </c>
      <c r="E3987" t="s">
        <v>1529</v>
      </c>
      <c r="F3987" t="s">
        <v>1530</v>
      </c>
    </row>
    <row r="3988" spans="1:6">
      <c r="A3988">
        <v>131</v>
      </c>
      <c r="B3988" t="s">
        <v>1810</v>
      </c>
      <c r="C3988">
        <v>38000</v>
      </c>
      <c r="D3988" t="s">
        <v>1531</v>
      </c>
      <c r="E3988" t="s">
        <v>1532</v>
      </c>
      <c r="F3988" t="s">
        <v>1533</v>
      </c>
    </row>
    <row r="3989" spans="1:6">
      <c r="A3989">
        <v>131</v>
      </c>
      <c r="B3989" t="s">
        <v>1810</v>
      </c>
      <c r="C3989">
        <v>2457.5</v>
      </c>
      <c r="D3989" t="s">
        <v>1374</v>
      </c>
      <c r="E3989" t="s">
        <v>1375</v>
      </c>
      <c r="F3989" t="s">
        <v>1376</v>
      </c>
    </row>
    <row r="3990" spans="1:6">
      <c r="A3990">
        <v>131</v>
      </c>
      <c r="B3990" t="s">
        <v>1810</v>
      </c>
      <c r="C3990">
        <v>5352.23</v>
      </c>
      <c r="D3990" t="s">
        <v>1377</v>
      </c>
      <c r="E3990" t="s">
        <v>1375</v>
      </c>
      <c r="F3990" t="s">
        <v>1378</v>
      </c>
    </row>
    <row r="3991" spans="1:6">
      <c r="A3991">
        <v>131</v>
      </c>
      <c r="B3991" t="s">
        <v>1810</v>
      </c>
      <c r="C3991">
        <v>75106.06</v>
      </c>
      <c r="D3991" t="s">
        <v>1431</v>
      </c>
      <c r="E3991" t="s">
        <v>1432</v>
      </c>
      <c r="F3991" t="s">
        <v>1433</v>
      </c>
    </row>
    <row r="3992" spans="1:6">
      <c r="A3992">
        <v>131</v>
      </c>
      <c r="B3992" t="s">
        <v>1810</v>
      </c>
      <c r="C3992">
        <v>180960.98</v>
      </c>
      <c r="D3992" t="s">
        <v>1434</v>
      </c>
      <c r="E3992" t="s">
        <v>1432</v>
      </c>
      <c r="F3992" t="s">
        <v>1435</v>
      </c>
    </row>
    <row r="3993" spans="1:6">
      <c r="A3993">
        <v>131</v>
      </c>
      <c r="B3993" t="s">
        <v>1810</v>
      </c>
      <c r="C3993">
        <v>21500</v>
      </c>
      <c r="D3993" t="s">
        <v>1576</v>
      </c>
      <c r="E3993" t="s">
        <v>1577</v>
      </c>
      <c r="F3993" t="s">
        <v>1578</v>
      </c>
    </row>
    <row r="3994" spans="1:6">
      <c r="A3994">
        <v>131</v>
      </c>
      <c r="B3994" t="s">
        <v>1810</v>
      </c>
      <c r="C3994">
        <v>232000</v>
      </c>
      <c r="D3994" t="s">
        <v>1579</v>
      </c>
      <c r="E3994" t="s">
        <v>1577</v>
      </c>
      <c r="F3994" t="s">
        <v>1580</v>
      </c>
    </row>
    <row r="3995" spans="1:6">
      <c r="A3995">
        <v>131</v>
      </c>
      <c r="B3995" t="s">
        <v>1810</v>
      </c>
      <c r="C3995">
        <v>43413</v>
      </c>
      <c r="D3995" t="s">
        <v>1436</v>
      </c>
      <c r="E3995" t="s">
        <v>1437</v>
      </c>
      <c r="F3995" t="s">
        <v>1438</v>
      </c>
    </row>
    <row r="3996" spans="1:6">
      <c r="A3996">
        <v>131</v>
      </c>
      <c r="B3996" t="s">
        <v>1810</v>
      </c>
      <c r="C3996">
        <v>3954</v>
      </c>
      <c r="D3996" t="s">
        <v>1442</v>
      </c>
      <c r="E3996" t="s">
        <v>1582</v>
      </c>
      <c r="F3996" t="s">
        <v>1443</v>
      </c>
    </row>
    <row r="3997" spans="1:6">
      <c r="A3997">
        <v>131</v>
      </c>
      <c r="B3997" t="s">
        <v>1810</v>
      </c>
      <c r="C3997">
        <v>400</v>
      </c>
      <c r="D3997" t="s">
        <v>1581</v>
      </c>
      <c r="E3997" t="s">
        <v>1582</v>
      </c>
      <c r="F3997" t="s">
        <v>1583</v>
      </c>
    </row>
    <row r="3998" spans="1:6">
      <c r="A3998">
        <v>131</v>
      </c>
      <c r="B3998" t="s">
        <v>1810</v>
      </c>
      <c r="C3998">
        <v>42952</v>
      </c>
      <c r="D3998" t="s">
        <v>1584</v>
      </c>
      <c r="E3998" t="s">
        <v>1585</v>
      </c>
      <c r="F3998" t="s">
        <v>1586</v>
      </c>
    </row>
    <row r="3999" spans="1:6">
      <c r="A3999">
        <v>131</v>
      </c>
      <c r="B3999" t="s">
        <v>1810</v>
      </c>
      <c r="C3999">
        <v>76000</v>
      </c>
      <c r="D3999" t="s">
        <v>1587</v>
      </c>
      <c r="E3999" t="s">
        <v>1585</v>
      </c>
      <c r="F3999" t="s">
        <v>1588</v>
      </c>
    </row>
    <row r="4000" spans="1:6">
      <c r="A4000">
        <v>131</v>
      </c>
      <c r="B4000" t="s">
        <v>1810</v>
      </c>
      <c r="C4000">
        <v>12606</v>
      </c>
      <c r="D4000" t="s">
        <v>1457</v>
      </c>
      <c r="E4000" t="s">
        <v>1455</v>
      </c>
      <c r="F4000" t="s">
        <v>1458</v>
      </c>
    </row>
    <row r="4001" spans="1:6">
      <c r="A4001">
        <v>131</v>
      </c>
      <c r="B4001" t="s">
        <v>1810</v>
      </c>
      <c r="C4001">
        <v>4924</v>
      </c>
      <c r="D4001" t="s">
        <v>1589</v>
      </c>
      <c r="E4001" t="s">
        <v>1590</v>
      </c>
      <c r="F4001" t="s">
        <v>1591</v>
      </c>
    </row>
    <row r="4002" spans="1:6">
      <c r="A4002">
        <v>131</v>
      </c>
      <c r="B4002" t="s">
        <v>1810</v>
      </c>
      <c r="C4002">
        <v>12000</v>
      </c>
      <c r="D4002" t="s">
        <v>1592</v>
      </c>
      <c r="E4002" t="s">
        <v>1590</v>
      </c>
      <c r="F4002" t="s">
        <v>1593</v>
      </c>
    </row>
    <row r="4003" spans="1:6">
      <c r="A4003">
        <v>131</v>
      </c>
      <c r="B4003" t="s">
        <v>1810</v>
      </c>
      <c r="C4003">
        <v>2234</v>
      </c>
      <c r="D4003" t="s">
        <v>1594</v>
      </c>
      <c r="E4003" t="s">
        <v>1595</v>
      </c>
      <c r="F4003" t="s">
        <v>1596</v>
      </c>
    </row>
    <row r="4004" spans="1:6">
      <c r="A4004">
        <v>131</v>
      </c>
      <c r="B4004" t="s">
        <v>1810</v>
      </c>
      <c r="C4004">
        <v>8682</v>
      </c>
      <c r="D4004" t="s">
        <v>1597</v>
      </c>
      <c r="E4004" t="s">
        <v>1595</v>
      </c>
      <c r="F4004" t="s">
        <v>1598</v>
      </c>
    </row>
    <row r="4005" spans="1:6">
      <c r="A4005">
        <v>131</v>
      </c>
      <c r="B4005" t="s">
        <v>1810</v>
      </c>
      <c r="C4005">
        <v>716038</v>
      </c>
      <c r="D4005" t="s">
        <v>1599</v>
      </c>
      <c r="E4005" t="s">
        <v>1600</v>
      </c>
      <c r="F4005" t="s">
        <v>1601</v>
      </c>
    </row>
    <row r="4006" spans="1:6">
      <c r="A4006">
        <v>131</v>
      </c>
      <c r="B4006" t="s">
        <v>1810</v>
      </c>
      <c r="C4006">
        <v>697000</v>
      </c>
      <c r="D4006" t="s">
        <v>1602</v>
      </c>
      <c r="E4006" t="s">
        <v>1600</v>
      </c>
      <c r="F4006" t="s">
        <v>1603</v>
      </c>
    </row>
    <row r="4007" spans="1:6">
      <c r="A4007">
        <v>131</v>
      </c>
      <c r="B4007" t="s">
        <v>1810</v>
      </c>
      <c r="C4007">
        <v>48509</v>
      </c>
      <c r="D4007" t="s">
        <v>1604</v>
      </c>
      <c r="E4007" t="s">
        <v>1605</v>
      </c>
      <c r="F4007" t="s">
        <v>1606</v>
      </c>
    </row>
    <row r="4008" spans="1:6">
      <c r="A4008">
        <v>131</v>
      </c>
      <c r="B4008" t="s">
        <v>1810</v>
      </c>
      <c r="C4008">
        <v>25000</v>
      </c>
      <c r="D4008" t="s">
        <v>1273</v>
      </c>
      <c r="E4008" t="s">
        <v>1274</v>
      </c>
      <c r="F4008" t="s">
        <v>1275</v>
      </c>
    </row>
    <row r="4009" spans="1:6">
      <c r="A4009">
        <v>131</v>
      </c>
      <c r="B4009" t="s">
        <v>1810</v>
      </c>
      <c r="C4009">
        <v>330.65</v>
      </c>
      <c r="D4009" t="s">
        <v>1379</v>
      </c>
      <c r="E4009" t="s">
        <v>1380</v>
      </c>
      <c r="F4009" t="s">
        <v>1381</v>
      </c>
    </row>
    <row r="4010" spans="1:6">
      <c r="A4010">
        <v>131</v>
      </c>
      <c r="B4010" t="s">
        <v>1810</v>
      </c>
      <c r="C4010">
        <v>43509.45</v>
      </c>
      <c r="D4010" t="s">
        <v>1475</v>
      </c>
      <c r="E4010" t="s">
        <v>1476</v>
      </c>
      <c r="F4010" t="s">
        <v>1477</v>
      </c>
    </row>
    <row r="4011" spans="1:6">
      <c r="A4011">
        <v>131</v>
      </c>
      <c r="B4011" t="s">
        <v>1810</v>
      </c>
      <c r="C4011">
        <v>476984.71</v>
      </c>
      <c r="D4011" t="s">
        <v>1478</v>
      </c>
      <c r="E4011" t="s">
        <v>1479</v>
      </c>
      <c r="F4011" t="s">
        <v>1480</v>
      </c>
    </row>
    <row r="4012" spans="1:6">
      <c r="A4012">
        <v>131</v>
      </c>
      <c r="B4012" t="s">
        <v>1810</v>
      </c>
      <c r="C4012">
        <v>2752257</v>
      </c>
      <c r="D4012" t="s">
        <v>1607</v>
      </c>
      <c r="E4012" t="s">
        <v>1608</v>
      </c>
      <c r="F4012" t="s">
        <v>1609</v>
      </c>
    </row>
    <row r="4013" spans="1:6">
      <c r="A4013">
        <v>131</v>
      </c>
      <c r="B4013" t="s">
        <v>1810</v>
      </c>
      <c r="C4013">
        <v>4850157</v>
      </c>
      <c r="D4013" t="s">
        <v>1610</v>
      </c>
      <c r="E4013" t="s">
        <v>1481</v>
      </c>
      <c r="F4013" t="s">
        <v>1482</v>
      </c>
    </row>
    <row r="4014" spans="1:6">
      <c r="A4014">
        <v>132</v>
      </c>
      <c r="B4014" t="s">
        <v>1811</v>
      </c>
      <c r="C4014">
        <v>39553</v>
      </c>
      <c r="D4014" t="s">
        <v>1486</v>
      </c>
      <c r="E4014" t="s">
        <v>1487</v>
      </c>
      <c r="F4014" t="s">
        <v>1488</v>
      </c>
    </row>
    <row r="4015" spans="1:6">
      <c r="A4015">
        <v>132</v>
      </c>
      <c r="B4015" t="s">
        <v>1811</v>
      </c>
      <c r="C4015">
        <v>18500</v>
      </c>
      <c r="D4015" t="s">
        <v>1489</v>
      </c>
      <c r="E4015" t="s">
        <v>1490</v>
      </c>
      <c r="F4015" t="s">
        <v>1491</v>
      </c>
    </row>
    <row r="4016" spans="1:6">
      <c r="A4016">
        <v>132</v>
      </c>
      <c r="B4016" t="s">
        <v>1811</v>
      </c>
      <c r="C4016">
        <v>318686</v>
      </c>
      <c r="D4016" t="s">
        <v>1567</v>
      </c>
      <c r="E4016" t="s">
        <v>1568</v>
      </c>
      <c r="F4016" t="s">
        <v>1569</v>
      </c>
    </row>
    <row r="4017" spans="1:6">
      <c r="A4017">
        <v>132</v>
      </c>
      <c r="B4017" t="s">
        <v>1811</v>
      </c>
      <c r="C4017">
        <v>10230948</v>
      </c>
      <c r="D4017" t="s">
        <v>1570</v>
      </c>
      <c r="E4017" t="s">
        <v>1571</v>
      </c>
      <c r="F4017" t="s">
        <v>1572</v>
      </c>
    </row>
    <row r="4018" spans="1:6">
      <c r="A4018">
        <v>132</v>
      </c>
      <c r="B4018" t="s">
        <v>1811</v>
      </c>
      <c r="C4018">
        <v>125050</v>
      </c>
      <c r="D4018" t="s">
        <v>1520</v>
      </c>
      <c r="E4018" t="s">
        <v>1521</v>
      </c>
      <c r="F4018" t="s">
        <v>1522</v>
      </c>
    </row>
    <row r="4019" spans="1:6">
      <c r="A4019">
        <v>132</v>
      </c>
      <c r="B4019" t="s">
        <v>1811</v>
      </c>
      <c r="C4019">
        <v>552064</v>
      </c>
      <c r="D4019" t="s">
        <v>1573</v>
      </c>
      <c r="E4019" t="s">
        <v>1574</v>
      </c>
      <c r="F4019" t="s">
        <v>1575</v>
      </c>
    </row>
    <row r="4020" spans="1:6">
      <c r="A4020">
        <v>132</v>
      </c>
      <c r="B4020" t="s">
        <v>1811</v>
      </c>
      <c r="C4020">
        <v>22576</v>
      </c>
      <c r="D4020" t="s">
        <v>1528</v>
      </c>
      <c r="E4020" t="s">
        <v>1529</v>
      </c>
      <c r="F4020" t="s">
        <v>1530</v>
      </c>
    </row>
    <row r="4021" spans="1:6">
      <c r="A4021">
        <v>132</v>
      </c>
      <c r="B4021" t="s">
        <v>1811</v>
      </c>
      <c r="C4021">
        <v>120056</v>
      </c>
      <c r="D4021" t="s">
        <v>1531</v>
      </c>
      <c r="E4021" t="s">
        <v>1532</v>
      </c>
      <c r="F4021" t="s">
        <v>1533</v>
      </c>
    </row>
    <row r="4022" spans="1:6">
      <c r="A4022">
        <v>132</v>
      </c>
      <c r="B4022" t="s">
        <v>1811</v>
      </c>
      <c r="C4022">
        <v>113100</v>
      </c>
      <c r="D4022" t="s">
        <v>1387</v>
      </c>
      <c r="E4022" t="s">
        <v>1388</v>
      </c>
      <c r="F4022" t="s">
        <v>1389</v>
      </c>
    </row>
    <row r="4023" spans="1:6">
      <c r="A4023">
        <v>132</v>
      </c>
      <c r="B4023" t="s">
        <v>1811</v>
      </c>
      <c r="C4023">
        <v>1406.88</v>
      </c>
      <c r="D4023" t="s">
        <v>1537</v>
      </c>
      <c r="E4023" t="s">
        <v>1538</v>
      </c>
      <c r="F4023" t="s">
        <v>1539</v>
      </c>
    </row>
    <row r="4024" spans="1:6">
      <c r="A4024">
        <v>132</v>
      </c>
      <c r="B4024" t="s">
        <v>1811</v>
      </c>
      <c r="C4024">
        <v>5439.68</v>
      </c>
      <c r="D4024" t="s">
        <v>1540</v>
      </c>
      <c r="E4024" t="s">
        <v>1538</v>
      </c>
      <c r="F4024" t="s">
        <v>1541</v>
      </c>
    </row>
    <row r="4025" spans="1:6">
      <c r="A4025">
        <v>132</v>
      </c>
      <c r="B4025" t="s">
        <v>1811</v>
      </c>
      <c r="C4025">
        <v>50226.54</v>
      </c>
      <c r="D4025" t="s">
        <v>1431</v>
      </c>
      <c r="E4025" t="s">
        <v>1432</v>
      </c>
      <c r="F4025" t="s">
        <v>1433</v>
      </c>
    </row>
    <row r="4026" spans="1:6">
      <c r="A4026">
        <v>132</v>
      </c>
      <c r="B4026" t="s">
        <v>1811</v>
      </c>
      <c r="C4026">
        <v>119777.73</v>
      </c>
      <c r="D4026" t="s">
        <v>1434</v>
      </c>
      <c r="E4026" t="s">
        <v>1432</v>
      </c>
      <c r="F4026" t="s">
        <v>1435</v>
      </c>
    </row>
    <row r="4027" spans="1:6">
      <c r="A4027">
        <v>132</v>
      </c>
      <c r="B4027" t="s">
        <v>1811</v>
      </c>
      <c r="C4027">
        <v>20758</v>
      </c>
      <c r="D4027" t="s">
        <v>1436</v>
      </c>
      <c r="E4027" t="s">
        <v>1437</v>
      </c>
      <c r="F4027" t="s">
        <v>1438</v>
      </c>
    </row>
    <row r="4028" spans="1:6">
      <c r="A4028">
        <v>132</v>
      </c>
      <c r="B4028" t="s">
        <v>1811</v>
      </c>
      <c r="C4028">
        <v>68922</v>
      </c>
      <c r="D4028" t="s">
        <v>1294</v>
      </c>
      <c r="E4028" t="s">
        <v>1295</v>
      </c>
      <c r="F4028" t="s">
        <v>1438</v>
      </c>
    </row>
    <row r="4029" spans="1:6">
      <c r="A4029">
        <v>132</v>
      </c>
      <c r="B4029" t="s">
        <v>1811</v>
      </c>
      <c r="C4029">
        <v>50000</v>
      </c>
      <c r="D4029" t="s">
        <v>1146</v>
      </c>
      <c r="E4029" t="s">
        <v>1295</v>
      </c>
      <c r="F4029" t="s">
        <v>1438</v>
      </c>
    </row>
    <row r="4030" spans="1:6">
      <c r="A4030">
        <v>132</v>
      </c>
      <c r="B4030" t="s">
        <v>1811</v>
      </c>
      <c r="C4030">
        <v>48267</v>
      </c>
      <c r="D4030" t="s">
        <v>1584</v>
      </c>
      <c r="E4030" t="s">
        <v>1585</v>
      </c>
      <c r="F4030" t="s">
        <v>1586</v>
      </c>
    </row>
    <row r="4031" spans="1:6">
      <c r="A4031">
        <v>132</v>
      </c>
      <c r="B4031" t="s">
        <v>1811</v>
      </c>
      <c r="C4031">
        <v>39000</v>
      </c>
      <c r="D4031" t="s">
        <v>1587</v>
      </c>
      <c r="E4031" t="s">
        <v>1585</v>
      </c>
      <c r="F4031" t="s">
        <v>1588</v>
      </c>
    </row>
    <row r="4032" spans="1:6">
      <c r="A4032">
        <v>132</v>
      </c>
      <c r="B4032" t="s">
        <v>1811</v>
      </c>
      <c r="C4032">
        <v>10631</v>
      </c>
      <c r="D4032" t="s">
        <v>1457</v>
      </c>
      <c r="E4032" t="s">
        <v>1455</v>
      </c>
      <c r="F4032" t="s">
        <v>1458</v>
      </c>
    </row>
    <row r="4033" spans="1:6">
      <c r="A4033">
        <v>132</v>
      </c>
      <c r="B4033" t="s">
        <v>1811</v>
      </c>
      <c r="C4033">
        <v>6096</v>
      </c>
      <c r="D4033" t="s">
        <v>1589</v>
      </c>
      <c r="E4033" t="s">
        <v>1590</v>
      </c>
      <c r="F4033" t="s">
        <v>1591</v>
      </c>
    </row>
    <row r="4034" spans="1:6">
      <c r="A4034">
        <v>132</v>
      </c>
      <c r="B4034" t="s">
        <v>1811</v>
      </c>
      <c r="C4034">
        <v>3000</v>
      </c>
      <c r="D4034" t="s">
        <v>1592</v>
      </c>
      <c r="E4034" t="s">
        <v>1590</v>
      </c>
      <c r="F4034" t="s">
        <v>1593</v>
      </c>
    </row>
    <row r="4035" spans="1:6">
      <c r="A4035">
        <v>132</v>
      </c>
      <c r="B4035" t="s">
        <v>1811</v>
      </c>
      <c r="C4035">
        <v>6766</v>
      </c>
      <c r="D4035" t="s">
        <v>1594</v>
      </c>
      <c r="E4035" t="s">
        <v>1595</v>
      </c>
      <c r="F4035" t="s">
        <v>1596</v>
      </c>
    </row>
    <row r="4036" spans="1:6">
      <c r="A4036">
        <v>132</v>
      </c>
      <c r="B4036" t="s">
        <v>1811</v>
      </c>
      <c r="C4036">
        <v>880</v>
      </c>
      <c r="D4036" t="s">
        <v>1597</v>
      </c>
      <c r="E4036" t="s">
        <v>1595</v>
      </c>
      <c r="F4036" t="s">
        <v>1598</v>
      </c>
    </row>
    <row r="4037" spans="1:6">
      <c r="A4037">
        <v>132</v>
      </c>
      <c r="B4037" t="s">
        <v>1811</v>
      </c>
      <c r="C4037">
        <v>1</v>
      </c>
      <c r="D4037" t="s">
        <v>1147</v>
      </c>
      <c r="E4037" t="s">
        <v>1600</v>
      </c>
      <c r="F4037" t="s">
        <v>1214</v>
      </c>
    </row>
    <row r="4038" spans="1:6">
      <c r="A4038">
        <v>132</v>
      </c>
      <c r="B4038" t="s">
        <v>1811</v>
      </c>
      <c r="C4038">
        <v>613029</v>
      </c>
      <c r="D4038" t="s">
        <v>1599</v>
      </c>
      <c r="E4038" t="s">
        <v>1600</v>
      </c>
      <c r="F4038" t="s">
        <v>1601</v>
      </c>
    </row>
    <row r="4039" spans="1:6">
      <c r="A4039">
        <v>132</v>
      </c>
      <c r="B4039" t="s">
        <v>1811</v>
      </c>
      <c r="C4039">
        <v>325179</v>
      </c>
      <c r="D4039" t="s">
        <v>1602</v>
      </c>
      <c r="E4039" t="s">
        <v>1600</v>
      </c>
      <c r="F4039" t="s">
        <v>1603</v>
      </c>
    </row>
    <row r="4040" spans="1:6">
      <c r="A4040">
        <v>132</v>
      </c>
      <c r="B4040" t="s">
        <v>1811</v>
      </c>
      <c r="C4040">
        <v>106</v>
      </c>
      <c r="D4040" t="s">
        <v>1032</v>
      </c>
      <c r="E4040" t="s">
        <v>1033</v>
      </c>
      <c r="F4040" t="s">
        <v>1034</v>
      </c>
    </row>
    <row r="4041" spans="1:6">
      <c r="A4041">
        <v>132</v>
      </c>
      <c r="B4041" t="s">
        <v>1811</v>
      </c>
      <c r="C4041">
        <v>16539</v>
      </c>
      <c r="D4041" t="s">
        <v>1459</v>
      </c>
      <c r="E4041" t="s">
        <v>1605</v>
      </c>
      <c r="F4041" t="s">
        <v>1460</v>
      </c>
    </row>
    <row r="4042" spans="1:6">
      <c r="A4042">
        <v>132</v>
      </c>
      <c r="B4042" t="s">
        <v>1811</v>
      </c>
      <c r="C4042">
        <v>11360</v>
      </c>
      <c r="D4042" t="s">
        <v>1604</v>
      </c>
      <c r="E4042" t="s">
        <v>1605</v>
      </c>
      <c r="F4042" t="s">
        <v>1606</v>
      </c>
    </row>
    <row r="4043" spans="1:6">
      <c r="A4043">
        <v>132</v>
      </c>
      <c r="B4043" t="s">
        <v>1811</v>
      </c>
      <c r="C4043">
        <v>48252</v>
      </c>
      <c r="D4043" t="s">
        <v>1273</v>
      </c>
      <c r="E4043" t="s">
        <v>1274</v>
      </c>
      <c r="F4043" t="s">
        <v>1275</v>
      </c>
    </row>
    <row r="4044" spans="1:6">
      <c r="A4044">
        <v>132</v>
      </c>
      <c r="B4044" t="s">
        <v>1811</v>
      </c>
      <c r="C4044">
        <v>63656.800000000003</v>
      </c>
      <c r="D4044" t="s">
        <v>1379</v>
      </c>
      <c r="E4044" t="s">
        <v>1380</v>
      </c>
      <c r="F4044" t="s">
        <v>1381</v>
      </c>
    </row>
    <row r="4045" spans="1:6">
      <c r="A4045">
        <v>132</v>
      </c>
      <c r="B4045" t="s">
        <v>1811</v>
      </c>
      <c r="C4045">
        <v>208936.42</v>
      </c>
      <c r="D4045" t="s">
        <v>1475</v>
      </c>
      <c r="E4045" t="s">
        <v>1476</v>
      </c>
      <c r="F4045" t="s">
        <v>1477</v>
      </c>
    </row>
    <row r="4046" spans="1:6">
      <c r="A4046">
        <v>132</v>
      </c>
      <c r="B4046" t="s">
        <v>1811</v>
      </c>
      <c r="C4046">
        <v>302317.7</v>
      </c>
      <c r="D4046" t="s">
        <v>1478</v>
      </c>
      <c r="E4046" t="s">
        <v>1479</v>
      </c>
      <c r="F4046" t="s">
        <v>1480</v>
      </c>
    </row>
    <row r="4047" spans="1:6">
      <c r="A4047">
        <v>132</v>
      </c>
      <c r="B4047" t="s">
        <v>1811</v>
      </c>
      <c r="C4047">
        <v>465526.41</v>
      </c>
      <c r="D4047" t="s">
        <v>1365</v>
      </c>
      <c r="E4047" t="s">
        <v>1366</v>
      </c>
      <c r="F4047" t="s">
        <v>1367</v>
      </c>
    </row>
    <row r="4048" spans="1:6">
      <c r="A4048">
        <v>132</v>
      </c>
      <c r="B4048" t="s">
        <v>1811</v>
      </c>
      <c r="C4048">
        <v>19486</v>
      </c>
      <c r="D4048" t="s">
        <v>1607</v>
      </c>
      <c r="E4048" t="s">
        <v>1608</v>
      </c>
      <c r="F4048" t="s">
        <v>1609</v>
      </c>
    </row>
    <row r="4049" spans="1:6">
      <c r="A4049">
        <v>132</v>
      </c>
      <c r="B4049" t="s">
        <v>1811</v>
      </c>
      <c r="C4049">
        <v>2549</v>
      </c>
      <c r="D4049" t="s">
        <v>1610</v>
      </c>
      <c r="E4049" t="s">
        <v>1481</v>
      </c>
      <c r="F4049" t="s">
        <v>1482</v>
      </c>
    </row>
    <row r="4050" spans="1:6">
      <c r="A4050">
        <v>133</v>
      </c>
      <c r="B4050" t="s">
        <v>1812</v>
      </c>
      <c r="C4050">
        <v>1625</v>
      </c>
      <c r="D4050" t="s">
        <v>1489</v>
      </c>
      <c r="E4050" t="s">
        <v>1490</v>
      </c>
      <c r="F4050" t="s">
        <v>1491</v>
      </c>
    </row>
    <row r="4051" spans="1:6">
      <c r="A4051">
        <v>133</v>
      </c>
      <c r="B4051" t="s">
        <v>1812</v>
      </c>
      <c r="C4051">
        <v>125929</v>
      </c>
      <c r="D4051" t="s">
        <v>1567</v>
      </c>
      <c r="E4051" t="s">
        <v>1568</v>
      </c>
      <c r="F4051" t="s">
        <v>1569</v>
      </c>
    </row>
    <row r="4052" spans="1:6">
      <c r="A4052">
        <v>133</v>
      </c>
      <c r="B4052" t="s">
        <v>1812</v>
      </c>
      <c r="C4052">
        <v>38684</v>
      </c>
      <c r="D4052" t="s">
        <v>1496</v>
      </c>
      <c r="E4052" t="s">
        <v>1497</v>
      </c>
      <c r="F4052" t="s">
        <v>1498</v>
      </c>
    </row>
    <row r="4053" spans="1:6">
      <c r="A4053">
        <v>133</v>
      </c>
      <c r="B4053" t="s">
        <v>1812</v>
      </c>
      <c r="C4053">
        <v>2298457</v>
      </c>
      <c r="D4053" t="s">
        <v>1570</v>
      </c>
      <c r="E4053" t="s">
        <v>1571</v>
      </c>
      <c r="F4053" t="s">
        <v>1572</v>
      </c>
    </row>
    <row r="4054" spans="1:6">
      <c r="A4054">
        <v>133</v>
      </c>
      <c r="B4054" t="s">
        <v>1812</v>
      </c>
      <c r="C4054">
        <v>32763</v>
      </c>
      <c r="D4054" t="s">
        <v>1520</v>
      </c>
      <c r="E4054" t="s">
        <v>1521</v>
      </c>
      <c r="F4054" t="s">
        <v>1522</v>
      </c>
    </row>
    <row r="4055" spans="1:6">
      <c r="A4055">
        <v>133</v>
      </c>
      <c r="B4055" t="s">
        <v>1812</v>
      </c>
      <c r="C4055">
        <v>331668</v>
      </c>
      <c r="D4055" t="s">
        <v>1573</v>
      </c>
      <c r="E4055" t="s">
        <v>1574</v>
      </c>
      <c r="F4055" t="s">
        <v>1575</v>
      </c>
    </row>
    <row r="4056" spans="1:6">
      <c r="A4056">
        <v>133</v>
      </c>
      <c r="B4056" t="s">
        <v>1812</v>
      </c>
      <c r="C4056">
        <v>67393</v>
      </c>
      <c r="D4056" t="s">
        <v>1371</v>
      </c>
      <c r="E4056" t="s">
        <v>1372</v>
      </c>
      <c r="F4056" t="s">
        <v>1373</v>
      </c>
    </row>
    <row r="4057" spans="1:6">
      <c r="A4057">
        <v>133</v>
      </c>
      <c r="B4057" t="s">
        <v>1812</v>
      </c>
      <c r="C4057">
        <v>10729</v>
      </c>
      <c r="D4057" t="s">
        <v>1525</v>
      </c>
      <c r="E4057" t="s">
        <v>1526</v>
      </c>
      <c r="F4057" t="s">
        <v>1527</v>
      </c>
    </row>
    <row r="4058" spans="1:6">
      <c r="A4058">
        <v>133</v>
      </c>
      <c r="B4058" t="s">
        <v>1812</v>
      </c>
      <c r="C4058">
        <v>7690</v>
      </c>
      <c r="D4058" t="s">
        <v>1390</v>
      </c>
      <c r="E4058" t="s">
        <v>1391</v>
      </c>
      <c r="F4058" t="s">
        <v>1392</v>
      </c>
    </row>
    <row r="4059" spans="1:6">
      <c r="A4059">
        <v>133</v>
      </c>
      <c r="B4059" t="s">
        <v>1812</v>
      </c>
      <c r="C4059">
        <v>2464.5100000000002</v>
      </c>
      <c r="D4059" t="s">
        <v>1537</v>
      </c>
      <c r="E4059" t="s">
        <v>1538</v>
      </c>
      <c r="F4059" t="s">
        <v>1539</v>
      </c>
    </row>
    <row r="4060" spans="1:6">
      <c r="A4060">
        <v>133</v>
      </c>
      <c r="B4060" t="s">
        <v>1812</v>
      </c>
      <c r="C4060">
        <v>5637.02</v>
      </c>
      <c r="D4060" t="s">
        <v>1540</v>
      </c>
      <c r="E4060" t="s">
        <v>1538</v>
      </c>
      <c r="F4060" t="s">
        <v>1541</v>
      </c>
    </row>
    <row r="4061" spans="1:6">
      <c r="A4061">
        <v>133</v>
      </c>
      <c r="B4061" t="s">
        <v>1812</v>
      </c>
      <c r="C4061">
        <v>9746.94</v>
      </c>
      <c r="D4061" t="s">
        <v>1431</v>
      </c>
      <c r="E4061" t="s">
        <v>1432</v>
      </c>
      <c r="F4061" t="s">
        <v>1433</v>
      </c>
    </row>
    <row r="4062" spans="1:6">
      <c r="A4062">
        <v>133</v>
      </c>
      <c r="B4062" t="s">
        <v>1812</v>
      </c>
      <c r="C4062">
        <v>23804.25</v>
      </c>
      <c r="D4062" t="s">
        <v>1434</v>
      </c>
      <c r="E4062" t="s">
        <v>1432</v>
      </c>
      <c r="F4062" t="s">
        <v>1435</v>
      </c>
    </row>
    <row r="4063" spans="1:6">
      <c r="A4063">
        <v>133</v>
      </c>
      <c r="B4063" t="s">
        <v>1812</v>
      </c>
      <c r="C4063">
        <v>66101</v>
      </c>
      <c r="D4063" t="s">
        <v>1579</v>
      </c>
      <c r="E4063" t="s">
        <v>1577</v>
      </c>
      <c r="F4063" t="s">
        <v>1580</v>
      </c>
    </row>
    <row r="4064" spans="1:6">
      <c r="A4064">
        <v>133</v>
      </c>
      <c r="B4064" t="s">
        <v>1812</v>
      </c>
      <c r="C4064">
        <v>500</v>
      </c>
      <c r="D4064" t="s">
        <v>1581</v>
      </c>
      <c r="E4064" t="s">
        <v>1582</v>
      </c>
      <c r="F4064" t="s">
        <v>1583</v>
      </c>
    </row>
    <row r="4065" spans="1:6">
      <c r="A4065">
        <v>133</v>
      </c>
      <c r="B4065" t="s">
        <v>1812</v>
      </c>
      <c r="C4065">
        <v>2000</v>
      </c>
      <c r="D4065" t="s">
        <v>1584</v>
      </c>
      <c r="E4065" t="s">
        <v>1585</v>
      </c>
      <c r="F4065" t="s">
        <v>1586</v>
      </c>
    </row>
    <row r="4066" spans="1:6">
      <c r="A4066">
        <v>133</v>
      </c>
      <c r="B4066" t="s">
        <v>1812</v>
      </c>
      <c r="C4066">
        <v>20566</v>
      </c>
      <c r="D4066" t="s">
        <v>1587</v>
      </c>
      <c r="E4066" t="s">
        <v>1585</v>
      </c>
      <c r="F4066" t="s">
        <v>1588</v>
      </c>
    </row>
    <row r="4067" spans="1:6">
      <c r="A4067">
        <v>133</v>
      </c>
      <c r="B4067" t="s">
        <v>1812</v>
      </c>
      <c r="C4067">
        <v>96</v>
      </c>
      <c r="D4067" t="s">
        <v>1589</v>
      </c>
      <c r="E4067" t="s">
        <v>1590</v>
      </c>
      <c r="F4067" t="s">
        <v>1591</v>
      </c>
    </row>
    <row r="4068" spans="1:6">
      <c r="A4068">
        <v>133</v>
      </c>
      <c r="B4068" t="s">
        <v>1812</v>
      </c>
      <c r="C4068">
        <v>1500</v>
      </c>
      <c r="D4068" t="s">
        <v>1592</v>
      </c>
      <c r="E4068" t="s">
        <v>1590</v>
      </c>
      <c r="F4068" t="s">
        <v>1593</v>
      </c>
    </row>
    <row r="4069" spans="1:6">
      <c r="A4069">
        <v>133</v>
      </c>
      <c r="B4069" t="s">
        <v>1812</v>
      </c>
      <c r="C4069">
        <v>337</v>
      </c>
      <c r="D4069" t="s">
        <v>1594</v>
      </c>
      <c r="E4069" t="s">
        <v>1595</v>
      </c>
      <c r="F4069" t="s">
        <v>1596</v>
      </c>
    </row>
    <row r="4070" spans="1:6">
      <c r="A4070">
        <v>133</v>
      </c>
      <c r="B4070" t="s">
        <v>1812</v>
      </c>
      <c r="C4070">
        <v>600</v>
      </c>
      <c r="D4070" t="s">
        <v>1597</v>
      </c>
      <c r="E4070" t="s">
        <v>1595</v>
      </c>
      <c r="F4070" t="s">
        <v>1598</v>
      </c>
    </row>
    <row r="4071" spans="1:6">
      <c r="A4071">
        <v>133</v>
      </c>
      <c r="B4071" t="s">
        <v>1812</v>
      </c>
      <c r="C4071">
        <v>614</v>
      </c>
      <c r="D4071" t="s">
        <v>1599</v>
      </c>
      <c r="E4071" t="s">
        <v>1600</v>
      </c>
      <c r="F4071" t="s">
        <v>1601</v>
      </c>
    </row>
    <row r="4072" spans="1:6">
      <c r="A4072">
        <v>133</v>
      </c>
      <c r="B4072" t="s">
        <v>1812</v>
      </c>
      <c r="C4072">
        <v>87275</v>
      </c>
      <c r="D4072" t="s">
        <v>1602</v>
      </c>
      <c r="E4072" t="s">
        <v>1600</v>
      </c>
      <c r="F4072" t="s">
        <v>1603</v>
      </c>
    </row>
    <row r="4073" spans="1:6">
      <c r="A4073">
        <v>133</v>
      </c>
      <c r="B4073" t="s">
        <v>1812</v>
      </c>
      <c r="C4073">
        <v>7183</v>
      </c>
      <c r="D4073" t="s">
        <v>1604</v>
      </c>
      <c r="E4073" t="s">
        <v>1605</v>
      </c>
      <c r="F4073" t="s">
        <v>1606</v>
      </c>
    </row>
    <row r="4074" spans="1:6">
      <c r="A4074">
        <v>134</v>
      </c>
      <c r="B4074" t="s">
        <v>1813</v>
      </c>
      <c r="C4074">
        <v>60535</v>
      </c>
      <c r="D4074" t="s">
        <v>1401</v>
      </c>
      <c r="E4074" t="s">
        <v>1402</v>
      </c>
      <c r="F4074" t="s">
        <v>1403</v>
      </c>
    </row>
    <row r="4075" spans="1:6">
      <c r="A4075">
        <v>134</v>
      </c>
      <c r="B4075" t="s">
        <v>1813</v>
      </c>
      <c r="C4075">
        <v>18774</v>
      </c>
      <c r="D4075" t="s">
        <v>1486</v>
      </c>
      <c r="E4075" t="s">
        <v>1487</v>
      </c>
      <c r="F4075" t="s">
        <v>1488</v>
      </c>
    </row>
    <row r="4076" spans="1:6">
      <c r="A4076">
        <v>134</v>
      </c>
      <c r="B4076" t="s">
        <v>1813</v>
      </c>
      <c r="C4076">
        <v>8781</v>
      </c>
      <c r="D4076" t="s">
        <v>1489</v>
      </c>
      <c r="E4076" t="s">
        <v>1490</v>
      </c>
      <c r="F4076" t="s">
        <v>1491</v>
      </c>
    </row>
    <row r="4077" spans="1:6">
      <c r="A4077">
        <v>134</v>
      </c>
      <c r="B4077" t="s">
        <v>1813</v>
      </c>
      <c r="C4077">
        <v>102250</v>
      </c>
      <c r="D4077" t="s">
        <v>1404</v>
      </c>
      <c r="E4077" t="s">
        <v>1405</v>
      </c>
      <c r="F4077" t="s">
        <v>1406</v>
      </c>
    </row>
    <row r="4078" spans="1:6">
      <c r="A4078">
        <v>134</v>
      </c>
      <c r="B4078" t="s">
        <v>1813</v>
      </c>
      <c r="C4078">
        <v>422965</v>
      </c>
      <c r="D4078" t="s">
        <v>1567</v>
      </c>
      <c r="E4078" t="s">
        <v>1568</v>
      </c>
      <c r="F4078" t="s">
        <v>1569</v>
      </c>
    </row>
    <row r="4079" spans="1:6">
      <c r="A4079">
        <v>134</v>
      </c>
      <c r="B4079" t="s">
        <v>1813</v>
      </c>
      <c r="C4079">
        <v>23457</v>
      </c>
      <c r="D4079" t="s">
        <v>1496</v>
      </c>
      <c r="E4079" t="s">
        <v>1497</v>
      </c>
      <c r="F4079" t="s">
        <v>1498</v>
      </c>
    </row>
    <row r="4080" spans="1:6">
      <c r="A4080">
        <v>134</v>
      </c>
      <c r="B4080" t="s">
        <v>1813</v>
      </c>
      <c r="C4080">
        <v>8627318</v>
      </c>
      <c r="D4080" t="s">
        <v>1570</v>
      </c>
      <c r="E4080" t="s">
        <v>1571</v>
      </c>
      <c r="F4080" t="s">
        <v>1572</v>
      </c>
    </row>
    <row r="4081" spans="1:6">
      <c r="A4081">
        <v>134</v>
      </c>
      <c r="B4081" t="s">
        <v>1813</v>
      </c>
      <c r="C4081">
        <v>3000</v>
      </c>
      <c r="D4081" t="s">
        <v>1515</v>
      </c>
      <c r="E4081" t="s">
        <v>1516</v>
      </c>
      <c r="F4081" t="s">
        <v>1517</v>
      </c>
    </row>
    <row r="4082" spans="1:6">
      <c r="A4082">
        <v>134</v>
      </c>
      <c r="B4082" t="s">
        <v>1813</v>
      </c>
      <c r="C4082">
        <v>499</v>
      </c>
      <c r="D4082" t="s">
        <v>1518</v>
      </c>
      <c r="E4082" t="s">
        <v>1516</v>
      </c>
      <c r="F4082" t="s">
        <v>1519</v>
      </c>
    </row>
    <row r="4083" spans="1:6">
      <c r="A4083">
        <v>134</v>
      </c>
      <c r="B4083" t="s">
        <v>1813</v>
      </c>
      <c r="C4083">
        <v>187885</v>
      </c>
      <c r="D4083" t="s">
        <v>1520</v>
      </c>
      <c r="E4083" t="s">
        <v>1521</v>
      </c>
      <c r="F4083" t="s">
        <v>1522</v>
      </c>
    </row>
    <row r="4084" spans="1:6">
      <c r="A4084">
        <v>134</v>
      </c>
      <c r="B4084" t="s">
        <v>1813</v>
      </c>
      <c r="C4084">
        <v>188001</v>
      </c>
      <c r="D4084" t="s">
        <v>1573</v>
      </c>
      <c r="E4084" t="s">
        <v>1574</v>
      </c>
      <c r="F4084" t="s">
        <v>1575</v>
      </c>
    </row>
    <row r="4085" spans="1:6">
      <c r="A4085">
        <v>134</v>
      </c>
      <c r="B4085" t="s">
        <v>1813</v>
      </c>
      <c r="C4085">
        <v>2600</v>
      </c>
      <c r="D4085" t="s">
        <v>1523</v>
      </c>
      <c r="E4085" t="s">
        <v>1521</v>
      </c>
      <c r="F4085" t="s">
        <v>1524</v>
      </c>
    </row>
    <row r="4086" spans="1:6">
      <c r="A4086">
        <v>134</v>
      </c>
      <c r="B4086" t="s">
        <v>1813</v>
      </c>
      <c r="C4086">
        <v>21919</v>
      </c>
      <c r="D4086" t="s">
        <v>1525</v>
      </c>
      <c r="E4086" t="s">
        <v>1526</v>
      </c>
      <c r="F4086" t="s">
        <v>1527</v>
      </c>
    </row>
    <row r="4087" spans="1:6">
      <c r="A4087">
        <v>134</v>
      </c>
      <c r="B4087" t="s">
        <v>1813</v>
      </c>
      <c r="C4087">
        <v>20762</v>
      </c>
      <c r="D4087" t="s">
        <v>1528</v>
      </c>
      <c r="E4087" t="s">
        <v>1529</v>
      </c>
      <c r="F4087" t="s">
        <v>1530</v>
      </c>
    </row>
    <row r="4088" spans="1:6">
      <c r="A4088">
        <v>134</v>
      </c>
      <c r="B4088" t="s">
        <v>1813</v>
      </c>
      <c r="C4088">
        <v>100000</v>
      </c>
      <c r="D4088" t="s">
        <v>1204</v>
      </c>
      <c r="E4088" t="s">
        <v>1205</v>
      </c>
      <c r="F4088" t="s">
        <v>1206</v>
      </c>
    </row>
    <row r="4089" spans="1:6">
      <c r="A4089">
        <v>134</v>
      </c>
      <c r="B4089" t="s">
        <v>1813</v>
      </c>
      <c r="C4089">
        <v>19810</v>
      </c>
      <c r="D4089" t="s">
        <v>1390</v>
      </c>
      <c r="E4089" t="s">
        <v>1391</v>
      </c>
      <c r="F4089" t="s">
        <v>1392</v>
      </c>
    </row>
    <row r="4090" spans="1:6">
      <c r="A4090">
        <v>134</v>
      </c>
      <c r="B4090" t="s">
        <v>1813</v>
      </c>
      <c r="C4090">
        <v>73785</v>
      </c>
      <c r="D4090" t="s">
        <v>1534</v>
      </c>
      <c r="E4090" t="s">
        <v>1535</v>
      </c>
      <c r="F4090" t="s">
        <v>1536</v>
      </c>
    </row>
    <row r="4091" spans="1:6">
      <c r="A4091">
        <v>134</v>
      </c>
      <c r="B4091" t="s">
        <v>1813</v>
      </c>
      <c r="C4091">
        <v>10416.18</v>
      </c>
      <c r="D4091" t="s">
        <v>1537</v>
      </c>
      <c r="E4091" t="s">
        <v>1538</v>
      </c>
      <c r="F4091" t="s">
        <v>1539</v>
      </c>
    </row>
    <row r="4092" spans="1:6">
      <c r="A4092">
        <v>134</v>
      </c>
      <c r="B4092" t="s">
        <v>1813</v>
      </c>
      <c r="C4092">
        <v>20084.57</v>
      </c>
      <c r="D4092" t="s">
        <v>1540</v>
      </c>
      <c r="E4092" t="s">
        <v>1538</v>
      </c>
      <c r="F4092" t="s">
        <v>1541</v>
      </c>
    </row>
    <row r="4093" spans="1:6">
      <c r="A4093">
        <v>134</v>
      </c>
      <c r="B4093" t="s">
        <v>1813</v>
      </c>
      <c r="C4093">
        <v>5660</v>
      </c>
      <c r="D4093" t="s">
        <v>1542</v>
      </c>
      <c r="E4093" t="s">
        <v>1424</v>
      </c>
      <c r="F4093" t="s">
        <v>1425</v>
      </c>
    </row>
    <row r="4094" spans="1:6">
      <c r="A4094">
        <v>134</v>
      </c>
      <c r="B4094" t="s">
        <v>1813</v>
      </c>
      <c r="C4094">
        <v>9072</v>
      </c>
      <c r="D4094" t="s">
        <v>1426</v>
      </c>
      <c r="E4094" t="s">
        <v>1424</v>
      </c>
      <c r="F4094" t="s">
        <v>1427</v>
      </c>
    </row>
    <row r="4095" spans="1:6">
      <c r="A4095">
        <v>134</v>
      </c>
      <c r="B4095" t="s">
        <v>1813</v>
      </c>
      <c r="C4095">
        <v>1033</v>
      </c>
      <c r="D4095" t="s">
        <v>1428</v>
      </c>
      <c r="E4095" t="s">
        <v>1429</v>
      </c>
      <c r="F4095" t="s">
        <v>1430</v>
      </c>
    </row>
    <row r="4096" spans="1:6">
      <c r="A4096">
        <v>134</v>
      </c>
      <c r="B4096" t="s">
        <v>1813</v>
      </c>
      <c r="C4096">
        <v>46475.38</v>
      </c>
      <c r="D4096" t="s">
        <v>1431</v>
      </c>
      <c r="E4096" t="s">
        <v>1432</v>
      </c>
      <c r="F4096" t="s">
        <v>1433</v>
      </c>
    </row>
    <row r="4097" spans="1:6">
      <c r="A4097">
        <v>134</v>
      </c>
      <c r="B4097" t="s">
        <v>1813</v>
      </c>
      <c r="C4097">
        <v>97325.04</v>
      </c>
      <c r="D4097" t="s">
        <v>1434</v>
      </c>
      <c r="E4097" t="s">
        <v>1432</v>
      </c>
      <c r="F4097" t="s">
        <v>1435</v>
      </c>
    </row>
    <row r="4098" spans="1:6">
      <c r="A4098">
        <v>134</v>
      </c>
      <c r="B4098" t="s">
        <v>1813</v>
      </c>
      <c r="C4098">
        <v>194341</v>
      </c>
      <c r="D4098" t="s">
        <v>1579</v>
      </c>
      <c r="E4098" t="s">
        <v>1577</v>
      </c>
      <c r="F4098" t="s">
        <v>1580</v>
      </c>
    </row>
    <row r="4099" spans="1:6">
      <c r="A4099">
        <v>134</v>
      </c>
      <c r="B4099" t="s">
        <v>1813</v>
      </c>
      <c r="C4099">
        <v>19225</v>
      </c>
      <c r="D4099" t="s">
        <v>1436</v>
      </c>
      <c r="E4099" t="s">
        <v>1437</v>
      </c>
      <c r="F4099" t="s">
        <v>1438</v>
      </c>
    </row>
    <row r="4100" spans="1:6">
      <c r="A4100">
        <v>134</v>
      </c>
      <c r="B4100" t="s">
        <v>1813</v>
      </c>
      <c r="C4100">
        <v>1489</v>
      </c>
      <c r="D4100" t="s">
        <v>1581</v>
      </c>
      <c r="E4100" t="s">
        <v>1582</v>
      </c>
      <c r="F4100" t="s">
        <v>1583</v>
      </c>
    </row>
    <row r="4101" spans="1:6">
      <c r="A4101">
        <v>134</v>
      </c>
      <c r="B4101" t="s">
        <v>1813</v>
      </c>
      <c r="C4101">
        <v>66446</v>
      </c>
      <c r="D4101" t="s">
        <v>1587</v>
      </c>
      <c r="E4101" t="s">
        <v>1585</v>
      </c>
      <c r="F4101" t="s">
        <v>1588</v>
      </c>
    </row>
    <row r="4102" spans="1:6">
      <c r="A4102">
        <v>134</v>
      </c>
      <c r="B4102" t="s">
        <v>1813</v>
      </c>
      <c r="C4102">
        <v>6568</v>
      </c>
      <c r="D4102" t="s">
        <v>1592</v>
      </c>
      <c r="E4102" t="s">
        <v>1590</v>
      </c>
      <c r="F4102" t="s">
        <v>1593</v>
      </c>
    </row>
    <row r="4103" spans="1:6">
      <c r="A4103">
        <v>134</v>
      </c>
      <c r="B4103" t="s">
        <v>1813</v>
      </c>
      <c r="C4103">
        <v>3479</v>
      </c>
      <c r="D4103" t="s">
        <v>1597</v>
      </c>
      <c r="E4103" t="s">
        <v>1595</v>
      </c>
      <c r="F4103" t="s">
        <v>1598</v>
      </c>
    </row>
    <row r="4104" spans="1:6">
      <c r="A4104">
        <v>134</v>
      </c>
      <c r="B4104" t="s">
        <v>1813</v>
      </c>
      <c r="C4104">
        <v>364622</v>
      </c>
      <c r="D4104" t="s">
        <v>1602</v>
      </c>
      <c r="E4104" t="s">
        <v>1600</v>
      </c>
      <c r="F4104" t="s">
        <v>1603</v>
      </c>
    </row>
    <row r="4105" spans="1:6">
      <c r="A4105">
        <v>134</v>
      </c>
      <c r="B4105" t="s">
        <v>1813</v>
      </c>
      <c r="C4105">
        <v>14243</v>
      </c>
      <c r="D4105" t="s">
        <v>1604</v>
      </c>
      <c r="E4105" t="s">
        <v>1605</v>
      </c>
      <c r="F4105" t="s">
        <v>1606</v>
      </c>
    </row>
    <row r="4106" spans="1:6">
      <c r="A4106">
        <v>134</v>
      </c>
      <c r="B4106" t="s">
        <v>1813</v>
      </c>
      <c r="C4106">
        <v>103281.84</v>
      </c>
      <c r="D4106" t="s">
        <v>1475</v>
      </c>
      <c r="E4106" t="s">
        <v>1476</v>
      </c>
      <c r="F4106" t="s">
        <v>1477</v>
      </c>
    </row>
    <row r="4107" spans="1:6">
      <c r="A4107">
        <v>134</v>
      </c>
      <c r="B4107" t="s">
        <v>1813</v>
      </c>
      <c r="C4107">
        <v>333761.61</v>
      </c>
      <c r="D4107" t="s">
        <v>1478</v>
      </c>
      <c r="E4107" t="s">
        <v>1479</v>
      </c>
      <c r="F4107" t="s">
        <v>1480</v>
      </c>
    </row>
    <row r="4108" spans="1:6">
      <c r="A4108">
        <v>134</v>
      </c>
      <c r="B4108" t="s">
        <v>1813</v>
      </c>
      <c r="C4108">
        <v>228785.7</v>
      </c>
      <c r="D4108" t="s">
        <v>1365</v>
      </c>
      <c r="E4108" t="s">
        <v>1366</v>
      </c>
      <c r="F4108" t="s">
        <v>1367</v>
      </c>
    </row>
    <row r="4109" spans="1:6">
      <c r="A4109">
        <v>134</v>
      </c>
      <c r="B4109" t="s">
        <v>1813</v>
      </c>
      <c r="C4109">
        <v>8106065</v>
      </c>
      <c r="D4109" t="s">
        <v>1607</v>
      </c>
      <c r="E4109" t="s">
        <v>1608</v>
      </c>
      <c r="F4109" t="s">
        <v>1609</v>
      </c>
    </row>
    <row r="4110" spans="1:6">
      <c r="A4110">
        <v>134</v>
      </c>
      <c r="B4110" t="s">
        <v>1813</v>
      </c>
      <c r="C4110">
        <v>4544888</v>
      </c>
      <c r="D4110" t="s">
        <v>1610</v>
      </c>
      <c r="E4110" t="s">
        <v>1481</v>
      </c>
      <c r="F4110" t="s">
        <v>1482</v>
      </c>
    </row>
    <row r="4111" spans="1:6">
      <c r="A4111">
        <v>135</v>
      </c>
      <c r="B4111" t="s">
        <v>1814</v>
      </c>
      <c r="C4111">
        <v>63691</v>
      </c>
      <c r="D4111" t="s">
        <v>1401</v>
      </c>
      <c r="E4111" t="s">
        <v>1402</v>
      </c>
      <c r="F4111" t="s">
        <v>1403</v>
      </c>
    </row>
    <row r="4112" spans="1:6">
      <c r="A4112">
        <v>135</v>
      </c>
      <c r="B4112" t="s">
        <v>1814</v>
      </c>
      <c r="C4112">
        <v>50162</v>
      </c>
      <c r="D4112" t="s">
        <v>1489</v>
      </c>
      <c r="E4112" t="s">
        <v>1490</v>
      </c>
      <c r="F4112" t="s">
        <v>1491</v>
      </c>
    </row>
    <row r="4113" spans="1:6">
      <c r="A4113">
        <v>135</v>
      </c>
      <c r="B4113" t="s">
        <v>1814</v>
      </c>
      <c r="C4113">
        <v>76466</v>
      </c>
      <c r="D4113" t="s">
        <v>1407</v>
      </c>
      <c r="E4113" t="s">
        <v>1408</v>
      </c>
      <c r="F4113" t="s">
        <v>1409</v>
      </c>
    </row>
    <row r="4114" spans="1:6">
      <c r="A4114">
        <v>135</v>
      </c>
      <c r="B4114" t="s">
        <v>1814</v>
      </c>
      <c r="C4114">
        <v>107332</v>
      </c>
      <c r="D4114" t="s">
        <v>1567</v>
      </c>
      <c r="E4114" t="s">
        <v>1568</v>
      </c>
      <c r="F4114" t="s">
        <v>1569</v>
      </c>
    </row>
    <row r="4115" spans="1:6">
      <c r="A4115">
        <v>135</v>
      </c>
      <c r="B4115" t="s">
        <v>1814</v>
      </c>
      <c r="C4115">
        <v>405579</v>
      </c>
      <c r="D4115" t="s">
        <v>1496</v>
      </c>
      <c r="E4115" t="s">
        <v>1497</v>
      </c>
      <c r="F4115" t="s">
        <v>1498</v>
      </c>
    </row>
    <row r="4116" spans="1:6">
      <c r="A4116">
        <v>135</v>
      </c>
      <c r="B4116" t="s">
        <v>1814</v>
      </c>
      <c r="C4116">
        <v>5913883</v>
      </c>
      <c r="D4116" t="s">
        <v>1570</v>
      </c>
      <c r="E4116" t="s">
        <v>1571</v>
      </c>
      <c r="F4116" t="s">
        <v>1572</v>
      </c>
    </row>
    <row r="4117" spans="1:6">
      <c r="A4117">
        <v>135</v>
      </c>
      <c r="B4117" t="s">
        <v>1814</v>
      </c>
      <c r="C4117">
        <v>185390</v>
      </c>
      <c r="D4117" t="s">
        <v>1327</v>
      </c>
      <c r="E4117" t="s">
        <v>1328</v>
      </c>
      <c r="F4117" t="s">
        <v>1329</v>
      </c>
    </row>
    <row r="4118" spans="1:6">
      <c r="A4118">
        <v>135</v>
      </c>
      <c r="B4118" t="s">
        <v>1814</v>
      </c>
      <c r="C4118">
        <v>3004562</v>
      </c>
      <c r="D4118" t="s">
        <v>1499</v>
      </c>
      <c r="E4118" t="s">
        <v>1500</v>
      </c>
      <c r="F4118" t="s">
        <v>1501</v>
      </c>
    </row>
    <row r="4119" spans="1:6">
      <c r="A4119">
        <v>135</v>
      </c>
      <c r="B4119" t="s">
        <v>1814</v>
      </c>
      <c r="C4119">
        <v>1479493</v>
      </c>
      <c r="D4119" t="s">
        <v>1502</v>
      </c>
      <c r="E4119" t="s">
        <v>1503</v>
      </c>
      <c r="F4119" t="s">
        <v>1504</v>
      </c>
    </row>
    <row r="4120" spans="1:6">
      <c r="A4120">
        <v>135</v>
      </c>
      <c r="B4120" t="s">
        <v>1814</v>
      </c>
      <c r="C4120">
        <v>260981</v>
      </c>
      <c r="D4120" t="s">
        <v>1505</v>
      </c>
      <c r="E4120" t="s">
        <v>1506</v>
      </c>
      <c r="F4120" t="s">
        <v>1507</v>
      </c>
    </row>
    <row r="4121" spans="1:6">
      <c r="A4121">
        <v>135</v>
      </c>
      <c r="B4121" t="s">
        <v>1814</v>
      </c>
      <c r="C4121">
        <v>307795</v>
      </c>
      <c r="D4121" t="s">
        <v>1508</v>
      </c>
      <c r="E4121" t="s">
        <v>1509</v>
      </c>
      <c r="F4121" t="s">
        <v>1510</v>
      </c>
    </row>
    <row r="4122" spans="1:6">
      <c r="A4122">
        <v>135</v>
      </c>
      <c r="B4122" t="s">
        <v>1814</v>
      </c>
      <c r="C4122">
        <v>57000</v>
      </c>
      <c r="D4122" t="s">
        <v>1515</v>
      </c>
      <c r="E4122" t="s">
        <v>1516</v>
      </c>
      <c r="F4122" t="s">
        <v>1517</v>
      </c>
    </row>
    <row r="4123" spans="1:6">
      <c r="A4123">
        <v>135</v>
      </c>
      <c r="B4123" t="s">
        <v>1814</v>
      </c>
      <c r="C4123">
        <v>11245</v>
      </c>
      <c r="D4123" t="s">
        <v>1518</v>
      </c>
      <c r="E4123" t="s">
        <v>1516</v>
      </c>
      <c r="F4123" t="s">
        <v>1519</v>
      </c>
    </row>
    <row r="4124" spans="1:6">
      <c r="A4124">
        <v>135</v>
      </c>
      <c r="B4124" t="s">
        <v>1814</v>
      </c>
      <c r="C4124">
        <v>479681</v>
      </c>
      <c r="D4124" t="s">
        <v>1520</v>
      </c>
      <c r="E4124" t="s">
        <v>1521</v>
      </c>
      <c r="F4124" t="s">
        <v>1522</v>
      </c>
    </row>
    <row r="4125" spans="1:6">
      <c r="A4125">
        <v>135</v>
      </c>
      <c r="B4125" t="s">
        <v>1814</v>
      </c>
      <c r="C4125">
        <v>737488</v>
      </c>
      <c r="D4125" t="s">
        <v>1573</v>
      </c>
      <c r="E4125" t="s">
        <v>1574</v>
      </c>
      <c r="F4125" t="s">
        <v>1575</v>
      </c>
    </row>
    <row r="4126" spans="1:6">
      <c r="A4126">
        <v>135</v>
      </c>
      <c r="B4126" t="s">
        <v>1814</v>
      </c>
      <c r="C4126">
        <v>15209</v>
      </c>
      <c r="D4126" t="s">
        <v>1523</v>
      </c>
      <c r="E4126" t="s">
        <v>1521</v>
      </c>
      <c r="F4126" t="s">
        <v>1524</v>
      </c>
    </row>
    <row r="4127" spans="1:6">
      <c r="A4127">
        <v>135</v>
      </c>
      <c r="B4127" t="s">
        <v>1814</v>
      </c>
      <c r="C4127">
        <v>24236</v>
      </c>
      <c r="D4127" t="s">
        <v>1371</v>
      </c>
      <c r="E4127" t="s">
        <v>1372</v>
      </c>
      <c r="F4127" t="s">
        <v>1373</v>
      </c>
    </row>
    <row r="4128" spans="1:6">
      <c r="A4128">
        <v>135</v>
      </c>
      <c r="B4128" t="s">
        <v>1814</v>
      </c>
      <c r="C4128">
        <v>24869</v>
      </c>
      <c r="D4128" t="s">
        <v>1525</v>
      </c>
      <c r="E4128" t="s">
        <v>1526</v>
      </c>
      <c r="F4128" t="s">
        <v>1527</v>
      </c>
    </row>
    <row r="4129" spans="1:6">
      <c r="A4129">
        <v>135</v>
      </c>
      <c r="B4129" t="s">
        <v>1814</v>
      </c>
      <c r="C4129">
        <v>59938</v>
      </c>
      <c r="D4129" t="s">
        <v>1528</v>
      </c>
      <c r="E4129" t="s">
        <v>1529</v>
      </c>
      <c r="F4129" t="s">
        <v>1530</v>
      </c>
    </row>
    <row r="4130" spans="1:6">
      <c r="A4130">
        <v>135</v>
      </c>
      <c r="B4130" t="s">
        <v>1814</v>
      </c>
      <c r="C4130">
        <v>32500</v>
      </c>
      <c r="D4130" t="s">
        <v>1387</v>
      </c>
      <c r="E4130" t="s">
        <v>1388</v>
      </c>
      <c r="F4130" t="s">
        <v>1389</v>
      </c>
    </row>
    <row r="4131" spans="1:6">
      <c r="A4131">
        <v>135</v>
      </c>
      <c r="B4131" t="s">
        <v>1814</v>
      </c>
      <c r="C4131">
        <v>1132317</v>
      </c>
      <c r="D4131" t="s">
        <v>1035</v>
      </c>
      <c r="E4131" t="s">
        <v>1411</v>
      </c>
      <c r="F4131" t="s">
        <v>1412</v>
      </c>
    </row>
    <row r="4132" spans="1:6">
      <c r="A4132">
        <v>135</v>
      </c>
      <c r="B4132" t="s">
        <v>1814</v>
      </c>
      <c r="C4132">
        <v>141468</v>
      </c>
      <c r="D4132" t="s">
        <v>1207</v>
      </c>
      <c r="E4132" t="s">
        <v>1350</v>
      </c>
      <c r="F4132" t="s">
        <v>1351</v>
      </c>
    </row>
    <row r="4133" spans="1:6">
      <c r="A4133">
        <v>135</v>
      </c>
      <c r="B4133" t="s">
        <v>1814</v>
      </c>
      <c r="C4133">
        <v>124965.5</v>
      </c>
      <c r="D4133" t="s">
        <v>1537</v>
      </c>
      <c r="E4133" t="s">
        <v>1538</v>
      </c>
      <c r="F4133" t="s">
        <v>1539</v>
      </c>
    </row>
    <row r="4134" spans="1:6">
      <c r="A4134">
        <v>135</v>
      </c>
      <c r="B4134" t="s">
        <v>1814</v>
      </c>
      <c r="C4134">
        <v>195388.02</v>
      </c>
      <c r="D4134" t="s">
        <v>1540</v>
      </c>
      <c r="E4134" t="s">
        <v>1538</v>
      </c>
      <c r="F4134" t="s">
        <v>1541</v>
      </c>
    </row>
    <row r="4135" spans="1:6">
      <c r="A4135">
        <v>135</v>
      </c>
      <c r="B4135" t="s">
        <v>1814</v>
      </c>
      <c r="C4135">
        <v>534930.78</v>
      </c>
      <c r="D4135" t="s">
        <v>1431</v>
      </c>
      <c r="E4135" t="s">
        <v>1432</v>
      </c>
      <c r="F4135" t="s">
        <v>1433</v>
      </c>
    </row>
    <row r="4136" spans="1:6">
      <c r="A4136">
        <v>135</v>
      </c>
      <c r="B4136" t="s">
        <v>1814</v>
      </c>
      <c r="C4136">
        <v>1202041.44</v>
      </c>
      <c r="D4136" t="s">
        <v>1434</v>
      </c>
      <c r="E4136" t="s">
        <v>1432</v>
      </c>
      <c r="F4136" t="s">
        <v>1435</v>
      </c>
    </row>
    <row r="4137" spans="1:6">
      <c r="A4137">
        <v>135</v>
      </c>
      <c r="B4137" t="s">
        <v>1814</v>
      </c>
      <c r="C4137">
        <v>309903</v>
      </c>
      <c r="D4137" t="s">
        <v>1576</v>
      </c>
      <c r="E4137" t="s">
        <v>1577</v>
      </c>
      <c r="F4137" t="s">
        <v>1578</v>
      </c>
    </row>
    <row r="4138" spans="1:6">
      <c r="A4138">
        <v>135</v>
      </c>
      <c r="B4138" t="s">
        <v>1814</v>
      </c>
      <c r="C4138">
        <v>1600000</v>
      </c>
      <c r="D4138" t="s">
        <v>1579</v>
      </c>
      <c r="E4138" t="s">
        <v>1577</v>
      </c>
      <c r="F4138" t="s">
        <v>1580</v>
      </c>
    </row>
    <row r="4139" spans="1:6">
      <c r="A4139">
        <v>135</v>
      </c>
      <c r="B4139" t="s">
        <v>1814</v>
      </c>
      <c r="C4139">
        <v>184460</v>
      </c>
      <c r="D4139" t="s">
        <v>1436</v>
      </c>
      <c r="E4139" t="s">
        <v>1437</v>
      </c>
      <c r="F4139" t="s">
        <v>1438</v>
      </c>
    </row>
    <row r="4140" spans="1:6">
      <c r="A4140">
        <v>135</v>
      </c>
      <c r="B4140" t="s">
        <v>1814</v>
      </c>
      <c r="C4140">
        <v>14023</v>
      </c>
      <c r="D4140" t="s">
        <v>1581</v>
      </c>
      <c r="E4140" t="s">
        <v>1582</v>
      </c>
      <c r="F4140" t="s">
        <v>1583</v>
      </c>
    </row>
    <row r="4141" spans="1:6">
      <c r="A4141">
        <v>135</v>
      </c>
      <c r="B4141" t="s">
        <v>1814</v>
      </c>
      <c r="C4141">
        <v>250000</v>
      </c>
      <c r="D4141" t="s">
        <v>1446</v>
      </c>
      <c r="E4141" t="s">
        <v>1447</v>
      </c>
      <c r="F4141" t="s">
        <v>1448</v>
      </c>
    </row>
    <row r="4142" spans="1:6">
      <c r="A4142">
        <v>135</v>
      </c>
      <c r="B4142" t="s">
        <v>1814</v>
      </c>
      <c r="C4142">
        <v>240308</v>
      </c>
      <c r="D4142" t="s">
        <v>1584</v>
      </c>
      <c r="E4142" t="s">
        <v>1585</v>
      </c>
      <c r="F4142" t="s">
        <v>1586</v>
      </c>
    </row>
    <row r="4143" spans="1:6">
      <c r="A4143">
        <v>135</v>
      </c>
      <c r="B4143" t="s">
        <v>1814</v>
      </c>
      <c r="C4143">
        <v>600000</v>
      </c>
      <c r="D4143" t="s">
        <v>1587</v>
      </c>
      <c r="E4143" t="s">
        <v>1585</v>
      </c>
      <c r="F4143" t="s">
        <v>1588</v>
      </c>
    </row>
    <row r="4144" spans="1:6">
      <c r="A4144">
        <v>135</v>
      </c>
      <c r="B4144" t="s">
        <v>1814</v>
      </c>
      <c r="C4144">
        <v>164746</v>
      </c>
      <c r="D4144" t="s">
        <v>1454</v>
      </c>
      <c r="E4144" t="s">
        <v>1455</v>
      </c>
      <c r="F4144" t="s">
        <v>1456</v>
      </c>
    </row>
    <row r="4145" spans="1:6">
      <c r="A4145">
        <v>135</v>
      </c>
      <c r="B4145" t="s">
        <v>1814</v>
      </c>
      <c r="C4145">
        <v>255000</v>
      </c>
      <c r="D4145" t="s">
        <v>1457</v>
      </c>
      <c r="E4145" t="s">
        <v>1455</v>
      </c>
      <c r="F4145" t="s">
        <v>1458</v>
      </c>
    </row>
    <row r="4146" spans="1:6">
      <c r="A4146">
        <v>135</v>
      </c>
      <c r="B4146" t="s">
        <v>1814</v>
      </c>
      <c r="C4146">
        <v>87047</v>
      </c>
      <c r="D4146" t="s">
        <v>1230</v>
      </c>
      <c r="E4146" t="s">
        <v>1288</v>
      </c>
      <c r="F4146" t="s">
        <v>1231</v>
      </c>
    </row>
    <row r="4147" spans="1:6">
      <c r="A4147">
        <v>135</v>
      </c>
      <c r="B4147" t="s">
        <v>1814</v>
      </c>
      <c r="C4147">
        <v>142000</v>
      </c>
      <c r="D4147" t="s">
        <v>1287</v>
      </c>
      <c r="E4147" t="s">
        <v>1288</v>
      </c>
      <c r="F4147" t="s">
        <v>1289</v>
      </c>
    </row>
    <row r="4148" spans="1:6">
      <c r="A4148">
        <v>135</v>
      </c>
      <c r="B4148" t="s">
        <v>1814</v>
      </c>
      <c r="C4148">
        <v>25569</v>
      </c>
      <c r="D4148" t="s">
        <v>1589</v>
      </c>
      <c r="E4148" t="s">
        <v>1590</v>
      </c>
      <c r="F4148" t="s">
        <v>1591</v>
      </c>
    </row>
    <row r="4149" spans="1:6">
      <c r="A4149">
        <v>135</v>
      </c>
      <c r="B4149" t="s">
        <v>1814</v>
      </c>
      <c r="C4149">
        <v>40000</v>
      </c>
      <c r="D4149" t="s">
        <v>1592</v>
      </c>
      <c r="E4149" t="s">
        <v>1590</v>
      </c>
      <c r="F4149" t="s">
        <v>1593</v>
      </c>
    </row>
    <row r="4150" spans="1:6">
      <c r="A4150">
        <v>135</v>
      </c>
      <c r="B4150" t="s">
        <v>1814</v>
      </c>
      <c r="C4150">
        <v>11522</v>
      </c>
      <c r="D4150" t="s">
        <v>1597</v>
      </c>
      <c r="E4150" t="s">
        <v>1595</v>
      </c>
      <c r="F4150" t="s">
        <v>1598</v>
      </c>
    </row>
    <row r="4151" spans="1:6">
      <c r="A4151">
        <v>135</v>
      </c>
      <c r="B4151" t="s">
        <v>1814</v>
      </c>
      <c r="C4151">
        <v>1775057</v>
      </c>
      <c r="D4151" t="s">
        <v>1599</v>
      </c>
      <c r="E4151" t="s">
        <v>1600</v>
      </c>
      <c r="F4151" t="s">
        <v>1601</v>
      </c>
    </row>
    <row r="4152" spans="1:6">
      <c r="A4152">
        <v>135</v>
      </c>
      <c r="B4152" t="s">
        <v>1814</v>
      </c>
      <c r="C4152">
        <v>10000</v>
      </c>
      <c r="D4152" t="s">
        <v>1269</v>
      </c>
      <c r="E4152" t="s">
        <v>1270</v>
      </c>
      <c r="F4152" t="s">
        <v>1601</v>
      </c>
    </row>
    <row r="4153" spans="1:6">
      <c r="A4153">
        <v>135</v>
      </c>
      <c r="B4153" t="s">
        <v>1814</v>
      </c>
      <c r="C4153">
        <v>2971713</v>
      </c>
      <c r="D4153" t="s">
        <v>1602</v>
      </c>
      <c r="E4153" t="s">
        <v>1600</v>
      </c>
      <c r="F4153" t="s">
        <v>1603</v>
      </c>
    </row>
    <row r="4154" spans="1:6">
      <c r="A4154">
        <v>135</v>
      </c>
      <c r="B4154" t="s">
        <v>1814</v>
      </c>
      <c r="C4154">
        <v>51339</v>
      </c>
      <c r="D4154" t="s">
        <v>1459</v>
      </c>
      <c r="E4154" t="s">
        <v>1605</v>
      </c>
      <c r="F4154" t="s">
        <v>1460</v>
      </c>
    </row>
    <row r="4155" spans="1:6">
      <c r="A4155">
        <v>135</v>
      </c>
      <c r="B4155" t="s">
        <v>1814</v>
      </c>
      <c r="C4155">
        <v>60000</v>
      </c>
      <c r="D4155" t="s">
        <v>1604</v>
      </c>
      <c r="E4155" t="s">
        <v>1605</v>
      </c>
      <c r="F4155" t="s">
        <v>1606</v>
      </c>
    </row>
    <row r="4156" spans="1:6">
      <c r="A4156">
        <v>135</v>
      </c>
      <c r="B4156" t="s">
        <v>1814</v>
      </c>
      <c r="C4156">
        <v>82398</v>
      </c>
      <c r="D4156" t="s">
        <v>1469</v>
      </c>
      <c r="E4156" t="s">
        <v>1470</v>
      </c>
      <c r="F4156" t="s">
        <v>1471</v>
      </c>
    </row>
    <row r="4157" spans="1:6">
      <c r="A4157">
        <v>135</v>
      </c>
      <c r="B4157" t="s">
        <v>1814</v>
      </c>
      <c r="C4157">
        <v>26633.360000000001</v>
      </c>
      <c r="D4157" t="s">
        <v>1379</v>
      </c>
      <c r="E4157" t="s">
        <v>1380</v>
      </c>
      <c r="F4157" t="s">
        <v>1381</v>
      </c>
    </row>
    <row r="4158" spans="1:6">
      <c r="A4158">
        <v>135</v>
      </c>
      <c r="B4158" t="s">
        <v>1814</v>
      </c>
      <c r="C4158">
        <v>284369.78000000003</v>
      </c>
      <c r="D4158" t="s">
        <v>1475</v>
      </c>
      <c r="E4158" t="s">
        <v>1476</v>
      </c>
      <c r="F4158" t="s">
        <v>1477</v>
      </c>
    </row>
    <row r="4159" spans="1:6">
      <c r="A4159">
        <v>135</v>
      </c>
      <c r="B4159" t="s">
        <v>1814</v>
      </c>
      <c r="C4159">
        <v>13529.08</v>
      </c>
      <c r="D4159" t="s">
        <v>1478</v>
      </c>
      <c r="E4159" t="s">
        <v>1479</v>
      </c>
      <c r="F4159" t="s">
        <v>1480</v>
      </c>
    </row>
    <row r="4160" spans="1:6">
      <c r="A4160">
        <v>135</v>
      </c>
      <c r="B4160" t="s">
        <v>1814</v>
      </c>
      <c r="C4160">
        <v>1009050.34</v>
      </c>
      <c r="D4160" t="s">
        <v>1365</v>
      </c>
      <c r="E4160" t="s">
        <v>1366</v>
      </c>
      <c r="F4160" t="s">
        <v>1367</v>
      </c>
    </row>
    <row r="4161" spans="1:6">
      <c r="A4161">
        <v>135</v>
      </c>
      <c r="B4161" t="s">
        <v>1814</v>
      </c>
      <c r="C4161">
        <v>4791706</v>
      </c>
      <c r="D4161" t="s">
        <v>1607</v>
      </c>
      <c r="E4161" t="s">
        <v>1608</v>
      </c>
      <c r="F4161" t="s">
        <v>1609</v>
      </c>
    </row>
    <row r="4162" spans="1:6">
      <c r="A4162">
        <v>135</v>
      </c>
      <c r="B4162" t="s">
        <v>1814</v>
      </c>
      <c r="C4162">
        <v>4479131</v>
      </c>
      <c r="D4162" t="s">
        <v>1610</v>
      </c>
      <c r="E4162" t="s">
        <v>1481</v>
      </c>
      <c r="F4162" t="s">
        <v>1482</v>
      </c>
    </row>
    <row r="4163" spans="1:6">
      <c r="A4163">
        <v>135</v>
      </c>
      <c r="B4163" t="s">
        <v>1814</v>
      </c>
      <c r="C4163">
        <v>5108042</v>
      </c>
      <c r="D4163" t="s">
        <v>1415</v>
      </c>
      <c r="E4163" t="s">
        <v>1416</v>
      </c>
      <c r="F4163" t="s">
        <v>1417</v>
      </c>
    </row>
    <row r="4164" spans="1:6">
      <c r="A4164">
        <v>135</v>
      </c>
      <c r="B4164" t="s">
        <v>1814</v>
      </c>
      <c r="C4164">
        <v>15216809</v>
      </c>
      <c r="D4164" t="s">
        <v>1418</v>
      </c>
      <c r="E4164" t="s">
        <v>1419</v>
      </c>
      <c r="F4164" t="s">
        <v>1420</v>
      </c>
    </row>
    <row r="4165" spans="1:6">
      <c r="A4165">
        <v>136</v>
      </c>
      <c r="B4165" t="s">
        <v>1815</v>
      </c>
      <c r="C4165">
        <v>22375</v>
      </c>
      <c r="D4165" t="s">
        <v>1483</v>
      </c>
      <c r="E4165" t="s">
        <v>1484</v>
      </c>
      <c r="F4165" t="s">
        <v>1485</v>
      </c>
    </row>
    <row r="4166" spans="1:6">
      <c r="A4166">
        <v>136</v>
      </c>
      <c r="B4166" t="s">
        <v>1815</v>
      </c>
      <c r="C4166">
        <v>165991</v>
      </c>
      <c r="D4166" t="s">
        <v>1567</v>
      </c>
      <c r="E4166" t="s">
        <v>1568</v>
      </c>
      <c r="F4166" t="s">
        <v>1569</v>
      </c>
    </row>
    <row r="4167" spans="1:6">
      <c r="A4167">
        <v>136</v>
      </c>
      <c r="B4167" t="s">
        <v>1815</v>
      </c>
      <c r="C4167">
        <v>2687649</v>
      </c>
      <c r="D4167" t="s">
        <v>1570</v>
      </c>
      <c r="E4167" t="s">
        <v>1571</v>
      </c>
      <c r="F4167" t="s">
        <v>1572</v>
      </c>
    </row>
    <row r="4168" spans="1:6">
      <c r="A4168">
        <v>136</v>
      </c>
      <c r="B4168" t="s">
        <v>1815</v>
      </c>
      <c r="C4168">
        <v>25183</v>
      </c>
      <c r="D4168" t="s">
        <v>1520</v>
      </c>
      <c r="E4168" t="s">
        <v>1521</v>
      </c>
      <c r="F4168" t="s">
        <v>1522</v>
      </c>
    </row>
    <row r="4169" spans="1:6">
      <c r="A4169">
        <v>136</v>
      </c>
      <c r="B4169" t="s">
        <v>1815</v>
      </c>
      <c r="C4169">
        <v>23474</v>
      </c>
      <c r="D4169" t="s">
        <v>1573</v>
      </c>
      <c r="E4169" t="s">
        <v>1574</v>
      </c>
      <c r="F4169" t="s">
        <v>1575</v>
      </c>
    </row>
    <row r="4170" spans="1:6">
      <c r="A4170">
        <v>136</v>
      </c>
      <c r="B4170" t="s">
        <v>1815</v>
      </c>
      <c r="C4170">
        <v>15969</v>
      </c>
      <c r="D4170" t="s">
        <v>1371</v>
      </c>
      <c r="E4170" t="s">
        <v>1372</v>
      </c>
      <c r="F4170" t="s">
        <v>1373</v>
      </c>
    </row>
    <row r="4171" spans="1:6">
      <c r="A4171">
        <v>136</v>
      </c>
      <c r="B4171" t="s">
        <v>1815</v>
      </c>
      <c r="C4171">
        <v>8380</v>
      </c>
      <c r="D4171" t="s">
        <v>1576</v>
      </c>
      <c r="E4171" t="s">
        <v>1577</v>
      </c>
      <c r="F4171" t="s">
        <v>1578</v>
      </c>
    </row>
    <row r="4172" spans="1:6">
      <c r="A4172">
        <v>136</v>
      </c>
      <c r="B4172" t="s">
        <v>1815</v>
      </c>
      <c r="C4172">
        <v>54500</v>
      </c>
      <c r="D4172" t="s">
        <v>1579</v>
      </c>
      <c r="E4172" t="s">
        <v>1577</v>
      </c>
      <c r="F4172" t="s">
        <v>1580</v>
      </c>
    </row>
    <row r="4173" spans="1:6">
      <c r="A4173">
        <v>136</v>
      </c>
      <c r="B4173" t="s">
        <v>1815</v>
      </c>
      <c r="C4173">
        <v>424</v>
      </c>
      <c r="D4173" t="s">
        <v>1581</v>
      </c>
      <c r="E4173" t="s">
        <v>1582</v>
      </c>
      <c r="F4173" t="s">
        <v>1583</v>
      </c>
    </row>
    <row r="4174" spans="1:6">
      <c r="A4174">
        <v>136</v>
      </c>
      <c r="B4174" t="s">
        <v>1815</v>
      </c>
      <c r="C4174">
        <v>2790</v>
      </c>
      <c r="D4174" t="s">
        <v>1584</v>
      </c>
      <c r="E4174" t="s">
        <v>1585</v>
      </c>
      <c r="F4174" t="s">
        <v>1586</v>
      </c>
    </row>
    <row r="4175" spans="1:6">
      <c r="A4175">
        <v>136</v>
      </c>
      <c r="B4175" t="s">
        <v>1815</v>
      </c>
      <c r="C4175">
        <v>14385</v>
      </c>
      <c r="D4175" t="s">
        <v>1587</v>
      </c>
      <c r="E4175" t="s">
        <v>1585</v>
      </c>
      <c r="F4175" t="s">
        <v>1588</v>
      </c>
    </row>
    <row r="4176" spans="1:6">
      <c r="A4176">
        <v>136</v>
      </c>
      <c r="B4176" t="s">
        <v>1815</v>
      </c>
      <c r="C4176">
        <v>1605</v>
      </c>
      <c r="D4176" t="s">
        <v>1592</v>
      </c>
      <c r="E4176" t="s">
        <v>1590</v>
      </c>
      <c r="F4176" t="s">
        <v>1593</v>
      </c>
    </row>
    <row r="4177" spans="1:6">
      <c r="A4177">
        <v>136</v>
      </c>
      <c r="B4177" t="s">
        <v>1815</v>
      </c>
      <c r="C4177">
        <v>802</v>
      </c>
      <c r="D4177" t="s">
        <v>1597</v>
      </c>
      <c r="E4177" t="s">
        <v>1595</v>
      </c>
      <c r="F4177" t="s">
        <v>1598</v>
      </c>
    </row>
    <row r="4178" spans="1:6">
      <c r="A4178">
        <v>136</v>
      </c>
      <c r="B4178" t="s">
        <v>1815</v>
      </c>
      <c r="C4178">
        <v>43554</v>
      </c>
      <c r="D4178" t="s">
        <v>1599</v>
      </c>
      <c r="E4178" t="s">
        <v>1600</v>
      </c>
      <c r="F4178" t="s">
        <v>1601</v>
      </c>
    </row>
    <row r="4179" spans="1:6">
      <c r="A4179">
        <v>136</v>
      </c>
      <c r="B4179" t="s">
        <v>1815</v>
      </c>
      <c r="C4179">
        <v>58000</v>
      </c>
      <c r="D4179" t="s">
        <v>1602</v>
      </c>
      <c r="E4179" t="s">
        <v>1600</v>
      </c>
      <c r="F4179" t="s">
        <v>1603</v>
      </c>
    </row>
    <row r="4180" spans="1:6">
      <c r="A4180">
        <v>136</v>
      </c>
      <c r="B4180" t="s">
        <v>1815</v>
      </c>
      <c r="C4180">
        <v>3767</v>
      </c>
      <c r="D4180" t="s">
        <v>1604</v>
      </c>
      <c r="E4180" t="s">
        <v>1605</v>
      </c>
      <c r="F4180" t="s">
        <v>1606</v>
      </c>
    </row>
    <row r="4181" spans="1:6">
      <c r="A4181">
        <v>136</v>
      </c>
      <c r="B4181" t="s">
        <v>1815</v>
      </c>
      <c r="C4181">
        <v>2625</v>
      </c>
      <c r="D4181" t="s">
        <v>1472</v>
      </c>
      <c r="E4181" t="s">
        <v>1473</v>
      </c>
      <c r="F4181" t="s">
        <v>1474</v>
      </c>
    </row>
    <row r="4182" spans="1:6">
      <c r="A4182">
        <v>136</v>
      </c>
      <c r="B4182" t="s">
        <v>1815</v>
      </c>
      <c r="C4182">
        <v>4915.6099999999997</v>
      </c>
      <c r="D4182" t="s">
        <v>1379</v>
      </c>
      <c r="E4182" t="s">
        <v>1380</v>
      </c>
      <c r="F4182" t="s">
        <v>1381</v>
      </c>
    </row>
    <row r="4183" spans="1:6">
      <c r="A4183">
        <v>136</v>
      </c>
      <c r="B4183" t="s">
        <v>1815</v>
      </c>
      <c r="C4183">
        <v>6157.98</v>
      </c>
      <c r="D4183" t="s">
        <v>1475</v>
      </c>
      <c r="E4183" t="s">
        <v>1476</v>
      </c>
      <c r="F4183" t="s">
        <v>1477</v>
      </c>
    </row>
    <row r="4184" spans="1:6">
      <c r="A4184">
        <v>136</v>
      </c>
      <c r="B4184" t="s">
        <v>1815</v>
      </c>
      <c r="C4184">
        <v>97250.1</v>
      </c>
      <c r="D4184" t="s">
        <v>1365</v>
      </c>
      <c r="E4184" t="s">
        <v>1366</v>
      </c>
      <c r="F4184" t="s">
        <v>1367</v>
      </c>
    </row>
    <row r="4185" spans="1:6">
      <c r="A4185">
        <v>136</v>
      </c>
      <c r="B4185" t="s">
        <v>1815</v>
      </c>
      <c r="C4185">
        <v>2105823</v>
      </c>
      <c r="D4185" t="s">
        <v>1607</v>
      </c>
      <c r="E4185" t="s">
        <v>1608</v>
      </c>
      <c r="F4185" t="s">
        <v>1609</v>
      </c>
    </row>
    <row r="4186" spans="1:6">
      <c r="A4186">
        <v>136</v>
      </c>
      <c r="B4186" t="s">
        <v>1815</v>
      </c>
      <c r="C4186">
        <v>7860736</v>
      </c>
      <c r="D4186" t="s">
        <v>1610</v>
      </c>
      <c r="E4186" t="s">
        <v>1481</v>
      </c>
      <c r="F4186" t="s">
        <v>1482</v>
      </c>
    </row>
    <row r="4187" spans="1:6">
      <c r="A4187">
        <v>137</v>
      </c>
      <c r="B4187" t="s">
        <v>1816</v>
      </c>
      <c r="C4187">
        <v>25000</v>
      </c>
      <c r="D4187" t="s">
        <v>1232</v>
      </c>
      <c r="E4187" t="s">
        <v>1402</v>
      </c>
      <c r="F4187" t="s">
        <v>1403</v>
      </c>
    </row>
    <row r="4188" spans="1:6">
      <c r="A4188">
        <v>137</v>
      </c>
      <c r="B4188" t="s">
        <v>1816</v>
      </c>
      <c r="C4188">
        <v>23298</v>
      </c>
      <c r="D4188" t="s">
        <v>1486</v>
      </c>
      <c r="E4188" t="s">
        <v>1487</v>
      </c>
      <c r="F4188" t="s">
        <v>1488</v>
      </c>
    </row>
    <row r="4189" spans="1:6">
      <c r="A4189">
        <v>137</v>
      </c>
      <c r="B4189" t="s">
        <v>1816</v>
      </c>
      <c r="C4189">
        <v>10897</v>
      </c>
      <c r="D4189" t="s">
        <v>1489</v>
      </c>
      <c r="E4189" t="s">
        <v>1490</v>
      </c>
      <c r="F4189" t="s">
        <v>1491</v>
      </c>
    </row>
    <row r="4190" spans="1:6">
      <c r="A4190">
        <v>137</v>
      </c>
      <c r="B4190" t="s">
        <v>1816</v>
      </c>
      <c r="C4190">
        <v>111873</v>
      </c>
      <c r="D4190" t="s">
        <v>1567</v>
      </c>
      <c r="E4190" t="s">
        <v>1568</v>
      </c>
      <c r="F4190" t="s">
        <v>1569</v>
      </c>
    </row>
    <row r="4191" spans="1:6">
      <c r="A4191">
        <v>137</v>
      </c>
      <c r="B4191" t="s">
        <v>1816</v>
      </c>
      <c r="C4191">
        <v>13539</v>
      </c>
      <c r="D4191" t="s">
        <v>1496</v>
      </c>
      <c r="E4191" t="s">
        <v>1497</v>
      </c>
      <c r="F4191" t="s">
        <v>1498</v>
      </c>
    </row>
    <row r="4192" spans="1:6">
      <c r="A4192">
        <v>137</v>
      </c>
      <c r="B4192" t="s">
        <v>1816</v>
      </c>
      <c r="C4192">
        <v>1887774</v>
      </c>
      <c r="D4192" t="s">
        <v>1570</v>
      </c>
      <c r="E4192" t="s">
        <v>1571</v>
      </c>
      <c r="F4192" t="s">
        <v>1572</v>
      </c>
    </row>
    <row r="4193" spans="1:6">
      <c r="A4193">
        <v>137</v>
      </c>
      <c r="B4193" t="s">
        <v>1816</v>
      </c>
      <c r="C4193">
        <v>118479</v>
      </c>
      <c r="D4193" t="s">
        <v>1520</v>
      </c>
      <c r="E4193" t="s">
        <v>1521</v>
      </c>
      <c r="F4193" t="s">
        <v>1522</v>
      </c>
    </row>
    <row r="4194" spans="1:6">
      <c r="A4194">
        <v>137</v>
      </c>
      <c r="B4194" t="s">
        <v>1816</v>
      </c>
      <c r="C4194">
        <v>376400</v>
      </c>
      <c r="D4194" t="s">
        <v>1573</v>
      </c>
      <c r="E4194" t="s">
        <v>1574</v>
      </c>
      <c r="F4194" t="s">
        <v>1575</v>
      </c>
    </row>
    <row r="4195" spans="1:6">
      <c r="A4195">
        <v>137</v>
      </c>
      <c r="B4195" t="s">
        <v>1816</v>
      </c>
      <c r="C4195">
        <v>33931</v>
      </c>
      <c r="D4195" t="s">
        <v>1523</v>
      </c>
      <c r="E4195" t="s">
        <v>1521</v>
      </c>
      <c r="F4195" t="s">
        <v>1524</v>
      </c>
    </row>
    <row r="4196" spans="1:6">
      <c r="A4196">
        <v>137</v>
      </c>
      <c r="B4196" t="s">
        <v>1816</v>
      </c>
      <c r="C4196">
        <v>6809</v>
      </c>
      <c r="D4196" t="s">
        <v>1525</v>
      </c>
      <c r="E4196" t="s">
        <v>1526</v>
      </c>
      <c r="F4196" t="s">
        <v>1527</v>
      </c>
    </row>
    <row r="4197" spans="1:6">
      <c r="A4197">
        <v>137</v>
      </c>
      <c r="B4197" t="s">
        <v>1816</v>
      </c>
      <c r="C4197">
        <v>19276</v>
      </c>
      <c r="D4197" t="s">
        <v>1528</v>
      </c>
      <c r="E4197" t="s">
        <v>1529</v>
      </c>
      <c r="F4197" t="s">
        <v>1530</v>
      </c>
    </row>
    <row r="4198" spans="1:6">
      <c r="A4198">
        <v>137</v>
      </c>
      <c r="B4198" t="s">
        <v>1816</v>
      </c>
      <c r="C4198">
        <v>27300</v>
      </c>
      <c r="D4198" t="s">
        <v>1387</v>
      </c>
      <c r="E4198" t="s">
        <v>1388</v>
      </c>
      <c r="F4198" t="s">
        <v>1389</v>
      </c>
    </row>
    <row r="4199" spans="1:6">
      <c r="A4199">
        <v>137</v>
      </c>
      <c r="B4199" t="s">
        <v>1816</v>
      </c>
      <c r="C4199">
        <v>648.32000000000005</v>
      </c>
      <c r="D4199" t="s">
        <v>1374</v>
      </c>
      <c r="E4199" t="s">
        <v>1375</v>
      </c>
      <c r="F4199" t="s">
        <v>1376</v>
      </c>
    </row>
    <row r="4200" spans="1:6">
      <c r="A4200">
        <v>137</v>
      </c>
      <c r="B4200" t="s">
        <v>1816</v>
      </c>
      <c r="C4200">
        <v>1548.58</v>
      </c>
      <c r="D4200" t="s">
        <v>1377</v>
      </c>
      <c r="E4200" t="s">
        <v>1375</v>
      </c>
      <c r="F4200" t="s">
        <v>1378</v>
      </c>
    </row>
    <row r="4201" spans="1:6">
      <c r="A4201">
        <v>137</v>
      </c>
      <c r="B4201" t="s">
        <v>1816</v>
      </c>
      <c r="C4201">
        <v>7644.87</v>
      </c>
      <c r="D4201" t="s">
        <v>1537</v>
      </c>
      <c r="E4201" t="s">
        <v>1538</v>
      </c>
      <c r="F4201" t="s">
        <v>1539</v>
      </c>
    </row>
    <row r="4202" spans="1:6">
      <c r="A4202">
        <v>137</v>
      </c>
      <c r="B4202" t="s">
        <v>1816</v>
      </c>
      <c r="C4202">
        <v>19175.61</v>
      </c>
      <c r="D4202" t="s">
        <v>1540</v>
      </c>
      <c r="E4202" t="s">
        <v>1538</v>
      </c>
      <c r="F4202" t="s">
        <v>1541</v>
      </c>
    </row>
    <row r="4203" spans="1:6">
      <c r="A4203">
        <v>137</v>
      </c>
      <c r="B4203" t="s">
        <v>1816</v>
      </c>
      <c r="C4203">
        <v>6787</v>
      </c>
      <c r="D4203" t="s">
        <v>1542</v>
      </c>
      <c r="E4203" t="s">
        <v>1424</v>
      </c>
      <c r="F4203" t="s">
        <v>1425</v>
      </c>
    </row>
    <row r="4204" spans="1:6">
      <c r="A4204">
        <v>137</v>
      </c>
      <c r="B4204" t="s">
        <v>1816</v>
      </c>
      <c r="C4204">
        <v>709</v>
      </c>
      <c r="D4204" t="s">
        <v>1428</v>
      </c>
      <c r="E4204" t="s">
        <v>1429</v>
      </c>
      <c r="F4204" t="s">
        <v>1430</v>
      </c>
    </row>
    <row r="4205" spans="1:6">
      <c r="A4205">
        <v>137</v>
      </c>
      <c r="B4205" t="s">
        <v>1816</v>
      </c>
      <c r="C4205">
        <v>38802.89</v>
      </c>
      <c r="D4205" t="s">
        <v>1431</v>
      </c>
      <c r="E4205" t="s">
        <v>1432</v>
      </c>
      <c r="F4205" t="s">
        <v>1433</v>
      </c>
    </row>
    <row r="4206" spans="1:6">
      <c r="A4206">
        <v>137</v>
      </c>
      <c r="B4206" t="s">
        <v>1816</v>
      </c>
      <c r="C4206">
        <v>98090.58</v>
      </c>
      <c r="D4206" t="s">
        <v>1434</v>
      </c>
      <c r="E4206" t="s">
        <v>1432</v>
      </c>
      <c r="F4206" t="s">
        <v>1435</v>
      </c>
    </row>
    <row r="4207" spans="1:6">
      <c r="A4207">
        <v>137</v>
      </c>
      <c r="B4207" t="s">
        <v>1816</v>
      </c>
      <c r="C4207">
        <v>20000</v>
      </c>
      <c r="D4207" t="s">
        <v>1576</v>
      </c>
      <c r="E4207" t="s">
        <v>1577</v>
      </c>
      <c r="F4207" t="s">
        <v>1578</v>
      </c>
    </row>
    <row r="4208" spans="1:6">
      <c r="A4208">
        <v>137</v>
      </c>
      <c r="B4208" t="s">
        <v>1816</v>
      </c>
      <c r="C4208">
        <v>130000</v>
      </c>
      <c r="D4208" t="s">
        <v>1579</v>
      </c>
      <c r="E4208" t="s">
        <v>1577</v>
      </c>
      <c r="F4208" t="s">
        <v>1580</v>
      </c>
    </row>
    <row r="4209" spans="1:6">
      <c r="A4209">
        <v>137</v>
      </c>
      <c r="B4209" t="s">
        <v>1816</v>
      </c>
      <c r="C4209">
        <v>23124</v>
      </c>
      <c r="D4209" t="s">
        <v>1436</v>
      </c>
      <c r="E4209" t="s">
        <v>1437</v>
      </c>
      <c r="F4209" t="s">
        <v>1438</v>
      </c>
    </row>
    <row r="4210" spans="1:6">
      <c r="A4210">
        <v>137</v>
      </c>
      <c r="B4210" t="s">
        <v>1816</v>
      </c>
      <c r="C4210">
        <v>68922</v>
      </c>
      <c r="D4210" t="s">
        <v>1294</v>
      </c>
      <c r="E4210" t="s">
        <v>1295</v>
      </c>
      <c r="F4210" t="s">
        <v>1438</v>
      </c>
    </row>
    <row r="4211" spans="1:6">
      <c r="A4211">
        <v>137</v>
      </c>
      <c r="B4211" t="s">
        <v>1816</v>
      </c>
      <c r="C4211">
        <v>1275</v>
      </c>
      <c r="D4211" t="s">
        <v>1581</v>
      </c>
      <c r="E4211" t="s">
        <v>1582</v>
      </c>
      <c r="F4211" t="s">
        <v>1583</v>
      </c>
    </row>
    <row r="4212" spans="1:6">
      <c r="A4212">
        <v>137</v>
      </c>
      <c r="B4212" t="s">
        <v>1816</v>
      </c>
      <c r="C4212">
        <v>36373</v>
      </c>
      <c r="D4212" t="s">
        <v>1584</v>
      </c>
      <c r="E4212" t="s">
        <v>1585</v>
      </c>
      <c r="F4212" t="s">
        <v>1586</v>
      </c>
    </row>
    <row r="4213" spans="1:6">
      <c r="A4213">
        <v>137</v>
      </c>
      <c r="B4213" t="s">
        <v>1816</v>
      </c>
      <c r="C4213">
        <v>59616</v>
      </c>
      <c r="D4213" t="s">
        <v>1587</v>
      </c>
      <c r="E4213" t="s">
        <v>1585</v>
      </c>
      <c r="F4213" t="s">
        <v>1588</v>
      </c>
    </row>
    <row r="4214" spans="1:6">
      <c r="A4214">
        <v>137</v>
      </c>
      <c r="B4214" t="s">
        <v>1816</v>
      </c>
      <c r="C4214">
        <v>6646</v>
      </c>
      <c r="D4214" t="s">
        <v>1592</v>
      </c>
      <c r="E4214" t="s">
        <v>1590</v>
      </c>
      <c r="F4214" t="s">
        <v>1593</v>
      </c>
    </row>
    <row r="4215" spans="1:6">
      <c r="A4215">
        <v>137</v>
      </c>
      <c r="B4215" t="s">
        <v>1816</v>
      </c>
      <c r="C4215">
        <v>2505</v>
      </c>
      <c r="D4215" t="s">
        <v>1597</v>
      </c>
      <c r="E4215" t="s">
        <v>1595</v>
      </c>
      <c r="F4215" t="s">
        <v>1598</v>
      </c>
    </row>
    <row r="4216" spans="1:6">
      <c r="A4216">
        <v>137</v>
      </c>
      <c r="B4216" t="s">
        <v>1816</v>
      </c>
      <c r="C4216">
        <v>50000</v>
      </c>
      <c r="D4216" t="s">
        <v>1599</v>
      </c>
      <c r="E4216" t="s">
        <v>1600</v>
      </c>
      <c r="F4216" t="s">
        <v>1601</v>
      </c>
    </row>
    <row r="4217" spans="1:6">
      <c r="A4217">
        <v>137</v>
      </c>
      <c r="B4217" t="s">
        <v>1816</v>
      </c>
      <c r="C4217">
        <v>425750</v>
      </c>
      <c r="D4217" t="s">
        <v>1602</v>
      </c>
      <c r="E4217" t="s">
        <v>1600</v>
      </c>
      <c r="F4217" t="s">
        <v>1603</v>
      </c>
    </row>
    <row r="4218" spans="1:6">
      <c r="A4218">
        <v>137</v>
      </c>
      <c r="B4218" t="s">
        <v>1816</v>
      </c>
      <c r="C4218">
        <v>12991</v>
      </c>
      <c r="D4218" t="s">
        <v>1604</v>
      </c>
      <c r="E4218" t="s">
        <v>1605</v>
      </c>
      <c r="F4218" t="s">
        <v>1606</v>
      </c>
    </row>
    <row r="4219" spans="1:6">
      <c r="A4219">
        <v>137</v>
      </c>
      <c r="B4219" t="s">
        <v>1816</v>
      </c>
      <c r="C4219">
        <v>28483.759999999998</v>
      </c>
      <c r="D4219" t="s">
        <v>1475</v>
      </c>
      <c r="E4219" t="s">
        <v>1476</v>
      </c>
      <c r="F4219" t="s">
        <v>1477</v>
      </c>
    </row>
    <row r="4220" spans="1:6">
      <c r="A4220">
        <v>137</v>
      </c>
      <c r="B4220" t="s">
        <v>1816</v>
      </c>
      <c r="C4220">
        <v>187424.99</v>
      </c>
      <c r="D4220" t="s">
        <v>1365</v>
      </c>
      <c r="E4220" t="s">
        <v>1366</v>
      </c>
      <c r="F4220" t="s">
        <v>1367</v>
      </c>
    </row>
    <row r="4221" spans="1:6">
      <c r="A4221">
        <v>138</v>
      </c>
      <c r="B4221" t="s">
        <v>1817</v>
      </c>
      <c r="C4221">
        <v>50391</v>
      </c>
      <c r="D4221" t="s">
        <v>1290</v>
      </c>
      <c r="E4221" t="s">
        <v>1291</v>
      </c>
      <c r="F4221" t="s">
        <v>1292</v>
      </c>
    </row>
    <row r="4222" spans="1:6">
      <c r="A4222">
        <v>138</v>
      </c>
      <c r="B4222" t="s">
        <v>1817</v>
      </c>
      <c r="C4222">
        <v>31250</v>
      </c>
      <c r="D4222" t="s">
        <v>1126</v>
      </c>
      <c r="E4222" t="s">
        <v>1127</v>
      </c>
      <c r="F4222" t="s">
        <v>1128</v>
      </c>
    </row>
    <row r="4223" spans="1:6">
      <c r="A4223">
        <v>138</v>
      </c>
      <c r="B4223" t="s">
        <v>1817</v>
      </c>
      <c r="C4223">
        <v>65221</v>
      </c>
      <c r="D4223" t="s">
        <v>1314</v>
      </c>
      <c r="E4223" t="s">
        <v>1315</v>
      </c>
      <c r="F4223" t="s">
        <v>1316</v>
      </c>
    </row>
    <row r="4224" spans="1:6">
      <c r="A4224">
        <v>138</v>
      </c>
      <c r="B4224" t="s">
        <v>1817</v>
      </c>
      <c r="C4224">
        <v>33258</v>
      </c>
      <c r="D4224" t="s">
        <v>1489</v>
      </c>
      <c r="E4224" t="s">
        <v>1490</v>
      </c>
      <c r="F4224" t="s">
        <v>1491</v>
      </c>
    </row>
    <row r="4225" spans="1:6">
      <c r="A4225">
        <v>138</v>
      </c>
      <c r="B4225" t="s">
        <v>1817</v>
      </c>
      <c r="C4225">
        <v>102250</v>
      </c>
      <c r="D4225" t="s">
        <v>1404</v>
      </c>
      <c r="E4225" t="s">
        <v>1405</v>
      </c>
      <c r="F4225" t="s">
        <v>1406</v>
      </c>
    </row>
    <row r="4226" spans="1:6">
      <c r="A4226">
        <v>138</v>
      </c>
      <c r="B4226" t="s">
        <v>1817</v>
      </c>
      <c r="C4226">
        <v>604523</v>
      </c>
      <c r="D4226" t="s">
        <v>1567</v>
      </c>
      <c r="E4226" t="s">
        <v>1568</v>
      </c>
      <c r="F4226" t="s">
        <v>1569</v>
      </c>
    </row>
    <row r="4227" spans="1:6">
      <c r="A4227">
        <v>138</v>
      </c>
      <c r="B4227" t="s">
        <v>1817</v>
      </c>
      <c r="C4227">
        <v>77497</v>
      </c>
      <c r="D4227" t="s">
        <v>1496</v>
      </c>
      <c r="E4227" t="s">
        <v>1497</v>
      </c>
      <c r="F4227" t="s">
        <v>1498</v>
      </c>
    </row>
    <row r="4228" spans="1:6">
      <c r="A4228">
        <v>138</v>
      </c>
      <c r="B4228" t="s">
        <v>1817</v>
      </c>
      <c r="C4228">
        <v>16456834</v>
      </c>
      <c r="D4228" t="s">
        <v>1570</v>
      </c>
      <c r="E4228" t="s">
        <v>1571</v>
      </c>
      <c r="F4228" t="s">
        <v>1572</v>
      </c>
    </row>
    <row r="4229" spans="1:6">
      <c r="A4229">
        <v>138</v>
      </c>
      <c r="B4229" t="s">
        <v>1817</v>
      </c>
      <c r="C4229">
        <v>12000</v>
      </c>
      <c r="D4229" t="s">
        <v>1515</v>
      </c>
      <c r="E4229" t="s">
        <v>1516</v>
      </c>
      <c r="F4229" t="s">
        <v>1517</v>
      </c>
    </row>
    <row r="4230" spans="1:6">
      <c r="A4230">
        <v>138</v>
      </c>
      <c r="B4230" t="s">
        <v>1817</v>
      </c>
      <c r="C4230">
        <v>1690</v>
      </c>
      <c r="D4230" t="s">
        <v>1518</v>
      </c>
      <c r="E4230" t="s">
        <v>1516</v>
      </c>
      <c r="F4230" t="s">
        <v>1519</v>
      </c>
    </row>
    <row r="4231" spans="1:6">
      <c r="A4231">
        <v>138</v>
      </c>
      <c r="B4231" t="s">
        <v>1817</v>
      </c>
      <c r="C4231">
        <v>6050</v>
      </c>
      <c r="D4231" t="s">
        <v>1346</v>
      </c>
      <c r="E4231" t="s">
        <v>1347</v>
      </c>
      <c r="F4231" t="s">
        <v>1348</v>
      </c>
    </row>
    <row r="4232" spans="1:6">
      <c r="A4232">
        <v>138</v>
      </c>
      <c r="B4232" t="s">
        <v>1817</v>
      </c>
      <c r="C4232">
        <v>237330</v>
      </c>
      <c r="D4232" t="s">
        <v>1520</v>
      </c>
      <c r="E4232" t="s">
        <v>1521</v>
      </c>
      <c r="F4232" t="s">
        <v>1522</v>
      </c>
    </row>
    <row r="4233" spans="1:6">
      <c r="A4233">
        <v>138</v>
      </c>
      <c r="B4233" t="s">
        <v>1817</v>
      </c>
      <c r="C4233">
        <v>677111</v>
      </c>
      <c r="D4233" t="s">
        <v>1573</v>
      </c>
      <c r="E4233" t="s">
        <v>1574</v>
      </c>
      <c r="F4233" t="s">
        <v>1575</v>
      </c>
    </row>
    <row r="4234" spans="1:6">
      <c r="A4234">
        <v>138</v>
      </c>
      <c r="B4234" t="s">
        <v>1817</v>
      </c>
      <c r="C4234">
        <v>26540</v>
      </c>
      <c r="D4234" t="s">
        <v>1523</v>
      </c>
      <c r="E4234" t="s">
        <v>1521</v>
      </c>
      <c r="F4234" t="s">
        <v>1524</v>
      </c>
    </row>
    <row r="4235" spans="1:6">
      <c r="A4235">
        <v>138</v>
      </c>
      <c r="B4235" t="s">
        <v>1817</v>
      </c>
      <c r="C4235">
        <v>71276</v>
      </c>
      <c r="D4235" t="s">
        <v>1525</v>
      </c>
      <c r="E4235" t="s">
        <v>1526</v>
      </c>
      <c r="F4235" t="s">
        <v>1527</v>
      </c>
    </row>
    <row r="4236" spans="1:6">
      <c r="A4236">
        <v>138</v>
      </c>
      <c r="B4236" t="s">
        <v>1817</v>
      </c>
      <c r="C4236">
        <v>40276</v>
      </c>
      <c r="D4236" t="s">
        <v>1528</v>
      </c>
      <c r="E4236" t="s">
        <v>1529</v>
      </c>
      <c r="F4236" t="s">
        <v>1530</v>
      </c>
    </row>
    <row r="4237" spans="1:6">
      <c r="A4237">
        <v>138</v>
      </c>
      <c r="B4237" t="s">
        <v>1817</v>
      </c>
      <c r="C4237">
        <v>22000</v>
      </c>
      <c r="D4237" t="s">
        <v>1531</v>
      </c>
      <c r="E4237" t="s">
        <v>1532</v>
      </c>
      <c r="F4237" t="s">
        <v>1533</v>
      </c>
    </row>
    <row r="4238" spans="1:6">
      <c r="A4238">
        <v>138</v>
      </c>
      <c r="B4238" t="s">
        <v>1817</v>
      </c>
      <c r="C4238">
        <v>100000</v>
      </c>
      <c r="D4238" t="s">
        <v>1204</v>
      </c>
      <c r="E4238" t="s">
        <v>1205</v>
      </c>
      <c r="F4238" t="s">
        <v>1206</v>
      </c>
    </row>
    <row r="4239" spans="1:6">
      <c r="A4239">
        <v>138</v>
      </c>
      <c r="B4239" t="s">
        <v>1817</v>
      </c>
      <c r="C4239">
        <v>62719</v>
      </c>
      <c r="D4239" t="s">
        <v>1387</v>
      </c>
      <c r="E4239" t="s">
        <v>1388</v>
      </c>
      <c r="F4239" t="s">
        <v>1389</v>
      </c>
    </row>
    <row r="4240" spans="1:6">
      <c r="A4240">
        <v>138</v>
      </c>
      <c r="B4240" t="s">
        <v>1817</v>
      </c>
      <c r="C4240">
        <v>150000</v>
      </c>
      <c r="D4240" t="s">
        <v>1207</v>
      </c>
      <c r="E4240" t="s">
        <v>1350</v>
      </c>
      <c r="F4240" t="s">
        <v>1351</v>
      </c>
    </row>
    <row r="4241" spans="1:6">
      <c r="A4241">
        <v>138</v>
      </c>
      <c r="B4241" t="s">
        <v>1817</v>
      </c>
      <c r="C4241">
        <v>150000</v>
      </c>
      <c r="D4241" t="s">
        <v>1390</v>
      </c>
      <c r="E4241" t="s">
        <v>1391</v>
      </c>
      <c r="F4241" t="s">
        <v>1392</v>
      </c>
    </row>
    <row r="4242" spans="1:6">
      <c r="A4242">
        <v>138</v>
      </c>
      <c r="B4242" t="s">
        <v>1817</v>
      </c>
      <c r="C4242">
        <v>625.17999999999995</v>
      </c>
      <c r="D4242" t="s">
        <v>1374</v>
      </c>
      <c r="E4242" t="s">
        <v>1375</v>
      </c>
      <c r="F4242" t="s">
        <v>1376</v>
      </c>
    </row>
    <row r="4243" spans="1:6">
      <c r="A4243">
        <v>138</v>
      </c>
      <c r="B4243" t="s">
        <v>1817</v>
      </c>
      <c r="C4243">
        <v>1648.23</v>
      </c>
      <c r="D4243" t="s">
        <v>1377</v>
      </c>
      <c r="E4243" t="s">
        <v>1375</v>
      </c>
      <c r="F4243" t="s">
        <v>1378</v>
      </c>
    </row>
    <row r="4244" spans="1:6">
      <c r="A4244">
        <v>138</v>
      </c>
      <c r="B4244" t="s">
        <v>1817</v>
      </c>
      <c r="C4244">
        <v>7873.7</v>
      </c>
      <c r="D4244" t="s">
        <v>1537</v>
      </c>
      <c r="E4244" t="s">
        <v>1538</v>
      </c>
      <c r="F4244" t="s">
        <v>1539</v>
      </c>
    </row>
    <row r="4245" spans="1:6">
      <c r="A4245">
        <v>138</v>
      </c>
      <c r="B4245" t="s">
        <v>1817</v>
      </c>
      <c r="C4245">
        <v>47841.38</v>
      </c>
      <c r="D4245" t="s">
        <v>1540</v>
      </c>
      <c r="E4245" t="s">
        <v>1538</v>
      </c>
      <c r="F4245" t="s">
        <v>1541</v>
      </c>
    </row>
    <row r="4246" spans="1:6">
      <c r="A4246">
        <v>138</v>
      </c>
      <c r="B4246" t="s">
        <v>1817</v>
      </c>
      <c r="C4246">
        <v>239670.67</v>
      </c>
      <c r="D4246" t="s">
        <v>1431</v>
      </c>
      <c r="E4246" t="s">
        <v>1432</v>
      </c>
      <c r="F4246" t="s">
        <v>1433</v>
      </c>
    </row>
    <row r="4247" spans="1:6">
      <c r="A4247">
        <v>138</v>
      </c>
      <c r="B4247" t="s">
        <v>1817</v>
      </c>
      <c r="C4247">
        <v>553104.1</v>
      </c>
      <c r="D4247" t="s">
        <v>1434</v>
      </c>
      <c r="E4247" t="s">
        <v>1432</v>
      </c>
      <c r="F4247" t="s">
        <v>1435</v>
      </c>
    </row>
    <row r="4248" spans="1:6">
      <c r="A4248">
        <v>138</v>
      </c>
      <c r="B4248" t="s">
        <v>1817</v>
      </c>
      <c r="C4248">
        <v>475000</v>
      </c>
      <c r="D4248" t="s">
        <v>1579</v>
      </c>
      <c r="E4248" t="s">
        <v>1577</v>
      </c>
      <c r="F4248" t="s">
        <v>1580</v>
      </c>
    </row>
    <row r="4249" spans="1:6">
      <c r="A4249">
        <v>138</v>
      </c>
      <c r="B4249" t="s">
        <v>1817</v>
      </c>
      <c r="C4249">
        <v>70339</v>
      </c>
      <c r="D4249" t="s">
        <v>1436</v>
      </c>
      <c r="E4249" t="s">
        <v>1437</v>
      </c>
      <c r="F4249" t="s">
        <v>1438</v>
      </c>
    </row>
    <row r="4250" spans="1:6">
      <c r="A4250">
        <v>138</v>
      </c>
      <c r="B4250" t="s">
        <v>1817</v>
      </c>
      <c r="C4250">
        <v>3903</v>
      </c>
      <c r="D4250" t="s">
        <v>1581</v>
      </c>
      <c r="E4250" t="s">
        <v>1582</v>
      </c>
      <c r="F4250" t="s">
        <v>1583</v>
      </c>
    </row>
    <row r="4251" spans="1:6">
      <c r="A4251">
        <v>138</v>
      </c>
      <c r="B4251" t="s">
        <v>1817</v>
      </c>
      <c r="C4251">
        <v>89000</v>
      </c>
      <c r="D4251" t="s">
        <v>1097</v>
      </c>
      <c r="E4251" t="s">
        <v>1437</v>
      </c>
      <c r="F4251" t="s">
        <v>1098</v>
      </c>
    </row>
    <row r="4252" spans="1:6">
      <c r="A4252">
        <v>138</v>
      </c>
      <c r="B4252" t="s">
        <v>1817</v>
      </c>
      <c r="C4252">
        <v>165000</v>
      </c>
      <c r="D4252" t="s">
        <v>1587</v>
      </c>
      <c r="E4252" t="s">
        <v>1585</v>
      </c>
      <c r="F4252" t="s">
        <v>1588</v>
      </c>
    </row>
    <row r="4253" spans="1:6">
      <c r="A4253">
        <v>138</v>
      </c>
      <c r="B4253" t="s">
        <v>1817</v>
      </c>
      <c r="C4253">
        <v>13979</v>
      </c>
      <c r="D4253" t="s">
        <v>1454</v>
      </c>
      <c r="E4253" t="s">
        <v>1455</v>
      </c>
      <c r="F4253" t="s">
        <v>1456</v>
      </c>
    </row>
    <row r="4254" spans="1:6">
      <c r="A4254">
        <v>138</v>
      </c>
      <c r="B4254" t="s">
        <v>1817</v>
      </c>
      <c r="C4254">
        <v>16000</v>
      </c>
      <c r="D4254" t="s">
        <v>1457</v>
      </c>
      <c r="E4254" t="s">
        <v>1455</v>
      </c>
      <c r="F4254" t="s">
        <v>1458</v>
      </c>
    </row>
    <row r="4255" spans="1:6">
      <c r="A4255">
        <v>138</v>
      </c>
      <c r="B4255" t="s">
        <v>1817</v>
      </c>
      <c r="C4255">
        <v>6067</v>
      </c>
      <c r="D4255" t="s">
        <v>1230</v>
      </c>
      <c r="E4255" t="s">
        <v>1288</v>
      </c>
      <c r="F4255" t="s">
        <v>1231</v>
      </c>
    </row>
    <row r="4256" spans="1:6">
      <c r="A4256">
        <v>138</v>
      </c>
      <c r="B4256" t="s">
        <v>1817</v>
      </c>
      <c r="C4256">
        <v>8224</v>
      </c>
      <c r="D4256" t="s">
        <v>1589</v>
      </c>
      <c r="E4256" t="s">
        <v>1590</v>
      </c>
      <c r="F4256" t="s">
        <v>1591</v>
      </c>
    </row>
    <row r="4257" spans="1:6">
      <c r="A4257">
        <v>138</v>
      </c>
      <c r="B4257" t="s">
        <v>1817</v>
      </c>
      <c r="C4257">
        <v>18000</v>
      </c>
      <c r="D4257" t="s">
        <v>1592</v>
      </c>
      <c r="E4257" t="s">
        <v>1590</v>
      </c>
      <c r="F4257" t="s">
        <v>1593</v>
      </c>
    </row>
    <row r="4258" spans="1:6">
      <c r="A4258">
        <v>138</v>
      </c>
      <c r="B4258" t="s">
        <v>1817</v>
      </c>
      <c r="C4258">
        <v>9482</v>
      </c>
      <c r="D4258" t="s">
        <v>1597</v>
      </c>
      <c r="E4258" t="s">
        <v>1595</v>
      </c>
      <c r="F4258" t="s">
        <v>1598</v>
      </c>
    </row>
    <row r="4259" spans="1:6">
      <c r="A4259">
        <v>138</v>
      </c>
      <c r="B4259" t="s">
        <v>1817</v>
      </c>
      <c r="C4259">
        <v>1155969</v>
      </c>
      <c r="D4259" t="s">
        <v>1602</v>
      </c>
      <c r="E4259" t="s">
        <v>1600</v>
      </c>
      <c r="F4259" t="s">
        <v>1603</v>
      </c>
    </row>
    <row r="4260" spans="1:6">
      <c r="A4260">
        <v>138</v>
      </c>
      <c r="B4260" t="s">
        <v>1817</v>
      </c>
      <c r="C4260">
        <v>50000</v>
      </c>
      <c r="D4260" t="s">
        <v>1604</v>
      </c>
      <c r="E4260" t="s">
        <v>1605</v>
      </c>
      <c r="F4260" t="s">
        <v>1606</v>
      </c>
    </row>
    <row r="4261" spans="1:6">
      <c r="A4261">
        <v>138</v>
      </c>
      <c r="B4261" t="s">
        <v>1817</v>
      </c>
      <c r="C4261">
        <v>172673.82</v>
      </c>
      <c r="D4261" t="s">
        <v>1379</v>
      </c>
      <c r="E4261" t="s">
        <v>1380</v>
      </c>
      <c r="F4261" t="s">
        <v>1381</v>
      </c>
    </row>
    <row r="4262" spans="1:6">
      <c r="A4262">
        <v>138</v>
      </c>
      <c r="B4262" t="s">
        <v>1817</v>
      </c>
      <c r="C4262">
        <v>387358.5</v>
      </c>
      <c r="D4262" t="s">
        <v>1475</v>
      </c>
      <c r="E4262" t="s">
        <v>1476</v>
      </c>
      <c r="F4262" t="s">
        <v>1477</v>
      </c>
    </row>
    <row r="4263" spans="1:6">
      <c r="A4263">
        <v>138</v>
      </c>
      <c r="B4263" t="s">
        <v>1817</v>
      </c>
      <c r="C4263">
        <v>1386411.56</v>
      </c>
      <c r="D4263" t="s">
        <v>1478</v>
      </c>
      <c r="E4263" t="s">
        <v>1479</v>
      </c>
      <c r="F4263" t="s">
        <v>1480</v>
      </c>
    </row>
    <row r="4264" spans="1:6">
      <c r="A4264">
        <v>138</v>
      </c>
      <c r="B4264" t="s">
        <v>1817</v>
      </c>
      <c r="C4264">
        <v>1534591.29</v>
      </c>
      <c r="D4264" t="s">
        <v>1365</v>
      </c>
      <c r="E4264" t="s">
        <v>1366</v>
      </c>
      <c r="F4264" t="s">
        <v>1367</v>
      </c>
    </row>
    <row r="4265" spans="1:6">
      <c r="A4265">
        <v>138</v>
      </c>
      <c r="B4265" t="s">
        <v>1817</v>
      </c>
      <c r="C4265">
        <v>26</v>
      </c>
      <c r="D4265" t="s">
        <v>1607</v>
      </c>
      <c r="E4265" t="s">
        <v>1608</v>
      </c>
      <c r="F4265" t="s">
        <v>1609</v>
      </c>
    </row>
    <row r="4266" spans="1:6">
      <c r="A4266">
        <v>138</v>
      </c>
      <c r="B4266" t="s">
        <v>1817</v>
      </c>
      <c r="C4266">
        <v>259077</v>
      </c>
      <c r="D4266" t="s">
        <v>1610</v>
      </c>
      <c r="E4266" t="s">
        <v>1481</v>
      </c>
      <c r="F4266" t="s">
        <v>1482</v>
      </c>
    </row>
    <row r="4267" spans="1:6">
      <c r="A4267">
        <v>139</v>
      </c>
      <c r="B4267" t="s">
        <v>1818</v>
      </c>
      <c r="C4267">
        <v>7297</v>
      </c>
      <c r="D4267" t="s">
        <v>1489</v>
      </c>
      <c r="E4267" t="s">
        <v>1490</v>
      </c>
      <c r="F4267" t="s">
        <v>1491</v>
      </c>
    </row>
    <row r="4268" spans="1:6">
      <c r="A4268">
        <v>139</v>
      </c>
      <c r="B4268" t="s">
        <v>1818</v>
      </c>
      <c r="C4268">
        <v>117977</v>
      </c>
      <c r="D4268" t="s">
        <v>1407</v>
      </c>
      <c r="E4268" t="s">
        <v>1408</v>
      </c>
      <c r="F4268" t="s">
        <v>1409</v>
      </c>
    </row>
    <row r="4269" spans="1:6">
      <c r="A4269">
        <v>139</v>
      </c>
      <c r="B4269" t="s">
        <v>1818</v>
      </c>
      <c r="C4269">
        <v>176726</v>
      </c>
      <c r="D4269" t="s">
        <v>1567</v>
      </c>
      <c r="E4269" t="s">
        <v>1568</v>
      </c>
      <c r="F4269" t="s">
        <v>1569</v>
      </c>
    </row>
    <row r="4270" spans="1:6">
      <c r="A4270">
        <v>139</v>
      </c>
      <c r="B4270" t="s">
        <v>1818</v>
      </c>
      <c r="C4270">
        <v>4537509</v>
      </c>
      <c r="D4270" t="s">
        <v>1570</v>
      </c>
      <c r="E4270" t="s">
        <v>1571</v>
      </c>
      <c r="F4270" t="s">
        <v>1572</v>
      </c>
    </row>
    <row r="4271" spans="1:6">
      <c r="A4271">
        <v>139</v>
      </c>
      <c r="B4271" t="s">
        <v>1818</v>
      </c>
      <c r="C4271">
        <v>387375</v>
      </c>
      <c r="D4271" t="s">
        <v>1573</v>
      </c>
      <c r="E4271" t="s">
        <v>1574</v>
      </c>
      <c r="F4271" t="s">
        <v>1575</v>
      </c>
    </row>
    <row r="4272" spans="1:6">
      <c r="A4272">
        <v>139</v>
      </c>
      <c r="B4272" t="s">
        <v>1818</v>
      </c>
      <c r="C4272">
        <v>14000</v>
      </c>
      <c r="D4272" t="s">
        <v>1528</v>
      </c>
      <c r="E4272" t="s">
        <v>1529</v>
      </c>
      <c r="F4272" t="s">
        <v>1530</v>
      </c>
    </row>
    <row r="4273" spans="1:6">
      <c r="A4273">
        <v>139</v>
      </c>
      <c r="B4273" t="s">
        <v>1818</v>
      </c>
      <c r="C4273">
        <v>46000</v>
      </c>
      <c r="D4273" t="s">
        <v>1531</v>
      </c>
      <c r="E4273" t="s">
        <v>1532</v>
      </c>
      <c r="F4273" t="s">
        <v>1533</v>
      </c>
    </row>
    <row r="4274" spans="1:6">
      <c r="A4274">
        <v>139</v>
      </c>
      <c r="B4274" t="s">
        <v>1818</v>
      </c>
      <c r="C4274">
        <v>737.57</v>
      </c>
      <c r="D4274" t="s">
        <v>1537</v>
      </c>
      <c r="E4274" t="s">
        <v>1538</v>
      </c>
      <c r="F4274" t="s">
        <v>1539</v>
      </c>
    </row>
    <row r="4275" spans="1:6">
      <c r="A4275">
        <v>139</v>
      </c>
      <c r="B4275" t="s">
        <v>1818</v>
      </c>
      <c r="C4275">
        <v>1026.29</v>
      </c>
      <c r="D4275" t="s">
        <v>1540</v>
      </c>
      <c r="E4275" t="s">
        <v>1538</v>
      </c>
      <c r="F4275" t="s">
        <v>1541</v>
      </c>
    </row>
    <row r="4276" spans="1:6">
      <c r="A4276">
        <v>139</v>
      </c>
      <c r="B4276" t="s">
        <v>1818</v>
      </c>
      <c r="C4276">
        <v>20655.060000000001</v>
      </c>
      <c r="D4276" t="s">
        <v>1431</v>
      </c>
      <c r="E4276" t="s">
        <v>1432</v>
      </c>
      <c r="F4276" t="s">
        <v>1433</v>
      </c>
    </row>
    <row r="4277" spans="1:6">
      <c r="A4277">
        <v>139</v>
      </c>
      <c r="B4277" t="s">
        <v>1818</v>
      </c>
      <c r="C4277">
        <v>49763.9</v>
      </c>
      <c r="D4277" t="s">
        <v>1434</v>
      </c>
      <c r="E4277" t="s">
        <v>1432</v>
      </c>
      <c r="F4277" t="s">
        <v>1435</v>
      </c>
    </row>
    <row r="4278" spans="1:6">
      <c r="A4278">
        <v>139</v>
      </c>
      <c r="B4278" t="s">
        <v>1818</v>
      </c>
      <c r="C4278">
        <v>52009</v>
      </c>
      <c r="D4278" t="s">
        <v>1576</v>
      </c>
      <c r="E4278" t="s">
        <v>1577</v>
      </c>
      <c r="F4278" t="s">
        <v>1578</v>
      </c>
    </row>
    <row r="4279" spans="1:6">
      <c r="A4279">
        <v>139</v>
      </c>
      <c r="B4279" t="s">
        <v>1818</v>
      </c>
      <c r="C4279">
        <v>39855</v>
      </c>
      <c r="D4279" t="s">
        <v>1579</v>
      </c>
      <c r="E4279" t="s">
        <v>1577</v>
      </c>
      <c r="F4279" t="s">
        <v>1580</v>
      </c>
    </row>
    <row r="4280" spans="1:6">
      <c r="A4280">
        <v>139</v>
      </c>
      <c r="B4280" t="s">
        <v>1818</v>
      </c>
      <c r="C4280">
        <v>15843</v>
      </c>
      <c r="D4280" t="s">
        <v>1436</v>
      </c>
      <c r="E4280" t="s">
        <v>1437</v>
      </c>
      <c r="F4280" t="s">
        <v>1438</v>
      </c>
    </row>
    <row r="4281" spans="1:6">
      <c r="A4281">
        <v>139</v>
      </c>
      <c r="B4281" t="s">
        <v>1818</v>
      </c>
      <c r="C4281">
        <v>318</v>
      </c>
      <c r="D4281" t="s">
        <v>1442</v>
      </c>
      <c r="E4281" t="s">
        <v>1582</v>
      </c>
      <c r="F4281" t="s">
        <v>1443</v>
      </c>
    </row>
    <row r="4282" spans="1:6">
      <c r="A4282">
        <v>139</v>
      </c>
      <c r="B4282" t="s">
        <v>1818</v>
      </c>
      <c r="C4282">
        <v>464</v>
      </c>
      <c r="D4282" t="s">
        <v>1581</v>
      </c>
      <c r="E4282" t="s">
        <v>1582</v>
      </c>
      <c r="F4282" t="s">
        <v>1583</v>
      </c>
    </row>
    <row r="4283" spans="1:6">
      <c r="A4283">
        <v>139</v>
      </c>
      <c r="B4283" t="s">
        <v>1818</v>
      </c>
      <c r="C4283">
        <v>10445</v>
      </c>
      <c r="D4283" t="s">
        <v>1584</v>
      </c>
      <c r="E4283" t="s">
        <v>1585</v>
      </c>
      <c r="F4283" t="s">
        <v>1586</v>
      </c>
    </row>
    <row r="4284" spans="1:6">
      <c r="A4284">
        <v>139</v>
      </c>
      <c r="B4284" t="s">
        <v>1818</v>
      </c>
      <c r="C4284">
        <v>17660</v>
      </c>
      <c r="D4284" t="s">
        <v>1587</v>
      </c>
      <c r="E4284" t="s">
        <v>1585</v>
      </c>
      <c r="F4284" t="s">
        <v>1588</v>
      </c>
    </row>
    <row r="4285" spans="1:6">
      <c r="A4285">
        <v>139</v>
      </c>
      <c r="B4285" t="s">
        <v>1818</v>
      </c>
      <c r="C4285">
        <v>1745</v>
      </c>
      <c r="D4285" t="s">
        <v>1589</v>
      </c>
      <c r="E4285" t="s">
        <v>1590</v>
      </c>
      <c r="F4285" t="s">
        <v>1591</v>
      </c>
    </row>
    <row r="4286" spans="1:6">
      <c r="A4286">
        <v>139</v>
      </c>
      <c r="B4286" t="s">
        <v>1818</v>
      </c>
      <c r="C4286">
        <v>839</v>
      </c>
      <c r="D4286" t="s">
        <v>1592</v>
      </c>
      <c r="E4286" t="s">
        <v>1590</v>
      </c>
      <c r="F4286" t="s">
        <v>1593</v>
      </c>
    </row>
    <row r="4287" spans="1:6">
      <c r="A4287">
        <v>139</v>
      </c>
      <c r="B4287" t="s">
        <v>1818</v>
      </c>
      <c r="C4287">
        <v>3318</v>
      </c>
      <c r="D4287" t="s">
        <v>1594</v>
      </c>
      <c r="E4287" t="s">
        <v>1595</v>
      </c>
      <c r="F4287" t="s">
        <v>1596</v>
      </c>
    </row>
    <row r="4288" spans="1:6">
      <c r="A4288">
        <v>139</v>
      </c>
      <c r="B4288" t="s">
        <v>1818</v>
      </c>
      <c r="C4288">
        <v>3164</v>
      </c>
      <c r="D4288" t="s">
        <v>1597</v>
      </c>
      <c r="E4288" t="s">
        <v>1595</v>
      </c>
      <c r="F4288" t="s">
        <v>1598</v>
      </c>
    </row>
    <row r="4289" spans="1:6">
      <c r="A4289">
        <v>139</v>
      </c>
      <c r="B4289" t="s">
        <v>1818</v>
      </c>
      <c r="C4289">
        <v>340551</v>
      </c>
      <c r="D4289" t="s">
        <v>1599</v>
      </c>
      <c r="E4289" t="s">
        <v>1600</v>
      </c>
      <c r="F4289" t="s">
        <v>1601</v>
      </c>
    </row>
    <row r="4290" spans="1:6">
      <c r="A4290">
        <v>139</v>
      </c>
      <c r="B4290" t="s">
        <v>1818</v>
      </c>
      <c r="C4290">
        <v>51003</v>
      </c>
      <c r="D4290" t="s">
        <v>1602</v>
      </c>
      <c r="E4290" t="s">
        <v>1600</v>
      </c>
      <c r="F4290" t="s">
        <v>1603</v>
      </c>
    </row>
    <row r="4291" spans="1:6">
      <c r="A4291">
        <v>139</v>
      </c>
      <c r="B4291" t="s">
        <v>1818</v>
      </c>
      <c r="C4291">
        <v>10018</v>
      </c>
      <c r="D4291" t="s">
        <v>1459</v>
      </c>
      <c r="E4291" t="s">
        <v>1605</v>
      </c>
      <c r="F4291" t="s">
        <v>1460</v>
      </c>
    </row>
    <row r="4292" spans="1:6">
      <c r="A4292">
        <v>139</v>
      </c>
      <c r="B4292" t="s">
        <v>1818</v>
      </c>
      <c r="C4292">
        <v>7480</v>
      </c>
      <c r="D4292" t="s">
        <v>1604</v>
      </c>
      <c r="E4292" t="s">
        <v>1605</v>
      </c>
      <c r="F4292" t="s">
        <v>1606</v>
      </c>
    </row>
    <row r="4293" spans="1:6">
      <c r="A4293">
        <v>139</v>
      </c>
      <c r="B4293" t="s">
        <v>1818</v>
      </c>
      <c r="C4293">
        <v>87945</v>
      </c>
      <c r="D4293" t="s">
        <v>1610</v>
      </c>
      <c r="E4293" t="s">
        <v>1481</v>
      </c>
      <c r="F4293" t="s">
        <v>1482</v>
      </c>
    </row>
    <row r="4294" spans="1:6">
      <c r="A4294">
        <v>140</v>
      </c>
      <c r="B4294" t="s">
        <v>1819</v>
      </c>
      <c r="C4294">
        <v>5583</v>
      </c>
      <c r="D4294" t="s">
        <v>1489</v>
      </c>
      <c r="E4294" t="s">
        <v>1490</v>
      </c>
      <c r="F4294" t="s">
        <v>1491</v>
      </c>
    </row>
    <row r="4295" spans="1:6">
      <c r="A4295">
        <v>140</v>
      </c>
      <c r="B4295" t="s">
        <v>1819</v>
      </c>
      <c r="C4295">
        <v>115515</v>
      </c>
      <c r="D4295" t="s">
        <v>1567</v>
      </c>
      <c r="E4295" t="s">
        <v>1568</v>
      </c>
      <c r="F4295" t="s">
        <v>1569</v>
      </c>
    </row>
    <row r="4296" spans="1:6">
      <c r="A4296">
        <v>140</v>
      </c>
      <c r="B4296" t="s">
        <v>1819</v>
      </c>
      <c r="C4296">
        <v>4786265</v>
      </c>
      <c r="D4296" t="s">
        <v>1570</v>
      </c>
      <c r="E4296" t="s">
        <v>1571</v>
      </c>
      <c r="F4296" t="s">
        <v>1572</v>
      </c>
    </row>
    <row r="4297" spans="1:6">
      <c r="A4297">
        <v>140</v>
      </c>
      <c r="B4297" t="s">
        <v>1819</v>
      </c>
      <c r="C4297">
        <v>57531</v>
      </c>
      <c r="D4297" t="s">
        <v>1382</v>
      </c>
      <c r="E4297" t="s">
        <v>1383</v>
      </c>
      <c r="F4297" t="s">
        <v>1384</v>
      </c>
    </row>
    <row r="4298" spans="1:6">
      <c r="A4298">
        <v>140</v>
      </c>
      <c r="B4298" t="s">
        <v>1819</v>
      </c>
      <c r="C4298">
        <v>52052</v>
      </c>
      <c r="D4298" t="s">
        <v>1338</v>
      </c>
      <c r="E4298" t="s">
        <v>1383</v>
      </c>
      <c r="F4298" t="s">
        <v>1384</v>
      </c>
    </row>
    <row r="4299" spans="1:6">
      <c r="A4299">
        <v>140</v>
      </c>
      <c r="B4299" t="s">
        <v>1819</v>
      </c>
      <c r="C4299">
        <v>170093</v>
      </c>
      <c r="D4299" t="s">
        <v>1520</v>
      </c>
      <c r="E4299" t="s">
        <v>1521</v>
      </c>
      <c r="F4299" t="s">
        <v>1522</v>
      </c>
    </row>
    <row r="4300" spans="1:6">
      <c r="A4300">
        <v>140</v>
      </c>
      <c r="B4300" t="s">
        <v>1819</v>
      </c>
      <c r="C4300">
        <v>30931</v>
      </c>
      <c r="D4300" t="s">
        <v>1216</v>
      </c>
      <c r="E4300" t="s">
        <v>1217</v>
      </c>
      <c r="F4300" t="s">
        <v>1218</v>
      </c>
    </row>
    <row r="4301" spans="1:6">
      <c r="A4301">
        <v>140</v>
      </c>
      <c r="B4301" t="s">
        <v>1819</v>
      </c>
      <c r="C4301">
        <v>83560</v>
      </c>
      <c r="D4301" t="s">
        <v>1573</v>
      </c>
      <c r="E4301" t="s">
        <v>1574</v>
      </c>
      <c r="F4301" t="s">
        <v>1575</v>
      </c>
    </row>
    <row r="4302" spans="1:6">
      <c r="A4302">
        <v>140</v>
      </c>
      <c r="B4302" t="s">
        <v>1819</v>
      </c>
      <c r="C4302">
        <v>19041</v>
      </c>
      <c r="D4302" t="s">
        <v>1523</v>
      </c>
      <c r="E4302" t="s">
        <v>1521</v>
      </c>
      <c r="F4302" t="s">
        <v>1524</v>
      </c>
    </row>
    <row r="4303" spans="1:6">
      <c r="A4303">
        <v>140</v>
      </c>
      <c r="B4303" t="s">
        <v>1819</v>
      </c>
      <c r="C4303">
        <v>113100</v>
      </c>
      <c r="D4303" t="s">
        <v>1387</v>
      </c>
      <c r="E4303" t="s">
        <v>1388</v>
      </c>
      <c r="F4303" t="s">
        <v>1389</v>
      </c>
    </row>
    <row r="4304" spans="1:6">
      <c r="A4304">
        <v>140</v>
      </c>
      <c r="B4304" t="s">
        <v>1819</v>
      </c>
      <c r="C4304">
        <v>19370.97</v>
      </c>
      <c r="D4304" t="s">
        <v>1431</v>
      </c>
      <c r="E4304" t="s">
        <v>1432</v>
      </c>
      <c r="F4304" t="s">
        <v>1433</v>
      </c>
    </row>
    <row r="4305" spans="1:6">
      <c r="A4305">
        <v>140</v>
      </c>
      <c r="B4305" t="s">
        <v>1819</v>
      </c>
      <c r="C4305">
        <v>52504.37</v>
      </c>
      <c r="D4305" t="s">
        <v>1434</v>
      </c>
      <c r="E4305" t="s">
        <v>1432</v>
      </c>
      <c r="F4305" t="s">
        <v>1435</v>
      </c>
    </row>
    <row r="4306" spans="1:6">
      <c r="A4306">
        <v>140</v>
      </c>
      <c r="B4306" t="s">
        <v>1819</v>
      </c>
      <c r="C4306">
        <v>34618</v>
      </c>
      <c r="D4306" t="s">
        <v>1576</v>
      </c>
      <c r="E4306" t="s">
        <v>1577</v>
      </c>
      <c r="F4306" t="s">
        <v>1578</v>
      </c>
    </row>
    <row r="4307" spans="1:6">
      <c r="A4307">
        <v>140</v>
      </c>
      <c r="B4307" t="s">
        <v>1819</v>
      </c>
      <c r="C4307">
        <v>109458</v>
      </c>
      <c r="D4307" t="s">
        <v>1579</v>
      </c>
      <c r="E4307" t="s">
        <v>1577</v>
      </c>
      <c r="F4307" t="s">
        <v>1580</v>
      </c>
    </row>
    <row r="4308" spans="1:6">
      <c r="A4308">
        <v>140</v>
      </c>
      <c r="B4308" t="s">
        <v>1819</v>
      </c>
      <c r="C4308">
        <v>15237</v>
      </c>
      <c r="D4308" t="s">
        <v>1436</v>
      </c>
      <c r="E4308" t="s">
        <v>1437</v>
      </c>
      <c r="F4308" t="s">
        <v>1438</v>
      </c>
    </row>
    <row r="4309" spans="1:6">
      <c r="A4309">
        <v>140</v>
      </c>
      <c r="B4309" t="s">
        <v>1819</v>
      </c>
      <c r="C4309">
        <v>2153</v>
      </c>
      <c r="D4309" t="s">
        <v>1442</v>
      </c>
      <c r="E4309" t="s">
        <v>1582</v>
      </c>
      <c r="F4309" t="s">
        <v>1443</v>
      </c>
    </row>
    <row r="4310" spans="1:6">
      <c r="A4310">
        <v>140</v>
      </c>
      <c r="B4310" t="s">
        <v>1819</v>
      </c>
      <c r="C4310">
        <v>40469</v>
      </c>
      <c r="D4310" t="s">
        <v>1584</v>
      </c>
      <c r="E4310" t="s">
        <v>1585</v>
      </c>
      <c r="F4310" t="s">
        <v>1586</v>
      </c>
    </row>
    <row r="4311" spans="1:6">
      <c r="A4311">
        <v>140</v>
      </c>
      <c r="B4311" t="s">
        <v>1819</v>
      </c>
      <c r="C4311">
        <v>38472</v>
      </c>
      <c r="D4311" t="s">
        <v>1587</v>
      </c>
      <c r="E4311" t="s">
        <v>1585</v>
      </c>
      <c r="F4311" t="s">
        <v>1588</v>
      </c>
    </row>
    <row r="4312" spans="1:6">
      <c r="A4312">
        <v>140</v>
      </c>
      <c r="B4312" t="s">
        <v>1819</v>
      </c>
      <c r="C4312">
        <v>962</v>
      </c>
      <c r="D4312" t="s">
        <v>1589</v>
      </c>
      <c r="E4312" t="s">
        <v>1590</v>
      </c>
      <c r="F4312" t="s">
        <v>1591</v>
      </c>
    </row>
    <row r="4313" spans="1:6">
      <c r="A4313">
        <v>140</v>
      </c>
      <c r="B4313" t="s">
        <v>1819</v>
      </c>
      <c r="C4313">
        <v>2943</v>
      </c>
      <c r="D4313" t="s">
        <v>1592</v>
      </c>
      <c r="E4313" t="s">
        <v>1590</v>
      </c>
      <c r="F4313" t="s">
        <v>1593</v>
      </c>
    </row>
    <row r="4314" spans="1:6">
      <c r="A4314">
        <v>140</v>
      </c>
      <c r="B4314" t="s">
        <v>1819</v>
      </c>
      <c r="C4314">
        <v>1509</v>
      </c>
      <c r="D4314" t="s">
        <v>1594</v>
      </c>
      <c r="E4314" t="s">
        <v>1595</v>
      </c>
      <c r="F4314" t="s">
        <v>1596</v>
      </c>
    </row>
    <row r="4315" spans="1:6">
      <c r="A4315">
        <v>140</v>
      </c>
      <c r="B4315" t="s">
        <v>1819</v>
      </c>
      <c r="C4315">
        <v>102924</v>
      </c>
      <c r="D4315" t="s">
        <v>1599</v>
      </c>
      <c r="E4315" t="s">
        <v>1600</v>
      </c>
      <c r="F4315" t="s">
        <v>1601</v>
      </c>
    </row>
    <row r="4316" spans="1:6">
      <c r="A4316">
        <v>140</v>
      </c>
      <c r="B4316" t="s">
        <v>1819</v>
      </c>
      <c r="C4316">
        <v>129813</v>
      </c>
      <c r="D4316" t="s">
        <v>1602</v>
      </c>
      <c r="E4316" t="s">
        <v>1600</v>
      </c>
      <c r="F4316" t="s">
        <v>1603</v>
      </c>
    </row>
    <row r="4317" spans="1:6">
      <c r="A4317">
        <v>140</v>
      </c>
      <c r="B4317" t="s">
        <v>1819</v>
      </c>
      <c r="C4317">
        <v>5797</v>
      </c>
      <c r="D4317" t="s">
        <v>1459</v>
      </c>
      <c r="E4317" t="s">
        <v>1605</v>
      </c>
      <c r="F4317" t="s">
        <v>1460</v>
      </c>
    </row>
    <row r="4318" spans="1:6">
      <c r="A4318">
        <v>140</v>
      </c>
      <c r="B4318" t="s">
        <v>1819</v>
      </c>
      <c r="C4318">
        <v>12356</v>
      </c>
      <c r="D4318" t="s">
        <v>1604</v>
      </c>
      <c r="E4318" t="s">
        <v>1605</v>
      </c>
      <c r="F4318" t="s">
        <v>1606</v>
      </c>
    </row>
    <row r="4319" spans="1:6">
      <c r="A4319">
        <v>140</v>
      </c>
      <c r="B4319" t="s">
        <v>1819</v>
      </c>
      <c r="C4319">
        <v>77254.84</v>
      </c>
      <c r="D4319" t="s">
        <v>1475</v>
      </c>
      <c r="E4319" t="s">
        <v>1476</v>
      </c>
      <c r="F4319" t="s">
        <v>1477</v>
      </c>
    </row>
    <row r="4320" spans="1:6">
      <c r="A4320">
        <v>140</v>
      </c>
      <c r="B4320" t="s">
        <v>1819</v>
      </c>
      <c r="C4320">
        <v>158661.35</v>
      </c>
      <c r="D4320" t="s">
        <v>1478</v>
      </c>
      <c r="E4320" t="s">
        <v>1479</v>
      </c>
      <c r="F4320" t="s">
        <v>1480</v>
      </c>
    </row>
    <row r="4321" spans="1:6">
      <c r="A4321">
        <v>140</v>
      </c>
      <c r="B4321" t="s">
        <v>1819</v>
      </c>
      <c r="C4321">
        <v>185760</v>
      </c>
      <c r="D4321" t="s">
        <v>1610</v>
      </c>
      <c r="E4321" t="s">
        <v>1481</v>
      </c>
      <c r="F4321" t="s">
        <v>1482</v>
      </c>
    </row>
    <row r="4322" spans="1:6">
      <c r="A4322">
        <v>141</v>
      </c>
      <c r="B4322" t="s">
        <v>1820</v>
      </c>
      <c r="C4322">
        <v>6894</v>
      </c>
      <c r="D4322" t="s">
        <v>1489</v>
      </c>
      <c r="E4322" t="s">
        <v>1490</v>
      </c>
      <c r="F4322" t="s">
        <v>1491</v>
      </c>
    </row>
    <row r="4323" spans="1:6">
      <c r="A4323">
        <v>141</v>
      </c>
      <c r="B4323" t="s">
        <v>1820</v>
      </c>
      <c r="C4323">
        <v>221015</v>
      </c>
      <c r="D4323" t="s">
        <v>1567</v>
      </c>
      <c r="E4323" t="s">
        <v>1568</v>
      </c>
      <c r="F4323" t="s">
        <v>1569</v>
      </c>
    </row>
    <row r="4324" spans="1:6">
      <c r="A4324">
        <v>141</v>
      </c>
      <c r="B4324" t="s">
        <v>1820</v>
      </c>
      <c r="C4324">
        <v>8610</v>
      </c>
      <c r="D4324" t="s">
        <v>1496</v>
      </c>
      <c r="E4324" t="s">
        <v>1497</v>
      </c>
      <c r="F4324" t="s">
        <v>1498</v>
      </c>
    </row>
    <row r="4325" spans="1:6">
      <c r="A4325">
        <v>141</v>
      </c>
      <c r="B4325" t="s">
        <v>1820</v>
      </c>
      <c r="C4325">
        <v>6721880</v>
      </c>
      <c r="D4325" t="s">
        <v>1570</v>
      </c>
      <c r="E4325" t="s">
        <v>1571</v>
      </c>
      <c r="F4325" t="s">
        <v>1572</v>
      </c>
    </row>
    <row r="4326" spans="1:6">
      <c r="A4326">
        <v>141</v>
      </c>
      <c r="B4326" t="s">
        <v>1820</v>
      </c>
      <c r="C4326">
        <v>205809</v>
      </c>
      <c r="D4326" t="s">
        <v>1520</v>
      </c>
      <c r="E4326" t="s">
        <v>1521</v>
      </c>
      <c r="F4326" t="s">
        <v>1522</v>
      </c>
    </row>
    <row r="4327" spans="1:6">
      <c r="A4327">
        <v>141</v>
      </c>
      <c r="B4327" t="s">
        <v>1820</v>
      </c>
      <c r="C4327">
        <v>486195</v>
      </c>
      <c r="D4327" t="s">
        <v>1573</v>
      </c>
      <c r="E4327" t="s">
        <v>1574</v>
      </c>
      <c r="F4327" t="s">
        <v>1575</v>
      </c>
    </row>
    <row r="4328" spans="1:6">
      <c r="A4328">
        <v>141</v>
      </c>
      <c r="B4328" t="s">
        <v>1820</v>
      </c>
      <c r="C4328">
        <v>31332</v>
      </c>
      <c r="D4328" t="s">
        <v>1523</v>
      </c>
      <c r="E4328" t="s">
        <v>1521</v>
      </c>
      <c r="F4328" t="s">
        <v>1524</v>
      </c>
    </row>
    <row r="4329" spans="1:6">
      <c r="A4329">
        <v>141</v>
      </c>
      <c r="B4329" t="s">
        <v>1820</v>
      </c>
      <c r="C4329">
        <v>8686</v>
      </c>
      <c r="D4329" t="s">
        <v>1525</v>
      </c>
      <c r="E4329" t="s">
        <v>1526</v>
      </c>
      <c r="F4329" t="s">
        <v>1527</v>
      </c>
    </row>
    <row r="4330" spans="1:6">
      <c r="A4330">
        <v>141</v>
      </c>
      <c r="B4330" t="s">
        <v>1820</v>
      </c>
      <c r="C4330">
        <v>25000</v>
      </c>
      <c r="D4330" t="s">
        <v>1207</v>
      </c>
      <c r="E4330" t="s">
        <v>1350</v>
      </c>
      <c r="F4330" t="s">
        <v>1351</v>
      </c>
    </row>
    <row r="4331" spans="1:6">
      <c r="A4331">
        <v>141</v>
      </c>
      <c r="B4331" t="s">
        <v>1820</v>
      </c>
      <c r="C4331">
        <v>7557.24</v>
      </c>
      <c r="D4331" t="s">
        <v>1537</v>
      </c>
      <c r="E4331" t="s">
        <v>1538</v>
      </c>
      <c r="F4331" t="s">
        <v>1539</v>
      </c>
    </row>
    <row r="4332" spans="1:6">
      <c r="A4332">
        <v>141</v>
      </c>
      <c r="B4332" t="s">
        <v>1820</v>
      </c>
      <c r="C4332">
        <v>13606.27</v>
      </c>
      <c r="D4332" t="s">
        <v>1540</v>
      </c>
      <c r="E4332" t="s">
        <v>1538</v>
      </c>
      <c r="F4332" t="s">
        <v>1541</v>
      </c>
    </row>
    <row r="4333" spans="1:6">
      <c r="A4333">
        <v>141</v>
      </c>
      <c r="B4333" t="s">
        <v>1820</v>
      </c>
      <c r="C4333">
        <v>39690.89</v>
      </c>
      <c r="D4333" t="s">
        <v>1431</v>
      </c>
      <c r="E4333" t="s">
        <v>1432</v>
      </c>
      <c r="F4333" t="s">
        <v>1433</v>
      </c>
    </row>
    <row r="4334" spans="1:6">
      <c r="A4334">
        <v>141</v>
      </c>
      <c r="B4334" t="s">
        <v>1820</v>
      </c>
      <c r="C4334">
        <v>88920.81</v>
      </c>
      <c r="D4334" t="s">
        <v>1434</v>
      </c>
      <c r="E4334" t="s">
        <v>1432</v>
      </c>
      <c r="F4334" t="s">
        <v>1435</v>
      </c>
    </row>
    <row r="4335" spans="1:6">
      <c r="A4335">
        <v>141</v>
      </c>
      <c r="B4335" t="s">
        <v>1820</v>
      </c>
      <c r="C4335">
        <v>162922</v>
      </c>
      <c r="D4335" t="s">
        <v>1579</v>
      </c>
      <c r="E4335" t="s">
        <v>1577</v>
      </c>
      <c r="F4335" t="s">
        <v>1580</v>
      </c>
    </row>
    <row r="4336" spans="1:6">
      <c r="A4336">
        <v>141</v>
      </c>
      <c r="B4336" t="s">
        <v>1820</v>
      </c>
      <c r="C4336">
        <v>1248</v>
      </c>
      <c r="D4336" t="s">
        <v>1581</v>
      </c>
      <c r="E4336" t="s">
        <v>1582</v>
      </c>
      <c r="F4336" t="s">
        <v>1583</v>
      </c>
    </row>
    <row r="4337" spans="1:6">
      <c r="A4337">
        <v>141</v>
      </c>
      <c r="B4337" t="s">
        <v>1820</v>
      </c>
      <c r="C4337">
        <v>15000</v>
      </c>
      <c r="D4337" t="s">
        <v>1584</v>
      </c>
      <c r="E4337" t="s">
        <v>1585</v>
      </c>
      <c r="F4337" t="s">
        <v>1586</v>
      </c>
    </row>
    <row r="4338" spans="1:6">
      <c r="A4338">
        <v>141</v>
      </c>
      <c r="B4338" t="s">
        <v>1820</v>
      </c>
      <c r="C4338">
        <v>61577</v>
      </c>
      <c r="D4338" t="s">
        <v>1587</v>
      </c>
      <c r="E4338" t="s">
        <v>1585</v>
      </c>
      <c r="F4338" t="s">
        <v>1588</v>
      </c>
    </row>
    <row r="4339" spans="1:6">
      <c r="A4339">
        <v>141</v>
      </c>
      <c r="B4339" t="s">
        <v>1820</v>
      </c>
      <c r="C4339">
        <v>4131</v>
      </c>
      <c r="D4339" t="s">
        <v>1589</v>
      </c>
      <c r="E4339" t="s">
        <v>1590</v>
      </c>
      <c r="F4339" t="s">
        <v>1591</v>
      </c>
    </row>
    <row r="4340" spans="1:6">
      <c r="A4340">
        <v>141</v>
      </c>
      <c r="B4340" t="s">
        <v>1820</v>
      </c>
      <c r="C4340">
        <v>6610</v>
      </c>
      <c r="D4340" t="s">
        <v>1592</v>
      </c>
      <c r="E4340" t="s">
        <v>1590</v>
      </c>
      <c r="F4340" t="s">
        <v>1593</v>
      </c>
    </row>
    <row r="4341" spans="1:6">
      <c r="A4341">
        <v>141</v>
      </c>
      <c r="B4341" t="s">
        <v>1820</v>
      </c>
      <c r="C4341">
        <v>3044</v>
      </c>
      <c r="D4341" t="s">
        <v>1594</v>
      </c>
      <c r="E4341" t="s">
        <v>1595</v>
      </c>
      <c r="F4341" t="s">
        <v>1596</v>
      </c>
    </row>
    <row r="4342" spans="1:6">
      <c r="A4342">
        <v>141</v>
      </c>
      <c r="B4342" t="s">
        <v>1820</v>
      </c>
      <c r="C4342">
        <v>2980</v>
      </c>
      <c r="D4342" t="s">
        <v>1597</v>
      </c>
      <c r="E4342" t="s">
        <v>1595</v>
      </c>
      <c r="F4342" t="s">
        <v>1598</v>
      </c>
    </row>
    <row r="4343" spans="1:6">
      <c r="A4343">
        <v>141</v>
      </c>
      <c r="B4343" t="s">
        <v>1820</v>
      </c>
      <c r="C4343">
        <v>20000</v>
      </c>
      <c r="D4343" t="s">
        <v>1599</v>
      </c>
      <c r="E4343" t="s">
        <v>1600</v>
      </c>
      <c r="F4343" t="s">
        <v>1601</v>
      </c>
    </row>
    <row r="4344" spans="1:6">
      <c r="A4344">
        <v>141</v>
      </c>
      <c r="B4344" t="s">
        <v>1820</v>
      </c>
      <c r="C4344">
        <v>298942</v>
      </c>
      <c r="D4344" t="s">
        <v>1602</v>
      </c>
      <c r="E4344" t="s">
        <v>1600</v>
      </c>
      <c r="F4344" t="s">
        <v>1603</v>
      </c>
    </row>
    <row r="4345" spans="1:6">
      <c r="A4345">
        <v>141</v>
      </c>
      <c r="B4345" t="s">
        <v>1820</v>
      </c>
      <c r="C4345">
        <v>15035</v>
      </c>
      <c r="D4345" t="s">
        <v>1604</v>
      </c>
      <c r="E4345" t="s">
        <v>1605</v>
      </c>
      <c r="F4345" t="s">
        <v>1606</v>
      </c>
    </row>
    <row r="4346" spans="1:6">
      <c r="A4346">
        <v>141</v>
      </c>
      <c r="B4346" t="s">
        <v>1820</v>
      </c>
      <c r="C4346">
        <v>1000</v>
      </c>
      <c r="D4346" t="s">
        <v>1466</v>
      </c>
      <c r="E4346" t="s">
        <v>1467</v>
      </c>
      <c r="F4346" t="s">
        <v>1468</v>
      </c>
    </row>
    <row r="4347" spans="1:6">
      <c r="A4347">
        <v>141</v>
      </c>
      <c r="B4347" t="s">
        <v>1820</v>
      </c>
      <c r="C4347">
        <v>1200</v>
      </c>
      <c r="D4347" t="s">
        <v>1607</v>
      </c>
      <c r="E4347" t="s">
        <v>1608</v>
      </c>
      <c r="F4347" t="s">
        <v>1609</v>
      </c>
    </row>
    <row r="4348" spans="1:6">
      <c r="A4348">
        <v>141</v>
      </c>
      <c r="B4348" t="s">
        <v>1820</v>
      </c>
      <c r="C4348">
        <v>8795828</v>
      </c>
      <c r="D4348" t="s">
        <v>1610</v>
      </c>
      <c r="E4348" t="s">
        <v>1481</v>
      </c>
      <c r="F4348" t="s">
        <v>1482</v>
      </c>
    </row>
    <row r="4349" spans="1:6">
      <c r="A4349">
        <v>142</v>
      </c>
      <c r="B4349" t="s">
        <v>1821</v>
      </c>
      <c r="C4349">
        <v>18648</v>
      </c>
      <c r="D4349" t="s">
        <v>1483</v>
      </c>
      <c r="E4349" t="s">
        <v>1484</v>
      </c>
      <c r="F4349" t="s">
        <v>1485</v>
      </c>
    </row>
    <row r="4350" spans="1:6">
      <c r="A4350">
        <v>142</v>
      </c>
      <c r="B4350" t="s">
        <v>1821</v>
      </c>
      <c r="C4350">
        <v>24326</v>
      </c>
      <c r="D4350" t="s">
        <v>1486</v>
      </c>
      <c r="E4350" t="s">
        <v>1487</v>
      </c>
      <c r="F4350" t="s">
        <v>1488</v>
      </c>
    </row>
    <row r="4351" spans="1:6">
      <c r="A4351">
        <v>142</v>
      </c>
      <c r="B4351" t="s">
        <v>1821</v>
      </c>
      <c r="C4351">
        <v>11378</v>
      </c>
      <c r="D4351" t="s">
        <v>1489</v>
      </c>
      <c r="E4351" t="s">
        <v>1490</v>
      </c>
      <c r="F4351" t="s">
        <v>1491</v>
      </c>
    </row>
    <row r="4352" spans="1:6">
      <c r="A4352">
        <v>142</v>
      </c>
      <c r="B4352" t="s">
        <v>1821</v>
      </c>
      <c r="C4352">
        <v>102250</v>
      </c>
      <c r="D4352" t="s">
        <v>1404</v>
      </c>
      <c r="E4352" t="s">
        <v>1405</v>
      </c>
      <c r="F4352" t="s">
        <v>1406</v>
      </c>
    </row>
    <row r="4353" spans="1:6">
      <c r="A4353">
        <v>142</v>
      </c>
      <c r="B4353" t="s">
        <v>1821</v>
      </c>
      <c r="C4353">
        <v>286450</v>
      </c>
      <c r="D4353" t="s">
        <v>1567</v>
      </c>
      <c r="E4353" t="s">
        <v>1568</v>
      </c>
      <c r="F4353" t="s">
        <v>1569</v>
      </c>
    </row>
    <row r="4354" spans="1:6">
      <c r="A4354">
        <v>142</v>
      </c>
      <c r="B4354" t="s">
        <v>1821</v>
      </c>
      <c r="C4354">
        <v>8890374</v>
      </c>
      <c r="D4354" t="s">
        <v>1570</v>
      </c>
      <c r="E4354" t="s">
        <v>1571</v>
      </c>
      <c r="F4354" t="s">
        <v>1572</v>
      </c>
    </row>
    <row r="4355" spans="1:6">
      <c r="A4355">
        <v>142</v>
      </c>
      <c r="B4355" t="s">
        <v>1821</v>
      </c>
      <c r="C4355">
        <v>146443</v>
      </c>
      <c r="D4355" t="s">
        <v>1520</v>
      </c>
      <c r="E4355" t="s">
        <v>1521</v>
      </c>
      <c r="F4355" t="s">
        <v>1522</v>
      </c>
    </row>
    <row r="4356" spans="1:6">
      <c r="A4356">
        <v>142</v>
      </c>
      <c r="B4356" t="s">
        <v>1821</v>
      </c>
      <c r="C4356">
        <v>577505</v>
      </c>
      <c r="D4356" t="s">
        <v>1573</v>
      </c>
      <c r="E4356" t="s">
        <v>1574</v>
      </c>
      <c r="F4356" t="s">
        <v>1575</v>
      </c>
    </row>
    <row r="4357" spans="1:6">
      <c r="A4357">
        <v>142</v>
      </c>
      <c r="B4357" t="s">
        <v>1821</v>
      </c>
      <c r="C4357">
        <v>21102</v>
      </c>
      <c r="D4357" t="s">
        <v>1528</v>
      </c>
      <c r="E4357" t="s">
        <v>1529</v>
      </c>
      <c r="F4357" t="s">
        <v>1530</v>
      </c>
    </row>
    <row r="4358" spans="1:6">
      <c r="A4358">
        <v>142</v>
      </c>
      <c r="B4358" t="s">
        <v>1821</v>
      </c>
      <c r="C4358">
        <v>9100</v>
      </c>
      <c r="D4358" t="s">
        <v>1387</v>
      </c>
      <c r="E4358" t="s">
        <v>1388</v>
      </c>
      <c r="F4358" t="s">
        <v>1389</v>
      </c>
    </row>
    <row r="4359" spans="1:6">
      <c r="A4359">
        <v>142</v>
      </c>
      <c r="B4359" t="s">
        <v>1821</v>
      </c>
      <c r="C4359">
        <v>24410.19</v>
      </c>
      <c r="D4359" t="s">
        <v>1431</v>
      </c>
      <c r="E4359" t="s">
        <v>1432</v>
      </c>
      <c r="F4359" t="s">
        <v>1433</v>
      </c>
    </row>
    <row r="4360" spans="1:6">
      <c r="A4360">
        <v>142</v>
      </c>
      <c r="B4360" t="s">
        <v>1821</v>
      </c>
      <c r="C4360">
        <v>61541.24</v>
      </c>
      <c r="D4360" t="s">
        <v>1434</v>
      </c>
      <c r="E4360" t="s">
        <v>1432</v>
      </c>
      <c r="F4360" t="s">
        <v>1435</v>
      </c>
    </row>
    <row r="4361" spans="1:6">
      <c r="A4361">
        <v>142</v>
      </c>
      <c r="B4361" t="s">
        <v>1821</v>
      </c>
      <c r="C4361">
        <v>9142</v>
      </c>
      <c r="D4361" t="s">
        <v>1576</v>
      </c>
      <c r="E4361" t="s">
        <v>1577</v>
      </c>
      <c r="F4361" t="s">
        <v>1578</v>
      </c>
    </row>
    <row r="4362" spans="1:6">
      <c r="A4362">
        <v>142</v>
      </c>
      <c r="B4362" t="s">
        <v>1821</v>
      </c>
      <c r="C4362">
        <v>126136</v>
      </c>
      <c r="D4362" t="s">
        <v>1579</v>
      </c>
      <c r="E4362" t="s">
        <v>1577</v>
      </c>
      <c r="F4362" t="s">
        <v>1580</v>
      </c>
    </row>
    <row r="4363" spans="1:6">
      <c r="A4363">
        <v>142</v>
      </c>
      <c r="B4363" t="s">
        <v>1821</v>
      </c>
      <c r="C4363">
        <v>18073</v>
      </c>
      <c r="D4363" t="s">
        <v>1436</v>
      </c>
      <c r="E4363" t="s">
        <v>1437</v>
      </c>
      <c r="F4363" t="s">
        <v>1438</v>
      </c>
    </row>
    <row r="4364" spans="1:6">
      <c r="A4364">
        <v>142</v>
      </c>
      <c r="B4364" t="s">
        <v>1821</v>
      </c>
      <c r="C4364">
        <v>18922</v>
      </c>
      <c r="D4364" t="s">
        <v>1294</v>
      </c>
      <c r="E4364" t="s">
        <v>1295</v>
      </c>
      <c r="F4364" t="s">
        <v>1438</v>
      </c>
    </row>
    <row r="4365" spans="1:6">
      <c r="A4365">
        <v>142</v>
      </c>
      <c r="B4365" t="s">
        <v>1821</v>
      </c>
      <c r="C4365">
        <v>633</v>
      </c>
      <c r="D4365" t="s">
        <v>1442</v>
      </c>
      <c r="E4365" t="s">
        <v>1582</v>
      </c>
      <c r="F4365" t="s">
        <v>1443</v>
      </c>
    </row>
    <row r="4366" spans="1:6">
      <c r="A4366">
        <v>142</v>
      </c>
      <c r="B4366" t="s">
        <v>1821</v>
      </c>
      <c r="C4366">
        <v>764</v>
      </c>
      <c r="D4366" t="s">
        <v>1581</v>
      </c>
      <c r="E4366" t="s">
        <v>1582</v>
      </c>
      <c r="F4366" t="s">
        <v>1583</v>
      </c>
    </row>
    <row r="4367" spans="1:6">
      <c r="A4367">
        <v>142</v>
      </c>
      <c r="B4367" t="s">
        <v>1821</v>
      </c>
      <c r="C4367">
        <v>48724</v>
      </c>
      <c r="D4367" t="s">
        <v>1584</v>
      </c>
      <c r="E4367" t="s">
        <v>1585</v>
      </c>
      <c r="F4367" t="s">
        <v>1586</v>
      </c>
    </row>
    <row r="4368" spans="1:6">
      <c r="A4368">
        <v>142</v>
      </c>
      <c r="B4368" t="s">
        <v>1821</v>
      </c>
      <c r="C4368">
        <v>58907</v>
      </c>
      <c r="D4368" t="s">
        <v>1587</v>
      </c>
      <c r="E4368" t="s">
        <v>1585</v>
      </c>
      <c r="F4368" t="s">
        <v>1588</v>
      </c>
    </row>
    <row r="4369" spans="1:6">
      <c r="A4369">
        <v>142</v>
      </c>
      <c r="B4369" t="s">
        <v>1821</v>
      </c>
      <c r="C4369">
        <v>7326</v>
      </c>
      <c r="D4369" t="s">
        <v>1592</v>
      </c>
      <c r="E4369" t="s">
        <v>1590</v>
      </c>
      <c r="F4369" t="s">
        <v>1593</v>
      </c>
    </row>
    <row r="4370" spans="1:6">
      <c r="A4370">
        <v>142</v>
      </c>
      <c r="B4370" t="s">
        <v>1821</v>
      </c>
      <c r="C4370">
        <v>6513</v>
      </c>
      <c r="D4370" t="s">
        <v>1594</v>
      </c>
      <c r="E4370" t="s">
        <v>1595</v>
      </c>
      <c r="F4370" t="s">
        <v>1596</v>
      </c>
    </row>
    <row r="4371" spans="1:6">
      <c r="A4371">
        <v>142</v>
      </c>
      <c r="B4371" t="s">
        <v>1821</v>
      </c>
      <c r="C4371">
        <v>1756</v>
      </c>
      <c r="D4371" t="s">
        <v>1597</v>
      </c>
      <c r="E4371" t="s">
        <v>1595</v>
      </c>
      <c r="F4371" t="s">
        <v>1598</v>
      </c>
    </row>
    <row r="4372" spans="1:6">
      <c r="A4372">
        <v>142</v>
      </c>
      <c r="B4372" t="s">
        <v>1821</v>
      </c>
      <c r="C4372">
        <v>48910</v>
      </c>
      <c r="D4372" t="s">
        <v>1599</v>
      </c>
      <c r="E4372" t="s">
        <v>1600</v>
      </c>
      <c r="F4372" t="s">
        <v>1601</v>
      </c>
    </row>
    <row r="4373" spans="1:6">
      <c r="A4373">
        <v>142</v>
      </c>
      <c r="B4373" t="s">
        <v>1821</v>
      </c>
      <c r="C4373">
        <v>412741</v>
      </c>
      <c r="D4373" t="s">
        <v>1602</v>
      </c>
      <c r="E4373" t="s">
        <v>1600</v>
      </c>
      <c r="F4373" t="s">
        <v>1603</v>
      </c>
    </row>
    <row r="4374" spans="1:6">
      <c r="A4374">
        <v>142</v>
      </c>
      <c r="B4374" t="s">
        <v>1821</v>
      </c>
      <c r="C4374">
        <v>9445</v>
      </c>
      <c r="D4374" t="s">
        <v>1459</v>
      </c>
      <c r="E4374" t="s">
        <v>1605</v>
      </c>
      <c r="F4374" t="s">
        <v>1460</v>
      </c>
    </row>
    <row r="4375" spans="1:6">
      <c r="A4375">
        <v>142</v>
      </c>
      <c r="B4375" t="s">
        <v>1821</v>
      </c>
      <c r="C4375">
        <v>8386</v>
      </c>
      <c r="D4375" t="s">
        <v>1604</v>
      </c>
      <c r="E4375" t="s">
        <v>1605</v>
      </c>
      <c r="F4375" t="s">
        <v>1606</v>
      </c>
    </row>
    <row r="4376" spans="1:6">
      <c r="A4376">
        <v>142</v>
      </c>
      <c r="B4376" t="s">
        <v>1821</v>
      </c>
      <c r="C4376">
        <v>27455</v>
      </c>
      <c r="D4376" t="s">
        <v>1273</v>
      </c>
      <c r="E4376" t="s">
        <v>1274</v>
      </c>
      <c r="F4376" t="s">
        <v>1275</v>
      </c>
    </row>
    <row r="4377" spans="1:6">
      <c r="A4377">
        <v>142</v>
      </c>
      <c r="B4377" t="s">
        <v>1821</v>
      </c>
      <c r="C4377">
        <v>2188</v>
      </c>
      <c r="D4377" t="s">
        <v>1472</v>
      </c>
      <c r="E4377" t="s">
        <v>1473</v>
      </c>
      <c r="F4377" t="s">
        <v>1474</v>
      </c>
    </row>
    <row r="4378" spans="1:6">
      <c r="A4378">
        <v>142</v>
      </c>
      <c r="B4378" t="s">
        <v>1821</v>
      </c>
      <c r="C4378">
        <v>161202.70000000001</v>
      </c>
      <c r="D4378" t="s">
        <v>1475</v>
      </c>
      <c r="E4378" t="s">
        <v>1476</v>
      </c>
      <c r="F4378" t="s">
        <v>1477</v>
      </c>
    </row>
    <row r="4379" spans="1:6">
      <c r="A4379">
        <v>142</v>
      </c>
      <c r="B4379" t="s">
        <v>1821</v>
      </c>
      <c r="C4379">
        <v>288751.53000000003</v>
      </c>
      <c r="D4379" t="s">
        <v>1365</v>
      </c>
      <c r="E4379" t="s">
        <v>1366</v>
      </c>
      <c r="F4379" t="s">
        <v>1367</v>
      </c>
    </row>
    <row r="4380" spans="1:6">
      <c r="A4380">
        <v>142</v>
      </c>
      <c r="B4380" t="s">
        <v>1821</v>
      </c>
      <c r="C4380">
        <v>919122</v>
      </c>
      <c r="D4380" t="s">
        <v>1607</v>
      </c>
      <c r="E4380" t="s">
        <v>1608</v>
      </c>
      <c r="F4380" t="s">
        <v>1609</v>
      </c>
    </row>
    <row r="4381" spans="1:6">
      <c r="A4381">
        <v>142</v>
      </c>
      <c r="B4381" t="s">
        <v>1821</v>
      </c>
      <c r="C4381">
        <v>956886</v>
      </c>
      <c r="D4381" t="s">
        <v>1610</v>
      </c>
      <c r="E4381" t="s">
        <v>1481</v>
      </c>
      <c r="F4381" t="s">
        <v>1482</v>
      </c>
    </row>
    <row r="4382" spans="1:6">
      <c r="A4382">
        <v>143</v>
      </c>
      <c r="B4382" t="s">
        <v>1822</v>
      </c>
      <c r="C4382">
        <v>19436</v>
      </c>
      <c r="D4382" t="s">
        <v>1489</v>
      </c>
      <c r="E4382" t="s">
        <v>1490</v>
      </c>
      <c r="F4382" t="s">
        <v>1491</v>
      </c>
    </row>
    <row r="4383" spans="1:6">
      <c r="A4383">
        <v>143</v>
      </c>
      <c r="B4383" t="s">
        <v>1822</v>
      </c>
      <c r="C4383">
        <v>741197</v>
      </c>
      <c r="D4383" t="s">
        <v>1567</v>
      </c>
      <c r="E4383" t="s">
        <v>1568</v>
      </c>
      <c r="F4383" t="s">
        <v>1569</v>
      </c>
    </row>
    <row r="4384" spans="1:6">
      <c r="A4384">
        <v>143</v>
      </c>
      <c r="B4384" t="s">
        <v>1822</v>
      </c>
      <c r="C4384">
        <v>37275</v>
      </c>
      <c r="D4384" t="s">
        <v>1496</v>
      </c>
      <c r="E4384" t="s">
        <v>1497</v>
      </c>
      <c r="F4384" t="s">
        <v>1498</v>
      </c>
    </row>
    <row r="4385" spans="1:6">
      <c r="A4385">
        <v>143</v>
      </c>
      <c r="B4385" t="s">
        <v>1822</v>
      </c>
      <c r="C4385">
        <v>20385658</v>
      </c>
      <c r="D4385" t="s">
        <v>1570</v>
      </c>
      <c r="E4385" t="s">
        <v>1571</v>
      </c>
      <c r="F4385" t="s">
        <v>1572</v>
      </c>
    </row>
    <row r="4386" spans="1:6">
      <c r="A4386">
        <v>143</v>
      </c>
      <c r="B4386" t="s">
        <v>1822</v>
      </c>
      <c r="C4386">
        <v>22465</v>
      </c>
      <c r="D4386" t="s">
        <v>1327</v>
      </c>
      <c r="E4386" t="s">
        <v>1328</v>
      </c>
      <c r="F4386" t="s">
        <v>1329</v>
      </c>
    </row>
    <row r="4387" spans="1:6">
      <c r="A4387">
        <v>143</v>
      </c>
      <c r="B4387" t="s">
        <v>1822</v>
      </c>
      <c r="C4387">
        <v>3000</v>
      </c>
      <c r="D4387" t="s">
        <v>1515</v>
      </c>
      <c r="E4387" t="s">
        <v>1516</v>
      </c>
      <c r="F4387" t="s">
        <v>1517</v>
      </c>
    </row>
    <row r="4388" spans="1:6">
      <c r="A4388">
        <v>143</v>
      </c>
      <c r="B4388" t="s">
        <v>1822</v>
      </c>
      <c r="C4388">
        <v>1001</v>
      </c>
      <c r="D4388" t="s">
        <v>1518</v>
      </c>
      <c r="E4388" t="s">
        <v>1516</v>
      </c>
      <c r="F4388" t="s">
        <v>1519</v>
      </c>
    </row>
    <row r="4389" spans="1:6">
      <c r="A4389">
        <v>143</v>
      </c>
      <c r="B4389" t="s">
        <v>1822</v>
      </c>
      <c r="C4389">
        <v>769746</v>
      </c>
      <c r="D4389" t="s">
        <v>1520</v>
      </c>
      <c r="E4389" t="s">
        <v>1521</v>
      </c>
      <c r="F4389" t="s">
        <v>1522</v>
      </c>
    </row>
    <row r="4390" spans="1:6">
      <c r="A4390">
        <v>143</v>
      </c>
      <c r="B4390" t="s">
        <v>1822</v>
      </c>
      <c r="C4390">
        <v>39105</v>
      </c>
      <c r="D4390" t="s">
        <v>1216</v>
      </c>
      <c r="E4390" t="s">
        <v>1217</v>
      </c>
      <c r="F4390" t="s">
        <v>1218</v>
      </c>
    </row>
    <row r="4391" spans="1:6">
      <c r="A4391">
        <v>143</v>
      </c>
      <c r="B4391" t="s">
        <v>1822</v>
      </c>
      <c r="C4391">
        <v>953946</v>
      </c>
      <c r="D4391" t="s">
        <v>1573</v>
      </c>
      <c r="E4391" t="s">
        <v>1574</v>
      </c>
      <c r="F4391" t="s">
        <v>1575</v>
      </c>
    </row>
    <row r="4392" spans="1:6">
      <c r="A4392">
        <v>143</v>
      </c>
      <c r="B4392" t="s">
        <v>1822</v>
      </c>
      <c r="C4392">
        <v>162188</v>
      </c>
      <c r="D4392" t="s">
        <v>1523</v>
      </c>
      <c r="E4392" t="s">
        <v>1521</v>
      </c>
      <c r="F4392" t="s">
        <v>1524</v>
      </c>
    </row>
    <row r="4393" spans="1:6">
      <c r="A4393">
        <v>143</v>
      </c>
      <c r="B4393" t="s">
        <v>1822</v>
      </c>
      <c r="C4393">
        <v>90754</v>
      </c>
      <c r="D4393" t="s">
        <v>1525</v>
      </c>
      <c r="E4393" t="s">
        <v>1526</v>
      </c>
      <c r="F4393" t="s">
        <v>1527</v>
      </c>
    </row>
    <row r="4394" spans="1:6">
      <c r="A4394">
        <v>143</v>
      </c>
      <c r="B4394" t="s">
        <v>1822</v>
      </c>
      <c r="C4394">
        <v>38598</v>
      </c>
      <c r="D4394" t="s">
        <v>1528</v>
      </c>
      <c r="E4394" t="s">
        <v>1529</v>
      </c>
      <c r="F4394" t="s">
        <v>1530</v>
      </c>
    </row>
    <row r="4395" spans="1:6">
      <c r="A4395">
        <v>143</v>
      </c>
      <c r="B4395" t="s">
        <v>1822</v>
      </c>
      <c r="C4395">
        <v>99792</v>
      </c>
      <c r="D4395" t="s">
        <v>1204</v>
      </c>
      <c r="E4395" t="s">
        <v>1205</v>
      </c>
      <c r="F4395" t="s">
        <v>1206</v>
      </c>
    </row>
    <row r="4396" spans="1:6">
      <c r="A4396">
        <v>143</v>
      </c>
      <c r="B4396" t="s">
        <v>1822</v>
      </c>
      <c r="C4396">
        <v>7387.43</v>
      </c>
      <c r="D4396" t="s">
        <v>1537</v>
      </c>
      <c r="E4396" t="s">
        <v>1538</v>
      </c>
      <c r="F4396" t="s">
        <v>1539</v>
      </c>
    </row>
    <row r="4397" spans="1:6">
      <c r="A4397">
        <v>143</v>
      </c>
      <c r="B4397" t="s">
        <v>1822</v>
      </c>
      <c r="C4397">
        <v>16075.86</v>
      </c>
      <c r="D4397" t="s">
        <v>1540</v>
      </c>
      <c r="E4397" t="s">
        <v>1538</v>
      </c>
      <c r="F4397" t="s">
        <v>1541</v>
      </c>
    </row>
    <row r="4398" spans="1:6">
      <c r="A4398">
        <v>143</v>
      </c>
      <c r="B4398" t="s">
        <v>1822</v>
      </c>
      <c r="C4398">
        <v>147434.72</v>
      </c>
      <c r="D4398" t="s">
        <v>1431</v>
      </c>
      <c r="E4398" t="s">
        <v>1432</v>
      </c>
      <c r="F4398" t="s">
        <v>1433</v>
      </c>
    </row>
    <row r="4399" spans="1:6">
      <c r="A4399">
        <v>143</v>
      </c>
      <c r="B4399" t="s">
        <v>1822</v>
      </c>
      <c r="C4399">
        <v>340518.95</v>
      </c>
      <c r="D4399" t="s">
        <v>1434</v>
      </c>
      <c r="E4399" t="s">
        <v>1432</v>
      </c>
      <c r="F4399" t="s">
        <v>1435</v>
      </c>
    </row>
    <row r="4400" spans="1:6">
      <c r="A4400">
        <v>143</v>
      </c>
      <c r="B4400" t="s">
        <v>1822</v>
      </c>
      <c r="C4400">
        <v>235196</v>
      </c>
      <c r="D4400" t="s">
        <v>1576</v>
      </c>
      <c r="E4400" t="s">
        <v>1577</v>
      </c>
      <c r="F4400" t="s">
        <v>1578</v>
      </c>
    </row>
    <row r="4401" spans="1:6">
      <c r="A4401">
        <v>143</v>
      </c>
      <c r="B4401" t="s">
        <v>1822</v>
      </c>
      <c r="C4401">
        <v>515020</v>
      </c>
      <c r="D4401" t="s">
        <v>1579</v>
      </c>
      <c r="E4401" t="s">
        <v>1577</v>
      </c>
      <c r="F4401" t="s">
        <v>1580</v>
      </c>
    </row>
    <row r="4402" spans="1:6">
      <c r="A4402">
        <v>143</v>
      </c>
      <c r="B4402" t="s">
        <v>1822</v>
      </c>
      <c r="C4402">
        <v>72310</v>
      </c>
      <c r="D4402" t="s">
        <v>1436</v>
      </c>
      <c r="E4402" t="s">
        <v>1437</v>
      </c>
      <c r="F4402" t="s">
        <v>1438</v>
      </c>
    </row>
    <row r="4403" spans="1:6">
      <c r="A4403">
        <v>143</v>
      </c>
      <c r="B4403" t="s">
        <v>1822</v>
      </c>
      <c r="C4403">
        <v>9049</v>
      </c>
      <c r="D4403" t="s">
        <v>1442</v>
      </c>
      <c r="E4403" t="s">
        <v>1582</v>
      </c>
      <c r="F4403" t="s">
        <v>1443</v>
      </c>
    </row>
    <row r="4404" spans="1:6">
      <c r="A4404">
        <v>143</v>
      </c>
      <c r="B4404" t="s">
        <v>1822</v>
      </c>
      <c r="C4404">
        <v>722</v>
      </c>
      <c r="D4404" t="s">
        <v>1296</v>
      </c>
      <c r="E4404" t="s">
        <v>1585</v>
      </c>
      <c r="F4404" t="s">
        <v>1297</v>
      </c>
    </row>
    <row r="4405" spans="1:6">
      <c r="A4405">
        <v>143</v>
      </c>
      <c r="B4405" t="s">
        <v>1822</v>
      </c>
      <c r="C4405">
        <v>72403</v>
      </c>
      <c r="D4405" t="s">
        <v>1584</v>
      </c>
      <c r="E4405" t="s">
        <v>1585</v>
      </c>
      <c r="F4405" t="s">
        <v>1586</v>
      </c>
    </row>
    <row r="4406" spans="1:6">
      <c r="A4406">
        <v>143</v>
      </c>
      <c r="B4406" t="s">
        <v>1822</v>
      </c>
      <c r="C4406">
        <v>122960</v>
      </c>
      <c r="D4406" t="s">
        <v>1587</v>
      </c>
      <c r="E4406" t="s">
        <v>1585</v>
      </c>
      <c r="F4406" t="s">
        <v>1588</v>
      </c>
    </row>
    <row r="4407" spans="1:6">
      <c r="A4407">
        <v>143</v>
      </c>
      <c r="B4407" t="s">
        <v>1822</v>
      </c>
      <c r="C4407">
        <v>25084</v>
      </c>
      <c r="D4407" t="s">
        <v>1454</v>
      </c>
      <c r="E4407" t="s">
        <v>1455</v>
      </c>
      <c r="F4407" t="s">
        <v>1456</v>
      </c>
    </row>
    <row r="4408" spans="1:6">
      <c r="A4408">
        <v>143</v>
      </c>
      <c r="B4408" t="s">
        <v>1822</v>
      </c>
      <c r="C4408">
        <v>8000</v>
      </c>
      <c r="D4408" t="s">
        <v>1457</v>
      </c>
      <c r="E4408" t="s">
        <v>1455</v>
      </c>
      <c r="F4408" t="s">
        <v>1458</v>
      </c>
    </row>
    <row r="4409" spans="1:6">
      <c r="A4409">
        <v>143</v>
      </c>
      <c r="B4409" t="s">
        <v>1822</v>
      </c>
      <c r="C4409">
        <v>18984</v>
      </c>
      <c r="D4409" t="s">
        <v>1589</v>
      </c>
      <c r="E4409" t="s">
        <v>1590</v>
      </c>
      <c r="F4409" t="s">
        <v>1591</v>
      </c>
    </row>
    <row r="4410" spans="1:6">
      <c r="A4410">
        <v>143</v>
      </c>
      <c r="B4410" t="s">
        <v>1822</v>
      </c>
      <c r="C4410">
        <v>18516</v>
      </c>
      <c r="D4410" t="s">
        <v>1594</v>
      </c>
      <c r="E4410" t="s">
        <v>1595</v>
      </c>
      <c r="F4410" t="s">
        <v>1596</v>
      </c>
    </row>
    <row r="4411" spans="1:6">
      <c r="A4411">
        <v>143</v>
      </c>
      <c r="B4411" t="s">
        <v>1822</v>
      </c>
      <c r="C4411">
        <v>5220</v>
      </c>
      <c r="D4411" t="s">
        <v>1597</v>
      </c>
      <c r="E4411" t="s">
        <v>1595</v>
      </c>
      <c r="F4411" t="s">
        <v>1598</v>
      </c>
    </row>
    <row r="4412" spans="1:6">
      <c r="A4412">
        <v>143</v>
      </c>
      <c r="B4412" t="s">
        <v>1822</v>
      </c>
      <c r="C4412">
        <v>98673</v>
      </c>
      <c r="D4412" t="s">
        <v>1599</v>
      </c>
      <c r="E4412" t="s">
        <v>1600</v>
      </c>
      <c r="F4412" t="s">
        <v>1601</v>
      </c>
    </row>
    <row r="4413" spans="1:6">
      <c r="A4413">
        <v>143</v>
      </c>
      <c r="B4413" t="s">
        <v>1822</v>
      </c>
      <c r="C4413">
        <v>843320</v>
      </c>
      <c r="D4413" t="s">
        <v>1602</v>
      </c>
      <c r="E4413" t="s">
        <v>1600</v>
      </c>
      <c r="F4413" t="s">
        <v>1603</v>
      </c>
    </row>
    <row r="4414" spans="1:6">
      <c r="A4414">
        <v>143</v>
      </c>
      <c r="B4414" t="s">
        <v>1822</v>
      </c>
      <c r="C4414">
        <v>11124</v>
      </c>
      <c r="D4414" t="s">
        <v>1459</v>
      </c>
      <c r="E4414" t="s">
        <v>1605</v>
      </c>
      <c r="F4414" t="s">
        <v>1460</v>
      </c>
    </row>
    <row r="4415" spans="1:6">
      <c r="A4415">
        <v>143</v>
      </c>
      <c r="B4415" t="s">
        <v>1822</v>
      </c>
      <c r="C4415">
        <v>17500</v>
      </c>
      <c r="D4415" t="s">
        <v>1604</v>
      </c>
      <c r="E4415" t="s">
        <v>1605</v>
      </c>
      <c r="F4415" t="s">
        <v>1606</v>
      </c>
    </row>
    <row r="4416" spans="1:6">
      <c r="A4416">
        <v>143</v>
      </c>
      <c r="B4416" t="s">
        <v>1822</v>
      </c>
      <c r="C4416">
        <v>1220046.03</v>
      </c>
      <c r="D4416" t="s">
        <v>1475</v>
      </c>
      <c r="E4416" t="s">
        <v>1476</v>
      </c>
      <c r="F4416" t="s">
        <v>1477</v>
      </c>
    </row>
    <row r="4417" spans="1:6">
      <c r="A4417">
        <v>143</v>
      </c>
      <c r="B4417" t="s">
        <v>1822</v>
      </c>
      <c r="C4417">
        <v>1291080.77</v>
      </c>
      <c r="D4417" t="s">
        <v>1478</v>
      </c>
      <c r="E4417" t="s">
        <v>1479</v>
      </c>
      <c r="F4417" t="s">
        <v>1480</v>
      </c>
    </row>
    <row r="4418" spans="1:6">
      <c r="A4418">
        <v>143</v>
      </c>
      <c r="B4418" t="s">
        <v>1822</v>
      </c>
      <c r="C4418">
        <v>1527790.71</v>
      </c>
      <c r="D4418" t="s">
        <v>1365</v>
      </c>
      <c r="E4418" t="s">
        <v>1366</v>
      </c>
      <c r="F4418" t="s">
        <v>1367</v>
      </c>
    </row>
    <row r="4419" spans="1:6">
      <c r="A4419">
        <v>143</v>
      </c>
      <c r="B4419" t="s">
        <v>1822</v>
      </c>
      <c r="C4419">
        <v>1499436</v>
      </c>
      <c r="D4419" t="s">
        <v>1607</v>
      </c>
      <c r="E4419" t="s">
        <v>1608</v>
      </c>
      <c r="F4419" t="s">
        <v>1609</v>
      </c>
    </row>
    <row r="4420" spans="1:6">
      <c r="A4420">
        <v>143</v>
      </c>
      <c r="B4420" t="s">
        <v>1822</v>
      </c>
      <c r="C4420">
        <v>737725</v>
      </c>
      <c r="D4420" t="s">
        <v>1610</v>
      </c>
      <c r="E4420" t="s">
        <v>1481</v>
      </c>
      <c r="F4420" t="s">
        <v>1482</v>
      </c>
    </row>
    <row r="4421" spans="1:6">
      <c r="A4421">
        <v>144</v>
      </c>
      <c r="B4421" t="s">
        <v>1823</v>
      </c>
      <c r="C4421">
        <v>39077</v>
      </c>
      <c r="D4421" t="s">
        <v>1486</v>
      </c>
      <c r="E4421" t="s">
        <v>1487</v>
      </c>
      <c r="F4421" t="s">
        <v>1488</v>
      </c>
    </row>
    <row r="4422" spans="1:6">
      <c r="A4422">
        <v>144</v>
      </c>
      <c r="B4422" t="s">
        <v>1823</v>
      </c>
      <c r="C4422">
        <v>18277</v>
      </c>
      <c r="D4422" t="s">
        <v>1489</v>
      </c>
      <c r="E4422" t="s">
        <v>1490</v>
      </c>
      <c r="F4422" t="s">
        <v>1491</v>
      </c>
    </row>
    <row r="4423" spans="1:6">
      <c r="A4423">
        <v>144</v>
      </c>
      <c r="B4423" t="s">
        <v>1823</v>
      </c>
      <c r="C4423">
        <v>128901</v>
      </c>
      <c r="D4423" t="s">
        <v>1407</v>
      </c>
      <c r="E4423" t="s">
        <v>1408</v>
      </c>
      <c r="F4423" t="s">
        <v>1409</v>
      </c>
    </row>
    <row r="4424" spans="1:6">
      <c r="A4424">
        <v>144</v>
      </c>
      <c r="B4424" t="s">
        <v>1823</v>
      </c>
      <c r="C4424">
        <v>84354</v>
      </c>
      <c r="D4424" t="s">
        <v>1567</v>
      </c>
      <c r="E4424" t="s">
        <v>1568</v>
      </c>
      <c r="F4424" t="s">
        <v>1569</v>
      </c>
    </row>
    <row r="4425" spans="1:6">
      <c r="A4425">
        <v>144</v>
      </c>
      <c r="B4425" t="s">
        <v>1823</v>
      </c>
      <c r="C4425">
        <v>75379</v>
      </c>
      <c r="D4425" t="s">
        <v>1496</v>
      </c>
      <c r="E4425" t="s">
        <v>1497</v>
      </c>
      <c r="F4425" t="s">
        <v>1498</v>
      </c>
    </row>
    <row r="4426" spans="1:6">
      <c r="A4426">
        <v>144</v>
      </c>
      <c r="B4426" t="s">
        <v>1823</v>
      </c>
      <c r="C4426">
        <v>2241516</v>
      </c>
      <c r="D4426" t="s">
        <v>1570</v>
      </c>
      <c r="E4426" t="s">
        <v>1571</v>
      </c>
      <c r="F4426" t="s">
        <v>1572</v>
      </c>
    </row>
    <row r="4427" spans="1:6">
      <c r="A4427">
        <v>144</v>
      </c>
      <c r="B4427" t="s">
        <v>1823</v>
      </c>
      <c r="C4427">
        <v>24375</v>
      </c>
      <c r="D4427" t="s">
        <v>1333</v>
      </c>
      <c r="E4427" t="s">
        <v>1383</v>
      </c>
      <c r="F4427" t="s">
        <v>1334</v>
      </c>
    </row>
    <row r="4428" spans="1:6">
      <c r="A4428">
        <v>144</v>
      </c>
      <c r="B4428" t="s">
        <v>1823</v>
      </c>
      <c r="C4428">
        <v>45009</v>
      </c>
      <c r="D4428" t="s">
        <v>1520</v>
      </c>
      <c r="E4428" t="s">
        <v>1521</v>
      </c>
      <c r="F4428" t="s">
        <v>1522</v>
      </c>
    </row>
    <row r="4429" spans="1:6">
      <c r="A4429">
        <v>144</v>
      </c>
      <c r="B4429" t="s">
        <v>1823</v>
      </c>
      <c r="C4429">
        <v>1069494</v>
      </c>
      <c r="D4429" t="s">
        <v>1573</v>
      </c>
      <c r="E4429" t="s">
        <v>1574</v>
      </c>
      <c r="F4429" t="s">
        <v>1575</v>
      </c>
    </row>
    <row r="4430" spans="1:6">
      <c r="A4430">
        <v>144</v>
      </c>
      <c r="B4430" t="s">
        <v>1823</v>
      </c>
      <c r="C4430">
        <v>3804</v>
      </c>
      <c r="D4430" t="s">
        <v>1523</v>
      </c>
      <c r="E4430" t="s">
        <v>1521</v>
      </c>
      <c r="F4430" t="s">
        <v>1524</v>
      </c>
    </row>
    <row r="4431" spans="1:6">
      <c r="A4431">
        <v>144</v>
      </c>
      <c r="B4431" t="s">
        <v>1823</v>
      </c>
      <c r="C4431">
        <v>9839</v>
      </c>
      <c r="D4431" t="s">
        <v>1525</v>
      </c>
      <c r="E4431" t="s">
        <v>1526</v>
      </c>
      <c r="F4431" t="s">
        <v>1527</v>
      </c>
    </row>
    <row r="4432" spans="1:6">
      <c r="A4432">
        <v>144</v>
      </c>
      <c r="B4432" t="s">
        <v>1823</v>
      </c>
      <c r="C4432">
        <v>25418</v>
      </c>
      <c r="D4432" t="s">
        <v>1528</v>
      </c>
      <c r="E4432" t="s">
        <v>1529</v>
      </c>
      <c r="F4432" t="s">
        <v>1530</v>
      </c>
    </row>
    <row r="4433" spans="1:6">
      <c r="A4433">
        <v>144</v>
      </c>
      <c r="B4433" t="s">
        <v>1823</v>
      </c>
      <c r="C4433">
        <v>70000</v>
      </c>
      <c r="D4433" t="s">
        <v>1531</v>
      </c>
      <c r="E4433" t="s">
        <v>1532</v>
      </c>
      <c r="F4433" t="s">
        <v>1533</v>
      </c>
    </row>
    <row r="4434" spans="1:6">
      <c r="A4434">
        <v>144</v>
      </c>
      <c r="B4434" t="s">
        <v>1823</v>
      </c>
      <c r="C4434">
        <v>69048</v>
      </c>
      <c r="D4434" t="s">
        <v>1387</v>
      </c>
      <c r="E4434" t="s">
        <v>1388</v>
      </c>
      <c r="F4434" t="s">
        <v>1389</v>
      </c>
    </row>
    <row r="4435" spans="1:6">
      <c r="A4435">
        <v>144</v>
      </c>
      <c r="B4435" t="s">
        <v>1823</v>
      </c>
      <c r="C4435">
        <v>8343</v>
      </c>
      <c r="D4435" t="s">
        <v>1037</v>
      </c>
      <c r="E4435" t="s">
        <v>1221</v>
      </c>
      <c r="F4435" t="s">
        <v>1222</v>
      </c>
    </row>
    <row r="4436" spans="1:6">
      <c r="A4436">
        <v>144</v>
      </c>
      <c r="B4436" t="s">
        <v>1823</v>
      </c>
      <c r="C4436">
        <v>15438</v>
      </c>
      <c r="D4436" t="s">
        <v>1038</v>
      </c>
      <c r="E4436" t="s">
        <v>1221</v>
      </c>
      <c r="F4436" t="s">
        <v>1224</v>
      </c>
    </row>
    <row r="4437" spans="1:6">
      <c r="A4437">
        <v>144</v>
      </c>
      <c r="B4437" t="s">
        <v>1823</v>
      </c>
      <c r="C4437">
        <v>366</v>
      </c>
      <c r="D4437" t="s">
        <v>1039</v>
      </c>
      <c r="E4437" t="s">
        <v>1226</v>
      </c>
      <c r="F4437" t="s">
        <v>1227</v>
      </c>
    </row>
    <row r="4438" spans="1:6">
      <c r="A4438">
        <v>144</v>
      </c>
      <c r="B4438" t="s">
        <v>1823</v>
      </c>
      <c r="C4438">
        <v>661</v>
      </c>
      <c r="D4438" t="s">
        <v>1040</v>
      </c>
      <c r="E4438" t="s">
        <v>1226</v>
      </c>
      <c r="F4438" t="s">
        <v>1229</v>
      </c>
    </row>
    <row r="4439" spans="1:6">
      <c r="A4439">
        <v>144</v>
      </c>
      <c r="B4439" t="s">
        <v>1823</v>
      </c>
      <c r="C4439">
        <v>47231.75</v>
      </c>
      <c r="D4439" t="s">
        <v>1431</v>
      </c>
      <c r="E4439" t="s">
        <v>1432</v>
      </c>
      <c r="F4439" t="s">
        <v>1433</v>
      </c>
    </row>
    <row r="4440" spans="1:6">
      <c r="A4440">
        <v>144</v>
      </c>
      <c r="B4440" t="s">
        <v>1823</v>
      </c>
      <c r="C4440">
        <v>115953.43</v>
      </c>
      <c r="D4440" t="s">
        <v>1434</v>
      </c>
      <c r="E4440" t="s">
        <v>1432</v>
      </c>
      <c r="F4440" t="s">
        <v>1435</v>
      </c>
    </row>
    <row r="4441" spans="1:6">
      <c r="A4441">
        <v>144</v>
      </c>
      <c r="B4441" t="s">
        <v>1823</v>
      </c>
      <c r="C4441">
        <v>26991</v>
      </c>
      <c r="D4441" t="s">
        <v>1576</v>
      </c>
      <c r="E4441" t="s">
        <v>1577</v>
      </c>
      <c r="F4441" t="s">
        <v>1578</v>
      </c>
    </row>
    <row r="4442" spans="1:6">
      <c r="A4442">
        <v>144</v>
      </c>
      <c r="B4442" t="s">
        <v>1823</v>
      </c>
      <c r="C4442">
        <v>120621</v>
      </c>
      <c r="D4442" t="s">
        <v>1579</v>
      </c>
      <c r="E4442" t="s">
        <v>1577</v>
      </c>
      <c r="F4442" t="s">
        <v>1580</v>
      </c>
    </row>
    <row r="4443" spans="1:6">
      <c r="A4443">
        <v>144</v>
      </c>
      <c r="B4443" t="s">
        <v>1823</v>
      </c>
      <c r="C4443">
        <v>38559</v>
      </c>
      <c r="D4443" t="s">
        <v>1436</v>
      </c>
      <c r="E4443" t="s">
        <v>1437</v>
      </c>
      <c r="F4443" t="s">
        <v>1438</v>
      </c>
    </row>
    <row r="4444" spans="1:6">
      <c r="A4444">
        <v>144</v>
      </c>
      <c r="B4444" t="s">
        <v>1823</v>
      </c>
      <c r="C4444">
        <v>504</v>
      </c>
      <c r="D4444" t="s">
        <v>1581</v>
      </c>
      <c r="E4444" t="s">
        <v>1582</v>
      </c>
      <c r="F4444" t="s">
        <v>1583</v>
      </c>
    </row>
    <row r="4445" spans="1:6">
      <c r="A4445">
        <v>144</v>
      </c>
      <c r="B4445" t="s">
        <v>1823</v>
      </c>
      <c r="C4445">
        <v>5623</v>
      </c>
      <c r="D4445" t="s">
        <v>1584</v>
      </c>
      <c r="E4445" t="s">
        <v>1585</v>
      </c>
      <c r="F4445" t="s">
        <v>1586</v>
      </c>
    </row>
    <row r="4446" spans="1:6">
      <c r="A4446">
        <v>144</v>
      </c>
      <c r="B4446" t="s">
        <v>1823</v>
      </c>
      <c r="C4446">
        <v>86856</v>
      </c>
      <c r="D4446" t="s">
        <v>1587</v>
      </c>
      <c r="E4446" t="s">
        <v>1585</v>
      </c>
      <c r="F4446" t="s">
        <v>1588</v>
      </c>
    </row>
    <row r="4447" spans="1:6">
      <c r="A4447">
        <v>144</v>
      </c>
      <c r="B4447" t="s">
        <v>1823</v>
      </c>
      <c r="C4447">
        <v>11003</v>
      </c>
      <c r="D4447" t="s">
        <v>1457</v>
      </c>
      <c r="E4447" t="s">
        <v>1455</v>
      </c>
      <c r="F4447" t="s">
        <v>1458</v>
      </c>
    </row>
    <row r="4448" spans="1:6">
      <c r="A4448">
        <v>144</v>
      </c>
      <c r="B4448" t="s">
        <v>1823</v>
      </c>
      <c r="C4448">
        <v>10599</v>
      </c>
      <c r="D4448" t="s">
        <v>1592</v>
      </c>
      <c r="E4448" t="s">
        <v>1590</v>
      </c>
      <c r="F4448" t="s">
        <v>1593</v>
      </c>
    </row>
    <row r="4449" spans="1:6">
      <c r="A4449">
        <v>144</v>
      </c>
      <c r="B4449" t="s">
        <v>1823</v>
      </c>
      <c r="C4449">
        <v>3880</v>
      </c>
      <c r="D4449" t="s">
        <v>1597</v>
      </c>
      <c r="E4449" t="s">
        <v>1595</v>
      </c>
      <c r="F4449" t="s">
        <v>1598</v>
      </c>
    </row>
    <row r="4450" spans="1:6">
      <c r="A4450">
        <v>144</v>
      </c>
      <c r="B4450" t="s">
        <v>1823</v>
      </c>
      <c r="C4450">
        <v>1017860</v>
      </c>
      <c r="D4450" t="s">
        <v>1602</v>
      </c>
      <c r="E4450" t="s">
        <v>1600</v>
      </c>
      <c r="F4450" t="s">
        <v>1603</v>
      </c>
    </row>
    <row r="4451" spans="1:6">
      <c r="A4451">
        <v>144</v>
      </c>
      <c r="B4451" t="s">
        <v>1823</v>
      </c>
      <c r="C4451">
        <v>19947</v>
      </c>
      <c r="D4451" t="s">
        <v>1604</v>
      </c>
      <c r="E4451" t="s">
        <v>1605</v>
      </c>
      <c r="F4451" t="s">
        <v>1606</v>
      </c>
    </row>
    <row r="4452" spans="1:6">
      <c r="A4452">
        <v>144</v>
      </c>
      <c r="B4452" t="s">
        <v>1823</v>
      </c>
      <c r="C4452">
        <v>68926.039999999994</v>
      </c>
      <c r="D4452" t="s">
        <v>1276</v>
      </c>
      <c r="E4452" t="s">
        <v>1277</v>
      </c>
      <c r="F4452" t="s">
        <v>1278</v>
      </c>
    </row>
    <row r="4453" spans="1:6">
      <c r="A4453">
        <v>144</v>
      </c>
      <c r="B4453" t="s">
        <v>1823</v>
      </c>
      <c r="C4453">
        <v>163642.53</v>
      </c>
      <c r="D4453" t="s">
        <v>1475</v>
      </c>
      <c r="E4453" t="s">
        <v>1476</v>
      </c>
      <c r="F4453" t="s">
        <v>1477</v>
      </c>
    </row>
    <row r="4454" spans="1:6">
      <c r="A4454">
        <v>144</v>
      </c>
      <c r="B4454" t="s">
        <v>1823</v>
      </c>
      <c r="C4454">
        <v>902496.68</v>
      </c>
      <c r="D4454" t="s">
        <v>1365</v>
      </c>
      <c r="E4454" t="s">
        <v>1366</v>
      </c>
      <c r="F4454" t="s">
        <v>1367</v>
      </c>
    </row>
    <row r="4455" spans="1:6">
      <c r="A4455">
        <v>144</v>
      </c>
      <c r="B4455" t="s">
        <v>1823</v>
      </c>
      <c r="C4455">
        <v>305226</v>
      </c>
      <c r="D4455" t="s">
        <v>1610</v>
      </c>
      <c r="E4455" t="s">
        <v>1481</v>
      </c>
      <c r="F4455" t="s">
        <v>1482</v>
      </c>
    </row>
    <row r="4456" spans="1:6">
      <c r="A4456">
        <v>145</v>
      </c>
      <c r="B4456" t="s">
        <v>1824</v>
      </c>
      <c r="C4456">
        <v>36496</v>
      </c>
      <c r="D4456" t="s">
        <v>1567</v>
      </c>
      <c r="E4456" t="s">
        <v>1568</v>
      </c>
      <c r="F4456" t="s">
        <v>1569</v>
      </c>
    </row>
    <row r="4457" spans="1:6">
      <c r="A4457">
        <v>145</v>
      </c>
      <c r="B4457" t="s">
        <v>1824</v>
      </c>
      <c r="C4457">
        <v>204478</v>
      </c>
      <c r="D4457" t="s">
        <v>1570</v>
      </c>
      <c r="E4457" t="s">
        <v>1571</v>
      </c>
      <c r="F4457" t="s">
        <v>1572</v>
      </c>
    </row>
    <row r="4458" spans="1:6">
      <c r="A4458">
        <v>145</v>
      </c>
      <c r="B4458" t="s">
        <v>1824</v>
      </c>
      <c r="C4458">
        <v>5442</v>
      </c>
      <c r="D4458" t="s">
        <v>1573</v>
      </c>
      <c r="E4458" t="s">
        <v>1574</v>
      </c>
      <c r="F4458" t="s">
        <v>1575</v>
      </c>
    </row>
    <row r="4459" spans="1:6">
      <c r="A4459">
        <v>145</v>
      </c>
      <c r="B4459" t="s">
        <v>1824</v>
      </c>
      <c r="C4459">
        <v>384.45</v>
      </c>
      <c r="D4459" t="s">
        <v>1374</v>
      </c>
      <c r="E4459" t="s">
        <v>1375</v>
      </c>
      <c r="F4459" t="s">
        <v>1376</v>
      </c>
    </row>
    <row r="4460" spans="1:6">
      <c r="A4460">
        <v>145</v>
      </c>
      <c r="B4460" t="s">
        <v>1824</v>
      </c>
      <c r="C4460">
        <v>879</v>
      </c>
      <c r="D4460" t="s">
        <v>1377</v>
      </c>
      <c r="E4460" t="s">
        <v>1375</v>
      </c>
      <c r="F4460" t="s">
        <v>1378</v>
      </c>
    </row>
    <row r="4461" spans="1:6">
      <c r="A4461">
        <v>145</v>
      </c>
      <c r="B4461" t="s">
        <v>1824</v>
      </c>
      <c r="C4461">
        <v>12555</v>
      </c>
      <c r="D4461" t="s">
        <v>1579</v>
      </c>
      <c r="E4461" t="s">
        <v>1577</v>
      </c>
      <c r="F4461" t="s">
        <v>1580</v>
      </c>
    </row>
    <row r="4462" spans="1:6">
      <c r="A4462">
        <v>145</v>
      </c>
      <c r="B4462" t="s">
        <v>1824</v>
      </c>
      <c r="C4462">
        <v>96</v>
      </c>
      <c r="D4462" t="s">
        <v>1581</v>
      </c>
      <c r="E4462" t="s">
        <v>1582</v>
      </c>
      <c r="F4462" t="s">
        <v>1583</v>
      </c>
    </row>
    <row r="4463" spans="1:6">
      <c r="A4463">
        <v>145</v>
      </c>
      <c r="B4463" t="s">
        <v>1824</v>
      </c>
      <c r="C4463">
        <v>1558</v>
      </c>
      <c r="D4463" t="s">
        <v>1587</v>
      </c>
      <c r="E4463" t="s">
        <v>1585</v>
      </c>
      <c r="F4463" t="s">
        <v>1588</v>
      </c>
    </row>
    <row r="4464" spans="1:6">
      <c r="A4464">
        <v>145</v>
      </c>
      <c r="B4464" t="s">
        <v>1824</v>
      </c>
      <c r="C4464">
        <v>306</v>
      </c>
      <c r="D4464" t="s">
        <v>1592</v>
      </c>
      <c r="E4464" t="s">
        <v>1590</v>
      </c>
      <c r="F4464" t="s">
        <v>1593</v>
      </c>
    </row>
    <row r="4465" spans="1:6">
      <c r="A4465">
        <v>145</v>
      </c>
      <c r="B4465" t="s">
        <v>1824</v>
      </c>
      <c r="C4465">
        <v>77</v>
      </c>
      <c r="D4465" t="s">
        <v>1597</v>
      </c>
      <c r="E4465" t="s">
        <v>1595</v>
      </c>
      <c r="F4465" t="s">
        <v>1598</v>
      </c>
    </row>
    <row r="4466" spans="1:6">
      <c r="A4466">
        <v>145</v>
      </c>
      <c r="B4466" t="s">
        <v>1824</v>
      </c>
      <c r="C4466">
        <v>10416</v>
      </c>
      <c r="D4466" t="s">
        <v>1602</v>
      </c>
      <c r="E4466" t="s">
        <v>1600</v>
      </c>
      <c r="F4466" t="s">
        <v>1603</v>
      </c>
    </row>
    <row r="4467" spans="1:6">
      <c r="A4467">
        <v>145</v>
      </c>
      <c r="B4467" t="s">
        <v>1824</v>
      </c>
      <c r="C4467">
        <v>1508</v>
      </c>
      <c r="D4467" t="s">
        <v>1604</v>
      </c>
      <c r="E4467" t="s">
        <v>1605</v>
      </c>
      <c r="F4467" t="s">
        <v>1606</v>
      </c>
    </row>
    <row r="4468" spans="1:6">
      <c r="A4468">
        <v>146</v>
      </c>
      <c r="B4468" t="s">
        <v>1825</v>
      </c>
      <c r="C4468">
        <v>18224</v>
      </c>
      <c r="D4468" t="s">
        <v>1489</v>
      </c>
      <c r="E4468" t="s">
        <v>1490</v>
      </c>
      <c r="F4468" t="s">
        <v>1491</v>
      </c>
    </row>
    <row r="4469" spans="1:6">
      <c r="A4469">
        <v>146</v>
      </c>
      <c r="B4469" t="s">
        <v>1825</v>
      </c>
      <c r="C4469">
        <v>77195</v>
      </c>
      <c r="D4469" t="s">
        <v>1407</v>
      </c>
      <c r="E4469" t="s">
        <v>1408</v>
      </c>
      <c r="F4469" t="s">
        <v>1409</v>
      </c>
    </row>
    <row r="4470" spans="1:6">
      <c r="A4470">
        <v>146</v>
      </c>
      <c r="B4470" t="s">
        <v>1825</v>
      </c>
      <c r="C4470">
        <v>292888</v>
      </c>
      <c r="D4470" t="s">
        <v>1567</v>
      </c>
      <c r="E4470" t="s">
        <v>1568</v>
      </c>
      <c r="F4470" t="s">
        <v>1569</v>
      </c>
    </row>
    <row r="4471" spans="1:6">
      <c r="A4471">
        <v>146</v>
      </c>
      <c r="B4471" t="s">
        <v>1825</v>
      </c>
      <c r="C4471">
        <v>18890</v>
      </c>
      <c r="D4471" t="s">
        <v>1496</v>
      </c>
      <c r="E4471" t="s">
        <v>1497</v>
      </c>
      <c r="F4471" t="s">
        <v>1498</v>
      </c>
    </row>
    <row r="4472" spans="1:6">
      <c r="A4472">
        <v>146</v>
      </c>
      <c r="B4472" t="s">
        <v>1825</v>
      </c>
      <c r="C4472">
        <v>15481919</v>
      </c>
      <c r="D4472" t="s">
        <v>1570</v>
      </c>
      <c r="E4472" t="s">
        <v>1571</v>
      </c>
      <c r="F4472" t="s">
        <v>1572</v>
      </c>
    </row>
    <row r="4473" spans="1:6">
      <c r="A4473">
        <v>146</v>
      </c>
      <c r="B4473" t="s">
        <v>1825</v>
      </c>
      <c r="C4473">
        <v>16380</v>
      </c>
      <c r="D4473" t="s">
        <v>1330</v>
      </c>
      <c r="E4473" t="s">
        <v>1331</v>
      </c>
      <c r="F4473" t="s">
        <v>1332</v>
      </c>
    </row>
    <row r="4474" spans="1:6">
      <c r="A4474">
        <v>146</v>
      </c>
      <c r="B4474" t="s">
        <v>1825</v>
      </c>
      <c r="C4474">
        <v>6000</v>
      </c>
      <c r="D4474" t="s">
        <v>1515</v>
      </c>
      <c r="E4474" t="s">
        <v>1516</v>
      </c>
      <c r="F4474" t="s">
        <v>1517</v>
      </c>
    </row>
    <row r="4475" spans="1:6">
      <c r="A4475">
        <v>146</v>
      </c>
      <c r="B4475" t="s">
        <v>1825</v>
      </c>
      <c r="C4475">
        <v>1356</v>
      </c>
      <c r="D4475" t="s">
        <v>1518</v>
      </c>
      <c r="E4475" t="s">
        <v>1516</v>
      </c>
      <c r="F4475" t="s">
        <v>1519</v>
      </c>
    </row>
    <row r="4476" spans="1:6">
      <c r="A4476">
        <v>146</v>
      </c>
      <c r="B4476" t="s">
        <v>1825</v>
      </c>
      <c r="C4476">
        <v>460572</v>
      </c>
      <c r="D4476" t="s">
        <v>1520</v>
      </c>
      <c r="E4476" t="s">
        <v>1521</v>
      </c>
      <c r="F4476" t="s">
        <v>1522</v>
      </c>
    </row>
    <row r="4477" spans="1:6">
      <c r="A4477">
        <v>146</v>
      </c>
      <c r="B4477" t="s">
        <v>1825</v>
      </c>
      <c r="C4477">
        <v>342305</v>
      </c>
      <c r="D4477" t="s">
        <v>1573</v>
      </c>
      <c r="E4477" t="s">
        <v>1574</v>
      </c>
      <c r="F4477" t="s">
        <v>1575</v>
      </c>
    </row>
    <row r="4478" spans="1:6">
      <c r="A4478">
        <v>146</v>
      </c>
      <c r="B4478" t="s">
        <v>1825</v>
      </c>
      <c r="C4478">
        <v>159963</v>
      </c>
      <c r="D4478" t="s">
        <v>1523</v>
      </c>
      <c r="E4478" t="s">
        <v>1521</v>
      </c>
      <c r="F4478" t="s">
        <v>1524</v>
      </c>
    </row>
    <row r="4479" spans="1:6">
      <c r="A4479">
        <v>146</v>
      </c>
      <c r="B4479" t="s">
        <v>1825</v>
      </c>
      <c r="C4479">
        <v>45301</v>
      </c>
      <c r="D4479" t="s">
        <v>1371</v>
      </c>
      <c r="E4479" t="s">
        <v>1372</v>
      </c>
      <c r="F4479" t="s">
        <v>1373</v>
      </c>
    </row>
    <row r="4480" spans="1:6">
      <c r="A4480">
        <v>146</v>
      </c>
      <c r="B4480" t="s">
        <v>1825</v>
      </c>
      <c r="C4480">
        <v>26043</v>
      </c>
      <c r="D4480" t="s">
        <v>1525</v>
      </c>
      <c r="E4480" t="s">
        <v>1526</v>
      </c>
      <c r="F4480" t="s">
        <v>1527</v>
      </c>
    </row>
    <row r="4481" spans="1:6">
      <c r="A4481">
        <v>146</v>
      </c>
      <c r="B4481" t="s">
        <v>1825</v>
      </c>
      <c r="C4481">
        <v>23071</v>
      </c>
      <c r="D4481" t="s">
        <v>1528</v>
      </c>
      <c r="E4481" t="s">
        <v>1529</v>
      </c>
      <c r="F4481" t="s">
        <v>1530</v>
      </c>
    </row>
    <row r="4482" spans="1:6">
      <c r="A4482">
        <v>146</v>
      </c>
      <c r="B4482" t="s">
        <v>1825</v>
      </c>
      <c r="C4482">
        <v>97299</v>
      </c>
      <c r="D4482" t="s">
        <v>1531</v>
      </c>
      <c r="E4482" t="s">
        <v>1532</v>
      </c>
      <c r="F4482" t="s">
        <v>1533</v>
      </c>
    </row>
    <row r="4483" spans="1:6">
      <c r="A4483">
        <v>146</v>
      </c>
      <c r="B4483" t="s">
        <v>1825</v>
      </c>
      <c r="C4483">
        <v>100000</v>
      </c>
      <c r="D4483" t="s">
        <v>1204</v>
      </c>
      <c r="E4483" t="s">
        <v>1205</v>
      </c>
      <c r="F4483" t="s">
        <v>1206</v>
      </c>
    </row>
    <row r="4484" spans="1:6">
      <c r="A4484">
        <v>146</v>
      </c>
      <c r="B4484" t="s">
        <v>1825</v>
      </c>
      <c r="C4484">
        <v>70000</v>
      </c>
      <c r="D4484" t="s">
        <v>1306</v>
      </c>
      <c r="E4484" t="s">
        <v>1307</v>
      </c>
      <c r="F4484" t="s">
        <v>1308</v>
      </c>
    </row>
    <row r="4485" spans="1:6">
      <c r="A4485">
        <v>146</v>
      </c>
      <c r="B4485" t="s">
        <v>1825</v>
      </c>
      <c r="C4485">
        <v>558.22</v>
      </c>
      <c r="D4485" t="s">
        <v>1374</v>
      </c>
      <c r="E4485" t="s">
        <v>1375</v>
      </c>
      <c r="F4485" t="s">
        <v>1376</v>
      </c>
    </row>
    <row r="4486" spans="1:6">
      <c r="A4486">
        <v>146</v>
      </c>
      <c r="B4486" t="s">
        <v>1825</v>
      </c>
      <c r="C4486">
        <v>1290.43</v>
      </c>
      <c r="D4486" t="s">
        <v>1377</v>
      </c>
      <c r="E4486" t="s">
        <v>1375</v>
      </c>
      <c r="F4486" t="s">
        <v>1378</v>
      </c>
    </row>
    <row r="4487" spans="1:6">
      <c r="A4487">
        <v>146</v>
      </c>
      <c r="B4487" t="s">
        <v>1825</v>
      </c>
      <c r="C4487">
        <v>18732.88</v>
      </c>
      <c r="D4487" t="s">
        <v>1537</v>
      </c>
      <c r="E4487" t="s">
        <v>1538</v>
      </c>
      <c r="F4487" t="s">
        <v>1539</v>
      </c>
    </row>
    <row r="4488" spans="1:6">
      <c r="A4488">
        <v>146</v>
      </c>
      <c r="B4488" t="s">
        <v>1825</v>
      </c>
      <c r="C4488">
        <v>47354.26</v>
      </c>
      <c r="D4488" t="s">
        <v>1540</v>
      </c>
      <c r="E4488" t="s">
        <v>1538</v>
      </c>
      <c r="F4488" t="s">
        <v>1541</v>
      </c>
    </row>
    <row r="4489" spans="1:6">
      <c r="A4489">
        <v>146</v>
      </c>
      <c r="B4489" t="s">
        <v>1825</v>
      </c>
      <c r="C4489">
        <v>6991</v>
      </c>
      <c r="D4489" t="s">
        <v>1542</v>
      </c>
      <c r="E4489" t="s">
        <v>1424</v>
      </c>
      <c r="F4489" t="s">
        <v>1425</v>
      </c>
    </row>
    <row r="4490" spans="1:6">
      <c r="A4490">
        <v>146</v>
      </c>
      <c r="B4490" t="s">
        <v>1825</v>
      </c>
      <c r="C4490">
        <v>608</v>
      </c>
      <c r="D4490" t="s">
        <v>1428</v>
      </c>
      <c r="E4490" t="s">
        <v>1429</v>
      </c>
      <c r="F4490" t="s">
        <v>1430</v>
      </c>
    </row>
    <row r="4491" spans="1:6">
      <c r="A4491">
        <v>146</v>
      </c>
      <c r="B4491" t="s">
        <v>1825</v>
      </c>
      <c r="C4491">
        <v>124184.96000000001</v>
      </c>
      <c r="D4491" t="s">
        <v>1431</v>
      </c>
      <c r="E4491" t="s">
        <v>1432</v>
      </c>
      <c r="F4491" t="s">
        <v>1433</v>
      </c>
    </row>
    <row r="4492" spans="1:6">
      <c r="A4492">
        <v>146</v>
      </c>
      <c r="B4492" t="s">
        <v>1825</v>
      </c>
      <c r="C4492">
        <v>279056.52</v>
      </c>
      <c r="D4492" t="s">
        <v>1434</v>
      </c>
      <c r="E4492" t="s">
        <v>1432</v>
      </c>
      <c r="F4492" t="s">
        <v>1435</v>
      </c>
    </row>
    <row r="4493" spans="1:6">
      <c r="A4493">
        <v>146</v>
      </c>
      <c r="B4493" t="s">
        <v>1825</v>
      </c>
      <c r="C4493">
        <v>12198</v>
      </c>
      <c r="D4493" t="s">
        <v>1576</v>
      </c>
      <c r="E4493" t="s">
        <v>1577</v>
      </c>
      <c r="F4493" t="s">
        <v>1578</v>
      </c>
    </row>
    <row r="4494" spans="1:6">
      <c r="A4494">
        <v>146</v>
      </c>
      <c r="B4494" t="s">
        <v>1825</v>
      </c>
      <c r="C4494">
        <v>460940</v>
      </c>
      <c r="D4494" t="s">
        <v>1579</v>
      </c>
      <c r="E4494" t="s">
        <v>1577</v>
      </c>
      <c r="F4494" t="s">
        <v>1580</v>
      </c>
    </row>
    <row r="4495" spans="1:6">
      <c r="A4495">
        <v>146</v>
      </c>
      <c r="B4495" t="s">
        <v>1825</v>
      </c>
      <c r="C4495">
        <v>44236</v>
      </c>
      <c r="D4495" t="s">
        <v>1436</v>
      </c>
      <c r="E4495" t="s">
        <v>1437</v>
      </c>
      <c r="F4495" t="s">
        <v>1438</v>
      </c>
    </row>
    <row r="4496" spans="1:6">
      <c r="A4496">
        <v>146</v>
      </c>
      <c r="B4496" t="s">
        <v>1825</v>
      </c>
      <c r="C4496">
        <v>3587</v>
      </c>
      <c r="D4496" t="s">
        <v>1442</v>
      </c>
      <c r="E4496" t="s">
        <v>1582</v>
      </c>
      <c r="F4496" t="s">
        <v>1443</v>
      </c>
    </row>
    <row r="4497" spans="1:6">
      <c r="A4497">
        <v>146</v>
      </c>
      <c r="B4497" t="s">
        <v>1825</v>
      </c>
      <c r="C4497">
        <v>3200</v>
      </c>
      <c r="D4497" t="s">
        <v>1581</v>
      </c>
      <c r="E4497" t="s">
        <v>1582</v>
      </c>
      <c r="F4497" t="s">
        <v>1583</v>
      </c>
    </row>
    <row r="4498" spans="1:6">
      <c r="A4498">
        <v>146</v>
      </c>
      <c r="B4498" t="s">
        <v>1825</v>
      </c>
      <c r="C4498">
        <v>2937</v>
      </c>
      <c r="D4498" t="s">
        <v>1584</v>
      </c>
      <c r="E4498" t="s">
        <v>1585</v>
      </c>
      <c r="F4498" t="s">
        <v>1586</v>
      </c>
    </row>
    <row r="4499" spans="1:6">
      <c r="A4499">
        <v>146</v>
      </c>
      <c r="B4499" t="s">
        <v>1825</v>
      </c>
      <c r="C4499">
        <v>145318</v>
      </c>
      <c r="D4499" t="s">
        <v>1587</v>
      </c>
      <c r="E4499" t="s">
        <v>1585</v>
      </c>
      <c r="F4499" t="s">
        <v>1588</v>
      </c>
    </row>
    <row r="4500" spans="1:6">
      <c r="A4500">
        <v>146</v>
      </c>
      <c r="B4500" t="s">
        <v>1825</v>
      </c>
      <c r="C4500">
        <v>3500</v>
      </c>
      <c r="D4500" t="s">
        <v>1454</v>
      </c>
      <c r="E4500" t="s">
        <v>1455</v>
      </c>
      <c r="F4500" t="s">
        <v>1456</v>
      </c>
    </row>
    <row r="4501" spans="1:6">
      <c r="A4501">
        <v>146</v>
      </c>
      <c r="B4501" t="s">
        <v>1825</v>
      </c>
      <c r="C4501">
        <v>11183</v>
      </c>
      <c r="D4501" t="s">
        <v>1457</v>
      </c>
      <c r="E4501" t="s">
        <v>1455</v>
      </c>
      <c r="F4501" t="s">
        <v>1458</v>
      </c>
    </row>
    <row r="4502" spans="1:6">
      <c r="A4502">
        <v>146</v>
      </c>
      <c r="B4502" t="s">
        <v>1825</v>
      </c>
      <c r="C4502">
        <v>2509</v>
      </c>
      <c r="D4502" t="s">
        <v>1589</v>
      </c>
      <c r="E4502" t="s">
        <v>1590</v>
      </c>
      <c r="F4502" t="s">
        <v>1591</v>
      </c>
    </row>
    <row r="4503" spans="1:6">
      <c r="A4503">
        <v>146</v>
      </c>
      <c r="B4503" t="s">
        <v>1825</v>
      </c>
      <c r="C4503">
        <v>10105</v>
      </c>
      <c r="D4503" t="s">
        <v>1592</v>
      </c>
      <c r="E4503" t="s">
        <v>1590</v>
      </c>
      <c r="F4503" t="s">
        <v>1593</v>
      </c>
    </row>
    <row r="4504" spans="1:6">
      <c r="A4504">
        <v>146</v>
      </c>
      <c r="B4504" t="s">
        <v>1825</v>
      </c>
      <c r="C4504">
        <v>3590</v>
      </c>
      <c r="D4504" t="s">
        <v>1594</v>
      </c>
      <c r="E4504" t="s">
        <v>1595</v>
      </c>
      <c r="F4504" t="s">
        <v>1596</v>
      </c>
    </row>
    <row r="4505" spans="1:6">
      <c r="A4505">
        <v>146</v>
      </c>
      <c r="B4505" t="s">
        <v>1825</v>
      </c>
      <c r="C4505">
        <v>3500</v>
      </c>
      <c r="D4505" t="s">
        <v>1597</v>
      </c>
      <c r="E4505" t="s">
        <v>1595</v>
      </c>
      <c r="F4505" t="s">
        <v>1598</v>
      </c>
    </row>
    <row r="4506" spans="1:6">
      <c r="A4506">
        <v>146</v>
      </c>
      <c r="B4506" t="s">
        <v>1825</v>
      </c>
      <c r="C4506">
        <v>30611</v>
      </c>
      <c r="D4506" t="s">
        <v>1599</v>
      </c>
      <c r="E4506" t="s">
        <v>1600</v>
      </c>
      <c r="F4506" t="s">
        <v>1601</v>
      </c>
    </row>
    <row r="4507" spans="1:6">
      <c r="A4507">
        <v>146</v>
      </c>
      <c r="B4507" t="s">
        <v>1825</v>
      </c>
      <c r="C4507">
        <v>812382</v>
      </c>
      <c r="D4507" t="s">
        <v>1602</v>
      </c>
      <c r="E4507" t="s">
        <v>1600</v>
      </c>
      <c r="F4507" t="s">
        <v>1603</v>
      </c>
    </row>
    <row r="4508" spans="1:6">
      <c r="A4508">
        <v>146</v>
      </c>
      <c r="B4508" t="s">
        <v>1825</v>
      </c>
      <c r="C4508">
        <v>10976</v>
      </c>
      <c r="D4508" t="s">
        <v>1459</v>
      </c>
      <c r="E4508" t="s">
        <v>1605</v>
      </c>
      <c r="F4508" t="s">
        <v>1460</v>
      </c>
    </row>
    <row r="4509" spans="1:6">
      <c r="A4509">
        <v>146</v>
      </c>
      <c r="B4509" t="s">
        <v>1825</v>
      </c>
      <c r="C4509">
        <v>48496</v>
      </c>
      <c r="D4509" t="s">
        <v>1604</v>
      </c>
      <c r="E4509" t="s">
        <v>1605</v>
      </c>
      <c r="F4509" t="s">
        <v>1606</v>
      </c>
    </row>
    <row r="4510" spans="1:6">
      <c r="A4510">
        <v>146</v>
      </c>
      <c r="B4510" t="s">
        <v>1825</v>
      </c>
      <c r="C4510">
        <v>68273.16</v>
      </c>
      <c r="D4510" t="s">
        <v>1475</v>
      </c>
      <c r="E4510" t="s">
        <v>1476</v>
      </c>
      <c r="F4510" t="s">
        <v>1477</v>
      </c>
    </row>
    <row r="4511" spans="1:6">
      <c r="A4511">
        <v>146</v>
      </c>
      <c r="B4511" t="s">
        <v>1825</v>
      </c>
      <c r="C4511">
        <v>412443.21</v>
      </c>
      <c r="D4511" t="s">
        <v>1478</v>
      </c>
      <c r="E4511" t="s">
        <v>1479</v>
      </c>
      <c r="F4511" t="s">
        <v>1480</v>
      </c>
    </row>
    <row r="4512" spans="1:6">
      <c r="A4512">
        <v>146</v>
      </c>
      <c r="B4512" t="s">
        <v>1825</v>
      </c>
      <c r="C4512">
        <v>2608842</v>
      </c>
      <c r="D4512" t="s">
        <v>1610</v>
      </c>
      <c r="E4512" t="s">
        <v>1481</v>
      </c>
      <c r="F4512" t="s">
        <v>1482</v>
      </c>
    </row>
    <row r="4513" spans="1:6">
      <c r="A4513">
        <v>147</v>
      </c>
      <c r="B4513" t="s">
        <v>1826</v>
      </c>
      <c r="C4513">
        <v>2756</v>
      </c>
      <c r="D4513" t="s">
        <v>1486</v>
      </c>
      <c r="E4513" t="s">
        <v>1487</v>
      </c>
      <c r="F4513" t="s">
        <v>1488</v>
      </c>
    </row>
    <row r="4514" spans="1:6">
      <c r="A4514">
        <v>147</v>
      </c>
      <c r="B4514" t="s">
        <v>1826</v>
      </c>
      <c r="C4514">
        <v>1289</v>
      </c>
      <c r="D4514" t="s">
        <v>1489</v>
      </c>
      <c r="E4514" t="s">
        <v>1490</v>
      </c>
      <c r="F4514" t="s">
        <v>1491</v>
      </c>
    </row>
    <row r="4515" spans="1:6">
      <c r="A4515">
        <v>147</v>
      </c>
      <c r="B4515" t="s">
        <v>1826</v>
      </c>
      <c r="C4515">
        <v>104762</v>
      </c>
      <c r="D4515" t="s">
        <v>1567</v>
      </c>
      <c r="E4515" t="s">
        <v>1568</v>
      </c>
      <c r="F4515" t="s">
        <v>1569</v>
      </c>
    </row>
    <row r="4516" spans="1:6">
      <c r="A4516">
        <v>147</v>
      </c>
      <c r="B4516" t="s">
        <v>1826</v>
      </c>
      <c r="C4516">
        <v>2343490</v>
      </c>
      <c r="D4516" t="s">
        <v>1570</v>
      </c>
      <c r="E4516" t="s">
        <v>1571</v>
      </c>
      <c r="F4516" t="s">
        <v>1572</v>
      </c>
    </row>
    <row r="4517" spans="1:6">
      <c r="A4517">
        <v>147</v>
      </c>
      <c r="B4517" t="s">
        <v>1826</v>
      </c>
      <c r="C4517">
        <v>80100</v>
      </c>
      <c r="D4517" t="s">
        <v>1573</v>
      </c>
      <c r="E4517" t="s">
        <v>1574</v>
      </c>
      <c r="F4517" t="s">
        <v>1575</v>
      </c>
    </row>
    <row r="4518" spans="1:6">
      <c r="A4518">
        <v>147</v>
      </c>
      <c r="B4518" t="s">
        <v>1826</v>
      </c>
      <c r="C4518">
        <v>41982</v>
      </c>
      <c r="D4518" t="s">
        <v>1371</v>
      </c>
      <c r="E4518" t="s">
        <v>1372</v>
      </c>
      <c r="F4518" t="s">
        <v>1373</v>
      </c>
    </row>
    <row r="4519" spans="1:6">
      <c r="A4519">
        <v>147</v>
      </c>
      <c r="B4519" t="s">
        <v>1826</v>
      </c>
      <c r="C4519">
        <v>93375</v>
      </c>
      <c r="D4519" t="s">
        <v>1390</v>
      </c>
      <c r="E4519" t="s">
        <v>1391</v>
      </c>
      <c r="F4519" t="s">
        <v>1392</v>
      </c>
    </row>
    <row r="4520" spans="1:6">
      <c r="A4520">
        <v>147</v>
      </c>
      <c r="B4520" t="s">
        <v>1826</v>
      </c>
      <c r="C4520">
        <v>157.13</v>
      </c>
      <c r="D4520" t="s">
        <v>1374</v>
      </c>
      <c r="E4520" t="s">
        <v>1375</v>
      </c>
      <c r="F4520" t="s">
        <v>1376</v>
      </c>
    </row>
    <row r="4521" spans="1:6">
      <c r="A4521">
        <v>147</v>
      </c>
      <c r="B4521" t="s">
        <v>1826</v>
      </c>
      <c r="C4521">
        <v>780.42</v>
      </c>
      <c r="D4521" t="s">
        <v>1377</v>
      </c>
      <c r="E4521" t="s">
        <v>1375</v>
      </c>
      <c r="F4521" t="s">
        <v>1378</v>
      </c>
    </row>
    <row r="4522" spans="1:6">
      <c r="A4522">
        <v>147</v>
      </c>
      <c r="B4522" t="s">
        <v>1826</v>
      </c>
      <c r="C4522">
        <v>5638.97</v>
      </c>
      <c r="D4522" t="s">
        <v>1431</v>
      </c>
      <c r="E4522" t="s">
        <v>1432</v>
      </c>
      <c r="F4522" t="s">
        <v>1433</v>
      </c>
    </row>
    <row r="4523" spans="1:6">
      <c r="A4523">
        <v>147</v>
      </c>
      <c r="B4523" t="s">
        <v>1826</v>
      </c>
      <c r="C4523">
        <v>13280.72</v>
      </c>
      <c r="D4523" t="s">
        <v>1434</v>
      </c>
      <c r="E4523" t="s">
        <v>1432</v>
      </c>
      <c r="F4523" t="s">
        <v>1435</v>
      </c>
    </row>
    <row r="4524" spans="1:6">
      <c r="A4524">
        <v>147</v>
      </c>
      <c r="B4524" t="s">
        <v>1826</v>
      </c>
      <c r="C4524">
        <v>1980</v>
      </c>
      <c r="D4524" t="s">
        <v>1576</v>
      </c>
      <c r="E4524" t="s">
        <v>1577</v>
      </c>
      <c r="F4524" t="s">
        <v>1578</v>
      </c>
    </row>
    <row r="4525" spans="1:6">
      <c r="A4525">
        <v>147</v>
      </c>
      <c r="B4525" t="s">
        <v>1826</v>
      </c>
      <c r="C4525">
        <v>40000</v>
      </c>
      <c r="D4525" t="s">
        <v>1579</v>
      </c>
      <c r="E4525" t="s">
        <v>1577</v>
      </c>
      <c r="F4525" t="s">
        <v>1580</v>
      </c>
    </row>
    <row r="4526" spans="1:6">
      <c r="A4526">
        <v>147</v>
      </c>
      <c r="B4526" t="s">
        <v>1826</v>
      </c>
      <c r="C4526">
        <v>12400</v>
      </c>
      <c r="D4526" t="s">
        <v>1587</v>
      </c>
      <c r="E4526" t="s">
        <v>1585</v>
      </c>
      <c r="F4526" t="s">
        <v>1588</v>
      </c>
    </row>
    <row r="4527" spans="1:6">
      <c r="A4527">
        <v>147</v>
      </c>
      <c r="B4527" t="s">
        <v>1826</v>
      </c>
      <c r="C4527">
        <v>984</v>
      </c>
      <c r="D4527" t="s">
        <v>1589</v>
      </c>
      <c r="E4527" t="s">
        <v>1590</v>
      </c>
      <c r="F4527" t="s">
        <v>1591</v>
      </c>
    </row>
    <row r="4528" spans="1:6">
      <c r="A4528">
        <v>147</v>
      </c>
      <c r="B4528" t="s">
        <v>1826</v>
      </c>
      <c r="C4528">
        <v>569</v>
      </c>
      <c r="D4528" t="s">
        <v>1594</v>
      </c>
      <c r="E4528" t="s">
        <v>1595</v>
      </c>
      <c r="F4528" t="s">
        <v>1596</v>
      </c>
    </row>
    <row r="4529" spans="1:6">
      <c r="A4529">
        <v>147</v>
      </c>
      <c r="B4529" t="s">
        <v>1826</v>
      </c>
      <c r="C4529">
        <v>14482</v>
      </c>
      <c r="D4529" t="s">
        <v>1599</v>
      </c>
      <c r="E4529" t="s">
        <v>1600</v>
      </c>
      <c r="F4529" t="s">
        <v>1601</v>
      </c>
    </row>
    <row r="4530" spans="1:6">
      <c r="A4530">
        <v>147</v>
      </c>
      <c r="B4530" t="s">
        <v>1826</v>
      </c>
      <c r="C4530">
        <v>2075</v>
      </c>
      <c r="D4530" t="s">
        <v>1269</v>
      </c>
      <c r="E4530" t="s">
        <v>1270</v>
      </c>
      <c r="F4530" t="s">
        <v>1601</v>
      </c>
    </row>
    <row r="4531" spans="1:6">
      <c r="A4531">
        <v>147</v>
      </c>
      <c r="B4531" t="s">
        <v>1826</v>
      </c>
      <c r="C4531">
        <v>58000</v>
      </c>
      <c r="D4531" t="s">
        <v>1602</v>
      </c>
      <c r="E4531" t="s">
        <v>1600</v>
      </c>
      <c r="F4531" t="s">
        <v>1603</v>
      </c>
    </row>
    <row r="4532" spans="1:6">
      <c r="A4532">
        <v>147</v>
      </c>
      <c r="B4532" t="s">
        <v>1826</v>
      </c>
      <c r="C4532">
        <v>1181</v>
      </c>
      <c r="D4532" t="s">
        <v>1459</v>
      </c>
      <c r="E4532" t="s">
        <v>1605</v>
      </c>
      <c r="F4532" t="s">
        <v>1460</v>
      </c>
    </row>
    <row r="4533" spans="1:6">
      <c r="A4533">
        <v>147</v>
      </c>
      <c r="B4533" t="s">
        <v>1826</v>
      </c>
      <c r="C4533">
        <v>1000</v>
      </c>
      <c r="D4533" t="s">
        <v>1604</v>
      </c>
      <c r="E4533" t="s">
        <v>1605</v>
      </c>
      <c r="F4533" t="s">
        <v>1606</v>
      </c>
    </row>
    <row r="4534" spans="1:6">
      <c r="A4534">
        <v>147</v>
      </c>
      <c r="B4534" t="s">
        <v>1826</v>
      </c>
      <c r="C4534">
        <v>36508.410000000003</v>
      </c>
      <c r="D4534" t="s">
        <v>1475</v>
      </c>
      <c r="E4534" t="s">
        <v>1476</v>
      </c>
      <c r="F4534" t="s">
        <v>1477</v>
      </c>
    </row>
    <row r="4535" spans="1:6">
      <c r="A4535">
        <v>147</v>
      </c>
      <c r="B4535" t="s">
        <v>1826</v>
      </c>
      <c r="C4535">
        <v>155244.01</v>
      </c>
      <c r="D4535" t="s">
        <v>1478</v>
      </c>
      <c r="E4535" t="s">
        <v>1479</v>
      </c>
      <c r="F4535" t="s">
        <v>1480</v>
      </c>
    </row>
    <row r="4536" spans="1:6">
      <c r="A4536">
        <v>148</v>
      </c>
      <c r="B4536" t="s">
        <v>1827</v>
      </c>
      <c r="C4536">
        <v>19713</v>
      </c>
      <c r="D4536" t="s">
        <v>1489</v>
      </c>
      <c r="E4536" t="s">
        <v>1490</v>
      </c>
      <c r="F4536" t="s">
        <v>1491</v>
      </c>
    </row>
    <row r="4537" spans="1:6">
      <c r="A4537">
        <v>148</v>
      </c>
      <c r="B4537" t="s">
        <v>1827</v>
      </c>
      <c r="C4537">
        <v>154863</v>
      </c>
      <c r="D4537" t="s">
        <v>1407</v>
      </c>
      <c r="E4537" t="s">
        <v>1408</v>
      </c>
      <c r="F4537" t="s">
        <v>1409</v>
      </c>
    </row>
    <row r="4538" spans="1:6">
      <c r="A4538">
        <v>148</v>
      </c>
      <c r="B4538" t="s">
        <v>1827</v>
      </c>
      <c r="C4538">
        <v>522334</v>
      </c>
      <c r="D4538" t="s">
        <v>1567</v>
      </c>
      <c r="E4538" t="s">
        <v>1568</v>
      </c>
      <c r="F4538" t="s">
        <v>1569</v>
      </c>
    </row>
    <row r="4539" spans="1:6">
      <c r="A4539">
        <v>148</v>
      </c>
      <c r="B4539" t="s">
        <v>1827</v>
      </c>
      <c r="C4539">
        <v>27872</v>
      </c>
      <c r="D4539" t="s">
        <v>1496</v>
      </c>
      <c r="E4539" t="s">
        <v>1497</v>
      </c>
      <c r="F4539" t="s">
        <v>1498</v>
      </c>
    </row>
    <row r="4540" spans="1:6">
      <c r="A4540">
        <v>148</v>
      </c>
      <c r="B4540" t="s">
        <v>1827</v>
      </c>
      <c r="C4540">
        <v>18694311</v>
      </c>
      <c r="D4540" t="s">
        <v>1570</v>
      </c>
      <c r="E4540" t="s">
        <v>1571</v>
      </c>
      <c r="F4540" t="s">
        <v>1572</v>
      </c>
    </row>
    <row r="4541" spans="1:6">
      <c r="A4541">
        <v>148</v>
      </c>
      <c r="B4541" t="s">
        <v>1827</v>
      </c>
      <c r="C4541">
        <v>16096</v>
      </c>
      <c r="D4541" t="s">
        <v>1327</v>
      </c>
      <c r="E4541" t="s">
        <v>1328</v>
      </c>
      <c r="F4541" t="s">
        <v>1329</v>
      </c>
    </row>
    <row r="4542" spans="1:6">
      <c r="A4542">
        <v>148</v>
      </c>
      <c r="B4542" t="s">
        <v>1827</v>
      </c>
      <c r="C4542">
        <v>304571</v>
      </c>
      <c r="D4542" t="s">
        <v>1520</v>
      </c>
      <c r="E4542" t="s">
        <v>1521</v>
      </c>
      <c r="F4542" t="s">
        <v>1522</v>
      </c>
    </row>
    <row r="4543" spans="1:6">
      <c r="A4543">
        <v>148</v>
      </c>
      <c r="B4543" t="s">
        <v>1827</v>
      </c>
      <c r="C4543">
        <v>57000</v>
      </c>
      <c r="D4543" t="s">
        <v>1216</v>
      </c>
      <c r="E4543" t="s">
        <v>1217</v>
      </c>
      <c r="F4543" t="s">
        <v>1218</v>
      </c>
    </row>
    <row r="4544" spans="1:6">
      <c r="A4544">
        <v>148</v>
      </c>
      <c r="B4544" t="s">
        <v>1827</v>
      </c>
      <c r="C4544">
        <v>1079105</v>
      </c>
      <c r="D4544" t="s">
        <v>1573</v>
      </c>
      <c r="E4544" t="s">
        <v>1574</v>
      </c>
      <c r="F4544" t="s">
        <v>1575</v>
      </c>
    </row>
    <row r="4545" spans="1:6">
      <c r="A4545">
        <v>148</v>
      </c>
      <c r="B4545" t="s">
        <v>1827</v>
      </c>
      <c r="C4545">
        <v>3884</v>
      </c>
      <c r="D4545" t="s">
        <v>1523</v>
      </c>
      <c r="E4545" t="s">
        <v>1521</v>
      </c>
      <c r="F4545" t="s">
        <v>1524</v>
      </c>
    </row>
    <row r="4546" spans="1:6">
      <c r="A4546">
        <v>148</v>
      </c>
      <c r="B4546" t="s">
        <v>1827</v>
      </c>
      <c r="C4546">
        <v>23334</v>
      </c>
      <c r="D4546" t="s">
        <v>1371</v>
      </c>
      <c r="E4546" t="s">
        <v>1372</v>
      </c>
      <c r="F4546" t="s">
        <v>1373</v>
      </c>
    </row>
    <row r="4547" spans="1:6">
      <c r="A4547">
        <v>148</v>
      </c>
      <c r="B4547" t="s">
        <v>1827</v>
      </c>
      <c r="C4547">
        <v>23428</v>
      </c>
      <c r="D4547" t="s">
        <v>1525</v>
      </c>
      <c r="E4547" t="s">
        <v>1526</v>
      </c>
      <c r="F4547" t="s">
        <v>1527</v>
      </c>
    </row>
    <row r="4548" spans="1:6">
      <c r="A4548">
        <v>148</v>
      </c>
      <c r="B4548" t="s">
        <v>1827</v>
      </c>
      <c r="C4548">
        <v>28965</v>
      </c>
      <c r="D4548" t="s">
        <v>1528</v>
      </c>
      <c r="E4548" t="s">
        <v>1529</v>
      </c>
      <c r="F4548" t="s">
        <v>1530</v>
      </c>
    </row>
    <row r="4549" spans="1:6">
      <c r="A4549">
        <v>148</v>
      </c>
      <c r="B4549" t="s">
        <v>1827</v>
      </c>
      <c r="C4549">
        <v>224111</v>
      </c>
      <c r="D4549" t="s">
        <v>1531</v>
      </c>
      <c r="E4549" t="s">
        <v>1532</v>
      </c>
      <c r="F4549" t="s">
        <v>1533</v>
      </c>
    </row>
    <row r="4550" spans="1:6">
      <c r="A4550">
        <v>148</v>
      </c>
      <c r="B4550" t="s">
        <v>1827</v>
      </c>
      <c r="C4550">
        <v>110500</v>
      </c>
      <c r="D4550" t="s">
        <v>1387</v>
      </c>
      <c r="E4550" t="s">
        <v>1388</v>
      </c>
      <c r="F4550" t="s">
        <v>1389</v>
      </c>
    </row>
    <row r="4551" spans="1:6">
      <c r="A4551">
        <v>148</v>
      </c>
      <c r="B4551" t="s">
        <v>1827</v>
      </c>
      <c r="C4551">
        <v>95648</v>
      </c>
      <c r="D4551" t="s">
        <v>1390</v>
      </c>
      <c r="E4551" t="s">
        <v>1391</v>
      </c>
      <c r="F4551" t="s">
        <v>1392</v>
      </c>
    </row>
    <row r="4552" spans="1:6">
      <c r="A4552">
        <v>148</v>
      </c>
      <c r="B4552" t="s">
        <v>1827</v>
      </c>
      <c r="C4552">
        <v>1446.63</v>
      </c>
      <c r="D4552" t="s">
        <v>1374</v>
      </c>
      <c r="E4552" t="s">
        <v>1375</v>
      </c>
      <c r="F4552" t="s">
        <v>1376</v>
      </c>
    </row>
    <row r="4553" spans="1:6">
      <c r="A4553">
        <v>148</v>
      </c>
      <c r="B4553" t="s">
        <v>1827</v>
      </c>
      <c r="C4553">
        <v>3137.83</v>
      </c>
      <c r="D4553" t="s">
        <v>1377</v>
      </c>
      <c r="E4553" t="s">
        <v>1375</v>
      </c>
      <c r="F4553" t="s">
        <v>1378</v>
      </c>
    </row>
    <row r="4554" spans="1:6">
      <c r="A4554">
        <v>148</v>
      </c>
      <c r="B4554" t="s">
        <v>1827</v>
      </c>
      <c r="C4554">
        <v>71526.8</v>
      </c>
      <c r="D4554" t="s">
        <v>1431</v>
      </c>
      <c r="E4554" t="s">
        <v>1432</v>
      </c>
      <c r="F4554" t="s">
        <v>1433</v>
      </c>
    </row>
    <row r="4555" spans="1:6">
      <c r="A4555">
        <v>148</v>
      </c>
      <c r="B4555" t="s">
        <v>1827</v>
      </c>
      <c r="C4555">
        <v>178469.71</v>
      </c>
      <c r="D4555" t="s">
        <v>1434</v>
      </c>
      <c r="E4555" t="s">
        <v>1432</v>
      </c>
      <c r="F4555" t="s">
        <v>1435</v>
      </c>
    </row>
    <row r="4556" spans="1:6">
      <c r="A4556">
        <v>148</v>
      </c>
      <c r="B4556" t="s">
        <v>1827</v>
      </c>
      <c r="C4556">
        <v>6000</v>
      </c>
      <c r="D4556" t="s">
        <v>1576</v>
      </c>
      <c r="E4556" t="s">
        <v>1577</v>
      </c>
      <c r="F4556" t="s">
        <v>1578</v>
      </c>
    </row>
    <row r="4557" spans="1:6">
      <c r="A4557">
        <v>148</v>
      </c>
      <c r="B4557" t="s">
        <v>1827</v>
      </c>
      <c r="C4557">
        <v>200000</v>
      </c>
      <c r="D4557" t="s">
        <v>1579</v>
      </c>
      <c r="E4557" t="s">
        <v>1577</v>
      </c>
      <c r="F4557" t="s">
        <v>1580</v>
      </c>
    </row>
    <row r="4558" spans="1:6">
      <c r="A4558">
        <v>148</v>
      </c>
      <c r="B4558" t="s">
        <v>1827</v>
      </c>
      <c r="C4558">
        <v>60895</v>
      </c>
      <c r="D4558" t="s">
        <v>1436</v>
      </c>
      <c r="E4558" t="s">
        <v>1437</v>
      </c>
      <c r="F4558" t="s">
        <v>1438</v>
      </c>
    </row>
    <row r="4559" spans="1:6">
      <c r="A4559">
        <v>148</v>
      </c>
      <c r="B4559" t="s">
        <v>1827</v>
      </c>
      <c r="C4559">
        <v>1581</v>
      </c>
      <c r="D4559" t="s">
        <v>1581</v>
      </c>
      <c r="E4559" t="s">
        <v>1582</v>
      </c>
      <c r="F4559" t="s">
        <v>1583</v>
      </c>
    </row>
    <row r="4560" spans="1:6">
      <c r="A4560">
        <v>148</v>
      </c>
      <c r="B4560" t="s">
        <v>1827</v>
      </c>
      <c r="C4560">
        <v>90000</v>
      </c>
      <c r="D4560" t="s">
        <v>1587</v>
      </c>
      <c r="E4560" t="s">
        <v>1585</v>
      </c>
      <c r="F4560" t="s">
        <v>1588</v>
      </c>
    </row>
    <row r="4561" spans="1:6">
      <c r="A4561">
        <v>148</v>
      </c>
      <c r="B4561" t="s">
        <v>1827</v>
      </c>
      <c r="C4561">
        <v>10000</v>
      </c>
      <c r="D4561" t="s">
        <v>1454</v>
      </c>
      <c r="E4561" t="s">
        <v>1455</v>
      </c>
      <c r="F4561" t="s">
        <v>1456</v>
      </c>
    </row>
    <row r="4562" spans="1:6">
      <c r="A4562">
        <v>148</v>
      </c>
      <c r="B4562" t="s">
        <v>1827</v>
      </c>
      <c r="C4562">
        <v>21400</v>
      </c>
      <c r="D4562" t="s">
        <v>1457</v>
      </c>
      <c r="E4562" t="s">
        <v>1455</v>
      </c>
      <c r="F4562" t="s">
        <v>1458</v>
      </c>
    </row>
    <row r="4563" spans="1:6">
      <c r="A4563">
        <v>148</v>
      </c>
      <c r="B4563" t="s">
        <v>1827</v>
      </c>
      <c r="C4563">
        <v>2000</v>
      </c>
      <c r="D4563" t="s">
        <v>1230</v>
      </c>
      <c r="E4563" t="s">
        <v>1288</v>
      </c>
      <c r="F4563" t="s">
        <v>1231</v>
      </c>
    </row>
    <row r="4564" spans="1:6">
      <c r="A4564">
        <v>148</v>
      </c>
      <c r="B4564" t="s">
        <v>1827</v>
      </c>
      <c r="C4564">
        <v>4381</v>
      </c>
      <c r="D4564" t="s">
        <v>1589</v>
      </c>
      <c r="E4564" t="s">
        <v>1590</v>
      </c>
      <c r="F4564" t="s">
        <v>1591</v>
      </c>
    </row>
    <row r="4565" spans="1:6">
      <c r="A4565">
        <v>148</v>
      </c>
      <c r="B4565" t="s">
        <v>1827</v>
      </c>
      <c r="C4565">
        <v>5000</v>
      </c>
      <c r="D4565" t="s">
        <v>1592</v>
      </c>
      <c r="E4565" t="s">
        <v>1590</v>
      </c>
      <c r="F4565" t="s">
        <v>1593</v>
      </c>
    </row>
    <row r="4566" spans="1:6">
      <c r="A4566">
        <v>148</v>
      </c>
      <c r="B4566" t="s">
        <v>1827</v>
      </c>
      <c r="C4566">
        <v>5000</v>
      </c>
      <c r="D4566" t="s">
        <v>1594</v>
      </c>
      <c r="E4566" t="s">
        <v>1595</v>
      </c>
      <c r="F4566" t="s">
        <v>1596</v>
      </c>
    </row>
    <row r="4567" spans="1:6">
      <c r="A4567">
        <v>148</v>
      </c>
      <c r="B4567" t="s">
        <v>1827</v>
      </c>
      <c r="C4567">
        <v>7000</v>
      </c>
      <c r="D4567" t="s">
        <v>1597</v>
      </c>
      <c r="E4567" t="s">
        <v>1595</v>
      </c>
      <c r="F4567" t="s">
        <v>1598</v>
      </c>
    </row>
    <row r="4568" spans="1:6">
      <c r="A4568">
        <v>148</v>
      </c>
      <c r="B4568" t="s">
        <v>1827</v>
      </c>
      <c r="C4568">
        <v>32000</v>
      </c>
      <c r="D4568" t="s">
        <v>1599</v>
      </c>
      <c r="E4568" t="s">
        <v>1600</v>
      </c>
      <c r="F4568" t="s">
        <v>1601</v>
      </c>
    </row>
    <row r="4569" spans="1:6">
      <c r="A4569">
        <v>148</v>
      </c>
      <c r="B4569" t="s">
        <v>1827</v>
      </c>
      <c r="C4569">
        <v>1170157</v>
      </c>
      <c r="D4569" t="s">
        <v>1602</v>
      </c>
      <c r="E4569" t="s">
        <v>1600</v>
      </c>
      <c r="F4569" t="s">
        <v>1603</v>
      </c>
    </row>
    <row r="4570" spans="1:6">
      <c r="A4570">
        <v>148</v>
      </c>
      <c r="B4570" t="s">
        <v>1827</v>
      </c>
      <c r="C4570">
        <v>16000</v>
      </c>
      <c r="D4570" t="s">
        <v>1459</v>
      </c>
      <c r="E4570" t="s">
        <v>1605</v>
      </c>
      <c r="F4570" t="s">
        <v>1460</v>
      </c>
    </row>
    <row r="4571" spans="1:6">
      <c r="A4571">
        <v>148</v>
      </c>
      <c r="B4571" t="s">
        <v>1827</v>
      </c>
      <c r="C4571">
        <v>20000</v>
      </c>
      <c r="D4571" t="s">
        <v>1604</v>
      </c>
      <c r="E4571" t="s">
        <v>1605</v>
      </c>
      <c r="F4571" t="s">
        <v>1606</v>
      </c>
    </row>
    <row r="4572" spans="1:6">
      <c r="A4572">
        <v>148</v>
      </c>
      <c r="B4572" t="s">
        <v>1827</v>
      </c>
      <c r="C4572">
        <v>9000</v>
      </c>
      <c r="D4572" t="s">
        <v>1466</v>
      </c>
      <c r="E4572" t="s">
        <v>1467</v>
      </c>
      <c r="F4572" t="s">
        <v>1468</v>
      </c>
    </row>
    <row r="4573" spans="1:6">
      <c r="A4573">
        <v>148</v>
      </c>
      <c r="B4573" t="s">
        <v>1827</v>
      </c>
      <c r="C4573">
        <v>31880</v>
      </c>
      <c r="D4573" t="s">
        <v>1273</v>
      </c>
      <c r="E4573" t="s">
        <v>1274</v>
      </c>
      <c r="F4573" t="s">
        <v>1275</v>
      </c>
    </row>
    <row r="4574" spans="1:6">
      <c r="A4574">
        <v>148</v>
      </c>
      <c r="B4574" t="s">
        <v>1827</v>
      </c>
      <c r="C4574">
        <v>72065.94</v>
      </c>
      <c r="D4574" t="s">
        <v>1475</v>
      </c>
      <c r="E4574" t="s">
        <v>1476</v>
      </c>
      <c r="F4574" t="s">
        <v>1477</v>
      </c>
    </row>
    <row r="4575" spans="1:6">
      <c r="A4575">
        <v>148</v>
      </c>
      <c r="B4575" t="s">
        <v>1827</v>
      </c>
      <c r="C4575">
        <v>864682.48</v>
      </c>
      <c r="D4575" t="s">
        <v>1365</v>
      </c>
      <c r="E4575" t="s">
        <v>1366</v>
      </c>
      <c r="F4575" t="s">
        <v>1367</v>
      </c>
    </row>
    <row r="4576" spans="1:6">
      <c r="A4576">
        <v>148</v>
      </c>
      <c r="B4576" t="s">
        <v>1827</v>
      </c>
      <c r="C4576">
        <v>317524</v>
      </c>
      <c r="D4576" t="s">
        <v>1610</v>
      </c>
      <c r="E4576" t="s">
        <v>1481</v>
      </c>
      <c r="F4576" t="s">
        <v>1482</v>
      </c>
    </row>
    <row r="4577" spans="1:6">
      <c r="A4577">
        <v>149</v>
      </c>
      <c r="B4577" t="s">
        <v>1042</v>
      </c>
      <c r="C4577">
        <v>75137</v>
      </c>
      <c r="D4577" t="s">
        <v>1570</v>
      </c>
      <c r="E4577" t="s">
        <v>1571</v>
      </c>
      <c r="F4577" t="s">
        <v>1572</v>
      </c>
    </row>
    <row r="4578" spans="1:6">
      <c r="A4578">
        <v>149</v>
      </c>
      <c r="B4578" t="s">
        <v>1042</v>
      </c>
      <c r="C4578">
        <v>906</v>
      </c>
      <c r="D4578" t="s">
        <v>1371</v>
      </c>
      <c r="E4578" t="s">
        <v>1372</v>
      </c>
      <c r="F4578" t="s">
        <v>1373</v>
      </c>
    </row>
    <row r="4579" spans="1:6">
      <c r="A4579">
        <v>150</v>
      </c>
      <c r="B4579" t="s">
        <v>1043</v>
      </c>
      <c r="C4579">
        <v>181378</v>
      </c>
      <c r="D4579" t="s">
        <v>1570</v>
      </c>
      <c r="E4579" t="s">
        <v>1571</v>
      </c>
      <c r="F4579" t="s">
        <v>1572</v>
      </c>
    </row>
    <row r="4580" spans="1:6">
      <c r="A4580">
        <v>150</v>
      </c>
      <c r="B4580" t="s">
        <v>1043</v>
      </c>
      <c r="C4580">
        <v>2603</v>
      </c>
      <c r="D4580" t="s">
        <v>1371</v>
      </c>
      <c r="E4580" t="s">
        <v>1372</v>
      </c>
      <c r="F4580" t="s">
        <v>1373</v>
      </c>
    </row>
    <row r="4581" spans="1:6">
      <c r="A4581">
        <v>151</v>
      </c>
      <c r="B4581" t="s">
        <v>1611</v>
      </c>
      <c r="C4581">
        <v>6174</v>
      </c>
      <c r="D4581" t="s">
        <v>1176</v>
      </c>
      <c r="E4581" t="s">
        <v>1177</v>
      </c>
      <c r="F4581" t="s">
        <v>1178</v>
      </c>
    </row>
    <row r="4582" spans="1:6">
      <c r="A4582">
        <v>151</v>
      </c>
      <c r="B4582" t="s">
        <v>1611</v>
      </c>
      <c r="C4582">
        <v>15036</v>
      </c>
      <c r="D4582" t="s">
        <v>1483</v>
      </c>
      <c r="E4582" t="s">
        <v>1484</v>
      </c>
      <c r="F4582" t="s">
        <v>1485</v>
      </c>
    </row>
    <row r="4583" spans="1:6">
      <c r="A4583">
        <v>151</v>
      </c>
      <c r="B4583" t="s">
        <v>1611</v>
      </c>
      <c r="C4583">
        <v>100160</v>
      </c>
      <c r="D4583" t="s">
        <v>1489</v>
      </c>
      <c r="E4583" t="s">
        <v>1490</v>
      </c>
      <c r="F4583" t="s">
        <v>1491</v>
      </c>
    </row>
    <row r="4584" spans="1:6">
      <c r="A4584">
        <v>151</v>
      </c>
      <c r="B4584" t="s">
        <v>1611</v>
      </c>
      <c r="C4584">
        <v>102250</v>
      </c>
      <c r="D4584" t="s">
        <v>1404</v>
      </c>
      <c r="E4584" t="s">
        <v>1405</v>
      </c>
      <c r="F4584" t="s">
        <v>1406</v>
      </c>
    </row>
    <row r="4585" spans="1:6">
      <c r="A4585">
        <v>151</v>
      </c>
      <c r="B4585" t="s">
        <v>1611</v>
      </c>
      <c r="C4585">
        <v>102250</v>
      </c>
      <c r="D4585" t="s">
        <v>1317</v>
      </c>
      <c r="E4585" t="s">
        <v>1405</v>
      </c>
      <c r="F4585" t="s">
        <v>1406</v>
      </c>
    </row>
    <row r="4586" spans="1:6">
      <c r="A4586">
        <v>151</v>
      </c>
      <c r="B4586" t="s">
        <v>1611</v>
      </c>
      <c r="C4586">
        <v>2387275</v>
      </c>
      <c r="D4586" t="s">
        <v>1567</v>
      </c>
      <c r="E4586" t="s">
        <v>1568</v>
      </c>
      <c r="F4586" t="s">
        <v>1569</v>
      </c>
    </row>
    <row r="4587" spans="1:6">
      <c r="A4587">
        <v>151</v>
      </c>
      <c r="B4587" t="s">
        <v>1611</v>
      </c>
      <c r="C4587">
        <v>550485</v>
      </c>
      <c r="D4587" t="s">
        <v>1496</v>
      </c>
      <c r="E4587" t="s">
        <v>1497</v>
      </c>
      <c r="F4587" t="s">
        <v>1498</v>
      </c>
    </row>
    <row r="4588" spans="1:6">
      <c r="A4588">
        <v>151</v>
      </c>
      <c r="B4588" t="s">
        <v>1611</v>
      </c>
      <c r="C4588">
        <v>97810897</v>
      </c>
      <c r="D4588" t="s">
        <v>1570</v>
      </c>
      <c r="E4588" t="s">
        <v>1571</v>
      </c>
      <c r="F4588" t="s">
        <v>1572</v>
      </c>
    </row>
    <row r="4589" spans="1:6">
      <c r="A4589">
        <v>151</v>
      </c>
      <c r="B4589" t="s">
        <v>1611</v>
      </c>
      <c r="C4589">
        <v>203686</v>
      </c>
      <c r="D4589" t="s">
        <v>1327</v>
      </c>
      <c r="E4589" t="s">
        <v>1328</v>
      </c>
      <c r="F4589" t="s">
        <v>1329</v>
      </c>
    </row>
    <row r="4590" spans="1:6">
      <c r="A4590">
        <v>151</v>
      </c>
      <c r="B4590" t="s">
        <v>1611</v>
      </c>
      <c r="C4590">
        <v>2537639</v>
      </c>
      <c r="D4590" t="s">
        <v>1499</v>
      </c>
      <c r="E4590" t="s">
        <v>1500</v>
      </c>
      <c r="F4590" t="s">
        <v>1501</v>
      </c>
    </row>
    <row r="4591" spans="1:6">
      <c r="A4591">
        <v>151</v>
      </c>
      <c r="B4591" t="s">
        <v>1611</v>
      </c>
      <c r="C4591">
        <v>2633904</v>
      </c>
      <c r="D4591" t="s">
        <v>1502</v>
      </c>
      <c r="E4591" t="s">
        <v>1503</v>
      </c>
      <c r="F4591" t="s">
        <v>1504</v>
      </c>
    </row>
    <row r="4592" spans="1:6">
      <c r="A4592">
        <v>151</v>
      </c>
      <c r="B4592" t="s">
        <v>1611</v>
      </c>
      <c r="C4592">
        <v>302246</v>
      </c>
      <c r="D4592" t="s">
        <v>1505</v>
      </c>
      <c r="E4592" t="s">
        <v>1506</v>
      </c>
      <c r="F4592" t="s">
        <v>1507</v>
      </c>
    </row>
    <row r="4593" spans="1:6">
      <c r="A4593">
        <v>151</v>
      </c>
      <c r="B4593" t="s">
        <v>1611</v>
      </c>
      <c r="C4593">
        <v>359019</v>
      </c>
      <c r="D4593" t="s">
        <v>1508</v>
      </c>
      <c r="E4593" t="s">
        <v>1509</v>
      </c>
      <c r="F4593" t="s">
        <v>1510</v>
      </c>
    </row>
    <row r="4594" spans="1:6">
      <c r="A4594">
        <v>151</v>
      </c>
      <c r="B4594" t="s">
        <v>1611</v>
      </c>
      <c r="C4594">
        <v>16380</v>
      </c>
      <c r="D4594" t="s">
        <v>1330</v>
      </c>
      <c r="E4594" t="s">
        <v>1331</v>
      </c>
      <c r="F4594" t="s">
        <v>1332</v>
      </c>
    </row>
    <row r="4595" spans="1:6">
      <c r="A4595">
        <v>151</v>
      </c>
      <c r="B4595" t="s">
        <v>1611</v>
      </c>
      <c r="C4595">
        <v>66835</v>
      </c>
      <c r="D4595" t="s">
        <v>1333</v>
      </c>
      <c r="E4595" t="s">
        <v>1383</v>
      </c>
      <c r="F4595" t="s">
        <v>1334</v>
      </c>
    </row>
    <row r="4596" spans="1:6">
      <c r="A4596">
        <v>151</v>
      </c>
      <c r="B4596" t="s">
        <v>1611</v>
      </c>
      <c r="C4596">
        <v>75000</v>
      </c>
      <c r="D4596" t="s">
        <v>1515</v>
      </c>
      <c r="E4596" t="s">
        <v>1516</v>
      </c>
      <c r="F4596" t="s">
        <v>1517</v>
      </c>
    </row>
    <row r="4597" spans="1:6">
      <c r="A4597">
        <v>151</v>
      </c>
      <c r="B4597" t="s">
        <v>1611</v>
      </c>
      <c r="C4597">
        <v>31847</v>
      </c>
      <c r="D4597" t="s">
        <v>1518</v>
      </c>
      <c r="E4597" t="s">
        <v>1516</v>
      </c>
      <c r="F4597" t="s">
        <v>1519</v>
      </c>
    </row>
    <row r="4598" spans="1:6">
      <c r="A4598">
        <v>151</v>
      </c>
      <c r="B4598" t="s">
        <v>1611</v>
      </c>
      <c r="C4598">
        <v>1550140</v>
      </c>
      <c r="D4598" t="s">
        <v>1520</v>
      </c>
      <c r="E4598" t="s">
        <v>1521</v>
      </c>
      <c r="F4598" t="s">
        <v>1522</v>
      </c>
    </row>
    <row r="4599" spans="1:6">
      <c r="A4599">
        <v>151</v>
      </c>
      <c r="B4599" t="s">
        <v>1611</v>
      </c>
      <c r="C4599">
        <v>478725</v>
      </c>
      <c r="D4599" t="s">
        <v>1573</v>
      </c>
      <c r="E4599" t="s">
        <v>1574</v>
      </c>
      <c r="F4599" t="s">
        <v>1575</v>
      </c>
    </row>
    <row r="4600" spans="1:6">
      <c r="A4600">
        <v>151</v>
      </c>
      <c r="B4600" t="s">
        <v>1611</v>
      </c>
      <c r="C4600">
        <v>777451</v>
      </c>
      <c r="D4600" t="s">
        <v>1523</v>
      </c>
      <c r="E4600" t="s">
        <v>1521</v>
      </c>
      <c r="F4600" t="s">
        <v>1524</v>
      </c>
    </row>
    <row r="4601" spans="1:6">
      <c r="A4601">
        <v>151</v>
      </c>
      <c r="B4601" t="s">
        <v>1611</v>
      </c>
      <c r="C4601">
        <v>397474</v>
      </c>
      <c r="D4601" t="s">
        <v>1371</v>
      </c>
      <c r="E4601" t="s">
        <v>1372</v>
      </c>
      <c r="F4601" t="s">
        <v>1373</v>
      </c>
    </row>
    <row r="4602" spans="1:6">
      <c r="A4602">
        <v>151</v>
      </c>
      <c r="B4602" t="s">
        <v>1611</v>
      </c>
      <c r="C4602">
        <v>345389</v>
      </c>
      <c r="D4602" t="s">
        <v>1525</v>
      </c>
      <c r="E4602" t="s">
        <v>1526</v>
      </c>
      <c r="F4602" t="s">
        <v>1527</v>
      </c>
    </row>
    <row r="4603" spans="1:6">
      <c r="A4603">
        <v>151</v>
      </c>
      <c r="B4603" t="s">
        <v>1611</v>
      </c>
      <c r="C4603">
        <v>2071125</v>
      </c>
      <c r="D4603" t="s">
        <v>1044</v>
      </c>
      <c r="E4603" t="s">
        <v>1411</v>
      </c>
      <c r="F4603" t="s">
        <v>1412</v>
      </c>
    </row>
    <row r="4604" spans="1:6">
      <c r="A4604">
        <v>151</v>
      </c>
      <c r="B4604" t="s">
        <v>1611</v>
      </c>
      <c r="C4604">
        <v>2053956</v>
      </c>
      <c r="D4604" t="s">
        <v>1045</v>
      </c>
      <c r="E4604" t="s">
        <v>1411</v>
      </c>
      <c r="F4604" t="s">
        <v>1412</v>
      </c>
    </row>
    <row r="4605" spans="1:6">
      <c r="A4605">
        <v>151</v>
      </c>
      <c r="B4605" t="s">
        <v>1611</v>
      </c>
      <c r="C4605">
        <v>2480682</v>
      </c>
      <c r="D4605" t="s">
        <v>1046</v>
      </c>
      <c r="E4605" t="s">
        <v>1411</v>
      </c>
      <c r="F4605" t="s">
        <v>1412</v>
      </c>
    </row>
    <row r="4606" spans="1:6">
      <c r="A4606">
        <v>151</v>
      </c>
      <c r="B4606" t="s">
        <v>1611</v>
      </c>
      <c r="C4606">
        <v>150000</v>
      </c>
      <c r="D4606" t="s">
        <v>1207</v>
      </c>
      <c r="E4606" t="s">
        <v>1350</v>
      </c>
      <c r="F4606" t="s">
        <v>1351</v>
      </c>
    </row>
    <row r="4607" spans="1:6">
      <c r="A4607">
        <v>151</v>
      </c>
      <c r="B4607" t="s">
        <v>1611</v>
      </c>
      <c r="C4607">
        <v>75000</v>
      </c>
      <c r="D4607" t="s">
        <v>1306</v>
      </c>
      <c r="E4607" t="s">
        <v>1307</v>
      </c>
      <c r="F4607" t="s">
        <v>1308</v>
      </c>
    </row>
    <row r="4608" spans="1:6">
      <c r="A4608">
        <v>151</v>
      </c>
      <c r="B4608" t="s">
        <v>1611</v>
      </c>
      <c r="C4608">
        <v>146500</v>
      </c>
      <c r="D4608" t="s">
        <v>1390</v>
      </c>
      <c r="E4608" t="s">
        <v>1391</v>
      </c>
      <c r="F4608" t="s">
        <v>1392</v>
      </c>
    </row>
    <row r="4609" spans="1:6">
      <c r="A4609">
        <v>151</v>
      </c>
      <c r="B4609" t="s">
        <v>1611</v>
      </c>
      <c r="C4609">
        <v>303643.89</v>
      </c>
      <c r="D4609" t="s">
        <v>1537</v>
      </c>
      <c r="E4609" t="s">
        <v>1538</v>
      </c>
      <c r="F4609" t="s">
        <v>1539</v>
      </c>
    </row>
    <row r="4610" spans="1:6">
      <c r="A4610">
        <v>151</v>
      </c>
      <c r="B4610" t="s">
        <v>1611</v>
      </c>
      <c r="C4610">
        <v>587307.36</v>
      </c>
      <c r="D4610" t="s">
        <v>1540</v>
      </c>
      <c r="E4610" t="s">
        <v>1538</v>
      </c>
      <c r="F4610" t="s">
        <v>1541</v>
      </c>
    </row>
    <row r="4611" spans="1:6">
      <c r="A4611">
        <v>151</v>
      </c>
      <c r="B4611" t="s">
        <v>1611</v>
      </c>
      <c r="C4611">
        <v>1419970.84</v>
      </c>
      <c r="D4611" t="s">
        <v>1431</v>
      </c>
      <c r="E4611" t="s">
        <v>1432</v>
      </c>
      <c r="F4611" t="s">
        <v>1433</v>
      </c>
    </row>
    <row r="4612" spans="1:6">
      <c r="A4612">
        <v>151</v>
      </c>
      <c r="B4612" t="s">
        <v>1611</v>
      </c>
      <c r="C4612">
        <v>3092424.11</v>
      </c>
      <c r="D4612" t="s">
        <v>1434</v>
      </c>
      <c r="E4612" t="s">
        <v>1432</v>
      </c>
      <c r="F4612" t="s">
        <v>1435</v>
      </c>
    </row>
    <row r="4613" spans="1:6">
      <c r="A4613">
        <v>151</v>
      </c>
      <c r="B4613" t="s">
        <v>1611</v>
      </c>
      <c r="C4613">
        <v>18000</v>
      </c>
      <c r="D4613" t="s">
        <v>1047</v>
      </c>
      <c r="E4613" t="s">
        <v>1577</v>
      </c>
      <c r="F4613" t="s">
        <v>1354</v>
      </c>
    </row>
    <row r="4614" spans="1:6">
      <c r="A4614">
        <v>151</v>
      </c>
      <c r="B4614" t="s">
        <v>1611</v>
      </c>
      <c r="C4614">
        <v>27790</v>
      </c>
      <c r="D4614" t="s">
        <v>1413</v>
      </c>
      <c r="E4614" t="s">
        <v>1414</v>
      </c>
      <c r="F4614" t="s">
        <v>1578</v>
      </c>
    </row>
    <row r="4615" spans="1:6">
      <c r="A4615">
        <v>151</v>
      </c>
      <c r="B4615" t="s">
        <v>1611</v>
      </c>
      <c r="C4615">
        <v>5504094</v>
      </c>
      <c r="D4615" t="s">
        <v>1579</v>
      </c>
      <c r="E4615" t="s">
        <v>1577</v>
      </c>
      <c r="F4615" t="s">
        <v>1580</v>
      </c>
    </row>
    <row r="4616" spans="1:6">
      <c r="A4616">
        <v>151</v>
      </c>
      <c r="B4616" t="s">
        <v>1611</v>
      </c>
      <c r="C4616">
        <v>140800</v>
      </c>
      <c r="D4616" t="s">
        <v>1356</v>
      </c>
      <c r="E4616" t="s">
        <v>1357</v>
      </c>
      <c r="F4616" t="s">
        <v>1358</v>
      </c>
    </row>
    <row r="4617" spans="1:6">
      <c r="A4617">
        <v>151</v>
      </c>
      <c r="B4617" t="s">
        <v>1611</v>
      </c>
      <c r="C4617">
        <v>65000</v>
      </c>
      <c r="D4617" t="s">
        <v>1359</v>
      </c>
      <c r="E4617" t="s">
        <v>1357</v>
      </c>
      <c r="F4617" t="s">
        <v>1360</v>
      </c>
    </row>
    <row r="4618" spans="1:6">
      <c r="A4618">
        <v>151</v>
      </c>
      <c r="B4618" t="s">
        <v>1611</v>
      </c>
      <c r="C4618">
        <v>436447</v>
      </c>
      <c r="D4618" t="s">
        <v>1436</v>
      </c>
      <c r="E4618" t="s">
        <v>1437</v>
      </c>
      <c r="F4618" t="s">
        <v>1438</v>
      </c>
    </row>
    <row r="4619" spans="1:6">
      <c r="A4619">
        <v>151</v>
      </c>
      <c r="B4619" t="s">
        <v>1611</v>
      </c>
      <c r="C4619">
        <v>30310</v>
      </c>
      <c r="D4619" t="s">
        <v>1361</v>
      </c>
      <c r="E4619" t="s">
        <v>1440</v>
      </c>
      <c r="F4619" t="s">
        <v>1362</v>
      </c>
    </row>
    <row r="4620" spans="1:6">
      <c r="A4620">
        <v>151</v>
      </c>
      <c r="B4620" t="s">
        <v>1611</v>
      </c>
      <c r="C4620">
        <v>54999</v>
      </c>
      <c r="D4620" t="s">
        <v>1256</v>
      </c>
      <c r="E4620" t="s">
        <v>1257</v>
      </c>
      <c r="F4620" t="s">
        <v>1258</v>
      </c>
    </row>
    <row r="4621" spans="1:6">
      <c r="A4621">
        <v>151</v>
      </c>
      <c r="B4621" t="s">
        <v>1611</v>
      </c>
      <c r="C4621">
        <v>52556</v>
      </c>
      <c r="D4621" t="s">
        <v>1259</v>
      </c>
      <c r="E4621" t="s">
        <v>1257</v>
      </c>
      <c r="F4621" t="s">
        <v>1258</v>
      </c>
    </row>
    <row r="4622" spans="1:6">
      <c r="A4622">
        <v>151</v>
      </c>
      <c r="B4622" t="s">
        <v>1611</v>
      </c>
      <c r="C4622">
        <v>66220</v>
      </c>
      <c r="D4622" t="s">
        <v>1260</v>
      </c>
      <c r="E4622" t="s">
        <v>1257</v>
      </c>
      <c r="F4622" t="s">
        <v>1258</v>
      </c>
    </row>
    <row r="4623" spans="1:6">
      <c r="A4623">
        <v>151</v>
      </c>
      <c r="B4623" t="s">
        <v>1611</v>
      </c>
      <c r="C4623">
        <v>128195</v>
      </c>
      <c r="D4623" t="s">
        <v>1442</v>
      </c>
      <c r="E4623" t="s">
        <v>1582</v>
      </c>
      <c r="F4623" t="s">
        <v>1443</v>
      </c>
    </row>
    <row r="4624" spans="1:6">
      <c r="A4624">
        <v>151</v>
      </c>
      <c r="B4624" t="s">
        <v>1611</v>
      </c>
      <c r="C4624">
        <v>27200</v>
      </c>
      <c r="D4624" t="s">
        <v>1444</v>
      </c>
      <c r="E4624" t="s">
        <v>1445</v>
      </c>
      <c r="F4624" t="s">
        <v>1443</v>
      </c>
    </row>
    <row r="4625" spans="1:6">
      <c r="A4625">
        <v>151</v>
      </c>
      <c r="B4625" t="s">
        <v>1611</v>
      </c>
      <c r="C4625">
        <v>42906</v>
      </c>
      <c r="D4625" t="s">
        <v>1581</v>
      </c>
      <c r="E4625" t="s">
        <v>1582</v>
      </c>
      <c r="F4625" t="s">
        <v>1583</v>
      </c>
    </row>
    <row r="4626" spans="1:6">
      <c r="A4626">
        <v>151</v>
      </c>
      <c r="B4626" t="s">
        <v>1611</v>
      </c>
      <c r="C4626">
        <v>71688</v>
      </c>
      <c r="D4626" t="s">
        <v>1194</v>
      </c>
      <c r="E4626" t="s">
        <v>1265</v>
      </c>
      <c r="F4626" t="s">
        <v>1195</v>
      </c>
    </row>
    <row r="4627" spans="1:6">
      <c r="A4627">
        <v>151</v>
      </c>
      <c r="B4627" t="s">
        <v>1611</v>
      </c>
      <c r="C4627">
        <v>62548</v>
      </c>
      <c r="D4627" t="s">
        <v>1118</v>
      </c>
      <c r="E4627" t="s">
        <v>1265</v>
      </c>
      <c r="F4627" t="s">
        <v>1195</v>
      </c>
    </row>
    <row r="4628" spans="1:6">
      <c r="A4628">
        <v>151</v>
      </c>
      <c r="B4628" t="s">
        <v>1611</v>
      </c>
      <c r="C4628">
        <v>198136</v>
      </c>
      <c r="D4628" t="s">
        <v>1446</v>
      </c>
      <c r="E4628" t="s">
        <v>1447</v>
      </c>
      <c r="F4628" t="s">
        <v>1448</v>
      </c>
    </row>
    <row r="4629" spans="1:6">
      <c r="A4629">
        <v>151</v>
      </c>
      <c r="B4629" t="s">
        <v>1611</v>
      </c>
      <c r="C4629">
        <v>189939</v>
      </c>
      <c r="D4629" t="s">
        <v>1266</v>
      </c>
      <c r="E4629" t="s">
        <v>1265</v>
      </c>
      <c r="F4629" t="s">
        <v>1448</v>
      </c>
    </row>
    <row r="4630" spans="1:6">
      <c r="A4630">
        <v>151</v>
      </c>
      <c r="B4630" t="s">
        <v>1611</v>
      </c>
      <c r="C4630">
        <v>841257</v>
      </c>
      <c r="D4630" t="s">
        <v>1584</v>
      </c>
      <c r="E4630" t="s">
        <v>1585</v>
      </c>
      <c r="F4630" t="s">
        <v>1586</v>
      </c>
    </row>
    <row r="4631" spans="1:6">
      <c r="A4631">
        <v>151</v>
      </c>
      <c r="B4631" t="s">
        <v>1611</v>
      </c>
      <c r="C4631">
        <v>800165</v>
      </c>
      <c r="D4631" t="s">
        <v>1587</v>
      </c>
      <c r="E4631" t="s">
        <v>1585</v>
      </c>
      <c r="F4631" t="s">
        <v>1588</v>
      </c>
    </row>
    <row r="4632" spans="1:6">
      <c r="A4632">
        <v>151</v>
      </c>
      <c r="B4632" t="s">
        <v>1611</v>
      </c>
      <c r="C4632">
        <v>139594</v>
      </c>
      <c r="D4632" t="s">
        <v>1119</v>
      </c>
      <c r="E4632" t="s">
        <v>1450</v>
      </c>
      <c r="F4632" t="s">
        <v>1451</v>
      </c>
    </row>
    <row r="4633" spans="1:6">
      <c r="A4633">
        <v>151</v>
      </c>
      <c r="B4633" t="s">
        <v>1611</v>
      </c>
      <c r="C4633">
        <v>128747</v>
      </c>
      <c r="D4633" t="s">
        <v>1452</v>
      </c>
      <c r="E4633" t="s">
        <v>1450</v>
      </c>
      <c r="F4633" t="s">
        <v>1453</v>
      </c>
    </row>
    <row r="4634" spans="1:6">
      <c r="A4634">
        <v>151</v>
      </c>
      <c r="B4634" t="s">
        <v>1611</v>
      </c>
      <c r="C4634">
        <v>138176</v>
      </c>
      <c r="D4634" t="s">
        <v>1267</v>
      </c>
      <c r="E4634" t="s">
        <v>1450</v>
      </c>
      <c r="F4634" t="s">
        <v>1453</v>
      </c>
    </row>
    <row r="4635" spans="1:6">
      <c r="A4635">
        <v>151</v>
      </c>
      <c r="B4635" t="s">
        <v>1611</v>
      </c>
      <c r="C4635">
        <v>104000</v>
      </c>
      <c r="D4635" t="s">
        <v>1268</v>
      </c>
      <c r="E4635" t="s">
        <v>1450</v>
      </c>
      <c r="F4635" t="s">
        <v>1453</v>
      </c>
    </row>
    <row r="4636" spans="1:6">
      <c r="A4636">
        <v>151</v>
      </c>
      <c r="B4636" t="s">
        <v>1611</v>
      </c>
      <c r="C4636">
        <v>205109</v>
      </c>
      <c r="D4636" t="s">
        <v>1454</v>
      </c>
      <c r="E4636" t="s">
        <v>1455</v>
      </c>
      <c r="F4636" t="s">
        <v>1456</v>
      </c>
    </row>
    <row r="4637" spans="1:6">
      <c r="A4637">
        <v>151</v>
      </c>
      <c r="B4637" t="s">
        <v>1611</v>
      </c>
      <c r="C4637">
        <v>200275</v>
      </c>
      <c r="D4637" t="s">
        <v>1457</v>
      </c>
      <c r="E4637" t="s">
        <v>1455</v>
      </c>
      <c r="F4637" t="s">
        <v>1458</v>
      </c>
    </row>
    <row r="4638" spans="1:6">
      <c r="A4638">
        <v>151</v>
      </c>
      <c r="B4638" t="s">
        <v>1611</v>
      </c>
      <c r="C4638">
        <v>218</v>
      </c>
      <c r="D4638" t="s">
        <v>1048</v>
      </c>
      <c r="E4638" t="s">
        <v>1288</v>
      </c>
      <c r="F4638" t="s">
        <v>1049</v>
      </c>
    </row>
    <row r="4639" spans="1:6">
      <c r="A4639">
        <v>151</v>
      </c>
      <c r="B4639" t="s">
        <v>1611</v>
      </c>
      <c r="C4639">
        <v>62395</v>
      </c>
      <c r="D4639" t="s">
        <v>1589</v>
      </c>
      <c r="E4639" t="s">
        <v>1590</v>
      </c>
      <c r="F4639" t="s">
        <v>1591</v>
      </c>
    </row>
    <row r="4640" spans="1:6">
      <c r="A4640">
        <v>151</v>
      </c>
      <c r="B4640" t="s">
        <v>1611</v>
      </c>
      <c r="C4640">
        <v>132751</v>
      </c>
      <c r="D4640" t="s">
        <v>1592</v>
      </c>
      <c r="E4640" t="s">
        <v>1590</v>
      </c>
      <c r="F4640" t="s">
        <v>1593</v>
      </c>
    </row>
    <row r="4641" spans="1:6">
      <c r="A4641">
        <v>151</v>
      </c>
      <c r="B4641" t="s">
        <v>1611</v>
      </c>
      <c r="C4641">
        <v>51891</v>
      </c>
      <c r="D4641" t="s">
        <v>1594</v>
      </c>
      <c r="E4641" t="s">
        <v>1595</v>
      </c>
      <c r="F4641" t="s">
        <v>1596</v>
      </c>
    </row>
    <row r="4642" spans="1:6">
      <c r="A4642">
        <v>151</v>
      </c>
      <c r="B4642" t="s">
        <v>1611</v>
      </c>
      <c r="C4642">
        <v>45975</v>
      </c>
      <c r="D4642" t="s">
        <v>1597</v>
      </c>
      <c r="E4642" t="s">
        <v>1595</v>
      </c>
      <c r="F4642" t="s">
        <v>1598</v>
      </c>
    </row>
    <row r="4643" spans="1:6">
      <c r="A4643">
        <v>151</v>
      </c>
      <c r="B4643" t="s">
        <v>1611</v>
      </c>
      <c r="C4643">
        <v>3281289</v>
      </c>
      <c r="D4643" t="s">
        <v>1599</v>
      </c>
      <c r="E4643" t="s">
        <v>1600</v>
      </c>
      <c r="F4643" t="s">
        <v>1601</v>
      </c>
    </row>
    <row r="4644" spans="1:6">
      <c r="A4644">
        <v>151</v>
      </c>
      <c r="B4644" t="s">
        <v>1611</v>
      </c>
      <c r="C4644">
        <v>1553907</v>
      </c>
      <c r="D4644" t="s">
        <v>1602</v>
      </c>
      <c r="E4644" t="s">
        <v>1600</v>
      </c>
      <c r="F4644" t="s">
        <v>1603</v>
      </c>
    </row>
    <row r="4645" spans="1:6">
      <c r="A4645">
        <v>151</v>
      </c>
      <c r="B4645" t="s">
        <v>1611</v>
      </c>
      <c r="C4645">
        <v>136508</v>
      </c>
      <c r="D4645" t="s">
        <v>1459</v>
      </c>
      <c r="E4645" t="s">
        <v>1605</v>
      </c>
      <c r="F4645" t="s">
        <v>1460</v>
      </c>
    </row>
    <row r="4646" spans="1:6">
      <c r="A4646">
        <v>151</v>
      </c>
      <c r="B4646" t="s">
        <v>1611</v>
      </c>
      <c r="C4646">
        <v>6000</v>
      </c>
      <c r="D4646" t="s">
        <v>1466</v>
      </c>
      <c r="E4646" t="s">
        <v>1467</v>
      </c>
      <c r="F4646" t="s">
        <v>1468</v>
      </c>
    </row>
    <row r="4647" spans="1:6">
      <c r="A4647">
        <v>151</v>
      </c>
      <c r="B4647" t="s">
        <v>1611</v>
      </c>
      <c r="C4647">
        <v>38778</v>
      </c>
      <c r="D4647" t="s">
        <v>1273</v>
      </c>
      <c r="E4647" t="s">
        <v>1274</v>
      </c>
      <c r="F4647" t="s">
        <v>1275</v>
      </c>
    </row>
    <row r="4648" spans="1:6">
      <c r="A4648">
        <v>151</v>
      </c>
      <c r="B4648" t="s">
        <v>1611</v>
      </c>
      <c r="C4648">
        <v>1764</v>
      </c>
      <c r="D4648" t="s">
        <v>1472</v>
      </c>
      <c r="E4648" t="s">
        <v>1473</v>
      </c>
      <c r="F4648" t="s">
        <v>1474</v>
      </c>
    </row>
    <row r="4649" spans="1:6">
      <c r="A4649">
        <v>151</v>
      </c>
      <c r="B4649" t="s">
        <v>1611</v>
      </c>
      <c r="C4649">
        <v>12000</v>
      </c>
      <c r="D4649" t="s">
        <v>1050</v>
      </c>
      <c r="E4649" t="s">
        <v>1473</v>
      </c>
      <c r="F4649" t="s">
        <v>1474</v>
      </c>
    </row>
    <row r="4650" spans="1:6">
      <c r="A4650">
        <v>151</v>
      </c>
      <c r="B4650" t="s">
        <v>1611</v>
      </c>
      <c r="C4650">
        <v>12000</v>
      </c>
      <c r="D4650" t="s">
        <v>1051</v>
      </c>
      <c r="E4650" t="s">
        <v>1473</v>
      </c>
      <c r="F4650" t="s">
        <v>1474</v>
      </c>
    </row>
    <row r="4651" spans="1:6">
      <c r="A4651">
        <v>151</v>
      </c>
      <c r="B4651" t="s">
        <v>1611</v>
      </c>
      <c r="C4651">
        <v>1414.76</v>
      </c>
      <c r="D4651" t="s">
        <v>1379</v>
      </c>
      <c r="E4651" t="s">
        <v>1380</v>
      </c>
      <c r="F4651" t="s">
        <v>1381</v>
      </c>
    </row>
    <row r="4652" spans="1:6">
      <c r="A4652">
        <v>151</v>
      </c>
      <c r="B4652" t="s">
        <v>1611</v>
      </c>
      <c r="C4652">
        <v>1414.73</v>
      </c>
      <c r="D4652" t="s">
        <v>1475</v>
      </c>
      <c r="E4652" t="s">
        <v>1476</v>
      </c>
      <c r="F4652" t="s">
        <v>1477</v>
      </c>
    </row>
    <row r="4653" spans="1:6">
      <c r="A4653">
        <v>151</v>
      </c>
      <c r="B4653" t="s">
        <v>1611</v>
      </c>
      <c r="C4653">
        <v>82815.02</v>
      </c>
      <c r="D4653" t="s">
        <v>1365</v>
      </c>
      <c r="E4653" t="s">
        <v>1366</v>
      </c>
      <c r="F4653" t="s">
        <v>1367</v>
      </c>
    </row>
    <row r="4654" spans="1:6">
      <c r="A4654">
        <v>151</v>
      </c>
      <c r="B4654" t="s">
        <v>1611</v>
      </c>
      <c r="C4654">
        <v>1054781</v>
      </c>
      <c r="D4654" t="s">
        <v>1607</v>
      </c>
      <c r="E4654" t="s">
        <v>1608</v>
      </c>
      <c r="F4654" t="s">
        <v>1609</v>
      </c>
    </row>
    <row r="4655" spans="1:6">
      <c r="A4655">
        <v>151</v>
      </c>
      <c r="B4655" t="s">
        <v>1611</v>
      </c>
      <c r="C4655">
        <v>4094506</v>
      </c>
      <c r="D4655" t="s">
        <v>1610</v>
      </c>
      <c r="E4655" t="s">
        <v>1481</v>
      </c>
      <c r="F4655" t="s">
        <v>1482</v>
      </c>
    </row>
    <row r="4656" spans="1:6">
      <c r="A4656">
        <v>152</v>
      </c>
      <c r="B4656" t="s">
        <v>1612</v>
      </c>
      <c r="C4656">
        <v>27043</v>
      </c>
      <c r="D4656" t="s">
        <v>1486</v>
      </c>
      <c r="E4656" t="s">
        <v>1487</v>
      </c>
      <c r="F4656" t="s">
        <v>1488</v>
      </c>
    </row>
    <row r="4657" spans="1:6">
      <c r="A4657">
        <v>152</v>
      </c>
      <c r="B4657" t="s">
        <v>1612</v>
      </c>
      <c r="C4657">
        <v>12648</v>
      </c>
      <c r="D4657" t="s">
        <v>1489</v>
      </c>
      <c r="E4657" t="s">
        <v>1490</v>
      </c>
      <c r="F4657" t="s">
        <v>1491</v>
      </c>
    </row>
    <row r="4658" spans="1:6">
      <c r="A4658">
        <v>152</v>
      </c>
      <c r="B4658" t="s">
        <v>1612</v>
      </c>
      <c r="C4658">
        <v>107335</v>
      </c>
      <c r="D4658" t="s">
        <v>1567</v>
      </c>
      <c r="E4658" t="s">
        <v>1568</v>
      </c>
      <c r="F4658" t="s">
        <v>1569</v>
      </c>
    </row>
    <row r="4659" spans="1:6">
      <c r="A4659">
        <v>152</v>
      </c>
      <c r="B4659" t="s">
        <v>1612</v>
      </c>
      <c r="C4659">
        <v>9188</v>
      </c>
      <c r="D4659" t="s">
        <v>1496</v>
      </c>
      <c r="E4659" t="s">
        <v>1497</v>
      </c>
      <c r="F4659" t="s">
        <v>1498</v>
      </c>
    </row>
    <row r="4660" spans="1:6">
      <c r="A4660">
        <v>152</v>
      </c>
      <c r="B4660" t="s">
        <v>1612</v>
      </c>
      <c r="C4660">
        <v>786365</v>
      </c>
      <c r="D4660" t="s">
        <v>1570</v>
      </c>
      <c r="E4660" t="s">
        <v>1571</v>
      </c>
      <c r="F4660" t="s">
        <v>1572</v>
      </c>
    </row>
    <row r="4661" spans="1:6">
      <c r="A4661">
        <v>152</v>
      </c>
      <c r="B4661" t="s">
        <v>1612</v>
      </c>
      <c r="C4661">
        <v>435404</v>
      </c>
      <c r="D4661" t="s">
        <v>1520</v>
      </c>
      <c r="E4661" t="s">
        <v>1521</v>
      </c>
      <c r="F4661" t="s">
        <v>1522</v>
      </c>
    </row>
    <row r="4662" spans="1:6">
      <c r="A4662">
        <v>152</v>
      </c>
      <c r="B4662" t="s">
        <v>1612</v>
      </c>
      <c r="C4662">
        <v>197945</v>
      </c>
      <c r="D4662" t="s">
        <v>1573</v>
      </c>
      <c r="E4662" t="s">
        <v>1574</v>
      </c>
      <c r="F4662" t="s">
        <v>1575</v>
      </c>
    </row>
    <row r="4663" spans="1:6">
      <c r="A4663">
        <v>152</v>
      </c>
      <c r="B4663" t="s">
        <v>1612</v>
      </c>
      <c r="C4663">
        <v>6692</v>
      </c>
      <c r="D4663" t="s">
        <v>1523</v>
      </c>
      <c r="E4663" t="s">
        <v>1521</v>
      </c>
      <c r="F4663" t="s">
        <v>1524</v>
      </c>
    </row>
    <row r="4664" spans="1:6">
      <c r="A4664">
        <v>152</v>
      </c>
      <c r="B4664" t="s">
        <v>1612</v>
      </c>
      <c r="C4664">
        <v>29608</v>
      </c>
      <c r="D4664" t="s">
        <v>1250</v>
      </c>
      <c r="E4664" t="s">
        <v>1521</v>
      </c>
      <c r="F4664" t="s">
        <v>1251</v>
      </c>
    </row>
    <row r="4665" spans="1:6">
      <c r="A4665">
        <v>152</v>
      </c>
      <c r="B4665" t="s">
        <v>1612</v>
      </c>
      <c r="C4665">
        <v>14000</v>
      </c>
      <c r="D4665" t="s">
        <v>1528</v>
      </c>
      <c r="E4665" t="s">
        <v>1529</v>
      </c>
      <c r="F4665" t="s">
        <v>1530</v>
      </c>
    </row>
    <row r="4666" spans="1:6">
      <c r="A4666">
        <v>152</v>
      </c>
      <c r="B4666" t="s">
        <v>1612</v>
      </c>
      <c r="C4666">
        <v>49893</v>
      </c>
      <c r="D4666" t="s">
        <v>1531</v>
      </c>
      <c r="E4666" t="s">
        <v>1532</v>
      </c>
      <c r="F4666" t="s">
        <v>1533</v>
      </c>
    </row>
    <row r="4667" spans="1:6">
      <c r="A4667">
        <v>152</v>
      </c>
      <c r="B4667" t="s">
        <v>1612</v>
      </c>
      <c r="C4667">
        <v>74100</v>
      </c>
      <c r="D4667" t="s">
        <v>1387</v>
      </c>
      <c r="E4667" t="s">
        <v>1388</v>
      </c>
      <c r="F4667" t="s">
        <v>1389</v>
      </c>
    </row>
    <row r="4668" spans="1:6">
      <c r="A4668">
        <v>152</v>
      </c>
      <c r="B4668" t="s">
        <v>1612</v>
      </c>
      <c r="C4668">
        <v>47376</v>
      </c>
      <c r="D4668" t="s">
        <v>1390</v>
      </c>
      <c r="E4668" t="s">
        <v>1391</v>
      </c>
      <c r="F4668" t="s">
        <v>1392</v>
      </c>
    </row>
    <row r="4669" spans="1:6">
      <c r="A4669">
        <v>152</v>
      </c>
      <c r="B4669" t="s">
        <v>1612</v>
      </c>
      <c r="C4669">
        <v>203.26</v>
      </c>
      <c r="D4669" t="s">
        <v>1374</v>
      </c>
      <c r="E4669" t="s">
        <v>1375</v>
      </c>
      <c r="F4669" t="s">
        <v>1376</v>
      </c>
    </row>
    <row r="4670" spans="1:6">
      <c r="A4670">
        <v>152</v>
      </c>
      <c r="B4670" t="s">
        <v>1612</v>
      </c>
      <c r="C4670">
        <v>653.20000000000005</v>
      </c>
      <c r="D4670" t="s">
        <v>1377</v>
      </c>
      <c r="E4670" t="s">
        <v>1375</v>
      </c>
      <c r="F4670" t="s">
        <v>1378</v>
      </c>
    </row>
    <row r="4671" spans="1:6">
      <c r="A4671">
        <v>152</v>
      </c>
      <c r="B4671" t="s">
        <v>1612</v>
      </c>
      <c r="C4671">
        <v>8934.3799999999992</v>
      </c>
      <c r="D4671" t="s">
        <v>1537</v>
      </c>
      <c r="E4671" t="s">
        <v>1538</v>
      </c>
      <c r="F4671" t="s">
        <v>1539</v>
      </c>
    </row>
    <row r="4672" spans="1:6">
      <c r="A4672">
        <v>152</v>
      </c>
      <c r="B4672" t="s">
        <v>1612</v>
      </c>
      <c r="C4672">
        <v>17701.169999999998</v>
      </c>
      <c r="D4672" t="s">
        <v>1540</v>
      </c>
      <c r="E4672" t="s">
        <v>1538</v>
      </c>
      <c r="F4672" t="s">
        <v>1541</v>
      </c>
    </row>
    <row r="4673" spans="1:6">
      <c r="A4673">
        <v>152</v>
      </c>
      <c r="B4673" t="s">
        <v>1612</v>
      </c>
      <c r="C4673">
        <v>51279.88</v>
      </c>
      <c r="D4673" t="s">
        <v>1431</v>
      </c>
      <c r="E4673" t="s">
        <v>1432</v>
      </c>
      <c r="F4673" t="s">
        <v>1433</v>
      </c>
    </row>
    <row r="4674" spans="1:6">
      <c r="A4674">
        <v>152</v>
      </c>
      <c r="B4674" t="s">
        <v>1612</v>
      </c>
      <c r="C4674">
        <v>120525.41</v>
      </c>
      <c r="D4674" t="s">
        <v>1434</v>
      </c>
      <c r="E4674" t="s">
        <v>1432</v>
      </c>
      <c r="F4674" t="s">
        <v>1435</v>
      </c>
    </row>
    <row r="4675" spans="1:6">
      <c r="A4675">
        <v>152</v>
      </c>
      <c r="B4675" t="s">
        <v>1612</v>
      </c>
      <c r="C4675">
        <v>5040</v>
      </c>
      <c r="D4675" t="s">
        <v>1576</v>
      </c>
      <c r="E4675" t="s">
        <v>1577</v>
      </c>
      <c r="F4675" t="s">
        <v>1578</v>
      </c>
    </row>
    <row r="4676" spans="1:6">
      <c r="A4676">
        <v>152</v>
      </c>
      <c r="B4676" t="s">
        <v>1612</v>
      </c>
      <c r="C4676">
        <v>279586</v>
      </c>
      <c r="D4676" t="s">
        <v>1579</v>
      </c>
      <c r="E4676" t="s">
        <v>1577</v>
      </c>
      <c r="F4676" t="s">
        <v>1580</v>
      </c>
    </row>
    <row r="4677" spans="1:6">
      <c r="A4677">
        <v>152</v>
      </c>
      <c r="B4677" t="s">
        <v>1612</v>
      </c>
      <c r="C4677">
        <v>28159</v>
      </c>
      <c r="D4677" t="s">
        <v>1436</v>
      </c>
      <c r="E4677" t="s">
        <v>1437</v>
      </c>
      <c r="F4677" t="s">
        <v>1438</v>
      </c>
    </row>
    <row r="4678" spans="1:6">
      <c r="A4678">
        <v>152</v>
      </c>
      <c r="B4678" t="s">
        <v>1612</v>
      </c>
      <c r="C4678">
        <v>5567</v>
      </c>
      <c r="D4678" t="s">
        <v>1442</v>
      </c>
      <c r="E4678" t="s">
        <v>1582</v>
      </c>
      <c r="F4678" t="s">
        <v>1443</v>
      </c>
    </row>
    <row r="4679" spans="1:6">
      <c r="A4679">
        <v>152</v>
      </c>
      <c r="B4679" t="s">
        <v>1612</v>
      </c>
      <c r="C4679">
        <v>14963</v>
      </c>
      <c r="D4679" t="s">
        <v>1584</v>
      </c>
      <c r="E4679" t="s">
        <v>1585</v>
      </c>
      <c r="F4679" t="s">
        <v>1586</v>
      </c>
    </row>
    <row r="4680" spans="1:6">
      <c r="A4680">
        <v>152</v>
      </c>
      <c r="B4680" t="s">
        <v>1612</v>
      </c>
      <c r="C4680">
        <v>60772</v>
      </c>
      <c r="D4680" t="s">
        <v>1587</v>
      </c>
      <c r="E4680" t="s">
        <v>1585</v>
      </c>
      <c r="F4680" t="s">
        <v>1588</v>
      </c>
    </row>
    <row r="4681" spans="1:6">
      <c r="A4681">
        <v>152</v>
      </c>
      <c r="B4681" t="s">
        <v>1612</v>
      </c>
      <c r="C4681">
        <v>186</v>
      </c>
      <c r="D4681" t="s">
        <v>1589</v>
      </c>
      <c r="E4681" t="s">
        <v>1590</v>
      </c>
      <c r="F4681" t="s">
        <v>1591</v>
      </c>
    </row>
    <row r="4682" spans="1:6">
      <c r="A4682">
        <v>152</v>
      </c>
      <c r="B4682" t="s">
        <v>1612</v>
      </c>
      <c r="C4682">
        <v>9429</v>
      </c>
      <c r="D4682" t="s">
        <v>1592</v>
      </c>
      <c r="E4682" t="s">
        <v>1590</v>
      </c>
      <c r="F4682" t="s">
        <v>1593</v>
      </c>
    </row>
    <row r="4683" spans="1:6">
      <c r="A4683">
        <v>152</v>
      </c>
      <c r="B4683" t="s">
        <v>1612</v>
      </c>
      <c r="C4683">
        <v>3594</v>
      </c>
      <c r="D4683" t="s">
        <v>1594</v>
      </c>
      <c r="E4683" t="s">
        <v>1595</v>
      </c>
      <c r="F4683" t="s">
        <v>1596</v>
      </c>
    </row>
    <row r="4684" spans="1:6">
      <c r="A4684">
        <v>152</v>
      </c>
      <c r="B4684" t="s">
        <v>1612</v>
      </c>
      <c r="C4684">
        <v>130392</v>
      </c>
      <c r="D4684" t="s">
        <v>1599</v>
      </c>
      <c r="E4684" t="s">
        <v>1600</v>
      </c>
      <c r="F4684" t="s">
        <v>1601</v>
      </c>
    </row>
    <row r="4685" spans="1:6">
      <c r="A4685">
        <v>152</v>
      </c>
      <c r="B4685" t="s">
        <v>1612</v>
      </c>
      <c r="C4685">
        <v>390000</v>
      </c>
      <c r="D4685" t="s">
        <v>1602</v>
      </c>
      <c r="E4685" t="s">
        <v>1600</v>
      </c>
      <c r="F4685" t="s">
        <v>1603</v>
      </c>
    </row>
    <row r="4686" spans="1:6">
      <c r="A4686">
        <v>152</v>
      </c>
      <c r="B4686" t="s">
        <v>1612</v>
      </c>
      <c r="C4686">
        <v>18810</v>
      </c>
      <c r="D4686" t="s">
        <v>1604</v>
      </c>
      <c r="E4686" t="s">
        <v>1605</v>
      </c>
      <c r="F4686" t="s">
        <v>1606</v>
      </c>
    </row>
    <row r="4687" spans="1:6">
      <c r="A4687">
        <v>152</v>
      </c>
      <c r="B4687" t="s">
        <v>1612</v>
      </c>
      <c r="C4687">
        <v>1500</v>
      </c>
      <c r="D4687" t="s">
        <v>1466</v>
      </c>
      <c r="E4687" t="s">
        <v>1467</v>
      </c>
      <c r="F4687" t="s">
        <v>1468</v>
      </c>
    </row>
    <row r="4688" spans="1:6">
      <c r="A4688">
        <v>152</v>
      </c>
      <c r="B4688" t="s">
        <v>1612</v>
      </c>
      <c r="C4688">
        <v>4922965</v>
      </c>
      <c r="D4688" t="s">
        <v>1610</v>
      </c>
      <c r="E4688" t="s">
        <v>1481</v>
      </c>
      <c r="F4688" t="s">
        <v>1482</v>
      </c>
    </row>
    <row r="4689" spans="1:6">
      <c r="A4689">
        <v>152</v>
      </c>
      <c r="B4689" t="s">
        <v>1612</v>
      </c>
      <c r="C4689">
        <v>3655992</v>
      </c>
      <c r="D4689" t="s">
        <v>1418</v>
      </c>
      <c r="E4689" t="s">
        <v>1419</v>
      </c>
      <c r="F4689" t="s">
        <v>1420</v>
      </c>
    </row>
    <row r="4690" spans="1:6">
      <c r="A4690">
        <v>153</v>
      </c>
      <c r="B4690" t="s">
        <v>1613</v>
      </c>
      <c r="C4690">
        <v>31716</v>
      </c>
      <c r="D4690" t="s">
        <v>1486</v>
      </c>
      <c r="E4690" t="s">
        <v>1487</v>
      </c>
      <c r="F4690" t="s">
        <v>1488</v>
      </c>
    </row>
    <row r="4691" spans="1:6">
      <c r="A4691">
        <v>153</v>
      </c>
      <c r="B4691" t="s">
        <v>1613</v>
      </c>
      <c r="C4691">
        <v>14834</v>
      </c>
      <c r="D4691" t="s">
        <v>1489</v>
      </c>
      <c r="E4691" t="s">
        <v>1490</v>
      </c>
      <c r="F4691" t="s">
        <v>1491</v>
      </c>
    </row>
    <row r="4692" spans="1:6">
      <c r="A4692">
        <v>153</v>
      </c>
      <c r="B4692" t="s">
        <v>1613</v>
      </c>
      <c r="C4692">
        <v>218571</v>
      </c>
      <c r="D4692" t="s">
        <v>1567</v>
      </c>
      <c r="E4692" t="s">
        <v>1568</v>
      </c>
      <c r="F4692" t="s">
        <v>1569</v>
      </c>
    </row>
    <row r="4693" spans="1:6">
      <c r="A4693">
        <v>153</v>
      </c>
      <c r="B4693" t="s">
        <v>1613</v>
      </c>
      <c r="C4693">
        <v>35953</v>
      </c>
      <c r="D4693" t="s">
        <v>1496</v>
      </c>
      <c r="E4693" t="s">
        <v>1497</v>
      </c>
      <c r="F4693" t="s">
        <v>1498</v>
      </c>
    </row>
    <row r="4694" spans="1:6">
      <c r="A4694">
        <v>153</v>
      </c>
      <c r="B4694" t="s">
        <v>1613</v>
      </c>
      <c r="C4694">
        <v>10062438</v>
      </c>
      <c r="D4694" t="s">
        <v>1570</v>
      </c>
      <c r="E4694" t="s">
        <v>1571</v>
      </c>
      <c r="F4694" t="s">
        <v>1572</v>
      </c>
    </row>
    <row r="4695" spans="1:6">
      <c r="A4695">
        <v>153</v>
      </c>
      <c r="B4695" t="s">
        <v>1613</v>
      </c>
      <c r="C4695">
        <v>61017</v>
      </c>
      <c r="D4695" t="s">
        <v>1520</v>
      </c>
      <c r="E4695" t="s">
        <v>1521</v>
      </c>
      <c r="F4695" t="s">
        <v>1522</v>
      </c>
    </row>
    <row r="4696" spans="1:6">
      <c r="A4696">
        <v>153</v>
      </c>
      <c r="B4696" t="s">
        <v>1613</v>
      </c>
      <c r="C4696">
        <v>351255</v>
      </c>
      <c r="D4696" t="s">
        <v>1573</v>
      </c>
      <c r="E4696" t="s">
        <v>1574</v>
      </c>
      <c r="F4696" t="s">
        <v>1575</v>
      </c>
    </row>
    <row r="4697" spans="1:6">
      <c r="A4697">
        <v>153</v>
      </c>
      <c r="B4697" t="s">
        <v>1613</v>
      </c>
      <c r="C4697">
        <v>15903</v>
      </c>
      <c r="D4697" t="s">
        <v>1525</v>
      </c>
      <c r="E4697" t="s">
        <v>1526</v>
      </c>
      <c r="F4697" t="s">
        <v>1527</v>
      </c>
    </row>
    <row r="4698" spans="1:6">
      <c r="A4698">
        <v>153</v>
      </c>
      <c r="B4698" t="s">
        <v>1613</v>
      </c>
      <c r="C4698">
        <v>1800</v>
      </c>
      <c r="D4698" t="s">
        <v>1387</v>
      </c>
      <c r="E4698" t="s">
        <v>1388</v>
      </c>
      <c r="F4698" t="s">
        <v>1389</v>
      </c>
    </row>
    <row r="4699" spans="1:6">
      <c r="A4699">
        <v>153</v>
      </c>
      <c r="B4699" t="s">
        <v>1613</v>
      </c>
      <c r="C4699">
        <v>40544</v>
      </c>
      <c r="D4699" t="s">
        <v>1390</v>
      </c>
      <c r="E4699" t="s">
        <v>1391</v>
      </c>
      <c r="F4699" t="s">
        <v>1392</v>
      </c>
    </row>
    <row r="4700" spans="1:6">
      <c r="A4700">
        <v>153</v>
      </c>
      <c r="B4700" t="s">
        <v>1613</v>
      </c>
      <c r="C4700">
        <v>57328.639999999999</v>
      </c>
      <c r="D4700" t="s">
        <v>1431</v>
      </c>
      <c r="E4700" t="s">
        <v>1432</v>
      </c>
      <c r="F4700" t="s">
        <v>1433</v>
      </c>
    </row>
    <row r="4701" spans="1:6">
      <c r="A4701">
        <v>153</v>
      </c>
      <c r="B4701" t="s">
        <v>1613</v>
      </c>
      <c r="C4701">
        <v>138733.54</v>
      </c>
      <c r="D4701" t="s">
        <v>1434</v>
      </c>
      <c r="E4701" t="s">
        <v>1432</v>
      </c>
      <c r="F4701" t="s">
        <v>1435</v>
      </c>
    </row>
    <row r="4702" spans="1:6">
      <c r="A4702">
        <v>153</v>
      </c>
      <c r="B4702" t="s">
        <v>1613</v>
      </c>
      <c r="C4702">
        <v>15392</v>
      </c>
      <c r="D4702" t="s">
        <v>1436</v>
      </c>
      <c r="E4702" t="s">
        <v>1437</v>
      </c>
      <c r="F4702" t="s">
        <v>1438</v>
      </c>
    </row>
    <row r="4703" spans="1:6">
      <c r="A4703">
        <v>153</v>
      </c>
      <c r="B4703" t="s">
        <v>1613</v>
      </c>
      <c r="C4703">
        <v>23545</v>
      </c>
      <c r="D4703" t="s">
        <v>1584</v>
      </c>
      <c r="E4703" t="s">
        <v>1585</v>
      </c>
      <c r="F4703" t="s">
        <v>1586</v>
      </c>
    </row>
    <row r="4704" spans="1:6">
      <c r="A4704">
        <v>153</v>
      </c>
      <c r="B4704" t="s">
        <v>1613</v>
      </c>
      <c r="C4704">
        <v>88350</v>
      </c>
      <c r="D4704" t="s">
        <v>1587</v>
      </c>
      <c r="E4704" t="s">
        <v>1585</v>
      </c>
      <c r="F4704" t="s">
        <v>1588</v>
      </c>
    </row>
    <row r="4705" spans="1:6">
      <c r="A4705">
        <v>153</v>
      </c>
      <c r="B4705" t="s">
        <v>1613</v>
      </c>
      <c r="C4705">
        <v>7028</v>
      </c>
      <c r="D4705" t="s">
        <v>1589</v>
      </c>
      <c r="E4705" t="s">
        <v>1590</v>
      </c>
      <c r="F4705" t="s">
        <v>1591</v>
      </c>
    </row>
    <row r="4706" spans="1:6">
      <c r="A4706">
        <v>153</v>
      </c>
      <c r="B4706" t="s">
        <v>1613</v>
      </c>
      <c r="C4706">
        <v>7106</v>
      </c>
      <c r="D4706" t="s">
        <v>1594</v>
      </c>
      <c r="E4706" t="s">
        <v>1595</v>
      </c>
      <c r="F4706" t="s">
        <v>1596</v>
      </c>
    </row>
    <row r="4707" spans="1:6">
      <c r="A4707">
        <v>153</v>
      </c>
      <c r="B4707" t="s">
        <v>1613</v>
      </c>
      <c r="C4707">
        <v>2500</v>
      </c>
      <c r="D4707" t="s">
        <v>1597</v>
      </c>
      <c r="E4707" t="s">
        <v>1595</v>
      </c>
      <c r="F4707" t="s">
        <v>1598</v>
      </c>
    </row>
    <row r="4708" spans="1:6">
      <c r="A4708">
        <v>153</v>
      </c>
      <c r="B4708" t="s">
        <v>1613</v>
      </c>
      <c r="C4708">
        <v>602223</v>
      </c>
      <c r="D4708" t="s">
        <v>1599</v>
      </c>
      <c r="E4708" t="s">
        <v>1600</v>
      </c>
      <c r="F4708" t="s">
        <v>1601</v>
      </c>
    </row>
    <row r="4709" spans="1:6">
      <c r="A4709">
        <v>153</v>
      </c>
      <c r="B4709" t="s">
        <v>1613</v>
      </c>
      <c r="C4709">
        <v>10000</v>
      </c>
      <c r="D4709" t="s">
        <v>1269</v>
      </c>
      <c r="E4709" t="s">
        <v>1270</v>
      </c>
      <c r="F4709" t="s">
        <v>1601</v>
      </c>
    </row>
    <row r="4710" spans="1:6">
      <c r="A4710">
        <v>153</v>
      </c>
      <c r="B4710" t="s">
        <v>1613</v>
      </c>
      <c r="C4710">
        <v>80000</v>
      </c>
      <c r="D4710" t="s">
        <v>1602</v>
      </c>
      <c r="E4710" t="s">
        <v>1600</v>
      </c>
      <c r="F4710" t="s">
        <v>1603</v>
      </c>
    </row>
    <row r="4711" spans="1:6">
      <c r="A4711">
        <v>153</v>
      </c>
      <c r="B4711" t="s">
        <v>1613</v>
      </c>
      <c r="C4711">
        <v>13808</v>
      </c>
      <c r="D4711" t="s">
        <v>1459</v>
      </c>
      <c r="E4711" t="s">
        <v>1605</v>
      </c>
      <c r="F4711" t="s">
        <v>1460</v>
      </c>
    </row>
    <row r="4712" spans="1:6">
      <c r="A4712">
        <v>153</v>
      </c>
      <c r="B4712" t="s">
        <v>1613</v>
      </c>
      <c r="C4712">
        <v>1365</v>
      </c>
      <c r="D4712" t="s">
        <v>1604</v>
      </c>
      <c r="E4712" t="s">
        <v>1605</v>
      </c>
      <c r="F4712" t="s">
        <v>1606</v>
      </c>
    </row>
    <row r="4713" spans="1:6">
      <c r="A4713">
        <v>153</v>
      </c>
      <c r="B4713" t="s">
        <v>1613</v>
      </c>
      <c r="C4713">
        <v>291225.18</v>
      </c>
      <c r="D4713" t="s">
        <v>1475</v>
      </c>
      <c r="E4713" t="s">
        <v>1476</v>
      </c>
      <c r="F4713" t="s">
        <v>1477</v>
      </c>
    </row>
    <row r="4714" spans="1:6">
      <c r="A4714">
        <v>153</v>
      </c>
      <c r="B4714" t="s">
        <v>1613</v>
      </c>
      <c r="C4714">
        <v>793554.97</v>
      </c>
      <c r="D4714" t="s">
        <v>1365</v>
      </c>
      <c r="E4714" t="s">
        <v>1366</v>
      </c>
      <c r="F4714" t="s">
        <v>1367</v>
      </c>
    </row>
    <row r="4715" spans="1:6">
      <c r="A4715">
        <v>153</v>
      </c>
      <c r="B4715" t="s">
        <v>1613</v>
      </c>
      <c r="C4715">
        <v>8642190</v>
      </c>
      <c r="D4715" t="s">
        <v>1610</v>
      </c>
      <c r="E4715" t="s">
        <v>1481</v>
      </c>
      <c r="F4715" t="s">
        <v>1482</v>
      </c>
    </row>
    <row r="4716" spans="1:6">
      <c r="A4716">
        <v>154</v>
      </c>
      <c r="B4716" t="s">
        <v>1614</v>
      </c>
      <c r="C4716">
        <v>7269</v>
      </c>
      <c r="D4716" t="s">
        <v>1486</v>
      </c>
      <c r="E4716" t="s">
        <v>1487</v>
      </c>
      <c r="F4716" t="s">
        <v>1488</v>
      </c>
    </row>
    <row r="4717" spans="1:6">
      <c r="A4717">
        <v>154</v>
      </c>
      <c r="B4717" t="s">
        <v>1614</v>
      </c>
      <c r="C4717">
        <v>3400</v>
      </c>
      <c r="D4717" t="s">
        <v>1489</v>
      </c>
      <c r="E4717" t="s">
        <v>1490</v>
      </c>
      <c r="F4717" t="s">
        <v>1491</v>
      </c>
    </row>
    <row r="4718" spans="1:6">
      <c r="A4718">
        <v>154</v>
      </c>
      <c r="B4718" t="s">
        <v>1614</v>
      </c>
      <c r="C4718">
        <v>10531</v>
      </c>
      <c r="D4718" t="s">
        <v>1567</v>
      </c>
      <c r="E4718" t="s">
        <v>1568</v>
      </c>
      <c r="F4718" t="s">
        <v>1569</v>
      </c>
    </row>
    <row r="4719" spans="1:6">
      <c r="A4719">
        <v>154</v>
      </c>
      <c r="B4719" t="s">
        <v>1614</v>
      </c>
      <c r="C4719">
        <v>316278</v>
      </c>
      <c r="D4719" t="s">
        <v>1570</v>
      </c>
      <c r="E4719" t="s">
        <v>1571</v>
      </c>
      <c r="F4719" t="s">
        <v>1572</v>
      </c>
    </row>
    <row r="4720" spans="1:6">
      <c r="A4720">
        <v>154</v>
      </c>
      <c r="B4720" t="s">
        <v>1614</v>
      </c>
      <c r="C4720">
        <v>68543</v>
      </c>
      <c r="D4720" t="s">
        <v>1520</v>
      </c>
      <c r="E4720" t="s">
        <v>1521</v>
      </c>
      <c r="F4720" t="s">
        <v>1522</v>
      </c>
    </row>
    <row r="4721" spans="1:6">
      <c r="A4721">
        <v>154</v>
      </c>
      <c r="B4721" t="s">
        <v>1614</v>
      </c>
      <c r="C4721">
        <v>11902</v>
      </c>
      <c r="D4721" t="s">
        <v>1573</v>
      </c>
      <c r="E4721" t="s">
        <v>1574</v>
      </c>
      <c r="F4721" t="s">
        <v>1575</v>
      </c>
    </row>
    <row r="4722" spans="1:6">
      <c r="A4722">
        <v>154</v>
      </c>
      <c r="B4722" t="s">
        <v>1614</v>
      </c>
      <c r="C4722">
        <v>23240</v>
      </c>
      <c r="D4722" t="s">
        <v>1523</v>
      </c>
      <c r="E4722" t="s">
        <v>1521</v>
      </c>
      <c r="F4722" t="s">
        <v>1524</v>
      </c>
    </row>
    <row r="4723" spans="1:6">
      <c r="A4723">
        <v>154</v>
      </c>
      <c r="B4723" t="s">
        <v>1614</v>
      </c>
      <c r="C4723">
        <v>14000</v>
      </c>
      <c r="D4723" t="s">
        <v>1528</v>
      </c>
      <c r="E4723" t="s">
        <v>1529</v>
      </c>
      <c r="F4723" t="s">
        <v>1530</v>
      </c>
    </row>
    <row r="4724" spans="1:6">
      <c r="A4724">
        <v>154</v>
      </c>
      <c r="B4724" t="s">
        <v>1614</v>
      </c>
      <c r="C4724">
        <v>718.03</v>
      </c>
      <c r="D4724" t="s">
        <v>1537</v>
      </c>
      <c r="E4724" t="s">
        <v>1538</v>
      </c>
      <c r="F4724" t="s">
        <v>1539</v>
      </c>
    </row>
    <row r="4725" spans="1:6">
      <c r="A4725">
        <v>154</v>
      </c>
      <c r="B4725" t="s">
        <v>1614</v>
      </c>
      <c r="C4725">
        <v>1430.67</v>
      </c>
      <c r="D4725" t="s">
        <v>1540</v>
      </c>
      <c r="E4725" t="s">
        <v>1538</v>
      </c>
      <c r="F4725" t="s">
        <v>1541</v>
      </c>
    </row>
    <row r="4726" spans="1:6">
      <c r="A4726">
        <v>154</v>
      </c>
      <c r="B4726" t="s">
        <v>1614</v>
      </c>
      <c r="C4726">
        <v>11542.03</v>
      </c>
      <c r="D4726" t="s">
        <v>1431</v>
      </c>
      <c r="E4726" t="s">
        <v>1432</v>
      </c>
      <c r="F4726" t="s">
        <v>1433</v>
      </c>
    </row>
    <row r="4727" spans="1:6">
      <c r="A4727">
        <v>154</v>
      </c>
      <c r="B4727" t="s">
        <v>1614</v>
      </c>
      <c r="C4727">
        <v>31045.4</v>
      </c>
      <c r="D4727" t="s">
        <v>1434</v>
      </c>
      <c r="E4727" t="s">
        <v>1432</v>
      </c>
      <c r="F4727" t="s">
        <v>1435</v>
      </c>
    </row>
    <row r="4728" spans="1:6">
      <c r="A4728">
        <v>154</v>
      </c>
      <c r="B4728" t="s">
        <v>1614</v>
      </c>
      <c r="C4728">
        <v>40820</v>
      </c>
      <c r="D4728" t="s">
        <v>1579</v>
      </c>
      <c r="E4728" t="s">
        <v>1577</v>
      </c>
      <c r="F4728" t="s">
        <v>1580</v>
      </c>
    </row>
    <row r="4729" spans="1:6">
      <c r="A4729">
        <v>154</v>
      </c>
      <c r="B4729" t="s">
        <v>1614</v>
      </c>
      <c r="C4729">
        <v>313</v>
      </c>
      <c r="D4729" t="s">
        <v>1581</v>
      </c>
      <c r="E4729" t="s">
        <v>1582</v>
      </c>
      <c r="F4729" t="s">
        <v>1583</v>
      </c>
    </row>
    <row r="4730" spans="1:6">
      <c r="A4730">
        <v>154</v>
      </c>
      <c r="B4730" t="s">
        <v>1614</v>
      </c>
      <c r="C4730">
        <v>20760</v>
      </c>
      <c r="D4730" t="s">
        <v>1587</v>
      </c>
      <c r="E4730" t="s">
        <v>1585</v>
      </c>
      <c r="F4730" t="s">
        <v>1588</v>
      </c>
    </row>
    <row r="4731" spans="1:6">
      <c r="A4731">
        <v>154</v>
      </c>
      <c r="B4731" t="s">
        <v>1614</v>
      </c>
      <c r="C4731">
        <v>2375</v>
      </c>
      <c r="D4731" t="s">
        <v>1592</v>
      </c>
      <c r="E4731" t="s">
        <v>1590</v>
      </c>
      <c r="F4731" t="s">
        <v>1593</v>
      </c>
    </row>
    <row r="4732" spans="1:6">
      <c r="A4732">
        <v>154</v>
      </c>
      <c r="B4732" t="s">
        <v>1614</v>
      </c>
      <c r="C4732">
        <v>645</v>
      </c>
      <c r="D4732" t="s">
        <v>1597</v>
      </c>
      <c r="E4732" t="s">
        <v>1595</v>
      </c>
      <c r="F4732" t="s">
        <v>1598</v>
      </c>
    </row>
    <row r="4733" spans="1:6">
      <c r="A4733">
        <v>154</v>
      </c>
      <c r="B4733" t="s">
        <v>1614</v>
      </c>
      <c r="C4733">
        <v>146608</v>
      </c>
      <c r="D4733" t="s">
        <v>1602</v>
      </c>
      <c r="E4733" t="s">
        <v>1600</v>
      </c>
      <c r="F4733" t="s">
        <v>1603</v>
      </c>
    </row>
    <row r="4734" spans="1:6">
      <c r="A4734">
        <v>154</v>
      </c>
      <c r="B4734" t="s">
        <v>1614</v>
      </c>
      <c r="C4734">
        <v>7069</v>
      </c>
      <c r="D4734" t="s">
        <v>1604</v>
      </c>
      <c r="E4734" t="s">
        <v>1605</v>
      </c>
      <c r="F4734" t="s">
        <v>1606</v>
      </c>
    </row>
    <row r="4735" spans="1:6">
      <c r="A4735">
        <v>154</v>
      </c>
      <c r="B4735" t="s">
        <v>1614</v>
      </c>
      <c r="C4735">
        <v>107509.82</v>
      </c>
      <c r="D4735" t="s">
        <v>1475</v>
      </c>
      <c r="E4735" t="s">
        <v>1476</v>
      </c>
      <c r="F4735" t="s">
        <v>1477</v>
      </c>
    </row>
    <row r="4736" spans="1:6">
      <c r="A4736">
        <v>154</v>
      </c>
      <c r="B4736" t="s">
        <v>1614</v>
      </c>
      <c r="C4736">
        <v>91132.5</v>
      </c>
      <c r="D4736" t="s">
        <v>1478</v>
      </c>
      <c r="E4736" t="s">
        <v>1479</v>
      </c>
      <c r="F4736" t="s">
        <v>1480</v>
      </c>
    </row>
    <row r="4737" spans="1:6">
      <c r="A4737">
        <v>154</v>
      </c>
      <c r="B4737" t="s">
        <v>1614</v>
      </c>
      <c r="C4737">
        <v>318198.96000000002</v>
      </c>
      <c r="D4737" t="s">
        <v>1365</v>
      </c>
      <c r="E4737" t="s">
        <v>1366</v>
      </c>
      <c r="F4737" t="s">
        <v>1367</v>
      </c>
    </row>
    <row r="4738" spans="1:6">
      <c r="A4738">
        <v>155</v>
      </c>
      <c r="B4738" t="s">
        <v>1615</v>
      </c>
      <c r="C4738">
        <v>69094</v>
      </c>
      <c r="D4738" t="s">
        <v>1401</v>
      </c>
      <c r="E4738" t="s">
        <v>1402</v>
      </c>
      <c r="F4738" t="s">
        <v>1403</v>
      </c>
    </row>
    <row r="4739" spans="1:6">
      <c r="A4739">
        <v>155</v>
      </c>
      <c r="B4739" t="s">
        <v>1615</v>
      </c>
      <c r="C4739">
        <v>44515</v>
      </c>
      <c r="D4739" t="s">
        <v>1486</v>
      </c>
      <c r="E4739" t="s">
        <v>1487</v>
      </c>
      <c r="F4739" t="s">
        <v>1488</v>
      </c>
    </row>
    <row r="4740" spans="1:6">
      <c r="A4740">
        <v>155</v>
      </c>
      <c r="B4740" t="s">
        <v>1615</v>
      </c>
      <c r="C4740">
        <v>41641</v>
      </c>
      <c r="D4740" t="s">
        <v>1489</v>
      </c>
      <c r="E4740" t="s">
        <v>1490</v>
      </c>
      <c r="F4740" t="s">
        <v>1491</v>
      </c>
    </row>
    <row r="4741" spans="1:6">
      <c r="A4741">
        <v>155</v>
      </c>
      <c r="B4741" t="s">
        <v>1615</v>
      </c>
      <c r="C4741">
        <v>272881</v>
      </c>
      <c r="D4741" t="s">
        <v>1567</v>
      </c>
      <c r="E4741" t="s">
        <v>1568</v>
      </c>
      <c r="F4741" t="s">
        <v>1569</v>
      </c>
    </row>
    <row r="4742" spans="1:6">
      <c r="A4742">
        <v>155</v>
      </c>
      <c r="B4742" t="s">
        <v>1615</v>
      </c>
      <c r="C4742">
        <v>444441</v>
      </c>
      <c r="D4742" t="s">
        <v>1496</v>
      </c>
      <c r="E4742" t="s">
        <v>1497</v>
      </c>
      <c r="F4742" t="s">
        <v>1498</v>
      </c>
    </row>
    <row r="4743" spans="1:6">
      <c r="A4743">
        <v>155</v>
      </c>
      <c r="B4743" t="s">
        <v>1615</v>
      </c>
      <c r="C4743">
        <v>11431147</v>
      </c>
      <c r="D4743" t="s">
        <v>1570</v>
      </c>
      <c r="E4743" t="s">
        <v>1571</v>
      </c>
      <c r="F4743" t="s">
        <v>1572</v>
      </c>
    </row>
    <row r="4744" spans="1:6">
      <c r="A4744">
        <v>155</v>
      </c>
      <c r="B4744" t="s">
        <v>1615</v>
      </c>
      <c r="C4744">
        <v>17138</v>
      </c>
      <c r="D4744" t="s">
        <v>1327</v>
      </c>
      <c r="E4744" t="s">
        <v>1328</v>
      </c>
      <c r="F4744" t="s">
        <v>1329</v>
      </c>
    </row>
    <row r="4745" spans="1:6">
      <c r="A4745">
        <v>155</v>
      </c>
      <c r="B4745" t="s">
        <v>1615</v>
      </c>
      <c r="C4745">
        <v>6000</v>
      </c>
      <c r="D4745" t="s">
        <v>1515</v>
      </c>
      <c r="E4745" t="s">
        <v>1516</v>
      </c>
      <c r="F4745" t="s">
        <v>1517</v>
      </c>
    </row>
    <row r="4746" spans="1:6">
      <c r="A4746">
        <v>155</v>
      </c>
      <c r="B4746" t="s">
        <v>1615</v>
      </c>
      <c r="C4746">
        <v>596</v>
      </c>
      <c r="D4746" t="s">
        <v>1518</v>
      </c>
      <c r="E4746" t="s">
        <v>1516</v>
      </c>
      <c r="F4746" t="s">
        <v>1519</v>
      </c>
    </row>
    <row r="4747" spans="1:6">
      <c r="A4747">
        <v>155</v>
      </c>
      <c r="B4747" t="s">
        <v>1615</v>
      </c>
      <c r="C4747">
        <v>788694</v>
      </c>
      <c r="D4747" t="s">
        <v>1520</v>
      </c>
      <c r="E4747" t="s">
        <v>1521</v>
      </c>
      <c r="F4747" t="s">
        <v>1522</v>
      </c>
    </row>
    <row r="4748" spans="1:6">
      <c r="A4748">
        <v>155</v>
      </c>
      <c r="B4748" t="s">
        <v>1615</v>
      </c>
      <c r="C4748">
        <v>327469</v>
      </c>
      <c r="D4748" t="s">
        <v>1573</v>
      </c>
      <c r="E4748" t="s">
        <v>1574</v>
      </c>
      <c r="F4748" t="s">
        <v>1575</v>
      </c>
    </row>
    <row r="4749" spans="1:6">
      <c r="A4749">
        <v>155</v>
      </c>
      <c r="B4749" t="s">
        <v>1615</v>
      </c>
      <c r="C4749">
        <v>50371</v>
      </c>
      <c r="D4749" t="s">
        <v>1525</v>
      </c>
      <c r="E4749" t="s">
        <v>1526</v>
      </c>
      <c r="F4749" t="s">
        <v>1527</v>
      </c>
    </row>
    <row r="4750" spans="1:6">
      <c r="A4750">
        <v>155</v>
      </c>
      <c r="B4750" t="s">
        <v>1615</v>
      </c>
      <c r="C4750">
        <v>35056</v>
      </c>
      <c r="D4750" t="s">
        <v>1528</v>
      </c>
      <c r="E4750" t="s">
        <v>1529</v>
      </c>
      <c r="F4750" t="s">
        <v>1530</v>
      </c>
    </row>
    <row r="4751" spans="1:6">
      <c r="A4751">
        <v>155</v>
      </c>
      <c r="B4751" t="s">
        <v>1615</v>
      </c>
      <c r="C4751">
        <v>174111</v>
      </c>
      <c r="D4751" t="s">
        <v>1531</v>
      </c>
      <c r="E4751" t="s">
        <v>1532</v>
      </c>
      <c r="F4751" t="s">
        <v>1533</v>
      </c>
    </row>
    <row r="4752" spans="1:6">
      <c r="A4752">
        <v>155</v>
      </c>
      <c r="B4752" t="s">
        <v>1615</v>
      </c>
      <c r="C4752">
        <v>100000</v>
      </c>
      <c r="D4752" t="s">
        <v>1204</v>
      </c>
      <c r="E4752" t="s">
        <v>1205</v>
      </c>
      <c r="F4752" t="s">
        <v>1206</v>
      </c>
    </row>
    <row r="4753" spans="1:6">
      <c r="A4753">
        <v>155</v>
      </c>
      <c r="B4753" t="s">
        <v>1615</v>
      </c>
      <c r="C4753">
        <v>92300</v>
      </c>
      <c r="D4753" t="s">
        <v>1387</v>
      </c>
      <c r="E4753" t="s">
        <v>1388</v>
      </c>
      <c r="F4753" t="s">
        <v>1389</v>
      </c>
    </row>
    <row r="4754" spans="1:6">
      <c r="A4754">
        <v>155</v>
      </c>
      <c r="B4754" t="s">
        <v>1615</v>
      </c>
      <c r="C4754">
        <v>54897</v>
      </c>
      <c r="D4754" t="s">
        <v>1534</v>
      </c>
      <c r="E4754" t="s">
        <v>1535</v>
      </c>
      <c r="F4754" t="s">
        <v>1536</v>
      </c>
    </row>
    <row r="4755" spans="1:6">
      <c r="A4755">
        <v>155</v>
      </c>
      <c r="B4755" t="s">
        <v>1615</v>
      </c>
      <c r="C4755">
        <v>12095.22</v>
      </c>
      <c r="D4755" t="s">
        <v>1537</v>
      </c>
      <c r="E4755" t="s">
        <v>1538</v>
      </c>
      <c r="F4755" t="s">
        <v>1539</v>
      </c>
    </row>
    <row r="4756" spans="1:6">
      <c r="A4756">
        <v>155</v>
      </c>
      <c r="B4756" t="s">
        <v>1615</v>
      </c>
      <c r="C4756">
        <v>29988.880000000001</v>
      </c>
      <c r="D4756" t="s">
        <v>1540</v>
      </c>
      <c r="E4756" t="s">
        <v>1538</v>
      </c>
      <c r="F4756" t="s">
        <v>1541</v>
      </c>
    </row>
    <row r="4757" spans="1:6">
      <c r="A4757">
        <v>155</v>
      </c>
      <c r="B4757" t="s">
        <v>1615</v>
      </c>
      <c r="C4757">
        <v>188927.05</v>
      </c>
      <c r="D4757" t="s">
        <v>1431</v>
      </c>
      <c r="E4757" t="s">
        <v>1432</v>
      </c>
      <c r="F4757" t="s">
        <v>1433</v>
      </c>
    </row>
    <row r="4758" spans="1:6">
      <c r="A4758">
        <v>155</v>
      </c>
      <c r="B4758" t="s">
        <v>1615</v>
      </c>
      <c r="C4758">
        <v>449155.22</v>
      </c>
      <c r="D4758" t="s">
        <v>1434</v>
      </c>
      <c r="E4758" t="s">
        <v>1432</v>
      </c>
      <c r="F4758" t="s">
        <v>1435</v>
      </c>
    </row>
    <row r="4759" spans="1:6">
      <c r="A4759">
        <v>155</v>
      </c>
      <c r="B4759" t="s">
        <v>1615</v>
      </c>
      <c r="C4759">
        <v>75</v>
      </c>
      <c r="D4759" t="s">
        <v>1052</v>
      </c>
      <c r="E4759" t="s">
        <v>1577</v>
      </c>
      <c r="F4759" t="s">
        <v>1133</v>
      </c>
    </row>
    <row r="4760" spans="1:6">
      <c r="A4760">
        <v>155</v>
      </c>
      <c r="B4760" t="s">
        <v>1615</v>
      </c>
      <c r="C4760">
        <v>65207</v>
      </c>
      <c r="D4760" t="s">
        <v>1576</v>
      </c>
      <c r="E4760" t="s">
        <v>1577</v>
      </c>
      <c r="F4760" t="s">
        <v>1578</v>
      </c>
    </row>
    <row r="4761" spans="1:6">
      <c r="A4761">
        <v>155</v>
      </c>
      <c r="B4761" t="s">
        <v>1615</v>
      </c>
      <c r="C4761">
        <v>299279</v>
      </c>
      <c r="D4761" t="s">
        <v>1579</v>
      </c>
      <c r="E4761" t="s">
        <v>1577</v>
      </c>
      <c r="F4761" t="s">
        <v>1580</v>
      </c>
    </row>
    <row r="4762" spans="1:6">
      <c r="A4762">
        <v>155</v>
      </c>
      <c r="B4762" t="s">
        <v>1615</v>
      </c>
      <c r="C4762">
        <v>71284</v>
      </c>
      <c r="D4762" t="s">
        <v>1436</v>
      </c>
      <c r="E4762" t="s">
        <v>1437</v>
      </c>
      <c r="F4762" t="s">
        <v>1438</v>
      </c>
    </row>
    <row r="4763" spans="1:6">
      <c r="A4763">
        <v>155</v>
      </c>
      <c r="B4763" t="s">
        <v>1615</v>
      </c>
      <c r="C4763">
        <v>2868</v>
      </c>
      <c r="D4763" t="s">
        <v>1581</v>
      </c>
      <c r="E4763" t="s">
        <v>1582</v>
      </c>
      <c r="F4763" t="s">
        <v>1583</v>
      </c>
    </row>
    <row r="4764" spans="1:6">
      <c r="A4764">
        <v>155</v>
      </c>
      <c r="B4764" t="s">
        <v>1615</v>
      </c>
      <c r="C4764">
        <v>47000</v>
      </c>
      <c r="D4764" t="s">
        <v>1584</v>
      </c>
      <c r="E4764" t="s">
        <v>1585</v>
      </c>
      <c r="F4764" t="s">
        <v>1586</v>
      </c>
    </row>
    <row r="4765" spans="1:6">
      <c r="A4765">
        <v>155</v>
      </c>
      <c r="B4765" t="s">
        <v>1615</v>
      </c>
      <c r="C4765">
        <v>164181</v>
      </c>
      <c r="D4765" t="s">
        <v>1587</v>
      </c>
      <c r="E4765" t="s">
        <v>1585</v>
      </c>
      <c r="F4765" t="s">
        <v>1588</v>
      </c>
    </row>
    <row r="4766" spans="1:6">
      <c r="A4766">
        <v>155</v>
      </c>
      <c r="B4766" t="s">
        <v>1615</v>
      </c>
      <c r="C4766">
        <v>17043</v>
      </c>
      <c r="D4766" t="s">
        <v>1454</v>
      </c>
      <c r="E4766" t="s">
        <v>1455</v>
      </c>
      <c r="F4766" t="s">
        <v>1456</v>
      </c>
    </row>
    <row r="4767" spans="1:6">
      <c r="A4767">
        <v>155</v>
      </c>
      <c r="B4767" t="s">
        <v>1615</v>
      </c>
      <c r="C4767">
        <v>75000</v>
      </c>
      <c r="D4767" t="s">
        <v>1457</v>
      </c>
      <c r="E4767" t="s">
        <v>1455</v>
      </c>
      <c r="F4767" t="s">
        <v>1458</v>
      </c>
    </row>
    <row r="4768" spans="1:6">
      <c r="A4768">
        <v>155</v>
      </c>
      <c r="B4768" t="s">
        <v>1615</v>
      </c>
      <c r="C4768">
        <v>32791</v>
      </c>
      <c r="D4768" t="s">
        <v>1287</v>
      </c>
      <c r="E4768" t="s">
        <v>1288</v>
      </c>
      <c r="F4768" t="s">
        <v>1289</v>
      </c>
    </row>
    <row r="4769" spans="1:6">
      <c r="A4769">
        <v>155</v>
      </c>
      <c r="B4769" t="s">
        <v>1615</v>
      </c>
      <c r="C4769">
        <v>27603</v>
      </c>
      <c r="D4769" t="s">
        <v>1592</v>
      </c>
      <c r="E4769" t="s">
        <v>1590</v>
      </c>
      <c r="F4769" t="s">
        <v>1593</v>
      </c>
    </row>
    <row r="4770" spans="1:6">
      <c r="A4770">
        <v>155</v>
      </c>
      <c r="B4770" t="s">
        <v>1615</v>
      </c>
      <c r="C4770">
        <v>4601</v>
      </c>
      <c r="D4770" t="s">
        <v>1594</v>
      </c>
      <c r="E4770" t="s">
        <v>1595</v>
      </c>
      <c r="F4770" t="s">
        <v>1596</v>
      </c>
    </row>
    <row r="4771" spans="1:6">
      <c r="A4771">
        <v>155</v>
      </c>
      <c r="B4771" t="s">
        <v>1615</v>
      </c>
      <c r="C4771">
        <v>8000</v>
      </c>
      <c r="D4771" t="s">
        <v>1597</v>
      </c>
      <c r="E4771" t="s">
        <v>1595</v>
      </c>
      <c r="F4771" t="s">
        <v>1598</v>
      </c>
    </row>
    <row r="4772" spans="1:6">
      <c r="A4772">
        <v>155</v>
      </c>
      <c r="B4772" t="s">
        <v>1615</v>
      </c>
      <c r="C4772">
        <v>320308</v>
      </c>
      <c r="D4772" t="s">
        <v>1599</v>
      </c>
      <c r="E4772" t="s">
        <v>1600</v>
      </c>
      <c r="F4772" t="s">
        <v>1601</v>
      </c>
    </row>
    <row r="4773" spans="1:6">
      <c r="A4773">
        <v>155</v>
      </c>
      <c r="B4773" t="s">
        <v>1615</v>
      </c>
      <c r="C4773">
        <v>1893720</v>
      </c>
      <c r="D4773" t="s">
        <v>1602</v>
      </c>
      <c r="E4773" t="s">
        <v>1600</v>
      </c>
      <c r="F4773" t="s">
        <v>1603</v>
      </c>
    </row>
    <row r="4774" spans="1:6">
      <c r="A4774">
        <v>155</v>
      </c>
      <c r="B4774" t="s">
        <v>1615</v>
      </c>
      <c r="C4774">
        <v>29446</v>
      </c>
      <c r="D4774" t="s">
        <v>1459</v>
      </c>
      <c r="E4774" t="s">
        <v>1605</v>
      </c>
      <c r="F4774" t="s">
        <v>1460</v>
      </c>
    </row>
    <row r="4775" spans="1:6">
      <c r="A4775">
        <v>155</v>
      </c>
      <c r="B4775" t="s">
        <v>1615</v>
      </c>
      <c r="C4775">
        <v>20000</v>
      </c>
      <c r="D4775" t="s">
        <v>1604</v>
      </c>
      <c r="E4775" t="s">
        <v>1605</v>
      </c>
      <c r="F4775" t="s">
        <v>1606</v>
      </c>
    </row>
    <row r="4776" spans="1:6">
      <c r="A4776">
        <v>155</v>
      </c>
      <c r="B4776" t="s">
        <v>1615</v>
      </c>
      <c r="C4776">
        <v>11500</v>
      </c>
      <c r="D4776" t="s">
        <v>1466</v>
      </c>
      <c r="E4776" t="s">
        <v>1467</v>
      </c>
      <c r="F4776" t="s">
        <v>1468</v>
      </c>
    </row>
    <row r="4777" spans="1:6">
      <c r="A4777">
        <v>155</v>
      </c>
      <c r="B4777" t="s">
        <v>1615</v>
      </c>
      <c r="C4777">
        <v>14105</v>
      </c>
      <c r="D4777" t="s">
        <v>1273</v>
      </c>
      <c r="E4777" t="s">
        <v>1274</v>
      </c>
      <c r="F4777" t="s">
        <v>1275</v>
      </c>
    </row>
    <row r="4778" spans="1:6">
      <c r="A4778">
        <v>155</v>
      </c>
      <c r="B4778" t="s">
        <v>1615</v>
      </c>
      <c r="C4778">
        <v>176991.75</v>
      </c>
      <c r="D4778" t="s">
        <v>1475</v>
      </c>
      <c r="E4778" t="s">
        <v>1476</v>
      </c>
      <c r="F4778" t="s">
        <v>1477</v>
      </c>
    </row>
    <row r="4779" spans="1:6">
      <c r="A4779">
        <v>155</v>
      </c>
      <c r="B4779" t="s">
        <v>1615</v>
      </c>
      <c r="C4779">
        <v>337188.64</v>
      </c>
      <c r="D4779" t="s">
        <v>1478</v>
      </c>
      <c r="E4779" t="s">
        <v>1479</v>
      </c>
      <c r="F4779" t="s">
        <v>1480</v>
      </c>
    </row>
    <row r="4780" spans="1:6">
      <c r="A4780">
        <v>155</v>
      </c>
      <c r="B4780" t="s">
        <v>1615</v>
      </c>
      <c r="C4780">
        <v>437811.72</v>
      </c>
      <c r="D4780" t="s">
        <v>1365</v>
      </c>
      <c r="E4780" t="s">
        <v>1366</v>
      </c>
      <c r="F4780" t="s">
        <v>1367</v>
      </c>
    </row>
    <row r="4781" spans="1:6">
      <c r="A4781">
        <v>155</v>
      </c>
      <c r="B4781" t="s">
        <v>1615</v>
      </c>
      <c r="C4781">
        <v>73075</v>
      </c>
      <c r="D4781" t="s">
        <v>1607</v>
      </c>
      <c r="E4781" t="s">
        <v>1608</v>
      </c>
      <c r="F4781" t="s">
        <v>1609</v>
      </c>
    </row>
    <row r="4782" spans="1:6">
      <c r="A4782">
        <v>155</v>
      </c>
      <c r="B4782" t="s">
        <v>1615</v>
      </c>
      <c r="C4782">
        <v>774296</v>
      </c>
      <c r="D4782" t="s">
        <v>1610</v>
      </c>
      <c r="E4782" t="s">
        <v>1481</v>
      </c>
      <c r="F4782" t="s">
        <v>1482</v>
      </c>
    </row>
    <row r="4783" spans="1:6">
      <c r="A4783">
        <v>156</v>
      </c>
      <c r="B4783" t="s">
        <v>1616</v>
      </c>
      <c r="C4783">
        <v>30184</v>
      </c>
      <c r="D4783" t="s">
        <v>1489</v>
      </c>
      <c r="E4783" t="s">
        <v>1490</v>
      </c>
      <c r="F4783" t="s">
        <v>1491</v>
      </c>
    </row>
    <row r="4784" spans="1:6">
      <c r="A4784">
        <v>156</v>
      </c>
      <c r="B4784" t="s">
        <v>1616</v>
      </c>
      <c r="C4784">
        <v>102250</v>
      </c>
      <c r="D4784" t="s">
        <v>1404</v>
      </c>
      <c r="E4784" t="s">
        <v>1405</v>
      </c>
      <c r="F4784" t="s">
        <v>1406</v>
      </c>
    </row>
    <row r="4785" spans="1:6">
      <c r="A4785">
        <v>156</v>
      </c>
      <c r="B4785" t="s">
        <v>1616</v>
      </c>
      <c r="C4785">
        <v>921924</v>
      </c>
      <c r="D4785" t="s">
        <v>1567</v>
      </c>
      <c r="E4785" t="s">
        <v>1568</v>
      </c>
      <c r="F4785" t="s">
        <v>1569</v>
      </c>
    </row>
    <row r="4786" spans="1:6">
      <c r="A4786">
        <v>156</v>
      </c>
      <c r="B4786" t="s">
        <v>1616</v>
      </c>
      <c r="C4786">
        <v>207590</v>
      </c>
      <c r="D4786" t="s">
        <v>1496</v>
      </c>
      <c r="E4786" t="s">
        <v>1497</v>
      </c>
      <c r="F4786" t="s">
        <v>1498</v>
      </c>
    </row>
    <row r="4787" spans="1:6">
      <c r="A4787">
        <v>156</v>
      </c>
      <c r="B4787" t="s">
        <v>1616</v>
      </c>
      <c r="C4787">
        <v>36414837</v>
      </c>
      <c r="D4787" t="s">
        <v>1570</v>
      </c>
      <c r="E4787" t="s">
        <v>1571</v>
      </c>
      <c r="F4787" t="s">
        <v>1572</v>
      </c>
    </row>
    <row r="4788" spans="1:6">
      <c r="A4788">
        <v>156</v>
      </c>
      <c r="B4788" t="s">
        <v>1616</v>
      </c>
      <c r="C4788">
        <v>22465</v>
      </c>
      <c r="D4788" t="s">
        <v>1327</v>
      </c>
      <c r="E4788" t="s">
        <v>1328</v>
      </c>
      <c r="F4788" t="s">
        <v>1329</v>
      </c>
    </row>
    <row r="4789" spans="1:6">
      <c r="A4789">
        <v>156</v>
      </c>
      <c r="B4789" t="s">
        <v>1616</v>
      </c>
      <c r="C4789">
        <v>100949</v>
      </c>
      <c r="D4789" t="s">
        <v>1382</v>
      </c>
      <c r="E4789" t="s">
        <v>1383</v>
      </c>
      <c r="F4789" t="s">
        <v>1384</v>
      </c>
    </row>
    <row r="4790" spans="1:6">
      <c r="A4790">
        <v>156</v>
      </c>
      <c r="B4790" t="s">
        <v>1616</v>
      </c>
      <c r="C4790">
        <v>122023</v>
      </c>
      <c r="D4790" t="s">
        <v>1338</v>
      </c>
      <c r="E4790" t="s">
        <v>1383</v>
      </c>
      <c r="F4790" t="s">
        <v>1384</v>
      </c>
    </row>
    <row r="4791" spans="1:6">
      <c r="A4791">
        <v>156</v>
      </c>
      <c r="B4791" t="s">
        <v>1616</v>
      </c>
      <c r="C4791">
        <v>96341</v>
      </c>
      <c r="D4791" t="s">
        <v>1385</v>
      </c>
      <c r="E4791" t="s">
        <v>1383</v>
      </c>
      <c r="F4791" t="s">
        <v>1386</v>
      </c>
    </row>
    <row r="4792" spans="1:6">
      <c r="A4792">
        <v>156</v>
      </c>
      <c r="B4792" t="s">
        <v>1616</v>
      </c>
      <c r="C4792">
        <v>99336</v>
      </c>
      <c r="D4792" t="s">
        <v>1153</v>
      </c>
      <c r="E4792" t="s">
        <v>1383</v>
      </c>
      <c r="F4792" t="s">
        <v>1386</v>
      </c>
    </row>
    <row r="4793" spans="1:6">
      <c r="A4793">
        <v>156</v>
      </c>
      <c r="B4793" t="s">
        <v>1616</v>
      </c>
      <c r="C4793">
        <v>114671</v>
      </c>
      <c r="D4793" t="s">
        <v>1154</v>
      </c>
      <c r="E4793" t="s">
        <v>1383</v>
      </c>
      <c r="F4793" t="s">
        <v>1386</v>
      </c>
    </row>
    <row r="4794" spans="1:6">
      <c r="A4794">
        <v>156</v>
      </c>
      <c r="B4794" t="s">
        <v>1616</v>
      </c>
      <c r="C4794">
        <v>131483</v>
      </c>
      <c r="D4794" t="s">
        <v>1155</v>
      </c>
      <c r="E4794" t="s">
        <v>1383</v>
      </c>
      <c r="F4794" t="s">
        <v>1386</v>
      </c>
    </row>
    <row r="4795" spans="1:6">
      <c r="A4795">
        <v>156</v>
      </c>
      <c r="B4795" t="s">
        <v>1616</v>
      </c>
      <c r="C4795">
        <v>33000</v>
      </c>
      <c r="D4795" t="s">
        <v>1515</v>
      </c>
      <c r="E4795" t="s">
        <v>1516</v>
      </c>
      <c r="F4795" t="s">
        <v>1517</v>
      </c>
    </row>
    <row r="4796" spans="1:6">
      <c r="A4796">
        <v>156</v>
      </c>
      <c r="B4796" t="s">
        <v>1616</v>
      </c>
      <c r="C4796">
        <v>13417</v>
      </c>
      <c r="D4796" t="s">
        <v>1518</v>
      </c>
      <c r="E4796" t="s">
        <v>1516</v>
      </c>
      <c r="F4796" t="s">
        <v>1519</v>
      </c>
    </row>
    <row r="4797" spans="1:6">
      <c r="A4797">
        <v>156</v>
      </c>
      <c r="B4797" t="s">
        <v>1616</v>
      </c>
      <c r="C4797">
        <v>550683</v>
      </c>
      <c r="D4797" t="s">
        <v>1520</v>
      </c>
      <c r="E4797" t="s">
        <v>1521</v>
      </c>
      <c r="F4797" t="s">
        <v>1522</v>
      </c>
    </row>
    <row r="4798" spans="1:6">
      <c r="A4798">
        <v>156</v>
      </c>
      <c r="B4798" t="s">
        <v>1616</v>
      </c>
      <c r="C4798">
        <v>671470</v>
      </c>
      <c r="D4798" t="s">
        <v>1573</v>
      </c>
      <c r="E4798" t="s">
        <v>1574</v>
      </c>
      <c r="F4798" t="s">
        <v>1575</v>
      </c>
    </row>
    <row r="4799" spans="1:6">
      <c r="A4799">
        <v>156</v>
      </c>
      <c r="B4799" t="s">
        <v>1616</v>
      </c>
      <c r="C4799">
        <v>361134</v>
      </c>
      <c r="D4799" t="s">
        <v>1523</v>
      </c>
      <c r="E4799" t="s">
        <v>1521</v>
      </c>
      <c r="F4799" t="s">
        <v>1524</v>
      </c>
    </row>
    <row r="4800" spans="1:6">
      <c r="A4800">
        <v>156</v>
      </c>
      <c r="B4800" t="s">
        <v>1616</v>
      </c>
      <c r="C4800">
        <v>83874</v>
      </c>
      <c r="D4800" t="s">
        <v>1525</v>
      </c>
      <c r="E4800" t="s">
        <v>1526</v>
      </c>
      <c r="F4800" t="s">
        <v>1527</v>
      </c>
    </row>
    <row r="4801" spans="1:6">
      <c r="A4801">
        <v>156</v>
      </c>
      <c r="B4801" t="s">
        <v>1616</v>
      </c>
      <c r="C4801">
        <v>43139</v>
      </c>
      <c r="D4801" t="s">
        <v>1528</v>
      </c>
      <c r="E4801" t="s">
        <v>1529</v>
      </c>
      <c r="F4801" t="s">
        <v>1530</v>
      </c>
    </row>
    <row r="4802" spans="1:6">
      <c r="A4802">
        <v>156</v>
      </c>
      <c r="B4802" t="s">
        <v>1616</v>
      </c>
      <c r="C4802">
        <v>119774</v>
      </c>
      <c r="D4802" t="s">
        <v>1387</v>
      </c>
      <c r="E4802" t="s">
        <v>1388</v>
      </c>
      <c r="F4802" t="s">
        <v>1389</v>
      </c>
    </row>
    <row r="4803" spans="1:6">
      <c r="A4803">
        <v>156</v>
      </c>
      <c r="B4803" t="s">
        <v>1616</v>
      </c>
      <c r="C4803">
        <v>50441</v>
      </c>
      <c r="D4803" t="s">
        <v>1390</v>
      </c>
      <c r="E4803" t="s">
        <v>1391</v>
      </c>
      <c r="F4803" t="s">
        <v>1392</v>
      </c>
    </row>
    <row r="4804" spans="1:6">
      <c r="A4804">
        <v>156</v>
      </c>
      <c r="B4804" t="s">
        <v>1616</v>
      </c>
      <c r="C4804">
        <v>113895</v>
      </c>
      <c r="D4804" t="s">
        <v>1534</v>
      </c>
      <c r="E4804" t="s">
        <v>1535</v>
      </c>
      <c r="F4804" t="s">
        <v>1536</v>
      </c>
    </row>
    <row r="4805" spans="1:6">
      <c r="A4805">
        <v>156</v>
      </c>
      <c r="B4805" t="s">
        <v>1616</v>
      </c>
      <c r="C4805">
        <v>114036.43</v>
      </c>
      <c r="D4805" t="s">
        <v>1537</v>
      </c>
      <c r="E4805" t="s">
        <v>1538</v>
      </c>
      <c r="F4805" t="s">
        <v>1539</v>
      </c>
    </row>
    <row r="4806" spans="1:6">
      <c r="A4806">
        <v>156</v>
      </c>
      <c r="B4806" t="s">
        <v>1616</v>
      </c>
      <c r="C4806">
        <v>192984.84</v>
      </c>
      <c r="D4806" t="s">
        <v>1540</v>
      </c>
      <c r="E4806" t="s">
        <v>1538</v>
      </c>
      <c r="F4806" t="s">
        <v>1541</v>
      </c>
    </row>
    <row r="4807" spans="1:6">
      <c r="A4807">
        <v>156</v>
      </c>
      <c r="B4807" t="s">
        <v>1616</v>
      </c>
      <c r="C4807">
        <v>340330.69</v>
      </c>
      <c r="D4807" t="s">
        <v>1431</v>
      </c>
      <c r="E4807" t="s">
        <v>1432</v>
      </c>
      <c r="F4807" t="s">
        <v>1433</v>
      </c>
    </row>
    <row r="4808" spans="1:6">
      <c r="A4808">
        <v>156</v>
      </c>
      <c r="B4808" t="s">
        <v>1616</v>
      </c>
      <c r="C4808">
        <v>658457.1</v>
      </c>
      <c r="D4808" t="s">
        <v>1434</v>
      </c>
      <c r="E4808" t="s">
        <v>1432</v>
      </c>
      <c r="F4808" t="s">
        <v>1435</v>
      </c>
    </row>
    <row r="4809" spans="1:6">
      <c r="A4809">
        <v>156</v>
      </c>
      <c r="B4809" t="s">
        <v>1616</v>
      </c>
      <c r="C4809">
        <v>380233</v>
      </c>
      <c r="D4809" t="s">
        <v>1576</v>
      </c>
      <c r="E4809" t="s">
        <v>1577</v>
      </c>
      <c r="F4809" t="s">
        <v>1578</v>
      </c>
    </row>
    <row r="4810" spans="1:6">
      <c r="A4810">
        <v>156</v>
      </c>
      <c r="B4810" t="s">
        <v>1616</v>
      </c>
      <c r="C4810">
        <v>838935</v>
      </c>
      <c r="D4810" t="s">
        <v>1579</v>
      </c>
      <c r="E4810" t="s">
        <v>1577</v>
      </c>
      <c r="F4810" t="s">
        <v>1580</v>
      </c>
    </row>
    <row r="4811" spans="1:6">
      <c r="A4811">
        <v>156</v>
      </c>
      <c r="B4811" t="s">
        <v>1616</v>
      </c>
      <c r="C4811">
        <v>111066</v>
      </c>
      <c r="D4811" t="s">
        <v>1436</v>
      </c>
      <c r="E4811" t="s">
        <v>1437</v>
      </c>
      <c r="F4811" t="s">
        <v>1438</v>
      </c>
    </row>
    <row r="4812" spans="1:6">
      <c r="A4812">
        <v>156</v>
      </c>
      <c r="B4812" t="s">
        <v>1616</v>
      </c>
      <c r="C4812">
        <v>15093</v>
      </c>
      <c r="D4812" t="s">
        <v>1442</v>
      </c>
      <c r="E4812" t="s">
        <v>1582</v>
      </c>
      <c r="F4812" t="s">
        <v>1443</v>
      </c>
    </row>
    <row r="4813" spans="1:6">
      <c r="A4813">
        <v>156</v>
      </c>
      <c r="B4813" t="s">
        <v>1616</v>
      </c>
      <c r="C4813">
        <v>156495</v>
      </c>
      <c r="D4813" t="s">
        <v>1584</v>
      </c>
      <c r="E4813" t="s">
        <v>1585</v>
      </c>
      <c r="F4813" t="s">
        <v>1586</v>
      </c>
    </row>
    <row r="4814" spans="1:6">
      <c r="A4814">
        <v>156</v>
      </c>
      <c r="B4814" t="s">
        <v>1616</v>
      </c>
      <c r="C4814">
        <v>206705</v>
      </c>
      <c r="D4814" t="s">
        <v>1587</v>
      </c>
      <c r="E4814" t="s">
        <v>1585</v>
      </c>
      <c r="F4814" t="s">
        <v>1588</v>
      </c>
    </row>
    <row r="4815" spans="1:6">
      <c r="A4815">
        <v>156</v>
      </c>
      <c r="B4815" t="s">
        <v>1616</v>
      </c>
      <c r="C4815">
        <v>41064</v>
      </c>
      <c r="D4815" t="s">
        <v>1454</v>
      </c>
      <c r="E4815" t="s">
        <v>1455</v>
      </c>
      <c r="F4815" t="s">
        <v>1456</v>
      </c>
    </row>
    <row r="4816" spans="1:6">
      <c r="A4816">
        <v>156</v>
      </c>
      <c r="B4816" t="s">
        <v>1616</v>
      </c>
      <c r="C4816">
        <v>39547</v>
      </c>
      <c r="D4816" t="s">
        <v>1457</v>
      </c>
      <c r="E4816" t="s">
        <v>1455</v>
      </c>
      <c r="F4816" t="s">
        <v>1458</v>
      </c>
    </row>
    <row r="4817" spans="1:6">
      <c r="A4817">
        <v>156</v>
      </c>
      <c r="B4817" t="s">
        <v>1616</v>
      </c>
      <c r="C4817">
        <v>22154</v>
      </c>
      <c r="D4817" t="s">
        <v>1230</v>
      </c>
      <c r="E4817" t="s">
        <v>1288</v>
      </c>
      <c r="F4817" t="s">
        <v>1231</v>
      </c>
    </row>
    <row r="4818" spans="1:6">
      <c r="A4818">
        <v>156</v>
      </c>
      <c r="B4818" t="s">
        <v>1616</v>
      </c>
      <c r="C4818">
        <v>23998</v>
      </c>
      <c r="D4818" t="s">
        <v>1592</v>
      </c>
      <c r="E4818" t="s">
        <v>1590</v>
      </c>
      <c r="F4818" t="s">
        <v>1593</v>
      </c>
    </row>
    <row r="4819" spans="1:6">
      <c r="A4819">
        <v>156</v>
      </c>
      <c r="B4819" t="s">
        <v>1616</v>
      </c>
      <c r="C4819">
        <v>16086</v>
      </c>
      <c r="D4819" t="s">
        <v>1594</v>
      </c>
      <c r="E4819" t="s">
        <v>1595</v>
      </c>
      <c r="F4819" t="s">
        <v>1596</v>
      </c>
    </row>
    <row r="4820" spans="1:6">
      <c r="A4820">
        <v>156</v>
      </c>
      <c r="B4820" t="s">
        <v>1616</v>
      </c>
      <c r="C4820">
        <v>14470</v>
      </c>
      <c r="D4820" t="s">
        <v>1597</v>
      </c>
      <c r="E4820" t="s">
        <v>1595</v>
      </c>
      <c r="F4820" t="s">
        <v>1598</v>
      </c>
    </row>
    <row r="4821" spans="1:6">
      <c r="A4821">
        <v>156</v>
      </c>
      <c r="B4821" t="s">
        <v>1616</v>
      </c>
      <c r="C4821">
        <v>1547732</v>
      </c>
      <c r="D4821" t="s">
        <v>1599</v>
      </c>
      <c r="E4821" t="s">
        <v>1600</v>
      </c>
      <c r="F4821" t="s">
        <v>1601</v>
      </c>
    </row>
    <row r="4822" spans="1:6">
      <c r="A4822">
        <v>156</v>
      </c>
      <c r="B4822" t="s">
        <v>1616</v>
      </c>
      <c r="C4822">
        <v>30000</v>
      </c>
      <c r="D4822" t="s">
        <v>1602</v>
      </c>
      <c r="E4822" t="s">
        <v>1600</v>
      </c>
      <c r="F4822" t="s">
        <v>1603</v>
      </c>
    </row>
    <row r="4823" spans="1:6">
      <c r="A4823">
        <v>156</v>
      </c>
      <c r="B4823" t="s">
        <v>1616</v>
      </c>
      <c r="C4823">
        <v>50892</v>
      </c>
      <c r="D4823" t="s">
        <v>1459</v>
      </c>
      <c r="E4823" t="s">
        <v>1605</v>
      </c>
      <c r="F4823" t="s">
        <v>1460</v>
      </c>
    </row>
    <row r="4824" spans="1:6">
      <c r="A4824">
        <v>156</v>
      </c>
      <c r="B4824" t="s">
        <v>1616</v>
      </c>
      <c r="C4824">
        <v>20000</v>
      </c>
      <c r="D4824" t="s">
        <v>1604</v>
      </c>
      <c r="E4824" t="s">
        <v>1605</v>
      </c>
      <c r="F4824" t="s">
        <v>1606</v>
      </c>
    </row>
    <row r="4825" spans="1:6">
      <c r="A4825">
        <v>156</v>
      </c>
      <c r="B4825" t="s">
        <v>1616</v>
      </c>
      <c r="C4825">
        <v>42019</v>
      </c>
      <c r="D4825" t="s">
        <v>1469</v>
      </c>
      <c r="E4825" t="s">
        <v>1470</v>
      </c>
      <c r="F4825" t="s">
        <v>1471</v>
      </c>
    </row>
    <row r="4826" spans="1:6">
      <c r="A4826">
        <v>156</v>
      </c>
      <c r="B4826" t="s">
        <v>1616</v>
      </c>
      <c r="C4826">
        <v>187773.56</v>
      </c>
      <c r="D4826" t="s">
        <v>1475</v>
      </c>
      <c r="E4826" t="s">
        <v>1476</v>
      </c>
      <c r="F4826" t="s">
        <v>1477</v>
      </c>
    </row>
    <row r="4827" spans="1:6">
      <c r="A4827">
        <v>156</v>
      </c>
      <c r="B4827" t="s">
        <v>1616</v>
      </c>
      <c r="C4827">
        <v>285730.38</v>
      </c>
      <c r="D4827" t="s">
        <v>1478</v>
      </c>
      <c r="E4827" t="s">
        <v>1479</v>
      </c>
      <c r="F4827" t="s">
        <v>1480</v>
      </c>
    </row>
    <row r="4828" spans="1:6">
      <c r="A4828">
        <v>156</v>
      </c>
      <c r="B4828" t="s">
        <v>1616</v>
      </c>
      <c r="C4828">
        <v>432399.09</v>
      </c>
      <c r="D4828" t="s">
        <v>1365</v>
      </c>
      <c r="E4828" t="s">
        <v>1366</v>
      </c>
      <c r="F4828" t="s">
        <v>1367</v>
      </c>
    </row>
    <row r="4829" spans="1:6">
      <c r="A4829">
        <v>156</v>
      </c>
      <c r="B4829" t="s">
        <v>1616</v>
      </c>
      <c r="C4829">
        <v>1359049</v>
      </c>
      <c r="D4829" t="s">
        <v>1610</v>
      </c>
      <c r="E4829" t="s">
        <v>1481</v>
      </c>
      <c r="F4829" t="s">
        <v>1482</v>
      </c>
    </row>
    <row r="4830" spans="1:6">
      <c r="A4830">
        <v>157</v>
      </c>
      <c r="B4830" t="s">
        <v>1617</v>
      </c>
      <c r="C4830">
        <v>7175</v>
      </c>
      <c r="D4830" t="s">
        <v>1489</v>
      </c>
      <c r="E4830" t="s">
        <v>1490</v>
      </c>
      <c r="F4830" t="s">
        <v>1491</v>
      </c>
    </row>
    <row r="4831" spans="1:6">
      <c r="A4831">
        <v>157</v>
      </c>
      <c r="B4831" t="s">
        <v>1617</v>
      </c>
      <c r="C4831">
        <v>5384</v>
      </c>
      <c r="D4831" t="s">
        <v>1567</v>
      </c>
      <c r="E4831" t="s">
        <v>1568</v>
      </c>
      <c r="F4831" t="s">
        <v>1569</v>
      </c>
    </row>
    <row r="4832" spans="1:6">
      <c r="A4832">
        <v>157</v>
      </c>
      <c r="B4832" t="s">
        <v>1617</v>
      </c>
      <c r="C4832">
        <v>797510</v>
      </c>
      <c r="D4832" t="s">
        <v>1570</v>
      </c>
      <c r="E4832" t="s">
        <v>1571</v>
      </c>
      <c r="F4832" t="s">
        <v>1572</v>
      </c>
    </row>
    <row r="4833" spans="1:6">
      <c r="A4833">
        <v>157</v>
      </c>
      <c r="B4833" t="s">
        <v>1617</v>
      </c>
      <c r="C4833">
        <v>580214</v>
      </c>
      <c r="D4833" t="s">
        <v>1573</v>
      </c>
      <c r="E4833" t="s">
        <v>1574</v>
      </c>
      <c r="F4833" t="s">
        <v>1575</v>
      </c>
    </row>
    <row r="4834" spans="1:6">
      <c r="A4834">
        <v>157</v>
      </c>
      <c r="B4834" t="s">
        <v>1617</v>
      </c>
      <c r="C4834">
        <v>12635</v>
      </c>
      <c r="D4834" t="s">
        <v>1371</v>
      </c>
      <c r="E4834" t="s">
        <v>1372</v>
      </c>
      <c r="F4834" t="s">
        <v>1373</v>
      </c>
    </row>
    <row r="4835" spans="1:6">
      <c r="A4835">
        <v>157</v>
      </c>
      <c r="B4835" t="s">
        <v>1617</v>
      </c>
      <c r="C4835">
        <v>14000</v>
      </c>
      <c r="D4835" t="s">
        <v>1528</v>
      </c>
      <c r="E4835" t="s">
        <v>1529</v>
      </c>
      <c r="F4835" t="s">
        <v>1530</v>
      </c>
    </row>
    <row r="4836" spans="1:6">
      <c r="A4836">
        <v>157</v>
      </c>
      <c r="B4836" t="s">
        <v>1617</v>
      </c>
      <c r="C4836">
        <v>16000</v>
      </c>
      <c r="D4836" t="s">
        <v>1531</v>
      </c>
      <c r="E4836" t="s">
        <v>1532</v>
      </c>
      <c r="F4836" t="s">
        <v>1533</v>
      </c>
    </row>
    <row r="4837" spans="1:6">
      <c r="A4837">
        <v>157</v>
      </c>
      <c r="B4837" t="s">
        <v>1617</v>
      </c>
      <c r="C4837">
        <v>13486.25</v>
      </c>
      <c r="D4837" t="s">
        <v>1431</v>
      </c>
      <c r="E4837" t="s">
        <v>1432</v>
      </c>
      <c r="F4837" t="s">
        <v>1433</v>
      </c>
    </row>
    <row r="4838" spans="1:6">
      <c r="A4838">
        <v>157</v>
      </c>
      <c r="B4838" t="s">
        <v>1617</v>
      </c>
      <c r="C4838">
        <v>32657.279999999999</v>
      </c>
      <c r="D4838" t="s">
        <v>1434</v>
      </c>
      <c r="E4838" t="s">
        <v>1432</v>
      </c>
      <c r="F4838" t="s">
        <v>1435</v>
      </c>
    </row>
    <row r="4839" spans="1:6">
      <c r="A4839">
        <v>157</v>
      </c>
      <c r="B4839" t="s">
        <v>1617</v>
      </c>
      <c r="C4839">
        <v>17918</v>
      </c>
      <c r="D4839" t="s">
        <v>1584</v>
      </c>
      <c r="E4839" t="s">
        <v>1585</v>
      </c>
      <c r="F4839" t="s">
        <v>1586</v>
      </c>
    </row>
    <row r="4840" spans="1:6">
      <c r="A4840">
        <v>157</v>
      </c>
      <c r="B4840" t="s">
        <v>1617</v>
      </c>
      <c r="C4840">
        <v>5200</v>
      </c>
      <c r="D4840" t="s">
        <v>1587</v>
      </c>
      <c r="E4840" t="s">
        <v>1585</v>
      </c>
      <c r="F4840" t="s">
        <v>1588</v>
      </c>
    </row>
    <row r="4841" spans="1:6">
      <c r="A4841">
        <v>157</v>
      </c>
      <c r="B4841" t="s">
        <v>1617</v>
      </c>
      <c r="C4841">
        <v>4050</v>
      </c>
      <c r="D4841" t="s">
        <v>1589</v>
      </c>
      <c r="E4841" t="s">
        <v>1590</v>
      </c>
      <c r="F4841" t="s">
        <v>1591</v>
      </c>
    </row>
    <row r="4842" spans="1:6">
      <c r="A4842">
        <v>157</v>
      </c>
      <c r="B4842" t="s">
        <v>1617</v>
      </c>
      <c r="C4842">
        <v>2150</v>
      </c>
      <c r="D4842" t="s">
        <v>1592</v>
      </c>
      <c r="E4842" t="s">
        <v>1590</v>
      </c>
      <c r="F4842" t="s">
        <v>1593</v>
      </c>
    </row>
    <row r="4843" spans="1:6">
      <c r="A4843">
        <v>157</v>
      </c>
      <c r="B4843" t="s">
        <v>1617</v>
      </c>
      <c r="C4843">
        <v>1013</v>
      </c>
      <c r="D4843" t="s">
        <v>1212</v>
      </c>
      <c r="E4843" t="s">
        <v>1595</v>
      </c>
      <c r="F4843" t="s">
        <v>1300</v>
      </c>
    </row>
    <row r="4844" spans="1:6">
      <c r="A4844">
        <v>157</v>
      </c>
      <c r="B4844" t="s">
        <v>1617</v>
      </c>
      <c r="C4844">
        <v>1913</v>
      </c>
      <c r="D4844" t="s">
        <v>1594</v>
      </c>
      <c r="E4844" t="s">
        <v>1595</v>
      </c>
      <c r="F4844" t="s">
        <v>1596</v>
      </c>
    </row>
    <row r="4845" spans="1:6">
      <c r="A4845">
        <v>157</v>
      </c>
      <c r="B4845" t="s">
        <v>1617</v>
      </c>
      <c r="C4845">
        <v>510</v>
      </c>
      <c r="D4845" t="s">
        <v>1597</v>
      </c>
      <c r="E4845" t="s">
        <v>1595</v>
      </c>
      <c r="F4845" t="s">
        <v>1598</v>
      </c>
    </row>
    <row r="4846" spans="1:6">
      <c r="A4846">
        <v>157</v>
      </c>
      <c r="B4846" t="s">
        <v>1617</v>
      </c>
      <c r="C4846">
        <v>178438</v>
      </c>
      <c r="D4846" t="s">
        <v>1599</v>
      </c>
      <c r="E4846" t="s">
        <v>1600</v>
      </c>
      <c r="F4846" t="s">
        <v>1601</v>
      </c>
    </row>
    <row r="4847" spans="1:6">
      <c r="A4847">
        <v>157</v>
      </c>
      <c r="B4847" t="s">
        <v>1617</v>
      </c>
      <c r="C4847">
        <v>204320</v>
      </c>
      <c r="D4847" t="s">
        <v>1602</v>
      </c>
      <c r="E4847" t="s">
        <v>1600</v>
      </c>
      <c r="F4847" t="s">
        <v>1603</v>
      </c>
    </row>
    <row r="4848" spans="1:6">
      <c r="A4848">
        <v>157</v>
      </c>
      <c r="B4848" t="s">
        <v>1617</v>
      </c>
      <c r="C4848">
        <v>5025</v>
      </c>
      <c r="D4848" t="s">
        <v>1604</v>
      </c>
      <c r="E4848" t="s">
        <v>1605</v>
      </c>
      <c r="F4848" t="s">
        <v>1606</v>
      </c>
    </row>
    <row r="4849" spans="1:6">
      <c r="A4849">
        <v>157</v>
      </c>
      <c r="B4849" t="s">
        <v>1617</v>
      </c>
      <c r="C4849">
        <v>250.53</v>
      </c>
      <c r="D4849" t="s">
        <v>1379</v>
      </c>
      <c r="E4849" t="s">
        <v>1380</v>
      </c>
      <c r="F4849" t="s">
        <v>1381</v>
      </c>
    </row>
    <row r="4850" spans="1:6">
      <c r="A4850">
        <v>157</v>
      </c>
      <c r="B4850" t="s">
        <v>1617</v>
      </c>
      <c r="C4850">
        <v>28889.94</v>
      </c>
      <c r="D4850" t="s">
        <v>1475</v>
      </c>
      <c r="E4850" t="s">
        <v>1476</v>
      </c>
      <c r="F4850" t="s">
        <v>1477</v>
      </c>
    </row>
    <row r="4851" spans="1:6">
      <c r="A4851">
        <v>157</v>
      </c>
      <c r="B4851" t="s">
        <v>1617</v>
      </c>
      <c r="C4851">
        <v>8790.51</v>
      </c>
      <c r="D4851" t="s">
        <v>1478</v>
      </c>
      <c r="E4851" t="s">
        <v>1479</v>
      </c>
      <c r="F4851" t="s">
        <v>1480</v>
      </c>
    </row>
    <row r="4852" spans="1:6">
      <c r="A4852">
        <v>157</v>
      </c>
      <c r="B4852" t="s">
        <v>1617</v>
      </c>
      <c r="C4852">
        <v>211354.61</v>
      </c>
      <c r="D4852" t="s">
        <v>1365</v>
      </c>
      <c r="E4852" t="s">
        <v>1366</v>
      </c>
      <c r="F4852" t="s">
        <v>1367</v>
      </c>
    </row>
    <row r="4853" spans="1:6">
      <c r="A4853">
        <v>158</v>
      </c>
      <c r="B4853" t="s">
        <v>1618</v>
      </c>
      <c r="C4853">
        <v>18010</v>
      </c>
      <c r="D4853" t="s">
        <v>1489</v>
      </c>
      <c r="E4853" t="s">
        <v>1490</v>
      </c>
      <c r="F4853" t="s">
        <v>1491</v>
      </c>
    </row>
    <row r="4854" spans="1:6">
      <c r="A4854">
        <v>158</v>
      </c>
      <c r="B4854" t="s">
        <v>1618</v>
      </c>
      <c r="C4854">
        <v>722</v>
      </c>
      <c r="D4854" t="s">
        <v>1567</v>
      </c>
      <c r="E4854" t="s">
        <v>1568</v>
      </c>
      <c r="F4854" t="s">
        <v>1569</v>
      </c>
    </row>
    <row r="4855" spans="1:6">
      <c r="A4855">
        <v>158</v>
      </c>
      <c r="B4855" t="s">
        <v>1618</v>
      </c>
      <c r="C4855">
        <v>4149</v>
      </c>
      <c r="D4855" t="s">
        <v>1496</v>
      </c>
      <c r="E4855" t="s">
        <v>1497</v>
      </c>
      <c r="F4855" t="s">
        <v>1498</v>
      </c>
    </row>
    <row r="4856" spans="1:6">
      <c r="A4856">
        <v>158</v>
      </c>
      <c r="B4856" t="s">
        <v>1618</v>
      </c>
      <c r="C4856">
        <v>1389338</v>
      </c>
      <c r="D4856" t="s">
        <v>1570</v>
      </c>
      <c r="E4856" t="s">
        <v>1571</v>
      </c>
      <c r="F4856" t="s">
        <v>1572</v>
      </c>
    </row>
    <row r="4857" spans="1:6">
      <c r="A4857">
        <v>158</v>
      </c>
      <c r="B4857" t="s">
        <v>1618</v>
      </c>
      <c r="C4857">
        <v>61334</v>
      </c>
      <c r="D4857" t="s">
        <v>1333</v>
      </c>
      <c r="E4857" t="s">
        <v>1383</v>
      </c>
      <c r="F4857" t="s">
        <v>1334</v>
      </c>
    </row>
    <row r="4858" spans="1:6">
      <c r="A4858">
        <v>158</v>
      </c>
      <c r="B4858" t="s">
        <v>1618</v>
      </c>
      <c r="C4858">
        <v>48973</v>
      </c>
      <c r="D4858" t="s">
        <v>1520</v>
      </c>
      <c r="E4858" t="s">
        <v>1521</v>
      </c>
      <c r="F4858" t="s">
        <v>1522</v>
      </c>
    </row>
    <row r="4859" spans="1:6">
      <c r="A4859">
        <v>158</v>
      </c>
      <c r="B4859" t="s">
        <v>1618</v>
      </c>
      <c r="C4859">
        <v>622292</v>
      </c>
      <c r="D4859" t="s">
        <v>1573</v>
      </c>
      <c r="E4859" t="s">
        <v>1574</v>
      </c>
      <c r="F4859" t="s">
        <v>1575</v>
      </c>
    </row>
    <row r="4860" spans="1:6">
      <c r="A4860">
        <v>158</v>
      </c>
      <c r="B4860" t="s">
        <v>1618</v>
      </c>
      <c r="C4860">
        <v>14373</v>
      </c>
      <c r="D4860" t="s">
        <v>1523</v>
      </c>
      <c r="E4860" t="s">
        <v>1521</v>
      </c>
      <c r="F4860" t="s">
        <v>1524</v>
      </c>
    </row>
    <row r="4861" spans="1:6">
      <c r="A4861">
        <v>158</v>
      </c>
      <c r="B4861" t="s">
        <v>1618</v>
      </c>
      <c r="C4861">
        <v>20803</v>
      </c>
      <c r="D4861" t="s">
        <v>1371</v>
      </c>
      <c r="E4861" t="s">
        <v>1372</v>
      </c>
      <c r="F4861" t="s">
        <v>1373</v>
      </c>
    </row>
    <row r="4862" spans="1:6">
      <c r="A4862">
        <v>158</v>
      </c>
      <c r="B4862" t="s">
        <v>1618</v>
      </c>
      <c r="C4862">
        <v>22206</v>
      </c>
      <c r="D4862" t="s">
        <v>1528</v>
      </c>
      <c r="E4862" t="s">
        <v>1529</v>
      </c>
      <c r="F4862" t="s">
        <v>1530</v>
      </c>
    </row>
    <row r="4863" spans="1:6">
      <c r="A4863">
        <v>158</v>
      </c>
      <c r="B4863" t="s">
        <v>1618</v>
      </c>
      <c r="C4863">
        <v>77244</v>
      </c>
      <c r="D4863" t="s">
        <v>1531</v>
      </c>
      <c r="E4863" t="s">
        <v>1532</v>
      </c>
      <c r="F4863" t="s">
        <v>1533</v>
      </c>
    </row>
    <row r="4864" spans="1:6">
      <c r="A4864">
        <v>158</v>
      </c>
      <c r="B4864" t="s">
        <v>1618</v>
      </c>
      <c r="C4864">
        <v>37627.9</v>
      </c>
      <c r="D4864" t="s">
        <v>1431</v>
      </c>
      <c r="E4864" t="s">
        <v>1432</v>
      </c>
      <c r="F4864" t="s">
        <v>1433</v>
      </c>
    </row>
    <row r="4865" spans="1:6">
      <c r="A4865">
        <v>158</v>
      </c>
      <c r="B4865" t="s">
        <v>1618</v>
      </c>
      <c r="C4865">
        <v>86237.119999999995</v>
      </c>
      <c r="D4865" t="s">
        <v>1434</v>
      </c>
      <c r="E4865" t="s">
        <v>1432</v>
      </c>
      <c r="F4865" t="s">
        <v>1435</v>
      </c>
    </row>
    <row r="4866" spans="1:6">
      <c r="A4866">
        <v>158</v>
      </c>
      <c r="B4866" t="s">
        <v>1618</v>
      </c>
      <c r="C4866">
        <v>14576</v>
      </c>
      <c r="D4866" t="s">
        <v>1576</v>
      </c>
      <c r="E4866" t="s">
        <v>1577</v>
      </c>
      <c r="F4866" t="s">
        <v>1578</v>
      </c>
    </row>
    <row r="4867" spans="1:6">
      <c r="A4867">
        <v>158</v>
      </c>
      <c r="B4867" t="s">
        <v>1618</v>
      </c>
      <c r="C4867">
        <v>180394</v>
      </c>
      <c r="D4867" t="s">
        <v>1579</v>
      </c>
      <c r="E4867" t="s">
        <v>1577</v>
      </c>
      <c r="F4867" t="s">
        <v>1580</v>
      </c>
    </row>
    <row r="4868" spans="1:6">
      <c r="A4868">
        <v>158</v>
      </c>
      <c r="B4868" t="s">
        <v>1618</v>
      </c>
      <c r="C4868">
        <v>36180</v>
      </c>
      <c r="D4868" t="s">
        <v>1436</v>
      </c>
      <c r="E4868" t="s">
        <v>1437</v>
      </c>
      <c r="F4868" t="s">
        <v>1438</v>
      </c>
    </row>
    <row r="4869" spans="1:6">
      <c r="A4869">
        <v>158</v>
      </c>
      <c r="B4869" t="s">
        <v>1618</v>
      </c>
      <c r="C4869">
        <v>1136</v>
      </c>
      <c r="D4869" t="s">
        <v>1442</v>
      </c>
      <c r="E4869" t="s">
        <v>1582</v>
      </c>
      <c r="F4869" t="s">
        <v>1443</v>
      </c>
    </row>
    <row r="4870" spans="1:6">
      <c r="A4870">
        <v>158</v>
      </c>
      <c r="B4870" t="s">
        <v>1618</v>
      </c>
      <c r="C4870">
        <v>1000</v>
      </c>
      <c r="D4870" t="s">
        <v>1581</v>
      </c>
      <c r="E4870" t="s">
        <v>1582</v>
      </c>
      <c r="F4870" t="s">
        <v>1583</v>
      </c>
    </row>
    <row r="4871" spans="1:6">
      <c r="A4871">
        <v>158</v>
      </c>
      <c r="B4871" t="s">
        <v>1618</v>
      </c>
      <c r="C4871">
        <v>4701</v>
      </c>
      <c r="D4871" t="s">
        <v>1584</v>
      </c>
      <c r="E4871" t="s">
        <v>1585</v>
      </c>
      <c r="F4871" t="s">
        <v>1586</v>
      </c>
    </row>
    <row r="4872" spans="1:6">
      <c r="A4872">
        <v>158</v>
      </c>
      <c r="B4872" t="s">
        <v>1618</v>
      </c>
      <c r="C4872">
        <v>66385</v>
      </c>
      <c r="D4872" t="s">
        <v>1587</v>
      </c>
      <c r="E4872" t="s">
        <v>1585</v>
      </c>
      <c r="F4872" t="s">
        <v>1588</v>
      </c>
    </row>
    <row r="4873" spans="1:6">
      <c r="A4873">
        <v>158</v>
      </c>
      <c r="B4873" t="s">
        <v>1618</v>
      </c>
      <c r="C4873">
        <v>8075</v>
      </c>
      <c r="D4873" t="s">
        <v>1454</v>
      </c>
      <c r="E4873" t="s">
        <v>1455</v>
      </c>
      <c r="F4873" t="s">
        <v>1456</v>
      </c>
    </row>
    <row r="4874" spans="1:6">
      <c r="A4874">
        <v>158</v>
      </c>
      <c r="B4874" t="s">
        <v>1618</v>
      </c>
      <c r="C4874">
        <v>1920</v>
      </c>
      <c r="D4874" t="s">
        <v>1457</v>
      </c>
      <c r="E4874" t="s">
        <v>1455</v>
      </c>
      <c r="F4874" t="s">
        <v>1458</v>
      </c>
    </row>
    <row r="4875" spans="1:6">
      <c r="A4875">
        <v>158</v>
      </c>
      <c r="B4875" t="s">
        <v>1618</v>
      </c>
      <c r="C4875">
        <v>6600</v>
      </c>
      <c r="D4875" t="s">
        <v>1592</v>
      </c>
      <c r="E4875" t="s">
        <v>1590</v>
      </c>
      <c r="F4875" t="s">
        <v>1593</v>
      </c>
    </row>
    <row r="4876" spans="1:6">
      <c r="A4876">
        <v>158</v>
      </c>
      <c r="B4876" t="s">
        <v>1618</v>
      </c>
      <c r="C4876">
        <v>1575</v>
      </c>
      <c r="D4876" t="s">
        <v>1597</v>
      </c>
      <c r="E4876" t="s">
        <v>1595</v>
      </c>
      <c r="F4876" t="s">
        <v>1598</v>
      </c>
    </row>
    <row r="4877" spans="1:6">
      <c r="A4877">
        <v>158</v>
      </c>
      <c r="B4877" t="s">
        <v>1618</v>
      </c>
      <c r="C4877">
        <v>40207</v>
      </c>
      <c r="D4877" t="s">
        <v>1599</v>
      </c>
      <c r="E4877" t="s">
        <v>1600</v>
      </c>
      <c r="F4877" t="s">
        <v>1601</v>
      </c>
    </row>
    <row r="4878" spans="1:6">
      <c r="A4878">
        <v>158</v>
      </c>
      <c r="B4878" t="s">
        <v>1618</v>
      </c>
      <c r="C4878">
        <v>850153</v>
      </c>
      <c r="D4878" t="s">
        <v>1602</v>
      </c>
      <c r="E4878" t="s">
        <v>1600</v>
      </c>
      <c r="F4878" t="s">
        <v>1603</v>
      </c>
    </row>
    <row r="4879" spans="1:6">
      <c r="A4879">
        <v>158</v>
      </c>
      <c r="B4879" t="s">
        <v>1618</v>
      </c>
      <c r="C4879">
        <v>11556</v>
      </c>
      <c r="D4879" t="s">
        <v>1459</v>
      </c>
      <c r="E4879" t="s">
        <v>1605</v>
      </c>
      <c r="F4879" t="s">
        <v>1460</v>
      </c>
    </row>
    <row r="4880" spans="1:6">
      <c r="A4880">
        <v>158</v>
      </c>
      <c r="B4880" t="s">
        <v>1618</v>
      </c>
      <c r="C4880">
        <v>23684</v>
      </c>
      <c r="D4880" t="s">
        <v>1604</v>
      </c>
      <c r="E4880" t="s">
        <v>1605</v>
      </c>
      <c r="F4880" t="s">
        <v>1606</v>
      </c>
    </row>
    <row r="4881" spans="1:6">
      <c r="A4881">
        <v>158</v>
      </c>
      <c r="B4881" t="s">
        <v>1618</v>
      </c>
      <c r="C4881">
        <v>12925.91</v>
      </c>
      <c r="D4881" t="s">
        <v>1379</v>
      </c>
      <c r="E4881" t="s">
        <v>1380</v>
      </c>
      <c r="F4881" t="s">
        <v>1381</v>
      </c>
    </row>
    <row r="4882" spans="1:6">
      <c r="A4882">
        <v>158</v>
      </c>
      <c r="B4882" t="s">
        <v>1618</v>
      </c>
      <c r="C4882">
        <v>154510.03</v>
      </c>
      <c r="D4882" t="s">
        <v>1475</v>
      </c>
      <c r="E4882" t="s">
        <v>1476</v>
      </c>
      <c r="F4882" t="s">
        <v>1477</v>
      </c>
    </row>
    <row r="4883" spans="1:6">
      <c r="A4883">
        <v>158</v>
      </c>
      <c r="B4883" t="s">
        <v>1618</v>
      </c>
      <c r="C4883">
        <v>179794.11</v>
      </c>
      <c r="D4883" t="s">
        <v>1478</v>
      </c>
      <c r="E4883" t="s">
        <v>1479</v>
      </c>
      <c r="F4883" t="s">
        <v>1480</v>
      </c>
    </row>
    <row r="4884" spans="1:6">
      <c r="A4884">
        <v>158</v>
      </c>
      <c r="B4884" t="s">
        <v>1618</v>
      </c>
      <c r="C4884">
        <v>130540.08</v>
      </c>
      <c r="D4884" t="s">
        <v>1365</v>
      </c>
      <c r="E4884" t="s">
        <v>1366</v>
      </c>
      <c r="F4884" t="s">
        <v>1367</v>
      </c>
    </row>
    <row r="4885" spans="1:6">
      <c r="A4885">
        <v>159</v>
      </c>
      <c r="B4885" t="s">
        <v>1619</v>
      </c>
      <c r="C4885">
        <v>23823</v>
      </c>
      <c r="D4885" t="s">
        <v>1486</v>
      </c>
      <c r="E4885" t="s">
        <v>1487</v>
      </c>
      <c r="F4885" t="s">
        <v>1488</v>
      </c>
    </row>
    <row r="4886" spans="1:6">
      <c r="A4886">
        <v>159</v>
      </c>
      <c r="B4886" t="s">
        <v>1619</v>
      </c>
      <c r="C4886">
        <v>12729</v>
      </c>
      <c r="D4886" t="s">
        <v>1489</v>
      </c>
      <c r="E4886" t="s">
        <v>1490</v>
      </c>
      <c r="F4886" t="s">
        <v>1491</v>
      </c>
    </row>
    <row r="4887" spans="1:6">
      <c r="A4887">
        <v>159</v>
      </c>
      <c r="B4887" t="s">
        <v>1619</v>
      </c>
      <c r="C4887">
        <v>194445</v>
      </c>
      <c r="D4887" t="s">
        <v>1567</v>
      </c>
      <c r="E4887" t="s">
        <v>1568</v>
      </c>
      <c r="F4887" t="s">
        <v>1569</v>
      </c>
    </row>
    <row r="4888" spans="1:6">
      <c r="A4888">
        <v>159</v>
      </c>
      <c r="B4888" t="s">
        <v>1619</v>
      </c>
      <c r="C4888">
        <v>24461</v>
      </c>
      <c r="D4888" t="s">
        <v>1496</v>
      </c>
      <c r="E4888" t="s">
        <v>1497</v>
      </c>
      <c r="F4888" t="s">
        <v>1498</v>
      </c>
    </row>
    <row r="4889" spans="1:6">
      <c r="A4889">
        <v>159</v>
      </c>
      <c r="B4889" t="s">
        <v>1619</v>
      </c>
      <c r="C4889">
        <v>5577069</v>
      </c>
      <c r="D4889" t="s">
        <v>1570</v>
      </c>
      <c r="E4889" t="s">
        <v>1571</v>
      </c>
      <c r="F4889" t="s">
        <v>1572</v>
      </c>
    </row>
    <row r="4890" spans="1:6">
      <c r="A4890">
        <v>159</v>
      </c>
      <c r="B4890" t="s">
        <v>1619</v>
      </c>
      <c r="C4890">
        <v>250288</v>
      </c>
      <c r="D4890" t="s">
        <v>1520</v>
      </c>
      <c r="E4890" t="s">
        <v>1521</v>
      </c>
      <c r="F4890" t="s">
        <v>1522</v>
      </c>
    </row>
    <row r="4891" spans="1:6">
      <c r="A4891">
        <v>159</v>
      </c>
      <c r="B4891" t="s">
        <v>1619</v>
      </c>
      <c r="C4891">
        <v>465594</v>
      </c>
      <c r="D4891" t="s">
        <v>1573</v>
      </c>
      <c r="E4891" t="s">
        <v>1574</v>
      </c>
      <c r="F4891" t="s">
        <v>1575</v>
      </c>
    </row>
    <row r="4892" spans="1:6">
      <c r="A4892">
        <v>159</v>
      </c>
      <c r="B4892" t="s">
        <v>1619</v>
      </c>
      <c r="C4892">
        <v>24115</v>
      </c>
      <c r="D4892" t="s">
        <v>1525</v>
      </c>
      <c r="E4892" t="s">
        <v>1526</v>
      </c>
      <c r="F4892" t="s">
        <v>1527</v>
      </c>
    </row>
    <row r="4893" spans="1:6">
      <c r="A4893">
        <v>159</v>
      </c>
      <c r="B4893" t="s">
        <v>1619</v>
      </c>
      <c r="C4893">
        <v>21666</v>
      </c>
      <c r="D4893" t="s">
        <v>1528</v>
      </c>
      <c r="E4893" t="s">
        <v>1529</v>
      </c>
      <c r="F4893" t="s">
        <v>1530</v>
      </c>
    </row>
    <row r="4894" spans="1:6">
      <c r="A4894">
        <v>159</v>
      </c>
      <c r="B4894" t="s">
        <v>1619</v>
      </c>
      <c r="C4894">
        <v>26000</v>
      </c>
      <c r="D4894" t="s">
        <v>1531</v>
      </c>
      <c r="E4894" t="s">
        <v>1532</v>
      </c>
      <c r="F4894" t="s">
        <v>1533</v>
      </c>
    </row>
    <row r="4895" spans="1:6">
      <c r="A4895">
        <v>159</v>
      </c>
      <c r="B4895" t="s">
        <v>1619</v>
      </c>
      <c r="C4895">
        <v>42900</v>
      </c>
      <c r="D4895" t="s">
        <v>1387</v>
      </c>
      <c r="E4895" t="s">
        <v>1388</v>
      </c>
      <c r="F4895" t="s">
        <v>1389</v>
      </c>
    </row>
    <row r="4896" spans="1:6">
      <c r="A4896">
        <v>159</v>
      </c>
      <c r="B4896" t="s">
        <v>1619</v>
      </c>
      <c r="C4896">
        <v>68365</v>
      </c>
      <c r="D4896" t="s">
        <v>1390</v>
      </c>
      <c r="E4896" t="s">
        <v>1391</v>
      </c>
      <c r="F4896" t="s">
        <v>1392</v>
      </c>
    </row>
    <row r="4897" spans="1:6">
      <c r="A4897">
        <v>159</v>
      </c>
      <c r="B4897" t="s">
        <v>1619</v>
      </c>
      <c r="C4897">
        <v>7655.69</v>
      </c>
      <c r="D4897" t="s">
        <v>1537</v>
      </c>
      <c r="E4897" t="s">
        <v>1538</v>
      </c>
      <c r="F4897" t="s">
        <v>1539</v>
      </c>
    </row>
    <row r="4898" spans="1:6">
      <c r="A4898">
        <v>159</v>
      </c>
      <c r="B4898" t="s">
        <v>1619</v>
      </c>
      <c r="C4898">
        <v>12655.98</v>
      </c>
      <c r="D4898" t="s">
        <v>1540</v>
      </c>
      <c r="E4898" t="s">
        <v>1538</v>
      </c>
      <c r="F4898" t="s">
        <v>1541</v>
      </c>
    </row>
    <row r="4899" spans="1:6">
      <c r="A4899">
        <v>159</v>
      </c>
      <c r="B4899" t="s">
        <v>1619</v>
      </c>
      <c r="C4899">
        <v>70267.61</v>
      </c>
      <c r="D4899" t="s">
        <v>1431</v>
      </c>
      <c r="E4899" t="s">
        <v>1432</v>
      </c>
      <c r="F4899" t="s">
        <v>1433</v>
      </c>
    </row>
    <row r="4900" spans="1:6">
      <c r="A4900">
        <v>159</v>
      </c>
      <c r="B4900" t="s">
        <v>1619</v>
      </c>
      <c r="C4900">
        <v>158081.42000000001</v>
      </c>
      <c r="D4900" t="s">
        <v>1434</v>
      </c>
      <c r="E4900" t="s">
        <v>1432</v>
      </c>
      <c r="F4900" t="s">
        <v>1435</v>
      </c>
    </row>
    <row r="4901" spans="1:6">
      <c r="A4901">
        <v>159</v>
      </c>
      <c r="B4901" t="s">
        <v>1619</v>
      </c>
      <c r="C4901">
        <v>55574</v>
      </c>
      <c r="D4901" t="s">
        <v>1576</v>
      </c>
      <c r="E4901" t="s">
        <v>1577</v>
      </c>
      <c r="F4901" t="s">
        <v>1578</v>
      </c>
    </row>
    <row r="4902" spans="1:6">
      <c r="A4902">
        <v>159</v>
      </c>
      <c r="B4902" t="s">
        <v>1619</v>
      </c>
      <c r="C4902">
        <v>105000</v>
      </c>
      <c r="D4902" t="s">
        <v>1579</v>
      </c>
      <c r="E4902" t="s">
        <v>1577</v>
      </c>
      <c r="F4902" t="s">
        <v>1580</v>
      </c>
    </row>
    <row r="4903" spans="1:6">
      <c r="A4903">
        <v>159</v>
      </c>
      <c r="B4903" t="s">
        <v>1619</v>
      </c>
      <c r="C4903">
        <v>29049</v>
      </c>
      <c r="D4903" t="s">
        <v>1436</v>
      </c>
      <c r="E4903" t="s">
        <v>1437</v>
      </c>
      <c r="F4903" t="s">
        <v>1438</v>
      </c>
    </row>
    <row r="4904" spans="1:6">
      <c r="A4904">
        <v>159</v>
      </c>
      <c r="B4904" t="s">
        <v>1619</v>
      </c>
      <c r="C4904">
        <v>2052</v>
      </c>
      <c r="D4904" t="s">
        <v>1442</v>
      </c>
      <c r="E4904" t="s">
        <v>1582</v>
      </c>
      <c r="F4904" t="s">
        <v>1443</v>
      </c>
    </row>
    <row r="4905" spans="1:6">
      <c r="A4905">
        <v>159</v>
      </c>
      <c r="B4905" t="s">
        <v>1619</v>
      </c>
      <c r="C4905">
        <v>200</v>
      </c>
      <c r="D4905" t="s">
        <v>1581</v>
      </c>
      <c r="E4905" t="s">
        <v>1582</v>
      </c>
      <c r="F4905" t="s">
        <v>1583</v>
      </c>
    </row>
    <row r="4906" spans="1:6">
      <c r="A4906">
        <v>159</v>
      </c>
      <c r="B4906" t="s">
        <v>1619</v>
      </c>
      <c r="C4906">
        <v>50128</v>
      </c>
      <c r="D4906" t="s">
        <v>1584</v>
      </c>
      <c r="E4906" t="s">
        <v>1585</v>
      </c>
      <c r="F4906" t="s">
        <v>1586</v>
      </c>
    </row>
    <row r="4907" spans="1:6">
      <c r="A4907">
        <v>159</v>
      </c>
      <c r="B4907" t="s">
        <v>1619</v>
      </c>
      <c r="C4907">
        <v>37000</v>
      </c>
      <c r="D4907" t="s">
        <v>1587</v>
      </c>
      <c r="E4907" t="s">
        <v>1585</v>
      </c>
      <c r="F4907" t="s">
        <v>1588</v>
      </c>
    </row>
    <row r="4908" spans="1:6">
      <c r="A4908">
        <v>159</v>
      </c>
      <c r="B4908" t="s">
        <v>1619</v>
      </c>
      <c r="C4908">
        <v>19000</v>
      </c>
      <c r="D4908" t="s">
        <v>1457</v>
      </c>
      <c r="E4908" t="s">
        <v>1455</v>
      </c>
      <c r="F4908" t="s">
        <v>1458</v>
      </c>
    </row>
    <row r="4909" spans="1:6">
      <c r="A4909">
        <v>159</v>
      </c>
      <c r="B4909" t="s">
        <v>1619</v>
      </c>
      <c r="C4909">
        <v>4861</v>
      </c>
      <c r="D4909" t="s">
        <v>1589</v>
      </c>
      <c r="E4909" t="s">
        <v>1590</v>
      </c>
      <c r="F4909" t="s">
        <v>1591</v>
      </c>
    </row>
    <row r="4910" spans="1:6">
      <c r="A4910">
        <v>159</v>
      </c>
      <c r="B4910" t="s">
        <v>1619</v>
      </c>
      <c r="C4910">
        <v>5000</v>
      </c>
      <c r="D4910" t="s">
        <v>1592</v>
      </c>
      <c r="E4910" t="s">
        <v>1590</v>
      </c>
      <c r="F4910" t="s">
        <v>1593</v>
      </c>
    </row>
    <row r="4911" spans="1:6">
      <c r="A4911">
        <v>159</v>
      </c>
      <c r="B4911" t="s">
        <v>1619</v>
      </c>
      <c r="C4911">
        <v>4100</v>
      </c>
      <c r="D4911" t="s">
        <v>1597</v>
      </c>
      <c r="E4911" t="s">
        <v>1595</v>
      </c>
      <c r="F4911" t="s">
        <v>1598</v>
      </c>
    </row>
    <row r="4912" spans="1:6">
      <c r="A4912">
        <v>159</v>
      </c>
      <c r="B4912" t="s">
        <v>1619</v>
      </c>
      <c r="C4912">
        <v>257678</v>
      </c>
      <c r="D4912" t="s">
        <v>1599</v>
      </c>
      <c r="E4912" t="s">
        <v>1600</v>
      </c>
      <c r="F4912" t="s">
        <v>1601</v>
      </c>
    </row>
    <row r="4913" spans="1:6">
      <c r="A4913">
        <v>159</v>
      </c>
      <c r="B4913" t="s">
        <v>1619</v>
      </c>
      <c r="C4913">
        <v>510000</v>
      </c>
      <c r="D4913" t="s">
        <v>1602</v>
      </c>
      <c r="E4913" t="s">
        <v>1600</v>
      </c>
      <c r="F4913" t="s">
        <v>1603</v>
      </c>
    </row>
    <row r="4914" spans="1:6">
      <c r="A4914">
        <v>159</v>
      </c>
      <c r="B4914" t="s">
        <v>1619</v>
      </c>
      <c r="C4914">
        <v>14776</v>
      </c>
      <c r="D4914" t="s">
        <v>1459</v>
      </c>
      <c r="E4914" t="s">
        <v>1605</v>
      </c>
      <c r="F4914" t="s">
        <v>1460</v>
      </c>
    </row>
    <row r="4915" spans="1:6">
      <c r="A4915">
        <v>159</v>
      </c>
      <c r="B4915" t="s">
        <v>1619</v>
      </c>
      <c r="C4915">
        <v>1200</v>
      </c>
      <c r="D4915" t="s">
        <v>1604</v>
      </c>
      <c r="E4915" t="s">
        <v>1605</v>
      </c>
      <c r="F4915" t="s">
        <v>1606</v>
      </c>
    </row>
    <row r="4916" spans="1:6">
      <c r="A4916">
        <v>159</v>
      </c>
      <c r="B4916" t="s">
        <v>1619</v>
      </c>
      <c r="C4916">
        <v>13594.48</v>
      </c>
      <c r="D4916" t="s">
        <v>1379</v>
      </c>
      <c r="E4916" t="s">
        <v>1380</v>
      </c>
      <c r="F4916" t="s">
        <v>1381</v>
      </c>
    </row>
    <row r="4917" spans="1:6">
      <c r="A4917">
        <v>159</v>
      </c>
      <c r="B4917" t="s">
        <v>1619</v>
      </c>
      <c r="C4917">
        <v>25567.65</v>
      </c>
      <c r="D4917" t="s">
        <v>1475</v>
      </c>
      <c r="E4917" t="s">
        <v>1476</v>
      </c>
      <c r="F4917" t="s">
        <v>1477</v>
      </c>
    </row>
    <row r="4918" spans="1:6">
      <c r="A4918">
        <v>159</v>
      </c>
      <c r="B4918" t="s">
        <v>1619</v>
      </c>
      <c r="C4918">
        <v>146876.51999999999</v>
      </c>
      <c r="D4918" t="s">
        <v>1478</v>
      </c>
      <c r="E4918" t="s">
        <v>1479</v>
      </c>
      <c r="F4918" t="s">
        <v>1480</v>
      </c>
    </row>
    <row r="4919" spans="1:6">
      <c r="A4919">
        <v>159</v>
      </c>
      <c r="B4919" t="s">
        <v>1619</v>
      </c>
      <c r="C4919">
        <v>289082</v>
      </c>
      <c r="D4919" t="s">
        <v>1607</v>
      </c>
      <c r="E4919" t="s">
        <v>1608</v>
      </c>
      <c r="F4919" t="s">
        <v>1609</v>
      </c>
    </row>
    <row r="4920" spans="1:6">
      <c r="A4920">
        <v>159</v>
      </c>
      <c r="B4920" t="s">
        <v>1619</v>
      </c>
      <c r="C4920">
        <v>23656</v>
      </c>
      <c r="D4920" t="s">
        <v>1610</v>
      </c>
      <c r="E4920" t="s">
        <v>1481</v>
      </c>
      <c r="F4920" t="s">
        <v>1482</v>
      </c>
    </row>
    <row r="4921" spans="1:6">
      <c r="A4921">
        <v>160</v>
      </c>
      <c r="B4921" t="s">
        <v>1620</v>
      </c>
      <c r="C4921">
        <v>5734</v>
      </c>
      <c r="D4921" t="s">
        <v>1486</v>
      </c>
      <c r="E4921" t="s">
        <v>1487</v>
      </c>
      <c r="F4921" t="s">
        <v>1488</v>
      </c>
    </row>
    <row r="4922" spans="1:6">
      <c r="A4922">
        <v>160</v>
      </c>
      <c r="B4922" t="s">
        <v>1620</v>
      </c>
      <c r="C4922">
        <v>2682</v>
      </c>
      <c r="D4922" t="s">
        <v>1489</v>
      </c>
      <c r="E4922" t="s">
        <v>1490</v>
      </c>
      <c r="F4922" t="s">
        <v>1491</v>
      </c>
    </row>
    <row r="4923" spans="1:6">
      <c r="A4923">
        <v>160</v>
      </c>
      <c r="B4923" t="s">
        <v>1620</v>
      </c>
      <c r="C4923">
        <v>91117</v>
      </c>
      <c r="D4923" t="s">
        <v>1567</v>
      </c>
      <c r="E4923" t="s">
        <v>1568</v>
      </c>
      <c r="F4923" t="s">
        <v>1569</v>
      </c>
    </row>
    <row r="4924" spans="1:6">
      <c r="A4924">
        <v>160</v>
      </c>
      <c r="B4924" t="s">
        <v>1620</v>
      </c>
      <c r="C4924">
        <v>3256074</v>
      </c>
      <c r="D4924" t="s">
        <v>1570</v>
      </c>
      <c r="E4924" t="s">
        <v>1571</v>
      </c>
      <c r="F4924" t="s">
        <v>1572</v>
      </c>
    </row>
    <row r="4925" spans="1:6">
      <c r="A4925">
        <v>160</v>
      </c>
      <c r="B4925" t="s">
        <v>1620</v>
      </c>
      <c r="C4925">
        <v>14000</v>
      </c>
      <c r="D4925" t="s">
        <v>1528</v>
      </c>
      <c r="E4925" t="s">
        <v>1529</v>
      </c>
      <c r="F4925" t="s">
        <v>1530</v>
      </c>
    </row>
    <row r="4926" spans="1:6">
      <c r="A4926">
        <v>160</v>
      </c>
      <c r="B4926" t="s">
        <v>1620</v>
      </c>
      <c r="C4926">
        <v>10302.9</v>
      </c>
      <c r="D4926" t="s">
        <v>1431</v>
      </c>
      <c r="E4926" t="s">
        <v>1432</v>
      </c>
      <c r="F4926" t="s">
        <v>1433</v>
      </c>
    </row>
    <row r="4927" spans="1:6">
      <c r="A4927">
        <v>160</v>
      </c>
      <c r="B4927" t="s">
        <v>1620</v>
      </c>
      <c r="C4927">
        <v>24190.68</v>
      </c>
      <c r="D4927" t="s">
        <v>1434</v>
      </c>
      <c r="E4927" t="s">
        <v>1432</v>
      </c>
      <c r="F4927" t="s">
        <v>1435</v>
      </c>
    </row>
    <row r="4928" spans="1:6">
      <c r="A4928">
        <v>160</v>
      </c>
      <c r="B4928" t="s">
        <v>1620</v>
      </c>
      <c r="C4928">
        <v>8358</v>
      </c>
      <c r="D4928" t="s">
        <v>1576</v>
      </c>
      <c r="E4928" t="s">
        <v>1577</v>
      </c>
      <c r="F4928" t="s">
        <v>1578</v>
      </c>
    </row>
    <row r="4929" spans="1:6">
      <c r="A4929">
        <v>160</v>
      </c>
      <c r="B4929" t="s">
        <v>1620</v>
      </c>
      <c r="C4929">
        <v>46875</v>
      </c>
      <c r="D4929" t="s">
        <v>1579</v>
      </c>
      <c r="E4929" t="s">
        <v>1577</v>
      </c>
      <c r="F4929" t="s">
        <v>1580</v>
      </c>
    </row>
    <row r="4930" spans="1:6">
      <c r="A4930">
        <v>160</v>
      </c>
      <c r="B4930" t="s">
        <v>1620</v>
      </c>
      <c r="C4930">
        <v>991</v>
      </c>
      <c r="D4930" t="s">
        <v>1442</v>
      </c>
      <c r="E4930" t="s">
        <v>1582</v>
      </c>
      <c r="F4930" t="s">
        <v>1443</v>
      </c>
    </row>
    <row r="4931" spans="1:6">
      <c r="A4931">
        <v>160</v>
      </c>
      <c r="B4931" t="s">
        <v>1620</v>
      </c>
      <c r="C4931">
        <v>47000</v>
      </c>
      <c r="D4931" t="s">
        <v>1444</v>
      </c>
      <c r="E4931" t="s">
        <v>1445</v>
      </c>
      <c r="F4931" t="s">
        <v>1443</v>
      </c>
    </row>
    <row r="4932" spans="1:6">
      <c r="A4932">
        <v>160</v>
      </c>
      <c r="B4932" t="s">
        <v>1620</v>
      </c>
      <c r="C4932">
        <v>359</v>
      </c>
      <c r="D4932" t="s">
        <v>1581</v>
      </c>
      <c r="E4932" t="s">
        <v>1582</v>
      </c>
      <c r="F4932" t="s">
        <v>1583</v>
      </c>
    </row>
    <row r="4933" spans="1:6">
      <c r="A4933">
        <v>160</v>
      </c>
      <c r="B4933" t="s">
        <v>1620</v>
      </c>
      <c r="C4933">
        <v>18642</v>
      </c>
      <c r="D4933" t="s">
        <v>1587</v>
      </c>
      <c r="E4933" t="s">
        <v>1585</v>
      </c>
      <c r="F4933" t="s">
        <v>1588</v>
      </c>
    </row>
    <row r="4934" spans="1:6">
      <c r="A4934">
        <v>160</v>
      </c>
      <c r="B4934" t="s">
        <v>1620</v>
      </c>
      <c r="C4934">
        <v>417</v>
      </c>
      <c r="D4934" t="s">
        <v>1589</v>
      </c>
      <c r="E4934" t="s">
        <v>1590</v>
      </c>
      <c r="F4934" t="s">
        <v>1591</v>
      </c>
    </row>
    <row r="4935" spans="1:6">
      <c r="A4935">
        <v>160</v>
      </c>
      <c r="B4935" t="s">
        <v>1620</v>
      </c>
      <c r="C4935">
        <v>1330</v>
      </c>
      <c r="D4935" t="s">
        <v>1592</v>
      </c>
      <c r="E4935" t="s">
        <v>1590</v>
      </c>
      <c r="F4935" t="s">
        <v>1593</v>
      </c>
    </row>
    <row r="4936" spans="1:6">
      <c r="A4936">
        <v>160</v>
      </c>
      <c r="B4936" t="s">
        <v>1620</v>
      </c>
      <c r="C4936">
        <v>913</v>
      </c>
      <c r="D4936" t="s">
        <v>1597</v>
      </c>
      <c r="E4936" t="s">
        <v>1595</v>
      </c>
      <c r="F4936" t="s">
        <v>1598</v>
      </c>
    </row>
    <row r="4937" spans="1:6">
      <c r="A4937">
        <v>160</v>
      </c>
      <c r="B4937" t="s">
        <v>1620</v>
      </c>
      <c r="C4937">
        <v>17564</v>
      </c>
      <c r="D4937" t="s">
        <v>1599</v>
      </c>
      <c r="E4937" t="s">
        <v>1600</v>
      </c>
      <c r="F4937" t="s">
        <v>1601</v>
      </c>
    </row>
    <row r="4938" spans="1:6">
      <c r="A4938">
        <v>160</v>
      </c>
      <c r="B4938" t="s">
        <v>1620</v>
      </c>
      <c r="C4938">
        <v>84600</v>
      </c>
      <c r="D4938" t="s">
        <v>1602</v>
      </c>
      <c r="E4938" t="s">
        <v>1600</v>
      </c>
      <c r="F4938" t="s">
        <v>1603</v>
      </c>
    </row>
    <row r="4939" spans="1:6">
      <c r="A4939">
        <v>160</v>
      </c>
      <c r="B4939" t="s">
        <v>1620</v>
      </c>
      <c r="C4939">
        <v>5306</v>
      </c>
      <c r="D4939" t="s">
        <v>1604</v>
      </c>
      <c r="E4939" t="s">
        <v>1605</v>
      </c>
      <c r="F4939" t="s">
        <v>1606</v>
      </c>
    </row>
    <row r="4940" spans="1:6">
      <c r="A4940">
        <v>160</v>
      </c>
      <c r="B4940" t="s">
        <v>1620</v>
      </c>
      <c r="C4940">
        <v>12538.32</v>
      </c>
      <c r="D4940" t="s">
        <v>1475</v>
      </c>
      <c r="E4940" t="s">
        <v>1476</v>
      </c>
      <c r="F4940" t="s">
        <v>1477</v>
      </c>
    </row>
    <row r="4941" spans="1:6">
      <c r="A4941">
        <v>160</v>
      </c>
      <c r="B4941" t="s">
        <v>1620</v>
      </c>
      <c r="C4941">
        <v>83478.899999999994</v>
      </c>
      <c r="D4941" t="s">
        <v>1365</v>
      </c>
      <c r="E4941" t="s">
        <v>1366</v>
      </c>
      <c r="F4941" t="s">
        <v>1367</v>
      </c>
    </row>
    <row r="4942" spans="1:6">
      <c r="A4942">
        <v>161</v>
      </c>
      <c r="B4942" t="s">
        <v>1621</v>
      </c>
      <c r="C4942">
        <v>7375</v>
      </c>
      <c r="D4942" t="s">
        <v>1489</v>
      </c>
      <c r="E4942" t="s">
        <v>1490</v>
      </c>
      <c r="F4942" t="s">
        <v>1491</v>
      </c>
    </row>
    <row r="4943" spans="1:6">
      <c r="A4943">
        <v>161</v>
      </c>
      <c r="B4943" t="s">
        <v>1621</v>
      </c>
      <c r="C4943">
        <v>722</v>
      </c>
      <c r="D4943" t="s">
        <v>1567</v>
      </c>
      <c r="E4943" t="s">
        <v>1568</v>
      </c>
      <c r="F4943" t="s">
        <v>1569</v>
      </c>
    </row>
    <row r="4944" spans="1:6">
      <c r="A4944">
        <v>161</v>
      </c>
      <c r="B4944" t="s">
        <v>1621</v>
      </c>
      <c r="C4944">
        <v>3251</v>
      </c>
      <c r="D4944" t="s">
        <v>1496</v>
      </c>
      <c r="E4944" t="s">
        <v>1497</v>
      </c>
      <c r="F4944" t="s">
        <v>1498</v>
      </c>
    </row>
    <row r="4945" spans="1:6">
      <c r="A4945">
        <v>161</v>
      </c>
      <c r="B4945" t="s">
        <v>1621</v>
      </c>
      <c r="C4945">
        <v>1033548</v>
      </c>
      <c r="D4945" t="s">
        <v>1570</v>
      </c>
      <c r="E4945" t="s">
        <v>1571</v>
      </c>
      <c r="F4945" t="s">
        <v>1572</v>
      </c>
    </row>
    <row r="4946" spans="1:6">
      <c r="A4946">
        <v>161</v>
      </c>
      <c r="B4946" t="s">
        <v>1621</v>
      </c>
      <c r="C4946">
        <v>155215</v>
      </c>
      <c r="D4946" t="s">
        <v>1520</v>
      </c>
      <c r="E4946" t="s">
        <v>1521</v>
      </c>
      <c r="F4946" t="s">
        <v>1522</v>
      </c>
    </row>
    <row r="4947" spans="1:6">
      <c r="A4947">
        <v>161</v>
      </c>
      <c r="B4947" t="s">
        <v>1621</v>
      </c>
      <c r="C4947">
        <v>1504155</v>
      </c>
      <c r="D4947" t="s">
        <v>1573</v>
      </c>
      <c r="E4947" t="s">
        <v>1574</v>
      </c>
      <c r="F4947" t="s">
        <v>1575</v>
      </c>
    </row>
    <row r="4948" spans="1:6">
      <c r="A4948">
        <v>161</v>
      </c>
      <c r="B4948" t="s">
        <v>1621</v>
      </c>
      <c r="C4948">
        <v>8957</v>
      </c>
      <c r="D4948" t="s">
        <v>1371</v>
      </c>
      <c r="E4948" t="s">
        <v>1372</v>
      </c>
      <c r="F4948" t="s">
        <v>1373</v>
      </c>
    </row>
    <row r="4949" spans="1:6">
      <c r="A4949">
        <v>161</v>
      </c>
      <c r="B4949" t="s">
        <v>1621</v>
      </c>
      <c r="C4949">
        <v>14000</v>
      </c>
      <c r="D4949" t="s">
        <v>1528</v>
      </c>
      <c r="E4949" t="s">
        <v>1529</v>
      </c>
      <c r="F4949" t="s">
        <v>1530</v>
      </c>
    </row>
    <row r="4950" spans="1:6">
      <c r="A4950">
        <v>161</v>
      </c>
      <c r="B4950" t="s">
        <v>1621</v>
      </c>
      <c r="C4950">
        <v>12164.33</v>
      </c>
      <c r="D4950" t="s">
        <v>1431</v>
      </c>
      <c r="E4950" t="s">
        <v>1432</v>
      </c>
      <c r="F4950" t="s">
        <v>1433</v>
      </c>
    </row>
    <row r="4951" spans="1:6">
      <c r="A4951">
        <v>161</v>
      </c>
      <c r="B4951" t="s">
        <v>1621</v>
      </c>
      <c r="C4951">
        <v>30810.82</v>
      </c>
      <c r="D4951" t="s">
        <v>1434</v>
      </c>
      <c r="E4951" t="s">
        <v>1432</v>
      </c>
      <c r="F4951" t="s">
        <v>1435</v>
      </c>
    </row>
    <row r="4952" spans="1:6">
      <c r="A4952">
        <v>161</v>
      </c>
      <c r="B4952" t="s">
        <v>1621</v>
      </c>
      <c r="C4952">
        <v>23344</v>
      </c>
      <c r="D4952" t="s">
        <v>1436</v>
      </c>
      <c r="E4952" t="s">
        <v>1437</v>
      </c>
      <c r="F4952" t="s">
        <v>1438</v>
      </c>
    </row>
    <row r="4953" spans="1:6">
      <c r="A4953">
        <v>161</v>
      </c>
      <c r="B4953" t="s">
        <v>1621</v>
      </c>
      <c r="C4953">
        <v>12722</v>
      </c>
      <c r="D4953" t="s">
        <v>1584</v>
      </c>
      <c r="E4953" t="s">
        <v>1585</v>
      </c>
      <c r="F4953" t="s">
        <v>1586</v>
      </c>
    </row>
    <row r="4954" spans="1:6">
      <c r="A4954">
        <v>161</v>
      </c>
      <c r="B4954" t="s">
        <v>1621</v>
      </c>
      <c r="C4954">
        <v>15000</v>
      </c>
      <c r="D4954" t="s">
        <v>1587</v>
      </c>
      <c r="E4954" t="s">
        <v>1585</v>
      </c>
      <c r="F4954" t="s">
        <v>1588</v>
      </c>
    </row>
    <row r="4955" spans="1:6">
      <c r="A4955">
        <v>161</v>
      </c>
      <c r="B4955" t="s">
        <v>1621</v>
      </c>
      <c r="C4955">
        <v>7641</v>
      </c>
      <c r="D4955" t="s">
        <v>1592</v>
      </c>
      <c r="E4955" t="s">
        <v>1590</v>
      </c>
      <c r="F4955" t="s">
        <v>1593</v>
      </c>
    </row>
    <row r="4956" spans="1:6">
      <c r="A4956">
        <v>161</v>
      </c>
      <c r="B4956" t="s">
        <v>1621</v>
      </c>
      <c r="C4956">
        <v>3620</v>
      </c>
      <c r="D4956" t="s">
        <v>1594</v>
      </c>
      <c r="E4956" t="s">
        <v>1595</v>
      </c>
      <c r="F4956" t="s">
        <v>1596</v>
      </c>
    </row>
    <row r="4957" spans="1:6">
      <c r="A4957">
        <v>161</v>
      </c>
      <c r="B4957" t="s">
        <v>1621</v>
      </c>
      <c r="C4957">
        <v>283255</v>
      </c>
      <c r="D4957" t="s">
        <v>1599</v>
      </c>
      <c r="E4957" t="s">
        <v>1600</v>
      </c>
      <c r="F4957" t="s">
        <v>1601</v>
      </c>
    </row>
    <row r="4958" spans="1:6">
      <c r="A4958">
        <v>161</v>
      </c>
      <c r="B4958" t="s">
        <v>1621</v>
      </c>
      <c r="C4958">
        <v>350000</v>
      </c>
      <c r="D4958" t="s">
        <v>1602</v>
      </c>
      <c r="E4958" t="s">
        <v>1600</v>
      </c>
      <c r="F4958" t="s">
        <v>1603</v>
      </c>
    </row>
    <row r="4959" spans="1:6">
      <c r="A4959">
        <v>161</v>
      </c>
      <c r="B4959" t="s">
        <v>1621</v>
      </c>
      <c r="C4959">
        <v>34938</v>
      </c>
      <c r="D4959" t="s">
        <v>1604</v>
      </c>
      <c r="E4959" t="s">
        <v>1605</v>
      </c>
      <c r="F4959" t="s">
        <v>1606</v>
      </c>
    </row>
    <row r="4960" spans="1:6">
      <c r="A4960">
        <v>161</v>
      </c>
      <c r="B4960" t="s">
        <v>1621</v>
      </c>
      <c r="C4960">
        <v>6216.09</v>
      </c>
      <c r="D4960" t="s">
        <v>1379</v>
      </c>
      <c r="E4960" t="s">
        <v>1380</v>
      </c>
      <c r="F4960" t="s">
        <v>1381</v>
      </c>
    </row>
    <row r="4961" spans="1:6">
      <c r="A4961">
        <v>161</v>
      </c>
      <c r="B4961" t="s">
        <v>1621</v>
      </c>
      <c r="C4961">
        <v>89680.2</v>
      </c>
      <c r="D4961" t="s">
        <v>1475</v>
      </c>
      <c r="E4961" t="s">
        <v>1476</v>
      </c>
      <c r="F4961" t="s">
        <v>1477</v>
      </c>
    </row>
    <row r="4962" spans="1:6">
      <c r="A4962">
        <v>161</v>
      </c>
      <c r="B4962" t="s">
        <v>1621</v>
      </c>
      <c r="C4962">
        <v>65199.59</v>
      </c>
      <c r="D4962" t="s">
        <v>1478</v>
      </c>
      <c r="E4962" t="s">
        <v>1479</v>
      </c>
      <c r="F4962" t="s">
        <v>1480</v>
      </c>
    </row>
    <row r="4963" spans="1:6">
      <c r="A4963">
        <v>161</v>
      </c>
      <c r="B4963" t="s">
        <v>1621</v>
      </c>
      <c r="C4963">
        <v>166893.1</v>
      </c>
      <c r="D4963" t="s">
        <v>1365</v>
      </c>
      <c r="E4963" t="s">
        <v>1366</v>
      </c>
      <c r="F4963" t="s">
        <v>1367</v>
      </c>
    </row>
    <row r="4964" spans="1:6">
      <c r="A4964">
        <v>162</v>
      </c>
      <c r="B4964" t="s">
        <v>1622</v>
      </c>
      <c r="C4964">
        <v>11805</v>
      </c>
      <c r="D4964" t="s">
        <v>1486</v>
      </c>
      <c r="E4964" t="s">
        <v>1487</v>
      </c>
      <c r="F4964" t="s">
        <v>1488</v>
      </c>
    </row>
    <row r="4965" spans="1:6">
      <c r="A4965">
        <v>162</v>
      </c>
      <c r="B4965" t="s">
        <v>1622</v>
      </c>
      <c r="C4965">
        <v>6982</v>
      </c>
      <c r="D4965" t="s">
        <v>1489</v>
      </c>
      <c r="E4965" t="s">
        <v>1490</v>
      </c>
      <c r="F4965" t="s">
        <v>1491</v>
      </c>
    </row>
    <row r="4966" spans="1:6">
      <c r="A4966">
        <v>162</v>
      </c>
      <c r="B4966" t="s">
        <v>1622</v>
      </c>
      <c r="C4966">
        <v>102250</v>
      </c>
      <c r="D4966" t="s">
        <v>1404</v>
      </c>
      <c r="E4966" t="s">
        <v>1405</v>
      </c>
      <c r="F4966" t="s">
        <v>1406</v>
      </c>
    </row>
    <row r="4967" spans="1:6">
      <c r="A4967">
        <v>162</v>
      </c>
      <c r="B4967" t="s">
        <v>1622</v>
      </c>
      <c r="C4967">
        <v>196990</v>
      </c>
      <c r="D4967" t="s">
        <v>1567</v>
      </c>
      <c r="E4967" t="s">
        <v>1568</v>
      </c>
      <c r="F4967" t="s">
        <v>1569</v>
      </c>
    </row>
    <row r="4968" spans="1:6">
      <c r="A4968">
        <v>162</v>
      </c>
      <c r="B4968" t="s">
        <v>1622</v>
      </c>
      <c r="C4968">
        <v>20268</v>
      </c>
      <c r="D4968" t="s">
        <v>1496</v>
      </c>
      <c r="E4968" t="s">
        <v>1497</v>
      </c>
      <c r="F4968" t="s">
        <v>1498</v>
      </c>
    </row>
    <row r="4969" spans="1:6">
      <c r="A4969">
        <v>162</v>
      </c>
      <c r="B4969" t="s">
        <v>1622</v>
      </c>
      <c r="C4969">
        <v>6875045</v>
      </c>
      <c r="D4969" t="s">
        <v>1570</v>
      </c>
      <c r="E4969" t="s">
        <v>1571</v>
      </c>
      <c r="F4969" t="s">
        <v>1572</v>
      </c>
    </row>
    <row r="4970" spans="1:6">
      <c r="A4970">
        <v>162</v>
      </c>
      <c r="B4970" t="s">
        <v>1622</v>
      </c>
      <c r="C4970">
        <v>3126</v>
      </c>
      <c r="D4970" t="s">
        <v>1327</v>
      </c>
      <c r="E4970" t="s">
        <v>1328</v>
      </c>
      <c r="F4970" t="s">
        <v>1329</v>
      </c>
    </row>
    <row r="4971" spans="1:6">
      <c r="A4971">
        <v>162</v>
      </c>
      <c r="B4971" t="s">
        <v>1622</v>
      </c>
      <c r="C4971">
        <v>9000</v>
      </c>
      <c r="D4971" t="s">
        <v>1515</v>
      </c>
      <c r="E4971" t="s">
        <v>1516</v>
      </c>
      <c r="F4971" t="s">
        <v>1517</v>
      </c>
    </row>
    <row r="4972" spans="1:6">
      <c r="A4972">
        <v>162</v>
      </c>
      <c r="B4972" t="s">
        <v>1622</v>
      </c>
      <c r="C4972">
        <v>407</v>
      </c>
      <c r="D4972" t="s">
        <v>1518</v>
      </c>
      <c r="E4972" t="s">
        <v>1516</v>
      </c>
      <c r="F4972" t="s">
        <v>1519</v>
      </c>
    </row>
    <row r="4973" spans="1:6">
      <c r="A4973">
        <v>162</v>
      </c>
      <c r="B4973" t="s">
        <v>1622</v>
      </c>
      <c r="C4973">
        <v>272289</v>
      </c>
      <c r="D4973" t="s">
        <v>1520</v>
      </c>
      <c r="E4973" t="s">
        <v>1521</v>
      </c>
      <c r="F4973" t="s">
        <v>1522</v>
      </c>
    </row>
    <row r="4974" spans="1:6">
      <c r="A4974">
        <v>162</v>
      </c>
      <c r="B4974" t="s">
        <v>1622</v>
      </c>
      <c r="C4974">
        <v>350148</v>
      </c>
      <c r="D4974" t="s">
        <v>1573</v>
      </c>
      <c r="E4974" t="s">
        <v>1574</v>
      </c>
      <c r="F4974" t="s">
        <v>1575</v>
      </c>
    </row>
    <row r="4975" spans="1:6">
      <c r="A4975">
        <v>162</v>
      </c>
      <c r="B4975" t="s">
        <v>1622</v>
      </c>
      <c r="C4975">
        <v>54437</v>
      </c>
      <c r="D4975" t="s">
        <v>1523</v>
      </c>
      <c r="E4975" t="s">
        <v>1521</v>
      </c>
      <c r="F4975" t="s">
        <v>1524</v>
      </c>
    </row>
    <row r="4976" spans="1:6">
      <c r="A4976">
        <v>162</v>
      </c>
      <c r="B4976" t="s">
        <v>1622</v>
      </c>
      <c r="C4976">
        <v>50448</v>
      </c>
      <c r="D4976" t="s">
        <v>1371</v>
      </c>
      <c r="E4976" t="s">
        <v>1372</v>
      </c>
      <c r="F4976" t="s">
        <v>1373</v>
      </c>
    </row>
    <row r="4977" spans="1:6">
      <c r="A4977">
        <v>162</v>
      </c>
      <c r="B4977" t="s">
        <v>1622</v>
      </c>
      <c r="C4977">
        <v>34025</v>
      </c>
      <c r="D4977" t="s">
        <v>1525</v>
      </c>
      <c r="E4977" t="s">
        <v>1526</v>
      </c>
      <c r="F4977" t="s">
        <v>1527</v>
      </c>
    </row>
    <row r="4978" spans="1:6">
      <c r="A4978">
        <v>162</v>
      </c>
      <c r="B4978" t="s">
        <v>1622</v>
      </c>
      <c r="C4978">
        <v>17328</v>
      </c>
      <c r="D4978" t="s">
        <v>1528</v>
      </c>
      <c r="E4978" t="s">
        <v>1529</v>
      </c>
      <c r="F4978" t="s">
        <v>1530</v>
      </c>
    </row>
    <row r="4979" spans="1:6">
      <c r="A4979">
        <v>162</v>
      </c>
      <c r="B4979" t="s">
        <v>1622</v>
      </c>
      <c r="C4979">
        <v>44090</v>
      </c>
      <c r="D4979" t="s">
        <v>1390</v>
      </c>
      <c r="E4979" t="s">
        <v>1391</v>
      </c>
      <c r="F4979" t="s">
        <v>1392</v>
      </c>
    </row>
    <row r="4980" spans="1:6">
      <c r="A4980">
        <v>162</v>
      </c>
      <c r="B4980" t="s">
        <v>1622</v>
      </c>
      <c r="C4980">
        <v>26673</v>
      </c>
      <c r="D4980" t="s">
        <v>1534</v>
      </c>
      <c r="E4980" t="s">
        <v>1535</v>
      </c>
      <c r="F4980" t="s">
        <v>1536</v>
      </c>
    </row>
    <row r="4981" spans="1:6">
      <c r="A4981">
        <v>162</v>
      </c>
      <c r="B4981" t="s">
        <v>1622</v>
      </c>
      <c r="C4981">
        <v>8172.45</v>
      </c>
      <c r="D4981" t="s">
        <v>1537</v>
      </c>
      <c r="E4981" t="s">
        <v>1538</v>
      </c>
      <c r="F4981" t="s">
        <v>1539</v>
      </c>
    </row>
    <row r="4982" spans="1:6">
      <c r="A4982">
        <v>162</v>
      </c>
      <c r="B4982" t="s">
        <v>1622</v>
      </c>
      <c r="C4982">
        <v>21413.14</v>
      </c>
      <c r="D4982" t="s">
        <v>1540</v>
      </c>
      <c r="E4982" t="s">
        <v>1538</v>
      </c>
      <c r="F4982" t="s">
        <v>1541</v>
      </c>
    </row>
    <row r="4983" spans="1:6">
      <c r="A4983">
        <v>162</v>
      </c>
      <c r="B4983" t="s">
        <v>1622</v>
      </c>
      <c r="C4983">
        <v>49734.7</v>
      </c>
      <c r="D4983" t="s">
        <v>1431</v>
      </c>
      <c r="E4983" t="s">
        <v>1432</v>
      </c>
      <c r="F4983" t="s">
        <v>1433</v>
      </c>
    </row>
    <row r="4984" spans="1:6">
      <c r="A4984">
        <v>162</v>
      </c>
      <c r="B4984" t="s">
        <v>1622</v>
      </c>
      <c r="C4984">
        <v>106555.92</v>
      </c>
      <c r="D4984" t="s">
        <v>1434</v>
      </c>
      <c r="E4984" t="s">
        <v>1432</v>
      </c>
      <c r="F4984" t="s">
        <v>1435</v>
      </c>
    </row>
    <row r="4985" spans="1:6">
      <c r="A4985">
        <v>162</v>
      </c>
      <c r="B4985" t="s">
        <v>1622</v>
      </c>
      <c r="C4985">
        <v>234176</v>
      </c>
      <c r="D4985" t="s">
        <v>1579</v>
      </c>
      <c r="E4985" t="s">
        <v>1577</v>
      </c>
      <c r="F4985" t="s">
        <v>1580</v>
      </c>
    </row>
    <row r="4986" spans="1:6">
      <c r="A4986">
        <v>162</v>
      </c>
      <c r="B4986" t="s">
        <v>1622</v>
      </c>
      <c r="C4986">
        <v>1650</v>
      </c>
      <c r="D4986" t="s">
        <v>1581</v>
      </c>
      <c r="E4986" t="s">
        <v>1582</v>
      </c>
      <c r="F4986" t="s">
        <v>1583</v>
      </c>
    </row>
    <row r="4987" spans="1:6">
      <c r="A4987">
        <v>162</v>
      </c>
      <c r="B4987" t="s">
        <v>1622</v>
      </c>
      <c r="C4987">
        <v>50000</v>
      </c>
      <c r="D4987" t="s">
        <v>1587</v>
      </c>
      <c r="E4987" t="s">
        <v>1585</v>
      </c>
      <c r="F4987" t="s">
        <v>1588</v>
      </c>
    </row>
    <row r="4988" spans="1:6">
      <c r="A4988">
        <v>162</v>
      </c>
      <c r="B4988" t="s">
        <v>1622</v>
      </c>
      <c r="C4988">
        <v>2000</v>
      </c>
      <c r="D4988" t="s">
        <v>1457</v>
      </c>
      <c r="E4988" t="s">
        <v>1455</v>
      </c>
      <c r="F4988" t="s">
        <v>1458</v>
      </c>
    </row>
    <row r="4989" spans="1:6">
      <c r="A4989">
        <v>162</v>
      </c>
      <c r="B4989" t="s">
        <v>1622</v>
      </c>
      <c r="C4989">
        <v>1128</v>
      </c>
      <c r="D4989" t="s">
        <v>1589</v>
      </c>
      <c r="E4989" t="s">
        <v>1590</v>
      </c>
      <c r="F4989" t="s">
        <v>1591</v>
      </c>
    </row>
    <row r="4990" spans="1:6">
      <c r="A4990">
        <v>162</v>
      </c>
      <c r="B4990" t="s">
        <v>1622</v>
      </c>
      <c r="C4990">
        <v>3500</v>
      </c>
      <c r="D4990" t="s">
        <v>1592</v>
      </c>
      <c r="E4990" t="s">
        <v>1590</v>
      </c>
      <c r="F4990" t="s">
        <v>1593</v>
      </c>
    </row>
    <row r="4991" spans="1:6">
      <c r="A4991">
        <v>162</v>
      </c>
      <c r="B4991" t="s">
        <v>1622</v>
      </c>
      <c r="C4991">
        <v>2000</v>
      </c>
      <c r="D4991" t="s">
        <v>1597</v>
      </c>
      <c r="E4991" t="s">
        <v>1595</v>
      </c>
      <c r="F4991" t="s">
        <v>1598</v>
      </c>
    </row>
    <row r="4992" spans="1:6">
      <c r="A4992">
        <v>162</v>
      </c>
      <c r="B4992" t="s">
        <v>1622</v>
      </c>
      <c r="C4992">
        <v>309901</v>
      </c>
      <c r="D4992" t="s">
        <v>1602</v>
      </c>
      <c r="E4992" t="s">
        <v>1600</v>
      </c>
      <c r="F4992" t="s">
        <v>1603</v>
      </c>
    </row>
    <row r="4993" spans="1:6">
      <c r="A4993">
        <v>162</v>
      </c>
      <c r="B4993" t="s">
        <v>1622</v>
      </c>
      <c r="C4993">
        <v>14607</v>
      </c>
      <c r="D4993" t="s">
        <v>1604</v>
      </c>
      <c r="E4993" t="s">
        <v>1605</v>
      </c>
      <c r="F4993" t="s">
        <v>1606</v>
      </c>
    </row>
    <row r="4994" spans="1:6">
      <c r="A4994">
        <v>162</v>
      </c>
      <c r="B4994" t="s">
        <v>1622</v>
      </c>
      <c r="C4994">
        <v>39496.339999999997</v>
      </c>
      <c r="D4994" t="s">
        <v>1475</v>
      </c>
      <c r="E4994" t="s">
        <v>1476</v>
      </c>
      <c r="F4994" t="s">
        <v>1477</v>
      </c>
    </row>
    <row r="4995" spans="1:6">
      <c r="A4995">
        <v>162</v>
      </c>
      <c r="B4995" t="s">
        <v>1622</v>
      </c>
      <c r="C4995">
        <v>244967.58</v>
      </c>
      <c r="D4995" t="s">
        <v>1365</v>
      </c>
      <c r="E4995" t="s">
        <v>1366</v>
      </c>
      <c r="F4995" t="s">
        <v>1367</v>
      </c>
    </row>
    <row r="4996" spans="1:6">
      <c r="A4996">
        <v>162</v>
      </c>
      <c r="B4996" t="s">
        <v>1622</v>
      </c>
      <c r="C4996">
        <v>368524</v>
      </c>
      <c r="D4996" t="s">
        <v>1610</v>
      </c>
      <c r="E4996" t="s">
        <v>1481</v>
      </c>
      <c r="F4996" t="s">
        <v>1482</v>
      </c>
    </row>
    <row r="4997" spans="1:6">
      <c r="A4997">
        <v>163</v>
      </c>
      <c r="B4997" t="s">
        <v>1623</v>
      </c>
      <c r="C4997">
        <v>6174</v>
      </c>
      <c r="D4997" t="s">
        <v>1176</v>
      </c>
      <c r="E4997" t="s">
        <v>1177</v>
      </c>
      <c r="F4997" t="s">
        <v>1178</v>
      </c>
    </row>
    <row r="4998" spans="1:6">
      <c r="A4998">
        <v>163</v>
      </c>
      <c r="B4998" t="s">
        <v>1623</v>
      </c>
      <c r="C4998">
        <v>20000</v>
      </c>
      <c r="D4998" t="s">
        <v>1483</v>
      </c>
      <c r="E4998" t="s">
        <v>1484</v>
      </c>
      <c r="F4998" t="s">
        <v>1485</v>
      </c>
    </row>
    <row r="4999" spans="1:6">
      <c r="A4999">
        <v>163</v>
      </c>
      <c r="B4999" t="s">
        <v>1623</v>
      </c>
      <c r="C4999">
        <v>68611</v>
      </c>
      <c r="D4999" t="s">
        <v>1401</v>
      </c>
      <c r="E4999" t="s">
        <v>1402</v>
      </c>
      <c r="F4999" t="s">
        <v>1403</v>
      </c>
    </row>
    <row r="5000" spans="1:6">
      <c r="A5000">
        <v>163</v>
      </c>
      <c r="B5000" t="s">
        <v>1623</v>
      </c>
      <c r="C5000">
        <v>43500</v>
      </c>
      <c r="D5000" t="s">
        <v>1314</v>
      </c>
      <c r="E5000" t="s">
        <v>1315</v>
      </c>
      <c r="F5000" t="s">
        <v>1316</v>
      </c>
    </row>
    <row r="5001" spans="1:6">
      <c r="A5001">
        <v>163</v>
      </c>
      <c r="B5001" t="s">
        <v>1623</v>
      </c>
      <c r="C5001">
        <v>21368</v>
      </c>
      <c r="D5001" t="s">
        <v>1489</v>
      </c>
      <c r="E5001" t="s">
        <v>1490</v>
      </c>
      <c r="F5001" t="s">
        <v>1491</v>
      </c>
    </row>
    <row r="5002" spans="1:6">
      <c r="A5002">
        <v>163</v>
      </c>
      <c r="B5002" t="s">
        <v>1623</v>
      </c>
      <c r="C5002">
        <v>102250</v>
      </c>
      <c r="D5002" t="s">
        <v>1404</v>
      </c>
      <c r="E5002" t="s">
        <v>1405</v>
      </c>
      <c r="F5002" t="s">
        <v>1406</v>
      </c>
    </row>
    <row r="5003" spans="1:6">
      <c r="A5003">
        <v>163</v>
      </c>
      <c r="B5003" t="s">
        <v>1623</v>
      </c>
      <c r="C5003">
        <v>102250</v>
      </c>
      <c r="D5003" t="s">
        <v>1317</v>
      </c>
      <c r="E5003" t="s">
        <v>1405</v>
      </c>
      <c r="F5003" t="s">
        <v>1406</v>
      </c>
    </row>
    <row r="5004" spans="1:6">
      <c r="A5004">
        <v>163</v>
      </c>
      <c r="B5004" t="s">
        <v>1623</v>
      </c>
      <c r="C5004">
        <v>549733</v>
      </c>
      <c r="D5004" t="s">
        <v>1567</v>
      </c>
      <c r="E5004" t="s">
        <v>1568</v>
      </c>
      <c r="F5004" t="s">
        <v>1569</v>
      </c>
    </row>
    <row r="5005" spans="1:6">
      <c r="A5005">
        <v>163</v>
      </c>
      <c r="B5005" t="s">
        <v>1623</v>
      </c>
      <c r="C5005">
        <v>48195</v>
      </c>
      <c r="D5005" t="s">
        <v>1496</v>
      </c>
      <c r="E5005" t="s">
        <v>1497</v>
      </c>
      <c r="F5005" t="s">
        <v>1498</v>
      </c>
    </row>
    <row r="5006" spans="1:6">
      <c r="A5006">
        <v>163</v>
      </c>
      <c r="B5006" t="s">
        <v>1623</v>
      </c>
      <c r="C5006">
        <v>21225496</v>
      </c>
      <c r="D5006" t="s">
        <v>1570</v>
      </c>
      <c r="E5006" t="s">
        <v>1571</v>
      </c>
      <c r="F5006" t="s">
        <v>1572</v>
      </c>
    </row>
    <row r="5007" spans="1:6">
      <c r="A5007">
        <v>163</v>
      </c>
      <c r="B5007" t="s">
        <v>1623</v>
      </c>
      <c r="C5007">
        <v>82447</v>
      </c>
      <c r="D5007" t="s">
        <v>1327</v>
      </c>
      <c r="E5007" t="s">
        <v>1328</v>
      </c>
      <c r="F5007" t="s">
        <v>1329</v>
      </c>
    </row>
    <row r="5008" spans="1:6">
      <c r="A5008">
        <v>163</v>
      </c>
      <c r="B5008" t="s">
        <v>1623</v>
      </c>
      <c r="C5008">
        <v>1228359</v>
      </c>
      <c r="D5008" t="s">
        <v>1499</v>
      </c>
      <c r="E5008" t="s">
        <v>1500</v>
      </c>
      <c r="F5008" t="s">
        <v>1501</v>
      </c>
    </row>
    <row r="5009" spans="1:6">
      <c r="A5009">
        <v>163</v>
      </c>
      <c r="B5009" t="s">
        <v>1623</v>
      </c>
      <c r="C5009">
        <v>439471</v>
      </c>
      <c r="D5009" t="s">
        <v>1502</v>
      </c>
      <c r="E5009" t="s">
        <v>1503</v>
      </c>
      <c r="F5009" t="s">
        <v>1504</v>
      </c>
    </row>
    <row r="5010" spans="1:6">
      <c r="A5010">
        <v>163</v>
      </c>
      <c r="B5010" t="s">
        <v>1623</v>
      </c>
      <c r="C5010">
        <v>61976</v>
      </c>
      <c r="D5010" t="s">
        <v>1505</v>
      </c>
      <c r="E5010" t="s">
        <v>1506</v>
      </c>
      <c r="F5010" t="s">
        <v>1507</v>
      </c>
    </row>
    <row r="5011" spans="1:6">
      <c r="A5011">
        <v>163</v>
      </c>
      <c r="B5011" t="s">
        <v>1623</v>
      </c>
      <c r="C5011">
        <v>73522</v>
      </c>
      <c r="D5011" t="s">
        <v>1508</v>
      </c>
      <c r="E5011" t="s">
        <v>1509</v>
      </c>
      <c r="F5011" t="s">
        <v>1510</v>
      </c>
    </row>
    <row r="5012" spans="1:6">
      <c r="A5012">
        <v>163</v>
      </c>
      <c r="B5012" t="s">
        <v>1623</v>
      </c>
      <c r="C5012">
        <v>16380</v>
      </c>
      <c r="D5012" t="s">
        <v>1330</v>
      </c>
      <c r="E5012" t="s">
        <v>1331</v>
      </c>
      <c r="F5012" t="s">
        <v>1332</v>
      </c>
    </row>
    <row r="5013" spans="1:6">
      <c r="A5013">
        <v>163</v>
      </c>
      <c r="B5013" t="s">
        <v>1623</v>
      </c>
      <c r="C5013">
        <v>30779</v>
      </c>
      <c r="D5013" t="s">
        <v>1382</v>
      </c>
      <c r="E5013" t="s">
        <v>1383</v>
      </c>
      <c r="F5013" t="s">
        <v>1384</v>
      </c>
    </row>
    <row r="5014" spans="1:6">
      <c r="A5014">
        <v>163</v>
      </c>
      <c r="B5014" t="s">
        <v>1623</v>
      </c>
      <c r="C5014">
        <v>125316</v>
      </c>
      <c r="D5014" t="s">
        <v>1385</v>
      </c>
      <c r="E5014" t="s">
        <v>1383</v>
      </c>
      <c r="F5014" t="s">
        <v>1386</v>
      </c>
    </row>
    <row r="5015" spans="1:6">
      <c r="A5015">
        <v>163</v>
      </c>
      <c r="B5015" t="s">
        <v>1623</v>
      </c>
      <c r="C5015">
        <v>21000</v>
      </c>
      <c r="D5015" t="s">
        <v>1515</v>
      </c>
      <c r="E5015" t="s">
        <v>1516</v>
      </c>
      <c r="F5015" t="s">
        <v>1517</v>
      </c>
    </row>
    <row r="5016" spans="1:6">
      <c r="A5016">
        <v>163</v>
      </c>
      <c r="B5016" t="s">
        <v>1623</v>
      </c>
      <c r="C5016">
        <v>9331</v>
      </c>
      <c r="D5016" t="s">
        <v>1518</v>
      </c>
      <c r="E5016" t="s">
        <v>1516</v>
      </c>
      <c r="F5016" t="s">
        <v>1519</v>
      </c>
    </row>
    <row r="5017" spans="1:6">
      <c r="A5017">
        <v>163</v>
      </c>
      <c r="B5017" t="s">
        <v>1623</v>
      </c>
      <c r="C5017">
        <v>425924</v>
      </c>
      <c r="D5017" t="s">
        <v>1520</v>
      </c>
      <c r="E5017" t="s">
        <v>1521</v>
      </c>
      <c r="F5017" t="s">
        <v>1522</v>
      </c>
    </row>
    <row r="5018" spans="1:6">
      <c r="A5018">
        <v>163</v>
      </c>
      <c r="B5018" t="s">
        <v>1623</v>
      </c>
      <c r="C5018">
        <v>208828</v>
      </c>
      <c r="D5018" t="s">
        <v>1573</v>
      </c>
      <c r="E5018" t="s">
        <v>1574</v>
      </c>
      <c r="F5018" t="s">
        <v>1575</v>
      </c>
    </row>
    <row r="5019" spans="1:6">
      <c r="A5019">
        <v>163</v>
      </c>
      <c r="B5019" t="s">
        <v>1623</v>
      </c>
      <c r="C5019">
        <v>228950</v>
      </c>
      <c r="D5019" t="s">
        <v>1371</v>
      </c>
      <c r="E5019" t="s">
        <v>1372</v>
      </c>
      <c r="F5019" t="s">
        <v>1373</v>
      </c>
    </row>
    <row r="5020" spans="1:6">
      <c r="A5020">
        <v>163</v>
      </c>
      <c r="B5020" t="s">
        <v>1623</v>
      </c>
      <c r="C5020">
        <v>26930</v>
      </c>
      <c r="D5020" t="s">
        <v>1525</v>
      </c>
      <c r="E5020" t="s">
        <v>1526</v>
      </c>
      <c r="F5020" t="s">
        <v>1527</v>
      </c>
    </row>
    <row r="5021" spans="1:6">
      <c r="A5021">
        <v>163</v>
      </c>
      <c r="B5021" t="s">
        <v>1623</v>
      </c>
      <c r="C5021">
        <v>23900</v>
      </c>
      <c r="D5021" t="s">
        <v>1528</v>
      </c>
      <c r="E5021" t="s">
        <v>1529</v>
      </c>
      <c r="F5021" t="s">
        <v>1530</v>
      </c>
    </row>
    <row r="5022" spans="1:6">
      <c r="A5022">
        <v>163</v>
      </c>
      <c r="B5022" t="s">
        <v>1623</v>
      </c>
      <c r="C5022">
        <v>150000</v>
      </c>
      <c r="D5022" t="s">
        <v>1207</v>
      </c>
      <c r="E5022" t="s">
        <v>1350</v>
      </c>
      <c r="F5022" t="s">
        <v>1351</v>
      </c>
    </row>
    <row r="5023" spans="1:6">
      <c r="A5023">
        <v>163</v>
      </c>
      <c r="B5023" t="s">
        <v>1623</v>
      </c>
      <c r="C5023">
        <v>57413</v>
      </c>
      <c r="D5023" t="s">
        <v>1534</v>
      </c>
      <c r="E5023" t="s">
        <v>1535</v>
      </c>
      <c r="F5023" t="s">
        <v>1536</v>
      </c>
    </row>
    <row r="5024" spans="1:6">
      <c r="A5024">
        <v>163</v>
      </c>
      <c r="B5024" t="s">
        <v>1623</v>
      </c>
      <c r="C5024">
        <v>77947.38</v>
      </c>
      <c r="D5024" t="s">
        <v>1537</v>
      </c>
      <c r="E5024" t="s">
        <v>1538</v>
      </c>
      <c r="F5024" t="s">
        <v>1539</v>
      </c>
    </row>
    <row r="5025" spans="1:6">
      <c r="A5025">
        <v>163</v>
      </c>
      <c r="B5025" t="s">
        <v>1623</v>
      </c>
      <c r="C5025">
        <v>165258.96</v>
      </c>
      <c r="D5025" t="s">
        <v>1540</v>
      </c>
      <c r="E5025" t="s">
        <v>1538</v>
      </c>
      <c r="F5025" t="s">
        <v>1541</v>
      </c>
    </row>
    <row r="5026" spans="1:6">
      <c r="A5026">
        <v>163</v>
      </c>
      <c r="B5026" t="s">
        <v>1623</v>
      </c>
      <c r="C5026">
        <v>18873</v>
      </c>
      <c r="D5026" t="s">
        <v>1220</v>
      </c>
      <c r="E5026" t="s">
        <v>1221</v>
      </c>
      <c r="F5026" t="s">
        <v>1222</v>
      </c>
    </row>
    <row r="5027" spans="1:6">
      <c r="A5027">
        <v>163</v>
      </c>
      <c r="B5027" t="s">
        <v>1623</v>
      </c>
      <c r="C5027">
        <v>39165</v>
      </c>
      <c r="D5027" t="s">
        <v>1223</v>
      </c>
      <c r="E5027" t="s">
        <v>1221</v>
      </c>
      <c r="F5027" t="s">
        <v>1224</v>
      </c>
    </row>
    <row r="5028" spans="1:6">
      <c r="A5028">
        <v>163</v>
      </c>
      <c r="B5028" t="s">
        <v>1623</v>
      </c>
      <c r="C5028">
        <v>20332</v>
      </c>
      <c r="D5028" t="s">
        <v>1542</v>
      </c>
      <c r="E5028" t="s">
        <v>1424</v>
      </c>
      <c r="F5028" t="s">
        <v>1425</v>
      </c>
    </row>
    <row r="5029" spans="1:6">
      <c r="A5029">
        <v>163</v>
      </c>
      <c r="B5029" t="s">
        <v>1623</v>
      </c>
      <c r="C5029">
        <v>976</v>
      </c>
      <c r="D5029" t="s">
        <v>1225</v>
      </c>
      <c r="E5029" t="s">
        <v>1226</v>
      </c>
      <c r="F5029" t="s">
        <v>1227</v>
      </c>
    </row>
    <row r="5030" spans="1:6">
      <c r="A5030">
        <v>163</v>
      </c>
      <c r="B5030" t="s">
        <v>1623</v>
      </c>
      <c r="C5030">
        <v>1707</v>
      </c>
      <c r="D5030" t="s">
        <v>1228</v>
      </c>
      <c r="E5030" t="s">
        <v>1226</v>
      </c>
      <c r="F5030" t="s">
        <v>1229</v>
      </c>
    </row>
    <row r="5031" spans="1:6">
      <c r="A5031">
        <v>163</v>
      </c>
      <c r="B5031" t="s">
        <v>1623</v>
      </c>
      <c r="C5031">
        <v>2461</v>
      </c>
      <c r="D5031" t="s">
        <v>1428</v>
      </c>
      <c r="E5031" t="s">
        <v>1429</v>
      </c>
      <c r="F5031" t="s">
        <v>1430</v>
      </c>
    </row>
    <row r="5032" spans="1:6">
      <c r="A5032">
        <v>163</v>
      </c>
      <c r="B5032" t="s">
        <v>1623</v>
      </c>
      <c r="C5032">
        <v>279871.44</v>
      </c>
      <c r="D5032" t="s">
        <v>1431</v>
      </c>
      <c r="E5032" t="s">
        <v>1432</v>
      </c>
      <c r="F5032" t="s">
        <v>1433</v>
      </c>
    </row>
    <row r="5033" spans="1:6">
      <c r="A5033">
        <v>163</v>
      </c>
      <c r="B5033" t="s">
        <v>1623</v>
      </c>
      <c r="C5033">
        <v>595505.68999999994</v>
      </c>
      <c r="D5033" t="s">
        <v>1434</v>
      </c>
      <c r="E5033" t="s">
        <v>1432</v>
      </c>
      <c r="F5033" t="s">
        <v>1435</v>
      </c>
    </row>
    <row r="5034" spans="1:6">
      <c r="A5034">
        <v>163</v>
      </c>
      <c r="B5034" t="s">
        <v>1623</v>
      </c>
      <c r="C5034">
        <v>91506</v>
      </c>
      <c r="D5034" t="s">
        <v>1576</v>
      </c>
      <c r="E5034" t="s">
        <v>1577</v>
      </c>
      <c r="F5034" t="s">
        <v>1578</v>
      </c>
    </row>
    <row r="5035" spans="1:6">
      <c r="A5035">
        <v>163</v>
      </c>
      <c r="B5035" t="s">
        <v>1623</v>
      </c>
      <c r="C5035">
        <v>1482000</v>
      </c>
      <c r="D5035" t="s">
        <v>1579</v>
      </c>
      <c r="E5035" t="s">
        <v>1577</v>
      </c>
      <c r="F5035" t="s">
        <v>1580</v>
      </c>
    </row>
    <row r="5036" spans="1:6">
      <c r="A5036">
        <v>163</v>
      </c>
      <c r="B5036" t="s">
        <v>1623</v>
      </c>
      <c r="C5036">
        <v>79035</v>
      </c>
      <c r="D5036" t="s">
        <v>1436</v>
      </c>
      <c r="E5036" t="s">
        <v>1437</v>
      </c>
      <c r="F5036" t="s">
        <v>1438</v>
      </c>
    </row>
    <row r="5037" spans="1:6">
      <c r="A5037">
        <v>163</v>
      </c>
      <c r="B5037" t="s">
        <v>1623</v>
      </c>
      <c r="C5037">
        <v>30310</v>
      </c>
      <c r="D5037" t="s">
        <v>1361</v>
      </c>
      <c r="E5037" t="s">
        <v>1440</v>
      </c>
      <c r="F5037" t="s">
        <v>1362</v>
      </c>
    </row>
    <row r="5038" spans="1:6">
      <c r="A5038">
        <v>163</v>
      </c>
      <c r="B5038" t="s">
        <v>1623</v>
      </c>
      <c r="C5038">
        <v>2790</v>
      </c>
      <c r="D5038" t="s">
        <v>1442</v>
      </c>
      <c r="E5038" t="s">
        <v>1582</v>
      </c>
      <c r="F5038" t="s">
        <v>1443</v>
      </c>
    </row>
    <row r="5039" spans="1:6">
      <c r="A5039">
        <v>163</v>
      </c>
      <c r="B5039" t="s">
        <v>1623</v>
      </c>
      <c r="C5039">
        <v>12244</v>
      </c>
      <c r="D5039" t="s">
        <v>1581</v>
      </c>
      <c r="E5039" t="s">
        <v>1582</v>
      </c>
      <c r="F5039" t="s">
        <v>1583</v>
      </c>
    </row>
    <row r="5040" spans="1:6">
      <c r="A5040">
        <v>163</v>
      </c>
      <c r="B5040" t="s">
        <v>1623</v>
      </c>
      <c r="C5040">
        <v>50000</v>
      </c>
      <c r="D5040" t="s">
        <v>1263</v>
      </c>
      <c r="E5040" t="s">
        <v>1445</v>
      </c>
      <c r="F5040" t="s">
        <v>1583</v>
      </c>
    </row>
    <row r="5041" spans="1:6">
      <c r="A5041">
        <v>163</v>
      </c>
      <c r="B5041" t="s">
        <v>1623</v>
      </c>
      <c r="C5041">
        <v>2600</v>
      </c>
      <c r="D5041" t="s">
        <v>1194</v>
      </c>
      <c r="E5041" t="s">
        <v>1265</v>
      </c>
      <c r="F5041" t="s">
        <v>1195</v>
      </c>
    </row>
    <row r="5042" spans="1:6">
      <c r="A5042">
        <v>163</v>
      </c>
      <c r="B5042" t="s">
        <v>1623</v>
      </c>
      <c r="C5042">
        <v>249000</v>
      </c>
      <c r="D5042" t="s">
        <v>1446</v>
      </c>
      <c r="E5042" t="s">
        <v>1447</v>
      </c>
      <c r="F5042" t="s">
        <v>1448</v>
      </c>
    </row>
    <row r="5043" spans="1:6">
      <c r="A5043">
        <v>163</v>
      </c>
      <c r="B5043" t="s">
        <v>1623</v>
      </c>
      <c r="C5043">
        <v>22840</v>
      </c>
      <c r="D5043" t="s">
        <v>1584</v>
      </c>
      <c r="E5043" t="s">
        <v>1585</v>
      </c>
      <c r="F5043" t="s">
        <v>1586</v>
      </c>
    </row>
    <row r="5044" spans="1:6">
      <c r="A5044">
        <v>163</v>
      </c>
      <c r="B5044" t="s">
        <v>1623</v>
      </c>
      <c r="C5044">
        <v>298000</v>
      </c>
      <c r="D5044" t="s">
        <v>1587</v>
      </c>
      <c r="E5044" t="s">
        <v>1585</v>
      </c>
      <c r="F5044" t="s">
        <v>1588</v>
      </c>
    </row>
    <row r="5045" spans="1:6">
      <c r="A5045">
        <v>163</v>
      </c>
      <c r="B5045" t="s">
        <v>1623</v>
      </c>
      <c r="C5045">
        <v>190000</v>
      </c>
      <c r="D5045" t="s">
        <v>1452</v>
      </c>
      <c r="E5045" t="s">
        <v>1450</v>
      </c>
      <c r="F5045" t="s">
        <v>1453</v>
      </c>
    </row>
    <row r="5046" spans="1:6">
      <c r="A5046">
        <v>163</v>
      </c>
      <c r="B5046" t="s">
        <v>1623</v>
      </c>
      <c r="C5046">
        <v>110717</v>
      </c>
      <c r="D5046" t="s">
        <v>1457</v>
      </c>
      <c r="E5046" t="s">
        <v>1455</v>
      </c>
      <c r="F5046" t="s">
        <v>1458</v>
      </c>
    </row>
    <row r="5047" spans="1:6">
      <c r="A5047">
        <v>163</v>
      </c>
      <c r="B5047" t="s">
        <v>1623</v>
      </c>
      <c r="C5047">
        <v>14171</v>
      </c>
      <c r="D5047" t="s">
        <v>1287</v>
      </c>
      <c r="E5047" t="s">
        <v>1288</v>
      </c>
      <c r="F5047" t="s">
        <v>1289</v>
      </c>
    </row>
    <row r="5048" spans="1:6">
      <c r="A5048">
        <v>163</v>
      </c>
      <c r="B5048" t="s">
        <v>1623</v>
      </c>
      <c r="C5048">
        <v>3716</v>
      </c>
      <c r="D5048" t="s">
        <v>1589</v>
      </c>
      <c r="E5048" t="s">
        <v>1590</v>
      </c>
      <c r="F5048" t="s">
        <v>1591</v>
      </c>
    </row>
    <row r="5049" spans="1:6">
      <c r="A5049">
        <v>163</v>
      </c>
      <c r="B5049" t="s">
        <v>1623</v>
      </c>
      <c r="C5049">
        <v>32000</v>
      </c>
      <c r="D5049" t="s">
        <v>1592</v>
      </c>
      <c r="E5049" t="s">
        <v>1590</v>
      </c>
      <c r="F5049" t="s">
        <v>1593</v>
      </c>
    </row>
    <row r="5050" spans="1:6">
      <c r="A5050">
        <v>163</v>
      </c>
      <c r="B5050" t="s">
        <v>1623</v>
      </c>
      <c r="C5050">
        <v>1358</v>
      </c>
      <c r="D5050" t="s">
        <v>1594</v>
      </c>
      <c r="E5050" t="s">
        <v>1595</v>
      </c>
      <c r="F5050" t="s">
        <v>1596</v>
      </c>
    </row>
    <row r="5051" spans="1:6">
      <c r="A5051">
        <v>163</v>
      </c>
      <c r="B5051" t="s">
        <v>1623</v>
      </c>
      <c r="C5051">
        <v>11729</v>
      </c>
      <c r="D5051" t="s">
        <v>1597</v>
      </c>
      <c r="E5051" t="s">
        <v>1595</v>
      </c>
      <c r="F5051" t="s">
        <v>1598</v>
      </c>
    </row>
    <row r="5052" spans="1:6">
      <c r="A5052">
        <v>163</v>
      </c>
      <c r="B5052" t="s">
        <v>1623</v>
      </c>
      <c r="C5052">
        <v>43603</v>
      </c>
      <c r="D5052" t="s">
        <v>1196</v>
      </c>
      <c r="E5052" t="s">
        <v>1197</v>
      </c>
      <c r="F5052" t="s">
        <v>1198</v>
      </c>
    </row>
    <row r="5053" spans="1:6">
      <c r="A5053">
        <v>163</v>
      </c>
      <c r="B5053" t="s">
        <v>1623</v>
      </c>
      <c r="C5053">
        <v>129728</v>
      </c>
      <c r="D5053" t="s">
        <v>1102</v>
      </c>
      <c r="E5053" t="s">
        <v>1197</v>
      </c>
      <c r="F5053" t="s">
        <v>1103</v>
      </c>
    </row>
    <row r="5054" spans="1:6">
      <c r="A5054">
        <v>163</v>
      </c>
      <c r="B5054" t="s">
        <v>1623</v>
      </c>
      <c r="C5054">
        <v>32406</v>
      </c>
      <c r="D5054" t="s">
        <v>1599</v>
      </c>
      <c r="E5054" t="s">
        <v>1600</v>
      </c>
      <c r="F5054" t="s">
        <v>1601</v>
      </c>
    </row>
    <row r="5055" spans="1:6">
      <c r="A5055">
        <v>163</v>
      </c>
      <c r="B5055" t="s">
        <v>1623</v>
      </c>
      <c r="C5055">
        <v>793000</v>
      </c>
      <c r="D5055" t="s">
        <v>1602</v>
      </c>
      <c r="E5055" t="s">
        <v>1600</v>
      </c>
      <c r="F5055" t="s">
        <v>1603</v>
      </c>
    </row>
    <row r="5056" spans="1:6">
      <c r="A5056">
        <v>163</v>
      </c>
      <c r="B5056" t="s">
        <v>1623</v>
      </c>
      <c r="C5056">
        <v>4641</v>
      </c>
      <c r="D5056" t="s">
        <v>1459</v>
      </c>
      <c r="E5056" t="s">
        <v>1605</v>
      </c>
      <c r="F5056" t="s">
        <v>1460</v>
      </c>
    </row>
    <row r="5057" spans="1:6">
      <c r="A5057">
        <v>163</v>
      </c>
      <c r="B5057" t="s">
        <v>1623</v>
      </c>
      <c r="C5057">
        <v>38277</v>
      </c>
      <c r="D5057" t="s">
        <v>1604</v>
      </c>
      <c r="E5057" t="s">
        <v>1605</v>
      </c>
      <c r="F5057" t="s">
        <v>1606</v>
      </c>
    </row>
    <row r="5058" spans="1:6">
      <c r="A5058">
        <v>163</v>
      </c>
      <c r="B5058" t="s">
        <v>1623</v>
      </c>
      <c r="C5058">
        <v>77000</v>
      </c>
      <c r="D5058" t="s">
        <v>1461</v>
      </c>
      <c r="E5058" t="s">
        <v>1462</v>
      </c>
      <c r="F5058" t="s">
        <v>1463</v>
      </c>
    </row>
    <row r="5059" spans="1:6">
      <c r="A5059">
        <v>163</v>
      </c>
      <c r="B5059" t="s">
        <v>1623</v>
      </c>
      <c r="C5059">
        <v>9500</v>
      </c>
      <c r="D5059" t="s">
        <v>1466</v>
      </c>
      <c r="E5059" t="s">
        <v>1467</v>
      </c>
      <c r="F5059" t="s">
        <v>1468</v>
      </c>
    </row>
    <row r="5060" spans="1:6">
      <c r="A5060">
        <v>163</v>
      </c>
      <c r="B5060" t="s">
        <v>1623</v>
      </c>
      <c r="C5060">
        <v>17610</v>
      </c>
      <c r="D5060" t="s">
        <v>1469</v>
      </c>
      <c r="E5060" t="s">
        <v>1470</v>
      </c>
      <c r="F5060" t="s">
        <v>1471</v>
      </c>
    </row>
    <row r="5061" spans="1:6">
      <c r="A5061">
        <v>163</v>
      </c>
      <c r="B5061" t="s">
        <v>1623</v>
      </c>
      <c r="C5061">
        <v>358254.8</v>
      </c>
      <c r="D5061" t="s">
        <v>1475</v>
      </c>
      <c r="E5061" t="s">
        <v>1476</v>
      </c>
      <c r="F5061" t="s">
        <v>1477</v>
      </c>
    </row>
    <row r="5062" spans="1:6">
      <c r="A5062">
        <v>163</v>
      </c>
      <c r="B5062" t="s">
        <v>1623</v>
      </c>
      <c r="C5062">
        <v>918009.08</v>
      </c>
      <c r="D5062" t="s">
        <v>1365</v>
      </c>
      <c r="E5062" t="s">
        <v>1366</v>
      </c>
      <c r="F5062" t="s">
        <v>1367</v>
      </c>
    </row>
    <row r="5063" spans="1:6">
      <c r="A5063">
        <v>163</v>
      </c>
      <c r="B5063" t="s">
        <v>1623</v>
      </c>
      <c r="C5063">
        <v>246164</v>
      </c>
      <c r="D5063" t="s">
        <v>1610</v>
      </c>
      <c r="E5063" t="s">
        <v>1481</v>
      </c>
      <c r="F5063" t="s">
        <v>1482</v>
      </c>
    </row>
    <row r="5064" spans="1:6">
      <c r="A5064">
        <v>164</v>
      </c>
      <c r="B5064" t="s">
        <v>1624</v>
      </c>
      <c r="C5064">
        <v>48797</v>
      </c>
      <c r="D5064" t="s">
        <v>1486</v>
      </c>
      <c r="E5064" t="s">
        <v>1487</v>
      </c>
      <c r="F5064" t="s">
        <v>1488</v>
      </c>
    </row>
    <row r="5065" spans="1:6">
      <c r="A5065">
        <v>164</v>
      </c>
      <c r="B5065" t="s">
        <v>1624</v>
      </c>
      <c r="C5065">
        <v>27852</v>
      </c>
      <c r="D5065" t="s">
        <v>1489</v>
      </c>
      <c r="E5065" t="s">
        <v>1490</v>
      </c>
      <c r="F5065" t="s">
        <v>1491</v>
      </c>
    </row>
    <row r="5066" spans="1:6">
      <c r="A5066">
        <v>164</v>
      </c>
      <c r="B5066" t="s">
        <v>1624</v>
      </c>
      <c r="C5066">
        <v>102250</v>
      </c>
      <c r="D5066" t="s">
        <v>1404</v>
      </c>
      <c r="E5066" t="s">
        <v>1405</v>
      </c>
      <c r="F5066" t="s">
        <v>1406</v>
      </c>
    </row>
    <row r="5067" spans="1:6">
      <c r="A5067">
        <v>164</v>
      </c>
      <c r="B5067" t="s">
        <v>1624</v>
      </c>
      <c r="C5067">
        <v>312353</v>
      </c>
      <c r="D5067" t="s">
        <v>1567</v>
      </c>
      <c r="E5067" t="s">
        <v>1568</v>
      </c>
      <c r="F5067" t="s">
        <v>1569</v>
      </c>
    </row>
    <row r="5068" spans="1:6">
      <c r="A5068">
        <v>164</v>
      </c>
      <c r="B5068" t="s">
        <v>1624</v>
      </c>
      <c r="C5068">
        <v>41595</v>
      </c>
      <c r="D5068" t="s">
        <v>1496</v>
      </c>
      <c r="E5068" t="s">
        <v>1497</v>
      </c>
      <c r="F5068" t="s">
        <v>1498</v>
      </c>
    </row>
    <row r="5069" spans="1:6">
      <c r="A5069">
        <v>164</v>
      </c>
      <c r="B5069" t="s">
        <v>1624</v>
      </c>
      <c r="C5069">
        <v>9225852</v>
      </c>
      <c r="D5069" t="s">
        <v>1570</v>
      </c>
      <c r="E5069" t="s">
        <v>1571</v>
      </c>
      <c r="F5069" t="s">
        <v>1572</v>
      </c>
    </row>
    <row r="5070" spans="1:6">
      <c r="A5070">
        <v>164</v>
      </c>
      <c r="B5070" t="s">
        <v>1624</v>
      </c>
      <c r="C5070">
        <v>63220</v>
      </c>
      <c r="D5070" t="s">
        <v>1382</v>
      </c>
      <c r="E5070" t="s">
        <v>1383</v>
      </c>
      <c r="F5070" t="s">
        <v>1384</v>
      </c>
    </row>
    <row r="5071" spans="1:6">
      <c r="A5071">
        <v>164</v>
      </c>
      <c r="B5071" t="s">
        <v>1624</v>
      </c>
      <c r="C5071">
        <v>46018</v>
      </c>
      <c r="D5071" t="s">
        <v>1338</v>
      </c>
      <c r="E5071" t="s">
        <v>1383</v>
      </c>
      <c r="F5071" t="s">
        <v>1384</v>
      </c>
    </row>
    <row r="5072" spans="1:6">
      <c r="A5072">
        <v>164</v>
      </c>
      <c r="B5072" t="s">
        <v>1624</v>
      </c>
      <c r="C5072">
        <v>6000</v>
      </c>
      <c r="D5072" t="s">
        <v>1515</v>
      </c>
      <c r="E5072" t="s">
        <v>1516</v>
      </c>
      <c r="F5072" t="s">
        <v>1517</v>
      </c>
    </row>
    <row r="5073" spans="1:6">
      <c r="A5073">
        <v>164</v>
      </c>
      <c r="B5073" t="s">
        <v>1624</v>
      </c>
      <c r="C5073">
        <v>493</v>
      </c>
      <c r="D5073" t="s">
        <v>1518</v>
      </c>
      <c r="E5073" t="s">
        <v>1516</v>
      </c>
      <c r="F5073" t="s">
        <v>1519</v>
      </c>
    </row>
    <row r="5074" spans="1:6">
      <c r="A5074">
        <v>164</v>
      </c>
      <c r="B5074" t="s">
        <v>1624</v>
      </c>
      <c r="C5074">
        <v>209282</v>
      </c>
      <c r="D5074" t="s">
        <v>1520</v>
      </c>
      <c r="E5074" t="s">
        <v>1521</v>
      </c>
      <c r="F5074" t="s">
        <v>1522</v>
      </c>
    </row>
    <row r="5075" spans="1:6">
      <c r="A5075">
        <v>164</v>
      </c>
      <c r="B5075" t="s">
        <v>1624</v>
      </c>
      <c r="C5075">
        <v>281626</v>
      </c>
      <c r="D5075" t="s">
        <v>1573</v>
      </c>
      <c r="E5075" t="s">
        <v>1574</v>
      </c>
      <c r="F5075" t="s">
        <v>1575</v>
      </c>
    </row>
    <row r="5076" spans="1:6">
      <c r="A5076">
        <v>164</v>
      </c>
      <c r="B5076" t="s">
        <v>1624</v>
      </c>
      <c r="C5076">
        <v>35366</v>
      </c>
      <c r="D5076" t="s">
        <v>1523</v>
      </c>
      <c r="E5076" t="s">
        <v>1521</v>
      </c>
      <c r="F5076" t="s">
        <v>1524</v>
      </c>
    </row>
    <row r="5077" spans="1:6">
      <c r="A5077">
        <v>164</v>
      </c>
      <c r="B5077" t="s">
        <v>1624</v>
      </c>
      <c r="C5077">
        <v>37782</v>
      </c>
      <c r="D5077" t="s">
        <v>1525</v>
      </c>
      <c r="E5077" t="s">
        <v>1526</v>
      </c>
      <c r="F5077" t="s">
        <v>1527</v>
      </c>
    </row>
    <row r="5078" spans="1:6">
      <c r="A5078">
        <v>164</v>
      </c>
      <c r="B5078" t="s">
        <v>1624</v>
      </c>
      <c r="C5078">
        <v>20003</v>
      </c>
      <c r="D5078" t="s">
        <v>1528</v>
      </c>
      <c r="E5078" t="s">
        <v>1529</v>
      </c>
      <c r="F5078" t="s">
        <v>1530</v>
      </c>
    </row>
    <row r="5079" spans="1:6">
      <c r="A5079">
        <v>164</v>
      </c>
      <c r="B5079" t="s">
        <v>1624</v>
      </c>
      <c r="C5079">
        <v>26000</v>
      </c>
      <c r="D5079" t="s">
        <v>1531</v>
      </c>
      <c r="E5079" t="s">
        <v>1532</v>
      </c>
      <c r="F5079" t="s">
        <v>1533</v>
      </c>
    </row>
    <row r="5080" spans="1:6">
      <c r="A5080">
        <v>164</v>
      </c>
      <c r="B5080" t="s">
        <v>1624</v>
      </c>
      <c r="C5080">
        <v>75000</v>
      </c>
      <c r="D5080" t="s">
        <v>1204</v>
      </c>
      <c r="E5080" t="s">
        <v>1205</v>
      </c>
      <c r="F5080" t="s">
        <v>1206</v>
      </c>
    </row>
    <row r="5081" spans="1:6">
      <c r="A5081">
        <v>164</v>
      </c>
      <c r="B5081" t="s">
        <v>1624</v>
      </c>
      <c r="C5081">
        <v>27300</v>
      </c>
      <c r="D5081" t="s">
        <v>1387</v>
      </c>
      <c r="E5081" t="s">
        <v>1388</v>
      </c>
      <c r="F5081" t="s">
        <v>1389</v>
      </c>
    </row>
    <row r="5082" spans="1:6">
      <c r="A5082">
        <v>164</v>
      </c>
      <c r="B5082" t="s">
        <v>1624</v>
      </c>
      <c r="C5082">
        <v>128304</v>
      </c>
      <c r="D5082" t="s">
        <v>1390</v>
      </c>
      <c r="E5082" t="s">
        <v>1391</v>
      </c>
      <c r="F5082" t="s">
        <v>1392</v>
      </c>
    </row>
    <row r="5083" spans="1:6">
      <c r="A5083">
        <v>164</v>
      </c>
      <c r="B5083" t="s">
        <v>1624</v>
      </c>
      <c r="C5083">
        <v>22071.9</v>
      </c>
      <c r="D5083" t="s">
        <v>1537</v>
      </c>
      <c r="E5083" t="s">
        <v>1538</v>
      </c>
      <c r="F5083" t="s">
        <v>1539</v>
      </c>
    </row>
    <row r="5084" spans="1:6">
      <c r="A5084">
        <v>164</v>
      </c>
      <c r="B5084" t="s">
        <v>1624</v>
      </c>
      <c r="C5084">
        <v>51608.95</v>
      </c>
      <c r="D5084" t="s">
        <v>1540</v>
      </c>
      <c r="E5084" t="s">
        <v>1538</v>
      </c>
      <c r="F5084" t="s">
        <v>1541</v>
      </c>
    </row>
    <row r="5085" spans="1:6">
      <c r="A5085">
        <v>164</v>
      </c>
      <c r="B5085" t="s">
        <v>1624</v>
      </c>
      <c r="C5085">
        <v>7936</v>
      </c>
      <c r="D5085" t="s">
        <v>1220</v>
      </c>
      <c r="E5085" t="s">
        <v>1221</v>
      </c>
      <c r="F5085" t="s">
        <v>1222</v>
      </c>
    </row>
    <row r="5086" spans="1:6">
      <c r="A5086">
        <v>164</v>
      </c>
      <c r="B5086" t="s">
        <v>1624</v>
      </c>
      <c r="C5086">
        <v>10661</v>
      </c>
      <c r="D5086" t="s">
        <v>1223</v>
      </c>
      <c r="E5086" t="s">
        <v>1221</v>
      </c>
      <c r="F5086" t="s">
        <v>1224</v>
      </c>
    </row>
    <row r="5087" spans="1:6">
      <c r="A5087">
        <v>164</v>
      </c>
      <c r="B5087" t="s">
        <v>1624</v>
      </c>
      <c r="C5087">
        <v>624</v>
      </c>
      <c r="D5087" t="s">
        <v>1225</v>
      </c>
      <c r="E5087" t="s">
        <v>1226</v>
      </c>
      <c r="F5087" t="s">
        <v>1227</v>
      </c>
    </row>
    <row r="5088" spans="1:6">
      <c r="A5088">
        <v>164</v>
      </c>
      <c r="B5088" t="s">
        <v>1624</v>
      </c>
      <c r="C5088">
        <v>801</v>
      </c>
      <c r="D5088" t="s">
        <v>1228</v>
      </c>
      <c r="E5088" t="s">
        <v>1226</v>
      </c>
      <c r="F5088" t="s">
        <v>1229</v>
      </c>
    </row>
    <row r="5089" spans="1:6">
      <c r="A5089">
        <v>164</v>
      </c>
      <c r="B5089" t="s">
        <v>1624</v>
      </c>
      <c r="C5089">
        <v>151521.97</v>
      </c>
      <c r="D5089" t="s">
        <v>1431</v>
      </c>
      <c r="E5089" t="s">
        <v>1432</v>
      </c>
      <c r="F5089" t="s">
        <v>1433</v>
      </c>
    </row>
    <row r="5090" spans="1:6">
      <c r="A5090">
        <v>164</v>
      </c>
      <c r="B5090" t="s">
        <v>1624</v>
      </c>
      <c r="C5090">
        <v>367507.34</v>
      </c>
      <c r="D5090" t="s">
        <v>1434</v>
      </c>
      <c r="E5090" t="s">
        <v>1432</v>
      </c>
      <c r="F5090" t="s">
        <v>1435</v>
      </c>
    </row>
    <row r="5091" spans="1:6">
      <c r="A5091">
        <v>164</v>
      </c>
      <c r="B5091" t="s">
        <v>1624</v>
      </c>
      <c r="C5091">
        <v>104075</v>
      </c>
      <c r="D5091" t="s">
        <v>1576</v>
      </c>
      <c r="E5091" t="s">
        <v>1577</v>
      </c>
      <c r="F5091" t="s">
        <v>1578</v>
      </c>
    </row>
    <row r="5092" spans="1:6">
      <c r="A5092">
        <v>164</v>
      </c>
      <c r="B5092" t="s">
        <v>1624</v>
      </c>
      <c r="C5092">
        <v>82500</v>
      </c>
      <c r="D5092" t="s">
        <v>1579</v>
      </c>
      <c r="E5092" t="s">
        <v>1577</v>
      </c>
      <c r="F5092" t="s">
        <v>1580</v>
      </c>
    </row>
    <row r="5093" spans="1:6">
      <c r="A5093">
        <v>164</v>
      </c>
      <c r="B5093" t="s">
        <v>1624</v>
      </c>
      <c r="C5093">
        <v>34556</v>
      </c>
      <c r="D5093" t="s">
        <v>1436</v>
      </c>
      <c r="E5093" t="s">
        <v>1437</v>
      </c>
      <c r="F5093" t="s">
        <v>1438</v>
      </c>
    </row>
    <row r="5094" spans="1:6">
      <c r="A5094">
        <v>164</v>
      </c>
      <c r="B5094" t="s">
        <v>1624</v>
      </c>
      <c r="C5094">
        <v>1932</v>
      </c>
      <c r="D5094" t="s">
        <v>1442</v>
      </c>
      <c r="E5094" t="s">
        <v>1582</v>
      </c>
      <c r="F5094" t="s">
        <v>1443</v>
      </c>
    </row>
    <row r="5095" spans="1:6">
      <c r="A5095">
        <v>164</v>
      </c>
      <c r="B5095" t="s">
        <v>1624</v>
      </c>
      <c r="C5095">
        <v>200</v>
      </c>
      <c r="D5095" t="s">
        <v>1581</v>
      </c>
      <c r="E5095" t="s">
        <v>1582</v>
      </c>
      <c r="F5095" t="s">
        <v>1583</v>
      </c>
    </row>
    <row r="5096" spans="1:6">
      <c r="A5096">
        <v>164</v>
      </c>
      <c r="B5096" t="s">
        <v>1624</v>
      </c>
      <c r="C5096">
        <v>73844</v>
      </c>
      <c r="D5096" t="s">
        <v>1584</v>
      </c>
      <c r="E5096" t="s">
        <v>1585</v>
      </c>
      <c r="F5096" t="s">
        <v>1586</v>
      </c>
    </row>
    <row r="5097" spans="1:6">
      <c r="A5097">
        <v>164</v>
      </c>
      <c r="B5097" t="s">
        <v>1624</v>
      </c>
      <c r="C5097">
        <v>21000</v>
      </c>
      <c r="D5097" t="s">
        <v>1587</v>
      </c>
      <c r="E5097" t="s">
        <v>1585</v>
      </c>
      <c r="F5097" t="s">
        <v>1588</v>
      </c>
    </row>
    <row r="5098" spans="1:6">
      <c r="A5098">
        <v>164</v>
      </c>
      <c r="B5098" t="s">
        <v>1624</v>
      </c>
      <c r="C5098">
        <v>8402</v>
      </c>
      <c r="D5098" t="s">
        <v>1454</v>
      </c>
      <c r="E5098" t="s">
        <v>1455</v>
      </c>
      <c r="F5098" t="s">
        <v>1456</v>
      </c>
    </row>
    <row r="5099" spans="1:6">
      <c r="A5099">
        <v>164</v>
      </c>
      <c r="B5099" t="s">
        <v>1624</v>
      </c>
      <c r="C5099">
        <v>4000</v>
      </c>
      <c r="D5099" t="s">
        <v>1457</v>
      </c>
      <c r="E5099" t="s">
        <v>1455</v>
      </c>
      <c r="F5099" t="s">
        <v>1458</v>
      </c>
    </row>
    <row r="5100" spans="1:6">
      <c r="A5100">
        <v>164</v>
      </c>
      <c r="B5100" t="s">
        <v>1624</v>
      </c>
      <c r="C5100">
        <v>23179</v>
      </c>
      <c r="D5100" t="s">
        <v>1287</v>
      </c>
      <c r="E5100" t="s">
        <v>1288</v>
      </c>
      <c r="F5100" t="s">
        <v>1289</v>
      </c>
    </row>
    <row r="5101" spans="1:6">
      <c r="A5101">
        <v>164</v>
      </c>
      <c r="B5101" t="s">
        <v>1624</v>
      </c>
      <c r="C5101">
        <v>11008</v>
      </c>
      <c r="D5101" t="s">
        <v>1589</v>
      </c>
      <c r="E5101" t="s">
        <v>1590</v>
      </c>
      <c r="F5101" t="s">
        <v>1591</v>
      </c>
    </row>
    <row r="5102" spans="1:6">
      <c r="A5102">
        <v>164</v>
      </c>
      <c r="B5102" t="s">
        <v>1624</v>
      </c>
      <c r="C5102">
        <v>2000</v>
      </c>
      <c r="D5102" t="s">
        <v>1592</v>
      </c>
      <c r="E5102" t="s">
        <v>1590</v>
      </c>
      <c r="F5102" t="s">
        <v>1593</v>
      </c>
    </row>
    <row r="5103" spans="1:6">
      <c r="A5103">
        <v>164</v>
      </c>
      <c r="B5103" t="s">
        <v>1624</v>
      </c>
      <c r="C5103">
        <v>9420</v>
      </c>
      <c r="D5103" t="s">
        <v>1594</v>
      </c>
      <c r="E5103" t="s">
        <v>1595</v>
      </c>
      <c r="F5103" t="s">
        <v>1596</v>
      </c>
    </row>
    <row r="5104" spans="1:6">
      <c r="A5104">
        <v>164</v>
      </c>
      <c r="B5104" t="s">
        <v>1624</v>
      </c>
      <c r="C5104">
        <v>650</v>
      </c>
      <c r="D5104" t="s">
        <v>1597</v>
      </c>
      <c r="E5104" t="s">
        <v>1595</v>
      </c>
      <c r="F5104" t="s">
        <v>1598</v>
      </c>
    </row>
    <row r="5105" spans="1:6">
      <c r="A5105">
        <v>164</v>
      </c>
      <c r="B5105" t="s">
        <v>1624</v>
      </c>
      <c r="C5105">
        <v>792679</v>
      </c>
      <c r="D5105" t="s">
        <v>1599</v>
      </c>
      <c r="E5105" t="s">
        <v>1600</v>
      </c>
      <c r="F5105" t="s">
        <v>1601</v>
      </c>
    </row>
    <row r="5106" spans="1:6">
      <c r="A5106">
        <v>164</v>
      </c>
      <c r="B5106" t="s">
        <v>1624</v>
      </c>
      <c r="C5106">
        <v>2500</v>
      </c>
      <c r="D5106" t="s">
        <v>1269</v>
      </c>
      <c r="E5106" t="s">
        <v>1270</v>
      </c>
      <c r="F5106" t="s">
        <v>1601</v>
      </c>
    </row>
    <row r="5107" spans="1:6">
      <c r="A5107">
        <v>164</v>
      </c>
      <c r="B5107" t="s">
        <v>1624</v>
      </c>
      <c r="C5107">
        <v>325300</v>
      </c>
      <c r="D5107" t="s">
        <v>1602</v>
      </c>
      <c r="E5107" t="s">
        <v>1600</v>
      </c>
      <c r="F5107" t="s">
        <v>1603</v>
      </c>
    </row>
    <row r="5108" spans="1:6">
      <c r="A5108">
        <v>164</v>
      </c>
      <c r="B5108" t="s">
        <v>1624</v>
      </c>
      <c r="C5108">
        <v>13752</v>
      </c>
      <c r="D5108" t="s">
        <v>1459</v>
      </c>
      <c r="E5108" t="s">
        <v>1605</v>
      </c>
      <c r="F5108" t="s">
        <v>1460</v>
      </c>
    </row>
    <row r="5109" spans="1:6">
      <c r="A5109">
        <v>164</v>
      </c>
      <c r="B5109" t="s">
        <v>1624</v>
      </c>
      <c r="C5109">
        <v>3000</v>
      </c>
      <c r="D5109" t="s">
        <v>1604</v>
      </c>
      <c r="E5109" t="s">
        <v>1605</v>
      </c>
      <c r="F5109" t="s">
        <v>1606</v>
      </c>
    </row>
    <row r="5110" spans="1:6">
      <c r="A5110">
        <v>164</v>
      </c>
      <c r="B5110" t="s">
        <v>1624</v>
      </c>
      <c r="C5110">
        <v>14750</v>
      </c>
      <c r="D5110" t="s">
        <v>1466</v>
      </c>
      <c r="E5110" t="s">
        <v>1467</v>
      </c>
      <c r="F5110" t="s">
        <v>1468</v>
      </c>
    </row>
    <row r="5111" spans="1:6">
      <c r="A5111">
        <v>164</v>
      </c>
      <c r="B5111" t="s">
        <v>1624</v>
      </c>
      <c r="C5111">
        <v>111365.55</v>
      </c>
      <c r="D5111" t="s">
        <v>1475</v>
      </c>
      <c r="E5111" t="s">
        <v>1476</v>
      </c>
      <c r="F5111" t="s">
        <v>1477</v>
      </c>
    </row>
    <row r="5112" spans="1:6">
      <c r="A5112">
        <v>164</v>
      </c>
      <c r="B5112" t="s">
        <v>1624</v>
      </c>
      <c r="C5112">
        <v>55131.46</v>
      </c>
      <c r="D5112" t="s">
        <v>1478</v>
      </c>
      <c r="E5112" t="s">
        <v>1479</v>
      </c>
      <c r="F5112" t="s">
        <v>1480</v>
      </c>
    </row>
    <row r="5113" spans="1:6">
      <c r="A5113">
        <v>164</v>
      </c>
      <c r="B5113" t="s">
        <v>1624</v>
      </c>
      <c r="C5113">
        <v>455744.44</v>
      </c>
      <c r="D5113" t="s">
        <v>1365</v>
      </c>
      <c r="E5113" t="s">
        <v>1366</v>
      </c>
      <c r="F5113" t="s">
        <v>1367</v>
      </c>
    </row>
    <row r="5114" spans="1:6">
      <c r="A5114">
        <v>164</v>
      </c>
      <c r="B5114" t="s">
        <v>1624</v>
      </c>
      <c r="C5114">
        <v>422962</v>
      </c>
      <c r="D5114" t="s">
        <v>1610</v>
      </c>
      <c r="E5114" t="s">
        <v>1481</v>
      </c>
      <c r="F5114" t="s">
        <v>1482</v>
      </c>
    </row>
    <row r="5115" spans="1:6">
      <c r="A5115">
        <v>165</v>
      </c>
      <c r="B5115" t="s">
        <v>1625</v>
      </c>
      <c r="C5115">
        <v>22375</v>
      </c>
      <c r="D5115" t="s">
        <v>1483</v>
      </c>
      <c r="E5115" t="s">
        <v>1484</v>
      </c>
      <c r="F5115" t="s">
        <v>1485</v>
      </c>
    </row>
    <row r="5116" spans="1:6">
      <c r="A5116">
        <v>165</v>
      </c>
      <c r="B5116" t="s">
        <v>1625</v>
      </c>
      <c r="C5116">
        <v>15497</v>
      </c>
      <c r="D5116" t="s">
        <v>1486</v>
      </c>
      <c r="E5116" t="s">
        <v>1487</v>
      </c>
      <c r="F5116" t="s">
        <v>1488</v>
      </c>
    </row>
    <row r="5117" spans="1:6">
      <c r="A5117">
        <v>165</v>
      </c>
      <c r="B5117" t="s">
        <v>1625</v>
      </c>
      <c r="C5117">
        <v>8053</v>
      </c>
      <c r="D5117" t="s">
        <v>1489</v>
      </c>
      <c r="E5117" t="s">
        <v>1490</v>
      </c>
      <c r="F5117" t="s">
        <v>1491</v>
      </c>
    </row>
    <row r="5118" spans="1:6">
      <c r="A5118">
        <v>165</v>
      </c>
      <c r="B5118" t="s">
        <v>1625</v>
      </c>
      <c r="C5118">
        <v>120473</v>
      </c>
      <c r="D5118" t="s">
        <v>1567</v>
      </c>
      <c r="E5118" t="s">
        <v>1568</v>
      </c>
      <c r="F5118" t="s">
        <v>1569</v>
      </c>
    </row>
    <row r="5119" spans="1:6">
      <c r="A5119">
        <v>165</v>
      </c>
      <c r="B5119" t="s">
        <v>1625</v>
      </c>
      <c r="C5119">
        <v>3273925</v>
      </c>
      <c r="D5119" t="s">
        <v>1570</v>
      </c>
      <c r="E5119" t="s">
        <v>1571</v>
      </c>
      <c r="F5119" t="s">
        <v>1572</v>
      </c>
    </row>
    <row r="5120" spans="1:6">
      <c r="A5120">
        <v>165</v>
      </c>
      <c r="B5120" t="s">
        <v>1625</v>
      </c>
      <c r="C5120">
        <v>3000</v>
      </c>
      <c r="D5120" t="s">
        <v>1515</v>
      </c>
      <c r="E5120" t="s">
        <v>1516</v>
      </c>
      <c r="F5120" t="s">
        <v>1517</v>
      </c>
    </row>
    <row r="5121" spans="1:6">
      <c r="A5121">
        <v>165</v>
      </c>
      <c r="B5121" t="s">
        <v>1625</v>
      </c>
      <c r="C5121">
        <v>401</v>
      </c>
      <c r="D5121" t="s">
        <v>1518</v>
      </c>
      <c r="E5121" t="s">
        <v>1516</v>
      </c>
      <c r="F5121" t="s">
        <v>1519</v>
      </c>
    </row>
    <row r="5122" spans="1:6">
      <c r="A5122">
        <v>165</v>
      </c>
      <c r="B5122" t="s">
        <v>1625</v>
      </c>
      <c r="C5122">
        <v>93265</v>
      </c>
      <c r="D5122" t="s">
        <v>1520</v>
      </c>
      <c r="E5122" t="s">
        <v>1521</v>
      </c>
      <c r="F5122" t="s">
        <v>1522</v>
      </c>
    </row>
    <row r="5123" spans="1:6">
      <c r="A5123">
        <v>165</v>
      </c>
      <c r="B5123" t="s">
        <v>1625</v>
      </c>
      <c r="C5123">
        <v>185910</v>
      </c>
      <c r="D5123" t="s">
        <v>1573</v>
      </c>
      <c r="E5123" t="s">
        <v>1574</v>
      </c>
      <c r="F5123" t="s">
        <v>1575</v>
      </c>
    </row>
    <row r="5124" spans="1:6">
      <c r="A5124">
        <v>165</v>
      </c>
      <c r="B5124" t="s">
        <v>1625</v>
      </c>
      <c r="C5124">
        <v>14313</v>
      </c>
      <c r="D5124" t="s">
        <v>1523</v>
      </c>
      <c r="E5124" t="s">
        <v>1521</v>
      </c>
      <c r="F5124" t="s">
        <v>1524</v>
      </c>
    </row>
    <row r="5125" spans="1:6">
      <c r="A5125">
        <v>165</v>
      </c>
      <c r="B5125" t="s">
        <v>1625</v>
      </c>
      <c r="C5125">
        <v>5545</v>
      </c>
      <c r="D5125" t="s">
        <v>1371</v>
      </c>
      <c r="E5125" t="s">
        <v>1372</v>
      </c>
      <c r="F5125" t="s">
        <v>1373</v>
      </c>
    </row>
    <row r="5126" spans="1:6">
      <c r="A5126">
        <v>165</v>
      </c>
      <c r="B5126" t="s">
        <v>1625</v>
      </c>
      <c r="C5126">
        <v>14000</v>
      </c>
      <c r="D5126" t="s">
        <v>1528</v>
      </c>
      <c r="E5126" t="s">
        <v>1529</v>
      </c>
      <c r="F5126" t="s">
        <v>1530</v>
      </c>
    </row>
    <row r="5127" spans="1:6">
      <c r="A5127">
        <v>165</v>
      </c>
      <c r="B5127" t="s">
        <v>1625</v>
      </c>
      <c r="C5127">
        <v>68109</v>
      </c>
      <c r="D5127" t="s">
        <v>1531</v>
      </c>
      <c r="E5127" t="s">
        <v>1532</v>
      </c>
      <c r="F5127" t="s">
        <v>1533</v>
      </c>
    </row>
    <row r="5128" spans="1:6">
      <c r="A5128">
        <v>165</v>
      </c>
      <c r="B5128" t="s">
        <v>1625</v>
      </c>
      <c r="C5128">
        <v>18200</v>
      </c>
      <c r="D5128" t="s">
        <v>1387</v>
      </c>
      <c r="E5128" t="s">
        <v>1388</v>
      </c>
      <c r="F5128" t="s">
        <v>1389</v>
      </c>
    </row>
    <row r="5129" spans="1:6">
      <c r="A5129">
        <v>165</v>
      </c>
      <c r="B5129" t="s">
        <v>1625</v>
      </c>
      <c r="C5129">
        <v>6638.49</v>
      </c>
      <c r="D5129" t="s">
        <v>1537</v>
      </c>
      <c r="E5129" t="s">
        <v>1538</v>
      </c>
      <c r="F5129" t="s">
        <v>1539</v>
      </c>
    </row>
    <row r="5130" spans="1:6">
      <c r="A5130">
        <v>165</v>
      </c>
      <c r="B5130" t="s">
        <v>1625</v>
      </c>
      <c r="C5130">
        <v>17311.689999999999</v>
      </c>
      <c r="D5130" t="s">
        <v>1540</v>
      </c>
      <c r="E5130" t="s">
        <v>1538</v>
      </c>
      <c r="F5130" t="s">
        <v>1541</v>
      </c>
    </row>
    <row r="5131" spans="1:6">
      <c r="A5131">
        <v>165</v>
      </c>
      <c r="B5131" t="s">
        <v>1625</v>
      </c>
      <c r="C5131">
        <v>44567.59</v>
      </c>
      <c r="D5131" t="s">
        <v>1431</v>
      </c>
      <c r="E5131" t="s">
        <v>1432</v>
      </c>
      <c r="F5131" t="s">
        <v>1433</v>
      </c>
    </row>
    <row r="5132" spans="1:6">
      <c r="A5132">
        <v>165</v>
      </c>
      <c r="B5132" t="s">
        <v>1625</v>
      </c>
      <c r="C5132">
        <v>118522.64</v>
      </c>
      <c r="D5132" t="s">
        <v>1434</v>
      </c>
      <c r="E5132" t="s">
        <v>1432</v>
      </c>
      <c r="F5132" t="s">
        <v>1435</v>
      </c>
    </row>
    <row r="5133" spans="1:6">
      <c r="A5133">
        <v>165</v>
      </c>
      <c r="B5133" t="s">
        <v>1625</v>
      </c>
      <c r="C5133">
        <v>11654</v>
      </c>
      <c r="D5133" t="s">
        <v>1576</v>
      </c>
      <c r="E5133" t="s">
        <v>1577</v>
      </c>
      <c r="F5133" t="s">
        <v>1578</v>
      </c>
    </row>
    <row r="5134" spans="1:6">
      <c r="A5134">
        <v>165</v>
      </c>
      <c r="B5134" t="s">
        <v>1625</v>
      </c>
      <c r="C5134">
        <v>71552</v>
      </c>
      <c r="D5134" t="s">
        <v>1579</v>
      </c>
      <c r="E5134" t="s">
        <v>1577</v>
      </c>
      <c r="F5134" t="s">
        <v>1580</v>
      </c>
    </row>
    <row r="5135" spans="1:6">
      <c r="A5135">
        <v>165</v>
      </c>
      <c r="B5135" t="s">
        <v>1625</v>
      </c>
      <c r="C5135">
        <v>338</v>
      </c>
      <c r="D5135" t="s">
        <v>1442</v>
      </c>
      <c r="E5135" t="s">
        <v>1582</v>
      </c>
      <c r="F5135" t="s">
        <v>1443</v>
      </c>
    </row>
    <row r="5136" spans="1:6">
      <c r="A5136">
        <v>165</v>
      </c>
      <c r="B5136" t="s">
        <v>1625</v>
      </c>
      <c r="C5136">
        <v>40513</v>
      </c>
      <c r="D5136" t="s">
        <v>1584</v>
      </c>
      <c r="E5136" t="s">
        <v>1585</v>
      </c>
      <c r="F5136" t="s">
        <v>1586</v>
      </c>
    </row>
    <row r="5137" spans="1:6">
      <c r="A5137">
        <v>165</v>
      </c>
      <c r="B5137" t="s">
        <v>1625</v>
      </c>
      <c r="C5137">
        <v>1810</v>
      </c>
      <c r="D5137" t="s">
        <v>1587</v>
      </c>
      <c r="E5137" t="s">
        <v>1585</v>
      </c>
      <c r="F5137" t="s">
        <v>1588</v>
      </c>
    </row>
    <row r="5138" spans="1:6">
      <c r="A5138">
        <v>165</v>
      </c>
      <c r="B5138" t="s">
        <v>1625</v>
      </c>
      <c r="C5138">
        <v>1341</v>
      </c>
      <c r="D5138" t="s">
        <v>1589</v>
      </c>
      <c r="E5138" t="s">
        <v>1590</v>
      </c>
      <c r="F5138" t="s">
        <v>1591</v>
      </c>
    </row>
    <row r="5139" spans="1:6">
      <c r="A5139">
        <v>165</v>
      </c>
      <c r="B5139" t="s">
        <v>1625</v>
      </c>
      <c r="C5139">
        <v>3195</v>
      </c>
      <c r="D5139" t="s">
        <v>1592</v>
      </c>
      <c r="E5139" t="s">
        <v>1590</v>
      </c>
      <c r="F5139" t="s">
        <v>1593</v>
      </c>
    </row>
    <row r="5140" spans="1:6">
      <c r="A5140">
        <v>165</v>
      </c>
      <c r="B5140" t="s">
        <v>1625</v>
      </c>
      <c r="C5140">
        <v>3678</v>
      </c>
      <c r="D5140" t="s">
        <v>1594</v>
      </c>
      <c r="E5140" t="s">
        <v>1595</v>
      </c>
      <c r="F5140" t="s">
        <v>1596</v>
      </c>
    </row>
    <row r="5141" spans="1:6">
      <c r="A5141">
        <v>165</v>
      </c>
      <c r="B5141" t="s">
        <v>1625</v>
      </c>
      <c r="C5141">
        <v>172767</v>
      </c>
      <c r="D5141" t="s">
        <v>1599</v>
      </c>
      <c r="E5141" t="s">
        <v>1600</v>
      </c>
      <c r="F5141" t="s">
        <v>1601</v>
      </c>
    </row>
    <row r="5142" spans="1:6">
      <c r="A5142">
        <v>165</v>
      </c>
      <c r="B5142" t="s">
        <v>1625</v>
      </c>
      <c r="C5142">
        <v>323450</v>
      </c>
      <c r="D5142" t="s">
        <v>1602</v>
      </c>
      <c r="E5142" t="s">
        <v>1600</v>
      </c>
      <c r="F5142" t="s">
        <v>1603</v>
      </c>
    </row>
    <row r="5143" spans="1:6">
      <c r="A5143">
        <v>165</v>
      </c>
      <c r="B5143" t="s">
        <v>1625</v>
      </c>
      <c r="C5143">
        <v>11642</v>
      </c>
      <c r="D5143" t="s">
        <v>1459</v>
      </c>
      <c r="E5143" t="s">
        <v>1605</v>
      </c>
      <c r="F5143" t="s">
        <v>1460</v>
      </c>
    </row>
    <row r="5144" spans="1:6">
      <c r="A5144">
        <v>165</v>
      </c>
      <c r="B5144" t="s">
        <v>1625</v>
      </c>
      <c r="C5144">
        <v>20561</v>
      </c>
      <c r="D5144" t="s">
        <v>1604</v>
      </c>
      <c r="E5144" t="s">
        <v>1605</v>
      </c>
      <c r="F5144" t="s">
        <v>1606</v>
      </c>
    </row>
    <row r="5145" spans="1:6">
      <c r="A5145">
        <v>165</v>
      </c>
      <c r="B5145" t="s">
        <v>1625</v>
      </c>
      <c r="C5145">
        <v>2625</v>
      </c>
      <c r="D5145" t="s">
        <v>1472</v>
      </c>
      <c r="E5145" t="s">
        <v>1473</v>
      </c>
      <c r="F5145" t="s">
        <v>1474</v>
      </c>
    </row>
    <row r="5146" spans="1:6">
      <c r="A5146">
        <v>165</v>
      </c>
      <c r="B5146" t="s">
        <v>1625</v>
      </c>
      <c r="C5146">
        <v>72899.27</v>
      </c>
      <c r="D5146" t="s">
        <v>1475</v>
      </c>
      <c r="E5146" t="s">
        <v>1476</v>
      </c>
      <c r="F5146" t="s">
        <v>1477</v>
      </c>
    </row>
    <row r="5147" spans="1:6">
      <c r="A5147">
        <v>165</v>
      </c>
      <c r="B5147" t="s">
        <v>1625</v>
      </c>
      <c r="C5147">
        <v>139031.76999999999</v>
      </c>
      <c r="D5147" t="s">
        <v>1478</v>
      </c>
      <c r="E5147" t="s">
        <v>1479</v>
      </c>
      <c r="F5147" t="s">
        <v>1480</v>
      </c>
    </row>
    <row r="5148" spans="1:6">
      <c r="A5148">
        <v>165</v>
      </c>
      <c r="B5148" t="s">
        <v>1625</v>
      </c>
      <c r="C5148">
        <v>110838.7</v>
      </c>
      <c r="D5148" t="s">
        <v>1365</v>
      </c>
      <c r="E5148" t="s">
        <v>1366</v>
      </c>
      <c r="F5148" t="s">
        <v>1367</v>
      </c>
    </row>
    <row r="5149" spans="1:6">
      <c r="A5149">
        <v>166</v>
      </c>
      <c r="B5149" t="s">
        <v>1626</v>
      </c>
      <c r="C5149">
        <v>30811</v>
      </c>
      <c r="D5149" t="s">
        <v>1486</v>
      </c>
      <c r="E5149" t="s">
        <v>1487</v>
      </c>
      <c r="F5149" t="s">
        <v>1488</v>
      </c>
    </row>
    <row r="5150" spans="1:6">
      <c r="A5150">
        <v>166</v>
      </c>
      <c r="B5150" t="s">
        <v>1626</v>
      </c>
      <c r="C5150">
        <v>14411</v>
      </c>
      <c r="D5150" t="s">
        <v>1489</v>
      </c>
      <c r="E5150" t="s">
        <v>1490</v>
      </c>
      <c r="F5150" t="s">
        <v>1491</v>
      </c>
    </row>
    <row r="5151" spans="1:6">
      <c r="A5151">
        <v>166</v>
      </c>
      <c r="B5151" t="s">
        <v>1626</v>
      </c>
      <c r="C5151">
        <v>250766</v>
      </c>
      <c r="D5151" t="s">
        <v>1567</v>
      </c>
      <c r="E5151" t="s">
        <v>1568</v>
      </c>
      <c r="F5151" t="s">
        <v>1569</v>
      </c>
    </row>
    <row r="5152" spans="1:6">
      <c r="A5152">
        <v>166</v>
      </c>
      <c r="B5152" t="s">
        <v>1626</v>
      </c>
      <c r="C5152">
        <v>11485669</v>
      </c>
      <c r="D5152" t="s">
        <v>1570</v>
      </c>
      <c r="E5152" t="s">
        <v>1571</v>
      </c>
      <c r="F5152" t="s">
        <v>1572</v>
      </c>
    </row>
    <row r="5153" spans="1:6">
      <c r="A5153">
        <v>166</v>
      </c>
      <c r="B5153" t="s">
        <v>1626</v>
      </c>
      <c r="C5153">
        <v>15194</v>
      </c>
      <c r="D5153" t="s">
        <v>1520</v>
      </c>
      <c r="E5153" t="s">
        <v>1521</v>
      </c>
      <c r="F5153" t="s">
        <v>1522</v>
      </c>
    </row>
    <row r="5154" spans="1:6">
      <c r="A5154">
        <v>166</v>
      </c>
      <c r="B5154" t="s">
        <v>1626</v>
      </c>
      <c r="C5154">
        <v>508003</v>
      </c>
      <c r="D5154" t="s">
        <v>1573</v>
      </c>
      <c r="E5154" t="s">
        <v>1574</v>
      </c>
      <c r="F5154" t="s">
        <v>1575</v>
      </c>
    </row>
    <row r="5155" spans="1:6">
      <c r="A5155">
        <v>166</v>
      </c>
      <c r="B5155" t="s">
        <v>1626</v>
      </c>
      <c r="C5155">
        <v>18402</v>
      </c>
      <c r="D5155" t="s">
        <v>1523</v>
      </c>
      <c r="E5155" t="s">
        <v>1521</v>
      </c>
      <c r="F5155" t="s">
        <v>1524</v>
      </c>
    </row>
    <row r="5156" spans="1:6">
      <c r="A5156">
        <v>166</v>
      </c>
      <c r="B5156" t="s">
        <v>1626</v>
      </c>
      <c r="C5156">
        <v>254004</v>
      </c>
      <c r="D5156" t="s">
        <v>1387</v>
      </c>
      <c r="E5156" t="s">
        <v>1388</v>
      </c>
      <c r="F5156" t="s">
        <v>1389</v>
      </c>
    </row>
    <row r="5157" spans="1:6">
      <c r="A5157">
        <v>166</v>
      </c>
      <c r="B5157" t="s">
        <v>1626</v>
      </c>
      <c r="C5157">
        <v>57473.82</v>
      </c>
      <c r="D5157" t="s">
        <v>1431</v>
      </c>
      <c r="E5157" t="s">
        <v>1432</v>
      </c>
      <c r="F5157" t="s">
        <v>1433</v>
      </c>
    </row>
    <row r="5158" spans="1:6">
      <c r="A5158">
        <v>166</v>
      </c>
      <c r="B5158" t="s">
        <v>1626</v>
      </c>
      <c r="C5158">
        <v>136575.69</v>
      </c>
      <c r="D5158" t="s">
        <v>1434</v>
      </c>
      <c r="E5158" t="s">
        <v>1432</v>
      </c>
      <c r="F5158" t="s">
        <v>1435</v>
      </c>
    </row>
    <row r="5159" spans="1:6">
      <c r="A5159">
        <v>166</v>
      </c>
      <c r="B5159" t="s">
        <v>1626</v>
      </c>
      <c r="C5159">
        <v>13000</v>
      </c>
      <c r="D5159" t="s">
        <v>1576</v>
      </c>
      <c r="E5159" t="s">
        <v>1577</v>
      </c>
      <c r="F5159" t="s">
        <v>1578</v>
      </c>
    </row>
    <row r="5160" spans="1:6">
      <c r="A5160">
        <v>166</v>
      </c>
      <c r="B5160" t="s">
        <v>1626</v>
      </c>
      <c r="C5160">
        <v>80701</v>
      </c>
      <c r="D5160" t="s">
        <v>1579</v>
      </c>
      <c r="E5160" t="s">
        <v>1577</v>
      </c>
      <c r="F5160" t="s">
        <v>1580</v>
      </c>
    </row>
    <row r="5161" spans="1:6">
      <c r="A5161">
        <v>166</v>
      </c>
      <c r="B5161" t="s">
        <v>1626</v>
      </c>
      <c r="C5161">
        <v>18969</v>
      </c>
      <c r="D5161" t="s">
        <v>1436</v>
      </c>
      <c r="E5161" t="s">
        <v>1437</v>
      </c>
      <c r="F5161" t="s">
        <v>1438</v>
      </c>
    </row>
    <row r="5162" spans="1:6">
      <c r="A5162">
        <v>166</v>
      </c>
      <c r="B5162" t="s">
        <v>1626</v>
      </c>
      <c r="C5162">
        <v>1558</v>
      </c>
      <c r="D5162" t="s">
        <v>1442</v>
      </c>
      <c r="E5162" t="s">
        <v>1582</v>
      </c>
      <c r="F5162" t="s">
        <v>1443</v>
      </c>
    </row>
    <row r="5163" spans="1:6">
      <c r="A5163">
        <v>166</v>
      </c>
      <c r="B5163" t="s">
        <v>1626</v>
      </c>
      <c r="C5163">
        <v>9278</v>
      </c>
      <c r="D5163" t="s">
        <v>1584</v>
      </c>
      <c r="E5163" t="s">
        <v>1585</v>
      </c>
      <c r="F5163" t="s">
        <v>1586</v>
      </c>
    </row>
    <row r="5164" spans="1:6">
      <c r="A5164">
        <v>166</v>
      </c>
      <c r="B5164" t="s">
        <v>1626</v>
      </c>
      <c r="C5164">
        <v>43761</v>
      </c>
      <c r="D5164" t="s">
        <v>1587</v>
      </c>
      <c r="E5164" t="s">
        <v>1585</v>
      </c>
      <c r="F5164" t="s">
        <v>1588</v>
      </c>
    </row>
    <row r="5165" spans="1:6">
      <c r="A5165">
        <v>166</v>
      </c>
      <c r="B5165" t="s">
        <v>1626</v>
      </c>
      <c r="C5165">
        <v>1193</v>
      </c>
      <c r="D5165" t="s">
        <v>1589</v>
      </c>
      <c r="E5165" t="s">
        <v>1590</v>
      </c>
      <c r="F5165" t="s">
        <v>1591</v>
      </c>
    </row>
    <row r="5166" spans="1:6">
      <c r="A5166">
        <v>166</v>
      </c>
      <c r="B5166" t="s">
        <v>1626</v>
      </c>
      <c r="C5166">
        <v>4669</v>
      </c>
      <c r="D5166" t="s">
        <v>1592</v>
      </c>
      <c r="E5166" t="s">
        <v>1590</v>
      </c>
      <c r="F5166" t="s">
        <v>1593</v>
      </c>
    </row>
    <row r="5167" spans="1:6">
      <c r="A5167">
        <v>166</v>
      </c>
      <c r="B5167" t="s">
        <v>1626</v>
      </c>
      <c r="C5167">
        <v>7089</v>
      </c>
      <c r="D5167" t="s">
        <v>1594</v>
      </c>
      <c r="E5167" t="s">
        <v>1595</v>
      </c>
      <c r="F5167" t="s">
        <v>1596</v>
      </c>
    </row>
    <row r="5168" spans="1:6">
      <c r="A5168">
        <v>166</v>
      </c>
      <c r="B5168" t="s">
        <v>1626</v>
      </c>
      <c r="C5168">
        <v>326888</v>
      </c>
      <c r="D5168" t="s">
        <v>1599</v>
      </c>
      <c r="E5168" t="s">
        <v>1600</v>
      </c>
      <c r="F5168" t="s">
        <v>1601</v>
      </c>
    </row>
    <row r="5169" spans="1:6">
      <c r="A5169">
        <v>166</v>
      </c>
      <c r="B5169" t="s">
        <v>1626</v>
      </c>
      <c r="C5169">
        <v>261330</v>
      </c>
      <c r="D5169" t="s">
        <v>1602</v>
      </c>
      <c r="E5169" t="s">
        <v>1600</v>
      </c>
      <c r="F5169" t="s">
        <v>1603</v>
      </c>
    </row>
    <row r="5170" spans="1:6">
      <c r="A5170">
        <v>166</v>
      </c>
      <c r="B5170" t="s">
        <v>1626</v>
      </c>
      <c r="C5170">
        <v>16554</v>
      </c>
      <c r="D5170" t="s">
        <v>1459</v>
      </c>
      <c r="E5170" t="s">
        <v>1605</v>
      </c>
      <c r="F5170" t="s">
        <v>1460</v>
      </c>
    </row>
    <row r="5171" spans="1:6">
      <c r="A5171">
        <v>166</v>
      </c>
      <c r="B5171" t="s">
        <v>1626</v>
      </c>
      <c r="C5171">
        <v>5000</v>
      </c>
      <c r="D5171" t="s">
        <v>1604</v>
      </c>
      <c r="E5171" t="s">
        <v>1605</v>
      </c>
      <c r="F5171" t="s">
        <v>1606</v>
      </c>
    </row>
    <row r="5172" spans="1:6">
      <c r="A5172">
        <v>166</v>
      </c>
      <c r="B5172" t="s">
        <v>1626</v>
      </c>
      <c r="C5172">
        <v>514801.26</v>
      </c>
      <c r="D5172" t="s">
        <v>1475</v>
      </c>
      <c r="E5172" t="s">
        <v>1476</v>
      </c>
      <c r="F5172" t="s">
        <v>1477</v>
      </c>
    </row>
    <row r="5173" spans="1:6">
      <c r="A5173">
        <v>166</v>
      </c>
      <c r="B5173" t="s">
        <v>1626</v>
      </c>
      <c r="C5173">
        <v>664491.85</v>
      </c>
      <c r="D5173" t="s">
        <v>1365</v>
      </c>
      <c r="E5173" t="s">
        <v>1366</v>
      </c>
      <c r="F5173" t="s">
        <v>1367</v>
      </c>
    </row>
    <row r="5174" spans="1:6">
      <c r="A5174">
        <v>166</v>
      </c>
      <c r="B5174" t="s">
        <v>1626</v>
      </c>
      <c r="C5174">
        <v>20724</v>
      </c>
      <c r="D5174" t="s">
        <v>1607</v>
      </c>
      <c r="E5174" t="s">
        <v>1608</v>
      </c>
      <c r="F5174" t="s">
        <v>1609</v>
      </c>
    </row>
    <row r="5175" spans="1:6">
      <c r="A5175">
        <v>166</v>
      </c>
      <c r="B5175" t="s">
        <v>1626</v>
      </c>
      <c r="C5175">
        <v>61342</v>
      </c>
      <c r="D5175" t="s">
        <v>1610</v>
      </c>
      <c r="E5175" t="s">
        <v>1481</v>
      </c>
      <c r="F5175" t="s">
        <v>1482</v>
      </c>
    </row>
    <row r="5176" spans="1:6">
      <c r="A5176">
        <v>167</v>
      </c>
      <c r="B5176" t="s">
        <v>1627</v>
      </c>
      <c r="C5176">
        <v>22375</v>
      </c>
      <c r="D5176" t="s">
        <v>1483</v>
      </c>
      <c r="E5176" t="s">
        <v>1484</v>
      </c>
      <c r="F5176" t="s">
        <v>1485</v>
      </c>
    </row>
    <row r="5177" spans="1:6">
      <c r="A5177">
        <v>167</v>
      </c>
      <c r="B5177" t="s">
        <v>1627</v>
      </c>
      <c r="C5177">
        <v>4455</v>
      </c>
      <c r="D5177" t="s">
        <v>1486</v>
      </c>
      <c r="E5177" t="s">
        <v>1487</v>
      </c>
      <c r="F5177" t="s">
        <v>1488</v>
      </c>
    </row>
    <row r="5178" spans="1:6">
      <c r="A5178">
        <v>167</v>
      </c>
      <c r="B5178" t="s">
        <v>1627</v>
      </c>
      <c r="C5178">
        <v>2605</v>
      </c>
      <c r="D5178" t="s">
        <v>1489</v>
      </c>
      <c r="E5178" t="s">
        <v>1490</v>
      </c>
      <c r="F5178" t="s">
        <v>1491</v>
      </c>
    </row>
    <row r="5179" spans="1:6">
      <c r="A5179">
        <v>167</v>
      </c>
      <c r="B5179" t="s">
        <v>1627</v>
      </c>
      <c r="C5179">
        <v>3291</v>
      </c>
      <c r="D5179" t="s">
        <v>1567</v>
      </c>
      <c r="E5179" t="s">
        <v>1568</v>
      </c>
      <c r="F5179" t="s">
        <v>1569</v>
      </c>
    </row>
    <row r="5180" spans="1:6">
      <c r="A5180">
        <v>167</v>
      </c>
      <c r="B5180" t="s">
        <v>1627</v>
      </c>
      <c r="C5180">
        <v>5485</v>
      </c>
      <c r="D5180" t="s">
        <v>1496</v>
      </c>
      <c r="E5180" t="s">
        <v>1497</v>
      </c>
      <c r="F5180" t="s">
        <v>1498</v>
      </c>
    </row>
    <row r="5181" spans="1:6">
      <c r="A5181">
        <v>167</v>
      </c>
      <c r="B5181" t="s">
        <v>1627</v>
      </c>
      <c r="C5181">
        <v>495582</v>
      </c>
      <c r="D5181" t="s">
        <v>1570</v>
      </c>
      <c r="E5181" t="s">
        <v>1571</v>
      </c>
      <c r="F5181" t="s">
        <v>1572</v>
      </c>
    </row>
    <row r="5182" spans="1:6">
      <c r="A5182">
        <v>167</v>
      </c>
      <c r="B5182" t="s">
        <v>1627</v>
      </c>
      <c r="C5182">
        <v>136799</v>
      </c>
      <c r="D5182" t="s">
        <v>1573</v>
      </c>
      <c r="E5182" t="s">
        <v>1574</v>
      </c>
      <c r="F5182" t="s">
        <v>1575</v>
      </c>
    </row>
    <row r="5183" spans="1:6">
      <c r="A5183">
        <v>167</v>
      </c>
      <c r="B5183" t="s">
        <v>1627</v>
      </c>
      <c r="C5183">
        <v>3839</v>
      </c>
      <c r="D5183" t="s">
        <v>1371</v>
      </c>
      <c r="E5183" t="s">
        <v>1372</v>
      </c>
      <c r="F5183" t="s">
        <v>1373</v>
      </c>
    </row>
    <row r="5184" spans="1:6">
      <c r="A5184">
        <v>167</v>
      </c>
      <c r="B5184" t="s">
        <v>1627</v>
      </c>
      <c r="C5184">
        <v>254</v>
      </c>
      <c r="D5184" t="s">
        <v>1525</v>
      </c>
      <c r="E5184" t="s">
        <v>1526</v>
      </c>
      <c r="F5184" t="s">
        <v>1527</v>
      </c>
    </row>
    <row r="5185" spans="1:6">
      <c r="A5185">
        <v>167</v>
      </c>
      <c r="B5185" t="s">
        <v>1627</v>
      </c>
      <c r="C5185">
        <v>14000</v>
      </c>
      <c r="D5185" t="s">
        <v>1528</v>
      </c>
      <c r="E5185" t="s">
        <v>1529</v>
      </c>
      <c r="F5185" t="s">
        <v>1530</v>
      </c>
    </row>
    <row r="5186" spans="1:6">
      <c r="A5186">
        <v>167</v>
      </c>
      <c r="B5186" t="s">
        <v>1627</v>
      </c>
      <c r="C5186">
        <v>20000</v>
      </c>
      <c r="D5186" t="s">
        <v>1531</v>
      </c>
      <c r="E5186" t="s">
        <v>1532</v>
      </c>
      <c r="F5186" t="s">
        <v>1533</v>
      </c>
    </row>
    <row r="5187" spans="1:6">
      <c r="A5187">
        <v>167</v>
      </c>
      <c r="B5187" t="s">
        <v>1627</v>
      </c>
      <c r="C5187">
        <v>6500</v>
      </c>
      <c r="D5187" t="s">
        <v>1387</v>
      </c>
      <c r="E5187" t="s">
        <v>1388</v>
      </c>
      <c r="F5187" t="s">
        <v>1389</v>
      </c>
    </row>
    <row r="5188" spans="1:6">
      <c r="A5188">
        <v>167</v>
      </c>
      <c r="B5188" t="s">
        <v>1627</v>
      </c>
      <c r="C5188">
        <v>2408</v>
      </c>
      <c r="D5188" t="s">
        <v>1390</v>
      </c>
      <c r="E5188" t="s">
        <v>1391</v>
      </c>
      <c r="F5188" t="s">
        <v>1392</v>
      </c>
    </row>
    <row r="5189" spans="1:6">
      <c r="A5189">
        <v>167</v>
      </c>
      <c r="B5189" t="s">
        <v>1627</v>
      </c>
      <c r="C5189">
        <v>5551.64</v>
      </c>
      <c r="D5189" t="s">
        <v>1431</v>
      </c>
      <c r="E5189" t="s">
        <v>1432</v>
      </c>
      <c r="F5189" t="s">
        <v>1433</v>
      </c>
    </row>
    <row r="5190" spans="1:6">
      <c r="A5190">
        <v>167</v>
      </c>
      <c r="B5190" t="s">
        <v>1627</v>
      </c>
      <c r="C5190">
        <v>11417.9</v>
      </c>
      <c r="D5190" t="s">
        <v>1434</v>
      </c>
      <c r="E5190" t="s">
        <v>1432</v>
      </c>
      <c r="F5190" t="s">
        <v>1435</v>
      </c>
    </row>
    <row r="5191" spans="1:6">
      <c r="A5191">
        <v>167</v>
      </c>
      <c r="B5191" t="s">
        <v>1627</v>
      </c>
      <c r="C5191">
        <v>16722</v>
      </c>
      <c r="D5191" t="s">
        <v>1576</v>
      </c>
      <c r="E5191" t="s">
        <v>1577</v>
      </c>
      <c r="F5191" t="s">
        <v>1578</v>
      </c>
    </row>
    <row r="5192" spans="1:6">
      <c r="A5192">
        <v>167</v>
      </c>
      <c r="B5192" t="s">
        <v>1627</v>
      </c>
      <c r="C5192">
        <v>25302</v>
      </c>
      <c r="D5192" t="s">
        <v>1579</v>
      </c>
      <c r="E5192" t="s">
        <v>1577</v>
      </c>
      <c r="F5192" t="s">
        <v>1580</v>
      </c>
    </row>
    <row r="5193" spans="1:6">
      <c r="A5193">
        <v>167</v>
      </c>
      <c r="B5193" t="s">
        <v>1627</v>
      </c>
      <c r="C5193">
        <v>297</v>
      </c>
      <c r="D5193" t="s">
        <v>1442</v>
      </c>
      <c r="E5193" t="s">
        <v>1582</v>
      </c>
      <c r="F5193" t="s">
        <v>1443</v>
      </c>
    </row>
    <row r="5194" spans="1:6">
      <c r="A5194">
        <v>167</v>
      </c>
      <c r="B5194" t="s">
        <v>1627</v>
      </c>
      <c r="C5194">
        <v>9053</v>
      </c>
      <c r="D5194" t="s">
        <v>1584</v>
      </c>
      <c r="E5194" t="s">
        <v>1585</v>
      </c>
      <c r="F5194" t="s">
        <v>1586</v>
      </c>
    </row>
    <row r="5195" spans="1:6">
      <c r="A5195">
        <v>167</v>
      </c>
      <c r="B5195" t="s">
        <v>1627</v>
      </c>
      <c r="C5195">
        <v>14274</v>
      </c>
      <c r="D5195" t="s">
        <v>1587</v>
      </c>
      <c r="E5195" t="s">
        <v>1585</v>
      </c>
      <c r="F5195" t="s">
        <v>1588</v>
      </c>
    </row>
    <row r="5196" spans="1:6">
      <c r="A5196">
        <v>167</v>
      </c>
      <c r="B5196" t="s">
        <v>1627</v>
      </c>
      <c r="C5196">
        <v>1395</v>
      </c>
      <c r="D5196" t="s">
        <v>1589</v>
      </c>
      <c r="E5196" t="s">
        <v>1590</v>
      </c>
      <c r="F5196" t="s">
        <v>1591</v>
      </c>
    </row>
    <row r="5197" spans="1:6">
      <c r="A5197">
        <v>167</v>
      </c>
      <c r="B5197" t="s">
        <v>1627</v>
      </c>
      <c r="C5197">
        <v>1800</v>
      </c>
      <c r="D5197" t="s">
        <v>1592</v>
      </c>
      <c r="E5197" t="s">
        <v>1590</v>
      </c>
      <c r="F5197" t="s">
        <v>1593</v>
      </c>
    </row>
    <row r="5198" spans="1:6">
      <c r="A5198">
        <v>167</v>
      </c>
      <c r="B5198" t="s">
        <v>1627</v>
      </c>
      <c r="C5198">
        <v>727</v>
      </c>
      <c r="D5198" t="s">
        <v>1594</v>
      </c>
      <c r="E5198" t="s">
        <v>1595</v>
      </c>
      <c r="F5198" t="s">
        <v>1596</v>
      </c>
    </row>
    <row r="5199" spans="1:6">
      <c r="A5199">
        <v>167</v>
      </c>
      <c r="B5199" t="s">
        <v>1627</v>
      </c>
      <c r="C5199">
        <v>583</v>
      </c>
      <c r="D5199" t="s">
        <v>1597</v>
      </c>
      <c r="E5199" t="s">
        <v>1595</v>
      </c>
      <c r="F5199" t="s">
        <v>1598</v>
      </c>
    </row>
    <row r="5200" spans="1:6">
      <c r="A5200">
        <v>167</v>
      </c>
      <c r="B5200" t="s">
        <v>1627</v>
      </c>
      <c r="C5200">
        <v>85419</v>
      </c>
      <c r="D5200" t="s">
        <v>1599</v>
      </c>
      <c r="E5200" t="s">
        <v>1600</v>
      </c>
      <c r="F5200" t="s">
        <v>1601</v>
      </c>
    </row>
    <row r="5201" spans="1:6">
      <c r="A5201">
        <v>167</v>
      </c>
      <c r="B5201" t="s">
        <v>1627</v>
      </c>
      <c r="C5201">
        <v>135500</v>
      </c>
      <c r="D5201" t="s">
        <v>1602</v>
      </c>
      <c r="E5201" t="s">
        <v>1600</v>
      </c>
      <c r="F5201" t="s">
        <v>1603</v>
      </c>
    </row>
    <row r="5202" spans="1:6">
      <c r="A5202">
        <v>167</v>
      </c>
      <c r="B5202" t="s">
        <v>1627</v>
      </c>
      <c r="C5202">
        <v>5737</v>
      </c>
      <c r="D5202" t="s">
        <v>1459</v>
      </c>
      <c r="E5202" t="s">
        <v>1605</v>
      </c>
      <c r="F5202" t="s">
        <v>1460</v>
      </c>
    </row>
    <row r="5203" spans="1:6">
      <c r="A5203">
        <v>167</v>
      </c>
      <c r="B5203" t="s">
        <v>1627</v>
      </c>
      <c r="C5203">
        <v>8895</v>
      </c>
      <c r="D5203" t="s">
        <v>1604</v>
      </c>
      <c r="E5203" t="s">
        <v>1605</v>
      </c>
      <c r="F5203" t="s">
        <v>1606</v>
      </c>
    </row>
    <row r="5204" spans="1:6">
      <c r="A5204">
        <v>167</v>
      </c>
      <c r="B5204" t="s">
        <v>1627</v>
      </c>
      <c r="C5204">
        <v>2625</v>
      </c>
      <c r="D5204" t="s">
        <v>1472</v>
      </c>
      <c r="E5204" t="s">
        <v>1473</v>
      </c>
      <c r="F5204" t="s">
        <v>1474</v>
      </c>
    </row>
    <row r="5205" spans="1:6">
      <c r="A5205">
        <v>167</v>
      </c>
      <c r="B5205" t="s">
        <v>1627</v>
      </c>
      <c r="C5205">
        <v>27541.68</v>
      </c>
      <c r="D5205" t="s">
        <v>1475</v>
      </c>
      <c r="E5205" t="s">
        <v>1476</v>
      </c>
      <c r="F5205" t="s">
        <v>1477</v>
      </c>
    </row>
    <row r="5206" spans="1:6">
      <c r="A5206">
        <v>167</v>
      </c>
      <c r="B5206" t="s">
        <v>1627</v>
      </c>
      <c r="C5206">
        <v>80485.83</v>
      </c>
      <c r="D5206" t="s">
        <v>1365</v>
      </c>
      <c r="E5206" t="s">
        <v>1366</v>
      </c>
      <c r="F5206" t="s">
        <v>1367</v>
      </c>
    </row>
    <row r="5207" spans="1:6">
      <c r="A5207">
        <v>167</v>
      </c>
      <c r="B5207" t="s">
        <v>1627</v>
      </c>
      <c r="C5207">
        <v>31527</v>
      </c>
      <c r="D5207" t="s">
        <v>1610</v>
      </c>
      <c r="E5207" t="s">
        <v>1481</v>
      </c>
      <c r="F5207" t="s">
        <v>1482</v>
      </c>
    </row>
    <row r="5208" spans="1:6">
      <c r="A5208">
        <v>168</v>
      </c>
      <c r="B5208" t="s">
        <v>1053</v>
      </c>
      <c r="C5208">
        <v>700133</v>
      </c>
      <c r="D5208" t="s">
        <v>1570</v>
      </c>
      <c r="E5208" t="s">
        <v>1571</v>
      </c>
      <c r="F5208" t="s">
        <v>1572</v>
      </c>
    </row>
    <row r="5209" spans="1:6">
      <c r="A5209">
        <v>168</v>
      </c>
      <c r="B5209" t="s">
        <v>1053</v>
      </c>
      <c r="C5209">
        <v>4066</v>
      </c>
      <c r="D5209" t="s">
        <v>1371</v>
      </c>
      <c r="E5209" t="s">
        <v>1372</v>
      </c>
      <c r="F5209" t="s">
        <v>1373</v>
      </c>
    </row>
    <row r="5210" spans="1:6">
      <c r="A5210">
        <v>169</v>
      </c>
      <c r="B5210" t="s">
        <v>1628</v>
      </c>
      <c r="C5210">
        <v>2962</v>
      </c>
      <c r="D5210" t="s">
        <v>1489</v>
      </c>
      <c r="E5210" t="s">
        <v>1490</v>
      </c>
      <c r="F5210" t="s">
        <v>1491</v>
      </c>
    </row>
    <row r="5211" spans="1:6">
      <c r="A5211">
        <v>169</v>
      </c>
      <c r="B5211" t="s">
        <v>1628</v>
      </c>
      <c r="C5211">
        <v>131782</v>
      </c>
      <c r="D5211" t="s">
        <v>1567</v>
      </c>
      <c r="E5211" t="s">
        <v>1568</v>
      </c>
      <c r="F5211" t="s">
        <v>1569</v>
      </c>
    </row>
    <row r="5212" spans="1:6">
      <c r="A5212">
        <v>169</v>
      </c>
      <c r="B5212" t="s">
        <v>1628</v>
      </c>
      <c r="C5212">
        <v>4611341</v>
      </c>
      <c r="D5212" t="s">
        <v>1570</v>
      </c>
      <c r="E5212" t="s">
        <v>1571</v>
      </c>
      <c r="F5212" t="s">
        <v>1572</v>
      </c>
    </row>
    <row r="5213" spans="1:6">
      <c r="A5213">
        <v>169</v>
      </c>
      <c r="B5213" t="s">
        <v>1628</v>
      </c>
      <c r="C5213">
        <v>27394</v>
      </c>
      <c r="D5213" t="s">
        <v>1520</v>
      </c>
      <c r="E5213" t="s">
        <v>1521</v>
      </c>
      <c r="F5213" t="s">
        <v>1522</v>
      </c>
    </row>
    <row r="5214" spans="1:6">
      <c r="A5214">
        <v>169</v>
      </c>
      <c r="B5214" t="s">
        <v>1628</v>
      </c>
      <c r="C5214">
        <v>61579</v>
      </c>
      <c r="D5214" t="s">
        <v>1573</v>
      </c>
      <c r="E5214" t="s">
        <v>1574</v>
      </c>
      <c r="F5214" t="s">
        <v>1575</v>
      </c>
    </row>
    <row r="5215" spans="1:6">
      <c r="A5215">
        <v>169</v>
      </c>
      <c r="B5215" t="s">
        <v>1628</v>
      </c>
      <c r="C5215">
        <v>33343</v>
      </c>
      <c r="D5215" t="s">
        <v>1534</v>
      </c>
      <c r="E5215" t="s">
        <v>1535</v>
      </c>
      <c r="F5215" t="s">
        <v>1536</v>
      </c>
    </row>
    <row r="5216" spans="1:6">
      <c r="A5216">
        <v>169</v>
      </c>
      <c r="B5216" t="s">
        <v>1628</v>
      </c>
      <c r="C5216">
        <v>12090.58</v>
      </c>
      <c r="D5216" t="s">
        <v>1431</v>
      </c>
      <c r="E5216" t="s">
        <v>1432</v>
      </c>
      <c r="F5216" t="s">
        <v>1433</v>
      </c>
    </row>
    <row r="5217" spans="1:6">
      <c r="A5217">
        <v>169</v>
      </c>
      <c r="B5217" t="s">
        <v>1628</v>
      </c>
      <c r="C5217">
        <v>28735.09</v>
      </c>
      <c r="D5217" t="s">
        <v>1434</v>
      </c>
      <c r="E5217" t="s">
        <v>1432</v>
      </c>
      <c r="F5217" t="s">
        <v>1435</v>
      </c>
    </row>
    <row r="5218" spans="1:6">
      <c r="A5218">
        <v>169</v>
      </c>
      <c r="B5218" t="s">
        <v>1628</v>
      </c>
      <c r="C5218">
        <v>539</v>
      </c>
      <c r="D5218" t="s">
        <v>1576</v>
      </c>
      <c r="E5218" t="s">
        <v>1577</v>
      </c>
      <c r="F5218" t="s">
        <v>1578</v>
      </c>
    </row>
    <row r="5219" spans="1:6">
      <c r="A5219">
        <v>169</v>
      </c>
      <c r="B5219" t="s">
        <v>1628</v>
      </c>
      <c r="C5219">
        <v>94723</v>
      </c>
      <c r="D5219" t="s">
        <v>1579</v>
      </c>
      <c r="E5219" t="s">
        <v>1577</v>
      </c>
      <c r="F5219" t="s">
        <v>1580</v>
      </c>
    </row>
    <row r="5220" spans="1:6">
      <c r="A5220">
        <v>169</v>
      </c>
      <c r="B5220" t="s">
        <v>1628</v>
      </c>
      <c r="C5220">
        <v>726</v>
      </c>
      <c r="D5220" t="s">
        <v>1581</v>
      </c>
      <c r="E5220" t="s">
        <v>1582</v>
      </c>
      <c r="F5220" t="s">
        <v>1583</v>
      </c>
    </row>
    <row r="5221" spans="1:6">
      <c r="A5221">
        <v>169</v>
      </c>
      <c r="B5221" t="s">
        <v>1628</v>
      </c>
      <c r="C5221">
        <v>5382</v>
      </c>
      <c r="D5221" t="s">
        <v>1584</v>
      </c>
      <c r="E5221" t="s">
        <v>1585</v>
      </c>
      <c r="F5221" t="s">
        <v>1586</v>
      </c>
    </row>
    <row r="5222" spans="1:6">
      <c r="A5222">
        <v>169</v>
      </c>
      <c r="B5222" t="s">
        <v>1628</v>
      </c>
      <c r="C5222">
        <v>35374</v>
      </c>
      <c r="D5222" t="s">
        <v>1587</v>
      </c>
      <c r="E5222" t="s">
        <v>1585</v>
      </c>
      <c r="F5222" t="s">
        <v>1588</v>
      </c>
    </row>
    <row r="5223" spans="1:6">
      <c r="A5223">
        <v>169</v>
      </c>
      <c r="B5223" t="s">
        <v>1628</v>
      </c>
      <c r="C5223">
        <v>2222</v>
      </c>
      <c r="D5223" t="s">
        <v>1589</v>
      </c>
      <c r="E5223" t="s">
        <v>1590</v>
      </c>
      <c r="F5223" t="s">
        <v>1591</v>
      </c>
    </row>
    <row r="5224" spans="1:6">
      <c r="A5224">
        <v>169</v>
      </c>
      <c r="B5224" t="s">
        <v>1628</v>
      </c>
      <c r="C5224">
        <v>5077</v>
      </c>
      <c r="D5224" t="s">
        <v>1592</v>
      </c>
      <c r="E5224" t="s">
        <v>1590</v>
      </c>
      <c r="F5224" t="s">
        <v>1593</v>
      </c>
    </row>
    <row r="5225" spans="1:6">
      <c r="A5225">
        <v>169</v>
      </c>
      <c r="B5225" t="s">
        <v>1628</v>
      </c>
      <c r="C5225">
        <v>2830</v>
      </c>
      <c r="D5225" t="s">
        <v>1597</v>
      </c>
      <c r="E5225" t="s">
        <v>1595</v>
      </c>
      <c r="F5225" t="s">
        <v>1598</v>
      </c>
    </row>
    <row r="5226" spans="1:6">
      <c r="A5226">
        <v>169</v>
      </c>
      <c r="B5226" t="s">
        <v>1628</v>
      </c>
      <c r="C5226">
        <v>18221</v>
      </c>
      <c r="D5226" t="s">
        <v>1599</v>
      </c>
      <c r="E5226" t="s">
        <v>1600</v>
      </c>
      <c r="F5226" t="s">
        <v>1601</v>
      </c>
    </row>
    <row r="5227" spans="1:6">
      <c r="A5227">
        <v>169</v>
      </c>
      <c r="B5227" t="s">
        <v>1628</v>
      </c>
      <c r="C5227">
        <v>291698</v>
      </c>
      <c r="D5227" t="s">
        <v>1602</v>
      </c>
      <c r="E5227" t="s">
        <v>1600</v>
      </c>
      <c r="F5227" t="s">
        <v>1603</v>
      </c>
    </row>
    <row r="5228" spans="1:6">
      <c r="A5228">
        <v>169</v>
      </c>
      <c r="B5228" t="s">
        <v>1628</v>
      </c>
      <c r="C5228">
        <v>13288</v>
      </c>
      <c r="D5228" t="s">
        <v>1604</v>
      </c>
      <c r="E5228" t="s">
        <v>1605</v>
      </c>
      <c r="F5228" t="s">
        <v>1606</v>
      </c>
    </row>
    <row r="5229" spans="1:6">
      <c r="A5229">
        <v>169</v>
      </c>
      <c r="B5229" t="s">
        <v>1628</v>
      </c>
      <c r="C5229">
        <v>36025.1</v>
      </c>
      <c r="D5229" t="s">
        <v>1379</v>
      </c>
      <c r="E5229" t="s">
        <v>1380</v>
      </c>
      <c r="F5229" t="s">
        <v>1381</v>
      </c>
    </row>
    <row r="5230" spans="1:6">
      <c r="A5230">
        <v>169</v>
      </c>
      <c r="B5230" t="s">
        <v>1628</v>
      </c>
      <c r="C5230">
        <v>36025.1</v>
      </c>
      <c r="D5230" t="s">
        <v>1475</v>
      </c>
      <c r="E5230" t="s">
        <v>1476</v>
      </c>
      <c r="F5230" t="s">
        <v>1477</v>
      </c>
    </row>
    <row r="5231" spans="1:6">
      <c r="A5231">
        <v>169</v>
      </c>
      <c r="B5231" t="s">
        <v>1628</v>
      </c>
      <c r="C5231">
        <v>349939.35</v>
      </c>
      <c r="D5231" t="s">
        <v>1365</v>
      </c>
      <c r="E5231" t="s">
        <v>1366</v>
      </c>
      <c r="F5231" t="s">
        <v>1367</v>
      </c>
    </row>
    <row r="5232" spans="1:6">
      <c r="A5232">
        <v>201</v>
      </c>
      <c r="B5232" t="s">
        <v>1054</v>
      </c>
      <c r="C5232">
        <v>1357</v>
      </c>
      <c r="D5232" t="s">
        <v>1489</v>
      </c>
      <c r="E5232" t="s">
        <v>1490</v>
      </c>
      <c r="F5232" t="s">
        <v>1491</v>
      </c>
    </row>
    <row r="5233" spans="1:6">
      <c r="A5233">
        <v>201</v>
      </c>
      <c r="B5233" t="s">
        <v>1054</v>
      </c>
      <c r="C5233">
        <v>127444</v>
      </c>
      <c r="D5233" t="s">
        <v>1407</v>
      </c>
      <c r="E5233" t="s">
        <v>1408</v>
      </c>
      <c r="F5233" t="s">
        <v>1409</v>
      </c>
    </row>
    <row r="5234" spans="1:6">
      <c r="A5234">
        <v>201</v>
      </c>
      <c r="B5234" t="s">
        <v>1054</v>
      </c>
      <c r="C5234">
        <v>16130</v>
      </c>
      <c r="D5234" t="s">
        <v>1567</v>
      </c>
      <c r="E5234" t="s">
        <v>1568</v>
      </c>
      <c r="F5234" t="s">
        <v>1569</v>
      </c>
    </row>
    <row r="5235" spans="1:6">
      <c r="A5235">
        <v>201</v>
      </c>
      <c r="B5235" t="s">
        <v>1054</v>
      </c>
      <c r="C5235">
        <v>43067</v>
      </c>
      <c r="D5235" t="s">
        <v>1520</v>
      </c>
      <c r="E5235" t="s">
        <v>1521</v>
      </c>
      <c r="F5235" t="s">
        <v>1522</v>
      </c>
    </row>
    <row r="5236" spans="1:6">
      <c r="A5236">
        <v>201</v>
      </c>
      <c r="B5236" t="s">
        <v>1054</v>
      </c>
      <c r="C5236">
        <v>195678</v>
      </c>
      <c r="D5236" t="s">
        <v>1573</v>
      </c>
      <c r="E5236" t="s">
        <v>1574</v>
      </c>
      <c r="F5236" t="s">
        <v>1575</v>
      </c>
    </row>
    <row r="5237" spans="1:6">
      <c r="A5237">
        <v>201</v>
      </c>
      <c r="B5237" t="s">
        <v>1054</v>
      </c>
      <c r="C5237">
        <v>16949</v>
      </c>
      <c r="D5237" t="s">
        <v>1523</v>
      </c>
      <c r="E5237" t="s">
        <v>1521</v>
      </c>
      <c r="F5237" t="s">
        <v>1524</v>
      </c>
    </row>
    <row r="5238" spans="1:6">
      <c r="A5238">
        <v>201</v>
      </c>
      <c r="B5238" t="s">
        <v>1054</v>
      </c>
      <c r="C5238">
        <v>6678.87</v>
      </c>
      <c r="D5238" t="s">
        <v>1431</v>
      </c>
      <c r="E5238" t="s">
        <v>1432</v>
      </c>
      <c r="F5238" t="s">
        <v>1433</v>
      </c>
    </row>
    <row r="5239" spans="1:6">
      <c r="A5239">
        <v>201</v>
      </c>
      <c r="B5239" t="s">
        <v>1054</v>
      </c>
      <c r="C5239">
        <v>18202.240000000002</v>
      </c>
      <c r="D5239" t="s">
        <v>1434</v>
      </c>
      <c r="E5239" t="s">
        <v>1432</v>
      </c>
      <c r="F5239" t="s">
        <v>1435</v>
      </c>
    </row>
    <row r="5240" spans="1:6">
      <c r="A5240">
        <v>201</v>
      </c>
      <c r="B5240" t="s">
        <v>1054</v>
      </c>
      <c r="C5240">
        <v>51643</v>
      </c>
      <c r="D5240" t="s">
        <v>1579</v>
      </c>
      <c r="E5240" t="s">
        <v>1577</v>
      </c>
      <c r="F5240" t="s">
        <v>1580</v>
      </c>
    </row>
    <row r="5241" spans="1:6">
      <c r="A5241">
        <v>201</v>
      </c>
      <c r="B5241" t="s">
        <v>1054</v>
      </c>
      <c r="C5241">
        <v>928</v>
      </c>
      <c r="D5241" t="s">
        <v>1442</v>
      </c>
      <c r="E5241" t="s">
        <v>1582</v>
      </c>
      <c r="F5241" t="s">
        <v>1443</v>
      </c>
    </row>
    <row r="5242" spans="1:6">
      <c r="A5242">
        <v>201</v>
      </c>
      <c r="B5242" t="s">
        <v>1054</v>
      </c>
      <c r="C5242">
        <v>17516</v>
      </c>
      <c r="D5242" t="s">
        <v>1584</v>
      </c>
      <c r="E5242" t="s">
        <v>1585</v>
      </c>
      <c r="F5242" t="s">
        <v>1586</v>
      </c>
    </row>
    <row r="5243" spans="1:6">
      <c r="A5243">
        <v>201</v>
      </c>
      <c r="B5243" t="s">
        <v>1054</v>
      </c>
      <c r="C5243">
        <v>2215</v>
      </c>
      <c r="D5243" t="s">
        <v>1589</v>
      </c>
      <c r="E5243" t="s">
        <v>1590</v>
      </c>
      <c r="F5243" t="s">
        <v>1591</v>
      </c>
    </row>
    <row r="5244" spans="1:6">
      <c r="A5244">
        <v>201</v>
      </c>
      <c r="B5244" t="s">
        <v>1054</v>
      </c>
      <c r="C5244">
        <v>1148</v>
      </c>
      <c r="D5244" t="s">
        <v>1594</v>
      </c>
      <c r="E5244" t="s">
        <v>1595</v>
      </c>
      <c r="F5244" t="s">
        <v>1596</v>
      </c>
    </row>
    <row r="5245" spans="1:6">
      <c r="A5245">
        <v>201</v>
      </c>
      <c r="B5245" t="s">
        <v>1054</v>
      </c>
      <c r="C5245">
        <v>399917</v>
      </c>
      <c r="D5245" t="s">
        <v>1599</v>
      </c>
      <c r="E5245" t="s">
        <v>1600</v>
      </c>
      <c r="F5245" t="s">
        <v>1601</v>
      </c>
    </row>
    <row r="5246" spans="1:6">
      <c r="A5246">
        <v>201</v>
      </c>
      <c r="B5246" t="s">
        <v>1054</v>
      </c>
      <c r="C5246">
        <v>267500</v>
      </c>
      <c r="D5246" t="s">
        <v>1602</v>
      </c>
      <c r="E5246" t="s">
        <v>1600</v>
      </c>
      <c r="F5246" t="s">
        <v>1603</v>
      </c>
    </row>
    <row r="5247" spans="1:6">
      <c r="A5247">
        <v>201</v>
      </c>
      <c r="B5247" t="s">
        <v>1054</v>
      </c>
      <c r="C5247">
        <v>26235</v>
      </c>
      <c r="D5247" t="s">
        <v>1459</v>
      </c>
      <c r="E5247" t="s">
        <v>1605</v>
      </c>
      <c r="F5247" t="s">
        <v>1460</v>
      </c>
    </row>
    <row r="5248" spans="1:6">
      <c r="A5248">
        <v>201</v>
      </c>
      <c r="B5248" t="s">
        <v>1054</v>
      </c>
      <c r="C5248">
        <v>13000</v>
      </c>
      <c r="D5248" t="s">
        <v>1604</v>
      </c>
      <c r="E5248" t="s">
        <v>1605</v>
      </c>
      <c r="F5248" t="s">
        <v>1606</v>
      </c>
    </row>
    <row r="5249" spans="1:6">
      <c r="A5249">
        <v>201</v>
      </c>
      <c r="B5249" t="s">
        <v>1054</v>
      </c>
      <c r="C5249">
        <v>3000</v>
      </c>
      <c r="D5249" t="s">
        <v>1466</v>
      </c>
      <c r="E5249" t="s">
        <v>1467</v>
      </c>
      <c r="F5249" t="s">
        <v>1468</v>
      </c>
    </row>
    <row r="5250" spans="1:6">
      <c r="A5250">
        <v>204</v>
      </c>
      <c r="B5250" t="s">
        <v>1055</v>
      </c>
      <c r="C5250">
        <v>2806</v>
      </c>
      <c r="D5250" t="s">
        <v>1489</v>
      </c>
      <c r="E5250" t="s">
        <v>1490</v>
      </c>
      <c r="F5250" t="s">
        <v>1491</v>
      </c>
    </row>
    <row r="5251" spans="1:6">
      <c r="A5251">
        <v>204</v>
      </c>
      <c r="B5251" t="s">
        <v>1055</v>
      </c>
      <c r="C5251">
        <v>24834</v>
      </c>
      <c r="D5251" t="s">
        <v>1567</v>
      </c>
      <c r="E5251" t="s">
        <v>1568</v>
      </c>
      <c r="F5251" t="s">
        <v>1569</v>
      </c>
    </row>
    <row r="5252" spans="1:6">
      <c r="A5252">
        <v>204</v>
      </c>
      <c r="B5252" t="s">
        <v>1055</v>
      </c>
      <c r="C5252">
        <v>35311</v>
      </c>
      <c r="D5252" t="s">
        <v>1520</v>
      </c>
      <c r="E5252" t="s">
        <v>1521</v>
      </c>
      <c r="F5252" t="s">
        <v>1522</v>
      </c>
    </row>
    <row r="5253" spans="1:6">
      <c r="A5253">
        <v>204</v>
      </c>
      <c r="B5253" t="s">
        <v>1055</v>
      </c>
      <c r="C5253">
        <v>158197</v>
      </c>
      <c r="D5253" t="s">
        <v>1573</v>
      </c>
      <c r="E5253" t="s">
        <v>1574</v>
      </c>
      <c r="F5253" t="s">
        <v>1575</v>
      </c>
    </row>
    <row r="5254" spans="1:6">
      <c r="A5254">
        <v>204</v>
      </c>
      <c r="B5254" t="s">
        <v>1055</v>
      </c>
      <c r="C5254">
        <v>8840.18</v>
      </c>
      <c r="D5254" t="s">
        <v>1431</v>
      </c>
      <c r="E5254" t="s">
        <v>1432</v>
      </c>
      <c r="F5254" t="s">
        <v>1433</v>
      </c>
    </row>
    <row r="5255" spans="1:6">
      <c r="A5255">
        <v>204</v>
      </c>
      <c r="B5255" t="s">
        <v>1055</v>
      </c>
      <c r="C5255">
        <v>21250.55</v>
      </c>
      <c r="D5255" t="s">
        <v>1434</v>
      </c>
      <c r="E5255" t="s">
        <v>1432</v>
      </c>
      <c r="F5255" t="s">
        <v>1435</v>
      </c>
    </row>
    <row r="5256" spans="1:6">
      <c r="A5256">
        <v>204</v>
      </c>
      <c r="B5256" t="s">
        <v>1055</v>
      </c>
      <c r="C5256">
        <v>3076</v>
      </c>
      <c r="D5256" t="s">
        <v>1576</v>
      </c>
      <c r="E5256" t="s">
        <v>1577</v>
      </c>
      <c r="F5256" t="s">
        <v>1578</v>
      </c>
    </row>
    <row r="5257" spans="1:6">
      <c r="A5257">
        <v>204</v>
      </c>
      <c r="B5257" t="s">
        <v>1055</v>
      </c>
      <c r="C5257">
        <v>5217</v>
      </c>
      <c r="D5257" t="s">
        <v>1579</v>
      </c>
      <c r="E5257" t="s">
        <v>1577</v>
      </c>
      <c r="F5257" t="s">
        <v>1580</v>
      </c>
    </row>
    <row r="5258" spans="1:6">
      <c r="A5258">
        <v>204</v>
      </c>
      <c r="B5258" t="s">
        <v>1055</v>
      </c>
      <c r="C5258">
        <v>562</v>
      </c>
      <c r="D5258" t="s">
        <v>1581</v>
      </c>
      <c r="E5258" t="s">
        <v>1582</v>
      </c>
      <c r="F5258" t="s">
        <v>1583</v>
      </c>
    </row>
    <row r="5259" spans="1:6">
      <c r="A5259">
        <v>204</v>
      </c>
      <c r="B5259" t="s">
        <v>1055</v>
      </c>
      <c r="C5259">
        <v>3126</v>
      </c>
      <c r="D5259" t="s">
        <v>1589</v>
      </c>
      <c r="E5259" t="s">
        <v>1590</v>
      </c>
      <c r="F5259" t="s">
        <v>1591</v>
      </c>
    </row>
    <row r="5260" spans="1:6">
      <c r="A5260">
        <v>204</v>
      </c>
      <c r="B5260" t="s">
        <v>1055</v>
      </c>
      <c r="C5260">
        <v>619</v>
      </c>
      <c r="D5260" t="s">
        <v>1592</v>
      </c>
      <c r="E5260" t="s">
        <v>1590</v>
      </c>
      <c r="F5260" t="s">
        <v>1593</v>
      </c>
    </row>
    <row r="5261" spans="1:6">
      <c r="A5261">
        <v>204</v>
      </c>
      <c r="B5261" t="s">
        <v>1055</v>
      </c>
      <c r="C5261">
        <v>1140</v>
      </c>
      <c r="D5261" t="s">
        <v>1594</v>
      </c>
      <c r="E5261" t="s">
        <v>1595</v>
      </c>
      <c r="F5261" t="s">
        <v>1596</v>
      </c>
    </row>
    <row r="5262" spans="1:6">
      <c r="A5262">
        <v>204</v>
      </c>
      <c r="B5262" t="s">
        <v>1055</v>
      </c>
      <c r="C5262">
        <v>47856</v>
      </c>
      <c r="D5262" t="s">
        <v>1599</v>
      </c>
      <c r="E5262" t="s">
        <v>1600</v>
      </c>
      <c r="F5262" t="s">
        <v>1601</v>
      </c>
    </row>
    <row r="5263" spans="1:6">
      <c r="A5263">
        <v>204</v>
      </c>
      <c r="B5263" t="s">
        <v>1055</v>
      </c>
      <c r="C5263">
        <v>42000</v>
      </c>
      <c r="D5263" t="s">
        <v>1602</v>
      </c>
      <c r="E5263" t="s">
        <v>1600</v>
      </c>
      <c r="F5263" t="s">
        <v>1603</v>
      </c>
    </row>
    <row r="5264" spans="1:6">
      <c r="A5264">
        <v>204</v>
      </c>
      <c r="B5264" t="s">
        <v>1055</v>
      </c>
      <c r="C5264">
        <v>6709</v>
      </c>
      <c r="D5264" t="s">
        <v>1459</v>
      </c>
      <c r="E5264" t="s">
        <v>1605</v>
      </c>
      <c r="F5264" t="s">
        <v>1460</v>
      </c>
    </row>
    <row r="5265" spans="1:6">
      <c r="A5265">
        <v>204</v>
      </c>
      <c r="B5265" t="s">
        <v>1055</v>
      </c>
      <c r="C5265">
        <v>2051.02</v>
      </c>
      <c r="D5265" t="s">
        <v>1475</v>
      </c>
      <c r="E5265" t="s">
        <v>1476</v>
      </c>
      <c r="F5265" t="s">
        <v>1477</v>
      </c>
    </row>
    <row r="5266" spans="1:6">
      <c r="A5266">
        <v>204</v>
      </c>
      <c r="B5266" t="s">
        <v>1055</v>
      </c>
      <c r="C5266">
        <v>80320.69</v>
      </c>
      <c r="D5266" t="s">
        <v>1365</v>
      </c>
      <c r="E5266" t="s">
        <v>1366</v>
      </c>
      <c r="F5266" t="s">
        <v>1367</v>
      </c>
    </row>
    <row r="5267" spans="1:6">
      <c r="A5267">
        <v>205</v>
      </c>
      <c r="B5267" t="s">
        <v>1056</v>
      </c>
      <c r="C5267">
        <v>12110</v>
      </c>
      <c r="D5267" t="s">
        <v>1486</v>
      </c>
      <c r="E5267" t="s">
        <v>1487</v>
      </c>
      <c r="F5267" t="s">
        <v>1488</v>
      </c>
    </row>
    <row r="5268" spans="1:6">
      <c r="A5268">
        <v>205</v>
      </c>
      <c r="B5268" t="s">
        <v>1056</v>
      </c>
      <c r="C5268">
        <v>5664</v>
      </c>
      <c r="D5268" t="s">
        <v>1489</v>
      </c>
      <c r="E5268" t="s">
        <v>1490</v>
      </c>
      <c r="F5268" t="s">
        <v>1491</v>
      </c>
    </row>
    <row r="5269" spans="1:6">
      <c r="A5269">
        <v>205</v>
      </c>
      <c r="B5269" t="s">
        <v>1056</v>
      </c>
      <c r="C5269">
        <v>132869</v>
      </c>
      <c r="D5269" t="s">
        <v>1567</v>
      </c>
      <c r="E5269" t="s">
        <v>1568</v>
      </c>
      <c r="F5269" t="s">
        <v>1569</v>
      </c>
    </row>
    <row r="5270" spans="1:6">
      <c r="A5270">
        <v>205</v>
      </c>
      <c r="B5270" t="s">
        <v>1056</v>
      </c>
      <c r="C5270">
        <v>100023</v>
      </c>
      <c r="D5270" t="s">
        <v>1382</v>
      </c>
      <c r="E5270" t="s">
        <v>1383</v>
      </c>
      <c r="F5270" t="s">
        <v>1384</v>
      </c>
    </row>
    <row r="5271" spans="1:6">
      <c r="A5271">
        <v>205</v>
      </c>
      <c r="B5271" t="s">
        <v>1056</v>
      </c>
      <c r="C5271">
        <v>140475</v>
      </c>
      <c r="D5271" t="s">
        <v>1573</v>
      </c>
      <c r="E5271" t="s">
        <v>1574</v>
      </c>
      <c r="F5271" t="s">
        <v>1575</v>
      </c>
    </row>
    <row r="5272" spans="1:6">
      <c r="A5272">
        <v>205</v>
      </c>
      <c r="B5272" t="s">
        <v>1056</v>
      </c>
      <c r="C5272">
        <v>855</v>
      </c>
      <c r="D5272" t="s">
        <v>1525</v>
      </c>
      <c r="E5272" t="s">
        <v>1526</v>
      </c>
      <c r="F5272" t="s">
        <v>1527</v>
      </c>
    </row>
    <row r="5273" spans="1:6">
      <c r="A5273">
        <v>205</v>
      </c>
      <c r="B5273" t="s">
        <v>1056</v>
      </c>
      <c r="C5273">
        <v>24000</v>
      </c>
      <c r="D5273" t="s">
        <v>1531</v>
      </c>
      <c r="E5273" t="s">
        <v>1532</v>
      </c>
      <c r="F5273" t="s">
        <v>1533</v>
      </c>
    </row>
    <row r="5274" spans="1:6">
      <c r="A5274">
        <v>205</v>
      </c>
      <c r="B5274" t="s">
        <v>1056</v>
      </c>
      <c r="C5274">
        <v>20300</v>
      </c>
      <c r="D5274" t="s">
        <v>1387</v>
      </c>
      <c r="E5274" t="s">
        <v>1388</v>
      </c>
      <c r="F5274" t="s">
        <v>1389</v>
      </c>
    </row>
    <row r="5275" spans="1:6">
      <c r="A5275">
        <v>205</v>
      </c>
      <c r="B5275" t="s">
        <v>1056</v>
      </c>
      <c r="C5275">
        <v>12265.2</v>
      </c>
      <c r="D5275" t="s">
        <v>1431</v>
      </c>
      <c r="E5275" t="s">
        <v>1432</v>
      </c>
      <c r="F5275" t="s">
        <v>1433</v>
      </c>
    </row>
    <row r="5276" spans="1:6">
      <c r="A5276">
        <v>205</v>
      </c>
      <c r="B5276" t="s">
        <v>1056</v>
      </c>
      <c r="C5276">
        <v>27582.66</v>
      </c>
      <c r="D5276" t="s">
        <v>1434</v>
      </c>
      <c r="E5276" t="s">
        <v>1432</v>
      </c>
      <c r="F5276" t="s">
        <v>1435</v>
      </c>
    </row>
    <row r="5277" spans="1:6">
      <c r="A5277">
        <v>205</v>
      </c>
      <c r="B5277" t="s">
        <v>1056</v>
      </c>
      <c r="C5277">
        <v>39526</v>
      </c>
      <c r="D5277" t="s">
        <v>1576</v>
      </c>
      <c r="E5277" t="s">
        <v>1577</v>
      </c>
      <c r="F5277" t="s">
        <v>1578</v>
      </c>
    </row>
    <row r="5278" spans="1:6">
      <c r="A5278">
        <v>205</v>
      </c>
      <c r="B5278" t="s">
        <v>1056</v>
      </c>
      <c r="C5278">
        <v>40000</v>
      </c>
      <c r="D5278" t="s">
        <v>1579</v>
      </c>
      <c r="E5278" t="s">
        <v>1577</v>
      </c>
      <c r="F5278" t="s">
        <v>1580</v>
      </c>
    </row>
    <row r="5279" spans="1:6">
      <c r="A5279">
        <v>205</v>
      </c>
      <c r="B5279" t="s">
        <v>1056</v>
      </c>
      <c r="C5279">
        <v>36850</v>
      </c>
      <c r="D5279" t="s">
        <v>1436</v>
      </c>
      <c r="E5279" t="s">
        <v>1437</v>
      </c>
      <c r="F5279" t="s">
        <v>1438</v>
      </c>
    </row>
    <row r="5280" spans="1:6">
      <c r="A5280">
        <v>205</v>
      </c>
      <c r="B5280" t="s">
        <v>1056</v>
      </c>
      <c r="C5280">
        <v>4</v>
      </c>
      <c r="D5280" t="s">
        <v>1442</v>
      </c>
      <c r="E5280" t="s">
        <v>1582</v>
      </c>
      <c r="F5280" t="s">
        <v>1443</v>
      </c>
    </row>
    <row r="5281" spans="1:6">
      <c r="A5281">
        <v>205</v>
      </c>
      <c r="B5281" t="s">
        <v>1056</v>
      </c>
      <c r="C5281">
        <v>32819</v>
      </c>
      <c r="D5281" t="s">
        <v>1584</v>
      </c>
      <c r="E5281" t="s">
        <v>1585</v>
      </c>
      <c r="F5281" t="s">
        <v>1586</v>
      </c>
    </row>
    <row r="5282" spans="1:6">
      <c r="A5282">
        <v>205</v>
      </c>
      <c r="B5282" t="s">
        <v>1056</v>
      </c>
      <c r="C5282">
        <v>2000</v>
      </c>
      <c r="D5282" t="s">
        <v>1587</v>
      </c>
      <c r="E5282" t="s">
        <v>1585</v>
      </c>
      <c r="F5282" t="s">
        <v>1588</v>
      </c>
    </row>
    <row r="5283" spans="1:6">
      <c r="A5283">
        <v>205</v>
      </c>
      <c r="B5283" t="s">
        <v>1056</v>
      </c>
      <c r="C5283">
        <v>3495</v>
      </c>
      <c r="D5283" t="s">
        <v>1589</v>
      </c>
      <c r="E5283" t="s">
        <v>1590</v>
      </c>
      <c r="F5283" t="s">
        <v>1591</v>
      </c>
    </row>
    <row r="5284" spans="1:6">
      <c r="A5284">
        <v>205</v>
      </c>
      <c r="B5284" t="s">
        <v>1056</v>
      </c>
      <c r="C5284">
        <v>2896</v>
      </c>
      <c r="D5284" t="s">
        <v>1594</v>
      </c>
      <c r="E5284" t="s">
        <v>1595</v>
      </c>
      <c r="F5284" t="s">
        <v>1596</v>
      </c>
    </row>
    <row r="5285" spans="1:6">
      <c r="A5285">
        <v>205</v>
      </c>
      <c r="B5285" t="s">
        <v>1056</v>
      </c>
      <c r="C5285">
        <v>236907</v>
      </c>
      <c r="D5285" t="s">
        <v>1599</v>
      </c>
      <c r="E5285" t="s">
        <v>1600</v>
      </c>
      <c r="F5285" t="s">
        <v>1601</v>
      </c>
    </row>
    <row r="5286" spans="1:6">
      <c r="A5286">
        <v>205</v>
      </c>
      <c r="B5286" t="s">
        <v>1056</v>
      </c>
      <c r="C5286">
        <v>182300</v>
      </c>
      <c r="D5286" t="s">
        <v>1602</v>
      </c>
      <c r="E5286" t="s">
        <v>1600</v>
      </c>
      <c r="F5286" t="s">
        <v>1603</v>
      </c>
    </row>
    <row r="5287" spans="1:6">
      <c r="A5287">
        <v>205</v>
      </c>
      <c r="B5287" t="s">
        <v>1056</v>
      </c>
      <c r="C5287">
        <v>1489.87</v>
      </c>
      <c r="D5287" t="s">
        <v>1379</v>
      </c>
      <c r="E5287" t="s">
        <v>1380</v>
      </c>
      <c r="F5287" t="s">
        <v>1381</v>
      </c>
    </row>
    <row r="5288" spans="1:6">
      <c r="A5288">
        <v>205</v>
      </c>
      <c r="B5288" t="s">
        <v>1056</v>
      </c>
      <c r="C5288">
        <v>24021.13</v>
      </c>
      <c r="D5288" t="s">
        <v>1475</v>
      </c>
      <c r="E5288" t="s">
        <v>1476</v>
      </c>
      <c r="F5288" t="s">
        <v>1477</v>
      </c>
    </row>
    <row r="5289" spans="1:6">
      <c r="A5289">
        <v>205</v>
      </c>
      <c r="B5289" t="s">
        <v>1056</v>
      </c>
      <c r="C5289">
        <v>512588.99</v>
      </c>
      <c r="D5289" t="s">
        <v>1365</v>
      </c>
      <c r="E5289" t="s">
        <v>1366</v>
      </c>
      <c r="F5289" t="s">
        <v>1367</v>
      </c>
    </row>
    <row r="5290" spans="1:6">
      <c r="A5290">
        <v>205</v>
      </c>
      <c r="B5290" t="s">
        <v>1056</v>
      </c>
      <c r="C5290">
        <v>2904614</v>
      </c>
      <c r="D5290" t="s">
        <v>1607</v>
      </c>
      <c r="E5290" t="s">
        <v>1608</v>
      </c>
      <c r="F5290" t="s">
        <v>1609</v>
      </c>
    </row>
    <row r="5291" spans="1:6">
      <c r="A5291">
        <v>205</v>
      </c>
      <c r="B5291" t="s">
        <v>1056</v>
      </c>
      <c r="C5291">
        <v>7433020</v>
      </c>
      <c r="D5291" t="s">
        <v>1610</v>
      </c>
      <c r="E5291" t="s">
        <v>1481</v>
      </c>
      <c r="F5291" t="s">
        <v>1482</v>
      </c>
    </row>
    <row r="5292" spans="1:6">
      <c r="A5292">
        <v>206</v>
      </c>
      <c r="B5292" t="s">
        <v>1057</v>
      </c>
      <c r="C5292">
        <v>3865</v>
      </c>
      <c r="D5292" t="s">
        <v>1489</v>
      </c>
      <c r="E5292" t="s">
        <v>1490</v>
      </c>
      <c r="F5292" t="s">
        <v>1491</v>
      </c>
    </row>
    <row r="5293" spans="1:6">
      <c r="A5293">
        <v>206</v>
      </c>
      <c r="B5293" t="s">
        <v>1057</v>
      </c>
      <c r="C5293">
        <v>88847</v>
      </c>
      <c r="D5293" t="s">
        <v>1407</v>
      </c>
      <c r="E5293" t="s">
        <v>1408</v>
      </c>
      <c r="F5293" t="s">
        <v>1409</v>
      </c>
    </row>
    <row r="5294" spans="1:6">
      <c r="A5294">
        <v>206</v>
      </c>
      <c r="B5294" t="s">
        <v>1057</v>
      </c>
      <c r="C5294">
        <v>57863</v>
      </c>
      <c r="D5294" t="s">
        <v>1567</v>
      </c>
      <c r="E5294" t="s">
        <v>1568</v>
      </c>
      <c r="F5294" t="s">
        <v>1569</v>
      </c>
    </row>
    <row r="5295" spans="1:6">
      <c r="A5295">
        <v>206</v>
      </c>
      <c r="B5295" t="s">
        <v>1057</v>
      </c>
      <c r="C5295">
        <v>233328</v>
      </c>
      <c r="D5295" t="s">
        <v>1520</v>
      </c>
      <c r="E5295" t="s">
        <v>1521</v>
      </c>
      <c r="F5295" t="s">
        <v>1522</v>
      </c>
    </row>
    <row r="5296" spans="1:6">
      <c r="A5296">
        <v>206</v>
      </c>
      <c r="B5296" t="s">
        <v>1057</v>
      </c>
      <c r="C5296">
        <v>40122</v>
      </c>
      <c r="D5296" t="s">
        <v>1573</v>
      </c>
      <c r="E5296" t="s">
        <v>1574</v>
      </c>
      <c r="F5296" t="s">
        <v>1575</v>
      </c>
    </row>
    <row r="5297" spans="1:6">
      <c r="A5297">
        <v>206</v>
      </c>
      <c r="B5297" t="s">
        <v>1057</v>
      </c>
      <c r="C5297">
        <v>31238</v>
      </c>
      <c r="D5297" t="s">
        <v>1523</v>
      </c>
      <c r="E5297" t="s">
        <v>1521</v>
      </c>
      <c r="F5297" t="s">
        <v>1524</v>
      </c>
    </row>
    <row r="5298" spans="1:6">
      <c r="A5298">
        <v>206</v>
      </c>
      <c r="B5298" t="s">
        <v>1057</v>
      </c>
      <c r="C5298">
        <v>1300</v>
      </c>
      <c r="D5298" t="s">
        <v>1387</v>
      </c>
      <c r="E5298" t="s">
        <v>1388</v>
      </c>
      <c r="F5298" t="s">
        <v>1389</v>
      </c>
    </row>
    <row r="5299" spans="1:6">
      <c r="A5299">
        <v>206</v>
      </c>
      <c r="B5299" t="s">
        <v>1057</v>
      </c>
      <c r="C5299">
        <v>360.26</v>
      </c>
      <c r="D5299" t="s">
        <v>1374</v>
      </c>
      <c r="E5299" t="s">
        <v>1375</v>
      </c>
      <c r="F5299" t="s">
        <v>1376</v>
      </c>
    </row>
    <row r="5300" spans="1:6">
      <c r="A5300">
        <v>206</v>
      </c>
      <c r="B5300" t="s">
        <v>1057</v>
      </c>
      <c r="C5300">
        <v>629.42999999999995</v>
      </c>
      <c r="D5300" t="s">
        <v>1377</v>
      </c>
      <c r="E5300" t="s">
        <v>1375</v>
      </c>
      <c r="F5300" t="s">
        <v>1378</v>
      </c>
    </row>
    <row r="5301" spans="1:6">
      <c r="A5301">
        <v>206</v>
      </c>
      <c r="B5301" t="s">
        <v>1057</v>
      </c>
      <c r="C5301">
        <v>10978.86</v>
      </c>
      <c r="D5301" t="s">
        <v>1431</v>
      </c>
      <c r="E5301" t="s">
        <v>1432</v>
      </c>
      <c r="F5301" t="s">
        <v>1433</v>
      </c>
    </row>
    <row r="5302" spans="1:6">
      <c r="A5302">
        <v>206</v>
      </c>
      <c r="B5302" t="s">
        <v>1057</v>
      </c>
      <c r="C5302">
        <v>21898.07</v>
      </c>
      <c r="D5302" t="s">
        <v>1434</v>
      </c>
      <c r="E5302" t="s">
        <v>1432</v>
      </c>
      <c r="F5302" t="s">
        <v>1435</v>
      </c>
    </row>
    <row r="5303" spans="1:6">
      <c r="A5303">
        <v>206</v>
      </c>
      <c r="B5303" t="s">
        <v>1057</v>
      </c>
      <c r="C5303">
        <v>7875</v>
      </c>
      <c r="D5303" t="s">
        <v>1576</v>
      </c>
      <c r="E5303" t="s">
        <v>1577</v>
      </c>
      <c r="F5303" t="s">
        <v>1578</v>
      </c>
    </row>
    <row r="5304" spans="1:6">
      <c r="A5304">
        <v>206</v>
      </c>
      <c r="B5304" t="s">
        <v>1057</v>
      </c>
      <c r="C5304">
        <v>111404</v>
      </c>
      <c r="D5304" t="s">
        <v>1579</v>
      </c>
      <c r="E5304" t="s">
        <v>1577</v>
      </c>
      <c r="F5304" t="s">
        <v>1580</v>
      </c>
    </row>
    <row r="5305" spans="1:6">
      <c r="A5305">
        <v>206</v>
      </c>
      <c r="B5305" t="s">
        <v>1057</v>
      </c>
      <c r="C5305">
        <v>145</v>
      </c>
      <c r="D5305" t="s">
        <v>1442</v>
      </c>
      <c r="E5305" t="s">
        <v>1582</v>
      </c>
      <c r="F5305" t="s">
        <v>1443</v>
      </c>
    </row>
    <row r="5306" spans="1:6">
      <c r="A5306">
        <v>206</v>
      </c>
      <c r="B5306" t="s">
        <v>1057</v>
      </c>
      <c r="C5306">
        <v>854</v>
      </c>
      <c r="D5306" t="s">
        <v>1581</v>
      </c>
      <c r="E5306" t="s">
        <v>1582</v>
      </c>
      <c r="F5306" t="s">
        <v>1583</v>
      </c>
    </row>
    <row r="5307" spans="1:6">
      <c r="A5307">
        <v>206</v>
      </c>
      <c r="B5307" t="s">
        <v>1057</v>
      </c>
      <c r="C5307">
        <v>37119</v>
      </c>
      <c r="D5307" t="s">
        <v>1587</v>
      </c>
      <c r="E5307" t="s">
        <v>1585</v>
      </c>
      <c r="F5307" t="s">
        <v>1588</v>
      </c>
    </row>
    <row r="5308" spans="1:6">
      <c r="A5308">
        <v>206</v>
      </c>
      <c r="B5308" t="s">
        <v>1057</v>
      </c>
      <c r="C5308">
        <v>3447</v>
      </c>
      <c r="D5308" t="s">
        <v>1592</v>
      </c>
      <c r="E5308" t="s">
        <v>1590</v>
      </c>
      <c r="F5308" t="s">
        <v>1593</v>
      </c>
    </row>
    <row r="5309" spans="1:6">
      <c r="A5309">
        <v>206</v>
      </c>
      <c r="B5309" t="s">
        <v>1057</v>
      </c>
      <c r="C5309">
        <v>760</v>
      </c>
      <c r="D5309" t="s">
        <v>1597</v>
      </c>
      <c r="E5309" t="s">
        <v>1595</v>
      </c>
      <c r="F5309" t="s">
        <v>1598</v>
      </c>
    </row>
    <row r="5310" spans="1:6">
      <c r="A5310">
        <v>206</v>
      </c>
      <c r="B5310" t="s">
        <v>1057</v>
      </c>
      <c r="C5310">
        <v>4665</v>
      </c>
      <c r="D5310" t="s">
        <v>1599</v>
      </c>
      <c r="E5310" t="s">
        <v>1600</v>
      </c>
      <c r="F5310" t="s">
        <v>1601</v>
      </c>
    </row>
    <row r="5311" spans="1:6">
      <c r="A5311">
        <v>206</v>
      </c>
      <c r="B5311" t="s">
        <v>1057</v>
      </c>
      <c r="C5311">
        <v>167112</v>
      </c>
      <c r="D5311" t="s">
        <v>1602</v>
      </c>
      <c r="E5311" t="s">
        <v>1600</v>
      </c>
      <c r="F5311" t="s">
        <v>1603</v>
      </c>
    </row>
    <row r="5312" spans="1:6">
      <c r="A5312">
        <v>206</v>
      </c>
      <c r="B5312" t="s">
        <v>1057</v>
      </c>
      <c r="C5312">
        <v>8090</v>
      </c>
      <c r="D5312" t="s">
        <v>1604</v>
      </c>
      <c r="E5312" t="s">
        <v>1605</v>
      </c>
      <c r="F5312" t="s">
        <v>1606</v>
      </c>
    </row>
    <row r="5313" spans="1:6">
      <c r="A5313">
        <v>206</v>
      </c>
      <c r="B5313" t="s">
        <v>1057</v>
      </c>
      <c r="C5313">
        <v>13110.62</v>
      </c>
      <c r="D5313" t="s">
        <v>1475</v>
      </c>
      <c r="E5313" t="s">
        <v>1476</v>
      </c>
      <c r="F5313" t="s">
        <v>1477</v>
      </c>
    </row>
    <row r="5314" spans="1:6">
      <c r="A5314">
        <v>206</v>
      </c>
      <c r="B5314" t="s">
        <v>1057</v>
      </c>
      <c r="C5314">
        <v>55508.89</v>
      </c>
      <c r="D5314" t="s">
        <v>1478</v>
      </c>
      <c r="E5314" t="s">
        <v>1479</v>
      </c>
      <c r="F5314" t="s">
        <v>1480</v>
      </c>
    </row>
    <row r="5315" spans="1:6">
      <c r="A5315">
        <v>206</v>
      </c>
      <c r="B5315" t="s">
        <v>1057</v>
      </c>
      <c r="C5315">
        <v>473466</v>
      </c>
      <c r="D5315" t="s">
        <v>1607</v>
      </c>
      <c r="E5315" t="s">
        <v>1608</v>
      </c>
      <c r="F5315" t="s">
        <v>1609</v>
      </c>
    </row>
    <row r="5316" spans="1:6">
      <c r="A5316">
        <v>206</v>
      </c>
      <c r="B5316" t="s">
        <v>1057</v>
      </c>
      <c r="C5316">
        <v>212051</v>
      </c>
      <c r="D5316" t="s">
        <v>1610</v>
      </c>
      <c r="E5316" t="s">
        <v>1481</v>
      </c>
      <c r="F5316" t="s">
        <v>1482</v>
      </c>
    </row>
    <row r="5317" spans="1:6">
      <c r="A5317">
        <v>207</v>
      </c>
      <c r="B5317" t="s">
        <v>1058</v>
      </c>
      <c r="C5317">
        <v>31250</v>
      </c>
      <c r="D5317" t="s">
        <v>1126</v>
      </c>
      <c r="E5317" t="s">
        <v>1127</v>
      </c>
      <c r="F5317" t="s">
        <v>1128</v>
      </c>
    </row>
    <row r="5318" spans="1:6">
      <c r="A5318">
        <v>207</v>
      </c>
      <c r="B5318" t="s">
        <v>1058</v>
      </c>
      <c r="C5318">
        <v>372</v>
      </c>
      <c r="D5318" t="s">
        <v>1489</v>
      </c>
      <c r="E5318" t="s">
        <v>1490</v>
      </c>
      <c r="F5318" t="s">
        <v>1491</v>
      </c>
    </row>
    <row r="5319" spans="1:6">
      <c r="A5319">
        <v>207</v>
      </c>
      <c r="B5319" t="s">
        <v>1058</v>
      </c>
      <c r="C5319">
        <v>61901</v>
      </c>
      <c r="D5319" t="s">
        <v>1407</v>
      </c>
      <c r="E5319" t="s">
        <v>1408</v>
      </c>
      <c r="F5319" t="s">
        <v>1409</v>
      </c>
    </row>
    <row r="5320" spans="1:6">
      <c r="A5320">
        <v>207</v>
      </c>
      <c r="B5320" t="s">
        <v>1058</v>
      </c>
      <c r="C5320">
        <v>184521</v>
      </c>
      <c r="D5320" t="s">
        <v>1567</v>
      </c>
      <c r="E5320" t="s">
        <v>1568</v>
      </c>
      <c r="F5320" t="s">
        <v>1569</v>
      </c>
    </row>
    <row r="5321" spans="1:6">
      <c r="A5321">
        <v>207</v>
      </c>
      <c r="B5321" t="s">
        <v>1058</v>
      </c>
      <c r="C5321">
        <v>44297</v>
      </c>
      <c r="D5321" t="s">
        <v>1520</v>
      </c>
      <c r="E5321" t="s">
        <v>1521</v>
      </c>
      <c r="F5321" t="s">
        <v>1522</v>
      </c>
    </row>
    <row r="5322" spans="1:6">
      <c r="A5322">
        <v>207</v>
      </c>
      <c r="B5322" t="s">
        <v>1058</v>
      </c>
      <c r="C5322">
        <v>77486</v>
      </c>
      <c r="D5322" t="s">
        <v>1573</v>
      </c>
      <c r="E5322" t="s">
        <v>1574</v>
      </c>
      <c r="F5322" t="s">
        <v>1575</v>
      </c>
    </row>
    <row r="5323" spans="1:6">
      <c r="A5323">
        <v>207</v>
      </c>
      <c r="B5323" t="s">
        <v>1058</v>
      </c>
      <c r="C5323">
        <v>52192</v>
      </c>
      <c r="D5323" t="s">
        <v>1523</v>
      </c>
      <c r="E5323" t="s">
        <v>1521</v>
      </c>
      <c r="F5323" t="s">
        <v>1524</v>
      </c>
    </row>
    <row r="5324" spans="1:6">
      <c r="A5324">
        <v>207</v>
      </c>
      <c r="B5324" t="s">
        <v>1058</v>
      </c>
      <c r="C5324">
        <v>1903.24</v>
      </c>
      <c r="D5324" t="s">
        <v>1431</v>
      </c>
      <c r="E5324" t="s">
        <v>1432</v>
      </c>
      <c r="F5324" t="s">
        <v>1433</v>
      </c>
    </row>
    <row r="5325" spans="1:6">
      <c r="A5325">
        <v>207</v>
      </c>
      <c r="B5325" t="s">
        <v>1058</v>
      </c>
      <c r="C5325">
        <v>4645.22</v>
      </c>
      <c r="D5325" t="s">
        <v>1434</v>
      </c>
      <c r="E5325" t="s">
        <v>1432</v>
      </c>
      <c r="F5325" t="s">
        <v>1435</v>
      </c>
    </row>
    <row r="5326" spans="1:6">
      <c r="A5326">
        <v>207</v>
      </c>
      <c r="B5326" t="s">
        <v>1058</v>
      </c>
      <c r="C5326">
        <v>36331</v>
      </c>
      <c r="D5326" t="s">
        <v>1436</v>
      </c>
      <c r="E5326" t="s">
        <v>1437</v>
      </c>
      <c r="F5326" t="s">
        <v>1438</v>
      </c>
    </row>
    <row r="5327" spans="1:6">
      <c r="A5327">
        <v>207</v>
      </c>
      <c r="B5327" t="s">
        <v>1058</v>
      </c>
      <c r="C5327">
        <v>854</v>
      </c>
      <c r="D5327" t="s">
        <v>1442</v>
      </c>
      <c r="E5327" t="s">
        <v>1582</v>
      </c>
      <c r="F5327" t="s">
        <v>1443</v>
      </c>
    </row>
    <row r="5328" spans="1:6">
      <c r="A5328">
        <v>207</v>
      </c>
      <c r="B5328" t="s">
        <v>1058</v>
      </c>
      <c r="C5328">
        <v>49917</v>
      </c>
      <c r="D5328" t="s">
        <v>1584</v>
      </c>
      <c r="E5328" t="s">
        <v>1585</v>
      </c>
      <c r="F5328" t="s">
        <v>1586</v>
      </c>
    </row>
    <row r="5329" spans="1:6">
      <c r="A5329">
        <v>207</v>
      </c>
      <c r="B5329" t="s">
        <v>1058</v>
      </c>
      <c r="C5329">
        <v>4926</v>
      </c>
      <c r="D5329" t="s">
        <v>1589</v>
      </c>
      <c r="E5329" t="s">
        <v>1590</v>
      </c>
      <c r="F5329" t="s">
        <v>1591</v>
      </c>
    </row>
    <row r="5330" spans="1:6">
      <c r="A5330">
        <v>207</v>
      </c>
      <c r="B5330" t="s">
        <v>1058</v>
      </c>
      <c r="C5330">
        <v>1587</v>
      </c>
      <c r="D5330" t="s">
        <v>1594</v>
      </c>
      <c r="E5330" t="s">
        <v>1595</v>
      </c>
      <c r="F5330" t="s">
        <v>1596</v>
      </c>
    </row>
    <row r="5331" spans="1:6">
      <c r="A5331">
        <v>207</v>
      </c>
      <c r="B5331" t="s">
        <v>1058</v>
      </c>
      <c r="C5331">
        <v>495</v>
      </c>
      <c r="D5331" t="s">
        <v>1610</v>
      </c>
      <c r="E5331" t="s">
        <v>1481</v>
      </c>
      <c r="F5331" t="s">
        <v>1482</v>
      </c>
    </row>
    <row r="5332" spans="1:6">
      <c r="A5332">
        <v>208</v>
      </c>
      <c r="B5332" t="s">
        <v>1059</v>
      </c>
      <c r="C5332">
        <v>3027</v>
      </c>
      <c r="D5332" t="s">
        <v>1489</v>
      </c>
      <c r="E5332" t="s">
        <v>1490</v>
      </c>
      <c r="F5332" t="s">
        <v>1491</v>
      </c>
    </row>
    <row r="5333" spans="1:6">
      <c r="A5333">
        <v>208</v>
      </c>
      <c r="B5333" t="s">
        <v>1059</v>
      </c>
      <c r="C5333">
        <v>202818</v>
      </c>
      <c r="D5333" t="s">
        <v>1567</v>
      </c>
      <c r="E5333" t="s">
        <v>1568</v>
      </c>
      <c r="F5333" t="s">
        <v>1569</v>
      </c>
    </row>
    <row r="5334" spans="1:6">
      <c r="A5334">
        <v>208</v>
      </c>
      <c r="B5334" t="s">
        <v>1059</v>
      </c>
      <c r="C5334">
        <v>134055</v>
      </c>
      <c r="D5334" t="s">
        <v>1520</v>
      </c>
      <c r="E5334" t="s">
        <v>1521</v>
      </c>
      <c r="F5334" t="s">
        <v>1522</v>
      </c>
    </row>
    <row r="5335" spans="1:6">
      <c r="A5335">
        <v>208</v>
      </c>
      <c r="B5335" t="s">
        <v>1059</v>
      </c>
      <c r="C5335">
        <v>308449</v>
      </c>
      <c r="D5335" t="s">
        <v>1573</v>
      </c>
      <c r="E5335" t="s">
        <v>1574</v>
      </c>
      <c r="F5335" t="s">
        <v>1575</v>
      </c>
    </row>
    <row r="5336" spans="1:6">
      <c r="A5336">
        <v>208</v>
      </c>
      <c r="B5336" t="s">
        <v>1059</v>
      </c>
      <c r="C5336">
        <v>19349</v>
      </c>
      <c r="D5336" t="s">
        <v>1523</v>
      </c>
      <c r="E5336" t="s">
        <v>1521</v>
      </c>
      <c r="F5336" t="s">
        <v>1524</v>
      </c>
    </row>
    <row r="5337" spans="1:6">
      <c r="A5337">
        <v>208</v>
      </c>
      <c r="B5337" t="s">
        <v>1059</v>
      </c>
      <c r="C5337">
        <v>5200</v>
      </c>
      <c r="D5337" t="s">
        <v>1387</v>
      </c>
      <c r="E5337" t="s">
        <v>1388</v>
      </c>
      <c r="F5337" t="s">
        <v>1389</v>
      </c>
    </row>
    <row r="5338" spans="1:6">
      <c r="A5338">
        <v>208</v>
      </c>
      <c r="B5338" t="s">
        <v>1059</v>
      </c>
      <c r="C5338">
        <v>52653</v>
      </c>
      <c r="D5338" t="s">
        <v>1207</v>
      </c>
      <c r="E5338" t="s">
        <v>1350</v>
      </c>
      <c r="F5338" t="s">
        <v>1351</v>
      </c>
    </row>
    <row r="5339" spans="1:6">
      <c r="A5339">
        <v>208</v>
      </c>
      <c r="B5339" t="s">
        <v>1059</v>
      </c>
      <c r="C5339">
        <v>48385</v>
      </c>
      <c r="D5339" t="s">
        <v>1390</v>
      </c>
      <c r="E5339" t="s">
        <v>1391</v>
      </c>
      <c r="F5339" t="s">
        <v>1392</v>
      </c>
    </row>
    <row r="5340" spans="1:6">
      <c r="A5340">
        <v>208</v>
      </c>
      <c r="B5340" t="s">
        <v>1059</v>
      </c>
      <c r="C5340">
        <v>8249.61</v>
      </c>
      <c r="D5340" t="s">
        <v>1431</v>
      </c>
      <c r="E5340" t="s">
        <v>1432</v>
      </c>
      <c r="F5340" t="s">
        <v>1433</v>
      </c>
    </row>
    <row r="5341" spans="1:6">
      <c r="A5341">
        <v>208</v>
      </c>
      <c r="B5341" t="s">
        <v>1059</v>
      </c>
      <c r="C5341">
        <v>23139.47</v>
      </c>
      <c r="D5341" t="s">
        <v>1434</v>
      </c>
      <c r="E5341" t="s">
        <v>1432</v>
      </c>
      <c r="F5341" t="s">
        <v>1435</v>
      </c>
    </row>
    <row r="5342" spans="1:6">
      <c r="A5342">
        <v>208</v>
      </c>
      <c r="B5342" t="s">
        <v>1059</v>
      </c>
      <c r="C5342">
        <v>35000</v>
      </c>
      <c r="D5342" t="s">
        <v>1576</v>
      </c>
      <c r="E5342" t="s">
        <v>1577</v>
      </c>
      <c r="F5342" t="s">
        <v>1578</v>
      </c>
    </row>
    <row r="5343" spans="1:6">
      <c r="A5343">
        <v>208</v>
      </c>
      <c r="B5343" t="s">
        <v>1059</v>
      </c>
      <c r="C5343">
        <v>30000</v>
      </c>
      <c r="D5343" t="s">
        <v>1579</v>
      </c>
      <c r="E5343" t="s">
        <v>1577</v>
      </c>
      <c r="F5343" t="s">
        <v>1580</v>
      </c>
    </row>
    <row r="5344" spans="1:6">
      <c r="A5344">
        <v>208</v>
      </c>
      <c r="B5344" t="s">
        <v>1059</v>
      </c>
      <c r="C5344">
        <v>21241</v>
      </c>
      <c r="D5344" t="s">
        <v>1436</v>
      </c>
      <c r="E5344" t="s">
        <v>1437</v>
      </c>
      <c r="F5344" t="s">
        <v>1438</v>
      </c>
    </row>
    <row r="5345" spans="1:6">
      <c r="A5345">
        <v>208</v>
      </c>
      <c r="B5345" t="s">
        <v>1059</v>
      </c>
      <c r="C5345">
        <v>455</v>
      </c>
      <c r="D5345" t="s">
        <v>1581</v>
      </c>
      <c r="E5345" t="s">
        <v>1582</v>
      </c>
      <c r="F5345" t="s">
        <v>1583</v>
      </c>
    </row>
    <row r="5346" spans="1:6">
      <c r="A5346">
        <v>208</v>
      </c>
      <c r="B5346" t="s">
        <v>1059</v>
      </c>
      <c r="C5346">
        <v>20000</v>
      </c>
      <c r="D5346" t="s">
        <v>1587</v>
      </c>
      <c r="E5346" t="s">
        <v>1585</v>
      </c>
      <c r="F5346" t="s">
        <v>1588</v>
      </c>
    </row>
    <row r="5347" spans="1:6">
      <c r="A5347">
        <v>208</v>
      </c>
      <c r="B5347" t="s">
        <v>1059</v>
      </c>
      <c r="C5347">
        <v>3608</v>
      </c>
      <c r="D5347" t="s">
        <v>1592</v>
      </c>
      <c r="E5347" t="s">
        <v>1590</v>
      </c>
      <c r="F5347" t="s">
        <v>1593</v>
      </c>
    </row>
    <row r="5348" spans="1:6">
      <c r="A5348">
        <v>208</v>
      </c>
      <c r="B5348" t="s">
        <v>1059</v>
      </c>
      <c r="C5348">
        <v>2063</v>
      </c>
      <c r="D5348" t="s">
        <v>1597</v>
      </c>
      <c r="E5348" t="s">
        <v>1595</v>
      </c>
      <c r="F5348" t="s">
        <v>1598</v>
      </c>
    </row>
    <row r="5349" spans="1:6">
      <c r="A5349">
        <v>208</v>
      </c>
      <c r="B5349" t="s">
        <v>1059</v>
      </c>
      <c r="C5349">
        <v>81795</v>
      </c>
      <c r="D5349" t="s">
        <v>1599</v>
      </c>
      <c r="E5349" t="s">
        <v>1600</v>
      </c>
      <c r="F5349" t="s">
        <v>1601</v>
      </c>
    </row>
    <row r="5350" spans="1:6">
      <c r="A5350">
        <v>208</v>
      </c>
      <c r="B5350" t="s">
        <v>1059</v>
      </c>
      <c r="C5350">
        <v>10000</v>
      </c>
      <c r="D5350" t="s">
        <v>1269</v>
      </c>
      <c r="E5350" t="s">
        <v>1270</v>
      </c>
      <c r="F5350" t="s">
        <v>1601</v>
      </c>
    </row>
    <row r="5351" spans="1:6">
      <c r="A5351">
        <v>208</v>
      </c>
      <c r="B5351" t="s">
        <v>1059</v>
      </c>
      <c r="C5351">
        <v>150000</v>
      </c>
      <c r="D5351" t="s">
        <v>1602</v>
      </c>
      <c r="E5351" t="s">
        <v>1600</v>
      </c>
      <c r="F5351" t="s">
        <v>1603</v>
      </c>
    </row>
    <row r="5352" spans="1:6">
      <c r="A5352">
        <v>208</v>
      </c>
      <c r="B5352" t="s">
        <v>1059</v>
      </c>
      <c r="C5352">
        <v>474492</v>
      </c>
      <c r="D5352" t="s">
        <v>1610</v>
      </c>
      <c r="E5352" t="s">
        <v>1481</v>
      </c>
      <c r="F5352" t="s">
        <v>1482</v>
      </c>
    </row>
    <row r="5353" spans="1:6">
      <c r="A5353">
        <v>209</v>
      </c>
      <c r="B5353" t="s">
        <v>1060</v>
      </c>
      <c r="C5353">
        <v>27402</v>
      </c>
      <c r="D5353" t="s">
        <v>1401</v>
      </c>
      <c r="E5353" t="s">
        <v>1402</v>
      </c>
      <c r="F5353" t="s">
        <v>1403</v>
      </c>
    </row>
    <row r="5354" spans="1:6">
      <c r="A5354">
        <v>209</v>
      </c>
      <c r="B5354" t="s">
        <v>1060</v>
      </c>
      <c r="C5354">
        <v>22668</v>
      </c>
      <c r="D5354" t="s">
        <v>1486</v>
      </c>
      <c r="E5354" t="s">
        <v>1487</v>
      </c>
      <c r="F5354" t="s">
        <v>1488</v>
      </c>
    </row>
    <row r="5355" spans="1:6">
      <c r="A5355">
        <v>209</v>
      </c>
      <c r="B5355" t="s">
        <v>1060</v>
      </c>
      <c r="C5355">
        <v>10602</v>
      </c>
      <c r="D5355" t="s">
        <v>1489</v>
      </c>
      <c r="E5355" t="s">
        <v>1490</v>
      </c>
      <c r="F5355" t="s">
        <v>1491</v>
      </c>
    </row>
    <row r="5356" spans="1:6">
      <c r="A5356">
        <v>209</v>
      </c>
      <c r="B5356" t="s">
        <v>1060</v>
      </c>
      <c r="C5356">
        <v>104911</v>
      </c>
      <c r="D5356" t="s">
        <v>1567</v>
      </c>
      <c r="E5356" t="s">
        <v>1568</v>
      </c>
      <c r="F5356" t="s">
        <v>1569</v>
      </c>
    </row>
    <row r="5357" spans="1:6">
      <c r="A5357">
        <v>209</v>
      </c>
      <c r="B5357" t="s">
        <v>1060</v>
      </c>
      <c r="C5357">
        <v>512762</v>
      </c>
      <c r="D5357" t="s">
        <v>1573</v>
      </c>
      <c r="E5357" t="s">
        <v>1574</v>
      </c>
      <c r="F5357" t="s">
        <v>1575</v>
      </c>
    </row>
    <row r="5358" spans="1:6">
      <c r="A5358">
        <v>209</v>
      </c>
      <c r="B5358" t="s">
        <v>1060</v>
      </c>
      <c r="C5358">
        <v>18787.22</v>
      </c>
      <c r="D5358" t="s">
        <v>1431</v>
      </c>
      <c r="E5358" t="s">
        <v>1432</v>
      </c>
      <c r="F5358" t="s">
        <v>1433</v>
      </c>
    </row>
    <row r="5359" spans="1:6">
      <c r="A5359">
        <v>209</v>
      </c>
      <c r="B5359" t="s">
        <v>1060</v>
      </c>
      <c r="C5359">
        <v>44216.94</v>
      </c>
      <c r="D5359" t="s">
        <v>1434</v>
      </c>
      <c r="E5359" t="s">
        <v>1432</v>
      </c>
      <c r="F5359" t="s">
        <v>1435</v>
      </c>
    </row>
    <row r="5360" spans="1:6">
      <c r="A5360">
        <v>209</v>
      </c>
      <c r="B5360" t="s">
        <v>1060</v>
      </c>
      <c r="C5360">
        <v>-23315</v>
      </c>
      <c r="D5360" t="s">
        <v>1061</v>
      </c>
      <c r="E5360" t="s">
        <v>1295</v>
      </c>
      <c r="F5360" t="s">
        <v>1062</v>
      </c>
    </row>
    <row r="5361" spans="1:6">
      <c r="A5361">
        <v>209</v>
      </c>
      <c r="B5361" t="s">
        <v>1060</v>
      </c>
      <c r="C5361">
        <v>23315</v>
      </c>
      <c r="D5361" t="s">
        <v>1063</v>
      </c>
      <c r="E5361" t="s">
        <v>1295</v>
      </c>
      <c r="F5361" t="s">
        <v>1064</v>
      </c>
    </row>
    <row r="5362" spans="1:6">
      <c r="A5362">
        <v>209</v>
      </c>
      <c r="B5362" t="s">
        <v>1060</v>
      </c>
      <c r="C5362">
        <v>68922</v>
      </c>
      <c r="D5362" t="s">
        <v>1294</v>
      </c>
      <c r="E5362" t="s">
        <v>1295</v>
      </c>
      <c r="F5362" t="s">
        <v>1438</v>
      </c>
    </row>
    <row r="5363" spans="1:6">
      <c r="A5363">
        <v>209</v>
      </c>
      <c r="B5363" t="s">
        <v>1060</v>
      </c>
      <c r="C5363">
        <v>12322</v>
      </c>
      <c r="D5363" t="s">
        <v>1584</v>
      </c>
      <c r="E5363" t="s">
        <v>1585</v>
      </c>
      <c r="F5363" t="s">
        <v>1586</v>
      </c>
    </row>
    <row r="5364" spans="1:6">
      <c r="A5364">
        <v>209</v>
      </c>
      <c r="B5364" t="s">
        <v>1060</v>
      </c>
      <c r="C5364">
        <v>130</v>
      </c>
      <c r="D5364" t="s">
        <v>1587</v>
      </c>
      <c r="E5364" t="s">
        <v>1585</v>
      </c>
      <c r="F5364" t="s">
        <v>1588</v>
      </c>
    </row>
    <row r="5365" spans="1:6">
      <c r="A5365">
        <v>209</v>
      </c>
      <c r="B5365" t="s">
        <v>1060</v>
      </c>
      <c r="C5365">
        <v>1962</v>
      </c>
      <c r="D5365" t="s">
        <v>1589</v>
      </c>
      <c r="E5365" t="s">
        <v>1590</v>
      </c>
      <c r="F5365" t="s">
        <v>1591</v>
      </c>
    </row>
    <row r="5366" spans="1:6">
      <c r="A5366">
        <v>209</v>
      </c>
      <c r="B5366" t="s">
        <v>1060</v>
      </c>
      <c r="C5366">
        <v>1116</v>
      </c>
      <c r="D5366" t="s">
        <v>1594</v>
      </c>
      <c r="E5366" t="s">
        <v>1595</v>
      </c>
      <c r="F5366" t="s">
        <v>1596</v>
      </c>
    </row>
    <row r="5367" spans="1:6">
      <c r="A5367">
        <v>209</v>
      </c>
      <c r="B5367" t="s">
        <v>1060</v>
      </c>
      <c r="C5367">
        <v>63</v>
      </c>
      <c r="D5367" t="s">
        <v>1597</v>
      </c>
      <c r="E5367" t="s">
        <v>1595</v>
      </c>
      <c r="F5367" t="s">
        <v>1598</v>
      </c>
    </row>
    <row r="5368" spans="1:6">
      <c r="A5368">
        <v>209</v>
      </c>
      <c r="B5368" t="s">
        <v>1060</v>
      </c>
      <c r="C5368">
        <v>175</v>
      </c>
      <c r="D5368" t="s">
        <v>1213</v>
      </c>
      <c r="E5368" t="s">
        <v>1600</v>
      </c>
      <c r="F5368" t="s">
        <v>1214</v>
      </c>
    </row>
    <row r="5369" spans="1:6">
      <c r="A5369">
        <v>209</v>
      </c>
      <c r="B5369" t="s">
        <v>1060</v>
      </c>
      <c r="C5369">
        <v>126596</v>
      </c>
      <c r="D5369" t="s">
        <v>1599</v>
      </c>
      <c r="E5369" t="s">
        <v>1600</v>
      </c>
      <c r="F5369" t="s">
        <v>1601</v>
      </c>
    </row>
    <row r="5370" spans="1:6">
      <c r="A5370">
        <v>209</v>
      </c>
      <c r="B5370" t="s">
        <v>1060</v>
      </c>
      <c r="C5370">
        <v>25000</v>
      </c>
      <c r="D5370" t="s">
        <v>1602</v>
      </c>
      <c r="E5370" t="s">
        <v>1600</v>
      </c>
      <c r="F5370" t="s">
        <v>1603</v>
      </c>
    </row>
    <row r="5371" spans="1:6">
      <c r="A5371">
        <v>209</v>
      </c>
      <c r="B5371" t="s">
        <v>1060</v>
      </c>
      <c r="C5371">
        <v>1563.38</v>
      </c>
      <c r="D5371" t="s">
        <v>1475</v>
      </c>
      <c r="E5371" t="s">
        <v>1476</v>
      </c>
      <c r="F5371" t="s">
        <v>1477</v>
      </c>
    </row>
    <row r="5372" spans="1:6">
      <c r="A5372">
        <v>209</v>
      </c>
      <c r="B5372" t="s">
        <v>1060</v>
      </c>
      <c r="C5372">
        <v>28976.98</v>
      </c>
      <c r="D5372" t="s">
        <v>1365</v>
      </c>
      <c r="E5372" t="s">
        <v>1366</v>
      </c>
      <c r="F5372" t="s">
        <v>1367</v>
      </c>
    </row>
    <row r="5373" spans="1:6">
      <c r="A5373">
        <v>210</v>
      </c>
      <c r="B5373" t="s">
        <v>1065</v>
      </c>
      <c r="C5373">
        <v>9199</v>
      </c>
      <c r="D5373" t="s">
        <v>1489</v>
      </c>
      <c r="E5373" t="s">
        <v>1490</v>
      </c>
      <c r="F5373" t="s">
        <v>1491</v>
      </c>
    </row>
    <row r="5374" spans="1:6">
      <c r="A5374">
        <v>210</v>
      </c>
      <c r="B5374" t="s">
        <v>1065</v>
      </c>
      <c r="C5374">
        <v>369668</v>
      </c>
      <c r="D5374" t="s">
        <v>1567</v>
      </c>
      <c r="E5374" t="s">
        <v>1568</v>
      </c>
      <c r="F5374" t="s">
        <v>1569</v>
      </c>
    </row>
    <row r="5375" spans="1:6">
      <c r="A5375">
        <v>210</v>
      </c>
      <c r="B5375" t="s">
        <v>1065</v>
      </c>
      <c r="C5375">
        <v>27807</v>
      </c>
      <c r="D5375" t="s">
        <v>1333</v>
      </c>
      <c r="E5375" t="s">
        <v>1383</v>
      </c>
      <c r="F5375" t="s">
        <v>1334</v>
      </c>
    </row>
    <row r="5376" spans="1:6">
      <c r="A5376">
        <v>210</v>
      </c>
      <c r="B5376" t="s">
        <v>1065</v>
      </c>
      <c r="C5376">
        <v>341294</v>
      </c>
      <c r="D5376" t="s">
        <v>1520</v>
      </c>
      <c r="E5376" t="s">
        <v>1521</v>
      </c>
      <c r="F5376" t="s">
        <v>1522</v>
      </c>
    </row>
    <row r="5377" spans="1:6">
      <c r="A5377">
        <v>210</v>
      </c>
      <c r="B5377" t="s">
        <v>1065</v>
      </c>
      <c r="C5377">
        <v>839143</v>
      </c>
      <c r="D5377" t="s">
        <v>1573</v>
      </c>
      <c r="E5377" t="s">
        <v>1574</v>
      </c>
      <c r="F5377" t="s">
        <v>1575</v>
      </c>
    </row>
    <row r="5378" spans="1:6">
      <c r="A5378">
        <v>210</v>
      </c>
      <c r="B5378" t="s">
        <v>1065</v>
      </c>
      <c r="C5378">
        <v>16000</v>
      </c>
      <c r="D5378" t="s">
        <v>1531</v>
      </c>
      <c r="E5378" t="s">
        <v>1532</v>
      </c>
      <c r="F5378" t="s">
        <v>1533</v>
      </c>
    </row>
    <row r="5379" spans="1:6">
      <c r="A5379">
        <v>210</v>
      </c>
      <c r="B5379" t="s">
        <v>1065</v>
      </c>
      <c r="C5379">
        <v>6500</v>
      </c>
      <c r="D5379" t="s">
        <v>1387</v>
      </c>
      <c r="E5379" t="s">
        <v>1388</v>
      </c>
      <c r="F5379" t="s">
        <v>1389</v>
      </c>
    </row>
    <row r="5380" spans="1:6">
      <c r="A5380">
        <v>210</v>
      </c>
      <c r="B5380" t="s">
        <v>1065</v>
      </c>
      <c r="C5380">
        <v>16161.47</v>
      </c>
      <c r="D5380" t="s">
        <v>1431</v>
      </c>
      <c r="E5380" t="s">
        <v>1432</v>
      </c>
      <c r="F5380" t="s">
        <v>1433</v>
      </c>
    </row>
    <row r="5381" spans="1:6">
      <c r="A5381">
        <v>210</v>
      </c>
      <c r="B5381" t="s">
        <v>1065</v>
      </c>
      <c r="C5381">
        <v>48779.96</v>
      </c>
      <c r="D5381" t="s">
        <v>1434</v>
      </c>
      <c r="E5381" t="s">
        <v>1432</v>
      </c>
      <c r="F5381" t="s">
        <v>1435</v>
      </c>
    </row>
    <row r="5382" spans="1:6">
      <c r="A5382">
        <v>210</v>
      </c>
      <c r="B5382" t="s">
        <v>1065</v>
      </c>
      <c r="C5382">
        <v>38950</v>
      </c>
      <c r="D5382" t="s">
        <v>1584</v>
      </c>
      <c r="E5382" t="s">
        <v>1585</v>
      </c>
      <c r="F5382" t="s">
        <v>1586</v>
      </c>
    </row>
    <row r="5383" spans="1:6">
      <c r="A5383">
        <v>210</v>
      </c>
      <c r="B5383" t="s">
        <v>1065</v>
      </c>
      <c r="C5383">
        <v>5413</v>
      </c>
      <c r="D5383" t="s">
        <v>1589</v>
      </c>
      <c r="E5383" t="s">
        <v>1590</v>
      </c>
      <c r="F5383" t="s">
        <v>1591</v>
      </c>
    </row>
    <row r="5384" spans="1:6">
      <c r="A5384">
        <v>210</v>
      </c>
      <c r="B5384" t="s">
        <v>1065</v>
      </c>
      <c r="C5384">
        <v>5920</v>
      </c>
      <c r="D5384" t="s">
        <v>1594</v>
      </c>
      <c r="E5384" t="s">
        <v>1595</v>
      </c>
      <c r="F5384" t="s">
        <v>1596</v>
      </c>
    </row>
    <row r="5385" spans="1:6">
      <c r="A5385">
        <v>210</v>
      </c>
      <c r="B5385" t="s">
        <v>1065</v>
      </c>
      <c r="C5385">
        <v>392721</v>
      </c>
      <c r="D5385" t="s">
        <v>1599</v>
      </c>
      <c r="E5385" t="s">
        <v>1600</v>
      </c>
      <c r="F5385" t="s">
        <v>1601</v>
      </c>
    </row>
    <row r="5386" spans="1:6">
      <c r="A5386">
        <v>210</v>
      </c>
      <c r="B5386" t="s">
        <v>1065</v>
      </c>
      <c r="C5386">
        <v>80000</v>
      </c>
      <c r="D5386" t="s">
        <v>1602</v>
      </c>
      <c r="E5386" t="s">
        <v>1600</v>
      </c>
      <c r="F5386" t="s">
        <v>1603</v>
      </c>
    </row>
    <row r="5387" spans="1:6">
      <c r="A5387">
        <v>210</v>
      </c>
      <c r="B5387" t="s">
        <v>1065</v>
      </c>
      <c r="C5387">
        <v>7780</v>
      </c>
      <c r="D5387" t="s">
        <v>1459</v>
      </c>
      <c r="E5387" t="s">
        <v>1605</v>
      </c>
      <c r="F5387" t="s">
        <v>1460</v>
      </c>
    </row>
    <row r="5388" spans="1:6">
      <c r="A5388">
        <v>210</v>
      </c>
      <c r="B5388" t="s">
        <v>1065</v>
      </c>
      <c r="C5388">
        <v>41071.79</v>
      </c>
      <c r="D5388" t="s">
        <v>1475</v>
      </c>
      <c r="E5388" t="s">
        <v>1476</v>
      </c>
      <c r="F5388" t="s">
        <v>1477</v>
      </c>
    </row>
    <row r="5389" spans="1:6">
      <c r="A5389">
        <v>210</v>
      </c>
      <c r="B5389" t="s">
        <v>1065</v>
      </c>
      <c r="C5389">
        <v>641204.55000000005</v>
      </c>
      <c r="D5389" t="s">
        <v>1478</v>
      </c>
      <c r="E5389" t="s">
        <v>1479</v>
      </c>
      <c r="F5389" t="s">
        <v>1480</v>
      </c>
    </row>
    <row r="5390" spans="1:6">
      <c r="A5390">
        <v>210</v>
      </c>
      <c r="B5390" t="s">
        <v>1065</v>
      </c>
      <c r="C5390">
        <v>5733579</v>
      </c>
      <c r="D5390" t="s">
        <v>1607</v>
      </c>
      <c r="E5390" t="s">
        <v>1608</v>
      </c>
      <c r="F5390" t="s">
        <v>1609</v>
      </c>
    </row>
    <row r="5391" spans="1:6">
      <c r="A5391">
        <v>210</v>
      </c>
      <c r="B5391" t="s">
        <v>1065</v>
      </c>
      <c r="C5391">
        <v>6161679</v>
      </c>
      <c r="D5391" t="s">
        <v>1610</v>
      </c>
      <c r="E5391" t="s">
        <v>1481</v>
      </c>
      <c r="F5391" t="s">
        <v>1482</v>
      </c>
    </row>
    <row r="5392" spans="1:6">
      <c r="A5392">
        <v>211</v>
      </c>
      <c r="B5392" t="s">
        <v>1066</v>
      </c>
      <c r="C5392">
        <v>1796</v>
      </c>
      <c r="D5392" t="s">
        <v>1489</v>
      </c>
      <c r="E5392" t="s">
        <v>1490</v>
      </c>
      <c r="F5392" t="s">
        <v>1491</v>
      </c>
    </row>
    <row r="5393" spans="1:6">
      <c r="A5393">
        <v>211</v>
      </c>
      <c r="B5393" t="s">
        <v>1066</v>
      </c>
      <c r="C5393">
        <v>69756</v>
      </c>
      <c r="D5393" t="s">
        <v>1567</v>
      </c>
      <c r="E5393" t="s">
        <v>1568</v>
      </c>
      <c r="F5393" t="s">
        <v>1569</v>
      </c>
    </row>
    <row r="5394" spans="1:6">
      <c r="A5394">
        <v>211</v>
      </c>
      <c r="B5394" t="s">
        <v>1066</v>
      </c>
      <c r="C5394">
        <v>94856</v>
      </c>
      <c r="D5394" t="s">
        <v>1520</v>
      </c>
      <c r="E5394" t="s">
        <v>1521</v>
      </c>
      <c r="F5394" t="s">
        <v>1522</v>
      </c>
    </row>
    <row r="5395" spans="1:6">
      <c r="A5395">
        <v>211</v>
      </c>
      <c r="B5395" t="s">
        <v>1066</v>
      </c>
      <c r="C5395">
        <v>4828</v>
      </c>
      <c r="D5395" t="s">
        <v>1573</v>
      </c>
      <c r="E5395" t="s">
        <v>1574</v>
      </c>
      <c r="F5395" t="s">
        <v>1575</v>
      </c>
    </row>
    <row r="5396" spans="1:6">
      <c r="A5396">
        <v>211</v>
      </c>
      <c r="B5396" t="s">
        <v>1066</v>
      </c>
      <c r="C5396">
        <v>7800</v>
      </c>
      <c r="D5396" t="s">
        <v>1387</v>
      </c>
      <c r="E5396" t="s">
        <v>1388</v>
      </c>
      <c r="F5396" t="s">
        <v>1389</v>
      </c>
    </row>
    <row r="5397" spans="1:6">
      <c r="A5397">
        <v>211</v>
      </c>
      <c r="B5397" t="s">
        <v>1066</v>
      </c>
      <c r="C5397">
        <v>7270.49</v>
      </c>
      <c r="D5397" t="s">
        <v>1431</v>
      </c>
      <c r="E5397" t="s">
        <v>1432</v>
      </c>
      <c r="F5397" t="s">
        <v>1433</v>
      </c>
    </row>
    <row r="5398" spans="1:6">
      <c r="A5398">
        <v>211</v>
      </c>
      <c r="B5398" t="s">
        <v>1066</v>
      </c>
      <c r="C5398">
        <v>15326.03</v>
      </c>
      <c r="D5398" t="s">
        <v>1434</v>
      </c>
      <c r="E5398" t="s">
        <v>1432</v>
      </c>
      <c r="F5398" t="s">
        <v>1435</v>
      </c>
    </row>
    <row r="5399" spans="1:6">
      <c r="A5399">
        <v>211</v>
      </c>
      <c r="B5399" t="s">
        <v>1066</v>
      </c>
      <c r="C5399">
        <v>8139</v>
      </c>
      <c r="D5399" t="s">
        <v>1587</v>
      </c>
      <c r="E5399" t="s">
        <v>1585</v>
      </c>
      <c r="F5399" t="s">
        <v>1588</v>
      </c>
    </row>
    <row r="5400" spans="1:6">
      <c r="A5400">
        <v>211</v>
      </c>
      <c r="B5400" t="s">
        <v>1066</v>
      </c>
      <c r="C5400">
        <v>876</v>
      </c>
      <c r="D5400" t="s">
        <v>1592</v>
      </c>
      <c r="E5400" t="s">
        <v>1590</v>
      </c>
      <c r="F5400" t="s">
        <v>1593</v>
      </c>
    </row>
    <row r="5401" spans="1:6">
      <c r="A5401">
        <v>211</v>
      </c>
      <c r="B5401" t="s">
        <v>1066</v>
      </c>
      <c r="C5401">
        <v>606</v>
      </c>
      <c r="D5401" t="s">
        <v>1597</v>
      </c>
      <c r="E5401" t="s">
        <v>1595</v>
      </c>
      <c r="F5401" t="s">
        <v>1598</v>
      </c>
    </row>
    <row r="5402" spans="1:6">
      <c r="A5402">
        <v>211</v>
      </c>
      <c r="B5402" t="s">
        <v>1066</v>
      </c>
      <c r="C5402">
        <v>170454</v>
      </c>
      <c r="D5402" t="s">
        <v>1602</v>
      </c>
      <c r="E5402" t="s">
        <v>1600</v>
      </c>
      <c r="F5402" t="s">
        <v>1603</v>
      </c>
    </row>
    <row r="5403" spans="1:6">
      <c r="A5403">
        <v>211</v>
      </c>
      <c r="B5403" t="s">
        <v>1066</v>
      </c>
      <c r="C5403">
        <v>7</v>
      </c>
      <c r="D5403" t="s">
        <v>1141</v>
      </c>
      <c r="E5403" t="s">
        <v>1605</v>
      </c>
      <c r="F5403" t="s">
        <v>1302</v>
      </c>
    </row>
    <row r="5404" spans="1:6">
      <c r="A5404">
        <v>211</v>
      </c>
      <c r="B5404" t="s">
        <v>1066</v>
      </c>
      <c r="C5404">
        <v>8719</v>
      </c>
      <c r="D5404" t="s">
        <v>1604</v>
      </c>
      <c r="E5404" t="s">
        <v>1605</v>
      </c>
      <c r="F5404" t="s">
        <v>1606</v>
      </c>
    </row>
    <row r="5405" spans="1:6">
      <c r="A5405">
        <v>211</v>
      </c>
      <c r="B5405" t="s">
        <v>1066</v>
      </c>
      <c r="C5405">
        <v>507562</v>
      </c>
      <c r="D5405" t="s">
        <v>1607</v>
      </c>
      <c r="E5405" t="s">
        <v>1608</v>
      </c>
      <c r="F5405" t="s">
        <v>1609</v>
      </c>
    </row>
    <row r="5406" spans="1:6">
      <c r="A5406">
        <v>212</v>
      </c>
      <c r="B5406" t="s">
        <v>1067</v>
      </c>
      <c r="C5406">
        <v>1219</v>
      </c>
      <c r="D5406" t="s">
        <v>1489</v>
      </c>
      <c r="E5406" t="s">
        <v>1490</v>
      </c>
      <c r="F5406" t="s">
        <v>1491</v>
      </c>
    </row>
    <row r="5407" spans="1:6">
      <c r="A5407">
        <v>212</v>
      </c>
      <c r="B5407" t="s">
        <v>1067</v>
      </c>
      <c r="C5407">
        <v>66386</v>
      </c>
      <c r="D5407" t="s">
        <v>1567</v>
      </c>
      <c r="E5407" t="s">
        <v>1568</v>
      </c>
      <c r="F5407" t="s">
        <v>1569</v>
      </c>
    </row>
    <row r="5408" spans="1:6">
      <c r="A5408">
        <v>212</v>
      </c>
      <c r="B5408" t="s">
        <v>1067</v>
      </c>
      <c r="C5408">
        <v>85678</v>
      </c>
      <c r="D5408" t="s">
        <v>1573</v>
      </c>
      <c r="E5408" t="s">
        <v>1574</v>
      </c>
      <c r="F5408" t="s">
        <v>1575</v>
      </c>
    </row>
    <row r="5409" spans="1:6">
      <c r="A5409">
        <v>212</v>
      </c>
      <c r="B5409" t="s">
        <v>1067</v>
      </c>
      <c r="C5409">
        <v>7611</v>
      </c>
      <c r="D5409" t="s">
        <v>1525</v>
      </c>
      <c r="E5409" t="s">
        <v>1526</v>
      </c>
      <c r="F5409" t="s">
        <v>1527</v>
      </c>
    </row>
    <row r="5410" spans="1:6">
      <c r="A5410">
        <v>212</v>
      </c>
      <c r="B5410" t="s">
        <v>1067</v>
      </c>
      <c r="C5410">
        <v>993.75</v>
      </c>
      <c r="D5410" t="s">
        <v>1374</v>
      </c>
      <c r="E5410" t="s">
        <v>1375</v>
      </c>
      <c r="F5410" t="s">
        <v>1376</v>
      </c>
    </row>
    <row r="5411" spans="1:6">
      <c r="A5411">
        <v>212</v>
      </c>
      <c r="B5411" t="s">
        <v>1067</v>
      </c>
      <c r="C5411">
        <v>2328.65</v>
      </c>
      <c r="D5411" t="s">
        <v>1377</v>
      </c>
      <c r="E5411" t="s">
        <v>1375</v>
      </c>
      <c r="F5411" t="s">
        <v>1378</v>
      </c>
    </row>
    <row r="5412" spans="1:6">
      <c r="A5412">
        <v>212</v>
      </c>
      <c r="B5412" t="s">
        <v>1067</v>
      </c>
      <c r="C5412">
        <v>3139.59</v>
      </c>
      <c r="D5412" t="s">
        <v>1431</v>
      </c>
      <c r="E5412" t="s">
        <v>1432</v>
      </c>
      <c r="F5412" t="s">
        <v>1433</v>
      </c>
    </row>
    <row r="5413" spans="1:6">
      <c r="A5413">
        <v>212</v>
      </c>
      <c r="B5413" t="s">
        <v>1067</v>
      </c>
      <c r="C5413">
        <v>4404.8</v>
      </c>
      <c r="D5413" t="s">
        <v>1434</v>
      </c>
      <c r="E5413" t="s">
        <v>1432</v>
      </c>
      <c r="F5413" t="s">
        <v>1435</v>
      </c>
    </row>
    <row r="5414" spans="1:6">
      <c r="A5414">
        <v>212</v>
      </c>
      <c r="B5414" t="s">
        <v>1067</v>
      </c>
      <c r="C5414">
        <v>138731</v>
      </c>
      <c r="D5414" t="s">
        <v>1579</v>
      </c>
      <c r="E5414" t="s">
        <v>1577</v>
      </c>
      <c r="F5414" t="s">
        <v>1580</v>
      </c>
    </row>
    <row r="5415" spans="1:6">
      <c r="A5415">
        <v>212</v>
      </c>
      <c r="B5415" t="s">
        <v>1067</v>
      </c>
      <c r="C5415">
        <v>3242</v>
      </c>
      <c r="D5415" t="s">
        <v>1442</v>
      </c>
      <c r="E5415" t="s">
        <v>1582</v>
      </c>
      <c r="F5415" t="s">
        <v>1443</v>
      </c>
    </row>
    <row r="5416" spans="1:6">
      <c r="A5416">
        <v>212</v>
      </c>
      <c r="B5416" t="s">
        <v>1067</v>
      </c>
      <c r="C5416">
        <v>550</v>
      </c>
      <c r="D5416" t="s">
        <v>1581</v>
      </c>
      <c r="E5416" t="s">
        <v>1582</v>
      </c>
      <c r="F5416" t="s">
        <v>1583</v>
      </c>
    </row>
    <row r="5417" spans="1:6">
      <c r="A5417">
        <v>212</v>
      </c>
      <c r="B5417" t="s">
        <v>1067</v>
      </c>
      <c r="C5417">
        <v>3415</v>
      </c>
      <c r="D5417" t="s">
        <v>1584</v>
      </c>
      <c r="E5417" t="s">
        <v>1585</v>
      </c>
      <c r="F5417" t="s">
        <v>1586</v>
      </c>
    </row>
    <row r="5418" spans="1:6">
      <c r="A5418">
        <v>212</v>
      </c>
      <c r="B5418" t="s">
        <v>1067</v>
      </c>
      <c r="C5418">
        <v>30000</v>
      </c>
      <c r="D5418" t="s">
        <v>1587</v>
      </c>
      <c r="E5418" t="s">
        <v>1585</v>
      </c>
      <c r="F5418" t="s">
        <v>1588</v>
      </c>
    </row>
    <row r="5419" spans="1:6">
      <c r="A5419">
        <v>212</v>
      </c>
      <c r="B5419" t="s">
        <v>1067</v>
      </c>
      <c r="C5419">
        <v>2642</v>
      </c>
      <c r="D5419" t="s">
        <v>1589</v>
      </c>
      <c r="E5419" t="s">
        <v>1590</v>
      </c>
      <c r="F5419" t="s">
        <v>1591</v>
      </c>
    </row>
    <row r="5420" spans="1:6">
      <c r="A5420">
        <v>212</v>
      </c>
      <c r="B5420" t="s">
        <v>1067</v>
      </c>
      <c r="C5420">
        <v>5200</v>
      </c>
      <c r="D5420" t="s">
        <v>1592</v>
      </c>
      <c r="E5420" t="s">
        <v>1590</v>
      </c>
      <c r="F5420" t="s">
        <v>1593</v>
      </c>
    </row>
    <row r="5421" spans="1:6">
      <c r="A5421">
        <v>212</v>
      </c>
      <c r="B5421" t="s">
        <v>1067</v>
      </c>
      <c r="C5421">
        <v>509</v>
      </c>
      <c r="D5421" t="s">
        <v>1594</v>
      </c>
      <c r="E5421" t="s">
        <v>1595</v>
      </c>
      <c r="F5421" t="s">
        <v>1596</v>
      </c>
    </row>
    <row r="5422" spans="1:6">
      <c r="A5422">
        <v>212</v>
      </c>
      <c r="B5422" t="s">
        <v>1067</v>
      </c>
      <c r="C5422">
        <v>36631</v>
      </c>
      <c r="D5422" t="s">
        <v>1599</v>
      </c>
      <c r="E5422" t="s">
        <v>1600</v>
      </c>
      <c r="F5422" t="s">
        <v>1601</v>
      </c>
    </row>
    <row r="5423" spans="1:6">
      <c r="A5423">
        <v>212</v>
      </c>
      <c r="B5423" t="s">
        <v>1067</v>
      </c>
      <c r="C5423">
        <v>185000</v>
      </c>
      <c r="D5423" t="s">
        <v>1602</v>
      </c>
      <c r="E5423" t="s">
        <v>1600</v>
      </c>
      <c r="F5423" t="s">
        <v>1603</v>
      </c>
    </row>
    <row r="5424" spans="1:6">
      <c r="A5424">
        <v>212</v>
      </c>
      <c r="B5424" t="s">
        <v>1067</v>
      </c>
      <c r="C5424">
        <v>1631</v>
      </c>
      <c r="D5424" t="s">
        <v>1459</v>
      </c>
      <c r="E5424" t="s">
        <v>1605</v>
      </c>
      <c r="F5424" t="s">
        <v>1460</v>
      </c>
    </row>
    <row r="5425" spans="1:6">
      <c r="A5425">
        <v>212</v>
      </c>
      <c r="B5425" t="s">
        <v>1067</v>
      </c>
      <c r="C5425">
        <v>11631</v>
      </c>
      <c r="D5425" t="s">
        <v>1604</v>
      </c>
      <c r="E5425" t="s">
        <v>1605</v>
      </c>
      <c r="F5425" t="s">
        <v>1606</v>
      </c>
    </row>
    <row r="5426" spans="1:6">
      <c r="A5426">
        <v>212</v>
      </c>
      <c r="B5426" t="s">
        <v>1067</v>
      </c>
      <c r="C5426">
        <v>15901.7</v>
      </c>
      <c r="D5426" t="s">
        <v>1475</v>
      </c>
      <c r="E5426" t="s">
        <v>1476</v>
      </c>
      <c r="F5426" t="s">
        <v>1477</v>
      </c>
    </row>
    <row r="5427" spans="1:6">
      <c r="A5427">
        <v>212</v>
      </c>
      <c r="B5427" t="s">
        <v>1067</v>
      </c>
      <c r="C5427">
        <v>77590</v>
      </c>
      <c r="D5427" t="s">
        <v>1365</v>
      </c>
      <c r="E5427" t="s">
        <v>1366</v>
      </c>
      <c r="F5427" t="s">
        <v>1367</v>
      </c>
    </row>
    <row r="5428" spans="1:6">
      <c r="A5428">
        <v>212</v>
      </c>
      <c r="B5428" t="s">
        <v>1067</v>
      </c>
      <c r="C5428">
        <v>17714</v>
      </c>
      <c r="D5428" t="s">
        <v>1607</v>
      </c>
      <c r="E5428" t="s">
        <v>1608</v>
      </c>
      <c r="F5428" t="s">
        <v>1609</v>
      </c>
    </row>
    <row r="5429" spans="1:6">
      <c r="A5429">
        <v>213</v>
      </c>
      <c r="B5429" t="s">
        <v>1068</v>
      </c>
      <c r="C5429">
        <v>4770</v>
      </c>
      <c r="D5429" t="s">
        <v>1489</v>
      </c>
      <c r="E5429" t="s">
        <v>1490</v>
      </c>
      <c r="F5429" t="s">
        <v>1491</v>
      </c>
    </row>
    <row r="5430" spans="1:6">
      <c r="A5430">
        <v>213</v>
      </c>
      <c r="B5430" t="s">
        <v>1068</v>
      </c>
      <c r="C5430">
        <v>230543</v>
      </c>
      <c r="D5430" t="s">
        <v>1567</v>
      </c>
      <c r="E5430" t="s">
        <v>1568</v>
      </c>
      <c r="F5430" t="s">
        <v>1569</v>
      </c>
    </row>
    <row r="5431" spans="1:6">
      <c r="A5431">
        <v>213</v>
      </c>
      <c r="B5431" t="s">
        <v>1068</v>
      </c>
      <c r="C5431">
        <v>136139</v>
      </c>
      <c r="D5431" t="s">
        <v>1520</v>
      </c>
      <c r="E5431" t="s">
        <v>1521</v>
      </c>
      <c r="F5431" t="s">
        <v>1522</v>
      </c>
    </row>
    <row r="5432" spans="1:6">
      <c r="A5432">
        <v>213</v>
      </c>
      <c r="B5432" t="s">
        <v>1068</v>
      </c>
      <c r="C5432">
        <v>373229</v>
      </c>
      <c r="D5432" t="s">
        <v>1573</v>
      </c>
      <c r="E5432" t="s">
        <v>1574</v>
      </c>
      <c r="F5432" t="s">
        <v>1575</v>
      </c>
    </row>
    <row r="5433" spans="1:6">
      <c r="A5433">
        <v>213</v>
      </c>
      <c r="B5433" t="s">
        <v>1068</v>
      </c>
      <c r="C5433">
        <v>28600</v>
      </c>
      <c r="D5433" t="s">
        <v>1387</v>
      </c>
      <c r="E5433" t="s">
        <v>1388</v>
      </c>
      <c r="F5433" t="s">
        <v>1389</v>
      </c>
    </row>
    <row r="5434" spans="1:6">
      <c r="A5434">
        <v>213</v>
      </c>
      <c r="B5434" t="s">
        <v>1068</v>
      </c>
      <c r="C5434">
        <v>128375</v>
      </c>
      <c r="D5434" t="s">
        <v>1390</v>
      </c>
      <c r="E5434" t="s">
        <v>1391</v>
      </c>
      <c r="F5434" t="s">
        <v>1392</v>
      </c>
    </row>
    <row r="5435" spans="1:6">
      <c r="A5435">
        <v>213</v>
      </c>
      <c r="B5435" t="s">
        <v>1068</v>
      </c>
      <c r="C5435">
        <v>14884.01</v>
      </c>
      <c r="D5435" t="s">
        <v>1431</v>
      </c>
      <c r="E5435" t="s">
        <v>1432</v>
      </c>
      <c r="F5435" t="s">
        <v>1433</v>
      </c>
    </row>
    <row r="5436" spans="1:6">
      <c r="A5436">
        <v>213</v>
      </c>
      <c r="B5436" t="s">
        <v>1068</v>
      </c>
      <c r="C5436">
        <v>35698.449999999997</v>
      </c>
      <c r="D5436" t="s">
        <v>1434</v>
      </c>
      <c r="E5436" t="s">
        <v>1432</v>
      </c>
      <c r="F5436" t="s">
        <v>1435</v>
      </c>
    </row>
    <row r="5437" spans="1:6">
      <c r="A5437">
        <v>213</v>
      </c>
      <c r="B5437" t="s">
        <v>1068</v>
      </c>
      <c r="C5437">
        <v>147392</v>
      </c>
      <c r="D5437" t="s">
        <v>1579</v>
      </c>
      <c r="E5437" t="s">
        <v>1577</v>
      </c>
      <c r="F5437" t="s">
        <v>1580</v>
      </c>
    </row>
    <row r="5438" spans="1:6">
      <c r="A5438">
        <v>213</v>
      </c>
      <c r="B5438" t="s">
        <v>1068</v>
      </c>
      <c r="C5438">
        <v>23635</v>
      </c>
      <c r="D5438" t="s">
        <v>1436</v>
      </c>
      <c r="E5438" t="s">
        <v>1437</v>
      </c>
      <c r="F5438" t="s">
        <v>1438</v>
      </c>
    </row>
    <row r="5439" spans="1:6">
      <c r="A5439">
        <v>213</v>
      </c>
      <c r="B5439" t="s">
        <v>1068</v>
      </c>
      <c r="C5439">
        <v>30000</v>
      </c>
      <c r="D5439" t="s">
        <v>1587</v>
      </c>
      <c r="E5439" t="s">
        <v>1585</v>
      </c>
      <c r="F5439" t="s">
        <v>1588</v>
      </c>
    </row>
    <row r="5440" spans="1:6">
      <c r="A5440">
        <v>213</v>
      </c>
      <c r="B5440" t="s">
        <v>1068</v>
      </c>
      <c r="C5440">
        <v>2000</v>
      </c>
      <c r="D5440" t="s">
        <v>1592</v>
      </c>
      <c r="E5440" t="s">
        <v>1590</v>
      </c>
      <c r="F5440" t="s">
        <v>1593</v>
      </c>
    </row>
    <row r="5441" spans="1:6">
      <c r="A5441">
        <v>213</v>
      </c>
      <c r="B5441" t="s">
        <v>1068</v>
      </c>
      <c r="C5441">
        <v>320000</v>
      </c>
      <c r="D5441" t="s">
        <v>1602</v>
      </c>
      <c r="E5441" t="s">
        <v>1600</v>
      </c>
      <c r="F5441" t="s">
        <v>1603</v>
      </c>
    </row>
    <row r="5442" spans="1:6">
      <c r="A5442">
        <v>213</v>
      </c>
      <c r="B5442" t="s">
        <v>1068</v>
      </c>
      <c r="C5442">
        <v>11000</v>
      </c>
      <c r="D5442" t="s">
        <v>1604</v>
      </c>
      <c r="E5442" t="s">
        <v>1605</v>
      </c>
      <c r="F5442" t="s">
        <v>1606</v>
      </c>
    </row>
    <row r="5443" spans="1:6">
      <c r="A5443">
        <v>213</v>
      </c>
      <c r="B5443" t="s">
        <v>1068</v>
      </c>
      <c r="C5443">
        <v>3000</v>
      </c>
      <c r="D5443" t="s">
        <v>1466</v>
      </c>
      <c r="E5443" t="s">
        <v>1467</v>
      </c>
      <c r="F5443" t="s">
        <v>1468</v>
      </c>
    </row>
    <row r="5444" spans="1:6">
      <c r="A5444">
        <v>213</v>
      </c>
      <c r="B5444" t="s">
        <v>1068</v>
      </c>
      <c r="C5444">
        <v>50169.36</v>
      </c>
      <c r="D5444" t="s">
        <v>1475</v>
      </c>
      <c r="E5444" t="s">
        <v>1476</v>
      </c>
      <c r="F5444" t="s">
        <v>1477</v>
      </c>
    </row>
    <row r="5445" spans="1:6">
      <c r="A5445">
        <v>213</v>
      </c>
      <c r="B5445" t="s">
        <v>1068</v>
      </c>
      <c r="C5445">
        <v>174319.17</v>
      </c>
      <c r="D5445" t="s">
        <v>1478</v>
      </c>
      <c r="E5445" t="s">
        <v>1479</v>
      </c>
      <c r="F5445" t="s">
        <v>1480</v>
      </c>
    </row>
    <row r="5446" spans="1:6">
      <c r="A5446">
        <v>213</v>
      </c>
      <c r="B5446" t="s">
        <v>1068</v>
      </c>
      <c r="C5446">
        <v>252499.44</v>
      </c>
      <c r="D5446" t="s">
        <v>1365</v>
      </c>
      <c r="E5446" t="s">
        <v>1366</v>
      </c>
      <c r="F5446" t="s">
        <v>1367</v>
      </c>
    </row>
    <row r="5447" spans="1:6">
      <c r="A5447">
        <v>213</v>
      </c>
      <c r="B5447" t="s">
        <v>1068</v>
      </c>
      <c r="C5447">
        <v>219435</v>
      </c>
      <c r="D5447" t="s">
        <v>1610</v>
      </c>
      <c r="E5447" t="s">
        <v>1481</v>
      </c>
      <c r="F5447" t="s">
        <v>1482</v>
      </c>
    </row>
    <row r="5448" spans="1:6">
      <c r="A5448">
        <v>214</v>
      </c>
      <c r="B5448" t="s">
        <v>1069</v>
      </c>
      <c r="C5448">
        <v>6530</v>
      </c>
      <c r="D5448" t="s">
        <v>1489</v>
      </c>
      <c r="E5448" t="s">
        <v>1490</v>
      </c>
      <c r="F5448" t="s">
        <v>1491</v>
      </c>
    </row>
    <row r="5449" spans="1:6">
      <c r="A5449">
        <v>214</v>
      </c>
      <c r="B5449" t="s">
        <v>1069</v>
      </c>
      <c r="C5449">
        <v>272209</v>
      </c>
      <c r="D5449" t="s">
        <v>1407</v>
      </c>
      <c r="E5449" t="s">
        <v>1408</v>
      </c>
      <c r="F5449" t="s">
        <v>1409</v>
      </c>
    </row>
    <row r="5450" spans="1:6">
      <c r="A5450">
        <v>214</v>
      </c>
      <c r="B5450" t="s">
        <v>1069</v>
      </c>
      <c r="C5450">
        <v>210068</v>
      </c>
      <c r="D5450" t="s">
        <v>1567</v>
      </c>
      <c r="E5450" t="s">
        <v>1568</v>
      </c>
      <c r="F5450" t="s">
        <v>1569</v>
      </c>
    </row>
    <row r="5451" spans="1:6">
      <c r="A5451">
        <v>214</v>
      </c>
      <c r="B5451" t="s">
        <v>1069</v>
      </c>
      <c r="C5451">
        <v>157119</v>
      </c>
      <c r="D5451" t="s">
        <v>1520</v>
      </c>
      <c r="E5451" t="s">
        <v>1521</v>
      </c>
      <c r="F5451" t="s">
        <v>1522</v>
      </c>
    </row>
    <row r="5452" spans="1:6">
      <c r="A5452">
        <v>214</v>
      </c>
      <c r="B5452" t="s">
        <v>1069</v>
      </c>
      <c r="C5452">
        <v>431089</v>
      </c>
      <c r="D5452" t="s">
        <v>1573</v>
      </c>
      <c r="E5452" t="s">
        <v>1574</v>
      </c>
      <c r="F5452" t="s">
        <v>1575</v>
      </c>
    </row>
    <row r="5453" spans="1:6">
      <c r="A5453">
        <v>214</v>
      </c>
      <c r="B5453" t="s">
        <v>1069</v>
      </c>
      <c r="C5453">
        <v>19669.330000000002</v>
      </c>
      <c r="D5453" t="s">
        <v>1431</v>
      </c>
      <c r="E5453" t="s">
        <v>1432</v>
      </c>
      <c r="F5453" t="s">
        <v>1433</v>
      </c>
    </row>
    <row r="5454" spans="1:6">
      <c r="A5454">
        <v>214</v>
      </c>
      <c r="B5454" t="s">
        <v>1069</v>
      </c>
      <c r="C5454">
        <v>45532.9</v>
      </c>
      <c r="D5454" t="s">
        <v>1434</v>
      </c>
      <c r="E5454" t="s">
        <v>1432</v>
      </c>
      <c r="F5454" t="s">
        <v>1435</v>
      </c>
    </row>
    <row r="5455" spans="1:6">
      <c r="A5455">
        <v>214</v>
      </c>
      <c r="B5455" t="s">
        <v>1069</v>
      </c>
      <c r="C5455">
        <v>211500</v>
      </c>
      <c r="D5455" t="s">
        <v>1579</v>
      </c>
      <c r="E5455" t="s">
        <v>1577</v>
      </c>
      <c r="F5455" t="s">
        <v>1580</v>
      </c>
    </row>
    <row r="5456" spans="1:6">
      <c r="A5456">
        <v>214</v>
      </c>
      <c r="B5456" t="s">
        <v>1069</v>
      </c>
      <c r="C5456">
        <v>21919</v>
      </c>
      <c r="D5456" t="s">
        <v>1436</v>
      </c>
      <c r="E5456" t="s">
        <v>1437</v>
      </c>
      <c r="F5456" t="s">
        <v>1438</v>
      </c>
    </row>
    <row r="5457" spans="1:6">
      <c r="A5457">
        <v>214</v>
      </c>
      <c r="B5457" t="s">
        <v>1069</v>
      </c>
      <c r="C5457">
        <v>3167</v>
      </c>
      <c r="D5457" t="s">
        <v>1442</v>
      </c>
      <c r="E5457" t="s">
        <v>1582</v>
      </c>
      <c r="F5457" t="s">
        <v>1443</v>
      </c>
    </row>
    <row r="5458" spans="1:6">
      <c r="A5458">
        <v>214</v>
      </c>
      <c r="B5458" t="s">
        <v>1069</v>
      </c>
      <c r="C5458">
        <v>1621</v>
      </c>
      <c r="D5458" t="s">
        <v>1581</v>
      </c>
      <c r="E5458" t="s">
        <v>1582</v>
      </c>
      <c r="F5458" t="s">
        <v>1583</v>
      </c>
    </row>
    <row r="5459" spans="1:6">
      <c r="A5459">
        <v>214</v>
      </c>
      <c r="B5459" t="s">
        <v>1069</v>
      </c>
      <c r="C5459">
        <v>60552</v>
      </c>
      <c r="D5459" t="s">
        <v>1584</v>
      </c>
      <c r="E5459" t="s">
        <v>1585</v>
      </c>
      <c r="F5459" t="s">
        <v>1586</v>
      </c>
    </row>
    <row r="5460" spans="1:6">
      <c r="A5460">
        <v>214</v>
      </c>
      <c r="B5460" t="s">
        <v>1069</v>
      </c>
      <c r="C5460">
        <v>71616</v>
      </c>
      <c r="D5460" t="s">
        <v>1587</v>
      </c>
      <c r="E5460" t="s">
        <v>1585</v>
      </c>
      <c r="F5460" t="s">
        <v>1588</v>
      </c>
    </row>
    <row r="5461" spans="1:6">
      <c r="A5461">
        <v>214</v>
      </c>
      <c r="B5461" t="s">
        <v>1069</v>
      </c>
      <c r="C5461">
        <v>7294</v>
      </c>
      <c r="D5461" t="s">
        <v>1592</v>
      </c>
      <c r="E5461" t="s">
        <v>1590</v>
      </c>
      <c r="F5461" t="s">
        <v>1593</v>
      </c>
    </row>
    <row r="5462" spans="1:6">
      <c r="A5462">
        <v>214</v>
      </c>
      <c r="B5462" t="s">
        <v>1069</v>
      </c>
      <c r="C5462">
        <v>1904</v>
      </c>
      <c r="D5462" t="s">
        <v>1594</v>
      </c>
      <c r="E5462" t="s">
        <v>1595</v>
      </c>
      <c r="F5462" t="s">
        <v>1596</v>
      </c>
    </row>
    <row r="5463" spans="1:6">
      <c r="A5463">
        <v>214</v>
      </c>
      <c r="B5463" t="s">
        <v>1069</v>
      </c>
      <c r="C5463">
        <v>2056</v>
      </c>
      <c r="D5463" t="s">
        <v>1597</v>
      </c>
      <c r="E5463" t="s">
        <v>1595</v>
      </c>
      <c r="F5463" t="s">
        <v>1598</v>
      </c>
    </row>
    <row r="5464" spans="1:6">
      <c r="A5464">
        <v>214</v>
      </c>
      <c r="B5464" t="s">
        <v>1069</v>
      </c>
      <c r="C5464">
        <v>136429</v>
      </c>
      <c r="D5464" t="s">
        <v>1599</v>
      </c>
      <c r="E5464" t="s">
        <v>1600</v>
      </c>
      <c r="F5464" t="s">
        <v>1601</v>
      </c>
    </row>
    <row r="5465" spans="1:6">
      <c r="A5465">
        <v>214</v>
      </c>
      <c r="B5465" t="s">
        <v>1069</v>
      </c>
      <c r="C5465">
        <v>325000</v>
      </c>
      <c r="D5465" t="s">
        <v>1602</v>
      </c>
      <c r="E5465" t="s">
        <v>1600</v>
      </c>
      <c r="F5465" t="s">
        <v>1603</v>
      </c>
    </row>
    <row r="5466" spans="1:6">
      <c r="A5466">
        <v>214</v>
      </c>
      <c r="B5466" t="s">
        <v>1069</v>
      </c>
      <c r="C5466">
        <v>5291</v>
      </c>
      <c r="D5466" t="s">
        <v>1459</v>
      </c>
      <c r="E5466" t="s">
        <v>1605</v>
      </c>
      <c r="F5466" t="s">
        <v>1460</v>
      </c>
    </row>
    <row r="5467" spans="1:6">
      <c r="A5467">
        <v>214</v>
      </c>
      <c r="B5467" t="s">
        <v>1069</v>
      </c>
      <c r="C5467">
        <v>15291</v>
      </c>
      <c r="D5467" t="s">
        <v>1604</v>
      </c>
      <c r="E5467" t="s">
        <v>1605</v>
      </c>
      <c r="F5467" t="s">
        <v>1606</v>
      </c>
    </row>
    <row r="5468" spans="1:6">
      <c r="A5468">
        <v>214</v>
      </c>
      <c r="B5468" t="s">
        <v>1069</v>
      </c>
      <c r="C5468">
        <v>96745.919999999998</v>
      </c>
      <c r="D5468" t="s">
        <v>1276</v>
      </c>
      <c r="E5468" t="s">
        <v>1277</v>
      </c>
      <c r="F5468" t="s">
        <v>1278</v>
      </c>
    </row>
    <row r="5469" spans="1:6">
      <c r="A5469">
        <v>214</v>
      </c>
      <c r="B5469" t="s">
        <v>1069</v>
      </c>
      <c r="C5469">
        <v>101851.82</v>
      </c>
      <c r="D5469" t="s">
        <v>1475</v>
      </c>
      <c r="E5469" t="s">
        <v>1476</v>
      </c>
      <c r="F5469" t="s">
        <v>1477</v>
      </c>
    </row>
    <row r="5470" spans="1:6">
      <c r="A5470">
        <v>214</v>
      </c>
      <c r="B5470" t="s">
        <v>1069</v>
      </c>
      <c r="C5470">
        <v>633013.67000000004</v>
      </c>
      <c r="D5470" t="s">
        <v>1365</v>
      </c>
      <c r="E5470" t="s">
        <v>1366</v>
      </c>
      <c r="F5470" t="s">
        <v>1367</v>
      </c>
    </row>
    <row r="5471" spans="1:6">
      <c r="A5471">
        <v>214</v>
      </c>
      <c r="B5471" t="s">
        <v>1069</v>
      </c>
      <c r="C5471">
        <v>8022</v>
      </c>
      <c r="D5471" t="s">
        <v>1607</v>
      </c>
      <c r="E5471" t="s">
        <v>1608</v>
      </c>
      <c r="F5471" t="s">
        <v>1609</v>
      </c>
    </row>
    <row r="5472" spans="1:6">
      <c r="A5472">
        <v>215</v>
      </c>
      <c r="B5472" t="s">
        <v>1070</v>
      </c>
      <c r="C5472">
        <v>15812</v>
      </c>
      <c r="D5472" t="s">
        <v>1489</v>
      </c>
      <c r="E5472" t="s">
        <v>1490</v>
      </c>
      <c r="F5472" t="s">
        <v>1491</v>
      </c>
    </row>
    <row r="5473" spans="1:6">
      <c r="A5473">
        <v>215</v>
      </c>
      <c r="B5473" t="s">
        <v>1070</v>
      </c>
      <c r="C5473">
        <v>309107</v>
      </c>
      <c r="D5473" t="s">
        <v>1567</v>
      </c>
      <c r="E5473" t="s">
        <v>1568</v>
      </c>
      <c r="F5473" t="s">
        <v>1569</v>
      </c>
    </row>
    <row r="5474" spans="1:6">
      <c r="A5474">
        <v>215</v>
      </c>
      <c r="B5474" t="s">
        <v>1070</v>
      </c>
      <c r="C5474">
        <v>619425</v>
      </c>
      <c r="D5474" t="s">
        <v>1573</v>
      </c>
      <c r="E5474" t="s">
        <v>1574</v>
      </c>
      <c r="F5474" t="s">
        <v>1575</v>
      </c>
    </row>
    <row r="5475" spans="1:6">
      <c r="A5475">
        <v>215</v>
      </c>
      <c r="B5475" t="s">
        <v>1070</v>
      </c>
      <c r="C5475">
        <v>48100</v>
      </c>
      <c r="D5475" t="s">
        <v>1387</v>
      </c>
      <c r="E5475" t="s">
        <v>1388</v>
      </c>
      <c r="F5475" t="s">
        <v>1389</v>
      </c>
    </row>
    <row r="5476" spans="1:6">
      <c r="A5476">
        <v>215</v>
      </c>
      <c r="B5476" t="s">
        <v>1070</v>
      </c>
      <c r="C5476">
        <v>150000</v>
      </c>
      <c r="D5476" t="s">
        <v>1390</v>
      </c>
      <c r="E5476" t="s">
        <v>1391</v>
      </c>
      <c r="F5476" t="s">
        <v>1392</v>
      </c>
    </row>
    <row r="5477" spans="1:6">
      <c r="A5477">
        <v>215</v>
      </c>
      <c r="B5477" t="s">
        <v>1070</v>
      </c>
      <c r="C5477">
        <v>30481.81</v>
      </c>
      <c r="D5477" t="s">
        <v>1431</v>
      </c>
      <c r="E5477" t="s">
        <v>1432</v>
      </c>
      <c r="F5477" t="s">
        <v>1433</v>
      </c>
    </row>
    <row r="5478" spans="1:6">
      <c r="A5478">
        <v>215</v>
      </c>
      <c r="B5478" t="s">
        <v>1070</v>
      </c>
      <c r="C5478">
        <v>74386.34</v>
      </c>
      <c r="D5478" t="s">
        <v>1434</v>
      </c>
      <c r="E5478" t="s">
        <v>1432</v>
      </c>
      <c r="F5478" t="s">
        <v>1435</v>
      </c>
    </row>
    <row r="5479" spans="1:6">
      <c r="A5479">
        <v>215</v>
      </c>
      <c r="B5479" t="s">
        <v>1070</v>
      </c>
      <c r="C5479">
        <v>36420</v>
      </c>
      <c r="D5479" t="s">
        <v>1576</v>
      </c>
      <c r="E5479" t="s">
        <v>1577</v>
      </c>
      <c r="F5479" t="s">
        <v>1578</v>
      </c>
    </row>
    <row r="5480" spans="1:6">
      <c r="A5480">
        <v>215</v>
      </c>
      <c r="B5480" t="s">
        <v>1070</v>
      </c>
      <c r="C5480">
        <v>91893</v>
      </c>
      <c r="D5480" t="s">
        <v>1579</v>
      </c>
      <c r="E5480" t="s">
        <v>1577</v>
      </c>
      <c r="F5480" t="s">
        <v>1580</v>
      </c>
    </row>
    <row r="5481" spans="1:6">
      <c r="A5481">
        <v>215</v>
      </c>
      <c r="B5481" t="s">
        <v>1070</v>
      </c>
      <c r="C5481">
        <v>1772</v>
      </c>
      <c r="D5481" t="s">
        <v>1071</v>
      </c>
      <c r="E5481" t="s">
        <v>1437</v>
      </c>
      <c r="F5481" t="s">
        <v>1064</v>
      </c>
    </row>
    <row r="5482" spans="1:6">
      <c r="A5482">
        <v>215</v>
      </c>
      <c r="B5482" t="s">
        <v>1070</v>
      </c>
      <c r="C5482">
        <v>5284</v>
      </c>
      <c r="D5482" t="s">
        <v>1293</v>
      </c>
      <c r="E5482" t="s">
        <v>1437</v>
      </c>
      <c r="F5482" t="s">
        <v>1283</v>
      </c>
    </row>
    <row r="5483" spans="1:6">
      <c r="A5483">
        <v>215</v>
      </c>
      <c r="B5483" t="s">
        <v>1070</v>
      </c>
      <c r="C5483">
        <v>28444</v>
      </c>
      <c r="D5483" t="s">
        <v>1436</v>
      </c>
      <c r="E5483" t="s">
        <v>1437</v>
      </c>
      <c r="F5483" t="s">
        <v>1438</v>
      </c>
    </row>
    <row r="5484" spans="1:6">
      <c r="A5484">
        <v>215</v>
      </c>
      <c r="B5484" t="s">
        <v>1070</v>
      </c>
      <c r="C5484">
        <v>296</v>
      </c>
      <c r="D5484" t="s">
        <v>1192</v>
      </c>
      <c r="E5484" t="s">
        <v>1582</v>
      </c>
      <c r="F5484" t="s">
        <v>1210</v>
      </c>
    </row>
    <row r="5485" spans="1:6">
      <c r="A5485">
        <v>215</v>
      </c>
      <c r="B5485" t="s">
        <v>1070</v>
      </c>
      <c r="C5485">
        <v>1878</v>
      </c>
      <c r="D5485" t="s">
        <v>1442</v>
      </c>
      <c r="E5485" t="s">
        <v>1582</v>
      </c>
      <c r="F5485" t="s">
        <v>1443</v>
      </c>
    </row>
    <row r="5486" spans="1:6">
      <c r="A5486">
        <v>215</v>
      </c>
      <c r="B5486" t="s">
        <v>1070</v>
      </c>
      <c r="C5486">
        <v>36</v>
      </c>
      <c r="D5486" t="s">
        <v>1581</v>
      </c>
      <c r="E5486" t="s">
        <v>1582</v>
      </c>
      <c r="F5486" t="s">
        <v>1583</v>
      </c>
    </row>
    <row r="5487" spans="1:6">
      <c r="A5487">
        <v>215</v>
      </c>
      <c r="B5487" t="s">
        <v>1070</v>
      </c>
      <c r="C5487">
        <v>2</v>
      </c>
      <c r="D5487" t="s">
        <v>1072</v>
      </c>
      <c r="E5487" t="s">
        <v>1585</v>
      </c>
      <c r="F5487" t="s">
        <v>1297</v>
      </c>
    </row>
    <row r="5488" spans="1:6">
      <c r="A5488">
        <v>215</v>
      </c>
      <c r="B5488" t="s">
        <v>1070</v>
      </c>
      <c r="C5488">
        <v>35937</v>
      </c>
      <c r="D5488" t="s">
        <v>1584</v>
      </c>
      <c r="E5488" t="s">
        <v>1585</v>
      </c>
      <c r="F5488" t="s">
        <v>1586</v>
      </c>
    </row>
    <row r="5489" spans="1:6">
      <c r="A5489">
        <v>215</v>
      </c>
      <c r="B5489" t="s">
        <v>1070</v>
      </c>
      <c r="C5489">
        <v>3318</v>
      </c>
      <c r="D5489" t="s">
        <v>1587</v>
      </c>
      <c r="E5489" t="s">
        <v>1585</v>
      </c>
      <c r="F5489" t="s">
        <v>1588</v>
      </c>
    </row>
    <row r="5490" spans="1:6">
      <c r="A5490">
        <v>215</v>
      </c>
      <c r="B5490" t="s">
        <v>1070</v>
      </c>
      <c r="C5490">
        <v>971</v>
      </c>
      <c r="D5490" t="s">
        <v>1589</v>
      </c>
      <c r="E5490" t="s">
        <v>1590</v>
      </c>
      <c r="F5490" t="s">
        <v>1591</v>
      </c>
    </row>
    <row r="5491" spans="1:6">
      <c r="A5491">
        <v>215</v>
      </c>
      <c r="B5491" t="s">
        <v>1070</v>
      </c>
      <c r="C5491">
        <v>9142</v>
      </c>
      <c r="D5491" t="s">
        <v>1592</v>
      </c>
      <c r="E5491" t="s">
        <v>1590</v>
      </c>
      <c r="F5491" t="s">
        <v>1593</v>
      </c>
    </row>
    <row r="5492" spans="1:6">
      <c r="A5492">
        <v>215</v>
      </c>
      <c r="B5492" t="s">
        <v>1070</v>
      </c>
      <c r="C5492">
        <v>670</v>
      </c>
      <c r="D5492" t="s">
        <v>1299</v>
      </c>
      <c r="E5492" t="s">
        <v>1595</v>
      </c>
      <c r="F5492" t="s">
        <v>1300</v>
      </c>
    </row>
    <row r="5493" spans="1:6">
      <c r="A5493">
        <v>215</v>
      </c>
      <c r="B5493" t="s">
        <v>1070</v>
      </c>
      <c r="C5493">
        <v>165</v>
      </c>
      <c r="D5493" t="s">
        <v>1597</v>
      </c>
      <c r="E5493" t="s">
        <v>1595</v>
      </c>
      <c r="F5493" t="s">
        <v>1598</v>
      </c>
    </row>
    <row r="5494" spans="1:6">
      <c r="A5494">
        <v>215</v>
      </c>
      <c r="B5494" t="s">
        <v>1070</v>
      </c>
      <c r="C5494">
        <v>277</v>
      </c>
      <c r="D5494" t="s">
        <v>1213</v>
      </c>
      <c r="E5494" t="s">
        <v>1600</v>
      </c>
      <c r="F5494" t="s">
        <v>1214</v>
      </c>
    </row>
    <row r="5495" spans="1:6">
      <c r="A5495">
        <v>215</v>
      </c>
      <c r="B5495" t="s">
        <v>1070</v>
      </c>
      <c r="C5495">
        <v>180286</v>
      </c>
      <c r="D5495" t="s">
        <v>1599</v>
      </c>
      <c r="E5495" t="s">
        <v>1600</v>
      </c>
      <c r="F5495" t="s">
        <v>1601</v>
      </c>
    </row>
    <row r="5496" spans="1:6">
      <c r="A5496">
        <v>215</v>
      </c>
      <c r="B5496" t="s">
        <v>1070</v>
      </c>
      <c r="C5496">
        <v>579063</v>
      </c>
      <c r="D5496" t="s">
        <v>1602</v>
      </c>
      <c r="E5496" t="s">
        <v>1600</v>
      </c>
      <c r="F5496" t="s">
        <v>1603</v>
      </c>
    </row>
    <row r="5497" spans="1:6">
      <c r="A5497">
        <v>215</v>
      </c>
      <c r="B5497" t="s">
        <v>1070</v>
      </c>
      <c r="C5497">
        <v>7399</v>
      </c>
      <c r="D5497" t="s">
        <v>1459</v>
      </c>
      <c r="E5497" t="s">
        <v>1605</v>
      </c>
      <c r="F5497" t="s">
        <v>1460</v>
      </c>
    </row>
    <row r="5498" spans="1:6">
      <c r="A5498">
        <v>215</v>
      </c>
      <c r="B5498" t="s">
        <v>1070</v>
      </c>
      <c r="C5498">
        <v>24257</v>
      </c>
      <c r="D5498" t="s">
        <v>1604</v>
      </c>
      <c r="E5498" t="s">
        <v>1605</v>
      </c>
      <c r="F5498" t="s">
        <v>1606</v>
      </c>
    </row>
    <row r="5499" spans="1:6">
      <c r="A5499">
        <v>215</v>
      </c>
      <c r="B5499" t="s">
        <v>1070</v>
      </c>
      <c r="C5499">
        <v>3500</v>
      </c>
      <c r="D5499" t="s">
        <v>1466</v>
      </c>
      <c r="E5499" t="s">
        <v>1467</v>
      </c>
      <c r="F5499" t="s">
        <v>1468</v>
      </c>
    </row>
    <row r="5500" spans="1:6">
      <c r="A5500">
        <v>215</v>
      </c>
      <c r="B5500" t="s">
        <v>1070</v>
      </c>
      <c r="C5500">
        <v>151329.92000000001</v>
      </c>
      <c r="D5500" t="s">
        <v>1475</v>
      </c>
      <c r="E5500" t="s">
        <v>1476</v>
      </c>
      <c r="F5500" t="s">
        <v>1477</v>
      </c>
    </row>
    <row r="5501" spans="1:6">
      <c r="A5501">
        <v>215</v>
      </c>
      <c r="B5501" t="s">
        <v>1070</v>
      </c>
      <c r="C5501">
        <v>394706.91</v>
      </c>
      <c r="D5501" t="s">
        <v>1365</v>
      </c>
      <c r="E5501" t="s">
        <v>1366</v>
      </c>
      <c r="F5501" t="s">
        <v>1367</v>
      </c>
    </row>
    <row r="5502" spans="1:6">
      <c r="A5502">
        <v>216</v>
      </c>
      <c r="B5502" t="s">
        <v>1073</v>
      </c>
      <c r="C5502">
        <v>63484</v>
      </c>
      <c r="D5502" t="s">
        <v>1401</v>
      </c>
      <c r="E5502" t="s">
        <v>1402</v>
      </c>
      <c r="F5502" t="s">
        <v>1403</v>
      </c>
    </row>
    <row r="5503" spans="1:6">
      <c r="A5503">
        <v>216</v>
      </c>
      <c r="B5503" t="s">
        <v>1073</v>
      </c>
      <c r="C5503">
        <v>23988</v>
      </c>
      <c r="D5503" t="s">
        <v>1486</v>
      </c>
      <c r="E5503" t="s">
        <v>1487</v>
      </c>
      <c r="F5503" t="s">
        <v>1488</v>
      </c>
    </row>
    <row r="5504" spans="1:6">
      <c r="A5504">
        <v>216</v>
      </c>
      <c r="B5504" t="s">
        <v>1073</v>
      </c>
      <c r="C5504">
        <v>11220</v>
      </c>
      <c r="D5504" t="s">
        <v>1489</v>
      </c>
      <c r="E5504" t="s">
        <v>1490</v>
      </c>
      <c r="F5504" t="s">
        <v>1491</v>
      </c>
    </row>
    <row r="5505" spans="1:6">
      <c r="A5505">
        <v>216</v>
      </c>
      <c r="B5505" t="s">
        <v>1073</v>
      </c>
      <c r="C5505">
        <v>362324</v>
      </c>
      <c r="D5505" t="s">
        <v>1567</v>
      </c>
      <c r="E5505" t="s">
        <v>1568</v>
      </c>
      <c r="F5505" t="s">
        <v>1569</v>
      </c>
    </row>
    <row r="5506" spans="1:6">
      <c r="A5506">
        <v>216</v>
      </c>
      <c r="B5506" t="s">
        <v>1073</v>
      </c>
      <c r="C5506">
        <v>171881</v>
      </c>
      <c r="D5506" t="s">
        <v>1520</v>
      </c>
      <c r="E5506" t="s">
        <v>1521</v>
      </c>
      <c r="F5506" t="s">
        <v>1522</v>
      </c>
    </row>
    <row r="5507" spans="1:6">
      <c r="A5507">
        <v>216</v>
      </c>
      <c r="B5507" t="s">
        <v>1073</v>
      </c>
      <c r="C5507">
        <v>279720</v>
      </c>
      <c r="D5507" t="s">
        <v>1573</v>
      </c>
      <c r="E5507" t="s">
        <v>1574</v>
      </c>
      <c r="F5507" t="s">
        <v>1575</v>
      </c>
    </row>
    <row r="5508" spans="1:6">
      <c r="A5508">
        <v>216</v>
      </c>
      <c r="B5508" t="s">
        <v>1073</v>
      </c>
      <c r="C5508">
        <v>86700</v>
      </c>
      <c r="D5508" t="s">
        <v>1390</v>
      </c>
      <c r="E5508" t="s">
        <v>1391</v>
      </c>
      <c r="F5508" t="s">
        <v>1392</v>
      </c>
    </row>
    <row r="5509" spans="1:6">
      <c r="A5509">
        <v>216</v>
      </c>
      <c r="B5509" t="s">
        <v>1073</v>
      </c>
      <c r="C5509">
        <v>1578.22</v>
      </c>
      <c r="D5509" t="s">
        <v>1374</v>
      </c>
      <c r="E5509" t="s">
        <v>1375</v>
      </c>
      <c r="F5509" t="s">
        <v>1376</v>
      </c>
    </row>
    <row r="5510" spans="1:6">
      <c r="A5510">
        <v>216</v>
      </c>
      <c r="B5510" t="s">
        <v>1073</v>
      </c>
      <c r="C5510">
        <v>3254.37</v>
      </c>
      <c r="D5510" t="s">
        <v>1377</v>
      </c>
      <c r="E5510" t="s">
        <v>1375</v>
      </c>
      <c r="F5510" t="s">
        <v>1378</v>
      </c>
    </row>
    <row r="5511" spans="1:6">
      <c r="A5511">
        <v>216</v>
      </c>
      <c r="B5511" t="s">
        <v>1073</v>
      </c>
      <c r="C5511">
        <v>35313.19</v>
      </c>
      <c r="D5511" t="s">
        <v>1431</v>
      </c>
      <c r="E5511" t="s">
        <v>1432</v>
      </c>
      <c r="F5511" t="s">
        <v>1433</v>
      </c>
    </row>
    <row r="5512" spans="1:6">
      <c r="A5512">
        <v>216</v>
      </c>
      <c r="B5512" t="s">
        <v>1073</v>
      </c>
      <c r="C5512">
        <v>82385.570000000007</v>
      </c>
      <c r="D5512" t="s">
        <v>1434</v>
      </c>
      <c r="E5512" t="s">
        <v>1432</v>
      </c>
      <c r="F5512" t="s">
        <v>1435</v>
      </c>
    </row>
    <row r="5513" spans="1:6">
      <c r="A5513">
        <v>216</v>
      </c>
      <c r="B5513" t="s">
        <v>1073</v>
      </c>
      <c r="C5513">
        <v>40724</v>
      </c>
      <c r="D5513" t="s">
        <v>1576</v>
      </c>
      <c r="E5513" t="s">
        <v>1577</v>
      </c>
      <c r="F5513" t="s">
        <v>1578</v>
      </c>
    </row>
    <row r="5514" spans="1:6">
      <c r="A5514">
        <v>216</v>
      </c>
      <c r="B5514" t="s">
        <v>1073</v>
      </c>
      <c r="C5514">
        <v>86000</v>
      </c>
      <c r="D5514" t="s">
        <v>1579</v>
      </c>
      <c r="E5514" t="s">
        <v>1577</v>
      </c>
      <c r="F5514" t="s">
        <v>1580</v>
      </c>
    </row>
    <row r="5515" spans="1:6">
      <c r="A5515">
        <v>216</v>
      </c>
      <c r="B5515" t="s">
        <v>1073</v>
      </c>
      <c r="C5515">
        <v>290</v>
      </c>
      <c r="D5515" t="s">
        <v>1442</v>
      </c>
      <c r="E5515" t="s">
        <v>1582</v>
      </c>
      <c r="F5515" t="s">
        <v>1443</v>
      </c>
    </row>
    <row r="5516" spans="1:6">
      <c r="A5516">
        <v>216</v>
      </c>
      <c r="B5516" t="s">
        <v>1073</v>
      </c>
      <c r="C5516">
        <v>360</v>
      </c>
      <c r="D5516" t="s">
        <v>1581</v>
      </c>
      <c r="E5516" t="s">
        <v>1582</v>
      </c>
      <c r="F5516" t="s">
        <v>1583</v>
      </c>
    </row>
    <row r="5517" spans="1:6">
      <c r="A5517">
        <v>216</v>
      </c>
      <c r="B5517" t="s">
        <v>1073</v>
      </c>
      <c r="C5517">
        <v>12735</v>
      </c>
      <c r="D5517" t="s">
        <v>1584</v>
      </c>
      <c r="E5517" t="s">
        <v>1585</v>
      </c>
      <c r="F5517" t="s">
        <v>1586</v>
      </c>
    </row>
    <row r="5518" spans="1:6">
      <c r="A5518">
        <v>216</v>
      </c>
      <c r="B5518" t="s">
        <v>1073</v>
      </c>
      <c r="C5518">
        <v>28000</v>
      </c>
      <c r="D5518" t="s">
        <v>1587</v>
      </c>
      <c r="E5518" t="s">
        <v>1585</v>
      </c>
      <c r="F5518" t="s">
        <v>1588</v>
      </c>
    </row>
    <row r="5519" spans="1:6">
      <c r="A5519">
        <v>216</v>
      </c>
      <c r="B5519" t="s">
        <v>1073</v>
      </c>
      <c r="C5519">
        <v>1179</v>
      </c>
      <c r="D5519" t="s">
        <v>1589</v>
      </c>
      <c r="E5519" t="s">
        <v>1590</v>
      </c>
      <c r="F5519" t="s">
        <v>1591</v>
      </c>
    </row>
    <row r="5520" spans="1:6">
      <c r="A5520">
        <v>216</v>
      </c>
      <c r="B5520" t="s">
        <v>1073</v>
      </c>
      <c r="C5520">
        <v>4100</v>
      </c>
      <c r="D5520" t="s">
        <v>1592</v>
      </c>
      <c r="E5520" t="s">
        <v>1590</v>
      </c>
      <c r="F5520" t="s">
        <v>1593</v>
      </c>
    </row>
    <row r="5521" spans="1:6">
      <c r="A5521">
        <v>216</v>
      </c>
      <c r="B5521" t="s">
        <v>1073</v>
      </c>
      <c r="C5521">
        <v>1230</v>
      </c>
      <c r="D5521" t="s">
        <v>1594</v>
      </c>
      <c r="E5521" t="s">
        <v>1595</v>
      </c>
      <c r="F5521" t="s">
        <v>1596</v>
      </c>
    </row>
    <row r="5522" spans="1:6">
      <c r="A5522">
        <v>216</v>
      </c>
      <c r="B5522" t="s">
        <v>1073</v>
      </c>
      <c r="C5522">
        <v>2200</v>
      </c>
      <c r="D5522" t="s">
        <v>1597</v>
      </c>
      <c r="E5522" t="s">
        <v>1595</v>
      </c>
      <c r="F5522" t="s">
        <v>1598</v>
      </c>
    </row>
    <row r="5523" spans="1:6">
      <c r="A5523">
        <v>216</v>
      </c>
      <c r="B5523" t="s">
        <v>1073</v>
      </c>
      <c r="C5523">
        <v>236485</v>
      </c>
      <c r="D5523" t="s">
        <v>1599</v>
      </c>
      <c r="E5523" t="s">
        <v>1600</v>
      </c>
      <c r="F5523" t="s">
        <v>1601</v>
      </c>
    </row>
    <row r="5524" spans="1:6">
      <c r="A5524">
        <v>216</v>
      </c>
      <c r="B5524" t="s">
        <v>1073</v>
      </c>
      <c r="C5524">
        <v>99000</v>
      </c>
      <c r="D5524" t="s">
        <v>1602</v>
      </c>
      <c r="E5524" t="s">
        <v>1600</v>
      </c>
      <c r="F5524" t="s">
        <v>1603</v>
      </c>
    </row>
    <row r="5525" spans="1:6">
      <c r="A5525">
        <v>216</v>
      </c>
      <c r="B5525" t="s">
        <v>1073</v>
      </c>
      <c r="C5525">
        <v>1902</v>
      </c>
      <c r="D5525" t="s">
        <v>1459</v>
      </c>
      <c r="E5525" t="s">
        <v>1605</v>
      </c>
      <c r="F5525" t="s">
        <v>1460</v>
      </c>
    </row>
    <row r="5526" spans="1:6">
      <c r="A5526">
        <v>216</v>
      </c>
      <c r="B5526" t="s">
        <v>1073</v>
      </c>
      <c r="C5526">
        <v>18900</v>
      </c>
      <c r="D5526" t="s">
        <v>1604</v>
      </c>
      <c r="E5526" t="s">
        <v>1605</v>
      </c>
      <c r="F5526" t="s">
        <v>1606</v>
      </c>
    </row>
    <row r="5527" spans="1:6">
      <c r="A5527">
        <v>216</v>
      </c>
      <c r="B5527" t="s">
        <v>1073</v>
      </c>
      <c r="C5527">
        <v>3588.59</v>
      </c>
      <c r="D5527" t="s">
        <v>1379</v>
      </c>
      <c r="E5527" t="s">
        <v>1380</v>
      </c>
      <c r="F5527" t="s">
        <v>1381</v>
      </c>
    </row>
    <row r="5528" spans="1:6">
      <c r="A5528">
        <v>216</v>
      </c>
      <c r="B5528" t="s">
        <v>1073</v>
      </c>
      <c r="C5528">
        <v>910466.5</v>
      </c>
      <c r="D5528" t="s">
        <v>1475</v>
      </c>
      <c r="E5528" t="s">
        <v>1476</v>
      </c>
      <c r="F5528" t="s">
        <v>1477</v>
      </c>
    </row>
    <row r="5529" spans="1:6">
      <c r="A5529">
        <v>216</v>
      </c>
      <c r="B5529" t="s">
        <v>1073</v>
      </c>
      <c r="C5529">
        <v>69311.27</v>
      </c>
      <c r="D5529" t="s">
        <v>1478</v>
      </c>
      <c r="E5529" t="s">
        <v>1479</v>
      </c>
      <c r="F5529" t="s">
        <v>1480</v>
      </c>
    </row>
    <row r="5530" spans="1:6">
      <c r="A5530">
        <v>216</v>
      </c>
      <c r="B5530" t="s">
        <v>1073</v>
      </c>
      <c r="C5530">
        <v>1790851.53</v>
      </c>
      <c r="D5530" t="s">
        <v>1365</v>
      </c>
      <c r="E5530" t="s">
        <v>1366</v>
      </c>
      <c r="F5530" t="s">
        <v>1367</v>
      </c>
    </row>
    <row r="5531" spans="1:6">
      <c r="A5531">
        <v>217</v>
      </c>
      <c r="B5531" t="s">
        <v>1074</v>
      </c>
      <c r="C5531">
        <v>5614</v>
      </c>
      <c r="D5531" t="s">
        <v>1489</v>
      </c>
      <c r="E5531" t="s">
        <v>1490</v>
      </c>
      <c r="F5531" t="s">
        <v>1491</v>
      </c>
    </row>
    <row r="5532" spans="1:6">
      <c r="A5532">
        <v>217</v>
      </c>
      <c r="B5532" t="s">
        <v>1074</v>
      </c>
      <c r="C5532">
        <v>297640</v>
      </c>
      <c r="D5532" t="s">
        <v>1567</v>
      </c>
      <c r="E5532" t="s">
        <v>1568</v>
      </c>
      <c r="F5532" t="s">
        <v>1569</v>
      </c>
    </row>
    <row r="5533" spans="1:6">
      <c r="A5533">
        <v>217</v>
      </c>
      <c r="B5533" t="s">
        <v>1074</v>
      </c>
      <c r="C5533">
        <v>250622</v>
      </c>
      <c r="D5533" t="s">
        <v>1520</v>
      </c>
      <c r="E5533" t="s">
        <v>1521</v>
      </c>
      <c r="F5533" t="s">
        <v>1522</v>
      </c>
    </row>
    <row r="5534" spans="1:6">
      <c r="A5534">
        <v>217</v>
      </c>
      <c r="B5534" t="s">
        <v>1074</v>
      </c>
      <c r="C5534">
        <v>362748</v>
      </c>
      <c r="D5534" t="s">
        <v>1573</v>
      </c>
      <c r="E5534" t="s">
        <v>1574</v>
      </c>
      <c r="F5534" t="s">
        <v>1575</v>
      </c>
    </row>
    <row r="5535" spans="1:6">
      <c r="A5535">
        <v>217</v>
      </c>
      <c r="B5535" t="s">
        <v>1074</v>
      </c>
      <c r="C5535">
        <v>37.25</v>
      </c>
      <c r="D5535" t="s">
        <v>1540</v>
      </c>
      <c r="E5535" t="s">
        <v>1538</v>
      </c>
      <c r="F5535" t="s">
        <v>1541</v>
      </c>
    </row>
    <row r="5536" spans="1:6">
      <c r="A5536">
        <v>217</v>
      </c>
      <c r="B5536" t="s">
        <v>1074</v>
      </c>
      <c r="C5536">
        <v>17125.2</v>
      </c>
      <c r="D5536" t="s">
        <v>1431</v>
      </c>
      <c r="E5536" t="s">
        <v>1432</v>
      </c>
      <c r="F5536" t="s">
        <v>1433</v>
      </c>
    </row>
    <row r="5537" spans="1:6">
      <c r="A5537">
        <v>217</v>
      </c>
      <c r="B5537" t="s">
        <v>1074</v>
      </c>
      <c r="C5537">
        <v>38342.76</v>
      </c>
      <c r="D5537" t="s">
        <v>1434</v>
      </c>
      <c r="E5537" t="s">
        <v>1432</v>
      </c>
      <c r="F5537" t="s">
        <v>1435</v>
      </c>
    </row>
    <row r="5538" spans="1:6">
      <c r="A5538">
        <v>217</v>
      </c>
      <c r="B5538" t="s">
        <v>1074</v>
      </c>
      <c r="C5538">
        <v>33323</v>
      </c>
      <c r="D5538" t="s">
        <v>1579</v>
      </c>
      <c r="E5538" t="s">
        <v>1577</v>
      </c>
      <c r="F5538" t="s">
        <v>1580</v>
      </c>
    </row>
    <row r="5539" spans="1:6">
      <c r="A5539">
        <v>217</v>
      </c>
      <c r="B5539" t="s">
        <v>1074</v>
      </c>
      <c r="C5539">
        <v>16298</v>
      </c>
      <c r="D5539" t="s">
        <v>1584</v>
      </c>
      <c r="E5539" t="s">
        <v>1585</v>
      </c>
      <c r="F5539" t="s">
        <v>1586</v>
      </c>
    </row>
    <row r="5540" spans="1:6">
      <c r="A5540">
        <v>217</v>
      </c>
      <c r="B5540" t="s">
        <v>1074</v>
      </c>
      <c r="C5540">
        <v>5181</v>
      </c>
      <c r="D5540" t="s">
        <v>1592</v>
      </c>
      <c r="E5540" t="s">
        <v>1590</v>
      </c>
      <c r="F5540" t="s">
        <v>1593</v>
      </c>
    </row>
    <row r="5541" spans="1:6">
      <c r="A5541">
        <v>217</v>
      </c>
      <c r="B5541" t="s">
        <v>1074</v>
      </c>
      <c r="C5541">
        <v>155889</v>
      </c>
      <c r="D5541" t="s">
        <v>1599</v>
      </c>
      <c r="E5541" t="s">
        <v>1600</v>
      </c>
      <c r="F5541" t="s">
        <v>1601</v>
      </c>
    </row>
    <row r="5542" spans="1:6">
      <c r="A5542">
        <v>217</v>
      </c>
      <c r="B5542" t="s">
        <v>1074</v>
      </c>
      <c r="C5542">
        <v>276079</v>
      </c>
      <c r="D5542" t="s">
        <v>1602</v>
      </c>
      <c r="E5542" t="s">
        <v>1600</v>
      </c>
      <c r="F5542" t="s">
        <v>1603</v>
      </c>
    </row>
    <row r="5543" spans="1:6">
      <c r="A5543">
        <v>217</v>
      </c>
      <c r="B5543" t="s">
        <v>1074</v>
      </c>
      <c r="C5543">
        <v>15208</v>
      </c>
      <c r="D5543" t="s">
        <v>1604</v>
      </c>
      <c r="E5543" t="s">
        <v>1605</v>
      </c>
      <c r="F5543" t="s">
        <v>1606</v>
      </c>
    </row>
    <row r="5544" spans="1:6">
      <c r="A5544">
        <v>217</v>
      </c>
      <c r="B5544" t="s">
        <v>1074</v>
      </c>
      <c r="C5544">
        <v>1943838</v>
      </c>
      <c r="D5544" t="s">
        <v>1607</v>
      </c>
      <c r="E5544" t="s">
        <v>1608</v>
      </c>
      <c r="F5544" t="s">
        <v>1609</v>
      </c>
    </row>
    <row r="5545" spans="1:6">
      <c r="A5545">
        <v>217</v>
      </c>
      <c r="B5545" t="s">
        <v>1074</v>
      </c>
      <c r="C5545">
        <v>5925304</v>
      </c>
      <c r="D5545" t="s">
        <v>1610</v>
      </c>
      <c r="E5545" t="s">
        <v>1481</v>
      </c>
      <c r="F5545" t="s">
        <v>1482</v>
      </c>
    </row>
    <row r="5546" spans="1:6">
      <c r="A5546">
        <v>218</v>
      </c>
      <c r="B5546" t="s">
        <v>1075</v>
      </c>
      <c r="C5546">
        <v>10153</v>
      </c>
      <c r="D5546" t="s">
        <v>1486</v>
      </c>
      <c r="E5546" t="s">
        <v>1487</v>
      </c>
      <c r="F5546" t="s">
        <v>1488</v>
      </c>
    </row>
    <row r="5547" spans="1:6">
      <c r="A5547">
        <v>218</v>
      </c>
      <c r="B5547" t="s">
        <v>1075</v>
      </c>
      <c r="C5547">
        <v>4749</v>
      </c>
      <c r="D5547" t="s">
        <v>1489</v>
      </c>
      <c r="E5547" t="s">
        <v>1490</v>
      </c>
      <c r="F5547" t="s">
        <v>1491</v>
      </c>
    </row>
    <row r="5548" spans="1:6">
      <c r="A5548">
        <v>218</v>
      </c>
      <c r="B5548" t="s">
        <v>1075</v>
      </c>
      <c r="C5548">
        <v>61314</v>
      </c>
      <c r="D5548" t="s">
        <v>1567</v>
      </c>
      <c r="E5548" t="s">
        <v>1568</v>
      </c>
      <c r="F5548" t="s">
        <v>1569</v>
      </c>
    </row>
    <row r="5549" spans="1:6">
      <c r="A5549">
        <v>218</v>
      </c>
      <c r="B5549" t="s">
        <v>1075</v>
      </c>
      <c r="C5549">
        <v>213358</v>
      </c>
      <c r="D5549" t="s">
        <v>1520</v>
      </c>
      <c r="E5549" t="s">
        <v>1521</v>
      </c>
      <c r="F5549" t="s">
        <v>1522</v>
      </c>
    </row>
    <row r="5550" spans="1:6">
      <c r="A5550">
        <v>218</v>
      </c>
      <c r="B5550" t="s">
        <v>1075</v>
      </c>
      <c r="C5550">
        <v>374727</v>
      </c>
      <c r="D5550" t="s">
        <v>1573</v>
      </c>
      <c r="E5550" t="s">
        <v>1574</v>
      </c>
      <c r="F5550" t="s">
        <v>1575</v>
      </c>
    </row>
    <row r="5551" spans="1:6">
      <c r="A5551">
        <v>218</v>
      </c>
      <c r="B5551" t="s">
        <v>1075</v>
      </c>
      <c r="C5551">
        <v>6000</v>
      </c>
      <c r="D5551" t="s">
        <v>1531</v>
      </c>
      <c r="E5551" t="s">
        <v>1532</v>
      </c>
      <c r="F5551" t="s">
        <v>1533</v>
      </c>
    </row>
    <row r="5552" spans="1:6">
      <c r="A5552">
        <v>218</v>
      </c>
      <c r="B5552" t="s">
        <v>1075</v>
      </c>
      <c r="C5552">
        <v>10762.77</v>
      </c>
      <c r="D5552" t="s">
        <v>1431</v>
      </c>
      <c r="E5552" t="s">
        <v>1432</v>
      </c>
      <c r="F5552" t="s">
        <v>1433</v>
      </c>
    </row>
    <row r="5553" spans="1:6">
      <c r="A5553">
        <v>218</v>
      </c>
      <c r="B5553" t="s">
        <v>1075</v>
      </c>
      <c r="C5553">
        <v>28859.48</v>
      </c>
      <c r="D5553" t="s">
        <v>1434</v>
      </c>
      <c r="E5553" t="s">
        <v>1432</v>
      </c>
      <c r="F5553" t="s">
        <v>1435</v>
      </c>
    </row>
    <row r="5554" spans="1:6">
      <c r="A5554">
        <v>218</v>
      </c>
      <c r="B5554" t="s">
        <v>1075</v>
      </c>
      <c r="C5554">
        <v>3266</v>
      </c>
      <c r="D5554" t="s">
        <v>1576</v>
      </c>
      <c r="E5554" t="s">
        <v>1577</v>
      </c>
      <c r="F5554" t="s">
        <v>1578</v>
      </c>
    </row>
    <row r="5555" spans="1:6">
      <c r="A5555">
        <v>218</v>
      </c>
      <c r="B5555" t="s">
        <v>1075</v>
      </c>
      <c r="C5555">
        <v>21043</v>
      </c>
      <c r="D5555" t="s">
        <v>1579</v>
      </c>
      <c r="E5555" t="s">
        <v>1577</v>
      </c>
      <c r="F5555" t="s">
        <v>1580</v>
      </c>
    </row>
    <row r="5556" spans="1:6">
      <c r="A5556">
        <v>218</v>
      </c>
      <c r="B5556" t="s">
        <v>1075</v>
      </c>
      <c r="C5556">
        <v>127</v>
      </c>
      <c r="D5556" t="s">
        <v>1442</v>
      </c>
      <c r="E5556" t="s">
        <v>1582</v>
      </c>
      <c r="F5556" t="s">
        <v>1443</v>
      </c>
    </row>
    <row r="5557" spans="1:6">
      <c r="A5557">
        <v>218</v>
      </c>
      <c r="B5557" t="s">
        <v>1075</v>
      </c>
      <c r="C5557">
        <v>23</v>
      </c>
      <c r="D5557" t="s">
        <v>1581</v>
      </c>
      <c r="E5557" t="s">
        <v>1582</v>
      </c>
      <c r="F5557" t="s">
        <v>1583</v>
      </c>
    </row>
    <row r="5558" spans="1:6">
      <c r="A5558">
        <v>218</v>
      </c>
      <c r="B5558" t="s">
        <v>1075</v>
      </c>
      <c r="C5558">
        <v>595</v>
      </c>
      <c r="D5558" t="s">
        <v>1584</v>
      </c>
      <c r="E5558" t="s">
        <v>1585</v>
      </c>
      <c r="F5558" t="s">
        <v>1586</v>
      </c>
    </row>
    <row r="5559" spans="1:6">
      <c r="A5559">
        <v>218</v>
      </c>
      <c r="B5559" t="s">
        <v>1075</v>
      </c>
      <c r="C5559">
        <v>7946</v>
      </c>
      <c r="D5559" t="s">
        <v>1587</v>
      </c>
      <c r="E5559" t="s">
        <v>1585</v>
      </c>
      <c r="F5559" t="s">
        <v>1588</v>
      </c>
    </row>
    <row r="5560" spans="1:6">
      <c r="A5560">
        <v>218</v>
      </c>
      <c r="B5560" t="s">
        <v>1075</v>
      </c>
      <c r="C5560">
        <v>3404</v>
      </c>
      <c r="D5560" t="s">
        <v>1589</v>
      </c>
      <c r="E5560" t="s">
        <v>1590</v>
      </c>
      <c r="F5560" t="s">
        <v>1591</v>
      </c>
    </row>
    <row r="5561" spans="1:6">
      <c r="A5561">
        <v>218</v>
      </c>
      <c r="B5561" t="s">
        <v>1075</v>
      </c>
      <c r="C5561">
        <v>62570</v>
      </c>
      <c r="D5561" t="s">
        <v>1599</v>
      </c>
      <c r="E5561" t="s">
        <v>1600</v>
      </c>
      <c r="F5561" t="s">
        <v>1601</v>
      </c>
    </row>
    <row r="5562" spans="1:6">
      <c r="A5562">
        <v>218</v>
      </c>
      <c r="B5562" t="s">
        <v>1075</v>
      </c>
      <c r="C5562">
        <v>92139</v>
      </c>
      <c r="D5562" t="s">
        <v>1602</v>
      </c>
      <c r="E5562" t="s">
        <v>1600</v>
      </c>
      <c r="F5562" t="s">
        <v>1603</v>
      </c>
    </row>
    <row r="5563" spans="1:6">
      <c r="A5563">
        <v>218</v>
      </c>
      <c r="B5563" t="s">
        <v>1075</v>
      </c>
      <c r="C5563">
        <v>791</v>
      </c>
      <c r="D5563" t="s">
        <v>1459</v>
      </c>
      <c r="E5563" t="s">
        <v>1605</v>
      </c>
      <c r="F5563" t="s">
        <v>1460</v>
      </c>
    </row>
    <row r="5564" spans="1:6">
      <c r="A5564">
        <v>218</v>
      </c>
      <c r="B5564" t="s">
        <v>1075</v>
      </c>
      <c r="C5564">
        <v>12261</v>
      </c>
      <c r="D5564" t="s">
        <v>1604</v>
      </c>
      <c r="E5564" t="s">
        <v>1605</v>
      </c>
      <c r="F5564" t="s">
        <v>1606</v>
      </c>
    </row>
    <row r="5565" spans="1:6">
      <c r="A5565">
        <v>218</v>
      </c>
      <c r="B5565" t="s">
        <v>1075</v>
      </c>
      <c r="C5565">
        <v>48357</v>
      </c>
      <c r="D5565" t="s">
        <v>1610</v>
      </c>
      <c r="E5565" t="s">
        <v>1481</v>
      </c>
      <c r="F5565" t="s">
        <v>1482</v>
      </c>
    </row>
    <row r="5566" spans="1:6">
      <c r="A5566">
        <v>219</v>
      </c>
      <c r="B5566" t="s">
        <v>1076</v>
      </c>
      <c r="C5566">
        <v>65550</v>
      </c>
      <c r="D5566" t="s">
        <v>1401</v>
      </c>
      <c r="E5566" t="s">
        <v>1402</v>
      </c>
      <c r="F5566" t="s">
        <v>1403</v>
      </c>
    </row>
    <row r="5567" spans="1:6">
      <c r="A5567">
        <v>219</v>
      </c>
      <c r="B5567" t="s">
        <v>1076</v>
      </c>
      <c r="C5567">
        <v>70640</v>
      </c>
      <c r="D5567" t="s">
        <v>1407</v>
      </c>
      <c r="E5567" t="s">
        <v>1408</v>
      </c>
      <c r="F5567" t="s">
        <v>1409</v>
      </c>
    </row>
    <row r="5568" spans="1:6">
      <c r="A5568">
        <v>219</v>
      </c>
      <c r="B5568" t="s">
        <v>1076</v>
      </c>
      <c r="C5568">
        <v>279420</v>
      </c>
      <c r="D5568" t="s">
        <v>1567</v>
      </c>
      <c r="E5568" t="s">
        <v>1568</v>
      </c>
      <c r="F5568" t="s">
        <v>1569</v>
      </c>
    </row>
    <row r="5569" spans="1:6">
      <c r="A5569">
        <v>219</v>
      </c>
      <c r="B5569" t="s">
        <v>1076</v>
      </c>
      <c r="C5569">
        <v>105835</v>
      </c>
      <c r="D5569" t="s">
        <v>1520</v>
      </c>
      <c r="E5569" t="s">
        <v>1521</v>
      </c>
      <c r="F5569" t="s">
        <v>1522</v>
      </c>
    </row>
    <row r="5570" spans="1:6">
      <c r="A5570">
        <v>219</v>
      </c>
      <c r="B5570" t="s">
        <v>1076</v>
      </c>
      <c r="C5570">
        <v>69330</v>
      </c>
      <c r="D5570" t="s">
        <v>1573</v>
      </c>
      <c r="E5570" t="s">
        <v>1574</v>
      </c>
      <c r="F5570" t="s">
        <v>1575</v>
      </c>
    </row>
    <row r="5571" spans="1:6">
      <c r="A5571">
        <v>219</v>
      </c>
      <c r="B5571" t="s">
        <v>1076</v>
      </c>
      <c r="C5571">
        <v>2700</v>
      </c>
      <c r="D5571" t="s">
        <v>1387</v>
      </c>
      <c r="E5571" t="s">
        <v>1388</v>
      </c>
      <c r="F5571" t="s">
        <v>1389</v>
      </c>
    </row>
    <row r="5572" spans="1:6">
      <c r="A5572">
        <v>219</v>
      </c>
      <c r="B5572" t="s">
        <v>1076</v>
      </c>
      <c r="C5572">
        <v>71119</v>
      </c>
      <c r="D5572" t="s">
        <v>1390</v>
      </c>
      <c r="E5572" t="s">
        <v>1391</v>
      </c>
      <c r="F5572" t="s">
        <v>1392</v>
      </c>
    </row>
    <row r="5573" spans="1:6">
      <c r="A5573">
        <v>219</v>
      </c>
      <c r="B5573" t="s">
        <v>1076</v>
      </c>
      <c r="C5573">
        <v>43591</v>
      </c>
      <c r="D5573" t="s">
        <v>1576</v>
      </c>
      <c r="E5573" t="s">
        <v>1577</v>
      </c>
      <c r="F5573" t="s">
        <v>1578</v>
      </c>
    </row>
    <row r="5574" spans="1:6">
      <c r="A5574">
        <v>219</v>
      </c>
      <c r="B5574" t="s">
        <v>1076</v>
      </c>
      <c r="C5574">
        <v>22513</v>
      </c>
      <c r="D5574" t="s">
        <v>1579</v>
      </c>
      <c r="E5574" t="s">
        <v>1577</v>
      </c>
      <c r="F5574" t="s">
        <v>1580</v>
      </c>
    </row>
    <row r="5575" spans="1:6">
      <c r="A5575">
        <v>219</v>
      </c>
      <c r="B5575" t="s">
        <v>1076</v>
      </c>
      <c r="C5575">
        <v>1316</v>
      </c>
      <c r="D5575" t="s">
        <v>1192</v>
      </c>
      <c r="E5575" t="s">
        <v>1582</v>
      </c>
      <c r="F5575" t="s">
        <v>1210</v>
      </c>
    </row>
    <row r="5576" spans="1:6">
      <c r="A5576">
        <v>219</v>
      </c>
      <c r="B5576" t="s">
        <v>1076</v>
      </c>
      <c r="C5576">
        <v>1192</v>
      </c>
      <c r="D5576" t="s">
        <v>1442</v>
      </c>
      <c r="E5576" t="s">
        <v>1582</v>
      </c>
      <c r="F5576" t="s">
        <v>1443</v>
      </c>
    </row>
    <row r="5577" spans="1:6">
      <c r="A5577">
        <v>219</v>
      </c>
      <c r="B5577" t="s">
        <v>1076</v>
      </c>
      <c r="C5577">
        <v>345</v>
      </c>
      <c r="D5577" t="s">
        <v>1581</v>
      </c>
      <c r="E5577" t="s">
        <v>1582</v>
      </c>
      <c r="F5577" t="s">
        <v>1583</v>
      </c>
    </row>
    <row r="5578" spans="1:6">
      <c r="A5578">
        <v>219</v>
      </c>
      <c r="B5578" t="s">
        <v>1076</v>
      </c>
      <c r="C5578">
        <v>959</v>
      </c>
      <c r="D5578" t="s">
        <v>1296</v>
      </c>
      <c r="E5578" t="s">
        <v>1585</v>
      </c>
      <c r="F5578" t="s">
        <v>1297</v>
      </c>
    </row>
    <row r="5579" spans="1:6">
      <c r="A5579">
        <v>219</v>
      </c>
      <c r="B5579" t="s">
        <v>1076</v>
      </c>
      <c r="C5579">
        <v>7517</v>
      </c>
      <c r="D5579" t="s">
        <v>1584</v>
      </c>
      <c r="E5579" t="s">
        <v>1585</v>
      </c>
      <c r="F5579" t="s">
        <v>1586</v>
      </c>
    </row>
    <row r="5580" spans="1:6">
      <c r="A5580">
        <v>219</v>
      </c>
      <c r="B5580" t="s">
        <v>1076</v>
      </c>
      <c r="C5580">
        <v>11831</v>
      </c>
      <c r="D5580" t="s">
        <v>1587</v>
      </c>
      <c r="E5580" t="s">
        <v>1585</v>
      </c>
      <c r="F5580" t="s">
        <v>1588</v>
      </c>
    </row>
    <row r="5581" spans="1:6">
      <c r="A5581">
        <v>219</v>
      </c>
      <c r="B5581" t="s">
        <v>1076</v>
      </c>
      <c r="C5581">
        <v>631</v>
      </c>
      <c r="D5581" t="s">
        <v>1589</v>
      </c>
      <c r="E5581" t="s">
        <v>1590</v>
      </c>
      <c r="F5581" t="s">
        <v>1591</v>
      </c>
    </row>
    <row r="5582" spans="1:6">
      <c r="A5582">
        <v>219</v>
      </c>
      <c r="B5582" t="s">
        <v>1076</v>
      </c>
      <c r="C5582">
        <v>489</v>
      </c>
      <c r="D5582" t="s">
        <v>1592</v>
      </c>
      <c r="E5582" t="s">
        <v>1590</v>
      </c>
      <c r="F5582" t="s">
        <v>1593</v>
      </c>
    </row>
    <row r="5583" spans="1:6">
      <c r="A5583">
        <v>219</v>
      </c>
      <c r="B5583" t="s">
        <v>1076</v>
      </c>
      <c r="C5583">
        <v>5466</v>
      </c>
      <c r="D5583" t="s">
        <v>1299</v>
      </c>
      <c r="E5583" t="s">
        <v>1595</v>
      </c>
      <c r="F5583" t="s">
        <v>1300</v>
      </c>
    </row>
    <row r="5584" spans="1:6">
      <c r="A5584">
        <v>219</v>
      </c>
      <c r="B5584" t="s">
        <v>1076</v>
      </c>
      <c r="C5584">
        <v>1122</v>
      </c>
      <c r="D5584" t="s">
        <v>1594</v>
      </c>
      <c r="E5584" t="s">
        <v>1595</v>
      </c>
      <c r="F5584" t="s">
        <v>1596</v>
      </c>
    </row>
    <row r="5585" spans="1:6">
      <c r="A5585">
        <v>219</v>
      </c>
      <c r="B5585" t="s">
        <v>1076</v>
      </c>
      <c r="C5585">
        <v>1894</v>
      </c>
      <c r="D5585" t="s">
        <v>1597</v>
      </c>
      <c r="E5585" t="s">
        <v>1595</v>
      </c>
      <c r="F5585" t="s">
        <v>1598</v>
      </c>
    </row>
    <row r="5586" spans="1:6">
      <c r="A5586">
        <v>219</v>
      </c>
      <c r="B5586" t="s">
        <v>1076</v>
      </c>
      <c r="C5586">
        <v>108418</v>
      </c>
      <c r="D5586" t="s">
        <v>1599</v>
      </c>
      <c r="E5586" t="s">
        <v>1600</v>
      </c>
      <c r="F5586" t="s">
        <v>1601</v>
      </c>
    </row>
    <row r="5587" spans="1:6">
      <c r="A5587">
        <v>219</v>
      </c>
      <c r="B5587" t="s">
        <v>1076</v>
      </c>
      <c r="C5587">
        <v>104804</v>
      </c>
      <c r="D5587" t="s">
        <v>1602</v>
      </c>
      <c r="E5587" t="s">
        <v>1600</v>
      </c>
      <c r="F5587" t="s">
        <v>1603</v>
      </c>
    </row>
    <row r="5588" spans="1:6">
      <c r="A5588">
        <v>219</v>
      </c>
      <c r="B5588" t="s">
        <v>1076</v>
      </c>
      <c r="C5588">
        <v>595118.63</v>
      </c>
      <c r="D5588" t="s">
        <v>1475</v>
      </c>
      <c r="E5588" t="s">
        <v>1476</v>
      </c>
      <c r="F5588" t="s">
        <v>1477</v>
      </c>
    </row>
    <row r="5589" spans="1:6">
      <c r="A5589">
        <v>219</v>
      </c>
      <c r="B5589" t="s">
        <v>1076</v>
      </c>
      <c r="C5589">
        <v>1204517.5</v>
      </c>
      <c r="D5589" t="s">
        <v>1365</v>
      </c>
      <c r="E5589" t="s">
        <v>1366</v>
      </c>
      <c r="F5589" t="s">
        <v>1367</v>
      </c>
    </row>
    <row r="5590" spans="1:6">
      <c r="A5590">
        <v>219</v>
      </c>
      <c r="B5590" t="s">
        <v>1076</v>
      </c>
      <c r="C5590">
        <v>35329</v>
      </c>
      <c r="D5590" t="s">
        <v>1607</v>
      </c>
      <c r="E5590" t="s">
        <v>1608</v>
      </c>
      <c r="F5590" t="s">
        <v>1609</v>
      </c>
    </row>
    <row r="5591" spans="1:6">
      <c r="A5591">
        <v>223</v>
      </c>
      <c r="B5591" t="s">
        <v>1077</v>
      </c>
      <c r="C5591">
        <v>9606</v>
      </c>
      <c r="D5591" t="s">
        <v>1576</v>
      </c>
      <c r="E5591" t="s">
        <v>1577</v>
      </c>
      <c r="F5591" t="s">
        <v>1578</v>
      </c>
    </row>
    <row r="5592" spans="1:6">
      <c r="A5592">
        <v>223</v>
      </c>
      <c r="B5592" t="s">
        <v>1077</v>
      </c>
      <c r="C5592">
        <v>41851</v>
      </c>
      <c r="D5592" t="s">
        <v>1579</v>
      </c>
      <c r="E5592" t="s">
        <v>1577</v>
      </c>
      <c r="F5592" t="s">
        <v>1580</v>
      </c>
    </row>
    <row r="5593" spans="1:6">
      <c r="A5593">
        <v>223</v>
      </c>
      <c r="B5593" t="s">
        <v>1077</v>
      </c>
      <c r="C5593">
        <v>352463</v>
      </c>
      <c r="D5593" t="s">
        <v>1602</v>
      </c>
      <c r="E5593" t="s">
        <v>1600</v>
      </c>
      <c r="F5593" t="s">
        <v>1603</v>
      </c>
    </row>
    <row r="5594" spans="1:6">
      <c r="A5594">
        <v>223</v>
      </c>
      <c r="B5594" t="s">
        <v>1077</v>
      </c>
      <c r="C5594">
        <v>12300</v>
      </c>
      <c r="D5594" t="s">
        <v>1604</v>
      </c>
      <c r="E5594" t="s">
        <v>1605</v>
      </c>
      <c r="F5594" t="s">
        <v>1606</v>
      </c>
    </row>
    <row r="5595" spans="1:6">
      <c r="A5595">
        <v>241</v>
      </c>
      <c r="B5595" t="s">
        <v>1078</v>
      </c>
      <c r="C5595">
        <v>224702</v>
      </c>
      <c r="D5595" t="s">
        <v>1079</v>
      </c>
      <c r="E5595" t="s">
        <v>1080</v>
      </c>
      <c r="F5595" t="s">
        <v>1081</v>
      </c>
    </row>
    <row r="5596" spans="1:6">
      <c r="A5596">
        <v>241</v>
      </c>
      <c r="B5596" t="s">
        <v>1078</v>
      </c>
      <c r="C5596">
        <v>23922</v>
      </c>
      <c r="D5596" t="s">
        <v>1082</v>
      </c>
      <c r="E5596" t="s">
        <v>1083</v>
      </c>
      <c r="F5596" t="s">
        <v>1084</v>
      </c>
    </row>
    <row r="5597" spans="1:6">
      <c r="A5597">
        <v>241</v>
      </c>
      <c r="B5597" t="s">
        <v>1078</v>
      </c>
      <c r="C5597">
        <v>358832</v>
      </c>
      <c r="D5597" t="s">
        <v>1085</v>
      </c>
      <c r="E5597" t="s">
        <v>1086</v>
      </c>
      <c r="F5597" t="s">
        <v>1087</v>
      </c>
    </row>
    <row r="5598" spans="1:6">
      <c r="A5598">
        <v>241</v>
      </c>
      <c r="B5598" t="s">
        <v>1078</v>
      </c>
      <c r="C5598">
        <v>507</v>
      </c>
      <c r="D5598" t="s">
        <v>1486</v>
      </c>
      <c r="E5598" t="s">
        <v>1487</v>
      </c>
      <c r="F5598" t="s">
        <v>1488</v>
      </c>
    </row>
    <row r="5599" spans="1:6">
      <c r="A5599">
        <v>241</v>
      </c>
      <c r="B5599" t="s">
        <v>1078</v>
      </c>
      <c r="C5599">
        <v>593</v>
      </c>
      <c r="D5599" t="s">
        <v>1489</v>
      </c>
      <c r="E5599" t="s">
        <v>1490</v>
      </c>
      <c r="F5599" t="s">
        <v>1491</v>
      </c>
    </row>
    <row r="5600" spans="1:6">
      <c r="A5600">
        <v>241</v>
      </c>
      <c r="B5600" t="s">
        <v>1078</v>
      </c>
      <c r="C5600">
        <v>3011</v>
      </c>
      <c r="D5600" t="s">
        <v>1327</v>
      </c>
      <c r="E5600" t="s">
        <v>1328</v>
      </c>
      <c r="F5600" t="s">
        <v>1329</v>
      </c>
    </row>
    <row r="5601" spans="1:6">
      <c r="A5601">
        <v>241</v>
      </c>
      <c r="B5601" t="s">
        <v>1078</v>
      </c>
      <c r="C5601">
        <v>124876</v>
      </c>
      <c r="D5601" t="s">
        <v>1333</v>
      </c>
      <c r="E5601" t="s">
        <v>1383</v>
      </c>
      <c r="F5601" t="s">
        <v>1334</v>
      </c>
    </row>
    <row r="5602" spans="1:6">
      <c r="A5602">
        <v>241</v>
      </c>
      <c r="B5602" t="s">
        <v>1078</v>
      </c>
      <c r="C5602">
        <v>18600</v>
      </c>
      <c r="D5602" t="s">
        <v>1335</v>
      </c>
      <c r="E5602" t="s">
        <v>1383</v>
      </c>
      <c r="F5602" t="s">
        <v>1334</v>
      </c>
    </row>
    <row r="5603" spans="1:6">
      <c r="A5603">
        <v>241</v>
      </c>
      <c r="B5603" t="s">
        <v>1078</v>
      </c>
      <c r="C5603">
        <v>74453</v>
      </c>
      <c r="D5603" t="s">
        <v>1336</v>
      </c>
      <c r="E5603" t="s">
        <v>1383</v>
      </c>
      <c r="F5603" t="s">
        <v>1334</v>
      </c>
    </row>
    <row r="5604" spans="1:6">
      <c r="A5604">
        <v>241</v>
      </c>
      <c r="B5604" t="s">
        <v>1078</v>
      </c>
      <c r="C5604">
        <v>36935</v>
      </c>
      <c r="D5604" t="s">
        <v>1337</v>
      </c>
      <c r="E5604" t="s">
        <v>1383</v>
      </c>
      <c r="F5604" t="s">
        <v>1334</v>
      </c>
    </row>
    <row r="5605" spans="1:6">
      <c r="A5605">
        <v>241</v>
      </c>
      <c r="B5605" t="s">
        <v>1078</v>
      </c>
      <c r="C5605">
        <v>64124</v>
      </c>
      <c r="D5605" t="s">
        <v>1088</v>
      </c>
      <c r="E5605" t="s">
        <v>1383</v>
      </c>
      <c r="F5605" t="s">
        <v>1334</v>
      </c>
    </row>
    <row r="5606" spans="1:6">
      <c r="A5606">
        <v>241</v>
      </c>
      <c r="B5606" t="s">
        <v>1078</v>
      </c>
      <c r="C5606">
        <v>125316</v>
      </c>
      <c r="D5606" t="s">
        <v>1382</v>
      </c>
      <c r="E5606" t="s">
        <v>1383</v>
      </c>
      <c r="F5606" t="s">
        <v>1384</v>
      </c>
    </row>
    <row r="5607" spans="1:6">
      <c r="A5607">
        <v>241</v>
      </c>
      <c r="B5607" t="s">
        <v>1078</v>
      </c>
      <c r="C5607">
        <v>13741</v>
      </c>
      <c r="D5607" t="s">
        <v>1338</v>
      </c>
      <c r="E5607" t="s">
        <v>1383</v>
      </c>
      <c r="F5607" t="s">
        <v>1384</v>
      </c>
    </row>
    <row r="5608" spans="1:6">
      <c r="A5608">
        <v>241</v>
      </c>
      <c r="B5608" t="s">
        <v>1078</v>
      </c>
      <c r="C5608">
        <v>97975</v>
      </c>
      <c r="D5608" t="s">
        <v>1339</v>
      </c>
      <c r="E5608" t="s">
        <v>1383</v>
      </c>
      <c r="F5608" t="s">
        <v>1384</v>
      </c>
    </row>
    <row r="5609" spans="1:6">
      <c r="A5609">
        <v>241</v>
      </c>
      <c r="B5609" t="s">
        <v>1078</v>
      </c>
      <c r="C5609">
        <v>22865</v>
      </c>
      <c r="D5609" t="s">
        <v>1340</v>
      </c>
      <c r="E5609" t="s">
        <v>1383</v>
      </c>
      <c r="F5609" t="s">
        <v>1384</v>
      </c>
    </row>
    <row r="5610" spans="1:6">
      <c r="A5610">
        <v>241</v>
      </c>
      <c r="B5610" t="s">
        <v>1078</v>
      </c>
      <c r="C5610">
        <v>52215</v>
      </c>
      <c r="D5610" t="s">
        <v>1341</v>
      </c>
      <c r="E5610" t="s">
        <v>1383</v>
      </c>
      <c r="F5610" t="s">
        <v>1384</v>
      </c>
    </row>
    <row r="5611" spans="1:6">
      <c r="A5611">
        <v>241</v>
      </c>
      <c r="B5611" t="s">
        <v>1078</v>
      </c>
      <c r="C5611">
        <v>68704</v>
      </c>
      <c r="D5611" t="s">
        <v>1385</v>
      </c>
      <c r="E5611" t="s">
        <v>1383</v>
      </c>
      <c r="F5611" t="s">
        <v>1386</v>
      </c>
    </row>
    <row r="5612" spans="1:6">
      <c r="A5612">
        <v>241</v>
      </c>
      <c r="B5612" t="s">
        <v>1078</v>
      </c>
      <c r="C5612">
        <v>87721</v>
      </c>
      <c r="D5612" t="s">
        <v>1153</v>
      </c>
      <c r="E5612" t="s">
        <v>1383</v>
      </c>
      <c r="F5612" t="s">
        <v>1386</v>
      </c>
    </row>
    <row r="5613" spans="1:6">
      <c r="A5613">
        <v>241</v>
      </c>
      <c r="B5613" t="s">
        <v>1078</v>
      </c>
      <c r="C5613">
        <v>105529</v>
      </c>
      <c r="D5613" t="s">
        <v>1154</v>
      </c>
      <c r="E5613" t="s">
        <v>1383</v>
      </c>
      <c r="F5613" t="s">
        <v>1386</v>
      </c>
    </row>
    <row r="5614" spans="1:6">
      <c r="A5614">
        <v>241</v>
      </c>
      <c r="B5614" t="s">
        <v>1078</v>
      </c>
      <c r="C5614">
        <v>150379</v>
      </c>
      <c r="D5614" t="s">
        <v>1155</v>
      </c>
      <c r="E5614" t="s">
        <v>1383</v>
      </c>
      <c r="F5614" t="s">
        <v>1386</v>
      </c>
    </row>
    <row r="5615" spans="1:6">
      <c r="A5615">
        <v>241</v>
      </c>
      <c r="B5615" t="s">
        <v>1078</v>
      </c>
      <c r="C5615">
        <v>64124</v>
      </c>
      <c r="D5615" t="s">
        <v>1089</v>
      </c>
      <c r="E5615" t="s">
        <v>1383</v>
      </c>
      <c r="F5615" t="s">
        <v>1386</v>
      </c>
    </row>
    <row r="5616" spans="1:6">
      <c r="A5616">
        <v>241</v>
      </c>
      <c r="B5616" t="s">
        <v>1078</v>
      </c>
      <c r="C5616">
        <v>31604</v>
      </c>
      <c r="D5616" t="s">
        <v>1090</v>
      </c>
      <c r="E5616" t="s">
        <v>1383</v>
      </c>
      <c r="F5616" t="s">
        <v>1386</v>
      </c>
    </row>
    <row r="5617" spans="1:6">
      <c r="A5617">
        <v>241</v>
      </c>
      <c r="B5617" t="s">
        <v>1078</v>
      </c>
      <c r="C5617">
        <v>47488</v>
      </c>
      <c r="D5617" t="s">
        <v>1091</v>
      </c>
      <c r="E5617" t="s">
        <v>1383</v>
      </c>
      <c r="F5617" t="s">
        <v>1386</v>
      </c>
    </row>
    <row r="5618" spans="1:6">
      <c r="A5618">
        <v>241</v>
      </c>
      <c r="B5618" t="s">
        <v>1078</v>
      </c>
      <c r="C5618">
        <v>100766</v>
      </c>
      <c r="D5618" t="s">
        <v>1236</v>
      </c>
      <c r="E5618" t="s">
        <v>1383</v>
      </c>
      <c r="F5618" t="s">
        <v>1237</v>
      </c>
    </row>
    <row r="5619" spans="1:6">
      <c r="A5619">
        <v>241</v>
      </c>
      <c r="B5619" t="s">
        <v>1078</v>
      </c>
      <c r="C5619">
        <v>62438</v>
      </c>
      <c r="D5619" t="s">
        <v>1092</v>
      </c>
      <c r="E5619" t="s">
        <v>1383</v>
      </c>
      <c r="F5619" t="s">
        <v>1237</v>
      </c>
    </row>
    <row r="5620" spans="1:6">
      <c r="A5620">
        <v>241</v>
      </c>
      <c r="B5620" t="s">
        <v>1078</v>
      </c>
      <c r="C5620">
        <v>185535</v>
      </c>
      <c r="D5620" t="s">
        <v>1093</v>
      </c>
      <c r="E5620" t="s">
        <v>1383</v>
      </c>
      <c r="F5620" t="s">
        <v>1237</v>
      </c>
    </row>
    <row r="5621" spans="1:6">
      <c r="A5621">
        <v>241</v>
      </c>
      <c r="B5621" t="s">
        <v>1078</v>
      </c>
      <c r="C5621">
        <v>109926</v>
      </c>
      <c r="D5621" t="s">
        <v>1094</v>
      </c>
      <c r="E5621" t="s">
        <v>1383</v>
      </c>
      <c r="F5621" t="s">
        <v>1237</v>
      </c>
    </row>
    <row r="5622" spans="1:6">
      <c r="A5622">
        <v>241</v>
      </c>
      <c r="B5622" t="s">
        <v>1078</v>
      </c>
      <c r="C5622">
        <v>118720</v>
      </c>
      <c r="D5622" t="s">
        <v>1142</v>
      </c>
      <c r="E5622" t="s">
        <v>1383</v>
      </c>
      <c r="F5622" t="s">
        <v>1143</v>
      </c>
    </row>
    <row r="5623" spans="1:6">
      <c r="A5623">
        <v>241</v>
      </c>
      <c r="B5623" t="s">
        <v>1078</v>
      </c>
      <c r="C5623">
        <v>101008</v>
      </c>
      <c r="D5623" t="s">
        <v>1144</v>
      </c>
      <c r="E5623" t="s">
        <v>1383</v>
      </c>
      <c r="F5623" t="s">
        <v>1143</v>
      </c>
    </row>
    <row r="5624" spans="1:6">
      <c r="A5624">
        <v>241</v>
      </c>
      <c r="B5624" t="s">
        <v>1078</v>
      </c>
      <c r="C5624">
        <v>3000</v>
      </c>
      <c r="D5624" t="s">
        <v>1515</v>
      </c>
      <c r="E5624" t="s">
        <v>1516</v>
      </c>
      <c r="F5624" t="s">
        <v>1517</v>
      </c>
    </row>
    <row r="5625" spans="1:6">
      <c r="A5625">
        <v>241</v>
      </c>
      <c r="B5625" t="s">
        <v>1078</v>
      </c>
      <c r="C5625">
        <v>568</v>
      </c>
      <c r="D5625" t="s">
        <v>1518</v>
      </c>
      <c r="E5625" t="s">
        <v>1516</v>
      </c>
      <c r="F5625" t="s">
        <v>1519</v>
      </c>
    </row>
    <row r="5626" spans="1:6">
      <c r="A5626">
        <v>241</v>
      </c>
      <c r="B5626" t="s">
        <v>1078</v>
      </c>
      <c r="C5626">
        <v>213750</v>
      </c>
      <c r="D5626" t="s">
        <v>978</v>
      </c>
      <c r="E5626" t="s">
        <v>979</v>
      </c>
      <c r="F5626" t="s">
        <v>980</v>
      </c>
    </row>
    <row r="5627" spans="1:6">
      <c r="A5627">
        <v>241</v>
      </c>
      <c r="B5627" t="s">
        <v>1078</v>
      </c>
      <c r="C5627">
        <v>3701502</v>
      </c>
      <c r="D5627" t="s">
        <v>981</v>
      </c>
      <c r="E5627" t="s">
        <v>982</v>
      </c>
      <c r="F5627" t="s">
        <v>983</v>
      </c>
    </row>
    <row r="5628" spans="1:6">
      <c r="A5628">
        <v>241</v>
      </c>
      <c r="B5628" t="s">
        <v>1078</v>
      </c>
      <c r="C5628">
        <v>330105</v>
      </c>
      <c r="D5628" t="s">
        <v>984</v>
      </c>
      <c r="E5628" t="s">
        <v>985</v>
      </c>
      <c r="F5628" t="s">
        <v>983</v>
      </c>
    </row>
    <row r="5629" spans="1:6">
      <c r="A5629">
        <v>241</v>
      </c>
      <c r="B5629" t="s">
        <v>1078</v>
      </c>
      <c r="C5629">
        <v>632710</v>
      </c>
      <c r="D5629" t="s">
        <v>986</v>
      </c>
      <c r="E5629" t="s">
        <v>987</v>
      </c>
      <c r="F5629" t="s">
        <v>983</v>
      </c>
    </row>
    <row r="5630" spans="1:6">
      <c r="A5630">
        <v>241</v>
      </c>
      <c r="B5630" t="s">
        <v>1078</v>
      </c>
      <c r="C5630">
        <v>148780</v>
      </c>
      <c r="D5630" t="s">
        <v>988</v>
      </c>
      <c r="E5630" t="s">
        <v>989</v>
      </c>
      <c r="F5630" t="s">
        <v>990</v>
      </c>
    </row>
    <row r="5631" spans="1:6">
      <c r="A5631">
        <v>241</v>
      </c>
      <c r="B5631" t="s">
        <v>1078</v>
      </c>
      <c r="C5631">
        <v>1366300</v>
      </c>
      <c r="D5631" t="s">
        <v>1387</v>
      </c>
      <c r="E5631" t="s">
        <v>1388</v>
      </c>
      <c r="F5631" t="s">
        <v>1389</v>
      </c>
    </row>
    <row r="5632" spans="1:6">
      <c r="A5632">
        <v>241</v>
      </c>
      <c r="B5632" t="s">
        <v>1078</v>
      </c>
      <c r="C5632">
        <v>1694225</v>
      </c>
      <c r="D5632" t="s">
        <v>991</v>
      </c>
      <c r="E5632" t="s">
        <v>1411</v>
      </c>
      <c r="F5632" t="s">
        <v>1412</v>
      </c>
    </row>
    <row r="5633" spans="1:6">
      <c r="A5633">
        <v>241</v>
      </c>
      <c r="B5633" t="s">
        <v>1078</v>
      </c>
      <c r="C5633">
        <v>1657500</v>
      </c>
      <c r="D5633" t="s">
        <v>992</v>
      </c>
      <c r="E5633" t="s">
        <v>1411</v>
      </c>
      <c r="F5633" t="s">
        <v>1412</v>
      </c>
    </row>
    <row r="5634" spans="1:6">
      <c r="A5634">
        <v>241</v>
      </c>
      <c r="B5634" t="s">
        <v>1078</v>
      </c>
      <c r="C5634">
        <v>2145000</v>
      </c>
      <c r="D5634" t="s">
        <v>993</v>
      </c>
      <c r="E5634" t="s">
        <v>1411</v>
      </c>
      <c r="F5634" t="s">
        <v>1412</v>
      </c>
    </row>
    <row r="5635" spans="1:6">
      <c r="A5635">
        <v>241</v>
      </c>
      <c r="B5635" t="s">
        <v>1078</v>
      </c>
      <c r="C5635">
        <v>4426500</v>
      </c>
      <c r="D5635" t="s">
        <v>994</v>
      </c>
      <c r="E5635" t="s">
        <v>1411</v>
      </c>
      <c r="F5635" t="s">
        <v>1412</v>
      </c>
    </row>
    <row r="5636" spans="1:6">
      <c r="A5636">
        <v>241</v>
      </c>
      <c r="B5636" t="s">
        <v>1078</v>
      </c>
      <c r="C5636">
        <v>984425</v>
      </c>
      <c r="D5636" t="s">
        <v>995</v>
      </c>
      <c r="E5636" t="s">
        <v>1411</v>
      </c>
      <c r="F5636" t="s">
        <v>1412</v>
      </c>
    </row>
    <row r="5637" spans="1:6">
      <c r="A5637">
        <v>241</v>
      </c>
      <c r="B5637" t="s">
        <v>1078</v>
      </c>
      <c r="C5637">
        <v>2463500</v>
      </c>
      <c r="D5637" t="s">
        <v>996</v>
      </c>
      <c r="E5637" t="s">
        <v>1411</v>
      </c>
      <c r="F5637" t="s">
        <v>1412</v>
      </c>
    </row>
    <row r="5638" spans="1:6">
      <c r="A5638">
        <v>241</v>
      </c>
      <c r="B5638" t="s">
        <v>1078</v>
      </c>
      <c r="C5638">
        <v>578500</v>
      </c>
      <c r="D5638" t="s">
        <v>997</v>
      </c>
      <c r="E5638" t="s">
        <v>1411</v>
      </c>
      <c r="F5638" t="s">
        <v>1412</v>
      </c>
    </row>
    <row r="5639" spans="1:6">
      <c r="A5639">
        <v>241</v>
      </c>
      <c r="B5639" t="s">
        <v>1078</v>
      </c>
      <c r="C5639">
        <v>3952000</v>
      </c>
      <c r="D5639" t="s">
        <v>998</v>
      </c>
      <c r="E5639" t="s">
        <v>1411</v>
      </c>
      <c r="F5639" t="s">
        <v>1412</v>
      </c>
    </row>
    <row r="5640" spans="1:6">
      <c r="A5640">
        <v>241</v>
      </c>
      <c r="B5640" t="s">
        <v>1078</v>
      </c>
      <c r="C5640">
        <v>420000</v>
      </c>
      <c r="D5640" t="s">
        <v>1304</v>
      </c>
      <c r="E5640" t="s">
        <v>1305</v>
      </c>
      <c r="F5640" t="s">
        <v>1412</v>
      </c>
    </row>
    <row r="5641" spans="1:6">
      <c r="A5641">
        <v>241</v>
      </c>
      <c r="B5641" t="s">
        <v>1078</v>
      </c>
      <c r="C5641">
        <v>6900000</v>
      </c>
      <c r="D5641" t="s">
        <v>999</v>
      </c>
      <c r="E5641" t="s">
        <v>1305</v>
      </c>
      <c r="F5641" t="s">
        <v>1412</v>
      </c>
    </row>
    <row r="5642" spans="1:6">
      <c r="A5642">
        <v>241</v>
      </c>
      <c r="B5642" t="s">
        <v>1078</v>
      </c>
      <c r="C5642">
        <v>800</v>
      </c>
      <c r="D5642" t="s">
        <v>1390</v>
      </c>
      <c r="E5642" t="s">
        <v>1391</v>
      </c>
      <c r="F5642" t="s">
        <v>1392</v>
      </c>
    </row>
    <row r="5643" spans="1:6">
      <c r="A5643">
        <v>241</v>
      </c>
      <c r="B5643" t="s">
        <v>1078</v>
      </c>
      <c r="C5643">
        <v>5891.64</v>
      </c>
      <c r="D5643" t="s">
        <v>1537</v>
      </c>
      <c r="E5643" t="s">
        <v>1538</v>
      </c>
      <c r="F5643" t="s">
        <v>1539</v>
      </c>
    </row>
    <row r="5644" spans="1:6">
      <c r="A5644">
        <v>241</v>
      </c>
      <c r="B5644" t="s">
        <v>1078</v>
      </c>
      <c r="C5644">
        <v>8722.68</v>
      </c>
      <c r="D5644" t="s">
        <v>1540</v>
      </c>
      <c r="E5644" t="s">
        <v>1538</v>
      </c>
      <c r="F5644" t="s">
        <v>1541</v>
      </c>
    </row>
    <row r="5645" spans="1:6">
      <c r="A5645">
        <v>241</v>
      </c>
      <c r="B5645" t="s">
        <v>1078</v>
      </c>
      <c r="C5645">
        <v>12400.25</v>
      </c>
      <c r="D5645" t="s">
        <v>1431</v>
      </c>
      <c r="E5645" t="s">
        <v>1432</v>
      </c>
      <c r="F5645" t="s">
        <v>1433</v>
      </c>
    </row>
    <row r="5646" spans="1:6">
      <c r="A5646">
        <v>241</v>
      </c>
      <c r="B5646" t="s">
        <v>1078</v>
      </c>
      <c r="C5646">
        <v>17399.72</v>
      </c>
      <c r="D5646" t="s">
        <v>1434</v>
      </c>
      <c r="E5646" t="s">
        <v>1432</v>
      </c>
      <c r="F5646" t="s">
        <v>1435</v>
      </c>
    </row>
    <row r="5647" spans="1:6">
      <c r="A5647">
        <v>241</v>
      </c>
      <c r="B5647" t="s">
        <v>1078</v>
      </c>
      <c r="C5647">
        <v>168913</v>
      </c>
      <c r="D5647" t="s">
        <v>1576</v>
      </c>
      <c r="E5647" t="s">
        <v>1577</v>
      </c>
      <c r="F5647" t="s">
        <v>1578</v>
      </c>
    </row>
    <row r="5648" spans="1:6">
      <c r="A5648">
        <v>241</v>
      </c>
      <c r="B5648" t="s">
        <v>1078</v>
      </c>
      <c r="C5648">
        <v>50000</v>
      </c>
      <c r="D5648" t="s">
        <v>1579</v>
      </c>
      <c r="E5648" t="s">
        <v>1577</v>
      </c>
      <c r="F5648" t="s">
        <v>1580</v>
      </c>
    </row>
    <row r="5649" spans="1:6">
      <c r="A5649">
        <v>241</v>
      </c>
      <c r="B5649" t="s">
        <v>1078</v>
      </c>
      <c r="C5649">
        <v>17000</v>
      </c>
      <c r="D5649" t="s">
        <v>1001</v>
      </c>
      <c r="E5649" t="s">
        <v>1437</v>
      </c>
      <c r="F5649" t="s">
        <v>1438</v>
      </c>
    </row>
    <row r="5650" spans="1:6">
      <c r="A5650">
        <v>241</v>
      </c>
      <c r="B5650" t="s">
        <v>1078</v>
      </c>
      <c r="C5650">
        <v>75690</v>
      </c>
      <c r="D5650" t="s">
        <v>1002</v>
      </c>
      <c r="E5650" t="s">
        <v>1295</v>
      </c>
      <c r="F5650" t="s">
        <v>1438</v>
      </c>
    </row>
    <row r="5651" spans="1:6">
      <c r="A5651">
        <v>241</v>
      </c>
      <c r="B5651" t="s">
        <v>1078</v>
      </c>
      <c r="C5651">
        <v>498</v>
      </c>
      <c r="D5651" t="s">
        <v>1454</v>
      </c>
      <c r="E5651" t="s">
        <v>1455</v>
      </c>
      <c r="F5651" t="s">
        <v>1456</v>
      </c>
    </row>
    <row r="5652" spans="1:6">
      <c r="A5652">
        <v>241</v>
      </c>
      <c r="B5652" t="s">
        <v>1078</v>
      </c>
      <c r="C5652">
        <v>65900</v>
      </c>
      <c r="D5652" t="s">
        <v>1196</v>
      </c>
      <c r="E5652" t="s">
        <v>1197</v>
      </c>
      <c r="F5652" t="s">
        <v>1198</v>
      </c>
    </row>
    <row r="5653" spans="1:6">
      <c r="A5653">
        <v>241</v>
      </c>
      <c r="B5653" t="s">
        <v>1078</v>
      </c>
      <c r="C5653">
        <v>40000</v>
      </c>
      <c r="D5653" t="s">
        <v>1005</v>
      </c>
      <c r="E5653" t="s">
        <v>1006</v>
      </c>
      <c r="F5653" t="s">
        <v>1007</v>
      </c>
    </row>
    <row r="5654" spans="1:6">
      <c r="A5654">
        <v>241</v>
      </c>
      <c r="B5654" t="s">
        <v>1078</v>
      </c>
      <c r="C5654">
        <v>33023.050000000003</v>
      </c>
      <c r="D5654" t="s">
        <v>1379</v>
      </c>
      <c r="E5654" t="s">
        <v>1380</v>
      </c>
      <c r="F5654" t="s">
        <v>1381</v>
      </c>
    </row>
    <row r="5655" spans="1:6">
      <c r="A5655">
        <v>241</v>
      </c>
      <c r="B5655" t="s">
        <v>1078</v>
      </c>
      <c r="C5655">
        <v>33180.39</v>
      </c>
      <c r="D5655" t="s">
        <v>1475</v>
      </c>
      <c r="E5655" t="s">
        <v>1476</v>
      </c>
      <c r="F5655" t="s">
        <v>1477</v>
      </c>
    </row>
    <row r="5656" spans="1:6">
      <c r="A5656">
        <v>241</v>
      </c>
      <c r="B5656" t="s">
        <v>1078</v>
      </c>
      <c r="C5656">
        <v>110466.6</v>
      </c>
      <c r="D5656" t="s">
        <v>1478</v>
      </c>
      <c r="E5656" t="s">
        <v>1479</v>
      </c>
      <c r="F5656" t="s">
        <v>1480</v>
      </c>
    </row>
    <row r="5657" spans="1:6">
      <c r="A5657">
        <v>241</v>
      </c>
      <c r="B5657" t="s">
        <v>1078</v>
      </c>
      <c r="C5657">
        <v>8037.51</v>
      </c>
      <c r="D5657" t="s">
        <v>1365</v>
      </c>
      <c r="E5657" t="s">
        <v>1366</v>
      </c>
      <c r="F5657" t="s">
        <v>1367</v>
      </c>
    </row>
    <row r="5658" spans="1:6">
      <c r="A5658">
        <v>241</v>
      </c>
      <c r="B5658" t="s">
        <v>1078</v>
      </c>
      <c r="C5658">
        <v>451107</v>
      </c>
      <c r="D5658" t="s">
        <v>1607</v>
      </c>
      <c r="E5658" t="s">
        <v>1608</v>
      </c>
      <c r="F5658" t="s">
        <v>1609</v>
      </c>
    </row>
    <row r="5659" spans="1:6">
      <c r="A5659">
        <v>241</v>
      </c>
      <c r="B5659" t="s">
        <v>1078</v>
      </c>
      <c r="C5659">
        <v>432751</v>
      </c>
      <c r="D5659" t="s">
        <v>1610</v>
      </c>
      <c r="E5659" t="s">
        <v>1481</v>
      </c>
      <c r="F5659" t="s">
        <v>1482</v>
      </c>
    </row>
    <row r="5660" spans="1:6">
      <c r="A5660">
        <v>242</v>
      </c>
      <c r="B5660" t="s">
        <v>1008</v>
      </c>
      <c r="C5660">
        <v>87421</v>
      </c>
      <c r="D5660" t="s">
        <v>1079</v>
      </c>
      <c r="E5660" t="s">
        <v>1080</v>
      </c>
      <c r="F5660" t="s">
        <v>1081</v>
      </c>
    </row>
    <row r="5661" spans="1:6">
      <c r="A5661">
        <v>242</v>
      </c>
      <c r="B5661" t="s">
        <v>1008</v>
      </c>
      <c r="C5661">
        <v>12866</v>
      </c>
      <c r="D5661" t="s">
        <v>1082</v>
      </c>
      <c r="E5661" t="s">
        <v>1083</v>
      </c>
      <c r="F5661" t="s">
        <v>1084</v>
      </c>
    </row>
    <row r="5662" spans="1:6">
      <c r="A5662">
        <v>242</v>
      </c>
      <c r="B5662" t="s">
        <v>1008</v>
      </c>
      <c r="C5662">
        <v>192992</v>
      </c>
      <c r="D5662" t="s">
        <v>1085</v>
      </c>
      <c r="E5662" t="s">
        <v>1086</v>
      </c>
      <c r="F5662" t="s">
        <v>1087</v>
      </c>
    </row>
    <row r="5663" spans="1:6">
      <c r="A5663">
        <v>242</v>
      </c>
      <c r="B5663" t="s">
        <v>1008</v>
      </c>
      <c r="C5663">
        <v>3613</v>
      </c>
      <c r="D5663" t="s">
        <v>1489</v>
      </c>
      <c r="E5663" t="s">
        <v>1490</v>
      </c>
      <c r="F5663" t="s">
        <v>1491</v>
      </c>
    </row>
    <row r="5664" spans="1:6">
      <c r="A5664">
        <v>242</v>
      </c>
      <c r="B5664" t="s">
        <v>1008</v>
      </c>
      <c r="C5664">
        <v>102250</v>
      </c>
      <c r="D5664" t="s">
        <v>1404</v>
      </c>
      <c r="E5664" t="s">
        <v>1405</v>
      </c>
      <c r="F5664" t="s">
        <v>1406</v>
      </c>
    </row>
    <row r="5665" spans="1:6">
      <c r="A5665">
        <v>242</v>
      </c>
      <c r="B5665" t="s">
        <v>1008</v>
      </c>
      <c r="C5665">
        <v>102250</v>
      </c>
      <c r="D5665" t="s">
        <v>1317</v>
      </c>
      <c r="E5665" t="s">
        <v>1405</v>
      </c>
      <c r="F5665" t="s">
        <v>1406</v>
      </c>
    </row>
    <row r="5666" spans="1:6">
      <c r="A5666">
        <v>242</v>
      </c>
      <c r="B5666" t="s">
        <v>1008</v>
      </c>
      <c r="C5666">
        <v>51929</v>
      </c>
      <c r="D5666" t="s">
        <v>1333</v>
      </c>
      <c r="E5666" t="s">
        <v>1383</v>
      </c>
      <c r="F5666" t="s">
        <v>1334</v>
      </c>
    </row>
    <row r="5667" spans="1:6">
      <c r="A5667">
        <v>242</v>
      </c>
      <c r="B5667" t="s">
        <v>1008</v>
      </c>
      <c r="C5667">
        <v>57645</v>
      </c>
      <c r="D5667" t="s">
        <v>1336</v>
      </c>
      <c r="E5667" t="s">
        <v>1383</v>
      </c>
      <c r="F5667" t="s">
        <v>1334</v>
      </c>
    </row>
    <row r="5668" spans="1:6">
      <c r="A5668">
        <v>242</v>
      </c>
      <c r="B5668" t="s">
        <v>1008</v>
      </c>
      <c r="C5668">
        <v>140705</v>
      </c>
      <c r="D5668" t="s">
        <v>1337</v>
      </c>
      <c r="E5668" t="s">
        <v>1383</v>
      </c>
      <c r="F5668" t="s">
        <v>1334</v>
      </c>
    </row>
    <row r="5669" spans="1:6">
      <c r="A5669">
        <v>242</v>
      </c>
      <c r="B5669" t="s">
        <v>1008</v>
      </c>
      <c r="C5669">
        <v>35757</v>
      </c>
      <c r="D5669" t="s">
        <v>1088</v>
      </c>
      <c r="E5669" t="s">
        <v>1383</v>
      </c>
      <c r="F5669" t="s">
        <v>1334</v>
      </c>
    </row>
    <row r="5670" spans="1:6">
      <c r="A5670">
        <v>242</v>
      </c>
      <c r="B5670" t="s">
        <v>1008</v>
      </c>
      <c r="C5670">
        <v>99373</v>
      </c>
      <c r="D5670" t="s">
        <v>1382</v>
      </c>
      <c r="E5670" t="s">
        <v>1383</v>
      </c>
      <c r="F5670" t="s">
        <v>1384</v>
      </c>
    </row>
    <row r="5671" spans="1:6">
      <c r="A5671">
        <v>242</v>
      </c>
      <c r="B5671" t="s">
        <v>1008</v>
      </c>
      <c r="C5671">
        <v>152138</v>
      </c>
      <c r="D5671" t="s">
        <v>1338</v>
      </c>
      <c r="E5671" t="s">
        <v>1383</v>
      </c>
      <c r="F5671" t="s">
        <v>1384</v>
      </c>
    </row>
    <row r="5672" spans="1:6">
      <c r="A5672">
        <v>242</v>
      </c>
      <c r="B5672" t="s">
        <v>1008</v>
      </c>
      <c r="C5672">
        <v>36585</v>
      </c>
      <c r="D5672" t="s">
        <v>1339</v>
      </c>
      <c r="E5672" t="s">
        <v>1383</v>
      </c>
      <c r="F5672" t="s">
        <v>1384</v>
      </c>
    </row>
    <row r="5673" spans="1:6">
      <c r="A5673">
        <v>242</v>
      </c>
      <c r="B5673" t="s">
        <v>1008</v>
      </c>
      <c r="C5673">
        <v>53274</v>
      </c>
      <c r="D5673" t="s">
        <v>1340</v>
      </c>
      <c r="E5673" t="s">
        <v>1383</v>
      </c>
      <c r="F5673" t="s">
        <v>1384</v>
      </c>
    </row>
    <row r="5674" spans="1:6">
      <c r="A5674">
        <v>242</v>
      </c>
      <c r="B5674" t="s">
        <v>1008</v>
      </c>
      <c r="C5674">
        <v>35347</v>
      </c>
      <c r="D5674" t="s">
        <v>1341</v>
      </c>
      <c r="E5674" t="s">
        <v>1383</v>
      </c>
      <c r="F5674" t="s">
        <v>1384</v>
      </c>
    </row>
    <row r="5675" spans="1:6">
      <c r="A5675">
        <v>242</v>
      </c>
      <c r="B5675" t="s">
        <v>1008</v>
      </c>
      <c r="C5675">
        <v>36451</v>
      </c>
      <c r="D5675" t="s">
        <v>1342</v>
      </c>
      <c r="E5675" t="s">
        <v>1383</v>
      </c>
      <c r="F5675" t="s">
        <v>1384</v>
      </c>
    </row>
    <row r="5676" spans="1:6">
      <c r="A5676">
        <v>242</v>
      </c>
      <c r="B5676" t="s">
        <v>1008</v>
      </c>
      <c r="C5676">
        <v>49622</v>
      </c>
      <c r="D5676" t="s">
        <v>1343</v>
      </c>
      <c r="E5676" t="s">
        <v>1383</v>
      </c>
      <c r="F5676" t="s">
        <v>1384</v>
      </c>
    </row>
    <row r="5677" spans="1:6">
      <c r="A5677">
        <v>242</v>
      </c>
      <c r="B5677" t="s">
        <v>1008</v>
      </c>
      <c r="C5677">
        <v>62438</v>
      </c>
      <c r="D5677" t="s">
        <v>1385</v>
      </c>
      <c r="E5677" t="s">
        <v>1383</v>
      </c>
      <c r="F5677" t="s">
        <v>1386</v>
      </c>
    </row>
    <row r="5678" spans="1:6">
      <c r="A5678">
        <v>242</v>
      </c>
      <c r="B5678" t="s">
        <v>1008</v>
      </c>
      <c r="C5678">
        <v>51731</v>
      </c>
      <c r="D5678" t="s">
        <v>1142</v>
      </c>
      <c r="E5678" t="s">
        <v>1383</v>
      </c>
      <c r="F5678" t="s">
        <v>1143</v>
      </c>
    </row>
    <row r="5679" spans="1:6">
      <c r="A5679">
        <v>242</v>
      </c>
      <c r="B5679" t="s">
        <v>1008</v>
      </c>
      <c r="C5679">
        <v>78883</v>
      </c>
      <c r="D5679" t="s">
        <v>1144</v>
      </c>
      <c r="E5679" t="s">
        <v>1383</v>
      </c>
      <c r="F5679" t="s">
        <v>1143</v>
      </c>
    </row>
    <row r="5680" spans="1:6">
      <c r="A5680">
        <v>242</v>
      </c>
      <c r="B5680" t="s">
        <v>1008</v>
      </c>
      <c r="C5680">
        <v>97693</v>
      </c>
      <c r="D5680" t="s">
        <v>1390</v>
      </c>
      <c r="E5680" t="s">
        <v>1391</v>
      </c>
      <c r="F5680" t="s">
        <v>1392</v>
      </c>
    </row>
    <row r="5681" spans="1:6">
      <c r="A5681">
        <v>242</v>
      </c>
      <c r="B5681" t="s">
        <v>1008</v>
      </c>
      <c r="C5681">
        <v>31239</v>
      </c>
      <c r="D5681" t="s">
        <v>1220</v>
      </c>
      <c r="E5681" t="s">
        <v>1221</v>
      </c>
      <c r="F5681" t="s">
        <v>1222</v>
      </c>
    </row>
    <row r="5682" spans="1:6">
      <c r="A5682">
        <v>242</v>
      </c>
      <c r="B5682" t="s">
        <v>1008</v>
      </c>
      <c r="C5682">
        <v>62821</v>
      </c>
      <c r="D5682" t="s">
        <v>1223</v>
      </c>
      <c r="E5682" t="s">
        <v>1221</v>
      </c>
      <c r="F5682" t="s">
        <v>1224</v>
      </c>
    </row>
    <row r="5683" spans="1:6">
      <c r="A5683">
        <v>242</v>
      </c>
      <c r="B5683" t="s">
        <v>1008</v>
      </c>
      <c r="C5683">
        <v>1671</v>
      </c>
      <c r="D5683" t="s">
        <v>1542</v>
      </c>
      <c r="E5683" t="s">
        <v>1424</v>
      </c>
      <c r="F5683" t="s">
        <v>1425</v>
      </c>
    </row>
    <row r="5684" spans="1:6">
      <c r="A5684">
        <v>242</v>
      </c>
      <c r="B5684" t="s">
        <v>1008</v>
      </c>
      <c r="C5684">
        <v>4733</v>
      </c>
      <c r="D5684" t="s">
        <v>1426</v>
      </c>
      <c r="E5684" t="s">
        <v>1424</v>
      </c>
      <c r="F5684" t="s">
        <v>1427</v>
      </c>
    </row>
    <row r="5685" spans="1:6">
      <c r="A5685">
        <v>242</v>
      </c>
      <c r="B5685" t="s">
        <v>1008</v>
      </c>
      <c r="C5685">
        <v>1711</v>
      </c>
      <c r="D5685" t="s">
        <v>1225</v>
      </c>
      <c r="E5685" t="s">
        <v>1226</v>
      </c>
      <c r="F5685" t="s">
        <v>1227</v>
      </c>
    </row>
    <row r="5686" spans="1:6">
      <c r="A5686">
        <v>242</v>
      </c>
      <c r="B5686" t="s">
        <v>1008</v>
      </c>
      <c r="C5686">
        <v>3443</v>
      </c>
      <c r="D5686" t="s">
        <v>1228</v>
      </c>
      <c r="E5686" t="s">
        <v>1226</v>
      </c>
      <c r="F5686" t="s">
        <v>1229</v>
      </c>
    </row>
    <row r="5687" spans="1:6">
      <c r="A5687">
        <v>242</v>
      </c>
      <c r="B5687" t="s">
        <v>1008</v>
      </c>
      <c r="C5687">
        <v>3</v>
      </c>
      <c r="D5687" t="s">
        <v>1428</v>
      </c>
      <c r="E5687" t="s">
        <v>1429</v>
      </c>
      <c r="F5687" t="s">
        <v>1430</v>
      </c>
    </row>
    <row r="5688" spans="1:6">
      <c r="A5688">
        <v>242</v>
      </c>
      <c r="B5688" t="s">
        <v>1008</v>
      </c>
      <c r="C5688">
        <v>10618.74</v>
      </c>
      <c r="D5688" t="s">
        <v>1431</v>
      </c>
      <c r="E5688" t="s">
        <v>1432</v>
      </c>
      <c r="F5688" t="s">
        <v>1433</v>
      </c>
    </row>
    <row r="5689" spans="1:6">
      <c r="A5689">
        <v>242</v>
      </c>
      <c r="B5689" t="s">
        <v>1008</v>
      </c>
      <c r="C5689">
        <v>26849.8</v>
      </c>
      <c r="D5689" t="s">
        <v>1434</v>
      </c>
      <c r="E5689" t="s">
        <v>1432</v>
      </c>
      <c r="F5689" t="s">
        <v>1435</v>
      </c>
    </row>
    <row r="5690" spans="1:6">
      <c r="A5690">
        <v>242</v>
      </c>
      <c r="B5690" t="s">
        <v>1008</v>
      </c>
      <c r="C5690">
        <v>46698</v>
      </c>
      <c r="D5690" t="s">
        <v>1436</v>
      </c>
      <c r="E5690" t="s">
        <v>1437</v>
      </c>
      <c r="F5690" t="s">
        <v>1438</v>
      </c>
    </row>
    <row r="5691" spans="1:6">
      <c r="A5691">
        <v>242</v>
      </c>
      <c r="B5691" t="s">
        <v>1008</v>
      </c>
      <c r="C5691">
        <v>925</v>
      </c>
      <c r="D5691" t="s">
        <v>1584</v>
      </c>
      <c r="E5691" t="s">
        <v>1585</v>
      </c>
      <c r="F5691" t="s">
        <v>1586</v>
      </c>
    </row>
    <row r="5692" spans="1:6">
      <c r="A5692">
        <v>242</v>
      </c>
      <c r="B5692" t="s">
        <v>1008</v>
      </c>
      <c r="C5692">
        <v>465</v>
      </c>
      <c r="D5692" t="s">
        <v>1587</v>
      </c>
      <c r="E5692" t="s">
        <v>1585</v>
      </c>
      <c r="F5692" t="s">
        <v>1588</v>
      </c>
    </row>
    <row r="5693" spans="1:6">
      <c r="A5693">
        <v>242</v>
      </c>
      <c r="B5693" t="s">
        <v>1008</v>
      </c>
      <c r="C5693">
        <v>22842</v>
      </c>
      <c r="D5693" t="s">
        <v>1454</v>
      </c>
      <c r="E5693" t="s">
        <v>1455</v>
      </c>
      <c r="F5693" t="s">
        <v>1456</v>
      </c>
    </row>
    <row r="5694" spans="1:6">
      <c r="A5694">
        <v>242</v>
      </c>
      <c r="B5694" t="s">
        <v>1008</v>
      </c>
      <c r="C5694">
        <v>12757</v>
      </c>
      <c r="D5694" t="s">
        <v>1457</v>
      </c>
      <c r="E5694" t="s">
        <v>1455</v>
      </c>
      <c r="F5694" t="s">
        <v>1458</v>
      </c>
    </row>
    <row r="5695" spans="1:6">
      <c r="A5695">
        <v>242</v>
      </c>
      <c r="B5695" t="s">
        <v>1008</v>
      </c>
      <c r="C5695">
        <v>403</v>
      </c>
      <c r="D5695" t="s">
        <v>1589</v>
      </c>
      <c r="E5695" t="s">
        <v>1590</v>
      </c>
      <c r="F5695" t="s">
        <v>1591</v>
      </c>
    </row>
    <row r="5696" spans="1:6">
      <c r="A5696">
        <v>242</v>
      </c>
      <c r="B5696" t="s">
        <v>1008</v>
      </c>
      <c r="C5696">
        <v>345</v>
      </c>
      <c r="D5696" t="s">
        <v>1592</v>
      </c>
      <c r="E5696" t="s">
        <v>1590</v>
      </c>
      <c r="F5696" t="s">
        <v>1593</v>
      </c>
    </row>
    <row r="5697" spans="1:6">
      <c r="A5697">
        <v>242</v>
      </c>
      <c r="B5697" t="s">
        <v>1008</v>
      </c>
      <c r="C5697">
        <v>599</v>
      </c>
      <c r="D5697" t="s">
        <v>1594</v>
      </c>
      <c r="E5697" t="s">
        <v>1595</v>
      </c>
      <c r="F5697" t="s">
        <v>1596</v>
      </c>
    </row>
    <row r="5698" spans="1:6">
      <c r="A5698">
        <v>242</v>
      </c>
      <c r="B5698" t="s">
        <v>1008</v>
      </c>
      <c r="C5698">
        <v>325</v>
      </c>
      <c r="D5698" t="s">
        <v>1597</v>
      </c>
      <c r="E5698" t="s">
        <v>1595</v>
      </c>
      <c r="F5698" t="s">
        <v>1598</v>
      </c>
    </row>
    <row r="5699" spans="1:6">
      <c r="A5699">
        <v>243</v>
      </c>
      <c r="B5699" t="s">
        <v>1010</v>
      </c>
      <c r="C5699">
        <v>134123</v>
      </c>
      <c r="D5699" t="s">
        <v>1079</v>
      </c>
      <c r="E5699" t="s">
        <v>1080</v>
      </c>
      <c r="F5699" t="s">
        <v>1081</v>
      </c>
    </row>
    <row r="5700" spans="1:6">
      <c r="A5700">
        <v>243</v>
      </c>
      <c r="B5700" t="s">
        <v>1010</v>
      </c>
      <c r="C5700">
        <v>15807</v>
      </c>
      <c r="D5700" t="s">
        <v>1082</v>
      </c>
      <c r="E5700" t="s">
        <v>1083</v>
      </c>
      <c r="F5700" t="s">
        <v>1084</v>
      </c>
    </row>
    <row r="5701" spans="1:6">
      <c r="A5701">
        <v>243</v>
      </c>
      <c r="B5701" t="s">
        <v>1010</v>
      </c>
      <c r="C5701">
        <v>237098</v>
      </c>
      <c r="D5701" t="s">
        <v>1085</v>
      </c>
      <c r="E5701" t="s">
        <v>1086</v>
      </c>
      <c r="F5701" t="s">
        <v>1087</v>
      </c>
    </row>
    <row r="5702" spans="1:6">
      <c r="A5702">
        <v>243</v>
      </c>
      <c r="B5702" t="s">
        <v>1010</v>
      </c>
      <c r="C5702">
        <v>32740</v>
      </c>
      <c r="D5702" t="s">
        <v>1333</v>
      </c>
      <c r="E5702" t="s">
        <v>1383</v>
      </c>
      <c r="F5702" t="s">
        <v>1334</v>
      </c>
    </row>
    <row r="5703" spans="1:6">
      <c r="A5703">
        <v>243</v>
      </c>
      <c r="B5703" t="s">
        <v>1010</v>
      </c>
      <c r="C5703">
        <v>41578</v>
      </c>
      <c r="D5703" t="s">
        <v>1335</v>
      </c>
      <c r="E5703" t="s">
        <v>1383</v>
      </c>
      <c r="F5703" t="s">
        <v>1334</v>
      </c>
    </row>
    <row r="5704" spans="1:6">
      <c r="A5704">
        <v>243</v>
      </c>
      <c r="B5704" t="s">
        <v>1010</v>
      </c>
      <c r="C5704">
        <v>124225</v>
      </c>
      <c r="D5704" t="s">
        <v>1336</v>
      </c>
      <c r="E5704" t="s">
        <v>1383</v>
      </c>
      <c r="F5704" t="s">
        <v>1334</v>
      </c>
    </row>
    <row r="5705" spans="1:6">
      <c r="A5705">
        <v>243</v>
      </c>
      <c r="B5705" t="s">
        <v>1010</v>
      </c>
      <c r="C5705">
        <v>124102</v>
      </c>
      <c r="D5705" t="s">
        <v>1337</v>
      </c>
      <c r="E5705" t="s">
        <v>1383</v>
      </c>
      <c r="F5705" t="s">
        <v>1334</v>
      </c>
    </row>
    <row r="5706" spans="1:6">
      <c r="A5706">
        <v>243</v>
      </c>
      <c r="B5706" t="s">
        <v>1010</v>
      </c>
      <c r="C5706">
        <v>53766</v>
      </c>
      <c r="D5706" t="s">
        <v>1088</v>
      </c>
      <c r="E5706" t="s">
        <v>1383</v>
      </c>
      <c r="F5706" t="s">
        <v>1334</v>
      </c>
    </row>
    <row r="5707" spans="1:6">
      <c r="A5707">
        <v>243</v>
      </c>
      <c r="B5707" t="s">
        <v>1010</v>
      </c>
      <c r="C5707">
        <v>57394</v>
      </c>
      <c r="D5707" t="s">
        <v>1382</v>
      </c>
      <c r="E5707" t="s">
        <v>1383</v>
      </c>
      <c r="F5707" t="s">
        <v>1384</v>
      </c>
    </row>
    <row r="5708" spans="1:6">
      <c r="A5708">
        <v>243</v>
      </c>
      <c r="B5708" t="s">
        <v>1010</v>
      </c>
      <c r="C5708">
        <v>33303</v>
      </c>
      <c r="D5708" t="s">
        <v>1338</v>
      </c>
      <c r="E5708" t="s">
        <v>1383</v>
      </c>
      <c r="F5708" t="s">
        <v>1384</v>
      </c>
    </row>
    <row r="5709" spans="1:6">
      <c r="A5709">
        <v>243</v>
      </c>
      <c r="B5709" t="s">
        <v>1010</v>
      </c>
      <c r="C5709">
        <v>113945</v>
      </c>
      <c r="D5709" t="s">
        <v>1339</v>
      </c>
      <c r="E5709" t="s">
        <v>1383</v>
      </c>
      <c r="F5709" t="s">
        <v>1384</v>
      </c>
    </row>
    <row r="5710" spans="1:6">
      <c r="A5710">
        <v>243</v>
      </c>
      <c r="B5710" t="s">
        <v>1010</v>
      </c>
      <c r="C5710">
        <v>110202</v>
      </c>
      <c r="D5710" t="s">
        <v>1340</v>
      </c>
      <c r="E5710" t="s">
        <v>1383</v>
      </c>
      <c r="F5710" t="s">
        <v>1384</v>
      </c>
    </row>
    <row r="5711" spans="1:6">
      <c r="A5711">
        <v>243</v>
      </c>
      <c r="B5711" t="s">
        <v>1010</v>
      </c>
      <c r="C5711">
        <v>89914</v>
      </c>
      <c r="D5711" t="s">
        <v>1341</v>
      </c>
      <c r="E5711" t="s">
        <v>1383</v>
      </c>
      <c r="F5711" t="s">
        <v>1384</v>
      </c>
    </row>
    <row r="5712" spans="1:6">
      <c r="A5712">
        <v>243</v>
      </c>
      <c r="B5712" t="s">
        <v>1010</v>
      </c>
      <c r="C5712">
        <v>79656</v>
      </c>
      <c r="D5712" t="s">
        <v>1342</v>
      </c>
      <c r="E5712" t="s">
        <v>1383</v>
      </c>
      <c r="F5712" t="s">
        <v>1384</v>
      </c>
    </row>
    <row r="5713" spans="1:6">
      <c r="A5713">
        <v>243</v>
      </c>
      <c r="B5713" t="s">
        <v>1010</v>
      </c>
      <c r="C5713">
        <v>107450</v>
      </c>
      <c r="D5713" t="s">
        <v>1385</v>
      </c>
      <c r="E5713" t="s">
        <v>1383</v>
      </c>
      <c r="F5713" t="s">
        <v>1386</v>
      </c>
    </row>
    <row r="5714" spans="1:6">
      <c r="A5714">
        <v>243</v>
      </c>
      <c r="B5714" t="s">
        <v>1010</v>
      </c>
      <c r="C5714">
        <v>109926</v>
      </c>
      <c r="D5714" t="s">
        <v>1142</v>
      </c>
      <c r="E5714" t="s">
        <v>1383</v>
      </c>
      <c r="F5714" t="s">
        <v>1143</v>
      </c>
    </row>
    <row r="5715" spans="1:6">
      <c r="A5715">
        <v>243</v>
      </c>
      <c r="B5715" t="s">
        <v>1010</v>
      </c>
      <c r="C5715">
        <v>776128</v>
      </c>
      <c r="D5715" t="s">
        <v>981</v>
      </c>
      <c r="E5715" t="s">
        <v>982</v>
      </c>
      <c r="F5715" t="s">
        <v>983</v>
      </c>
    </row>
    <row r="5716" spans="1:6">
      <c r="A5716">
        <v>243</v>
      </c>
      <c r="B5716" t="s">
        <v>1010</v>
      </c>
      <c r="C5716">
        <v>117755</v>
      </c>
      <c r="D5716" t="s">
        <v>984</v>
      </c>
      <c r="E5716" t="s">
        <v>985</v>
      </c>
      <c r="F5716" t="s">
        <v>983</v>
      </c>
    </row>
    <row r="5717" spans="1:6">
      <c r="A5717">
        <v>243</v>
      </c>
      <c r="B5717" t="s">
        <v>1010</v>
      </c>
      <c r="C5717">
        <v>19500</v>
      </c>
      <c r="D5717" t="s">
        <v>1387</v>
      </c>
      <c r="E5717" t="s">
        <v>1388</v>
      </c>
      <c r="F5717" t="s">
        <v>1389</v>
      </c>
    </row>
    <row r="5718" spans="1:6">
      <c r="A5718">
        <v>243</v>
      </c>
      <c r="B5718" t="s">
        <v>1010</v>
      </c>
      <c r="C5718">
        <v>739375</v>
      </c>
      <c r="D5718" t="s">
        <v>1011</v>
      </c>
      <c r="E5718" t="s">
        <v>1411</v>
      </c>
      <c r="F5718" t="s">
        <v>1412</v>
      </c>
    </row>
    <row r="5719" spans="1:6">
      <c r="A5719">
        <v>243</v>
      </c>
      <c r="B5719" t="s">
        <v>1010</v>
      </c>
      <c r="C5719">
        <v>2678000</v>
      </c>
      <c r="D5719" t="s">
        <v>1012</v>
      </c>
      <c r="E5719" t="s">
        <v>1411</v>
      </c>
      <c r="F5719" t="s">
        <v>1412</v>
      </c>
    </row>
    <row r="5720" spans="1:6">
      <c r="A5720">
        <v>243</v>
      </c>
      <c r="B5720" t="s">
        <v>1010</v>
      </c>
      <c r="C5720">
        <v>139425</v>
      </c>
      <c r="D5720" t="s">
        <v>1013</v>
      </c>
      <c r="E5720" t="s">
        <v>1411</v>
      </c>
      <c r="F5720" t="s">
        <v>1412</v>
      </c>
    </row>
    <row r="5721" spans="1:6">
      <c r="A5721">
        <v>243</v>
      </c>
      <c r="B5721" t="s">
        <v>1010</v>
      </c>
      <c r="C5721">
        <v>908739</v>
      </c>
      <c r="D5721" t="s">
        <v>1304</v>
      </c>
      <c r="E5721" t="s">
        <v>1305</v>
      </c>
      <c r="F5721" t="s">
        <v>1412</v>
      </c>
    </row>
    <row r="5722" spans="1:6">
      <c r="A5722">
        <v>243</v>
      </c>
      <c r="B5722" t="s">
        <v>1010</v>
      </c>
      <c r="C5722">
        <v>16404</v>
      </c>
      <c r="D5722" t="s">
        <v>1576</v>
      </c>
      <c r="E5722" t="s">
        <v>1577</v>
      </c>
      <c r="F5722" t="s">
        <v>1578</v>
      </c>
    </row>
    <row r="5723" spans="1:6">
      <c r="A5723">
        <v>243</v>
      </c>
      <c r="B5723" t="s">
        <v>1010</v>
      </c>
      <c r="C5723">
        <v>60401</v>
      </c>
      <c r="D5723" t="s">
        <v>1579</v>
      </c>
      <c r="E5723" t="s">
        <v>1577</v>
      </c>
      <c r="F5723" t="s">
        <v>1580</v>
      </c>
    </row>
    <row r="5724" spans="1:6">
      <c r="A5724">
        <v>243</v>
      </c>
      <c r="B5724" t="s">
        <v>1010</v>
      </c>
      <c r="C5724">
        <v>299</v>
      </c>
      <c r="D5724" t="s">
        <v>1442</v>
      </c>
      <c r="E5724" t="s">
        <v>1582</v>
      </c>
      <c r="F5724" t="s">
        <v>1443</v>
      </c>
    </row>
    <row r="5725" spans="1:6">
      <c r="A5725">
        <v>243</v>
      </c>
      <c r="B5725" t="s">
        <v>1010</v>
      </c>
      <c r="C5725">
        <v>13284</v>
      </c>
      <c r="D5725" t="s">
        <v>1444</v>
      </c>
      <c r="E5725" t="s">
        <v>1445</v>
      </c>
      <c r="F5725" t="s">
        <v>1443</v>
      </c>
    </row>
    <row r="5726" spans="1:6">
      <c r="A5726">
        <v>243</v>
      </c>
      <c r="B5726" t="s">
        <v>1010</v>
      </c>
      <c r="C5726">
        <v>179624</v>
      </c>
      <c r="D5726" t="s">
        <v>1446</v>
      </c>
      <c r="E5726" t="s">
        <v>1447</v>
      </c>
      <c r="F5726" t="s">
        <v>1448</v>
      </c>
    </row>
    <row r="5727" spans="1:6">
      <c r="A5727">
        <v>243</v>
      </c>
      <c r="B5727" t="s">
        <v>1010</v>
      </c>
      <c r="C5727">
        <v>3217</v>
      </c>
      <c r="D5727" t="s">
        <v>1584</v>
      </c>
      <c r="E5727" t="s">
        <v>1585</v>
      </c>
      <c r="F5727" t="s">
        <v>1586</v>
      </c>
    </row>
    <row r="5728" spans="1:6">
      <c r="A5728">
        <v>243</v>
      </c>
      <c r="B5728" t="s">
        <v>1010</v>
      </c>
      <c r="C5728">
        <v>11388</v>
      </c>
      <c r="D5728" t="s">
        <v>1587</v>
      </c>
      <c r="E5728" t="s">
        <v>1585</v>
      </c>
      <c r="F5728" t="s">
        <v>1588</v>
      </c>
    </row>
    <row r="5729" spans="1:6">
      <c r="A5729">
        <v>243</v>
      </c>
      <c r="B5729" t="s">
        <v>1010</v>
      </c>
      <c r="C5729">
        <v>10758</v>
      </c>
      <c r="D5729" t="s">
        <v>1454</v>
      </c>
      <c r="E5729" t="s">
        <v>1455</v>
      </c>
      <c r="F5729" t="s">
        <v>1456</v>
      </c>
    </row>
    <row r="5730" spans="1:6">
      <c r="A5730">
        <v>243</v>
      </c>
      <c r="B5730" t="s">
        <v>1010</v>
      </c>
      <c r="C5730">
        <v>530</v>
      </c>
      <c r="D5730" t="s">
        <v>1589</v>
      </c>
      <c r="E5730" t="s">
        <v>1590</v>
      </c>
      <c r="F5730" t="s">
        <v>1591</v>
      </c>
    </row>
    <row r="5731" spans="1:6">
      <c r="A5731">
        <v>243</v>
      </c>
      <c r="B5731" t="s">
        <v>1010</v>
      </c>
      <c r="C5731">
        <v>1241</v>
      </c>
      <c r="D5731" t="s">
        <v>1592</v>
      </c>
      <c r="E5731" t="s">
        <v>1590</v>
      </c>
      <c r="F5731" t="s">
        <v>1593</v>
      </c>
    </row>
    <row r="5732" spans="1:6">
      <c r="A5732">
        <v>243</v>
      </c>
      <c r="B5732" t="s">
        <v>1010</v>
      </c>
      <c r="C5732">
        <v>474</v>
      </c>
      <c r="D5732" t="s">
        <v>1597</v>
      </c>
      <c r="E5732" t="s">
        <v>1595</v>
      </c>
      <c r="F5732" t="s">
        <v>1598</v>
      </c>
    </row>
    <row r="5733" spans="1:6">
      <c r="A5733">
        <v>243</v>
      </c>
      <c r="B5733" t="s">
        <v>1010</v>
      </c>
      <c r="C5733">
        <v>50908</v>
      </c>
      <c r="D5733" t="s">
        <v>1014</v>
      </c>
      <c r="E5733" t="s">
        <v>1015</v>
      </c>
      <c r="F5733" t="s">
        <v>1016</v>
      </c>
    </row>
    <row r="5734" spans="1:6">
      <c r="A5734">
        <v>243</v>
      </c>
      <c r="B5734" t="s">
        <v>1010</v>
      </c>
      <c r="C5734">
        <v>47500</v>
      </c>
      <c r="D5734" t="s">
        <v>1415</v>
      </c>
      <c r="E5734" t="s">
        <v>1416</v>
      </c>
      <c r="F5734" t="s">
        <v>1417</v>
      </c>
    </row>
    <row r="5735" spans="1:6">
      <c r="A5735">
        <v>243</v>
      </c>
      <c r="B5735" t="s">
        <v>1010</v>
      </c>
      <c r="C5735">
        <v>10174802</v>
      </c>
      <c r="D5735" t="s">
        <v>1418</v>
      </c>
      <c r="E5735" t="s">
        <v>1419</v>
      </c>
      <c r="F5735" t="s">
        <v>1420</v>
      </c>
    </row>
    <row r="5736" spans="1:6">
      <c r="A5736">
        <v>244</v>
      </c>
      <c r="B5736" t="s">
        <v>1017</v>
      </c>
      <c r="C5736">
        <v>4914</v>
      </c>
      <c r="D5736" t="s">
        <v>1018</v>
      </c>
      <c r="E5736" t="s">
        <v>1019</v>
      </c>
      <c r="F5736" t="s">
        <v>1020</v>
      </c>
    </row>
    <row r="5737" spans="1:6">
      <c r="A5737">
        <v>244</v>
      </c>
      <c r="B5737" t="s">
        <v>1017</v>
      </c>
      <c r="C5737">
        <v>200000</v>
      </c>
      <c r="D5737" t="s">
        <v>1021</v>
      </c>
      <c r="E5737" t="s">
        <v>1022</v>
      </c>
      <c r="F5737" t="s">
        <v>1023</v>
      </c>
    </row>
    <row r="5738" spans="1:6">
      <c r="A5738">
        <v>244</v>
      </c>
      <c r="B5738" t="s">
        <v>1017</v>
      </c>
      <c r="C5738">
        <v>30748</v>
      </c>
      <c r="D5738" t="s">
        <v>1079</v>
      </c>
      <c r="E5738" t="s">
        <v>1080</v>
      </c>
      <c r="F5738" t="s">
        <v>1081</v>
      </c>
    </row>
    <row r="5739" spans="1:6">
      <c r="A5739">
        <v>244</v>
      </c>
      <c r="B5739" t="s">
        <v>1017</v>
      </c>
      <c r="C5739">
        <v>21777</v>
      </c>
      <c r="D5739" t="s">
        <v>1082</v>
      </c>
      <c r="E5739" t="s">
        <v>1083</v>
      </c>
      <c r="F5739" t="s">
        <v>1084</v>
      </c>
    </row>
    <row r="5740" spans="1:6">
      <c r="A5740">
        <v>244</v>
      </c>
      <c r="B5740" t="s">
        <v>1017</v>
      </c>
      <c r="C5740">
        <v>326658</v>
      </c>
      <c r="D5740" t="s">
        <v>1085</v>
      </c>
      <c r="E5740" t="s">
        <v>1086</v>
      </c>
      <c r="F5740" t="s">
        <v>1087</v>
      </c>
    </row>
    <row r="5741" spans="1:6">
      <c r="A5741">
        <v>244</v>
      </c>
      <c r="B5741" t="s">
        <v>1017</v>
      </c>
      <c r="C5741">
        <v>15466</v>
      </c>
      <c r="D5741" t="s">
        <v>1486</v>
      </c>
      <c r="E5741" t="s">
        <v>1487</v>
      </c>
      <c r="F5741" t="s">
        <v>1488</v>
      </c>
    </row>
    <row r="5742" spans="1:6">
      <c r="A5742">
        <v>244</v>
      </c>
      <c r="B5742" t="s">
        <v>1017</v>
      </c>
      <c r="C5742">
        <v>7234</v>
      </c>
      <c r="D5742" t="s">
        <v>1489</v>
      </c>
      <c r="E5742" t="s">
        <v>1490</v>
      </c>
      <c r="F5742" t="s">
        <v>1491</v>
      </c>
    </row>
    <row r="5743" spans="1:6">
      <c r="A5743">
        <v>244</v>
      </c>
      <c r="B5743" t="s">
        <v>1017</v>
      </c>
      <c r="C5743">
        <v>2316</v>
      </c>
      <c r="D5743" t="s">
        <v>1327</v>
      </c>
      <c r="E5743" t="s">
        <v>1328</v>
      </c>
      <c r="F5743" t="s">
        <v>1329</v>
      </c>
    </row>
    <row r="5744" spans="1:6">
      <c r="A5744">
        <v>244</v>
      </c>
      <c r="B5744" t="s">
        <v>1017</v>
      </c>
      <c r="C5744">
        <v>125316</v>
      </c>
      <c r="D5744" t="s">
        <v>1333</v>
      </c>
      <c r="E5744" t="s">
        <v>1383</v>
      </c>
      <c r="F5744" t="s">
        <v>1334</v>
      </c>
    </row>
    <row r="5745" spans="1:6">
      <c r="A5745">
        <v>244</v>
      </c>
      <c r="B5745" t="s">
        <v>1017</v>
      </c>
      <c r="C5745">
        <v>123117</v>
      </c>
      <c r="D5745" t="s">
        <v>1335</v>
      </c>
      <c r="E5745" t="s">
        <v>1383</v>
      </c>
      <c r="F5745" t="s">
        <v>1334</v>
      </c>
    </row>
    <row r="5746" spans="1:6">
      <c r="A5746">
        <v>244</v>
      </c>
      <c r="B5746" t="s">
        <v>1017</v>
      </c>
      <c r="C5746">
        <v>123117</v>
      </c>
      <c r="D5746" t="s">
        <v>1382</v>
      </c>
      <c r="E5746" t="s">
        <v>1383</v>
      </c>
      <c r="F5746" t="s">
        <v>1384</v>
      </c>
    </row>
    <row r="5747" spans="1:6">
      <c r="A5747">
        <v>244</v>
      </c>
      <c r="B5747" t="s">
        <v>1017</v>
      </c>
      <c r="C5747">
        <v>46334</v>
      </c>
      <c r="D5747" t="s">
        <v>1338</v>
      </c>
      <c r="E5747" t="s">
        <v>1383</v>
      </c>
      <c r="F5747" t="s">
        <v>1384</v>
      </c>
    </row>
    <row r="5748" spans="1:6">
      <c r="A5748">
        <v>244</v>
      </c>
      <c r="B5748" t="s">
        <v>1017</v>
      </c>
      <c r="C5748">
        <v>125316</v>
      </c>
      <c r="D5748" t="s">
        <v>1339</v>
      </c>
      <c r="E5748" t="s">
        <v>1383</v>
      </c>
      <c r="F5748" t="s">
        <v>1384</v>
      </c>
    </row>
    <row r="5749" spans="1:6">
      <c r="A5749">
        <v>244</v>
      </c>
      <c r="B5749" t="s">
        <v>1017</v>
      </c>
      <c r="C5749">
        <v>68157</v>
      </c>
      <c r="D5749" t="s">
        <v>1340</v>
      </c>
      <c r="E5749" t="s">
        <v>1383</v>
      </c>
      <c r="F5749" t="s">
        <v>1384</v>
      </c>
    </row>
    <row r="5750" spans="1:6">
      <c r="A5750">
        <v>244</v>
      </c>
      <c r="B5750" t="s">
        <v>1017</v>
      </c>
      <c r="C5750">
        <v>86174</v>
      </c>
      <c r="D5750" t="s">
        <v>1341</v>
      </c>
      <c r="E5750" t="s">
        <v>1383</v>
      </c>
      <c r="F5750" t="s">
        <v>1384</v>
      </c>
    </row>
    <row r="5751" spans="1:6">
      <c r="A5751">
        <v>244</v>
      </c>
      <c r="B5751" t="s">
        <v>1017</v>
      </c>
      <c r="C5751">
        <v>119040</v>
      </c>
      <c r="D5751" t="s">
        <v>1342</v>
      </c>
      <c r="E5751" t="s">
        <v>1383</v>
      </c>
      <c r="F5751" t="s">
        <v>1384</v>
      </c>
    </row>
    <row r="5752" spans="1:6">
      <c r="A5752">
        <v>244</v>
      </c>
      <c r="B5752" t="s">
        <v>1017</v>
      </c>
      <c r="C5752">
        <v>15000</v>
      </c>
      <c r="D5752" t="s">
        <v>1515</v>
      </c>
      <c r="E5752" t="s">
        <v>1516</v>
      </c>
      <c r="F5752" t="s">
        <v>1517</v>
      </c>
    </row>
    <row r="5753" spans="1:6">
      <c r="A5753">
        <v>244</v>
      </c>
      <c r="B5753" t="s">
        <v>1017</v>
      </c>
      <c r="C5753">
        <v>4440</v>
      </c>
      <c r="D5753" t="s">
        <v>1518</v>
      </c>
      <c r="E5753" t="s">
        <v>1516</v>
      </c>
      <c r="F5753" t="s">
        <v>1519</v>
      </c>
    </row>
    <row r="5754" spans="1:6">
      <c r="A5754">
        <v>244</v>
      </c>
      <c r="B5754" t="s">
        <v>1017</v>
      </c>
      <c r="C5754">
        <v>1446994</v>
      </c>
      <c r="D5754" t="s">
        <v>981</v>
      </c>
      <c r="E5754" t="s">
        <v>982</v>
      </c>
      <c r="F5754" t="s">
        <v>983</v>
      </c>
    </row>
    <row r="5755" spans="1:6">
      <c r="A5755">
        <v>244</v>
      </c>
      <c r="B5755" t="s">
        <v>1017</v>
      </c>
      <c r="C5755">
        <v>179750</v>
      </c>
      <c r="D5755" t="s">
        <v>984</v>
      </c>
      <c r="E5755" t="s">
        <v>985</v>
      </c>
      <c r="F5755" t="s">
        <v>983</v>
      </c>
    </row>
    <row r="5756" spans="1:6">
      <c r="A5756">
        <v>244</v>
      </c>
      <c r="B5756" t="s">
        <v>1017</v>
      </c>
      <c r="C5756">
        <v>180700</v>
      </c>
      <c r="D5756" t="s">
        <v>1387</v>
      </c>
      <c r="E5756" t="s">
        <v>1388</v>
      </c>
      <c r="F5756" t="s">
        <v>1389</v>
      </c>
    </row>
    <row r="5757" spans="1:6">
      <c r="A5757">
        <v>244</v>
      </c>
      <c r="B5757" t="s">
        <v>1017</v>
      </c>
      <c r="C5757">
        <v>1115400</v>
      </c>
      <c r="D5757" t="s">
        <v>1024</v>
      </c>
      <c r="E5757" t="s">
        <v>1411</v>
      </c>
      <c r="F5757" t="s">
        <v>1412</v>
      </c>
    </row>
    <row r="5758" spans="1:6">
      <c r="A5758">
        <v>244</v>
      </c>
      <c r="B5758" t="s">
        <v>1017</v>
      </c>
      <c r="C5758">
        <v>2269172</v>
      </c>
      <c r="D5758" t="s">
        <v>1025</v>
      </c>
      <c r="E5758" t="s">
        <v>1411</v>
      </c>
      <c r="F5758" t="s">
        <v>1412</v>
      </c>
    </row>
    <row r="5759" spans="1:6">
      <c r="A5759">
        <v>244</v>
      </c>
      <c r="B5759" t="s">
        <v>1017</v>
      </c>
      <c r="C5759">
        <v>663000</v>
      </c>
      <c r="D5759" t="s">
        <v>1026</v>
      </c>
      <c r="E5759" t="s">
        <v>1411</v>
      </c>
      <c r="F5759" t="s">
        <v>1412</v>
      </c>
    </row>
    <row r="5760" spans="1:6">
      <c r="A5760">
        <v>244</v>
      </c>
      <c r="B5760" t="s">
        <v>1017</v>
      </c>
      <c r="C5760">
        <v>2720436</v>
      </c>
      <c r="D5760" t="s">
        <v>1027</v>
      </c>
      <c r="E5760" t="s">
        <v>1411</v>
      </c>
      <c r="F5760" t="s">
        <v>1412</v>
      </c>
    </row>
    <row r="5761" spans="1:6">
      <c r="A5761">
        <v>244</v>
      </c>
      <c r="B5761" t="s">
        <v>1017</v>
      </c>
      <c r="C5761">
        <v>929815</v>
      </c>
      <c r="D5761" t="s">
        <v>1304</v>
      </c>
      <c r="E5761" t="s">
        <v>1305</v>
      </c>
      <c r="F5761" t="s">
        <v>1412</v>
      </c>
    </row>
    <row r="5762" spans="1:6">
      <c r="A5762">
        <v>244</v>
      </c>
      <c r="B5762" t="s">
        <v>1017</v>
      </c>
      <c r="C5762">
        <v>44392.7</v>
      </c>
      <c r="D5762" t="s">
        <v>1537</v>
      </c>
      <c r="E5762" t="s">
        <v>1538</v>
      </c>
      <c r="F5762" t="s">
        <v>1539</v>
      </c>
    </row>
    <row r="5763" spans="1:6">
      <c r="A5763">
        <v>244</v>
      </c>
      <c r="B5763" t="s">
        <v>1017</v>
      </c>
      <c r="C5763">
        <v>80443.649999999994</v>
      </c>
      <c r="D5763" t="s">
        <v>1540</v>
      </c>
      <c r="E5763" t="s">
        <v>1538</v>
      </c>
      <c r="F5763" t="s">
        <v>1541</v>
      </c>
    </row>
    <row r="5764" spans="1:6">
      <c r="A5764">
        <v>244</v>
      </c>
      <c r="B5764" t="s">
        <v>1017</v>
      </c>
      <c r="C5764">
        <v>85466.240000000005</v>
      </c>
      <c r="D5764" t="s">
        <v>1431</v>
      </c>
      <c r="E5764" t="s">
        <v>1432</v>
      </c>
      <c r="F5764" t="s">
        <v>1433</v>
      </c>
    </row>
    <row r="5765" spans="1:6">
      <c r="A5765">
        <v>244</v>
      </c>
      <c r="B5765" t="s">
        <v>1017</v>
      </c>
      <c r="C5765">
        <v>159381.99</v>
      </c>
      <c r="D5765" t="s">
        <v>1434</v>
      </c>
      <c r="E5765" t="s">
        <v>1432</v>
      </c>
      <c r="F5765" t="s">
        <v>1435</v>
      </c>
    </row>
    <row r="5766" spans="1:6">
      <c r="A5766">
        <v>244</v>
      </c>
      <c r="B5766" t="s">
        <v>1017</v>
      </c>
      <c r="C5766">
        <v>188033</v>
      </c>
      <c r="D5766" t="s">
        <v>1576</v>
      </c>
      <c r="E5766" t="s">
        <v>1577</v>
      </c>
      <c r="F5766" t="s">
        <v>1578</v>
      </c>
    </row>
    <row r="5767" spans="1:6">
      <c r="A5767">
        <v>244</v>
      </c>
      <c r="B5767" t="s">
        <v>1017</v>
      </c>
      <c r="C5767">
        <v>58400</v>
      </c>
      <c r="D5767" t="s">
        <v>1579</v>
      </c>
      <c r="E5767" t="s">
        <v>1577</v>
      </c>
      <c r="F5767" t="s">
        <v>1580</v>
      </c>
    </row>
    <row r="5768" spans="1:6">
      <c r="A5768">
        <v>244</v>
      </c>
      <c r="B5768" t="s">
        <v>1017</v>
      </c>
      <c r="C5768">
        <v>12650</v>
      </c>
      <c r="D5768" t="s">
        <v>1356</v>
      </c>
      <c r="E5768" t="s">
        <v>1357</v>
      </c>
      <c r="F5768" t="s">
        <v>1358</v>
      </c>
    </row>
    <row r="5769" spans="1:6">
      <c r="A5769">
        <v>244</v>
      </c>
      <c r="B5769" t="s">
        <v>1017</v>
      </c>
      <c r="C5769">
        <v>3522</v>
      </c>
      <c r="D5769" t="s">
        <v>1442</v>
      </c>
      <c r="E5769" t="s">
        <v>1582</v>
      </c>
      <c r="F5769" t="s">
        <v>1443</v>
      </c>
    </row>
    <row r="5770" spans="1:6">
      <c r="A5770">
        <v>244</v>
      </c>
      <c r="B5770" t="s">
        <v>1017</v>
      </c>
      <c r="C5770">
        <v>9089</v>
      </c>
      <c r="D5770" t="s">
        <v>1028</v>
      </c>
      <c r="E5770" t="s">
        <v>1445</v>
      </c>
      <c r="F5770" t="s">
        <v>1443</v>
      </c>
    </row>
    <row r="5771" spans="1:6">
      <c r="A5771">
        <v>244</v>
      </c>
      <c r="B5771" t="s">
        <v>1017</v>
      </c>
      <c r="C5771">
        <v>1503</v>
      </c>
      <c r="D5771" t="s">
        <v>1581</v>
      </c>
      <c r="E5771" t="s">
        <v>1582</v>
      </c>
      <c r="F5771" t="s">
        <v>1583</v>
      </c>
    </row>
    <row r="5772" spans="1:6">
      <c r="A5772">
        <v>244</v>
      </c>
      <c r="B5772" t="s">
        <v>1017</v>
      </c>
      <c r="C5772">
        <v>27600</v>
      </c>
      <c r="D5772" t="s">
        <v>1263</v>
      </c>
      <c r="E5772" t="s">
        <v>1445</v>
      </c>
      <c r="F5772" t="s">
        <v>1583</v>
      </c>
    </row>
    <row r="5773" spans="1:6">
      <c r="A5773">
        <v>244</v>
      </c>
      <c r="B5773" t="s">
        <v>1017</v>
      </c>
      <c r="C5773">
        <v>72143</v>
      </c>
      <c r="D5773" t="s">
        <v>1584</v>
      </c>
      <c r="E5773" t="s">
        <v>1585</v>
      </c>
      <c r="F5773" t="s">
        <v>1586</v>
      </c>
    </row>
    <row r="5774" spans="1:6">
      <c r="A5774">
        <v>244</v>
      </c>
      <c r="B5774" t="s">
        <v>1017</v>
      </c>
      <c r="C5774">
        <v>35300</v>
      </c>
      <c r="D5774" t="s">
        <v>1587</v>
      </c>
      <c r="E5774" t="s">
        <v>1585</v>
      </c>
      <c r="F5774" t="s">
        <v>1588</v>
      </c>
    </row>
    <row r="5775" spans="1:6">
      <c r="A5775">
        <v>244</v>
      </c>
      <c r="B5775" t="s">
        <v>1017</v>
      </c>
      <c r="C5775">
        <v>6895</v>
      </c>
      <c r="D5775" t="s">
        <v>1454</v>
      </c>
      <c r="E5775" t="s">
        <v>1455</v>
      </c>
      <c r="F5775" t="s">
        <v>1456</v>
      </c>
    </row>
    <row r="5776" spans="1:6">
      <c r="A5776">
        <v>244</v>
      </c>
      <c r="B5776" t="s">
        <v>1017</v>
      </c>
      <c r="C5776">
        <v>9000</v>
      </c>
      <c r="D5776" t="s">
        <v>1457</v>
      </c>
      <c r="E5776" t="s">
        <v>1455</v>
      </c>
      <c r="F5776" t="s">
        <v>1458</v>
      </c>
    </row>
    <row r="5777" spans="1:6">
      <c r="A5777">
        <v>244</v>
      </c>
      <c r="B5777" t="s">
        <v>1017</v>
      </c>
      <c r="C5777">
        <v>7948</v>
      </c>
      <c r="D5777" t="s">
        <v>1589</v>
      </c>
      <c r="E5777" t="s">
        <v>1590</v>
      </c>
      <c r="F5777" t="s">
        <v>1591</v>
      </c>
    </row>
    <row r="5778" spans="1:6">
      <c r="A5778">
        <v>244</v>
      </c>
      <c r="B5778" t="s">
        <v>1017</v>
      </c>
      <c r="C5778">
        <v>6217</v>
      </c>
      <c r="D5778" t="s">
        <v>1594</v>
      </c>
      <c r="E5778" t="s">
        <v>1595</v>
      </c>
      <c r="F5778" t="s">
        <v>1596</v>
      </c>
    </row>
    <row r="5779" spans="1:6">
      <c r="A5779">
        <v>244</v>
      </c>
      <c r="B5779" t="s">
        <v>1017</v>
      </c>
      <c r="C5779">
        <v>206703</v>
      </c>
      <c r="D5779" t="s">
        <v>1464</v>
      </c>
      <c r="E5779" t="s">
        <v>1462</v>
      </c>
      <c r="F5779" t="s">
        <v>1465</v>
      </c>
    </row>
    <row r="5780" spans="1:6">
      <c r="A5780">
        <v>244</v>
      </c>
      <c r="B5780" t="s">
        <v>1017</v>
      </c>
      <c r="C5780">
        <v>8983</v>
      </c>
      <c r="D5780" t="s">
        <v>1029</v>
      </c>
      <c r="E5780" t="s">
        <v>1015</v>
      </c>
      <c r="F5780" t="s">
        <v>1016</v>
      </c>
    </row>
    <row r="5781" spans="1:6">
      <c r="A5781">
        <v>244</v>
      </c>
      <c r="B5781" t="s">
        <v>1017</v>
      </c>
      <c r="C5781">
        <v>127274</v>
      </c>
      <c r="D5781" t="s">
        <v>1469</v>
      </c>
      <c r="E5781" t="s">
        <v>1470</v>
      </c>
      <c r="F5781" t="s">
        <v>1471</v>
      </c>
    </row>
    <row r="5782" spans="1:6">
      <c r="A5782">
        <v>244</v>
      </c>
      <c r="B5782" t="s">
        <v>1017</v>
      </c>
      <c r="C5782">
        <v>353923</v>
      </c>
      <c r="D5782" t="s">
        <v>1610</v>
      </c>
      <c r="E5782" t="s">
        <v>1481</v>
      </c>
      <c r="F5782" t="s">
        <v>1482</v>
      </c>
    </row>
    <row r="5783" spans="1:6">
      <c r="A5783">
        <v>245</v>
      </c>
      <c r="B5783" t="s">
        <v>1030</v>
      </c>
      <c r="C5783">
        <v>14768</v>
      </c>
      <c r="D5783" t="s">
        <v>1483</v>
      </c>
      <c r="E5783" t="s">
        <v>1484</v>
      </c>
      <c r="F5783" t="s">
        <v>1485</v>
      </c>
    </row>
    <row r="5784" spans="1:6">
      <c r="A5784">
        <v>245</v>
      </c>
      <c r="B5784" t="s">
        <v>1030</v>
      </c>
      <c r="C5784">
        <v>105502</v>
      </c>
      <c r="D5784" t="s">
        <v>1079</v>
      </c>
      <c r="E5784" t="s">
        <v>1080</v>
      </c>
      <c r="F5784" t="s">
        <v>1081</v>
      </c>
    </row>
    <row r="5785" spans="1:6">
      <c r="A5785">
        <v>245</v>
      </c>
      <c r="B5785" t="s">
        <v>1030</v>
      </c>
      <c r="C5785">
        <v>12991</v>
      </c>
      <c r="D5785" t="s">
        <v>1082</v>
      </c>
      <c r="E5785" t="s">
        <v>1083</v>
      </c>
      <c r="F5785" t="s">
        <v>1084</v>
      </c>
    </row>
    <row r="5786" spans="1:6">
      <c r="A5786">
        <v>245</v>
      </c>
      <c r="B5786" t="s">
        <v>1030</v>
      </c>
      <c r="C5786">
        <v>194866</v>
      </c>
      <c r="D5786" t="s">
        <v>1085</v>
      </c>
      <c r="E5786" t="s">
        <v>1086</v>
      </c>
      <c r="F5786" t="s">
        <v>1087</v>
      </c>
    </row>
    <row r="5787" spans="1:6">
      <c r="A5787">
        <v>245</v>
      </c>
      <c r="B5787" t="s">
        <v>1030</v>
      </c>
      <c r="C5787">
        <v>102250</v>
      </c>
      <c r="D5787" t="s">
        <v>1404</v>
      </c>
      <c r="E5787" t="s">
        <v>1405</v>
      </c>
      <c r="F5787" t="s">
        <v>1406</v>
      </c>
    </row>
    <row r="5788" spans="1:6">
      <c r="A5788">
        <v>245</v>
      </c>
      <c r="B5788" t="s">
        <v>1030</v>
      </c>
      <c r="C5788">
        <v>7527</v>
      </c>
      <c r="D5788" t="s">
        <v>1327</v>
      </c>
      <c r="E5788" t="s">
        <v>1328</v>
      </c>
      <c r="F5788" t="s">
        <v>1329</v>
      </c>
    </row>
    <row r="5789" spans="1:6">
      <c r="A5789">
        <v>245</v>
      </c>
      <c r="B5789" t="s">
        <v>1030</v>
      </c>
      <c r="C5789">
        <v>89089</v>
      </c>
      <c r="D5789" t="s">
        <v>1333</v>
      </c>
      <c r="E5789" t="s">
        <v>1383</v>
      </c>
      <c r="F5789" t="s">
        <v>1334</v>
      </c>
    </row>
    <row r="5790" spans="1:6">
      <c r="A5790">
        <v>245</v>
      </c>
      <c r="B5790" t="s">
        <v>1030</v>
      </c>
      <c r="C5790">
        <v>93630</v>
      </c>
      <c r="D5790" t="s">
        <v>1382</v>
      </c>
      <c r="E5790" t="s">
        <v>1383</v>
      </c>
      <c r="F5790" t="s">
        <v>1384</v>
      </c>
    </row>
    <row r="5791" spans="1:6">
      <c r="A5791">
        <v>245</v>
      </c>
      <c r="B5791" t="s">
        <v>1030</v>
      </c>
      <c r="C5791">
        <v>78689</v>
      </c>
      <c r="D5791" t="s">
        <v>1338</v>
      </c>
      <c r="E5791" t="s">
        <v>1383</v>
      </c>
      <c r="F5791" t="s">
        <v>1384</v>
      </c>
    </row>
    <row r="5792" spans="1:6">
      <c r="A5792">
        <v>245</v>
      </c>
      <c r="B5792" t="s">
        <v>1030</v>
      </c>
      <c r="C5792">
        <v>71669</v>
      </c>
      <c r="D5792" t="s">
        <v>1339</v>
      </c>
      <c r="E5792" t="s">
        <v>1383</v>
      </c>
      <c r="F5792" t="s">
        <v>1384</v>
      </c>
    </row>
    <row r="5793" spans="1:6">
      <c r="A5793">
        <v>245</v>
      </c>
      <c r="B5793" t="s">
        <v>1030</v>
      </c>
      <c r="C5793">
        <v>55999</v>
      </c>
      <c r="D5793" t="s">
        <v>1340</v>
      </c>
      <c r="E5793" t="s">
        <v>1383</v>
      </c>
      <c r="F5793" t="s">
        <v>1384</v>
      </c>
    </row>
    <row r="5794" spans="1:6">
      <c r="A5794">
        <v>245</v>
      </c>
      <c r="B5794" t="s">
        <v>1030</v>
      </c>
      <c r="C5794">
        <v>74755</v>
      </c>
      <c r="D5794" t="s">
        <v>1341</v>
      </c>
      <c r="E5794" t="s">
        <v>1383</v>
      </c>
      <c r="F5794" t="s">
        <v>1384</v>
      </c>
    </row>
    <row r="5795" spans="1:6">
      <c r="A5795">
        <v>245</v>
      </c>
      <c r="B5795" t="s">
        <v>1030</v>
      </c>
      <c r="C5795">
        <v>83016</v>
      </c>
      <c r="D5795" t="s">
        <v>1342</v>
      </c>
      <c r="E5795" t="s">
        <v>1383</v>
      </c>
      <c r="F5795" t="s">
        <v>1384</v>
      </c>
    </row>
    <row r="5796" spans="1:6">
      <c r="A5796">
        <v>245</v>
      </c>
      <c r="B5796" t="s">
        <v>1030</v>
      </c>
      <c r="C5796">
        <v>86356</v>
      </c>
      <c r="D5796" t="s">
        <v>1343</v>
      </c>
      <c r="E5796" t="s">
        <v>1383</v>
      </c>
      <c r="F5796" t="s">
        <v>1384</v>
      </c>
    </row>
    <row r="5797" spans="1:6">
      <c r="A5797">
        <v>245</v>
      </c>
      <c r="B5797" t="s">
        <v>1030</v>
      </c>
      <c r="C5797">
        <v>68330</v>
      </c>
      <c r="D5797" t="s">
        <v>1344</v>
      </c>
      <c r="E5797" t="s">
        <v>1383</v>
      </c>
      <c r="F5797" t="s">
        <v>1384</v>
      </c>
    </row>
    <row r="5798" spans="1:6">
      <c r="A5798">
        <v>245</v>
      </c>
      <c r="B5798" t="s">
        <v>1030</v>
      </c>
      <c r="C5798">
        <v>71671</v>
      </c>
      <c r="D5798" t="s">
        <v>1345</v>
      </c>
      <c r="E5798" t="s">
        <v>1383</v>
      </c>
      <c r="F5798" t="s">
        <v>1384</v>
      </c>
    </row>
    <row r="5799" spans="1:6">
      <c r="A5799">
        <v>245</v>
      </c>
      <c r="B5799" t="s">
        <v>1030</v>
      </c>
      <c r="C5799">
        <v>74047</v>
      </c>
      <c r="D5799" t="s">
        <v>1385</v>
      </c>
      <c r="E5799" t="s">
        <v>1383</v>
      </c>
      <c r="F5799" t="s">
        <v>1386</v>
      </c>
    </row>
    <row r="5800" spans="1:6">
      <c r="A5800">
        <v>245</v>
      </c>
      <c r="B5800" t="s">
        <v>1030</v>
      </c>
      <c r="C5800">
        <v>84384</v>
      </c>
      <c r="D5800" t="s">
        <v>1153</v>
      </c>
      <c r="E5800" t="s">
        <v>1383</v>
      </c>
      <c r="F5800" t="s">
        <v>1386</v>
      </c>
    </row>
    <row r="5801" spans="1:6">
      <c r="A5801">
        <v>245</v>
      </c>
      <c r="B5801" t="s">
        <v>1030</v>
      </c>
      <c r="C5801">
        <v>81219</v>
      </c>
      <c r="D5801" t="s">
        <v>1154</v>
      </c>
      <c r="E5801" t="s">
        <v>1383</v>
      </c>
      <c r="F5801" t="s">
        <v>1386</v>
      </c>
    </row>
    <row r="5802" spans="1:6">
      <c r="A5802">
        <v>245</v>
      </c>
      <c r="B5802" t="s">
        <v>1030</v>
      </c>
      <c r="C5802">
        <v>70353</v>
      </c>
      <c r="D5802" t="s">
        <v>1155</v>
      </c>
      <c r="E5802" t="s">
        <v>1383</v>
      </c>
      <c r="F5802" t="s">
        <v>1386</v>
      </c>
    </row>
    <row r="5803" spans="1:6">
      <c r="A5803">
        <v>245</v>
      </c>
      <c r="B5803" t="s">
        <v>1030</v>
      </c>
      <c r="C5803">
        <v>60591</v>
      </c>
      <c r="D5803" t="s">
        <v>1089</v>
      </c>
      <c r="E5803" t="s">
        <v>1383</v>
      </c>
      <c r="F5803" t="s">
        <v>1386</v>
      </c>
    </row>
    <row r="5804" spans="1:6">
      <c r="A5804">
        <v>245</v>
      </c>
      <c r="B5804" t="s">
        <v>1030</v>
      </c>
      <c r="C5804">
        <v>80669</v>
      </c>
      <c r="D5804" t="s">
        <v>1090</v>
      </c>
      <c r="E5804" t="s">
        <v>1383</v>
      </c>
      <c r="F5804" t="s">
        <v>1386</v>
      </c>
    </row>
    <row r="5805" spans="1:6">
      <c r="A5805">
        <v>245</v>
      </c>
      <c r="B5805" t="s">
        <v>1030</v>
      </c>
      <c r="C5805">
        <v>98801</v>
      </c>
      <c r="D5805" t="s">
        <v>1091</v>
      </c>
      <c r="E5805" t="s">
        <v>1383</v>
      </c>
      <c r="F5805" t="s">
        <v>1386</v>
      </c>
    </row>
    <row r="5806" spans="1:6">
      <c r="A5806">
        <v>245</v>
      </c>
      <c r="B5806" t="s">
        <v>1030</v>
      </c>
      <c r="C5806">
        <v>67714</v>
      </c>
      <c r="D5806" t="s">
        <v>1031</v>
      </c>
      <c r="E5806" t="s">
        <v>1383</v>
      </c>
      <c r="F5806" t="s">
        <v>1386</v>
      </c>
    </row>
    <row r="5807" spans="1:6">
      <c r="A5807">
        <v>245</v>
      </c>
      <c r="B5807" t="s">
        <v>1030</v>
      </c>
      <c r="C5807">
        <v>66544</v>
      </c>
      <c r="D5807" t="s">
        <v>926</v>
      </c>
      <c r="E5807" t="s">
        <v>1383</v>
      </c>
      <c r="F5807" t="s">
        <v>1386</v>
      </c>
    </row>
    <row r="5808" spans="1:6">
      <c r="A5808">
        <v>245</v>
      </c>
      <c r="B5808" t="s">
        <v>1030</v>
      </c>
      <c r="C5808">
        <v>115561</v>
      </c>
      <c r="D5808" t="s">
        <v>1142</v>
      </c>
      <c r="E5808" t="s">
        <v>1383</v>
      </c>
      <c r="F5808" t="s">
        <v>1143</v>
      </c>
    </row>
    <row r="5809" spans="1:6">
      <c r="A5809">
        <v>245</v>
      </c>
      <c r="B5809" t="s">
        <v>1030</v>
      </c>
      <c r="C5809">
        <v>67338</v>
      </c>
      <c r="D5809" t="s">
        <v>1144</v>
      </c>
      <c r="E5809" t="s">
        <v>1383</v>
      </c>
      <c r="F5809" t="s">
        <v>1143</v>
      </c>
    </row>
    <row r="5810" spans="1:6">
      <c r="A5810">
        <v>245</v>
      </c>
      <c r="B5810" t="s">
        <v>1030</v>
      </c>
      <c r="C5810">
        <v>91750</v>
      </c>
      <c r="D5810" t="s">
        <v>981</v>
      </c>
      <c r="E5810" t="s">
        <v>982</v>
      </c>
      <c r="F5810" t="s">
        <v>983</v>
      </c>
    </row>
    <row r="5811" spans="1:6">
      <c r="A5811">
        <v>245</v>
      </c>
      <c r="B5811" t="s">
        <v>1030</v>
      </c>
      <c r="C5811">
        <v>75000</v>
      </c>
      <c r="D5811" t="s">
        <v>984</v>
      </c>
      <c r="E5811" t="s">
        <v>985</v>
      </c>
      <c r="F5811" t="s">
        <v>983</v>
      </c>
    </row>
    <row r="5812" spans="1:6">
      <c r="A5812">
        <v>245</v>
      </c>
      <c r="B5812" t="s">
        <v>1030</v>
      </c>
      <c r="C5812">
        <v>43567</v>
      </c>
      <c r="D5812" t="s">
        <v>1204</v>
      </c>
      <c r="E5812" t="s">
        <v>1205</v>
      </c>
      <c r="F5812" t="s">
        <v>1206</v>
      </c>
    </row>
    <row r="5813" spans="1:6">
      <c r="A5813">
        <v>245</v>
      </c>
      <c r="B5813" t="s">
        <v>1030</v>
      </c>
      <c r="C5813">
        <v>3451500</v>
      </c>
      <c r="D5813" t="s">
        <v>927</v>
      </c>
      <c r="E5813" t="s">
        <v>1411</v>
      </c>
      <c r="F5813" t="s">
        <v>1412</v>
      </c>
    </row>
    <row r="5814" spans="1:6">
      <c r="A5814">
        <v>245</v>
      </c>
      <c r="B5814" t="s">
        <v>1030</v>
      </c>
      <c r="C5814">
        <v>2905500</v>
      </c>
      <c r="D5814" t="s">
        <v>928</v>
      </c>
      <c r="E5814" t="s">
        <v>1411</v>
      </c>
      <c r="F5814" t="s">
        <v>1412</v>
      </c>
    </row>
    <row r="5815" spans="1:6">
      <c r="A5815">
        <v>245</v>
      </c>
      <c r="B5815" t="s">
        <v>1030</v>
      </c>
      <c r="C5815">
        <v>27359</v>
      </c>
      <c r="D5815" t="s">
        <v>1390</v>
      </c>
      <c r="E5815" t="s">
        <v>1391</v>
      </c>
      <c r="F5815" t="s">
        <v>1392</v>
      </c>
    </row>
    <row r="5816" spans="1:6">
      <c r="A5816">
        <v>245</v>
      </c>
      <c r="B5816" t="s">
        <v>1030</v>
      </c>
      <c r="C5816">
        <v>123676</v>
      </c>
      <c r="D5816" t="s">
        <v>1534</v>
      </c>
      <c r="E5816" t="s">
        <v>1535</v>
      </c>
      <c r="F5816" t="s">
        <v>1536</v>
      </c>
    </row>
    <row r="5817" spans="1:6">
      <c r="A5817">
        <v>245</v>
      </c>
      <c r="B5817" t="s">
        <v>1030</v>
      </c>
      <c r="C5817">
        <v>99767</v>
      </c>
      <c r="D5817" t="s">
        <v>1579</v>
      </c>
      <c r="E5817" t="s">
        <v>1577</v>
      </c>
      <c r="F5817" t="s">
        <v>1580</v>
      </c>
    </row>
    <row r="5818" spans="1:6">
      <c r="A5818">
        <v>245</v>
      </c>
      <c r="B5818" t="s">
        <v>1030</v>
      </c>
      <c r="C5818">
        <v>115405</v>
      </c>
      <c r="D5818" t="s">
        <v>1436</v>
      </c>
      <c r="E5818" t="s">
        <v>1437</v>
      </c>
      <c r="F5818" t="s">
        <v>1438</v>
      </c>
    </row>
    <row r="5819" spans="1:6">
      <c r="A5819">
        <v>245</v>
      </c>
      <c r="B5819" t="s">
        <v>1030</v>
      </c>
      <c r="C5819">
        <v>20310</v>
      </c>
      <c r="D5819" t="s">
        <v>929</v>
      </c>
      <c r="E5819" t="s">
        <v>1440</v>
      </c>
      <c r="F5819" t="s">
        <v>1441</v>
      </c>
    </row>
    <row r="5820" spans="1:6">
      <c r="A5820">
        <v>245</v>
      </c>
      <c r="B5820" t="s">
        <v>1030</v>
      </c>
      <c r="C5820">
        <v>76405</v>
      </c>
      <c r="D5820" t="s">
        <v>930</v>
      </c>
      <c r="E5820" t="s">
        <v>1445</v>
      </c>
      <c r="F5820" t="s">
        <v>1443</v>
      </c>
    </row>
    <row r="5821" spans="1:6">
      <c r="A5821">
        <v>245</v>
      </c>
      <c r="B5821" t="s">
        <v>1030</v>
      </c>
      <c r="C5821">
        <v>765</v>
      </c>
      <c r="D5821" t="s">
        <v>1581</v>
      </c>
      <c r="E5821" t="s">
        <v>1582</v>
      </c>
      <c r="F5821" t="s">
        <v>1583</v>
      </c>
    </row>
    <row r="5822" spans="1:6">
      <c r="A5822">
        <v>245</v>
      </c>
      <c r="B5822" t="s">
        <v>1030</v>
      </c>
      <c r="C5822">
        <v>550000</v>
      </c>
      <c r="D5822" t="s">
        <v>1263</v>
      </c>
      <c r="E5822" t="s">
        <v>1445</v>
      </c>
      <c r="F5822" t="s">
        <v>1583</v>
      </c>
    </row>
    <row r="5823" spans="1:6">
      <c r="A5823">
        <v>245</v>
      </c>
      <c r="B5823" t="s">
        <v>1030</v>
      </c>
      <c r="C5823">
        <v>19370</v>
      </c>
      <c r="D5823" t="s">
        <v>1587</v>
      </c>
      <c r="E5823" t="s">
        <v>1585</v>
      </c>
      <c r="F5823" t="s">
        <v>1588</v>
      </c>
    </row>
    <row r="5824" spans="1:6">
      <c r="A5824">
        <v>245</v>
      </c>
      <c r="B5824" t="s">
        <v>1030</v>
      </c>
      <c r="C5824">
        <v>343731</v>
      </c>
      <c r="D5824" t="s">
        <v>1268</v>
      </c>
      <c r="E5824" t="s">
        <v>1450</v>
      </c>
      <c r="F5824" t="s">
        <v>1453</v>
      </c>
    </row>
    <row r="5825" spans="1:6">
      <c r="A5825">
        <v>245</v>
      </c>
      <c r="B5825" t="s">
        <v>1030</v>
      </c>
      <c r="C5825">
        <v>291</v>
      </c>
      <c r="D5825" t="s">
        <v>1454</v>
      </c>
      <c r="E5825" t="s">
        <v>1455</v>
      </c>
      <c r="F5825" t="s">
        <v>1456</v>
      </c>
    </row>
    <row r="5826" spans="1:6">
      <c r="A5826">
        <v>245</v>
      </c>
      <c r="B5826" t="s">
        <v>1030</v>
      </c>
      <c r="C5826">
        <v>39185</v>
      </c>
      <c r="D5826" t="s">
        <v>1457</v>
      </c>
      <c r="E5826" t="s">
        <v>1455</v>
      </c>
      <c r="F5826" t="s">
        <v>1458</v>
      </c>
    </row>
    <row r="5827" spans="1:6">
      <c r="A5827">
        <v>245</v>
      </c>
      <c r="B5827" t="s">
        <v>1030</v>
      </c>
      <c r="C5827">
        <v>3113</v>
      </c>
      <c r="D5827" t="s">
        <v>1592</v>
      </c>
      <c r="E5827" t="s">
        <v>1590</v>
      </c>
      <c r="F5827" t="s">
        <v>1593</v>
      </c>
    </row>
    <row r="5828" spans="1:6">
      <c r="A5828">
        <v>245</v>
      </c>
      <c r="B5828" t="s">
        <v>1030</v>
      </c>
      <c r="C5828">
        <v>1508</v>
      </c>
      <c r="D5828" t="s">
        <v>1597</v>
      </c>
      <c r="E5828" t="s">
        <v>1595</v>
      </c>
      <c r="F5828" t="s">
        <v>1598</v>
      </c>
    </row>
    <row r="5829" spans="1:6">
      <c r="A5829">
        <v>245</v>
      </c>
      <c r="B5829" t="s">
        <v>1030</v>
      </c>
      <c r="C5829">
        <v>21725</v>
      </c>
      <c r="D5829" t="s">
        <v>1469</v>
      </c>
      <c r="E5829" t="s">
        <v>1470</v>
      </c>
      <c r="F5829" t="s">
        <v>1471</v>
      </c>
    </row>
    <row r="5830" spans="1:6">
      <c r="A5830">
        <v>245</v>
      </c>
      <c r="B5830" t="s">
        <v>1030</v>
      </c>
      <c r="C5830">
        <v>1732</v>
      </c>
      <c r="D5830" t="s">
        <v>1472</v>
      </c>
      <c r="E5830" t="s">
        <v>1473</v>
      </c>
      <c r="F5830" t="s">
        <v>1474</v>
      </c>
    </row>
    <row r="5831" spans="1:6">
      <c r="A5831">
        <v>245</v>
      </c>
      <c r="B5831" t="s">
        <v>1030</v>
      </c>
      <c r="C5831">
        <v>18447.89</v>
      </c>
      <c r="D5831" t="s">
        <v>1475</v>
      </c>
      <c r="E5831" t="s">
        <v>1476</v>
      </c>
      <c r="F5831" t="s">
        <v>1477</v>
      </c>
    </row>
    <row r="5832" spans="1:6">
      <c r="A5832">
        <v>245</v>
      </c>
      <c r="B5832" t="s">
        <v>1030</v>
      </c>
      <c r="C5832">
        <v>133283.41</v>
      </c>
      <c r="D5832" t="s">
        <v>1365</v>
      </c>
      <c r="E5832" t="s">
        <v>1366</v>
      </c>
      <c r="F5832" t="s">
        <v>1367</v>
      </c>
    </row>
    <row r="5833" spans="1:6">
      <c r="A5833">
        <v>245</v>
      </c>
      <c r="B5833" t="s">
        <v>1030</v>
      </c>
      <c r="C5833">
        <v>1281949</v>
      </c>
      <c r="D5833" t="s">
        <v>1418</v>
      </c>
      <c r="E5833" t="s">
        <v>1419</v>
      </c>
      <c r="F5833" t="s">
        <v>1420</v>
      </c>
    </row>
    <row r="5834" spans="1:6">
      <c r="A5834">
        <v>253</v>
      </c>
      <c r="B5834" t="s">
        <v>931</v>
      </c>
      <c r="C5834">
        <v>26460</v>
      </c>
      <c r="D5834" t="s">
        <v>932</v>
      </c>
      <c r="E5834" t="s">
        <v>933</v>
      </c>
      <c r="F5834" t="s">
        <v>1178</v>
      </c>
    </row>
    <row r="5835" spans="1:6">
      <c r="A5835">
        <v>253</v>
      </c>
      <c r="B5835" t="s">
        <v>931</v>
      </c>
      <c r="C5835">
        <v>53254</v>
      </c>
      <c r="D5835" t="s">
        <v>934</v>
      </c>
      <c r="E5835" t="s">
        <v>935</v>
      </c>
      <c r="F5835" t="s">
        <v>936</v>
      </c>
    </row>
    <row r="5836" spans="1:6">
      <c r="A5836">
        <v>253</v>
      </c>
      <c r="B5836" t="s">
        <v>931</v>
      </c>
      <c r="C5836">
        <v>40000</v>
      </c>
      <c r="D5836" t="s">
        <v>937</v>
      </c>
      <c r="E5836" t="s">
        <v>938</v>
      </c>
      <c r="F5836" t="s">
        <v>939</v>
      </c>
    </row>
    <row r="5837" spans="1:6">
      <c r="A5837">
        <v>253</v>
      </c>
      <c r="B5837" t="s">
        <v>931</v>
      </c>
      <c r="C5837">
        <v>225000</v>
      </c>
      <c r="D5837" t="s">
        <v>940</v>
      </c>
      <c r="E5837" t="s">
        <v>941</v>
      </c>
      <c r="F5837" t="s">
        <v>942</v>
      </c>
    </row>
    <row r="5838" spans="1:6">
      <c r="A5838">
        <v>253</v>
      </c>
      <c r="B5838" t="s">
        <v>931</v>
      </c>
      <c r="C5838">
        <v>10000</v>
      </c>
      <c r="D5838" t="s">
        <v>943</v>
      </c>
      <c r="E5838" t="s">
        <v>944</v>
      </c>
      <c r="F5838" t="s">
        <v>945</v>
      </c>
    </row>
    <row r="5839" spans="1:6">
      <c r="A5839">
        <v>253</v>
      </c>
      <c r="B5839" t="s">
        <v>931</v>
      </c>
      <c r="C5839">
        <v>100000</v>
      </c>
      <c r="D5839" t="s">
        <v>946</v>
      </c>
      <c r="E5839" t="s">
        <v>947</v>
      </c>
      <c r="F5839" t="s">
        <v>948</v>
      </c>
    </row>
    <row r="5840" spans="1:6">
      <c r="A5840">
        <v>253</v>
      </c>
      <c r="B5840" t="s">
        <v>931</v>
      </c>
      <c r="C5840">
        <v>217504</v>
      </c>
      <c r="D5840" t="s">
        <v>1079</v>
      </c>
      <c r="E5840" t="s">
        <v>1080</v>
      </c>
      <c r="F5840" t="s">
        <v>1081</v>
      </c>
    </row>
    <row r="5841" spans="1:6">
      <c r="A5841">
        <v>253</v>
      </c>
      <c r="B5841" t="s">
        <v>931</v>
      </c>
      <c r="C5841">
        <v>18887</v>
      </c>
      <c r="D5841" t="s">
        <v>1082</v>
      </c>
      <c r="E5841" t="s">
        <v>1083</v>
      </c>
      <c r="F5841" t="s">
        <v>1084</v>
      </c>
    </row>
    <row r="5842" spans="1:6">
      <c r="A5842">
        <v>253</v>
      </c>
      <c r="B5842" t="s">
        <v>931</v>
      </c>
      <c r="C5842">
        <v>283304</v>
      </c>
      <c r="D5842" t="s">
        <v>1085</v>
      </c>
      <c r="E5842" t="s">
        <v>1086</v>
      </c>
      <c r="F5842" t="s">
        <v>1087</v>
      </c>
    </row>
    <row r="5843" spans="1:6">
      <c r="A5843">
        <v>253</v>
      </c>
      <c r="B5843" t="s">
        <v>931</v>
      </c>
      <c r="C5843">
        <v>19961</v>
      </c>
      <c r="D5843" t="s">
        <v>949</v>
      </c>
      <c r="E5843" t="s">
        <v>950</v>
      </c>
      <c r="F5843" t="s">
        <v>1406</v>
      </c>
    </row>
    <row r="5844" spans="1:6">
      <c r="A5844">
        <v>253</v>
      </c>
      <c r="B5844" t="s">
        <v>931</v>
      </c>
      <c r="C5844">
        <v>74400</v>
      </c>
      <c r="D5844" t="s">
        <v>1333</v>
      </c>
      <c r="E5844" t="s">
        <v>1383</v>
      </c>
      <c r="F5844" t="s">
        <v>1334</v>
      </c>
    </row>
    <row r="5845" spans="1:6">
      <c r="A5845">
        <v>253</v>
      </c>
      <c r="B5845" t="s">
        <v>931</v>
      </c>
      <c r="C5845">
        <v>83700</v>
      </c>
      <c r="D5845" t="s">
        <v>1335</v>
      </c>
      <c r="E5845" t="s">
        <v>1383</v>
      </c>
      <c r="F5845" t="s">
        <v>1334</v>
      </c>
    </row>
    <row r="5846" spans="1:6">
      <c r="A5846">
        <v>253</v>
      </c>
      <c r="B5846" t="s">
        <v>931</v>
      </c>
      <c r="C5846">
        <v>74400</v>
      </c>
      <c r="D5846" t="s">
        <v>1382</v>
      </c>
      <c r="E5846" t="s">
        <v>1383</v>
      </c>
      <c r="F5846" t="s">
        <v>1384</v>
      </c>
    </row>
    <row r="5847" spans="1:6">
      <c r="A5847">
        <v>253</v>
      </c>
      <c r="B5847" t="s">
        <v>931</v>
      </c>
      <c r="C5847">
        <v>66835</v>
      </c>
      <c r="D5847" t="s">
        <v>1338</v>
      </c>
      <c r="E5847" t="s">
        <v>1383</v>
      </c>
      <c r="F5847" t="s">
        <v>1384</v>
      </c>
    </row>
    <row r="5848" spans="1:6">
      <c r="A5848">
        <v>253</v>
      </c>
      <c r="B5848" t="s">
        <v>931</v>
      </c>
      <c r="C5848">
        <v>75190</v>
      </c>
      <c r="D5848" t="s">
        <v>1339</v>
      </c>
      <c r="E5848" t="s">
        <v>1383</v>
      </c>
      <c r="F5848" t="s">
        <v>1384</v>
      </c>
    </row>
    <row r="5849" spans="1:6">
      <c r="A5849">
        <v>253</v>
      </c>
      <c r="B5849" t="s">
        <v>931</v>
      </c>
      <c r="C5849">
        <v>75190</v>
      </c>
      <c r="D5849" t="s">
        <v>1340</v>
      </c>
      <c r="E5849" t="s">
        <v>1383</v>
      </c>
      <c r="F5849" t="s">
        <v>1384</v>
      </c>
    </row>
    <row r="5850" spans="1:6">
      <c r="A5850">
        <v>253</v>
      </c>
      <c r="B5850" t="s">
        <v>931</v>
      </c>
      <c r="C5850">
        <v>66835</v>
      </c>
      <c r="D5850" t="s">
        <v>1341</v>
      </c>
      <c r="E5850" t="s">
        <v>1383</v>
      </c>
      <c r="F5850" t="s">
        <v>1384</v>
      </c>
    </row>
    <row r="5851" spans="1:6">
      <c r="A5851">
        <v>253</v>
      </c>
      <c r="B5851" t="s">
        <v>931</v>
      </c>
      <c r="C5851">
        <v>74400</v>
      </c>
      <c r="D5851" t="s">
        <v>1342</v>
      </c>
      <c r="E5851" t="s">
        <v>1383</v>
      </c>
      <c r="F5851" t="s">
        <v>1384</v>
      </c>
    </row>
    <row r="5852" spans="1:6">
      <c r="A5852">
        <v>253</v>
      </c>
      <c r="B5852" t="s">
        <v>931</v>
      </c>
      <c r="C5852">
        <v>75190</v>
      </c>
      <c r="D5852" t="s">
        <v>1343</v>
      </c>
      <c r="E5852" t="s">
        <v>1383</v>
      </c>
      <c r="F5852" t="s">
        <v>1384</v>
      </c>
    </row>
    <row r="5853" spans="1:6">
      <c r="A5853">
        <v>253</v>
      </c>
      <c r="B5853" t="s">
        <v>931</v>
      </c>
      <c r="C5853">
        <v>91914</v>
      </c>
      <c r="D5853" t="s">
        <v>1344</v>
      </c>
      <c r="E5853" t="s">
        <v>1383</v>
      </c>
      <c r="F5853" t="s">
        <v>1384</v>
      </c>
    </row>
    <row r="5854" spans="1:6">
      <c r="A5854">
        <v>253</v>
      </c>
      <c r="B5854" t="s">
        <v>931</v>
      </c>
      <c r="C5854">
        <v>74400</v>
      </c>
      <c r="D5854" t="s">
        <v>1345</v>
      </c>
      <c r="E5854" t="s">
        <v>1383</v>
      </c>
      <c r="F5854" t="s">
        <v>1384</v>
      </c>
    </row>
    <row r="5855" spans="1:6">
      <c r="A5855">
        <v>253</v>
      </c>
      <c r="B5855" t="s">
        <v>931</v>
      </c>
      <c r="C5855">
        <v>66835</v>
      </c>
      <c r="D5855" t="s">
        <v>1385</v>
      </c>
      <c r="E5855" t="s">
        <v>1383</v>
      </c>
      <c r="F5855" t="s">
        <v>1386</v>
      </c>
    </row>
    <row r="5856" spans="1:6">
      <c r="A5856">
        <v>253</v>
      </c>
      <c r="B5856" t="s">
        <v>931</v>
      </c>
      <c r="C5856">
        <v>85404</v>
      </c>
      <c r="D5856" t="s">
        <v>1153</v>
      </c>
      <c r="E5856" t="s">
        <v>1383</v>
      </c>
      <c r="F5856" t="s">
        <v>1386</v>
      </c>
    </row>
    <row r="5857" spans="1:6">
      <c r="A5857">
        <v>253</v>
      </c>
      <c r="B5857" t="s">
        <v>931</v>
      </c>
      <c r="C5857">
        <v>74400</v>
      </c>
      <c r="D5857" t="s">
        <v>1154</v>
      </c>
      <c r="E5857" t="s">
        <v>1383</v>
      </c>
      <c r="F5857" t="s">
        <v>1386</v>
      </c>
    </row>
    <row r="5858" spans="1:6">
      <c r="A5858">
        <v>253</v>
      </c>
      <c r="B5858" t="s">
        <v>931</v>
      </c>
      <c r="C5858">
        <v>131911</v>
      </c>
      <c r="D5858" t="s">
        <v>1155</v>
      </c>
      <c r="E5858" t="s">
        <v>1383</v>
      </c>
      <c r="F5858" t="s">
        <v>1386</v>
      </c>
    </row>
    <row r="5859" spans="1:6">
      <c r="A5859">
        <v>253</v>
      </c>
      <c r="B5859" t="s">
        <v>931</v>
      </c>
      <c r="C5859">
        <v>132115</v>
      </c>
      <c r="D5859" t="s">
        <v>1089</v>
      </c>
      <c r="E5859" t="s">
        <v>1383</v>
      </c>
      <c r="F5859" t="s">
        <v>1386</v>
      </c>
    </row>
    <row r="5860" spans="1:6">
      <c r="A5860">
        <v>253</v>
      </c>
      <c r="B5860" t="s">
        <v>931</v>
      </c>
      <c r="C5860">
        <v>14300</v>
      </c>
      <c r="D5860" t="s">
        <v>1387</v>
      </c>
      <c r="E5860" t="s">
        <v>1388</v>
      </c>
      <c r="F5860" t="s">
        <v>1389</v>
      </c>
    </row>
    <row r="5861" spans="1:6">
      <c r="A5861">
        <v>253</v>
      </c>
      <c r="B5861" t="s">
        <v>931</v>
      </c>
      <c r="C5861">
        <v>215475</v>
      </c>
      <c r="D5861" t="s">
        <v>951</v>
      </c>
      <c r="E5861" t="s">
        <v>1411</v>
      </c>
      <c r="F5861" t="s">
        <v>1412</v>
      </c>
    </row>
    <row r="5862" spans="1:6">
      <c r="A5862">
        <v>253</v>
      </c>
      <c r="B5862" t="s">
        <v>931</v>
      </c>
      <c r="C5862">
        <v>278736</v>
      </c>
      <c r="D5862" t="s">
        <v>1304</v>
      </c>
      <c r="E5862" t="s">
        <v>1305</v>
      </c>
      <c r="F5862" t="s">
        <v>1412</v>
      </c>
    </row>
    <row r="5863" spans="1:6">
      <c r="A5863">
        <v>253</v>
      </c>
      <c r="B5863" t="s">
        <v>931</v>
      </c>
      <c r="C5863">
        <v>33333</v>
      </c>
      <c r="D5863" t="s">
        <v>1306</v>
      </c>
      <c r="E5863" t="s">
        <v>1307</v>
      </c>
      <c r="F5863" t="s">
        <v>1308</v>
      </c>
    </row>
    <row r="5864" spans="1:6">
      <c r="A5864">
        <v>253</v>
      </c>
      <c r="B5864" t="s">
        <v>931</v>
      </c>
      <c r="C5864">
        <v>149613</v>
      </c>
      <c r="D5864" t="s">
        <v>1390</v>
      </c>
      <c r="E5864" t="s">
        <v>1391</v>
      </c>
      <c r="F5864" t="s">
        <v>1392</v>
      </c>
    </row>
    <row r="5865" spans="1:6">
      <c r="A5865">
        <v>253</v>
      </c>
      <c r="B5865" t="s">
        <v>931</v>
      </c>
      <c r="C5865">
        <v>109848</v>
      </c>
      <c r="D5865" t="s">
        <v>952</v>
      </c>
      <c r="E5865" t="s">
        <v>1391</v>
      </c>
      <c r="F5865" t="s">
        <v>1392</v>
      </c>
    </row>
    <row r="5866" spans="1:6">
      <c r="A5866">
        <v>253</v>
      </c>
      <c r="B5866" t="s">
        <v>931</v>
      </c>
      <c r="C5866">
        <v>34822</v>
      </c>
      <c r="D5866" t="s">
        <v>1220</v>
      </c>
      <c r="E5866" t="s">
        <v>1221</v>
      </c>
      <c r="F5866" t="s">
        <v>1222</v>
      </c>
    </row>
    <row r="5867" spans="1:6">
      <c r="A5867">
        <v>253</v>
      </c>
      <c r="B5867" t="s">
        <v>931</v>
      </c>
      <c r="C5867">
        <v>64904</v>
      </c>
      <c r="D5867" t="s">
        <v>1223</v>
      </c>
      <c r="E5867" t="s">
        <v>1221</v>
      </c>
      <c r="F5867" t="s">
        <v>1224</v>
      </c>
    </row>
    <row r="5868" spans="1:6">
      <c r="A5868">
        <v>253</v>
      </c>
      <c r="B5868" t="s">
        <v>931</v>
      </c>
      <c r="C5868">
        <v>50000</v>
      </c>
      <c r="D5868" t="s">
        <v>953</v>
      </c>
      <c r="E5868" t="s">
        <v>954</v>
      </c>
      <c r="F5868" t="s">
        <v>955</v>
      </c>
    </row>
    <row r="5869" spans="1:6">
      <c r="A5869">
        <v>253</v>
      </c>
      <c r="B5869" t="s">
        <v>931</v>
      </c>
      <c r="C5869">
        <v>7600</v>
      </c>
      <c r="D5869" t="s">
        <v>956</v>
      </c>
      <c r="E5869" t="s">
        <v>954</v>
      </c>
      <c r="F5869" t="s">
        <v>957</v>
      </c>
    </row>
    <row r="5870" spans="1:6">
      <c r="A5870">
        <v>253</v>
      </c>
      <c r="B5870" t="s">
        <v>931</v>
      </c>
      <c r="C5870">
        <v>1448</v>
      </c>
      <c r="D5870" t="s">
        <v>1225</v>
      </c>
      <c r="E5870" t="s">
        <v>1226</v>
      </c>
      <c r="F5870" t="s">
        <v>1227</v>
      </c>
    </row>
    <row r="5871" spans="1:6">
      <c r="A5871">
        <v>253</v>
      </c>
      <c r="B5871" t="s">
        <v>931</v>
      </c>
      <c r="C5871">
        <v>2549</v>
      </c>
      <c r="D5871" t="s">
        <v>1228</v>
      </c>
      <c r="E5871" t="s">
        <v>1226</v>
      </c>
      <c r="F5871" t="s">
        <v>1229</v>
      </c>
    </row>
    <row r="5872" spans="1:6">
      <c r="A5872">
        <v>253</v>
      </c>
      <c r="B5872" t="s">
        <v>931</v>
      </c>
      <c r="C5872">
        <v>41900</v>
      </c>
      <c r="D5872" t="s">
        <v>958</v>
      </c>
      <c r="E5872" t="s">
        <v>959</v>
      </c>
      <c r="F5872" t="s">
        <v>960</v>
      </c>
    </row>
    <row r="5873" spans="1:6">
      <c r="A5873">
        <v>253</v>
      </c>
      <c r="B5873" t="s">
        <v>931</v>
      </c>
      <c r="C5873">
        <v>12000</v>
      </c>
      <c r="D5873" t="s">
        <v>961</v>
      </c>
      <c r="E5873" t="s">
        <v>962</v>
      </c>
      <c r="F5873" t="s">
        <v>963</v>
      </c>
    </row>
    <row r="5874" spans="1:6">
      <c r="A5874">
        <v>253</v>
      </c>
      <c r="B5874" t="s">
        <v>931</v>
      </c>
      <c r="C5874">
        <v>61000</v>
      </c>
      <c r="D5874" t="s">
        <v>964</v>
      </c>
      <c r="E5874" t="s">
        <v>962</v>
      </c>
      <c r="F5874" t="s">
        <v>963</v>
      </c>
    </row>
    <row r="5875" spans="1:6">
      <c r="A5875">
        <v>253</v>
      </c>
      <c r="B5875" t="s">
        <v>931</v>
      </c>
      <c r="C5875">
        <v>1591100</v>
      </c>
      <c r="D5875" t="s">
        <v>965</v>
      </c>
      <c r="E5875" t="s">
        <v>962</v>
      </c>
      <c r="F5875" t="s">
        <v>963</v>
      </c>
    </row>
    <row r="5876" spans="1:6">
      <c r="A5876">
        <v>253</v>
      </c>
      <c r="B5876" t="s">
        <v>931</v>
      </c>
      <c r="C5876">
        <v>86500</v>
      </c>
      <c r="D5876" t="s">
        <v>966</v>
      </c>
      <c r="E5876" t="s">
        <v>962</v>
      </c>
      <c r="F5876" t="s">
        <v>967</v>
      </c>
    </row>
    <row r="5877" spans="1:6">
      <c r="A5877">
        <v>253</v>
      </c>
      <c r="B5877" t="s">
        <v>931</v>
      </c>
      <c r="C5877">
        <v>10000</v>
      </c>
      <c r="D5877" t="s">
        <v>968</v>
      </c>
      <c r="E5877" t="s">
        <v>969</v>
      </c>
      <c r="F5877" t="s">
        <v>1441</v>
      </c>
    </row>
    <row r="5878" spans="1:6">
      <c r="A5878">
        <v>253</v>
      </c>
      <c r="B5878" t="s">
        <v>931</v>
      </c>
      <c r="C5878">
        <v>53000</v>
      </c>
      <c r="D5878" t="s">
        <v>1444</v>
      </c>
      <c r="E5878" t="s">
        <v>1445</v>
      </c>
      <c r="F5878" t="s">
        <v>1443</v>
      </c>
    </row>
    <row r="5879" spans="1:6">
      <c r="A5879">
        <v>253</v>
      </c>
      <c r="B5879" t="s">
        <v>931</v>
      </c>
      <c r="C5879">
        <v>46000</v>
      </c>
      <c r="D5879" t="s">
        <v>1028</v>
      </c>
      <c r="E5879" t="s">
        <v>1445</v>
      </c>
      <c r="F5879" t="s">
        <v>1443</v>
      </c>
    </row>
    <row r="5880" spans="1:6">
      <c r="A5880">
        <v>253</v>
      </c>
      <c r="B5880" t="s">
        <v>931</v>
      </c>
      <c r="C5880">
        <v>27700</v>
      </c>
      <c r="D5880" t="s">
        <v>1263</v>
      </c>
      <c r="E5880" t="s">
        <v>1445</v>
      </c>
      <c r="F5880" t="s">
        <v>1583</v>
      </c>
    </row>
    <row r="5881" spans="1:6">
      <c r="A5881">
        <v>253</v>
      </c>
      <c r="B5881" t="s">
        <v>931</v>
      </c>
      <c r="C5881">
        <v>21000</v>
      </c>
      <c r="D5881" t="s">
        <v>970</v>
      </c>
      <c r="E5881" t="s">
        <v>971</v>
      </c>
      <c r="F5881" t="s">
        <v>972</v>
      </c>
    </row>
    <row r="5882" spans="1:6">
      <c r="A5882">
        <v>253</v>
      </c>
      <c r="B5882" t="s">
        <v>931</v>
      </c>
      <c r="C5882">
        <v>24600</v>
      </c>
      <c r="D5882" t="s">
        <v>973</v>
      </c>
      <c r="E5882" t="s">
        <v>974</v>
      </c>
      <c r="F5882" t="s">
        <v>1586</v>
      </c>
    </row>
    <row r="5883" spans="1:6">
      <c r="A5883">
        <v>253</v>
      </c>
      <c r="B5883" t="s">
        <v>931</v>
      </c>
      <c r="C5883">
        <v>20000</v>
      </c>
      <c r="D5883" t="s">
        <v>975</v>
      </c>
      <c r="E5883" t="s">
        <v>974</v>
      </c>
      <c r="F5883" t="s">
        <v>1588</v>
      </c>
    </row>
    <row r="5884" spans="1:6">
      <c r="A5884">
        <v>253</v>
      </c>
      <c r="B5884" t="s">
        <v>931</v>
      </c>
      <c r="C5884">
        <v>64586</v>
      </c>
      <c r="D5884" t="s">
        <v>976</v>
      </c>
      <c r="E5884" t="s">
        <v>977</v>
      </c>
      <c r="F5884" t="s">
        <v>1451</v>
      </c>
    </row>
    <row r="5885" spans="1:6">
      <c r="A5885">
        <v>253</v>
      </c>
      <c r="B5885" t="s">
        <v>931</v>
      </c>
      <c r="C5885">
        <v>180389</v>
      </c>
      <c r="D5885" t="s">
        <v>870</v>
      </c>
      <c r="E5885" t="s">
        <v>977</v>
      </c>
      <c r="F5885" t="s">
        <v>1453</v>
      </c>
    </row>
    <row r="5886" spans="1:6">
      <c r="A5886">
        <v>253</v>
      </c>
      <c r="B5886" t="s">
        <v>931</v>
      </c>
      <c r="C5886">
        <v>16571</v>
      </c>
      <c r="D5886" t="s">
        <v>1454</v>
      </c>
      <c r="E5886" t="s">
        <v>1455</v>
      </c>
      <c r="F5886" t="s">
        <v>1456</v>
      </c>
    </row>
    <row r="5887" spans="1:6">
      <c r="A5887">
        <v>253</v>
      </c>
      <c r="B5887" t="s">
        <v>931</v>
      </c>
      <c r="C5887">
        <v>30372</v>
      </c>
      <c r="D5887" t="s">
        <v>1457</v>
      </c>
      <c r="E5887" t="s">
        <v>1455</v>
      </c>
      <c r="F5887" t="s">
        <v>1458</v>
      </c>
    </row>
    <row r="5888" spans="1:6">
      <c r="A5888">
        <v>253</v>
      </c>
      <c r="B5888" t="s">
        <v>931</v>
      </c>
      <c r="C5888">
        <v>100000</v>
      </c>
      <c r="D5888" t="s">
        <v>871</v>
      </c>
      <c r="E5888" t="s">
        <v>872</v>
      </c>
      <c r="F5888" t="s">
        <v>873</v>
      </c>
    </row>
    <row r="5889" spans="1:6">
      <c r="A5889">
        <v>253</v>
      </c>
      <c r="B5889" t="s">
        <v>931</v>
      </c>
      <c r="C5889">
        <v>74834</v>
      </c>
      <c r="D5889" t="s">
        <v>874</v>
      </c>
      <c r="E5889" t="s">
        <v>875</v>
      </c>
      <c r="F5889" t="s">
        <v>1591</v>
      </c>
    </row>
    <row r="5890" spans="1:6">
      <c r="A5890">
        <v>253</v>
      </c>
      <c r="B5890" t="s">
        <v>931</v>
      </c>
      <c r="C5890">
        <v>2500</v>
      </c>
      <c r="D5890" t="s">
        <v>876</v>
      </c>
      <c r="E5890" t="s">
        <v>877</v>
      </c>
      <c r="F5890" t="s">
        <v>878</v>
      </c>
    </row>
    <row r="5891" spans="1:6">
      <c r="A5891">
        <v>253</v>
      </c>
      <c r="B5891" t="s">
        <v>931</v>
      </c>
      <c r="C5891">
        <v>26700</v>
      </c>
      <c r="D5891" t="s">
        <v>1233</v>
      </c>
      <c r="E5891" t="s">
        <v>1234</v>
      </c>
      <c r="F5891" t="s">
        <v>1235</v>
      </c>
    </row>
    <row r="5892" spans="1:6">
      <c r="A5892">
        <v>253</v>
      </c>
      <c r="B5892" t="s">
        <v>931</v>
      </c>
      <c r="C5892">
        <v>12000</v>
      </c>
      <c r="D5892" t="s">
        <v>879</v>
      </c>
      <c r="E5892" t="s">
        <v>877</v>
      </c>
      <c r="F5892" t="s">
        <v>1235</v>
      </c>
    </row>
    <row r="5893" spans="1:6">
      <c r="A5893">
        <v>253</v>
      </c>
      <c r="B5893" t="s">
        <v>931</v>
      </c>
      <c r="C5893">
        <v>18900</v>
      </c>
      <c r="D5893" t="s">
        <v>880</v>
      </c>
      <c r="E5893" t="s">
        <v>1595</v>
      </c>
      <c r="F5893" t="s">
        <v>1596</v>
      </c>
    </row>
    <row r="5894" spans="1:6">
      <c r="A5894">
        <v>253</v>
      </c>
      <c r="B5894" t="s">
        <v>931</v>
      </c>
      <c r="C5894">
        <v>85449</v>
      </c>
      <c r="D5894" t="s">
        <v>881</v>
      </c>
      <c r="E5894" t="s">
        <v>882</v>
      </c>
      <c r="F5894" t="s">
        <v>883</v>
      </c>
    </row>
    <row r="5895" spans="1:6">
      <c r="A5895">
        <v>253</v>
      </c>
      <c r="B5895" t="s">
        <v>931</v>
      </c>
      <c r="C5895">
        <v>8500</v>
      </c>
      <c r="D5895" t="s">
        <v>884</v>
      </c>
      <c r="E5895" t="s">
        <v>885</v>
      </c>
      <c r="F5895" t="s">
        <v>886</v>
      </c>
    </row>
    <row r="5896" spans="1:6">
      <c r="A5896">
        <v>253</v>
      </c>
      <c r="B5896" t="s">
        <v>931</v>
      </c>
      <c r="C5896">
        <v>20000</v>
      </c>
      <c r="D5896" t="s">
        <v>887</v>
      </c>
      <c r="E5896" t="s">
        <v>888</v>
      </c>
      <c r="F5896" t="s">
        <v>1463</v>
      </c>
    </row>
    <row r="5897" spans="1:6">
      <c r="A5897">
        <v>253</v>
      </c>
      <c r="B5897" t="s">
        <v>931</v>
      </c>
      <c r="C5897">
        <v>14000</v>
      </c>
      <c r="D5897" t="s">
        <v>889</v>
      </c>
      <c r="E5897" t="s">
        <v>890</v>
      </c>
      <c r="F5897" t="s">
        <v>1463</v>
      </c>
    </row>
    <row r="5898" spans="1:6">
      <c r="A5898">
        <v>253</v>
      </c>
      <c r="B5898" t="s">
        <v>931</v>
      </c>
      <c r="C5898">
        <v>20900</v>
      </c>
      <c r="D5898" t="s">
        <v>891</v>
      </c>
      <c r="E5898" t="s">
        <v>890</v>
      </c>
      <c r="F5898" t="s">
        <v>1465</v>
      </c>
    </row>
    <row r="5899" spans="1:6">
      <c r="A5899">
        <v>253</v>
      </c>
      <c r="B5899" t="s">
        <v>931</v>
      </c>
      <c r="C5899">
        <v>63427</v>
      </c>
      <c r="D5899" t="s">
        <v>892</v>
      </c>
      <c r="E5899" t="s">
        <v>893</v>
      </c>
      <c r="F5899" t="s">
        <v>894</v>
      </c>
    </row>
    <row r="5900" spans="1:6">
      <c r="A5900">
        <v>253</v>
      </c>
      <c r="B5900" t="s">
        <v>931</v>
      </c>
      <c r="C5900">
        <v>649200</v>
      </c>
      <c r="D5900" t="s">
        <v>895</v>
      </c>
      <c r="E5900" t="s">
        <v>896</v>
      </c>
      <c r="F5900" t="s">
        <v>897</v>
      </c>
    </row>
    <row r="5901" spans="1:6">
      <c r="A5901">
        <v>253</v>
      </c>
      <c r="B5901" t="s">
        <v>931</v>
      </c>
      <c r="C5901">
        <v>32649</v>
      </c>
      <c r="D5901" t="s">
        <v>898</v>
      </c>
      <c r="E5901" t="s">
        <v>899</v>
      </c>
      <c r="F5901" t="s">
        <v>900</v>
      </c>
    </row>
    <row r="5902" spans="1:6">
      <c r="A5902">
        <v>253</v>
      </c>
      <c r="B5902" t="s">
        <v>931</v>
      </c>
      <c r="C5902">
        <v>175600</v>
      </c>
      <c r="D5902" t="s">
        <v>901</v>
      </c>
      <c r="E5902" t="s">
        <v>902</v>
      </c>
      <c r="F5902" t="s">
        <v>1016</v>
      </c>
    </row>
    <row r="5903" spans="1:6">
      <c r="A5903">
        <v>253</v>
      </c>
      <c r="B5903" t="s">
        <v>931</v>
      </c>
      <c r="C5903">
        <v>50000</v>
      </c>
      <c r="D5903" t="s">
        <v>903</v>
      </c>
      <c r="E5903" t="s">
        <v>904</v>
      </c>
      <c r="F5903" t="s">
        <v>905</v>
      </c>
    </row>
    <row r="5904" spans="1:6">
      <c r="A5904">
        <v>253</v>
      </c>
      <c r="B5904" t="s">
        <v>931</v>
      </c>
      <c r="C5904">
        <v>48000</v>
      </c>
      <c r="D5904" t="s">
        <v>906</v>
      </c>
      <c r="E5904" t="s">
        <v>904</v>
      </c>
      <c r="F5904" t="s">
        <v>905</v>
      </c>
    </row>
    <row r="5905" spans="1:6">
      <c r="A5905">
        <v>253</v>
      </c>
      <c r="B5905" t="s">
        <v>931</v>
      </c>
      <c r="C5905">
        <v>15054.86</v>
      </c>
      <c r="D5905" t="s">
        <v>1475</v>
      </c>
      <c r="E5905" t="s">
        <v>1476</v>
      </c>
      <c r="F5905" t="s">
        <v>1477</v>
      </c>
    </row>
    <row r="5906" spans="1:6">
      <c r="A5906">
        <v>253</v>
      </c>
      <c r="B5906" t="s">
        <v>931</v>
      </c>
      <c r="C5906">
        <v>141233.93</v>
      </c>
      <c r="D5906" t="s">
        <v>1365</v>
      </c>
      <c r="E5906" t="s">
        <v>1366</v>
      </c>
      <c r="F5906" t="s">
        <v>1367</v>
      </c>
    </row>
    <row r="5907" spans="1:6">
      <c r="A5907">
        <v>261</v>
      </c>
      <c r="B5907" t="s">
        <v>1646</v>
      </c>
      <c r="C5907">
        <v>2622750</v>
      </c>
      <c r="D5907" t="s">
        <v>907</v>
      </c>
      <c r="E5907" t="s">
        <v>908</v>
      </c>
      <c r="F5907" t="s">
        <v>909</v>
      </c>
    </row>
    <row r="5908" spans="1:6">
      <c r="A5908">
        <v>261</v>
      </c>
      <c r="B5908" t="s">
        <v>1646</v>
      </c>
      <c r="C5908">
        <v>81000</v>
      </c>
      <c r="D5908" t="s">
        <v>910</v>
      </c>
      <c r="E5908" t="s">
        <v>911</v>
      </c>
      <c r="F5908" t="s">
        <v>912</v>
      </c>
    </row>
    <row r="5909" spans="1:6">
      <c r="A5909">
        <v>261</v>
      </c>
      <c r="B5909" t="s">
        <v>1646</v>
      </c>
      <c r="C5909">
        <v>130030</v>
      </c>
      <c r="D5909" t="s">
        <v>1579</v>
      </c>
      <c r="E5909" t="s">
        <v>1577</v>
      </c>
      <c r="F5909" t="s">
        <v>1580</v>
      </c>
    </row>
    <row r="5910" spans="1:6">
      <c r="A5910">
        <v>261</v>
      </c>
      <c r="B5910" t="s">
        <v>1646</v>
      </c>
      <c r="C5910">
        <v>996</v>
      </c>
      <c r="D5910" t="s">
        <v>1581</v>
      </c>
      <c r="E5910" t="s">
        <v>1582</v>
      </c>
      <c r="F5910" t="s">
        <v>1583</v>
      </c>
    </row>
    <row r="5911" spans="1:6">
      <c r="A5911">
        <v>261</v>
      </c>
      <c r="B5911" t="s">
        <v>1646</v>
      </c>
      <c r="C5911">
        <v>250000</v>
      </c>
      <c r="D5911" t="s">
        <v>1446</v>
      </c>
      <c r="E5911" t="s">
        <v>1447</v>
      </c>
      <c r="F5911" t="s">
        <v>1448</v>
      </c>
    </row>
    <row r="5912" spans="1:6">
      <c r="A5912">
        <v>261</v>
      </c>
      <c r="B5912" t="s">
        <v>1646</v>
      </c>
      <c r="C5912">
        <v>36658</v>
      </c>
      <c r="D5912" t="s">
        <v>1587</v>
      </c>
      <c r="E5912" t="s">
        <v>1585</v>
      </c>
      <c r="F5912" t="s">
        <v>1588</v>
      </c>
    </row>
    <row r="5913" spans="1:6">
      <c r="A5913">
        <v>261</v>
      </c>
      <c r="B5913" t="s">
        <v>1646</v>
      </c>
      <c r="C5913">
        <v>2442</v>
      </c>
      <c r="D5913" t="s">
        <v>1592</v>
      </c>
      <c r="E5913" t="s">
        <v>1590</v>
      </c>
      <c r="F5913" t="s">
        <v>1593</v>
      </c>
    </row>
    <row r="5914" spans="1:6">
      <c r="A5914">
        <v>261</v>
      </c>
      <c r="B5914" t="s">
        <v>1646</v>
      </c>
      <c r="C5914">
        <v>882</v>
      </c>
      <c r="D5914" t="s">
        <v>1597</v>
      </c>
      <c r="E5914" t="s">
        <v>1595</v>
      </c>
      <c r="F5914" t="s">
        <v>1598</v>
      </c>
    </row>
    <row r="5915" spans="1:6">
      <c r="A5915">
        <v>263</v>
      </c>
      <c r="B5915" t="s">
        <v>913</v>
      </c>
      <c r="C5915">
        <v>1404180</v>
      </c>
      <c r="D5915" t="s">
        <v>907</v>
      </c>
      <c r="E5915" t="s">
        <v>908</v>
      </c>
      <c r="F5915" t="s">
        <v>909</v>
      </c>
    </row>
    <row r="5916" spans="1:6">
      <c r="A5916">
        <v>263</v>
      </c>
      <c r="B5916" t="s">
        <v>913</v>
      </c>
      <c r="C5916">
        <v>211758</v>
      </c>
      <c r="D5916" t="s">
        <v>910</v>
      </c>
      <c r="E5916" t="s">
        <v>911</v>
      </c>
      <c r="F5916" t="s">
        <v>912</v>
      </c>
    </row>
    <row r="5917" spans="1:6">
      <c r="A5917">
        <v>263</v>
      </c>
      <c r="B5917" t="s">
        <v>913</v>
      </c>
      <c r="C5917">
        <v>2703</v>
      </c>
      <c r="D5917" t="s">
        <v>1208</v>
      </c>
      <c r="E5917" t="s">
        <v>1577</v>
      </c>
      <c r="F5917" t="s">
        <v>1354</v>
      </c>
    </row>
    <row r="5918" spans="1:6">
      <c r="A5918">
        <v>263</v>
      </c>
      <c r="B5918" t="s">
        <v>913</v>
      </c>
      <c r="C5918">
        <v>1195</v>
      </c>
      <c r="D5918" t="s">
        <v>1047</v>
      </c>
      <c r="E5918" t="s">
        <v>1577</v>
      </c>
      <c r="F5918" t="s">
        <v>1354</v>
      </c>
    </row>
    <row r="5919" spans="1:6">
      <c r="A5919">
        <v>263</v>
      </c>
      <c r="B5919" t="s">
        <v>913</v>
      </c>
      <c r="C5919">
        <v>5040</v>
      </c>
      <c r="D5919" t="s">
        <v>1576</v>
      </c>
      <c r="E5919" t="s">
        <v>1577</v>
      </c>
      <c r="F5919" t="s">
        <v>1578</v>
      </c>
    </row>
    <row r="5920" spans="1:6">
      <c r="A5920">
        <v>263</v>
      </c>
      <c r="B5920" t="s">
        <v>913</v>
      </c>
      <c r="C5920">
        <v>128</v>
      </c>
      <c r="D5920" t="s">
        <v>1192</v>
      </c>
      <c r="E5920" t="s">
        <v>1582</v>
      </c>
      <c r="F5920" t="s">
        <v>1210</v>
      </c>
    </row>
    <row r="5921" spans="1:6">
      <c r="A5921">
        <v>263</v>
      </c>
      <c r="B5921" t="s">
        <v>913</v>
      </c>
      <c r="C5921">
        <v>90</v>
      </c>
      <c r="D5921" t="s">
        <v>1442</v>
      </c>
      <c r="E5921" t="s">
        <v>1582</v>
      </c>
      <c r="F5921" t="s">
        <v>1443</v>
      </c>
    </row>
    <row r="5922" spans="1:6">
      <c r="A5922">
        <v>263</v>
      </c>
      <c r="B5922" t="s">
        <v>913</v>
      </c>
      <c r="C5922">
        <v>403</v>
      </c>
      <c r="D5922" t="s">
        <v>1296</v>
      </c>
      <c r="E5922" t="s">
        <v>1585</v>
      </c>
      <c r="F5922" t="s">
        <v>1297</v>
      </c>
    </row>
    <row r="5923" spans="1:6">
      <c r="A5923">
        <v>263</v>
      </c>
      <c r="B5923" t="s">
        <v>913</v>
      </c>
      <c r="C5923">
        <v>1505</v>
      </c>
      <c r="D5923" t="s">
        <v>1072</v>
      </c>
      <c r="E5923" t="s">
        <v>1585</v>
      </c>
      <c r="F5923" t="s">
        <v>1297</v>
      </c>
    </row>
    <row r="5924" spans="1:6">
      <c r="A5924">
        <v>263</v>
      </c>
      <c r="B5924" t="s">
        <v>913</v>
      </c>
      <c r="C5924">
        <v>3612</v>
      </c>
      <c r="D5924" t="s">
        <v>1584</v>
      </c>
      <c r="E5924" t="s">
        <v>1585</v>
      </c>
      <c r="F5924" t="s">
        <v>1586</v>
      </c>
    </row>
    <row r="5925" spans="1:6">
      <c r="A5925">
        <v>263</v>
      </c>
      <c r="B5925" t="s">
        <v>913</v>
      </c>
      <c r="C5925">
        <v>232</v>
      </c>
      <c r="D5925" t="s">
        <v>1284</v>
      </c>
      <c r="E5925" t="s">
        <v>1590</v>
      </c>
      <c r="F5925" t="s">
        <v>1285</v>
      </c>
    </row>
    <row r="5926" spans="1:6">
      <c r="A5926">
        <v>263</v>
      </c>
      <c r="B5926" t="s">
        <v>913</v>
      </c>
      <c r="C5926">
        <v>377</v>
      </c>
      <c r="D5926" t="s">
        <v>1589</v>
      </c>
      <c r="E5926" t="s">
        <v>1590</v>
      </c>
      <c r="F5926" t="s">
        <v>1591</v>
      </c>
    </row>
    <row r="5927" spans="1:6">
      <c r="A5927">
        <v>263</v>
      </c>
      <c r="B5927" t="s">
        <v>913</v>
      </c>
      <c r="C5927">
        <v>84</v>
      </c>
      <c r="D5927" t="s">
        <v>1299</v>
      </c>
      <c r="E5927" t="s">
        <v>1595</v>
      </c>
      <c r="F5927" t="s">
        <v>1300</v>
      </c>
    </row>
    <row r="5928" spans="1:6">
      <c r="A5928">
        <v>263</v>
      </c>
      <c r="B5928" t="s">
        <v>913</v>
      </c>
      <c r="C5928">
        <v>250</v>
      </c>
      <c r="D5928" t="s">
        <v>1212</v>
      </c>
      <c r="E5928" t="s">
        <v>1595</v>
      </c>
      <c r="F5928" t="s">
        <v>1300</v>
      </c>
    </row>
    <row r="5929" spans="1:6">
      <c r="A5929">
        <v>263</v>
      </c>
      <c r="B5929" t="s">
        <v>913</v>
      </c>
      <c r="C5929">
        <v>441</v>
      </c>
      <c r="D5929" t="s">
        <v>1594</v>
      </c>
      <c r="E5929" t="s">
        <v>1595</v>
      </c>
      <c r="F5929" t="s">
        <v>1596</v>
      </c>
    </row>
    <row r="5930" spans="1:6">
      <c r="A5930">
        <v>264</v>
      </c>
      <c r="B5930" t="s">
        <v>1648</v>
      </c>
      <c r="C5930">
        <v>751</v>
      </c>
      <c r="D5930" t="s">
        <v>1489</v>
      </c>
      <c r="E5930" t="s">
        <v>1490</v>
      </c>
      <c r="F5930" t="s">
        <v>1491</v>
      </c>
    </row>
    <row r="5931" spans="1:6">
      <c r="A5931">
        <v>264</v>
      </c>
      <c r="B5931" t="s">
        <v>1648</v>
      </c>
      <c r="C5931">
        <v>2574330</v>
      </c>
      <c r="D5931" t="s">
        <v>907</v>
      </c>
      <c r="E5931" t="s">
        <v>908</v>
      </c>
      <c r="F5931" t="s">
        <v>909</v>
      </c>
    </row>
    <row r="5932" spans="1:6">
      <c r="A5932">
        <v>264</v>
      </c>
      <c r="B5932" t="s">
        <v>1648</v>
      </c>
      <c r="C5932">
        <v>1355617</v>
      </c>
      <c r="D5932" t="s">
        <v>910</v>
      </c>
      <c r="E5932" t="s">
        <v>911</v>
      </c>
      <c r="F5932" t="s">
        <v>912</v>
      </c>
    </row>
    <row r="5933" spans="1:6">
      <c r="A5933">
        <v>264</v>
      </c>
      <c r="B5933" t="s">
        <v>1648</v>
      </c>
      <c r="C5933">
        <v>5628.25</v>
      </c>
      <c r="D5933" t="s">
        <v>1431</v>
      </c>
      <c r="E5933" t="s">
        <v>1432</v>
      </c>
      <c r="F5933" t="s">
        <v>1433</v>
      </c>
    </row>
    <row r="5934" spans="1:6">
      <c r="A5934">
        <v>264</v>
      </c>
      <c r="B5934" t="s">
        <v>1648</v>
      </c>
      <c r="C5934">
        <v>15661.48</v>
      </c>
      <c r="D5934" t="s">
        <v>1434</v>
      </c>
      <c r="E5934" t="s">
        <v>1432</v>
      </c>
      <c r="F5934" t="s">
        <v>1435</v>
      </c>
    </row>
    <row r="5935" spans="1:6">
      <c r="A5935">
        <v>264</v>
      </c>
      <c r="B5935" t="s">
        <v>1648</v>
      </c>
      <c r="C5935">
        <v>20286</v>
      </c>
      <c r="D5935" t="s">
        <v>1132</v>
      </c>
      <c r="E5935" t="s">
        <v>1169</v>
      </c>
      <c r="F5935" t="s">
        <v>1133</v>
      </c>
    </row>
    <row r="5936" spans="1:6">
      <c r="A5936">
        <v>264</v>
      </c>
      <c r="B5936" t="s">
        <v>1648</v>
      </c>
      <c r="C5936">
        <v>7500</v>
      </c>
      <c r="D5936" t="s">
        <v>1168</v>
      </c>
      <c r="E5936" t="s">
        <v>1169</v>
      </c>
      <c r="F5936" t="s">
        <v>1354</v>
      </c>
    </row>
    <row r="5937" spans="1:6">
      <c r="A5937">
        <v>264</v>
      </c>
      <c r="B5937" t="s">
        <v>1648</v>
      </c>
      <c r="C5937">
        <v>28727</v>
      </c>
      <c r="D5937" t="s">
        <v>1579</v>
      </c>
      <c r="E5937" t="s">
        <v>1577</v>
      </c>
      <c r="F5937" t="s">
        <v>1580</v>
      </c>
    </row>
    <row r="5938" spans="1:6">
      <c r="A5938">
        <v>264</v>
      </c>
      <c r="B5938" t="s">
        <v>1648</v>
      </c>
      <c r="C5938">
        <v>220</v>
      </c>
      <c r="D5938" t="s">
        <v>1581</v>
      </c>
      <c r="E5938" t="s">
        <v>1582</v>
      </c>
      <c r="F5938" t="s">
        <v>1583</v>
      </c>
    </row>
    <row r="5939" spans="1:6">
      <c r="A5939">
        <v>264</v>
      </c>
      <c r="B5939" t="s">
        <v>1648</v>
      </c>
      <c r="C5939">
        <v>10000</v>
      </c>
      <c r="D5939" t="s">
        <v>1194</v>
      </c>
      <c r="E5939" t="s">
        <v>1265</v>
      </c>
      <c r="F5939" t="s">
        <v>1195</v>
      </c>
    </row>
    <row r="5940" spans="1:6">
      <c r="A5940">
        <v>264</v>
      </c>
      <c r="B5940" t="s">
        <v>1648</v>
      </c>
      <c r="C5940">
        <v>245000</v>
      </c>
      <c r="D5940" t="s">
        <v>1446</v>
      </c>
      <c r="E5940" t="s">
        <v>1447</v>
      </c>
      <c r="F5940" t="s">
        <v>1448</v>
      </c>
    </row>
    <row r="5941" spans="1:6">
      <c r="A5941">
        <v>264</v>
      </c>
      <c r="B5941" t="s">
        <v>1648</v>
      </c>
      <c r="C5941">
        <v>18634</v>
      </c>
      <c r="D5941" t="s">
        <v>1587</v>
      </c>
      <c r="E5941" t="s">
        <v>1585</v>
      </c>
      <c r="F5941" t="s">
        <v>1588</v>
      </c>
    </row>
    <row r="5942" spans="1:6">
      <c r="A5942">
        <v>264</v>
      </c>
      <c r="B5942" t="s">
        <v>1648</v>
      </c>
      <c r="C5942">
        <v>909</v>
      </c>
      <c r="D5942" t="s">
        <v>1592</v>
      </c>
      <c r="E5942" t="s">
        <v>1590</v>
      </c>
      <c r="F5942" t="s">
        <v>1593</v>
      </c>
    </row>
    <row r="5943" spans="1:6">
      <c r="A5943">
        <v>264</v>
      </c>
      <c r="B5943" t="s">
        <v>1648</v>
      </c>
      <c r="C5943">
        <v>632</v>
      </c>
      <c r="D5943" t="s">
        <v>1597</v>
      </c>
      <c r="E5943" t="s">
        <v>1595</v>
      </c>
      <c r="F5943" t="s">
        <v>1598</v>
      </c>
    </row>
    <row r="5944" spans="1:6">
      <c r="A5944">
        <v>265</v>
      </c>
      <c r="B5944" t="s">
        <v>914</v>
      </c>
      <c r="C5944">
        <v>1452600</v>
      </c>
      <c r="D5944" t="s">
        <v>907</v>
      </c>
      <c r="E5944" t="s">
        <v>908</v>
      </c>
      <c r="F5944" t="s">
        <v>909</v>
      </c>
    </row>
    <row r="5945" spans="1:6">
      <c r="A5945">
        <v>265</v>
      </c>
      <c r="B5945" t="s">
        <v>914</v>
      </c>
      <c r="C5945">
        <v>795968</v>
      </c>
      <c r="D5945" t="s">
        <v>910</v>
      </c>
      <c r="E5945" t="s">
        <v>911</v>
      </c>
      <c r="F5945" t="s">
        <v>912</v>
      </c>
    </row>
    <row r="5946" spans="1:6">
      <c r="A5946">
        <v>265</v>
      </c>
      <c r="B5946" t="s">
        <v>914</v>
      </c>
      <c r="C5946">
        <v>8956</v>
      </c>
      <c r="D5946" t="s">
        <v>1576</v>
      </c>
      <c r="E5946" t="s">
        <v>1577</v>
      </c>
      <c r="F5946" t="s">
        <v>1578</v>
      </c>
    </row>
    <row r="5947" spans="1:6">
      <c r="A5947">
        <v>265</v>
      </c>
      <c r="B5947" t="s">
        <v>914</v>
      </c>
      <c r="C5947">
        <v>12377</v>
      </c>
      <c r="D5947" t="s">
        <v>1579</v>
      </c>
      <c r="E5947" t="s">
        <v>1577</v>
      </c>
      <c r="F5947" t="s">
        <v>1580</v>
      </c>
    </row>
    <row r="5948" spans="1:6">
      <c r="A5948">
        <v>265</v>
      </c>
      <c r="B5948" t="s">
        <v>914</v>
      </c>
      <c r="C5948">
        <v>95</v>
      </c>
      <c r="D5948" t="s">
        <v>1581</v>
      </c>
      <c r="E5948" t="s">
        <v>1582</v>
      </c>
      <c r="F5948" t="s">
        <v>1583</v>
      </c>
    </row>
    <row r="5949" spans="1:6">
      <c r="A5949">
        <v>265</v>
      </c>
      <c r="B5949" t="s">
        <v>914</v>
      </c>
      <c r="C5949">
        <v>8720</v>
      </c>
      <c r="D5949" t="s">
        <v>1584</v>
      </c>
      <c r="E5949" t="s">
        <v>1585</v>
      </c>
      <c r="F5949" t="s">
        <v>1586</v>
      </c>
    </row>
    <row r="5950" spans="1:6">
      <c r="A5950">
        <v>265</v>
      </c>
      <c r="B5950" t="s">
        <v>914</v>
      </c>
      <c r="C5950">
        <v>9410</v>
      </c>
      <c r="D5950" t="s">
        <v>1587</v>
      </c>
      <c r="E5950" t="s">
        <v>1585</v>
      </c>
      <c r="F5950" t="s">
        <v>1588</v>
      </c>
    </row>
    <row r="5951" spans="1:6">
      <c r="A5951">
        <v>265</v>
      </c>
      <c r="B5951" t="s">
        <v>914</v>
      </c>
      <c r="C5951">
        <v>473</v>
      </c>
      <c r="D5951" t="s">
        <v>1592</v>
      </c>
      <c r="E5951" t="s">
        <v>1590</v>
      </c>
      <c r="F5951" t="s">
        <v>1593</v>
      </c>
    </row>
    <row r="5952" spans="1:6">
      <c r="A5952">
        <v>265</v>
      </c>
      <c r="B5952" t="s">
        <v>914</v>
      </c>
      <c r="C5952">
        <v>226</v>
      </c>
      <c r="D5952" t="s">
        <v>1594</v>
      </c>
      <c r="E5952" t="s">
        <v>1595</v>
      </c>
      <c r="F5952" t="s">
        <v>1596</v>
      </c>
    </row>
    <row r="5953" spans="1:6">
      <c r="A5953">
        <v>265</v>
      </c>
      <c r="B5953" t="s">
        <v>914</v>
      </c>
      <c r="C5953">
        <v>440</v>
      </c>
      <c r="D5953" t="s">
        <v>1597</v>
      </c>
      <c r="E5953" t="s">
        <v>1595</v>
      </c>
      <c r="F5953" t="s">
        <v>1598</v>
      </c>
    </row>
    <row r="5954" spans="1:6">
      <c r="A5954">
        <v>268</v>
      </c>
      <c r="B5954" t="s">
        <v>915</v>
      </c>
      <c r="C5954">
        <v>939</v>
      </c>
      <c r="D5954" t="s">
        <v>1486</v>
      </c>
      <c r="E5954" t="s">
        <v>1487</v>
      </c>
      <c r="F5954" t="s">
        <v>1488</v>
      </c>
    </row>
    <row r="5955" spans="1:6">
      <c r="A5955">
        <v>268</v>
      </c>
      <c r="B5955" t="s">
        <v>915</v>
      </c>
      <c r="C5955">
        <v>488</v>
      </c>
      <c r="D5955" t="s">
        <v>1489</v>
      </c>
      <c r="E5955" t="s">
        <v>1490</v>
      </c>
      <c r="F5955" t="s">
        <v>1491</v>
      </c>
    </row>
    <row r="5956" spans="1:6">
      <c r="A5956">
        <v>268</v>
      </c>
      <c r="B5956" t="s">
        <v>915</v>
      </c>
      <c r="C5956">
        <v>1170150</v>
      </c>
      <c r="D5956" t="s">
        <v>907</v>
      </c>
      <c r="E5956" t="s">
        <v>908</v>
      </c>
      <c r="F5956" t="s">
        <v>909</v>
      </c>
    </row>
    <row r="5957" spans="1:6">
      <c r="A5957">
        <v>268</v>
      </c>
      <c r="B5957" t="s">
        <v>915</v>
      </c>
      <c r="C5957">
        <v>32502</v>
      </c>
      <c r="D5957" t="s">
        <v>1333</v>
      </c>
      <c r="E5957" t="s">
        <v>1383</v>
      </c>
      <c r="F5957" t="s">
        <v>1334</v>
      </c>
    </row>
    <row r="5958" spans="1:6">
      <c r="A5958">
        <v>268</v>
      </c>
      <c r="B5958" t="s">
        <v>915</v>
      </c>
      <c r="C5958">
        <v>3000</v>
      </c>
      <c r="D5958" t="s">
        <v>1515</v>
      </c>
      <c r="E5958" t="s">
        <v>1516</v>
      </c>
      <c r="F5958" t="s">
        <v>1517</v>
      </c>
    </row>
    <row r="5959" spans="1:6">
      <c r="A5959">
        <v>268</v>
      </c>
      <c r="B5959" t="s">
        <v>915</v>
      </c>
      <c r="C5959">
        <v>293</v>
      </c>
      <c r="D5959" t="s">
        <v>1518</v>
      </c>
      <c r="E5959" t="s">
        <v>1516</v>
      </c>
      <c r="F5959" t="s">
        <v>1519</v>
      </c>
    </row>
    <row r="5960" spans="1:6">
      <c r="A5960">
        <v>268</v>
      </c>
      <c r="B5960" t="s">
        <v>915</v>
      </c>
      <c r="C5960">
        <v>115028</v>
      </c>
      <c r="D5960" t="s">
        <v>910</v>
      </c>
      <c r="E5960" t="s">
        <v>911</v>
      </c>
      <c r="F5960" t="s">
        <v>912</v>
      </c>
    </row>
    <row r="5961" spans="1:6">
      <c r="A5961">
        <v>268</v>
      </c>
      <c r="B5961" t="s">
        <v>915</v>
      </c>
      <c r="C5961">
        <v>2043.23</v>
      </c>
      <c r="D5961" t="s">
        <v>1537</v>
      </c>
      <c r="E5961" t="s">
        <v>1538</v>
      </c>
      <c r="F5961" t="s">
        <v>1539</v>
      </c>
    </row>
    <row r="5962" spans="1:6">
      <c r="A5962">
        <v>268</v>
      </c>
      <c r="B5962" t="s">
        <v>915</v>
      </c>
      <c r="C5962">
        <v>3633.78</v>
      </c>
      <c r="D5962" t="s">
        <v>1540</v>
      </c>
      <c r="E5962" t="s">
        <v>1538</v>
      </c>
      <c r="F5962" t="s">
        <v>1541</v>
      </c>
    </row>
    <row r="5963" spans="1:6">
      <c r="A5963">
        <v>268</v>
      </c>
      <c r="B5963" t="s">
        <v>915</v>
      </c>
      <c r="C5963">
        <v>8121.65</v>
      </c>
      <c r="D5963" t="s">
        <v>1431</v>
      </c>
      <c r="E5963" t="s">
        <v>1432</v>
      </c>
      <c r="F5963" t="s">
        <v>1433</v>
      </c>
    </row>
    <row r="5964" spans="1:6">
      <c r="A5964">
        <v>268</v>
      </c>
      <c r="B5964" t="s">
        <v>915</v>
      </c>
      <c r="C5964">
        <v>19872.490000000002</v>
      </c>
      <c r="D5964" t="s">
        <v>1434</v>
      </c>
      <c r="E5964" t="s">
        <v>1432</v>
      </c>
      <c r="F5964" t="s">
        <v>1435</v>
      </c>
    </row>
    <row r="5965" spans="1:6">
      <c r="A5965">
        <v>268</v>
      </c>
      <c r="B5965" t="s">
        <v>915</v>
      </c>
      <c r="C5965">
        <v>16270</v>
      </c>
      <c r="D5965" t="s">
        <v>1576</v>
      </c>
      <c r="E5965" t="s">
        <v>1577</v>
      </c>
      <c r="F5965" t="s">
        <v>1578</v>
      </c>
    </row>
    <row r="5966" spans="1:6">
      <c r="A5966">
        <v>268</v>
      </c>
      <c r="B5966" t="s">
        <v>915</v>
      </c>
      <c r="C5966">
        <v>59290</v>
      </c>
      <c r="D5966" t="s">
        <v>1579</v>
      </c>
      <c r="E5966" t="s">
        <v>1577</v>
      </c>
      <c r="F5966" t="s">
        <v>1580</v>
      </c>
    </row>
    <row r="5967" spans="1:6">
      <c r="A5967">
        <v>268</v>
      </c>
      <c r="B5967" t="s">
        <v>915</v>
      </c>
      <c r="C5967">
        <v>7650</v>
      </c>
      <c r="D5967" t="s">
        <v>1356</v>
      </c>
      <c r="E5967" t="s">
        <v>1357</v>
      </c>
      <c r="F5967" t="s">
        <v>1358</v>
      </c>
    </row>
    <row r="5968" spans="1:6">
      <c r="A5968">
        <v>268</v>
      </c>
      <c r="B5968" t="s">
        <v>915</v>
      </c>
      <c r="C5968">
        <v>526</v>
      </c>
      <c r="D5968" t="s">
        <v>1581</v>
      </c>
      <c r="E5968" t="s">
        <v>1582</v>
      </c>
      <c r="F5968" t="s">
        <v>1583</v>
      </c>
    </row>
    <row r="5969" spans="1:6">
      <c r="A5969">
        <v>268</v>
      </c>
      <c r="B5969" t="s">
        <v>915</v>
      </c>
      <c r="C5969">
        <v>1528</v>
      </c>
      <c r="D5969" t="s">
        <v>1584</v>
      </c>
      <c r="E5969" t="s">
        <v>1585</v>
      </c>
      <c r="F5969" t="s">
        <v>1586</v>
      </c>
    </row>
    <row r="5970" spans="1:6">
      <c r="A5970">
        <v>268</v>
      </c>
      <c r="B5970" t="s">
        <v>915</v>
      </c>
      <c r="C5970">
        <v>9365</v>
      </c>
      <c r="D5970" t="s">
        <v>1587</v>
      </c>
      <c r="E5970" t="s">
        <v>1585</v>
      </c>
      <c r="F5970" t="s">
        <v>1588</v>
      </c>
    </row>
    <row r="5971" spans="1:6">
      <c r="A5971">
        <v>268</v>
      </c>
      <c r="B5971" t="s">
        <v>915</v>
      </c>
      <c r="C5971">
        <v>19069</v>
      </c>
      <c r="D5971" t="s">
        <v>1449</v>
      </c>
      <c r="E5971" t="s">
        <v>1450</v>
      </c>
      <c r="F5971" t="s">
        <v>1451</v>
      </c>
    </row>
    <row r="5972" spans="1:6">
      <c r="A5972">
        <v>268</v>
      </c>
      <c r="B5972" t="s">
        <v>915</v>
      </c>
      <c r="C5972">
        <v>50000</v>
      </c>
      <c r="D5972" t="s">
        <v>1452</v>
      </c>
      <c r="E5972" t="s">
        <v>1450</v>
      </c>
      <c r="F5972" t="s">
        <v>1453</v>
      </c>
    </row>
    <row r="5973" spans="1:6">
      <c r="A5973">
        <v>268</v>
      </c>
      <c r="B5973" t="s">
        <v>915</v>
      </c>
      <c r="C5973">
        <v>1255</v>
      </c>
      <c r="D5973" t="s">
        <v>1592</v>
      </c>
      <c r="E5973" t="s">
        <v>1590</v>
      </c>
      <c r="F5973" t="s">
        <v>1593</v>
      </c>
    </row>
    <row r="5974" spans="1:6">
      <c r="A5974">
        <v>268</v>
      </c>
      <c r="B5974" t="s">
        <v>915</v>
      </c>
      <c r="C5974">
        <v>11371</v>
      </c>
      <c r="D5974" t="s">
        <v>916</v>
      </c>
      <c r="E5974" t="s">
        <v>1234</v>
      </c>
      <c r="F5974" t="s">
        <v>878</v>
      </c>
    </row>
    <row r="5975" spans="1:6">
      <c r="A5975">
        <v>268</v>
      </c>
      <c r="B5975" t="s">
        <v>915</v>
      </c>
      <c r="C5975">
        <v>35000</v>
      </c>
      <c r="D5975" t="s">
        <v>1233</v>
      </c>
      <c r="E5975" t="s">
        <v>1234</v>
      </c>
      <c r="F5975" t="s">
        <v>1235</v>
      </c>
    </row>
    <row r="5976" spans="1:6">
      <c r="A5976">
        <v>268</v>
      </c>
      <c r="B5976" t="s">
        <v>915</v>
      </c>
      <c r="C5976">
        <v>393</v>
      </c>
      <c r="D5976" t="s">
        <v>1597</v>
      </c>
      <c r="E5976" t="s">
        <v>1595</v>
      </c>
      <c r="F5976" t="s">
        <v>1598</v>
      </c>
    </row>
    <row r="5977" spans="1:6">
      <c r="A5977">
        <v>269</v>
      </c>
      <c r="B5977" t="s">
        <v>917</v>
      </c>
      <c r="C5977">
        <v>1617</v>
      </c>
      <c r="D5977" t="s">
        <v>1486</v>
      </c>
      <c r="E5977" t="s">
        <v>1487</v>
      </c>
      <c r="F5977" t="s">
        <v>1488</v>
      </c>
    </row>
    <row r="5978" spans="1:6">
      <c r="A5978">
        <v>269</v>
      </c>
      <c r="B5978" t="s">
        <v>917</v>
      </c>
      <c r="C5978">
        <v>756</v>
      </c>
      <c r="D5978" t="s">
        <v>1489</v>
      </c>
      <c r="E5978" t="s">
        <v>1490</v>
      </c>
      <c r="F5978" t="s">
        <v>1491</v>
      </c>
    </row>
    <row r="5979" spans="1:6">
      <c r="A5979">
        <v>269</v>
      </c>
      <c r="B5979" t="s">
        <v>917</v>
      </c>
      <c r="C5979">
        <v>2017500</v>
      </c>
      <c r="D5979" t="s">
        <v>907</v>
      </c>
      <c r="E5979" t="s">
        <v>908</v>
      </c>
      <c r="F5979" t="s">
        <v>909</v>
      </c>
    </row>
    <row r="5980" spans="1:6">
      <c r="A5980">
        <v>269</v>
      </c>
      <c r="B5980" t="s">
        <v>917</v>
      </c>
      <c r="C5980">
        <v>3000</v>
      </c>
      <c r="D5980" t="s">
        <v>1515</v>
      </c>
      <c r="E5980" t="s">
        <v>1516</v>
      </c>
      <c r="F5980" t="s">
        <v>1517</v>
      </c>
    </row>
    <row r="5981" spans="1:6">
      <c r="A5981">
        <v>269</v>
      </c>
      <c r="B5981" t="s">
        <v>917</v>
      </c>
      <c r="C5981">
        <v>556</v>
      </c>
      <c r="D5981" t="s">
        <v>1518</v>
      </c>
      <c r="E5981" t="s">
        <v>1516</v>
      </c>
      <c r="F5981" t="s">
        <v>1519</v>
      </c>
    </row>
    <row r="5982" spans="1:6">
      <c r="A5982">
        <v>269</v>
      </c>
      <c r="B5982" t="s">
        <v>917</v>
      </c>
      <c r="C5982">
        <v>155961</v>
      </c>
      <c r="D5982" t="s">
        <v>910</v>
      </c>
      <c r="E5982" t="s">
        <v>911</v>
      </c>
      <c r="F5982" t="s">
        <v>912</v>
      </c>
    </row>
    <row r="5983" spans="1:6">
      <c r="A5983">
        <v>269</v>
      </c>
      <c r="B5983" t="s">
        <v>917</v>
      </c>
      <c r="C5983">
        <v>3888.63</v>
      </c>
      <c r="D5983" t="s">
        <v>1537</v>
      </c>
      <c r="E5983" t="s">
        <v>1538</v>
      </c>
      <c r="F5983" t="s">
        <v>1539</v>
      </c>
    </row>
    <row r="5984" spans="1:6">
      <c r="A5984">
        <v>269</v>
      </c>
      <c r="B5984" t="s">
        <v>917</v>
      </c>
      <c r="C5984">
        <v>13175.4</v>
      </c>
      <c r="D5984" t="s">
        <v>1540</v>
      </c>
      <c r="E5984" t="s">
        <v>1538</v>
      </c>
      <c r="F5984" t="s">
        <v>1541</v>
      </c>
    </row>
    <row r="5985" spans="1:6">
      <c r="A5985">
        <v>269</v>
      </c>
      <c r="B5985" t="s">
        <v>917</v>
      </c>
      <c r="C5985">
        <v>10696.45</v>
      </c>
      <c r="D5985" t="s">
        <v>1431</v>
      </c>
      <c r="E5985" t="s">
        <v>1432</v>
      </c>
      <c r="F5985" t="s">
        <v>1433</v>
      </c>
    </row>
    <row r="5986" spans="1:6">
      <c r="A5986">
        <v>269</v>
      </c>
      <c r="B5986" t="s">
        <v>917</v>
      </c>
      <c r="C5986">
        <v>34736.980000000003</v>
      </c>
      <c r="D5986" t="s">
        <v>1434</v>
      </c>
      <c r="E5986" t="s">
        <v>1432</v>
      </c>
      <c r="F5986" t="s">
        <v>1435</v>
      </c>
    </row>
    <row r="5987" spans="1:6">
      <c r="A5987">
        <v>269</v>
      </c>
      <c r="B5987" t="s">
        <v>917</v>
      </c>
      <c r="C5987">
        <v>38087</v>
      </c>
      <c r="D5987" t="s">
        <v>1579</v>
      </c>
      <c r="E5987" t="s">
        <v>1577</v>
      </c>
      <c r="F5987" t="s">
        <v>1580</v>
      </c>
    </row>
    <row r="5988" spans="1:6">
      <c r="A5988">
        <v>269</v>
      </c>
      <c r="B5988" t="s">
        <v>917</v>
      </c>
      <c r="C5988">
        <v>16310</v>
      </c>
      <c r="D5988" t="s">
        <v>918</v>
      </c>
      <c r="E5988" t="s">
        <v>1440</v>
      </c>
      <c r="F5988" t="s">
        <v>1441</v>
      </c>
    </row>
    <row r="5989" spans="1:6">
      <c r="A5989">
        <v>269</v>
      </c>
      <c r="B5989" t="s">
        <v>917</v>
      </c>
      <c r="C5989">
        <v>292</v>
      </c>
      <c r="D5989" t="s">
        <v>1581</v>
      </c>
      <c r="E5989" t="s">
        <v>1582</v>
      </c>
      <c r="F5989" t="s">
        <v>1583</v>
      </c>
    </row>
    <row r="5990" spans="1:6">
      <c r="A5990">
        <v>269</v>
      </c>
      <c r="B5990" t="s">
        <v>917</v>
      </c>
      <c r="C5990">
        <v>18436</v>
      </c>
      <c r="D5990" t="s">
        <v>1587</v>
      </c>
      <c r="E5990" t="s">
        <v>1585</v>
      </c>
      <c r="F5990" t="s">
        <v>1588</v>
      </c>
    </row>
    <row r="5991" spans="1:6">
      <c r="A5991">
        <v>269</v>
      </c>
      <c r="B5991" t="s">
        <v>917</v>
      </c>
      <c r="C5991">
        <v>870</v>
      </c>
      <c r="D5991" t="s">
        <v>1592</v>
      </c>
      <c r="E5991" t="s">
        <v>1590</v>
      </c>
      <c r="F5991" t="s">
        <v>1593</v>
      </c>
    </row>
    <row r="5992" spans="1:6">
      <c r="A5992">
        <v>269</v>
      </c>
      <c r="B5992" t="s">
        <v>917</v>
      </c>
      <c r="C5992">
        <v>554</v>
      </c>
      <c r="D5992" t="s">
        <v>1597</v>
      </c>
      <c r="E5992" t="s">
        <v>1595</v>
      </c>
      <c r="F5992" t="s">
        <v>1598</v>
      </c>
    </row>
    <row r="5993" spans="1:6">
      <c r="A5993">
        <v>270</v>
      </c>
      <c r="B5993" t="s">
        <v>919</v>
      </c>
      <c r="C5993">
        <v>102250</v>
      </c>
      <c r="D5993" t="s">
        <v>1404</v>
      </c>
      <c r="E5993" t="s">
        <v>1405</v>
      </c>
      <c r="F5993" t="s">
        <v>1406</v>
      </c>
    </row>
    <row r="5994" spans="1:6">
      <c r="A5994">
        <v>270</v>
      </c>
      <c r="B5994" t="s">
        <v>919</v>
      </c>
      <c r="C5994">
        <v>1896450</v>
      </c>
      <c r="D5994" t="s">
        <v>907</v>
      </c>
      <c r="E5994" t="s">
        <v>908</v>
      </c>
      <c r="F5994" t="s">
        <v>909</v>
      </c>
    </row>
    <row r="5995" spans="1:6">
      <c r="A5995">
        <v>270</v>
      </c>
      <c r="B5995" t="s">
        <v>919</v>
      </c>
      <c r="C5995">
        <v>100000</v>
      </c>
      <c r="D5995" t="s">
        <v>1204</v>
      </c>
      <c r="E5995" t="s">
        <v>1205</v>
      </c>
      <c r="F5995" t="s">
        <v>1206</v>
      </c>
    </row>
    <row r="5996" spans="1:6">
      <c r="A5996">
        <v>270</v>
      </c>
      <c r="B5996" t="s">
        <v>919</v>
      </c>
      <c r="C5996">
        <v>224565</v>
      </c>
      <c r="D5996" t="s">
        <v>910</v>
      </c>
      <c r="E5996" t="s">
        <v>911</v>
      </c>
      <c r="F5996" t="s">
        <v>912</v>
      </c>
    </row>
    <row r="5997" spans="1:6">
      <c r="A5997">
        <v>270</v>
      </c>
      <c r="B5997" t="s">
        <v>919</v>
      </c>
      <c r="C5997">
        <v>31724</v>
      </c>
      <c r="D5997" t="s">
        <v>1579</v>
      </c>
      <c r="E5997" t="s">
        <v>1577</v>
      </c>
      <c r="F5997" t="s">
        <v>1580</v>
      </c>
    </row>
    <row r="5998" spans="1:6">
      <c r="A5998">
        <v>270</v>
      </c>
      <c r="B5998" t="s">
        <v>919</v>
      </c>
      <c r="C5998">
        <v>243</v>
      </c>
      <c r="D5998" t="s">
        <v>1581</v>
      </c>
      <c r="E5998" t="s">
        <v>1582</v>
      </c>
      <c r="F5998" t="s">
        <v>1583</v>
      </c>
    </row>
    <row r="5999" spans="1:6">
      <c r="A5999">
        <v>270</v>
      </c>
      <c r="B5999" t="s">
        <v>919</v>
      </c>
      <c r="C5999">
        <v>6971</v>
      </c>
      <c r="D5999" t="s">
        <v>1587</v>
      </c>
      <c r="E5999" t="s">
        <v>1585</v>
      </c>
      <c r="F5999" t="s">
        <v>1588</v>
      </c>
    </row>
    <row r="6000" spans="1:6">
      <c r="A6000">
        <v>270</v>
      </c>
      <c r="B6000" t="s">
        <v>919</v>
      </c>
      <c r="C6000">
        <v>851</v>
      </c>
      <c r="D6000" t="s">
        <v>1592</v>
      </c>
      <c r="E6000" t="s">
        <v>1590</v>
      </c>
      <c r="F6000" t="s">
        <v>1593</v>
      </c>
    </row>
    <row r="6001" spans="1:6">
      <c r="A6001">
        <v>270</v>
      </c>
      <c r="B6001" t="s">
        <v>919</v>
      </c>
      <c r="C6001">
        <v>225</v>
      </c>
      <c r="D6001" t="s">
        <v>1597</v>
      </c>
      <c r="E6001" t="s">
        <v>1595</v>
      </c>
      <c r="F6001" t="s">
        <v>1598</v>
      </c>
    </row>
    <row r="6002" spans="1:6">
      <c r="A6002">
        <v>272</v>
      </c>
      <c r="B6002" t="s">
        <v>1653</v>
      </c>
      <c r="C6002">
        <v>669810</v>
      </c>
      <c r="D6002" t="s">
        <v>907</v>
      </c>
      <c r="E6002" t="s">
        <v>908</v>
      </c>
      <c r="F6002" t="s">
        <v>909</v>
      </c>
    </row>
    <row r="6003" spans="1:6">
      <c r="A6003">
        <v>272</v>
      </c>
      <c r="B6003" t="s">
        <v>1653</v>
      </c>
      <c r="C6003">
        <v>193564</v>
      </c>
      <c r="D6003" t="s">
        <v>910</v>
      </c>
      <c r="E6003" t="s">
        <v>911</v>
      </c>
      <c r="F6003" t="s">
        <v>912</v>
      </c>
    </row>
    <row r="6004" spans="1:6">
      <c r="A6004">
        <v>272</v>
      </c>
      <c r="B6004" t="s">
        <v>1653</v>
      </c>
      <c r="C6004">
        <v>12098</v>
      </c>
      <c r="D6004" t="s">
        <v>1579</v>
      </c>
      <c r="E6004" t="s">
        <v>1577</v>
      </c>
      <c r="F6004" t="s">
        <v>1580</v>
      </c>
    </row>
    <row r="6005" spans="1:6">
      <c r="A6005">
        <v>272</v>
      </c>
      <c r="B6005" t="s">
        <v>1653</v>
      </c>
      <c r="C6005">
        <v>93</v>
      </c>
      <c r="D6005" t="s">
        <v>1581</v>
      </c>
      <c r="E6005" t="s">
        <v>1582</v>
      </c>
      <c r="F6005" t="s">
        <v>1583</v>
      </c>
    </row>
    <row r="6006" spans="1:6">
      <c r="A6006">
        <v>272</v>
      </c>
      <c r="B6006" t="s">
        <v>1653</v>
      </c>
      <c r="C6006">
        <v>2576</v>
      </c>
      <c r="D6006" t="s">
        <v>1587</v>
      </c>
      <c r="E6006" t="s">
        <v>1585</v>
      </c>
      <c r="F6006" t="s">
        <v>1588</v>
      </c>
    </row>
    <row r="6007" spans="1:6">
      <c r="A6007">
        <v>272</v>
      </c>
      <c r="B6007" t="s">
        <v>1653</v>
      </c>
      <c r="C6007">
        <v>309</v>
      </c>
      <c r="D6007" t="s">
        <v>1592</v>
      </c>
      <c r="E6007" t="s">
        <v>1590</v>
      </c>
      <c r="F6007" t="s">
        <v>1593</v>
      </c>
    </row>
    <row r="6008" spans="1:6">
      <c r="A6008">
        <v>272</v>
      </c>
      <c r="B6008" t="s">
        <v>1653</v>
      </c>
      <c r="C6008">
        <v>139</v>
      </c>
      <c r="D6008" t="s">
        <v>1597</v>
      </c>
      <c r="E6008" t="s">
        <v>1595</v>
      </c>
      <c r="F6008" t="s">
        <v>1598</v>
      </c>
    </row>
    <row r="6009" spans="1:6">
      <c r="A6009">
        <v>277</v>
      </c>
      <c r="B6009" t="s">
        <v>920</v>
      </c>
      <c r="C6009">
        <v>2084</v>
      </c>
      <c r="D6009" t="s">
        <v>1489</v>
      </c>
      <c r="E6009" t="s">
        <v>1490</v>
      </c>
      <c r="F6009" t="s">
        <v>1491</v>
      </c>
    </row>
    <row r="6010" spans="1:6">
      <c r="A6010">
        <v>277</v>
      </c>
      <c r="B6010" t="s">
        <v>920</v>
      </c>
      <c r="C6010">
        <v>2412930</v>
      </c>
      <c r="D6010" t="s">
        <v>907</v>
      </c>
      <c r="E6010" t="s">
        <v>908</v>
      </c>
      <c r="F6010" t="s">
        <v>909</v>
      </c>
    </row>
    <row r="6011" spans="1:6">
      <c r="A6011">
        <v>277</v>
      </c>
      <c r="B6011" t="s">
        <v>920</v>
      </c>
      <c r="C6011">
        <v>3000</v>
      </c>
      <c r="D6011" t="s">
        <v>1515</v>
      </c>
      <c r="E6011" t="s">
        <v>1516</v>
      </c>
      <c r="F6011" t="s">
        <v>1517</v>
      </c>
    </row>
    <row r="6012" spans="1:6">
      <c r="A6012">
        <v>277</v>
      </c>
      <c r="B6012" t="s">
        <v>920</v>
      </c>
      <c r="C6012">
        <v>2109</v>
      </c>
      <c r="D6012" t="s">
        <v>1518</v>
      </c>
      <c r="E6012" t="s">
        <v>1516</v>
      </c>
      <c r="F6012" t="s">
        <v>1519</v>
      </c>
    </row>
    <row r="6013" spans="1:6">
      <c r="A6013">
        <v>277</v>
      </c>
      <c r="B6013" t="s">
        <v>920</v>
      </c>
      <c r="C6013">
        <v>9438.94</v>
      </c>
      <c r="D6013" t="s">
        <v>1537</v>
      </c>
      <c r="E6013" t="s">
        <v>1538</v>
      </c>
      <c r="F6013" t="s">
        <v>1539</v>
      </c>
    </row>
    <row r="6014" spans="1:6">
      <c r="A6014">
        <v>277</v>
      </c>
      <c r="B6014" t="s">
        <v>920</v>
      </c>
      <c r="C6014">
        <v>7944.12</v>
      </c>
      <c r="D6014" t="s">
        <v>1540</v>
      </c>
      <c r="E6014" t="s">
        <v>1538</v>
      </c>
      <c r="F6014" t="s">
        <v>1541</v>
      </c>
    </row>
    <row r="6015" spans="1:6">
      <c r="A6015">
        <v>277</v>
      </c>
      <c r="B6015" t="s">
        <v>920</v>
      </c>
      <c r="C6015">
        <v>16961.66</v>
      </c>
      <c r="D6015" t="s">
        <v>1431</v>
      </c>
      <c r="E6015" t="s">
        <v>1432</v>
      </c>
      <c r="F6015" t="s">
        <v>1433</v>
      </c>
    </row>
    <row r="6016" spans="1:6">
      <c r="A6016">
        <v>277</v>
      </c>
      <c r="B6016" t="s">
        <v>920</v>
      </c>
      <c r="C6016">
        <v>11502.86</v>
      </c>
      <c r="D6016" t="s">
        <v>1434</v>
      </c>
      <c r="E6016" t="s">
        <v>1432</v>
      </c>
      <c r="F6016" t="s">
        <v>1435</v>
      </c>
    </row>
    <row r="6017" spans="1:6">
      <c r="A6017">
        <v>277</v>
      </c>
      <c r="B6017" t="s">
        <v>920</v>
      </c>
      <c r="C6017">
        <v>44622</v>
      </c>
      <c r="D6017" t="s">
        <v>1576</v>
      </c>
      <c r="E6017" t="s">
        <v>1577</v>
      </c>
      <c r="F6017" t="s">
        <v>1578</v>
      </c>
    </row>
    <row r="6018" spans="1:6">
      <c r="A6018">
        <v>277</v>
      </c>
      <c r="B6018" t="s">
        <v>920</v>
      </c>
      <c r="C6018">
        <v>139463</v>
      </c>
      <c r="D6018" t="s">
        <v>1579</v>
      </c>
      <c r="E6018" t="s">
        <v>1577</v>
      </c>
      <c r="F6018" t="s">
        <v>1580</v>
      </c>
    </row>
    <row r="6019" spans="1:6">
      <c r="A6019">
        <v>277</v>
      </c>
      <c r="B6019" t="s">
        <v>920</v>
      </c>
      <c r="C6019">
        <v>2622</v>
      </c>
      <c r="D6019" t="s">
        <v>1442</v>
      </c>
      <c r="E6019" t="s">
        <v>1582</v>
      </c>
      <c r="F6019" t="s">
        <v>1443</v>
      </c>
    </row>
    <row r="6020" spans="1:6">
      <c r="A6020">
        <v>277</v>
      </c>
      <c r="B6020" t="s">
        <v>920</v>
      </c>
      <c r="C6020">
        <v>1069</v>
      </c>
      <c r="D6020" t="s">
        <v>1581</v>
      </c>
      <c r="E6020" t="s">
        <v>1582</v>
      </c>
      <c r="F6020" t="s">
        <v>1583</v>
      </c>
    </row>
    <row r="6021" spans="1:6">
      <c r="A6021">
        <v>277</v>
      </c>
      <c r="B6021" t="s">
        <v>920</v>
      </c>
      <c r="C6021">
        <v>8844</v>
      </c>
      <c r="D6021" t="s">
        <v>1584</v>
      </c>
      <c r="E6021" t="s">
        <v>1585</v>
      </c>
      <c r="F6021" t="s">
        <v>1586</v>
      </c>
    </row>
    <row r="6022" spans="1:6">
      <c r="A6022">
        <v>277</v>
      </c>
      <c r="B6022" t="s">
        <v>920</v>
      </c>
      <c r="C6022">
        <v>4000</v>
      </c>
      <c r="D6022" t="s">
        <v>1587</v>
      </c>
      <c r="E6022" t="s">
        <v>1585</v>
      </c>
      <c r="F6022" t="s">
        <v>1588</v>
      </c>
    </row>
    <row r="6023" spans="1:6">
      <c r="A6023">
        <v>277</v>
      </c>
      <c r="B6023" t="s">
        <v>920</v>
      </c>
      <c r="C6023">
        <v>3411</v>
      </c>
      <c r="D6023" t="s">
        <v>1589</v>
      </c>
      <c r="E6023" t="s">
        <v>1590</v>
      </c>
      <c r="F6023" t="s">
        <v>1591</v>
      </c>
    </row>
    <row r="6024" spans="1:6">
      <c r="A6024">
        <v>277</v>
      </c>
      <c r="B6024" t="s">
        <v>920</v>
      </c>
      <c r="C6024">
        <v>984</v>
      </c>
      <c r="D6024" t="s">
        <v>1594</v>
      </c>
      <c r="E6024" t="s">
        <v>1595</v>
      </c>
      <c r="F6024" t="s">
        <v>1596</v>
      </c>
    </row>
    <row r="6025" spans="1:6">
      <c r="A6025">
        <v>277</v>
      </c>
      <c r="B6025" t="s">
        <v>920</v>
      </c>
      <c r="C6025">
        <v>4461</v>
      </c>
      <c r="D6025" t="s">
        <v>1273</v>
      </c>
      <c r="E6025" t="s">
        <v>1274</v>
      </c>
      <c r="F6025" t="s">
        <v>1275</v>
      </c>
    </row>
    <row r="6026" spans="1:6">
      <c r="A6026">
        <v>278</v>
      </c>
      <c r="B6026" t="s">
        <v>1655</v>
      </c>
      <c r="C6026">
        <v>915</v>
      </c>
      <c r="D6026" t="s">
        <v>1489</v>
      </c>
      <c r="E6026" t="s">
        <v>1490</v>
      </c>
      <c r="F6026" t="s">
        <v>1491</v>
      </c>
    </row>
    <row r="6027" spans="1:6">
      <c r="A6027">
        <v>278</v>
      </c>
      <c r="B6027" t="s">
        <v>1655</v>
      </c>
      <c r="C6027">
        <v>1210500</v>
      </c>
      <c r="D6027" t="s">
        <v>907</v>
      </c>
      <c r="E6027" t="s">
        <v>908</v>
      </c>
      <c r="F6027" t="s">
        <v>909</v>
      </c>
    </row>
    <row r="6028" spans="1:6">
      <c r="A6028">
        <v>278</v>
      </c>
      <c r="B6028" t="s">
        <v>1655</v>
      </c>
      <c r="C6028">
        <v>3000</v>
      </c>
      <c r="D6028" t="s">
        <v>1515</v>
      </c>
      <c r="E6028" t="s">
        <v>1516</v>
      </c>
      <c r="F6028" t="s">
        <v>1517</v>
      </c>
    </row>
    <row r="6029" spans="1:6">
      <c r="A6029">
        <v>278</v>
      </c>
      <c r="B6029" t="s">
        <v>1655</v>
      </c>
      <c r="C6029">
        <v>1286</v>
      </c>
      <c r="D6029" t="s">
        <v>1518</v>
      </c>
      <c r="E6029" t="s">
        <v>1516</v>
      </c>
      <c r="F6029" t="s">
        <v>1519</v>
      </c>
    </row>
    <row r="6030" spans="1:6">
      <c r="A6030">
        <v>278</v>
      </c>
      <c r="B6030" t="s">
        <v>1655</v>
      </c>
      <c r="C6030">
        <v>8288.86</v>
      </c>
      <c r="D6030" t="s">
        <v>1537</v>
      </c>
      <c r="E6030" t="s">
        <v>1538</v>
      </c>
      <c r="F6030" t="s">
        <v>1539</v>
      </c>
    </row>
    <row r="6031" spans="1:6">
      <c r="A6031">
        <v>278</v>
      </c>
      <c r="B6031" t="s">
        <v>1655</v>
      </c>
      <c r="C6031">
        <v>14346.24</v>
      </c>
      <c r="D6031" t="s">
        <v>1540</v>
      </c>
      <c r="E6031" t="s">
        <v>1538</v>
      </c>
      <c r="F6031" t="s">
        <v>1541</v>
      </c>
    </row>
    <row r="6032" spans="1:6">
      <c r="A6032">
        <v>278</v>
      </c>
      <c r="B6032" t="s">
        <v>1655</v>
      </c>
      <c r="C6032">
        <v>11880.7</v>
      </c>
      <c r="D6032" t="s">
        <v>1431</v>
      </c>
      <c r="E6032" t="s">
        <v>1432</v>
      </c>
      <c r="F6032" t="s">
        <v>1433</v>
      </c>
    </row>
    <row r="6033" spans="1:6">
      <c r="A6033">
        <v>278</v>
      </c>
      <c r="B6033" t="s">
        <v>1655</v>
      </c>
      <c r="C6033">
        <v>22348.87</v>
      </c>
      <c r="D6033" t="s">
        <v>1434</v>
      </c>
      <c r="E6033" t="s">
        <v>1432</v>
      </c>
      <c r="F6033" t="s">
        <v>1435</v>
      </c>
    </row>
    <row r="6034" spans="1:6">
      <c r="A6034">
        <v>278</v>
      </c>
      <c r="B6034" t="s">
        <v>1655</v>
      </c>
      <c r="C6034">
        <v>35138</v>
      </c>
      <c r="D6034" t="s">
        <v>1579</v>
      </c>
      <c r="E6034" t="s">
        <v>1577</v>
      </c>
      <c r="F6034" t="s">
        <v>1580</v>
      </c>
    </row>
    <row r="6035" spans="1:6">
      <c r="A6035">
        <v>278</v>
      </c>
      <c r="B6035" t="s">
        <v>1655</v>
      </c>
      <c r="C6035">
        <v>269</v>
      </c>
      <c r="D6035" t="s">
        <v>1581</v>
      </c>
      <c r="E6035" t="s">
        <v>1582</v>
      </c>
      <c r="F6035" t="s">
        <v>1583</v>
      </c>
    </row>
    <row r="6036" spans="1:6">
      <c r="A6036">
        <v>278</v>
      </c>
      <c r="B6036" t="s">
        <v>1655</v>
      </c>
      <c r="C6036">
        <v>4210</v>
      </c>
      <c r="D6036" t="s">
        <v>1587</v>
      </c>
      <c r="E6036" t="s">
        <v>1585</v>
      </c>
      <c r="F6036" t="s">
        <v>1588</v>
      </c>
    </row>
    <row r="6037" spans="1:6">
      <c r="A6037">
        <v>278</v>
      </c>
      <c r="B6037" t="s">
        <v>1655</v>
      </c>
      <c r="C6037">
        <v>917</v>
      </c>
      <c r="D6037" t="s">
        <v>1589</v>
      </c>
      <c r="E6037" t="s">
        <v>1590</v>
      </c>
      <c r="F6037" t="s">
        <v>1591</v>
      </c>
    </row>
    <row r="6038" spans="1:6">
      <c r="A6038">
        <v>278</v>
      </c>
      <c r="B6038" t="s">
        <v>1655</v>
      </c>
      <c r="C6038">
        <v>740</v>
      </c>
      <c r="D6038" t="s">
        <v>1592</v>
      </c>
      <c r="E6038" t="s">
        <v>1590</v>
      </c>
      <c r="F6038" t="s">
        <v>1593</v>
      </c>
    </row>
    <row r="6039" spans="1:6">
      <c r="A6039">
        <v>278</v>
      </c>
      <c r="B6039" t="s">
        <v>1655</v>
      </c>
      <c r="C6039">
        <v>85</v>
      </c>
      <c r="D6039" t="s">
        <v>1597</v>
      </c>
      <c r="E6039" t="s">
        <v>1595</v>
      </c>
      <c r="F6039" t="s">
        <v>1598</v>
      </c>
    </row>
    <row r="6040" spans="1:6">
      <c r="A6040">
        <v>279</v>
      </c>
      <c r="B6040" t="s">
        <v>921</v>
      </c>
      <c r="C6040">
        <v>4560</v>
      </c>
      <c r="D6040" t="s">
        <v>1486</v>
      </c>
      <c r="E6040" t="s">
        <v>1487</v>
      </c>
      <c r="F6040" t="s">
        <v>1488</v>
      </c>
    </row>
    <row r="6041" spans="1:6">
      <c r="A6041">
        <v>279</v>
      </c>
      <c r="B6041" t="s">
        <v>921</v>
      </c>
      <c r="C6041">
        <v>3228000</v>
      </c>
      <c r="D6041" t="s">
        <v>907</v>
      </c>
      <c r="E6041" t="s">
        <v>908</v>
      </c>
      <c r="F6041" t="s">
        <v>909</v>
      </c>
    </row>
    <row r="6042" spans="1:6">
      <c r="A6042">
        <v>279</v>
      </c>
      <c r="B6042" t="s">
        <v>921</v>
      </c>
      <c r="C6042">
        <v>3000</v>
      </c>
      <c r="D6042" t="s">
        <v>1515</v>
      </c>
      <c r="E6042" t="s">
        <v>1516</v>
      </c>
      <c r="F6042" t="s">
        <v>1517</v>
      </c>
    </row>
    <row r="6043" spans="1:6">
      <c r="A6043">
        <v>279</v>
      </c>
      <c r="B6043" t="s">
        <v>921</v>
      </c>
      <c r="C6043">
        <v>1975</v>
      </c>
      <c r="D6043" t="s">
        <v>1518</v>
      </c>
      <c r="E6043" t="s">
        <v>1516</v>
      </c>
      <c r="F6043" t="s">
        <v>1519</v>
      </c>
    </row>
    <row r="6044" spans="1:6">
      <c r="A6044">
        <v>279</v>
      </c>
      <c r="B6044" t="s">
        <v>921</v>
      </c>
      <c r="C6044">
        <v>20395</v>
      </c>
      <c r="D6044" t="s">
        <v>1390</v>
      </c>
      <c r="E6044" t="s">
        <v>1391</v>
      </c>
      <c r="F6044" t="s">
        <v>1392</v>
      </c>
    </row>
    <row r="6045" spans="1:6">
      <c r="A6045">
        <v>279</v>
      </c>
      <c r="B6045" t="s">
        <v>921</v>
      </c>
      <c r="C6045">
        <v>500000</v>
      </c>
      <c r="D6045" t="s">
        <v>910</v>
      </c>
      <c r="E6045" t="s">
        <v>911</v>
      </c>
      <c r="F6045" t="s">
        <v>912</v>
      </c>
    </row>
    <row r="6046" spans="1:6">
      <c r="A6046">
        <v>279</v>
      </c>
      <c r="B6046" t="s">
        <v>921</v>
      </c>
      <c r="C6046">
        <v>7575.3</v>
      </c>
      <c r="D6046" t="s">
        <v>1537</v>
      </c>
      <c r="E6046" t="s">
        <v>1538</v>
      </c>
      <c r="F6046" t="s">
        <v>1539</v>
      </c>
    </row>
    <row r="6047" spans="1:6">
      <c r="A6047">
        <v>279</v>
      </c>
      <c r="B6047" t="s">
        <v>921</v>
      </c>
      <c r="C6047">
        <v>47412.36</v>
      </c>
      <c r="D6047" t="s">
        <v>1540</v>
      </c>
      <c r="E6047" t="s">
        <v>1538</v>
      </c>
      <c r="F6047" t="s">
        <v>1541</v>
      </c>
    </row>
    <row r="6048" spans="1:6">
      <c r="A6048">
        <v>279</v>
      </c>
      <c r="B6048" t="s">
        <v>921</v>
      </c>
      <c r="C6048">
        <v>12025.45</v>
      </c>
      <c r="D6048" t="s">
        <v>1431</v>
      </c>
      <c r="E6048" t="s">
        <v>1432</v>
      </c>
      <c r="F6048" t="s">
        <v>1433</v>
      </c>
    </row>
    <row r="6049" spans="1:6">
      <c r="A6049">
        <v>279</v>
      </c>
      <c r="B6049" t="s">
        <v>921</v>
      </c>
      <c r="C6049">
        <v>69894.009999999995</v>
      </c>
      <c r="D6049" t="s">
        <v>1434</v>
      </c>
      <c r="E6049" t="s">
        <v>1432</v>
      </c>
      <c r="F6049" t="s">
        <v>1435</v>
      </c>
    </row>
    <row r="6050" spans="1:6">
      <c r="A6050">
        <v>279</v>
      </c>
      <c r="B6050" t="s">
        <v>921</v>
      </c>
      <c r="C6050">
        <v>22643</v>
      </c>
      <c r="D6050" t="s">
        <v>1132</v>
      </c>
      <c r="E6050" t="s">
        <v>1169</v>
      </c>
      <c r="F6050" t="s">
        <v>1133</v>
      </c>
    </row>
    <row r="6051" spans="1:6">
      <c r="A6051">
        <v>279</v>
      </c>
      <c r="B6051" t="s">
        <v>921</v>
      </c>
      <c r="C6051">
        <v>10000</v>
      </c>
      <c r="D6051" t="s">
        <v>1168</v>
      </c>
      <c r="E6051" t="s">
        <v>1169</v>
      </c>
      <c r="F6051" t="s">
        <v>1354</v>
      </c>
    </row>
    <row r="6052" spans="1:6">
      <c r="A6052">
        <v>279</v>
      </c>
      <c r="B6052" t="s">
        <v>921</v>
      </c>
      <c r="C6052">
        <v>66672</v>
      </c>
      <c r="D6052" t="s">
        <v>1576</v>
      </c>
      <c r="E6052" t="s">
        <v>1577</v>
      </c>
      <c r="F6052" t="s">
        <v>1578</v>
      </c>
    </row>
    <row r="6053" spans="1:6">
      <c r="A6053">
        <v>279</v>
      </c>
      <c r="B6053" t="s">
        <v>921</v>
      </c>
      <c r="C6053">
        <v>156892</v>
      </c>
      <c r="D6053" t="s">
        <v>1579</v>
      </c>
      <c r="E6053" t="s">
        <v>1577</v>
      </c>
      <c r="F6053" t="s">
        <v>1580</v>
      </c>
    </row>
    <row r="6054" spans="1:6">
      <c r="A6054">
        <v>279</v>
      </c>
      <c r="B6054" t="s">
        <v>921</v>
      </c>
      <c r="C6054">
        <v>20854</v>
      </c>
      <c r="D6054" t="s">
        <v>1584</v>
      </c>
      <c r="E6054" t="s">
        <v>1585</v>
      </c>
      <c r="F6054" t="s">
        <v>1586</v>
      </c>
    </row>
    <row r="6055" spans="1:6">
      <c r="A6055">
        <v>279</v>
      </c>
      <c r="B6055" t="s">
        <v>921</v>
      </c>
      <c r="C6055">
        <v>500</v>
      </c>
      <c r="D6055" t="s">
        <v>1589</v>
      </c>
      <c r="E6055" t="s">
        <v>1590</v>
      </c>
      <c r="F6055" t="s">
        <v>1591</v>
      </c>
    </row>
    <row r="6056" spans="1:6">
      <c r="A6056">
        <v>279</v>
      </c>
      <c r="B6056" t="s">
        <v>921</v>
      </c>
      <c r="C6056">
        <v>2362</v>
      </c>
      <c r="D6056" t="s">
        <v>1592</v>
      </c>
      <c r="E6056" t="s">
        <v>1590</v>
      </c>
      <c r="F6056" t="s">
        <v>1593</v>
      </c>
    </row>
    <row r="6057" spans="1:6">
      <c r="A6057">
        <v>279</v>
      </c>
      <c r="B6057" t="s">
        <v>921</v>
      </c>
      <c r="C6057">
        <v>1600</v>
      </c>
      <c r="D6057" t="s">
        <v>1594</v>
      </c>
      <c r="E6057" t="s">
        <v>1595</v>
      </c>
      <c r="F6057" t="s">
        <v>1596</v>
      </c>
    </row>
    <row r="6058" spans="1:6">
      <c r="A6058">
        <v>280</v>
      </c>
      <c r="B6058" t="s">
        <v>922</v>
      </c>
      <c r="C6058">
        <v>2517</v>
      </c>
      <c r="D6058" t="s">
        <v>1486</v>
      </c>
      <c r="E6058" t="s">
        <v>1487</v>
      </c>
      <c r="F6058" t="s">
        <v>1488</v>
      </c>
    </row>
    <row r="6059" spans="1:6">
      <c r="A6059">
        <v>280</v>
      </c>
      <c r="B6059" t="s">
        <v>922</v>
      </c>
      <c r="C6059">
        <v>1177</v>
      </c>
      <c r="D6059" t="s">
        <v>1489</v>
      </c>
      <c r="E6059" t="s">
        <v>1490</v>
      </c>
      <c r="F6059" t="s">
        <v>1491</v>
      </c>
    </row>
    <row r="6060" spans="1:6">
      <c r="A6060">
        <v>280</v>
      </c>
      <c r="B6060" t="s">
        <v>922</v>
      </c>
      <c r="C6060">
        <v>2421000</v>
      </c>
      <c r="D6060" t="s">
        <v>907</v>
      </c>
      <c r="E6060" t="s">
        <v>908</v>
      </c>
      <c r="F6060" t="s">
        <v>909</v>
      </c>
    </row>
    <row r="6061" spans="1:6">
      <c r="A6061">
        <v>280</v>
      </c>
      <c r="B6061" t="s">
        <v>922</v>
      </c>
      <c r="C6061">
        <v>3000</v>
      </c>
      <c r="D6061" t="s">
        <v>1515</v>
      </c>
      <c r="E6061" t="s">
        <v>1516</v>
      </c>
      <c r="F6061" t="s">
        <v>1517</v>
      </c>
    </row>
    <row r="6062" spans="1:6">
      <c r="A6062">
        <v>280</v>
      </c>
      <c r="B6062" t="s">
        <v>922</v>
      </c>
      <c r="C6062">
        <v>335</v>
      </c>
      <c r="D6062" t="s">
        <v>1518</v>
      </c>
      <c r="E6062" t="s">
        <v>1516</v>
      </c>
      <c r="F6062" t="s">
        <v>1519</v>
      </c>
    </row>
    <row r="6063" spans="1:6">
      <c r="A6063">
        <v>280</v>
      </c>
      <c r="B6063" t="s">
        <v>922</v>
      </c>
      <c r="C6063">
        <v>1133000</v>
      </c>
      <c r="D6063" t="s">
        <v>910</v>
      </c>
      <c r="E6063" t="s">
        <v>911</v>
      </c>
      <c r="F6063" t="s">
        <v>912</v>
      </c>
    </row>
    <row r="6064" spans="1:6">
      <c r="A6064">
        <v>280</v>
      </c>
      <c r="B6064" t="s">
        <v>922</v>
      </c>
      <c r="C6064">
        <v>4561.6899999999996</v>
      </c>
      <c r="D6064" t="s">
        <v>1537</v>
      </c>
      <c r="E6064" t="s">
        <v>1538</v>
      </c>
      <c r="F6064" t="s">
        <v>1539</v>
      </c>
    </row>
    <row r="6065" spans="1:6">
      <c r="A6065">
        <v>280</v>
      </c>
      <c r="B6065" t="s">
        <v>922</v>
      </c>
      <c r="C6065">
        <v>9007.6200000000008</v>
      </c>
      <c r="D6065" t="s">
        <v>1540</v>
      </c>
      <c r="E6065" t="s">
        <v>1538</v>
      </c>
      <c r="F6065" t="s">
        <v>1541</v>
      </c>
    </row>
    <row r="6066" spans="1:6">
      <c r="A6066">
        <v>280</v>
      </c>
      <c r="B6066" t="s">
        <v>922</v>
      </c>
      <c r="C6066">
        <v>19491.349999999999</v>
      </c>
      <c r="D6066" t="s">
        <v>1431</v>
      </c>
      <c r="E6066" t="s">
        <v>1432</v>
      </c>
      <c r="F6066" t="s">
        <v>1433</v>
      </c>
    </row>
    <row r="6067" spans="1:6">
      <c r="A6067">
        <v>280</v>
      </c>
      <c r="B6067" t="s">
        <v>922</v>
      </c>
      <c r="C6067">
        <v>48266.96</v>
      </c>
      <c r="D6067" t="s">
        <v>1434</v>
      </c>
      <c r="E6067" t="s">
        <v>1432</v>
      </c>
      <c r="F6067" t="s">
        <v>1435</v>
      </c>
    </row>
    <row r="6068" spans="1:6">
      <c r="A6068">
        <v>280</v>
      </c>
      <c r="B6068" t="s">
        <v>922</v>
      </c>
      <c r="C6068">
        <v>67186</v>
      </c>
      <c r="D6068" t="s">
        <v>1579</v>
      </c>
      <c r="E6068" t="s">
        <v>1577</v>
      </c>
      <c r="F6068" t="s">
        <v>1580</v>
      </c>
    </row>
    <row r="6069" spans="1:6">
      <c r="A6069">
        <v>280</v>
      </c>
      <c r="B6069" t="s">
        <v>922</v>
      </c>
      <c r="C6069">
        <v>81260</v>
      </c>
      <c r="D6069" t="s">
        <v>1256</v>
      </c>
      <c r="E6069" t="s">
        <v>1257</v>
      </c>
      <c r="F6069" t="s">
        <v>1258</v>
      </c>
    </row>
    <row r="6070" spans="1:6">
      <c r="A6070">
        <v>280</v>
      </c>
      <c r="B6070" t="s">
        <v>922</v>
      </c>
      <c r="C6070">
        <v>515</v>
      </c>
      <c r="D6070" t="s">
        <v>1581</v>
      </c>
      <c r="E6070" t="s">
        <v>1582</v>
      </c>
      <c r="F6070" t="s">
        <v>1583</v>
      </c>
    </row>
    <row r="6071" spans="1:6">
      <c r="A6071">
        <v>280</v>
      </c>
      <c r="B6071" t="s">
        <v>922</v>
      </c>
      <c r="C6071">
        <v>6532</v>
      </c>
      <c r="D6071" t="s">
        <v>1587</v>
      </c>
      <c r="E6071" t="s">
        <v>1585</v>
      </c>
      <c r="F6071" t="s">
        <v>1588</v>
      </c>
    </row>
    <row r="6072" spans="1:6">
      <c r="A6072">
        <v>280</v>
      </c>
      <c r="B6072" t="s">
        <v>922</v>
      </c>
      <c r="C6072">
        <v>99517</v>
      </c>
      <c r="D6072" t="s">
        <v>1452</v>
      </c>
      <c r="E6072" t="s">
        <v>1450</v>
      </c>
      <c r="F6072" t="s">
        <v>1453</v>
      </c>
    </row>
    <row r="6073" spans="1:6">
      <c r="A6073">
        <v>280</v>
      </c>
      <c r="B6073" t="s">
        <v>922</v>
      </c>
      <c r="C6073">
        <v>1429</v>
      </c>
      <c r="D6073" t="s">
        <v>1592</v>
      </c>
      <c r="E6073" t="s">
        <v>1590</v>
      </c>
      <c r="F6073" t="s">
        <v>1593</v>
      </c>
    </row>
    <row r="6074" spans="1:6">
      <c r="A6074">
        <v>280</v>
      </c>
      <c r="B6074" t="s">
        <v>922</v>
      </c>
      <c r="C6074">
        <v>777</v>
      </c>
      <c r="D6074" t="s">
        <v>1597</v>
      </c>
      <c r="E6074" t="s">
        <v>1595</v>
      </c>
      <c r="F6074" t="s">
        <v>1598</v>
      </c>
    </row>
    <row r="6075" spans="1:6">
      <c r="A6075">
        <v>281</v>
      </c>
      <c r="B6075" t="s">
        <v>923</v>
      </c>
      <c r="C6075">
        <v>4428</v>
      </c>
      <c r="D6075" t="s">
        <v>1486</v>
      </c>
      <c r="E6075" t="s">
        <v>1487</v>
      </c>
      <c r="F6075" t="s">
        <v>1488</v>
      </c>
    </row>
    <row r="6076" spans="1:6">
      <c r="A6076">
        <v>281</v>
      </c>
      <c r="B6076" t="s">
        <v>923</v>
      </c>
      <c r="C6076">
        <v>2961690</v>
      </c>
      <c r="D6076" t="s">
        <v>907</v>
      </c>
      <c r="E6076" t="s">
        <v>908</v>
      </c>
      <c r="F6076" t="s">
        <v>909</v>
      </c>
    </row>
    <row r="6077" spans="1:6">
      <c r="A6077">
        <v>281</v>
      </c>
      <c r="B6077" t="s">
        <v>923</v>
      </c>
      <c r="C6077">
        <v>3000</v>
      </c>
      <c r="D6077" t="s">
        <v>1515</v>
      </c>
      <c r="E6077" t="s">
        <v>1516</v>
      </c>
      <c r="F6077" t="s">
        <v>1517</v>
      </c>
    </row>
    <row r="6078" spans="1:6">
      <c r="A6078">
        <v>281</v>
      </c>
      <c r="B6078" t="s">
        <v>923</v>
      </c>
      <c r="C6078">
        <v>2218</v>
      </c>
      <c r="D6078" t="s">
        <v>1518</v>
      </c>
      <c r="E6078" t="s">
        <v>1516</v>
      </c>
      <c r="F6078" t="s">
        <v>1519</v>
      </c>
    </row>
    <row r="6079" spans="1:6">
      <c r="A6079">
        <v>281</v>
      </c>
      <c r="B6079" t="s">
        <v>923</v>
      </c>
      <c r="C6079">
        <v>4802</v>
      </c>
      <c r="D6079" t="s">
        <v>1390</v>
      </c>
      <c r="E6079" t="s">
        <v>1391</v>
      </c>
      <c r="F6079" t="s">
        <v>1392</v>
      </c>
    </row>
    <row r="6080" spans="1:6">
      <c r="A6080">
        <v>281</v>
      </c>
      <c r="B6080" t="s">
        <v>923</v>
      </c>
      <c r="C6080">
        <v>8306.4599999999991</v>
      </c>
      <c r="D6080" t="s">
        <v>1537</v>
      </c>
      <c r="E6080" t="s">
        <v>1538</v>
      </c>
      <c r="F6080" t="s">
        <v>1539</v>
      </c>
    </row>
    <row r="6081" spans="1:6">
      <c r="A6081">
        <v>281</v>
      </c>
      <c r="B6081" t="s">
        <v>923</v>
      </c>
      <c r="C6081">
        <v>48040.26</v>
      </c>
      <c r="D6081" t="s">
        <v>1540</v>
      </c>
      <c r="E6081" t="s">
        <v>1538</v>
      </c>
      <c r="F6081" t="s">
        <v>1541</v>
      </c>
    </row>
    <row r="6082" spans="1:6">
      <c r="A6082">
        <v>281</v>
      </c>
      <c r="B6082" t="s">
        <v>923</v>
      </c>
      <c r="C6082">
        <v>12811.41</v>
      </c>
      <c r="D6082" t="s">
        <v>1431</v>
      </c>
      <c r="E6082" t="s">
        <v>1432</v>
      </c>
      <c r="F6082" t="s">
        <v>1433</v>
      </c>
    </row>
    <row r="6083" spans="1:6">
      <c r="A6083">
        <v>281</v>
      </c>
      <c r="B6083" t="s">
        <v>923</v>
      </c>
      <c r="C6083">
        <v>73784.22</v>
      </c>
      <c r="D6083" t="s">
        <v>1434</v>
      </c>
      <c r="E6083" t="s">
        <v>1432</v>
      </c>
      <c r="F6083" t="s">
        <v>1435</v>
      </c>
    </row>
    <row r="6084" spans="1:6">
      <c r="A6084">
        <v>281</v>
      </c>
      <c r="B6084" t="s">
        <v>923</v>
      </c>
      <c r="C6084">
        <v>25861</v>
      </c>
      <c r="D6084" t="s">
        <v>1579</v>
      </c>
      <c r="E6084" t="s">
        <v>1577</v>
      </c>
      <c r="F6084" t="s">
        <v>1580</v>
      </c>
    </row>
    <row r="6085" spans="1:6">
      <c r="A6085">
        <v>281</v>
      </c>
      <c r="B6085" t="s">
        <v>923</v>
      </c>
      <c r="C6085">
        <v>209610</v>
      </c>
      <c r="D6085" t="s">
        <v>924</v>
      </c>
      <c r="E6085" t="s">
        <v>925</v>
      </c>
      <c r="F6085" t="s">
        <v>812</v>
      </c>
    </row>
    <row r="6086" spans="1:6">
      <c r="A6086">
        <v>281</v>
      </c>
      <c r="B6086" t="s">
        <v>923</v>
      </c>
      <c r="C6086">
        <v>6241</v>
      </c>
      <c r="D6086" t="s">
        <v>1587</v>
      </c>
      <c r="E6086" t="s">
        <v>1585</v>
      </c>
      <c r="F6086" t="s">
        <v>1588</v>
      </c>
    </row>
    <row r="6087" spans="1:6">
      <c r="A6087">
        <v>281</v>
      </c>
      <c r="B6087" t="s">
        <v>923</v>
      </c>
      <c r="C6087">
        <v>798</v>
      </c>
      <c r="D6087" t="s">
        <v>1589</v>
      </c>
      <c r="E6087" t="s">
        <v>1590</v>
      </c>
      <c r="F6087" t="s">
        <v>1591</v>
      </c>
    </row>
    <row r="6088" spans="1:6">
      <c r="A6088">
        <v>281</v>
      </c>
      <c r="B6088" t="s">
        <v>923</v>
      </c>
      <c r="C6088">
        <v>795</v>
      </c>
      <c r="D6088" t="s">
        <v>1592</v>
      </c>
      <c r="E6088" t="s">
        <v>1590</v>
      </c>
      <c r="F6088" t="s">
        <v>1593</v>
      </c>
    </row>
    <row r="6089" spans="1:6">
      <c r="A6089">
        <v>281</v>
      </c>
      <c r="B6089" t="s">
        <v>923</v>
      </c>
      <c r="C6089">
        <v>915</v>
      </c>
      <c r="D6089" t="s">
        <v>1594</v>
      </c>
      <c r="E6089" t="s">
        <v>1595</v>
      </c>
      <c r="F6089" t="s">
        <v>1596</v>
      </c>
    </row>
    <row r="6090" spans="1:6">
      <c r="A6090">
        <v>281</v>
      </c>
      <c r="B6090" t="s">
        <v>923</v>
      </c>
      <c r="C6090">
        <v>740</v>
      </c>
      <c r="D6090" t="s">
        <v>1597</v>
      </c>
      <c r="E6090" t="s">
        <v>1595</v>
      </c>
      <c r="F6090" t="s">
        <v>1598</v>
      </c>
    </row>
    <row r="6091" spans="1:6">
      <c r="A6091">
        <v>282</v>
      </c>
      <c r="B6091" t="s">
        <v>1659</v>
      </c>
      <c r="C6091">
        <v>1013</v>
      </c>
      <c r="D6091" t="s">
        <v>1486</v>
      </c>
      <c r="E6091" t="s">
        <v>1487</v>
      </c>
      <c r="F6091" t="s">
        <v>1488</v>
      </c>
    </row>
    <row r="6092" spans="1:6">
      <c r="A6092">
        <v>282</v>
      </c>
      <c r="B6092" t="s">
        <v>1659</v>
      </c>
      <c r="C6092">
        <v>790</v>
      </c>
      <c r="D6092" t="s">
        <v>1489</v>
      </c>
      <c r="E6092" t="s">
        <v>1490</v>
      </c>
      <c r="F6092" t="s">
        <v>1491</v>
      </c>
    </row>
    <row r="6093" spans="1:6">
      <c r="A6093">
        <v>282</v>
      </c>
      <c r="B6093" t="s">
        <v>1659</v>
      </c>
      <c r="C6093">
        <v>984540</v>
      </c>
      <c r="D6093" t="s">
        <v>907</v>
      </c>
      <c r="E6093" t="s">
        <v>908</v>
      </c>
      <c r="F6093" t="s">
        <v>909</v>
      </c>
    </row>
    <row r="6094" spans="1:6">
      <c r="A6094">
        <v>282</v>
      </c>
      <c r="B6094" t="s">
        <v>1659</v>
      </c>
      <c r="C6094">
        <v>3000</v>
      </c>
      <c r="D6094" t="s">
        <v>1515</v>
      </c>
      <c r="E6094" t="s">
        <v>1516</v>
      </c>
      <c r="F6094" t="s">
        <v>1517</v>
      </c>
    </row>
    <row r="6095" spans="1:6">
      <c r="A6095">
        <v>282</v>
      </c>
      <c r="B6095" t="s">
        <v>1659</v>
      </c>
      <c r="C6095">
        <v>807</v>
      </c>
      <c r="D6095" t="s">
        <v>1518</v>
      </c>
      <c r="E6095" t="s">
        <v>1516</v>
      </c>
      <c r="F6095" t="s">
        <v>1519</v>
      </c>
    </row>
    <row r="6096" spans="1:6">
      <c r="A6096">
        <v>282</v>
      </c>
      <c r="B6096" t="s">
        <v>1659</v>
      </c>
      <c r="C6096">
        <v>5908.43</v>
      </c>
      <c r="D6096" t="s">
        <v>1537</v>
      </c>
      <c r="E6096" t="s">
        <v>1538</v>
      </c>
      <c r="F6096" t="s">
        <v>1539</v>
      </c>
    </row>
    <row r="6097" spans="1:6">
      <c r="A6097">
        <v>282</v>
      </c>
      <c r="B6097" t="s">
        <v>1659</v>
      </c>
      <c r="C6097">
        <v>8106.42</v>
      </c>
      <c r="D6097" t="s">
        <v>1540</v>
      </c>
      <c r="E6097" t="s">
        <v>1538</v>
      </c>
      <c r="F6097" t="s">
        <v>1541</v>
      </c>
    </row>
    <row r="6098" spans="1:6">
      <c r="A6098">
        <v>282</v>
      </c>
      <c r="B6098" t="s">
        <v>1659</v>
      </c>
      <c r="C6098">
        <v>11435.16</v>
      </c>
      <c r="D6098" t="s">
        <v>1431</v>
      </c>
      <c r="E6098" t="s">
        <v>1432</v>
      </c>
      <c r="F6098" t="s">
        <v>1433</v>
      </c>
    </row>
    <row r="6099" spans="1:6">
      <c r="A6099">
        <v>282</v>
      </c>
      <c r="B6099" t="s">
        <v>1659</v>
      </c>
      <c r="C6099">
        <v>23453.98</v>
      </c>
      <c r="D6099" t="s">
        <v>1434</v>
      </c>
      <c r="E6099" t="s">
        <v>1432</v>
      </c>
      <c r="F6099" t="s">
        <v>1435</v>
      </c>
    </row>
    <row r="6100" spans="1:6">
      <c r="A6100">
        <v>282</v>
      </c>
      <c r="B6100" t="s">
        <v>1659</v>
      </c>
      <c r="C6100">
        <v>8773</v>
      </c>
      <c r="D6100" t="s">
        <v>1579</v>
      </c>
      <c r="E6100" t="s">
        <v>1577</v>
      </c>
      <c r="F6100" t="s">
        <v>1580</v>
      </c>
    </row>
    <row r="6101" spans="1:6">
      <c r="A6101">
        <v>282</v>
      </c>
      <c r="B6101" t="s">
        <v>1659</v>
      </c>
      <c r="C6101">
        <v>143160</v>
      </c>
      <c r="D6101" t="s">
        <v>924</v>
      </c>
      <c r="E6101" t="s">
        <v>925</v>
      </c>
      <c r="F6101" t="s">
        <v>812</v>
      </c>
    </row>
    <row r="6102" spans="1:6">
      <c r="A6102">
        <v>282</v>
      </c>
      <c r="B6102" t="s">
        <v>1659</v>
      </c>
      <c r="C6102">
        <v>67</v>
      </c>
      <c r="D6102" t="s">
        <v>1581</v>
      </c>
      <c r="E6102" t="s">
        <v>1582</v>
      </c>
      <c r="F6102" t="s">
        <v>1583</v>
      </c>
    </row>
    <row r="6103" spans="1:6">
      <c r="A6103">
        <v>282</v>
      </c>
      <c r="B6103" t="s">
        <v>1659</v>
      </c>
      <c r="C6103">
        <v>1144</v>
      </c>
      <c r="D6103" t="s">
        <v>1587</v>
      </c>
      <c r="E6103" t="s">
        <v>1585</v>
      </c>
      <c r="F6103" t="s">
        <v>1588</v>
      </c>
    </row>
    <row r="6104" spans="1:6">
      <c r="A6104">
        <v>282</v>
      </c>
      <c r="B6104" t="s">
        <v>1659</v>
      </c>
      <c r="C6104">
        <v>311</v>
      </c>
      <c r="D6104" t="s">
        <v>1592</v>
      </c>
      <c r="E6104" t="s">
        <v>1590</v>
      </c>
      <c r="F6104" t="s">
        <v>1593</v>
      </c>
    </row>
    <row r="6105" spans="1:6">
      <c r="A6105">
        <v>282</v>
      </c>
      <c r="B6105" t="s">
        <v>1659</v>
      </c>
      <c r="C6105">
        <v>73</v>
      </c>
      <c r="D6105" t="s">
        <v>1597</v>
      </c>
      <c r="E6105" t="s">
        <v>1595</v>
      </c>
      <c r="F6105" t="s">
        <v>1598</v>
      </c>
    </row>
    <row r="6106" spans="1:6">
      <c r="A6106">
        <v>283</v>
      </c>
      <c r="B6106" t="s">
        <v>813</v>
      </c>
      <c r="C6106">
        <v>1420320</v>
      </c>
      <c r="D6106" t="s">
        <v>907</v>
      </c>
      <c r="E6106" t="s">
        <v>908</v>
      </c>
      <c r="F6106" t="s">
        <v>909</v>
      </c>
    </row>
    <row r="6107" spans="1:6">
      <c r="A6107">
        <v>283</v>
      </c>
      <c r="B6107" t="s">
        <v>813</v>
      </c>
      <c r="C6107">
        <v>3187.99</v>
      </c>
      <c r="D6107" t="s">
        <v>1431</v>
      </c>
      <c r="E6107" t="s">
        <v>1432</v>
      </c>
      <c r="F6107" t="s">
        <v>1433</v>
      </c>
    </row>
    <row r="6108" spans="1:6">
      <c r="A6108">
        <v>283</v>
      </c>
      <c r="B6108" t="s">
        <v>813</v>
      </c>
      <c r="C6108">
        <v>21040.16</v>
      </c>
      <c r="D6108" t="s">
        <v>1434</v>
      </c>
      <c r="E6108" t="s">
        <v>1432</v>
      </c>
      <c r="F6108" t="s">
        <v>1435</v>
      </c>
    </row>
    <row r="6109" spans="1:6">
      <c r="A6109">
        <v>283</v>
      </c>
      <c r="B6109" t="s">
        <v>813</v>
      </c>
      <c r="C6109">
        <v>158432</v>
      </c>
      <c r="D6109" t="s">
        <v>924</v>
      </c>
      <c r="E6109" t="s">
        <v>925</v>
      </c>
      <c r="F6109" t="s">
        <v>812</v>
      </c>
    </row>
    <row r="6110" spans="1:6">
      <c r="A6110">
        <v>283</v>
      </c>
      <c r="B6110" t="s">
        <v>813</v>
      </c>
      <c r="C6110">
        <v>330</v>
      </c>
      <c r="D6110" t="s">
        <v>1587</v>
      </c>
      <c r="E6110" t="s">
        <v>1585</v>
      </c>
      <c r="F6110" t="s">
        <v>1588</v>
      </c>
    </row>
    <row r="6111" spans="1:6">
      <c r="A6111">
        <v>283</v>
      </c>
      <c r="B6111" t="s">
        <v>813</v>
      </c>
      <c r="C6111">
        <v>277</v>
      </c>
      <c r="D6111" t="s">
        <v>1592</v>
      </c>
      <c r="E6111" t="s">
        <v>1590</v>
      </c>
      <c r="F6111" t="s">
        <v>1593</v>
      </c>
    </row>
    <row r="6112" spans="1:6">
      <c r="A6112">
        <v>283</v>
      </c>
      <c r="B6112" t="s">
        <v>813</v>
      </c>
      <c r="C6112">
        <v>524</v>
      </c>
      <c r="D6112" t="s">
        <v>1597</v>
      </c>
      <c r="E6112" t="s">
        <v>1595</v>
      </c>
      <c r="F6112" t="s">
        <v>1598</v>
      </c>
    </row>
    <row r="6113" spans="1:6">
      <c r="A6113">
        <v>284</v>
      </c>
      <c r="B6113" t="s">
        <v>814</v>
      </c>
      <c r="C6113">
        <v>403500</v>
      </c>
      <c r="D6113" t="s">
        <v>907</v>
      </c>
      <c r="E6113" t="s">
        <v>908</v>
      </c>
      <c r="F6113" t="s">
        <v>909</v>
      </c>
    </row>
    <row r="6114" spans="1:6">
      <c r="A6114">
        <v>284</v>
      </c>
      <c r="B6114" t="s">
        <v>814</v>
      </c>
      <c r="C6114">
        <v>117928</v>
      </c>
      <c r="D6114" t="s">
        <v>924</v>
      </c>
      <c r="E6114" t="s">
        <v>925</v>
      </c>
      <c r="F6114" t="s">
        <v>812</v>
      </c>
    </row>
    <row r="6115" spans="1:6">
      <c r="A6115">
        <v>284</v>
      </c>
      <c r="B6115" t="s">
        <v>814</v>
      </c>
      <c r="C6115">
        <v>202</v>
      </c>
      <c r="D6115" t="s">
        <v>1587</v>
      </c>
      <c r="E6115" t="s">
        <v>1585</v>
      </c>
      <c r="F6115" t="s">
        <v>1588</v>
      </c>
    </row>
    <row r="6116" spans="1:6">
      <c r="A6116">
        <v>284</v>
      </c>
      <c r="B6116" t="s">
        <v>814</v>
      </c>
      <c r="C6116">
        <v>170</v>
      </c>
      <c r="D6116" t="s">
        <v>1592</v>
      </c>
      <c r="E6116" t="s">
        <v>1590</v>
      </c>
      <c r="F6116" t="s">
        <v>1593</v>
      </c>
    </row>
    <row r="6117" spans="1:6">
      <c r="A6117">
        <v>284</v>
      </c>
      <c r="B6117" t="s">
        <v>814</v>
      </c>
      <c r="C6117">
        <v>318</v>
      </c>
      <c r="D6117" t="s">
        <v>1597</v>
      </c>
      <c r="E6117" t="s">
        <v>1595</v>
      </c>
      <c r="F6117" t="s">
        <v>1598</v>
      </c>
    </row>
    <row r="6118" spans="1:6">
      <c r="A6118">
        <v>902</v>
      </c>
      <c r="B6118" t="s">
        <v>815</v>
      </c>
      <c r="C6118">
        <v>2290</v>
      </c>
      <c r="D6118" t="s">
        <v>1489</v>
      </c>
      <c r="E6118" t="s">
        <v>1490</v>
      </c>
      <c r="F6118" t="s">
        <v>1491</v>
      </c>
    </row>
    <row r="6119" spans="1:6">
      <c r="A6119">
        <v>902</v>
      </c>
      <c r="B6119" t="s">
        <v>815</v>
      </c>
      <c r="C6119">
        <v>12109.28</v>
      </c>
      <c r="D6119" t="s">
        <v>1431</v>
      </c>
      <c r="E6119" t="s">
        <v>1432</v>
      </c>
      <c r="F6119" t="s">
        <v>1433</v>
      </c>
    </row>
    <row r="6120" spans="1:6">
      <c r="A6120">
        <v>902</v>
      </c>
      <c r="B6120" t="s">
        <v>815</v>
      </c>
      <c r="C6120">
        <v>27851.19</v>
      </c>
      <c r="D6120" t="s">
        <v>1434</v>
      </c>
      <c r="E6120" t="s">
        <v>1432</v>
      </c>
      <c r="F6120" t="s">
        <v>1435</v>
      </c>
    </row>
    <row r="6121" spans="1:6">
      <c r="A6121">
        <v>902</v>
      </c>
      <c r="B6121" t="s">
        <v>815</v>
      </c>
      <c r="C6121">
        <v>3694.54</v>
      </c>
      <c r="D6121" t="s">
        <v>1475</v>
      </c>
      <c r="E6121" t="s">
        <v>1476</v>
      </c>
      <c r="F6121" t="s">
        <v>1477</v>
      </c>
    </row>
    <row r="6122" spans="1:6">
      <c r="A6122">
        <v>902</v>
      </c>
      <c r="B6122" t="s">
        <v>815</v>
      </c>
      <c r="C6122">
        <v>11807.89</v>
      </c>
      <c r="D6122" t="s">
        <v>1478</v>
      </c>
      <c r="E6122" t="s">
        <v>1479</v>
      </c>
      <c r="F6122" t="s">
        <v>1480</v>
      </c>
    </row>
    <row r="6123" spans="1:6">
      <c r="A6123">
        <v>902</v>
      </c>
      <c r="B6123" t="s">
        <v>815</v>
      </c>
      <c r="C6123">
        <v>35423.67</v>
      </c>
      <c r="D6123" t="s">
        <v>1365</v>
      </c>
      <c r="E6123" t="s">
        <v>1366</v>
      </c>
      <c r="F6123" t="s">
        <v>1367</v>
      </c>
    </row>
    <row r="6124" spans="1:6">
      <c r="A6124">
        <v>10062</v>
      </c>
      <c r="B6124" t="s">
        <v>816</v>
      </c>
      <c r="C6124">
        <v>15668</v>
      </c>
      <c r="D6124" t="s">
        <v>817</v>
      </c>
      <c r="E6124" t="s">
        <v>1424</v>
      </c>
      <c r="F6124" t="s">
        <v>1425</v>
      </c>
    </row>
    <row r="6125" spans="1:6">
      <c r="A6125">
        <v>10062</v>
      </c>
      <c r="B6125" t="s">
        <v>816</v>
      </c>
      <c r="C6125">
        <v>1609</v>
      </c>
      <c r="D6125" t="s">
        <v>818</v>
      </c>
      <c r="E6125" t="s">
        <v>1429</v>
      </c>
      <c r="F6125" t="s">
        <v>1430</v>
      </c>
    </row>
    <row r="6126" spans="1:6">
      <c r="A6126">
        <v>10080</v>
      </c>
      <c r="B6126" t="s">
        <v>819</v>
      </c>
      <c r="C6126">
        <v>1295</v>
      </c>
      <c r="D6126" t="s">
        <v>820</v>
      </c>
      <c r="E6126" t="s">
        <v>1490</v>
      </c>
      <c r="F6126" t="s">
        <v>1491</v>
      </c>
    </row>
    <row r="6127" spans="1:6">
      <c r="A6127">
        <v>10080</v>
      </c>
      <c r="B6127" t="s">
        <v>819</v>
      </c>
      <c r="C6127">
        <v>6436.75</v>
      </c>
      <c r="D6127" t="s">
        <v>821</v>
      </c>
      <c r="E6127" t="s">
        <v>1538</v>
      </c>
      <c r="F6127" t="s">
        <v>1539</v>
      </c>
    </row>
    <row r="6128" spans="1:6">
      <c r="A6128">
        <v>10080</v>
      </c>
      <c r="B6128" t="s">
        <v>819</v>
      </c>
      <c r="C6128">
        <v>13218.57</v>
      </c>
      <c r="D6128" t="s">
        <v>822</v>
      </c>
      <c r="E6128" t="s">
        <v>1538</v>
      </c>
      <c r="F6128" t="s">
        <v>1541</v>
      </c>
    </row>
    <row r="6129" spans="1:6">
      <c r="A6129">
        <v>10080</v>
      </c>
      <c r="B6129" t="s">
        <v>819</v>
      </c>
      <c r="C6129">
        <v>11093.8</v>
      </c>
      <c r="D6129" t="s">
        <v>823</v>
      </c>
      <c r="E6129" t="s">
        <v>1432</v>
      </c>
      <c r="F6129" t="s">
        <v>1433</v>
      </c>
    </row>
    <row r="6130" spans="1:6">
      <c r="A6130">
        <v>10080</v>
      </c>
      <c r="B6130" t="s">
        <v>819</v>
      </c>
      <c r="C6130">
        <v>22140.77</v>
      </c>
      <c r="D6130" t="s">
        <v>824</v>
      </c>
      <c r="E6130" t="s">
        <v>1432</v>
      </c>
      <c r="F6130" t="s">
        <v>1435</v>
      </c>
    </row>
    <row r="6131" spans="1:6">
      <c r="A6131">
        <v>10109</v>
      </c>
      <c r="B6131" t="s">
        <v>825</v>
      </c>
      <c r="C6131">
        <v>4540</v>
      </c>
      <c r="D6131" t="s">
        <v>826</v>
      </c>
      <c r="E6131" t="s">
        <v>827</v>
      </c>
      <c r="F6131" t="s">
        <v>1241</v>
      </c>
    </row>
    <row r="6132" spans="1:6">
      <c r="A6132">
        <v>10109</v>
      </c>
      <c r="B6132" t="s">
        <v>825</v>
      </c>
      <c r="C6132">
        <v>14782</v>
      </c>
      <c r="D6132" t="s">
        <v>828</v>
      </c>
      <c r="E6132" t="s">
        <v>827</v>
      </c>
      <c r="F6132" t="s">
        <v>1241</v>
      </c>
    </row>
    <row r="6133" spans="1:6">
      <c r="A6133">
        <v>10109</v>
      </c>
      <c r="B6133" t="s">
        <v>825</v>
      </c>
      <c r="C6133">
        <v>2469</v>
      </c>
      <c r="D6133" t="s">
        <v>829</v>
      </c>
      <c r="E6133" t="s">
        <v>827</v>
      </c>
      <c r="F6133" t="s">
        <v>1243</v>
      </c>
    </row>
    <row r="6134" spans="1:6">
      <c r="A6134">
        <v>10109</v>
      </c>
      <c r="B6134" t="s">
        <v>825</v>
      </c>
      <c r="C6134">
        <v>79430</v>
      </c>
      <c r="D6134" t="s">
        <v>830</v>
      </c>
      <c r="E6134" t="s">
        <v>827</v>
      </c>
      <c r="F6134" t="s">
        <v>1243</v>
      </c>
    </row>
    <row r="6135" spans="1:6">
      <c r="A6135">
        <v>10109</v>
      </c>
      <c r="B6135" t="s">
        <v>825</v>
      </c>
      <c r="C6135">
        <v>201938</v>
      </c>
      <c r="D6135" t="s">
        <v>1037</v>
      </c>
      <c r="E6135" t="s">
        <v>1221</v>
      </c>
      <c r="F6135" t="s">
        <v>1222</v>
      </c>
    </row>
    <row r="6136" spans="1:6">
      <c r="A6136">
        <v>10109</v>
      </c>
      <c r="B6136" t="s">
        <v>825</v>
      </c>
      <c r="C6136">
        <v>55267</v>
      </c>
      <c r="D6136" t="s">
        <v>831</v>
      </c>
      <c r="E6136" t="s">
        <v>1221</v>
      </c>
      <c r="F6136" t="s">
        <v>1222</v>
      </c>
    </row>
    <row r="6137" spans="1:6">
      <c r="A6137">
        <v>10109</v>
      </c>
      <c r="B6137" t="s">
        <v>825</v>
      </c>
      <c r="C6137">
        <v>306910</v>
      </c>
      <c r="D6137" t="s">
        <v>1038</v>
      </c>
      <c r="E6137" t="s">
        <v>1221</v>
      </c>
      <c r="F6137" t="s">
        <v>1224</v>
      </c>
    </row>
    <row r="6138" spans="1:6">
      <c r="A6138">
        <v>10109</v>
      </c>
      <c r="B6138" t="s">
        <v>825</v>
      </c>
      <c r="C6138">
        <v>503804</v>
      </c>
      <c r="D6138" t="s">
        <v>832</v>
      </c>
      <c r="E6138" t="s">
        <v>1221</v>
      </c>
      <c r="F6138" t="s">
        <v>1224</v>
      </c>
    </row>
    <row r="6139" spans="1:6">
      <c r="A6139">
        <v>10109</v>
      </c>
      <c r="B6139" t="s">
        <v>825</v>
      </c>
      <c r="C6139">
        <v>3216</v>
      </c>
      <c r="D6139" t="s">
        <v>817</v>
      </c>
      <c r="E6139" t="s">
        <v>1424</v>
      </c>
      <c r="F6139" t="s">
        <v>1425</v>
      </c>
    </row>
    <row r="6140" spans="1:6">
      <c r="A6140">
        <v>10109</v>
      </c>
      <c r="B6140" t="s">
        <v>825</v>
      </c>
      <c r="C6140">
        <v>2485</v>
      </c>
      <c r="D6140" t="s">
        <v>833</v>
      </c>
      <c r="E6140" t="s">
        <v>1424</v>
      </c>
      <c r="F6140" t="s">
        <v>1425</v>
      </c>
    </row>
    <row r="6141" spans="1:6">
      <c r="A6141">
        <v>10109</v>
      </c>
      <c r="B6141" t="s">
        <v>825</v>
      </c>
      <c r="C6141">
        <v>10216</v>
      </c>
      <c r="D6141" t="s">
        <v>1039</v>
      </c>
      <c r="E6141" t="s">
        <v>1226</v>
      </c>
      <c r="F6141" t="s">
        <v>1227</v>
      </c>
    </row>
    <row r="6142" spans="1:6">
      <c r="A6142">
        <v>10109</v>
      </c>
      <c r="B6142" t="s">
        <v>825</v>
      </c>
      <c r="C6142">
        <v>21701</v>
      </c>
      <c r="D6142" t="s">
        <v>1040</v>
      </c>
      <c r="E6142" t="s">
        <v>1226</v>
      </c>
      <c r="F6142" t="s">
        <v>1229</v>
      </c>
    </row>
    <row r="6143" spans="1:6">
      <c r="A6143">
        <v>10109</v>
      </c>
      <c r="B6143" t="s">
        <v>825</v>
      </c>
      <c r="C6143">
        <v>188</v>
      </c>
      <c r="D6143" t="s">
        <v>818</v>
      </c>
      <c r="E6143" t="s">
        <v>1429</v>
      </c>
      <c r="F6143" t="s">
        <v>1430</v>
      </c>
    </row>
    <row r="6144" spans="1:6">
      <c r="A6144">
        <v>10109</v>
      </c>
      <c r="B6144" t="s">
        <v>825</v>
      </c>
      <c r="C6144">
        <v>375</v>
      </c>
      <c r="D6144" t="s">
        <v>834</v>
      </c>
      <c r="E6144" t="s">
        <v>1429</v>
      </c>
      <c r="F6144" t="s">
        <v>1430</v>
      </c>
    </row>
    <row r="6145" spans="1:6">
      <c r="A6145">
        <v>10110</v>
      </c>
      <c r="B6145" t="s">
        <v>835</v>
      </c>
      <c r="C6145">
        <v>8361</v>
      </c>
      <c r="D6145" t="s">
        <v>826</v>
      </c>
      <c r="E6145" t="s">
        <v>827</v>
      </c>
      <c r="F6145" t="s">
        <v>1241</v>
      </c>
    </row>
    <row r="6146" spans="1:6">
      <c r="A6146">
        <v>10110</v>
      </c>
      <c r="B6146" t="s">
        <v>835</v>
      </c>
      <c r="C6146">
        <v>11590</v>
      </c>
      <c r="D6146" t="s">
        <v>829</v>
      </c>
      <c r="E6146" t="s">
        <v>827</v>
      </c>
      <c r="F6146" t="s">
        <v>1243</v>
      </c>
    </row>
    <row r="6147" spans="1:6">
      <c r="A6147">
        <v>10110</v>
      </c>
      <c r="B6147" t="s">
        <v>835</v>
      </c>
      <c r="C6147">
        <v>19508</v>
      </c>
      <c r="D6147" t="s">
        <v>1037</v>
      </c>
      <c r="E6147" t="s">
        <v>1221</v>
      </c>
      <c r="F6147" t="s">
        <v>1222</v>
      </c>
    </row>
    <row r="6148" spans="1:6">
      <c r="A6148">
        <v>10110</v>
      </c>
      <c r="B6148" t="s">
        <v>835</v>
      </c>
      <c r="C6148">
        <v>31757</v>
      </c>
      <c r="D6148" t="s">
        <v>1038</v>
      </c>
      <c r="E6148" t="s">
        <v>1221</v>
      </c>
      <c r="F6148" t="s">
        <v>1224</v>
      </c>
    </row>
    <row r="6149" spans="1:6">
      <c r="A6149">
        <v>10150</v>
      </c>
      <c r="B6149" t="s">
        <v>839</v>
      </c>
      <c r="C6149">
        <v>123</v>
      </c>
      <c r="D6149" t="s">
        <v>820</v>
      </c>
      <c r="E6149" t="s">
        <v>1490</v>
      </c>
      <c r="F6149" t="s">
        <v>1491</v>
      </c>
    </row>
    <row r="6150" spans="1:6">
      <c r="A6150">
        <v>10150</v>
      </c>
      <c r="B6150" t="s">
        <v>839</v>
      </c>
      <c r="C6150">
        <v>2495.5100000000002</v>
      </c>
      <c r="D6150" t="s">
        <v>821</v>
      </c>
      <c r="E6150" t="s">
        <v>1538</v>
      </c>
      <c r="F6150" t="s">
        <v>1539</v>
      </c>
    </row>
    <row r="6151" spans="1:6">
      <c r="A6151">
        <v>10150</v>
      </c>
      <c r="B6151" t="s">
        <v>839</v>
      </c>
      <c r="C6151">
        <v>3361.8</v>
      </c>
      <c r="D6151" t="s">
        <v>822</v>
      </c>
      <c r="E6151" t="s">
        <v>1538</v>
      </c>
      <c r="F6151" t="s">
        <v>1541</v>
      </c>
    </row>
    <row r="6152" spans="1:6">
      <c r="A6152">
        <v>10150</v>
      </c>
      <c r="B6152" t="s">
        <v>839</v>
      </c>
      <c r="C6152">
        <v>2711.48</v>
      </c>
      <c r="D6152" t="s">
        <v>823</v>
      </c>
      <c r="E6152" t="s">
        <v>1432</v>
      </c>
      <c r="F6152" t="s">
        <v>1433</v>
      </c>
    </row>
    <row r="6153" spans="1:6">
      <c r="A6153">
        <v>10150</v>
      </c>
      <c r="B6153" t="s">
        <v>839</v>
      </c>
      <c r="C6153">
        <v>2889.48</v>
      </c>
      <c r="D6153" t="s">
        <v>824</v>
      </c>
      <c r="E6153" t="s">
        <v>1432</v>
      </c>
      <c r="F6153" t="s">
        <v>1435</v>
      </c>
    </row>
    <row r="6154" spans="1:6">
      <c r="A6154">
        <v>10151</v>
      </c>
      <c r="B6154" t="s">
        <v>840</v>
      </c>
      <c r="C6154">
        <v>150000</v>
      </c>
      <c r="D6154" t="s">
        <v>1207</v>
      </c>
      <c r="E6154" t="s">
        <v>1350</v>
      </c>
      <c r="F6154" t="s">
        <v>1351</v>
      </c>
    </row>
    <row r="6155" spans="1:6">
      <c r="A6155">
        <v>10151</v>
      </c>
      <c r="B6155" t="s">
        <v>840</v>
      </c>
      <c r="C6155">
        <v>21349</v>
      </c>
      <c r="D6155" t="s">
        <v>1037</v>
      </c>
      <c r="E6155" t="s">
        <v>1221</v>
      </c>
      <c r="F6155" t="s">
        <v>1222</v>
      </c>
    </row>
    <row r="6156" spans="1:6">
      <c r="A6156">
        <v>10151</v>
      </c>
      <c r="B6156" t="s">
        <v>840</v>
      </c>
      <c r="C6156">
        <v>38871</v>
      </c>
      <c r="D6156" t="s">
        <v>1038</v>
      </c>
      <c r="E6156" t="s">
        <v>1221</v>
      </c>
      <c r="F6156" t="s">
        <v>1224</v>
      </c>
    </row>
    <row r="6157" spans="1:6">
      <c r="A6157">
        <v>10151</v>
      </c>
      <c r="B6157" t="s">
        <v>840</v>
      </c>
      <c r="C6157">
        <v>415</v>
      </c>
      <c r="D6157" t="s">
        <v>1039</v>
      </c>
      <c r="E6157" t="s">
        <v>1226</v>
      </c>
      <c r="F6157" t="s">
        <v>1227</v>
      </c>
    </row>
    <row r="6158" spans="1:6">
      <c r="A6158">
        <v>10151</v>
      </c>
      <c r="B6158" t="s">
        <v>840</v>
      </c>
      <c r="C6158">
        <v>918</v>
      </c>
      <c r="D6158" t="s">
        <v>1040</v>
      </c>
      <c r="E6158" t="s">
        <v>1226</v>
      </c>
      <c r="F6158" t="s">
        <v>1229</v>
      </c>
    </row>
    <row r="6159" spans="1:6">
      <c r="A6159">
        <v>10151</v>
      </c>
      <c r="B6159" t="s">
        <v>840</v>
      </c>
      <c r="C6159">
        <v>40000</v>
      </c>
      <c r="D6159" t="s">
        <v>1119</v>
      </c>
      <c r="E6159" t="s">
        <v>1450</v>
      </c>
      <c r="F6159" t="s">
        <v>1451</v>
      </c>
    </row>
    <row r="6160" spans="1:6">
      <c r="A6160">
        <v>10151</v>
      </c>
      <c r="B6160" t="s">
        <v>840</v>
      </c>
      <c r="C6160">
        <v>180000</v>
      </c>
      <c r="D6160" t="s">
        <v>1267</v>
      </c>
      <c r="E6160" t="s">
        <v>1450</v>
      </c>
      <c r="F6160" t="s">
        <v>1453</v>
      </c>
    </row>
    <row r="6161" spans="1:6">
      <c r="A6161">
        <v>10151</v>
      </c>
      <c r="B6161" t="s">
        <v>840</v>
      </c>
      <c r="C6161">
        <v>15000</v>
      </c>
      <c r="D6161" t="s">
        <v>841</v>
      </c>
      <c r="E6161" t="s">
        <v>842</v>
      </c>
      <c r="F6161" t="s">
        <v>843</v>
      </c>
    </row>
    <row r="6162" spans="1:6">
      <c r="A6162">
        <v>10151</v>
      </c>
      <c r="B6162" t="s">
        <v>840</v>
      </c>
      <c r="C6162">
        <v>125000</v>
      </c>
      <c r="D6162" t="s">
        <v>844</v>
      </c>
      <c r="E6162" t="s">
        <v>842</v>
      </c>
      <c r="F6162" t="s">
        <v>845</v>
      </c>
    </row>
    <row r="6163" spans="1:6">
      <c r="A6163">
        <v>10157</v>
      </c>
      <c r="B6163" t="s">
        <v>846</v>
      </c>
      <c r="C6163">
        <v>108539</v>
      </c>
      <c r="D6163" t="s">
        <v>1037</v>
      </c>
      <c r="E6163" t="s">
        <v>1221</v>
      </c>
      <c r="F6163" t="s">
        <v>1222</v>
      </c>
    </row>
    <row r="6164" spans="1:6">
      <c r="A6164">
        <v>10157</v>
      </c>
      <c r="B6164" t="s">
        <v>846</v>
      </c>
      <c r="C6164">
        <v>205101</v>
      </c>
      <c r="D6164" t="s">
        <v>1038</v>
      </c>
      <c r="E6164" t="s">
        <v>1221</v>
      </c>
      <c r="F6164" t="s">
        <v>1224</v>
      </c>
    </row>
    <row r="6165" spans="1:6">
      <c r="A6165">
        <v>10157</v>
      </c>
      <c r="B6165" t="s">
        <v>846</v>
      </c>
      <c r="C6165">
        <v>6248</v>
      </c>
      <c r="D6165" t="s">
        <v>1039</v>
      </c>
      <c r="E6165" t="s">
        <v>1226</v>
      </c>
      <c r="F6165" t="s">
        <v>1227</v>
      </c>
    </row>
    <row r="6166" spans="1:6">
      <c r="A6166">
        <v>10157</v>
      </c>
      <c r="B6166" t="s">
        <v>846</v>
      </c>
      <c r="C6166">
        <v>8188</v>
      </c>
      <c r="D6166" t="s">
        <v>1040</v>
      </c>
      <c r="E6166" t="s">
        <v>1226</v>
      </c>
      <c r="F6166" t="s">
        <v>1229</v>
      </c>
    </row>
    <row r="6167" spans="1:6">
      <c r="A6167">
        <v>10164</v>
      </c>
      <c r="B6167" t="s">
        <v>847</v>
      </c>
      <c r="C6167">
        <v>8594202</v>
      </c>
      <c r="D6167" t="s">
        <v>848</v>
      </c>
      <c r="E6167" t="s">
        <v>849</v>
      </c>
      <c r="F6167" t="s">
        <v>850</v>
      </c>
    </row>
    <row r="6168" spans="1:6">
      <c r="A6168">
        <v>10164</v>
      </c>
      <c r="B6168" t="s">
        <v>847</v>
      </c>
      <c r="C6168">
        <v>1094</v>
      </c>
      <c r="D6168" t="s">
        <v>820</v>
      </c>
      <c r="E6168" t="s">
        <v>1490</v>
      </c>
      <c r="F6168" t="s">
        <v>1491</v>
      </c>
    </row>
    <row r="6169" spans="1:6">
      <c r="A6169">
        <v>10164</v>
      </c>
      <c r="B6169" t="s">
        <v>847</v>
      </c>
      <c r="C6169">
        <v>2060.67</v>
      </c>
      <c r="D6169" t="s">
        <v>821</v>
      </c>
      <c r="E6169" t="s">
        <v>1538</v>
      </c>
      <c r="F6169" t="s">
        <v>1539</v>
      </c>
    </row>
    <row r="6170" spans="1:6">
      <c r="A6170">
        <v>10164</v>
      </c>
      <c r="B6170" t="s">
        <v>847</v>
      </c>
      <c r="C6170">
        <v>5285.04</v>
      </c>
      <c r="D6170" t="s">
        <v>822</v>
      </c>
      <c r="E6170" t="s">
        <v>1538</v>
      </c>
      <c r="F6170" t="s">
        <v>1541</v>
      </c>
    </row>
    <row r="6171" spans="1:6">
      <c r="A6171">
        <v>10164</v>
      </c>
      <c r="B6171" t="s">
        <v>847</v>
      </c>
      <c r="C6171">
        <v>9036.23</v>
      </c>
      <c r="D6171" t="s">
        <v>823</v>
      </c>
      <c r="E6171" t="s">
        <v>1432</v>
      </c>
      <c r="F6171" t="s">
        <v>1433</v>
      </c>
    </row>
    <row r="6172" spans="1:6">
      <c r="A6172">
        <v>10164</v>
      </c>
      <c r="B6172" t="s">
        <v>847</v>
      </c>
      <c r="C6172">
        <v>21167.96</v>
      </c>
      <c r="D6172" t="s">
        <v>824</v>
      </c>
      <c r="E6172" t="s">
        <v>1432</v>
      </c>
      <c r="F6172" t="s">
        <v>1435</v>
      </c>
    </row>
    <row r="6173" spans="1:6">
      <c r="A6173">
        <v>10176</v>
      </c>
      <c r="B6173" t="s">
        <v>851</v>
      </c>
      <c r="C6173">
        <v>65</v>
      </c>
      <c r="D6173" t="s">
        <v>820</v>
      </c>
      <c r="E6173" t="s">
        <v>1490</v>
      </c>
      <c r="F6173" t="s">
        <v>1491</v>
      </c>
    </row>
    <row r="6174" spans="1:6">
      <c r="A6174">
        <v>10176</v>
      </c>
      <c r="B6174" t="s">
        <v>851</v>
      </c>
      <c r="C6174">
        <v>1539.99</v>
      </c>
      <c r="D6174" t="s">
        <v>821</v>
      </c>
      <c r="E6174" t="s">
        <v>1538</v>
      </c>
      <c r="F6174" t="s">
        <v>1539</v>
      </c>
    </row>
    <row r="6175" spans="1:6">
      <c r="A6175">
        <v>10176</v>
      </c>
      <c r="B6175" t="s">
        <v>851</v>
      </c>
      <c r="C6175">
        <v>2031.12</v>
      </c>
      <c r="D6175" t="s">
        <v>822</v>
      </c>
      <c r="E6175" t="s">
        <v>1538</v>
      </c>
      <c r="F6175" t="s">
        <v>1541</v>
      </c>
    </row>
    <row r="6176" spans="1:6">
      <c r="A6176">
        <v>10176</v>
      </c>
      <c r="B6176" t="s">
        <v>851</v>
      </c>
      <c r="C6176">
        <v>66866</v>
      </c>
      <c r="D6176" t="s">
        <v>826</v>
      </c>
      <c r="E6176" t="s">
        <v>827</v>
      </c>
      <c r="F6176" t="s">
        <v>1241</v>
      </c>
    </row>
    <row r="6177" spans="1:6">
      <c r="A6177">
        <v>10176</v>
      </c>
      <c r="B6177" t="s">
        <v>851</v>
      </c>
      <c r="C6177">
        <v>83827</v>
      </c>
      <c r="D6177" t="s">
        <v>829</v>
      </c>
      <c r="E6177" t="s">
        <v>827</v>
      </c>
      <c r="F6177" t="s">
        <v>1243</v>
      </c>
    </row>
    <row r="6178" spans="1:6">
      <c r="A6178">
        <v>10176</v>
      </c>
      <c r="B6178" t="s">
        <v>851</v>
      </c>
      <c r="C6178">
        <v>0</v>
      </c>
      <c r="D6178" t="s">
        <v>852</v>
      </c>
      <c r="F6178" t="s">
        <v>1222</v>
      </c>
    </row>
    <row r="6179" spans="1:6">
      <c r="A6179">
        <v>10176</v>
      </c>
      <c r="B6179" t="s">
        <v>851</v>
      </c>
      <c r="C6179">
        <v>149348</v>
      </c>
      <c r="D6179" t="s">
        <v>1037</v>
      </c>
      <c r="E6179" t="s">
        <v>1221</v>
      </c>
      <c r="F6179" t="s">
        <v>1222</v>
      </c>
    </row>
    <row r="6180" spans="1:6">
      <c r="A6180">
        <v>10176</v>
      </c>
      <c r="B6180" t="s">
        <v>851</v>
      </c>
      <c r="C6180">
        <v>0</v>
      </c>
      <c r="D6180" t="s">
        <v>853</v>
      </c>
      <c r="F6180" t="s">
        <v>1224</v>
      </c>
    </row>
    <row r="6181" spans="1:6">
      <c r="A6181">
        <v>10176</v>
      </c>
      <c r="B6181" t="s">
        <v>851</v>
      </c>
      <c r="C6181">
        <v>207516</v>
      </c>
      <c r="D6181" t="s">
        <v>1038</v>
      </c>
      <c r="E6181" t="s">
        <v>1221</v>
      </c>
      <c r="F6181" t="s">
        <v>1224</v>
      </c>
    </row>
    <row r="6182" spans="1:6">
      <c r="A6182">
        <v>10176</v>
      </c>
      <c r="B6182" t="s">
        <v>851</v>
      </c>
      <c r="C6182">
        <v>252</v>
      </c>
      <c r="D6182" t="s">
        <v>1039</v>
      </c>
      <c r="E6182" t="s">
        <v>1226</v>
      </c>
      <c r="F6182" t="s">
        <v>1227</v>
      </c>
    </row>
    <row r="6183" spans="1:6">
      <c r="A6183">
        <v>10176</v>
      </c>
      <c r="B6183" t="s">
        <v>851</v>
      </c>
      <c r="C6183">
        <v>574</v>
      </c>
      <c r="D6183" t="s">
        <v>1040</v>
      </c>
      <c r="E6183" t="s">
        <v>1226</v>
      </c>
      <c r="F6183" t="s">
        <v>1229</v>
      </c>
    </row>
    <row r="6184" spans="1:6">
      <c r="A6184">
        <v>10176</v>
      </c>
      <c r="B6184" t="s">
        <v>851</v>
      </c>
      <c r="C6184">
        <v>1631.84</v>
      </c>
      <c r="D6184" t="s">
        <v>823</v>
      </c>
      <c r="E6184" t="s">
        <v>1432</v>
      </c>
      <c r="F6184" t="s">
        <v>1433</v>
      </c>
    </row>
    <row r="6185" spans="1:6">
      <c r="A6185">
        <v>10176</v>
      </c>
      <c r="B6185" t="s">
        <v>851</v>
      </c>
      <c r="C6185">
        <v>1543.2</v>
      </c>
      <c r="D6185" t="s">
        <v>824</v>
      </c>
      <c r="E6185" t="s">
        <v>1432</v>
      </c>
      <c r="F6185" t="s">
        <v>1435</v>
      </c>
    </row>
    <row r="6186" spans="1:6">
      <c r="A6186">
        <v>10184</v>
      </c>
      <c r="B6186" t="s">
        <v>854</v>
      </c>
      <c r="C6186">
        <v>22456</v>
      </c>
      <c r="D6186" t="s">
        <v>1037</v>
      </c>
      <c r="E6186" t="s">
        <v>1221</v>
      </c>
      <c r="F6186" t="s">
        <v>1222</v>
      </c>
    </row>
    <row r="6187" spans="1:6">
      <c r="A6187">
        <v>10184</v>
      </c>
      <c r="B6187" t="s">
        <v>854</v>
      </c>
      <c r="C6187">
        <v>39639</v>
      </c>
      <c r="D6187" t="s">
        <v>831</v>
      </c>
      <c r="E6187" t="s">
        <v>1221</v>
      </c>
      <c r="F6187" t="s">
        <v>1222</v>
      </c>
    </row>
    <row r="6188" spans="1:6">
      <c r="A6188">
        <v>10184</v>
      </c>
      <c r="B6188" t="s">
        <v>854</v>
      </c>
      <c r="C6188">
        <v>28819</v>
      </c>
      <c r="D6188" t="s">
        <v>1038</v>
      </c>
      <c r="E6188" t="s">
        <v>1221</v>
      </c>
      <c r="F6188" t="s">
        <v>1224</v>
      </c>
    </row>
    <row r="6189" spans="1:6">
      <c r="A6189">
        <v>10184</v>
      </c>
      <c r="B6189" t="s">
        <v>854</v>
      </c>
      <c r="C6189">
        <v>253944</v>
      </c>
      <c r="D6189" t="s">
        <v>832</v>
      </c>
      <c r="E6189" t="s">
        <v>1221</v>
      </c>
      <c r="F6189" t="s">
        <v>1224</v>
      </c>
    </row>
    <row r="6190" spans="1:6">
      <c r="A6190">
        <v>10184</v>
      </c>
      <c r="B6190" t="s">
        <v>854</v>
      </c>
      <c r="C6190">
        <v>12394</v>
      </c>
      <c r="D6190" t="s">
        <v>817</v>
      </c>
      <c r="E6190" t="s">
        <v>1424</v>
      </c>
      <c r="F6190" t="s">
        <v>1425</v>
      </c>
    </row>
    <row r="6191" spans="1:6">
      <c r="A6191">
        <v>10184</v>
      </c>
      <c r="B6191" t="s">
        <v>854</v>
      </c>
      <c r="C6191">
        <v>36891</v>
      </c>
      <c r="D6191" t="s">
        <v>855</v>
      </c>
      <c r="E6191" t="s">
        <v>1424</v>
      </c>
      <c r="F6191" t="s">
        <v>1427</v>
      </c>
    </row>
    <row r="6192" spans="1:6">
      <c r="A6192">
        <v>10184</v>
      </c>
      <c r="B6192" t="s">
        <v>854</v>
      </c>
      <c r="C6192">
        <v>7254</v>
      </c>
      <c r="D6192" t="s">
        <v>1039</v>
      </c>
      <c r="E6192" t="s">
        <v>1226</v>
      </c>
      <c r="F6192" t="s">
        <v>1227</v>
      </c>
    </row>
    <row r="6193" spans="1:6">
      <c r="A6193">
        <v>10184</v>
      </c>
      <c r="B6193" t="s">
        <v>854</v>
      </c>
      <c r="C6193">
        <v>9144</v>
      </c>
      <c r="D6193" t="s">
        <v>1040</v>
      </c>
      <c r="E6193" t="s">
        <v>1226</v>
      </c>
      <c r="F6193" t="s">
        <v>1229</v>
      </c>
    </row>
    <row r="6194" spans="1:6">
      <c r="A6194">
        <v>10184</v>
      </c>
      <c r="B6194" t="s">
        <v>854</v>
      </c>
      <c r="C6194">
        <v>2368</v>
      </c>
      <c r="D6194" t="s">
        <v>818</v>
      </c>
      <c r="E6194" t="s">
        <v>1429</v>
      </c>
      <c r="F6194" t="s">
        <v>1430</v>
      </c>
    </row>
    <row r="6195" spans="1:6">
      <c r="A6195">
        <v>10184</v>
      </c>
      <c r="B6195" t="s">
        <v>854</v>
      </c>
      <c r="C6195">
        <v>1894</v>
      </c>
      <c r="D6195" t="s">
        <v>856</v>
      </c>
      <c r="E6195" t="s">
        <v>1429</v>
      </c>
      <c r="F6195" t="s">
        <v>1248</v>
      </c>
    </row>
    <row r="6196" spans="1:6">
      <c r="A6196">
        <v>10195</v>
      </c>
      <c r="B6196" t="s">
        <v>857</v>
      </c>
      <c r="C6196">
        <v>1860</v>
      </c>
      <c r="D6196" t="s">
        <v>1037</v>
      </c>
      <c r="E6196" t="s">
        <v>1221</v>
      </c>
      <c r="F6196" t="s">
        <v>1222</v>
      </c>
    </row>
    <row r="6197" spans="1:6">
      <c r="A6197">
        <v>10195</v>
      </c>
      <c r="B6197" t="s">
        <v>857</v>
      </c>
      <c r="C6197">
        <v>2174</v>
      </c>
      <c r="D6197" t="s">
        <v>1038</v>
      </c>
      <c r="E6197" t="s">
        <v>1221</v>
      </c>
      <c r="F6197" t="s">
        <v>1224</v>
      </c>
    </row>
    <row r="6198" spans="1:6">
      <c r="A6198">
        <v>10195</v>
      </c>
      <c r="B6198" t="s">
        <v>857</v>
      </c>
      <c r="C6198">
        <v>829</v>
      </c>
      <c r="D6198" t="s">
        <v>1039</v>
      </c>
      <c r="E6198" t="s">
        <v>1226</v>
      </c>
      <c r="F6198" t="s">
        <v>1227</v>
      </c>
    </row>
    <row r="6199" spans="1:6">
      <c r="A6199">
        <v>10195</v>
      </c>
      <c r="B6199" t="s">
        <v>857</v>
      </c>
      <c r="C6199">
        <v>946</v>
      </c>
      <c r="D6199" t="s">
        <v>1040</v>
      </c>
      <c r="E6199" t="s">
        <v>1226</v>
      </c>
      <c r="F6199" t="s">
        <v>1229</v>
      </c>
    </row>
    <row r="6200" spans="1:6">
      <c r="A6200">
        <v>10217</v>
      </c>
      <c r="B6200" t="s">
        <v>858</v>
      </c>
      <c r="C6200">
        <v>120353</v>
      </c>
      <c r="D6200" t="s">
        <v>1207</v>
      </c>
      <c r="E6200" t="s">
        <v>1350</v>
      </c>
      <c r="F6200" t="s">
        <v>1351</v>
      </c>
    </row>
    <row r="6201" spans="1:6">
      <c r="A6201">
        <v>10217</v>
      </c>
      <c r="B6201" t="s">
        <v>858</v>
      </c>
      <c r="C6201">
        <v>167518</v>
      </c>
      <c r="D6201" t="s">
        <v>1120</v>
      </c>
      <c r="E6201" t="s">
        <v>1450</v>
      </c>
      <c r="F6201" t="s">
        <v>1451</v>
      </c>
    </row>
    <row r="6202" spans="1:6">
      <c r="A6202">
        <v>10217</v>
      </c>
      <c r="B6202" t="s">
        <v>858</v>
      </c>
      <c r="C6202">
        <v>157042</v>
      </c>
      <c r="D6202" t="s">
        <v>1268</v>
      </c>
      <c r="E6202" t="s">
        <v>1450</v>
      </c>
      <c r="F6202" t="s">
        <v>1453</v>
      </c>
    </row>
    <row r="6203" spans="1:6">
      <c r="A6203">
        <v>10217</v>
      </c>
      <c r="B6203" t="s">
        <v>858</v>
      </c>
      <c r="C6203">
        <v>107988</v>
      </c>
      <c r="D6203" t="s">
        <v>1203</v>
      </c>
      <c r="E6203" t="s">
        <v>1450</v>
      </c>
      <c r="F6203" t="s">
        <v>1453</v>
      </c>
    </row>
    <row r="6204" spans="1:6">
      <c r="A6204">
        <v>10221</v>
      </c>
      <c r="B6204" t="s">
        <v>859</v>
      </c>
      <c r="C6204">
        <v>195</v>
      </c>
      <c r="D6204" t="s">
        <v>820</v>
      </c>
      <c r="E6204" t="s">
        <v>1490</v>
      </c>
      <c r="F6204" t="s">
        <v>1491</v>
      </c>
    </row>
    <row r="6205" spans="1:6">
      <c r="A6205">
        <v>10221</v>
      </c>
      <c r="B6205" t="s">
        <v>859</v>
      </c>
      <c r="C6205">
        <v>5028.75</v>
      </c>
      <c r="D6205" t="s">
        <v>821</v>
      </c>
      <c r="E6205" t="s">
        <v>1538</v>
      </c>
      <c r="F6205" t="s">
        <v>1539</v>
      </c>
    </row>
    <row r="6206" spans="1:6">
      <c r="A6206">
        <v>10221</v>
      </c>
      <c r="B6206" t="s">
        <v>859</v>
      </c>
      <c r="C6206">
        <v>6990.36</v>
      </c>
      <c r="D6206" t="s">
        <v>822</v>
      </c>
      <c r="E6206" t="s">
        <v>1538</v>
      </c>
      <c r="F6206" t="s">
        <v>1541</v>
      </c>
    </row>
    <row r="6207" spans="1:6">
      <c r="A6207">
        <v>10221</v>
      </c>
      <c r="B6207" t="s">
        <v>859</v>
      </c>
      <c r="C6207">
        <v>41122</v>
      </c>
      <c r="D6207" t="s">
        <v>1037</v>
      </c>
      <c r="E6207" t="s">
        <v>1221</v>
      </c>
      <c r="F6207" t="s">
        <v>1222</v>
      </c>
    </row>
    <row r="6208" spans="1:6">
      <c r="A6208">
        <v>10221</v>
      </c>
      <c r="B6208" t="s">
        <v>859</v>
      </c>
      <c r="C6208">
        <v>50654</v>
      </c>
      <c r="D6208" t="s">
        <v>1038</v>
      </c>
      <c r="E6208" t="s">
        <v>1221</v>
      </c>
      <c r="F6208" t="s">
        <v>1224</v>
      </c>
    </row>
    <row r="6209" spans="1:6">
      <c r="A6209">
        <v>10221</v>
      </c>
      <c r="B6209" t="s">
        <v>859</v>
      </c>
      <c r="C6209">
        <v>32031</v>
      </c>
      <c r="D6209" t="s">
        <v>817</v>
      </c>
      <c r="E6209" t="s">
        <v>1424</v>
      </c>
      <c r="F6209" t="s">
        <v>1425</v>
      </c>
    </row>
    <row r="6210" spans="1:6">
      <c r="A6210">
        <v>10221</v>
      </c>
      <c r="B6210" t="s">
        <v>859</v>
      </c>
      <c r="C6210">
        <v>2196</v>
      </c>
      <c r="D6210" t="s">
        <v>1039</v>
      </c>
      <c r="E6210" t="s">
        <v>1226</v>
      </c>
      <c r="F6210" t="s">
        <v>1227</v>
      </c>
    </row>
    <row r="6211" spans="1:6">
      <c r="A6211">
        <v>10221</v>
      </c>
      <c r="B6211" t="s">
        <v>859</v>
      </c>
      <c r="C6211">
        <v>2527</v>
      </c>
      <c r="D6211" t="s">
        <v>1040</v>
      </c>
      <c r="E6211" t="s">
        <v>1226</v>
      </c>
      <c r="F6211" t="s">
        <v>1229</v>
      </c>
    </row>
    <row r="6212" spans="1:6">
      <c r="A6212">
        <v>10221</v>
      </c>
      <c r="B6212" t="s">
        <v>859</v>
      </c>
      <c r="C6212">
        <v>3306</v>
      </c>
      <c r="D6212" t="s">
        <v>818</v>
      </c>
      <c r="E6212" t="s">
        <v>1429</v>
      </c>
      <c r="F6212" t="s">
        <v>1430</v>
      </c>
    </row>
    <row r="6213" spans="1:6">
      <c r="A6213">
        <v>10221</v>
      </c>
      <c r="B6213" t="s">
        <v>859</v>
      </c>
      <c r="C6213">
        <v>4569.46</v>
      </c>
      <c r="D6213" t="s">
        <v>823</v>
      </c>
      <c r="E6213" t="s">
        <v>1432</v>
      </c>
      <c r="F6213" t="s">
        <v>1433</v>
      </c>
    </row>
    <row r="6214" spans="1:6">
      <c r="A6214">
        <v>10221</v>
      </c>
      <c r="B6214" t="s">
        <v>859</v>
      </c>
      <c r="C6214">
        <v>5408.7</v>
      </c>
      <c r="D6214" t="s">
        <v>824</v>
      </c>
      <c r="E6214" t="s">
        <v>1432</v>
      </c>
      <c r="F6214" t="s">
        <v>1435</v>
      </c>
    </row>
    <row r="6215" spans="1:6">
      <c r="A6215">
        <v>10221</v>
      </c>
      <c r="B6215" t="s">
        <v>859</v>
      </c>
      <c r="C6215">
        <v>75000</v>
      </c>
      <c r="D6215" t="s">
        <v>1452</v>
      </c>
      <c r="E6215" t="s">
        <v>1450</v>
      </c>
      <c r="F6215" t="s">
        <v>1453</v>
      </c>
    </row>
    <row r="6216" spans="1:6">
      <c r="A6216">
        <v>10247</v>
      </c>
      <c r="B6216" t="s">
        <v>860</v>
      </c>
      <c r="C6216">
        <v>0</v>
      </c>
      <c r="D6216" t="s">
        <v>852</v>
      </c>
      <c r="F6216" t="s">
        <v>1222</v>
      </c>
    </row>
    <row r="6217" spans="1:6">
      <c r="A6217">
        <v>10247</v>
      </c>
      <c r="B6217" t="s">
        <v>860</v>
      </c>
      <c r="C6217">
        <v>29060</v>
      </c>
      <c r="D6217" t="s">
        <v>1037</v>
      </c>
      <c r="E6217" t="s">
        <v>1221</v>
      </c>
      <c r="F6217" t="s">
        <v>1222</v>
      </c>
    </row>
    <row r="6218" spans="1:6">
      <c r="A6218">
        <v>10247</v>
      </c>
      <c r="B6218" t="s">
        <v>860</v>
      </c>
      <c r="C6218">
        <v>0</v>
      </c>
      <c r="D6218" t="s">
        <v>853</v>
      </c>
      <c r="F6218" t="s">
        <v>1224</v>
      </c>
    </row>
    <row r="6219" spans="1:6">
      <c r="A6219">
        <v>10247</v>
      </c>
      <c r="B6219" t="s">
        <v>860</v>
      </c>
      <c r="C6219">
        <v>75725</v>
      </c>
      <c r="D6219" t="s">
        <v>1038</v>
      </c>
      <c r="E6219" t="s">
        <v>1221</v>
      </c>
      <c r="F6219" t="s">
        <v>1224</v>
      </c>
    </row>
    <row r="6220" spans="1:6">
      <c r="A6220">
        <v>10247</v>
      </c>
      <c r="B6220" t="s">
        <v>860</v>
      </c>
      <c r="C6220">
        <v>1417</v>
      </c>
      <c r="D6220" t="s">
        <v>1039</v>
      </c>
      <c r="E6220" t="s">
        <v>1226</v>
      </c>
      <c r="F6220" t="s">
        <v>1227</v>
      </c>
    </row>
    <row r="6221" spans="1:6">
      <c r="A6221">
        <v>10247</v>
      </c>
      <c r="B6221" t="s">
        <v>860</v>
      </c>
      <c r="C6221">
        <v>3561</v>
      </c>
      <c r="D6221" t="s">
        <v>1040</v>
      </c>
      <c r="E6221" t="s">
        <v>1226</v>
      </c>
      <c r="F6221" t="s">
        <v>1229</v>
      </c>
    </row>
    <row r="6222" spans="1:6">
      <c r="A6222">
        <v>10271</v>
      </c>
      <c r="B6222" t="s">
        <v>861</v>
      </c>
      <c r="C6222">
        <v>400</v>
      </c>
      <c r="D6222" t="s">
        <v>820</v>
      </c>
      <c r="E6222" t="s">
        <v>1490</v>
      </c>
      <c r="F6222" t="s">
        <v>1491</v>
      </c>
    </row>
    <row r="6223" spans="1:6">
      <c r="A6223">
        <v>10271</v>
      </c>
      <c r="B6223" t="s">
        <v>861</v>
      </c>
      <c r="C6223">
        <v>6200.49</v>
      </c>
      <c r="D6223" t="s">
        <v>821</v>
      </c>
      <c r="E6223" t="s">
        <v>1538</v>
      </c>
      <c r="F6223" t="s">
        <v>1539</v>
      </c>
    </row>
    <row r="6224" spans="1:6">
      <c r="A6224">
        <v>10271</v>
      </c>
      <c r="B6224" t="s">
        <v>861</v>
      </c>
      <c r="C6224">
        <v>8678.2800000000007</v>
      </c>
      <c r="D6224" t="s">
        <v>822</v>
      </c>
      <c r="E6224" t="s">
        <v>1538</v>
      </c>
      <c r="F6224" t="s">
        <v>1541</v>
      </c>
    </row>
    <row r="6225" spans="1:6">
      <c r="A6225">
        <v>10271</v>
      </c>
      <c r="B6225" t="s">
        <v>861</v>
      </c>
      <c r="C6225">
        <v>9562.52</v>
      </c>
      <c r="D6225" t="s">
        <v>823</v>
      </c>
      <c r="E6225" t="s">
        <v>1432</v>
      </c>
      <c r="F6225" t="s">
        <v>1433</v>
      </c>
    </row>
    <row r="6226" spans="1:6">
      <c r="A6226">
        <v>10271</v>
      </c>
      <c r="B6226" t="s">
        <v>861</v>
      </c>
      <c r="C6226">
        <v>13481.82</v>
      </c>
      <c r="D6226" t="s">
        <v>824</v>
      </c>
      <c r="E6226" t="s">
        <v>1432</v>
      </c>
      <c r="F6226" t="s">
        <v>1435</v>
      </c>
    </row>
    <row r="6227" spans="1:6">
      <c r="A6227">
        <v>10272</v>
      </c>
      <c r="B6227" t="s">
        <v>862</v>
      </c>
      <c r="C6227">
        <v>4116</v>
      </c>
      <c r="D6227" t="s">
        <v>826</v>
      </c>
      <c r="E6227" t="s">
        <v>827</v>
      </c>
      <c r="F6227" t="s">
        <v>1241</v>
      </c>
    </row>
    <row r="6228" spans="1:6">
      <c r="A6228">
        <v>10272</v>
      </c>
      <c r="B6228" t="s">
        <v>862</v>
      </c>
      <c r="C6228">
        <v>9418</v>
      </c>
      <c r="D6228" t="s">
        <v>828</v>
      </c>
      <c r="E6228" t="s">
        <v>827</v>
      </c>
      <c r="F6228" t="s">
        <v>1241</v>
      </c>
    </row>
    <row r="6229" spans="1:6">
      <c r="A6229">
        <v>10272</v>
      </c>
      <c r="B6229" t="s">
        <v>862</v>
      </c>
      <c r="C6229">
        <v>5532</v>
      </c>
      <c r="D6229" t="s">
        <v>829</v>
      </c>
      <c r="E6229" t="s">
        <v>827</v>
      </c>
      <c r="F6229" t="s">
        <v>1243</v>
      </c>
    </row>
    <row r="6230" spans="1:6">
      <c r="A6230">
        <v>10272</v>
      </c>
      <c r="B6230" t="s">
        <v>862</v>
      </c>
      <c r="C6230">
        <v>49030</v>
      </c>
      <c r="D6230" t="s">
        <v>830</v>
      </c>
      <c r="E6230" t="s">
        <v>827</v>
      </c>
      <c r="F6230" t="s">
        <v>1243</v>
      </c>
    </row>
    <row r="6231" spans="1:6">
      <c r="A6231">
        <v>10272</v>
      </c>
      <c r="B6231" t="s">
        <v>862</v>
      </c>
      <c r="C6231">
        <v>0</v>
      </c>
      <c r="D6231" t="s">
        <v>852</v>
      </c>
      <c r="F6231" t="s">
        <v>1222</v>
      </c>
    </row>
    <row r="6232" spans="1:6">
      <c r="A6232">
        <v>10272</v>
      </c>
      <c r="B6232" t="s">
        <v>862</v>
      </c>
      <c r="C6232">
        <v>112004</v>
      </c>
      <c r="D6232" t="s">
        <v>1037</v>
      </c>
      <c r="E6232" t="s">
        <v>1221</v>
      </c>
      <c r="F6232" t="s">
        <v>1222</v>
      </c>
    </row>
    <row r="6233" spans="1:6">
      <c r="A6233">
        <v>10272</v>
      </c>
      <c r="B6233" t="s">
        <v>862</v>
      </c>
      <c r="C6233">
        <v>0</v>
      </c>
      <c r="D6233" t="s">
        <v>853</v>
      </c>
      <c r="F6233" t="s">
        <v>1224</v>
      </c>
    </row>
    <row r="6234" spans="1:6">
      <c r="A6234">
        <v>10272</v>
      </c>
      <c r="B6234" t="s">
        <v>862</v>
      </c>
      <c r="C6234">
        <v>185793</v>
      </c>
      <c r="D6234" t="s">
        <v>1038</v>
      </c>
      <c r="E6234" t="s">
        <v>1221</v>
      </c>
      <c r="F6234" t="s">
        <v>1224</v>
      </c>
    </row>
    <row r="6235" spans="1:6">
      <c r="A6235">
        <v>10272</v>
      </c>
      <c r="B6235" t="s">
        <v>862</v>
      </c>
      <c r="C6235">
        <v>2009</v>
      </c>
      <c r="D6235" t="s">
        <v>1039</v>
      </c>
      <c r="E6235" t="s">
        <v>1226</v>
      </c>
      <c r="F6235" t="s">
        <v>1227</v>
      </c>
    </row>
    <row r="6236" spans="1:6">
      <c r="A6236">
        <v>10272</v>
      </c>
      <c r="B6236" t="s">
        <v>862</v>
      </c>
      <c r="C6236">
        <v>3500</v>
      </c>
      <c r="D6236" t="s">
        <v>1040</v>
      </c>
      <c r="E6236" t="s">
        <v>1226</v>
      </c>
      <c r="F6236" t="s">
        <v>1229</v>
      </c>
    </row>
    <row r="6237" spans="1:6">
      <c r="A6237">
        <v>10286</v>
      </c>
      <c r="B6237" t="s">
        <v>863</v>
      </c>
      <c r="C6237">
        <v>89174</v>
      </c>
      <c r="D6237" t="s">
        <v>1037</v>
      </c>
      <c r="E6237" t="s">
        <v>1221</v>
      </c>
      <c r="F6237" t="s">
        <v>1222</v>
      </c>
    </row>
    <row r="6238" spans="1:6">
      <c r="A6238">
        <v>10286</v>
      </c>
      <c r="B6238" t="s">
        <v>863</v>
      </c>
      <c r="C6238">
        <v>66578</v>
      </c>
      <c r="D6238" t="s">
        <v>831</v>
      </c>
      <c r="E6238" t="s">
        <v>1221</v>
      </c>
      <c r="F6238" t="s">
        <v>1222</v>
      </c>
    </row>
    <row r="6239" spans="1:6">
      <c r="A6239">
        <v>10286</v>
      </c>
      <c r="B6239" t="s">
        <v>863</v>
      </c>
      <c r="C6239">
        <v>93463</v>
      </c>
      <c r="D6239" t="s">
        <v>1038</v>
      </c>
      <c r="E6239" t="s">
        <v>1221</v>
      </c>
      <c r="F6239" t="s">
        <v>1224</v>
      </c>
    </row>
    <row r="6240" spans="1:6">
      <c r="A6240">
        <v>10286</v>
      </c>
      <c r="B6240" t="s">
        <v>863</v>
      </c>
      <c r="C6240">
        <v>482675</v>
      </c>
      <c r="D6240" t="s">
        <v>832</v>
      </c>
      <c r="E6240" t="s">
        <v>1221</v>
      </c>
      <c r="F6240" t="s">
        <v>1224</v>
      </c>
    </row>
    <row r="6241" spans="1:6">
      <c r="A6241">
        <v>10286</v>
      </c>
      <c r="B6241" t="s">
        <v>863</v>
      </c>
      <c r="C6241">
        <v>16496</v>
      </c>
      <c r="D6241" t="s">
        <v>1039</v>
      </c>
      <c r="E6241" t="s">
        <v>1226</v>
      </c>
      <c r="F6241" t="s">
        <v>1227</v>
      </c>
    </row>
    <row r="6242" spans="1:6">
      <c r="A6242">
        <v>10286</v>
      </c>
      <c r="B6242" t="s">
        <v>863</v>
      </c>
      <c r="C6242">
        <v>19403</v>
      </c>
      <c r="D6242" t="s">
        <v>1040</v>
      </c>
      <c r="E6242" t="s">
        <v>1226</v>
      </c>
      <c r="F6242" t="s">
        <v>1229</v>
      </c>
    </row>
    <row r="6243" spans="1:6">
      <c r="A6243">
        <v>10287</v>
      </c>
      <c r="B6243" t="s">
        <v>866</v>
      </c>
      <c r="C6243">
        <v>13765</v>
      </c>
      <c r="D6243" t="s">
        <v>1037</v>
      </c>
      <c r="E6243" t="s">
        <v>1221</v>
      </c>
      <c r="F6243" t="s">
        <v>1222</v>
      </c>
    </row>
    <row r="6244" spans="1:6">
      <c r="A6244">
        <v>10287</v>
      </c>
      <c r="B6244" t="s">
        <v>866</v>
      </c>
      <c r="C6244">
        <v>31310</v>
      </c>
      <c r="D6244" t="s">
        <v>831</v>
      </c>
      <c r="E6244" t="s">
        <v>1221</v>
      </c>
      <c r="F6244" t="s">
        <v>1222</v>
      </c>
    </row>
    <row r="6245" spans="1:6">
      <c r="A6245">
        <v>10287</v>
      </c>
      <c r="B6245" t="s">
        <v>866</v>
      </c>
      <c r="C6245">
        <v>7068</v>
      </c>
      <c r="D6245" t="s">
        <v>1038</v>
      </c>
      <c r="E6245" t="s">
        <v>1221</v>
      </c>
      <c r="F6245" t="s">
        <v>1224</v>
      </c>
    </row>
    <row r="6246" spans="1:6">
      <c r="A6246">
        <v>10287</v>
      </c>
      <c r="B6246" t="s">
        <v>866</v>
      </c>
      <c r="C6246">
        <v>198249</v>
      </c>
      <c r="D6246" t="s">
        <v>832</v>
      </c>
      <c r="E6246" t="s">
        <v>1221</v>
      </c>
      <c r="F6246" t="s">
        <v>1224</v>
      </c>
    </row>
    <row r="6247" spans="1:6">
      <c r="A6247">
        <v>10287</v>
      </c>
      <c r="B6247" t="s">
        <v>866</v>
      </c>
      <c r="C6247">
        <v>4661</v>
      </c>
      <c r="D6247" t="s">
        <v>1039</v>
      </c>
      <c r="E6247" t="s">
        <v>1226</v>
      </c>
      <c r="F6247" t="s">
        <v>1227</v>
      </c>
    </row>
    <row r="6248" spans="1:6">
      <c r="A6248">
        <v>10287</v>
      </c>
      <c r="B6248" t="s">
        <v>866</v>
      </c>
      <c r="C6248">
        <v>7468</v>
      </c>
      <c r="D6248" t="s">
        <v>1040</v>
      </c>
      <c r="E6248" t="s">
        <v>1226</v>
      </c>
      <c r="F6248" t="s">
        <v>1229</v>
      </c>
    </row>
    <row r="6249" spans="1:6">
      <c r="A6249">
        <v>10317</v>
      </c>
      <c r="B6249" t="s">
        <v>867</v>
      </c>
      <c r="C6249">
        <v>7315</v>
      </c>
      <c r="D6249" t="s">
        <v>1037</v>
      </c>
      <c r="E6249" t="s">
        <v>1221</v>
      </c>
      <c r="F6249" t="s">
        <v>1222</v>
      </c>
    </row>
    <row r="6250" spans="1:6">
      <c r="A6250">
        <v>10317</v>
      </c>
      <c r="B6250" t="s">
        <v>867</v>
      </c>
      <c r="C6250">
        <v>9761</v>
      </c>
      <c r="D6250" t="s">
        <v>1038</v>
      </c>
      <c r="E6250" t="s">
        <v>1221</v>
      </c>
      <c r="F6250" t="s">
        <v>1224</v>
      </c>
    </row>
    <row r="6251" spans="1:6">
      <c r="A6251">
        <v>10318</v>
      </c>
      <c r="B6251" t="s">
        <v>868</v>
      </c>
      <c r="C6251">
        <v>3156</v>
      </c>
      <c r="D6251" t="s">
        <v>1037</v>
      </c>
      <c r="E6251" t="s">
        <v>1221</v>
      </c>
      <c r="F6251" t="s">
        <v>1222</v>
      </c>
    </row>
    <row r="6252" spans="1:6">
      <c r="A6252">
        <v>10318</v>
      </c>
      <c r="B6252" t="s">
        <v>868</v>
      </c>
      <c r="C6252">
        <v>9053</v>
      </c>
      <c r="D6252" t="s">
        <v>831</v>
      </c>
      <c r="E6252" t="s">
        <v>1221</v>
      </c>
      <c r="F6252" t="s">
        <v>1222</v>
      </c>
    </row>
    <row r="6253" spans="1:6">
      <c r="A6253">
        <v>10318</v>
      </c>
      <c r="B6253" t="s">
        <v>868</v>
      </c>
      <c r="C6253">
        <v>1739</v>
      </c>
      <c r="D6253" t="s">
        <v>1038</v>
      </c>
      <c r="E6253" t="s">
        <v>1221</v>
      </c>
      <c r="F6253" t="s">
        <v>1224</v>
      </c>
    </row>
    <row r="6254" spans="1:6">
      <c r="A6254">
        <v>10318</v>
      </c>
      <c r="B6254" t="s">
        <v>868</v>
      </c>
      <c r="C6254">
        <v>48511</v>
      </c>
      <c r="D6254" t="s">
        <v>832</v>
      </c>
      <c r="E6254" t="s">
        <v>1221</v>
      </c>
      <c r="F6254" t="s">
        <v>1224</v>
      </c>
    </row>
    <row r="6255" spans="1:6">
      <c r="A6255">
        <v>10318</v>
      </c>
      <c r="B6255" t="s">
        <v>868</v>
      </c>
      <c r="C6255">
        <v>2042</v>
      </c>
      <c r="D6255" t="s">
        <v>1039</v>
      </c>
      <c r="E6255" t="s">
        <v>1226</v>
      </c>
      <c r="F6255" t="s">
        <v>1227</v>
      </c>
    </row>
    <row r="6256" spans="1:6">
      <c r="A6256">
        <v>10318</v>
      </c>
      <c r="B6256" t="s">
        <v>868</v>
      </c>
      <c r="C6256">
        <v>2373</v>
      </c>
      <c r="D6256" t="s">
        <v>1040</v>
      </c>
      <c r="E6256" t="s">
        <v>1226</v>
      </c>
      <c r="F6256" t="s">
        <v>1229</v>
      </c>
    </row>
    <row r="6257" spans="1:6">
      <c r="A6257">
        <v>10337</v>
      </c>
      <c r="B6257" t="s">
        <v>869</v>
      </c>
      <c r="C6257">
        <v>2249</v>
      </c>
      <c r="D6257" t="s">
        <v>1037</v>
      </c>
      <c r="E6257" t="s">
        <v>1221</v>
      </c>
      <c r="F6257" t="s">
        <v>1222</v>
      </c>
    </row>
    <row r="6258" spans="1:6">
      <c r="A6258">
        <v>10337</v>
      </c>
      <c r="B6258" t="s">
        <v>869</v>
      </c>
      <c r="C6258">
        <v>3109</v>
      </c>
      <c r="D6258" t="s">
        <v>1038</v>
      </c>
      <c r="E6258" t="s">
        <v>1221</v>
      </c>
      <c r="F6258" t="s">
        <v>1224</v>
      </c>
    </row>
    <row r="6259" spans="1:6">
      <c r="A6259">
        <v>10369</v>
      </c>
      <c r="B6259" t="s">
        <v>750</v>
      </c>
      <c r="C6259">
        <v>1110</v>
      </c>
      <c r="D6259" t="s">
        <v>820</v>
      </c>
      <c r="E6259" t="s">
        <v>1490</v>
      </c>
      <c r="F6259" t="s">
        <v>1491</v>
      </c>
    </row>
    <row r="6260" spans="1:6">
      <c r="A6260">
        <v>10369</v>
      </c>
      <c r="B6260" t="s">
        <v>750</v>
      </c>
      <c r="C6260">
        <v>14335.6</v>
      </c>
      <c r="D6260" t="s">
        <v>821</v>
      </c>
      <c r="E6260" t="s">
        <v>1538</v>
      </c>
      <c r="F6260" t="s">
        <v>1539</v>
      </c>
    </row>
    <row r="6261" spans="1:6">
      <c r="A6261">
        <v>10369</v>
      </c>
      <c r="B6261" t="s">
        <v>750</v>
      </c>
      <c r="C6261">
        <v>20262.84</v>
      </c>
      <c r="D6261" t="s">
        <v>822</v>
      </c>
      <c r="E6261" t="s">
        <v>1538</v>
      </c>
      <c r="F6261" t="s">
        <v>1541</v>
      </c>
    </row>
    <row r="6262" spans="1:6">
      <c r="A6262">
        <v>10369</v>
      </c>
      <c r="B6262" t="s">
        <v>750</v>
      </c>
      <c r="C6262">
        <v>21408.06</v>
      </c>
      <c r="D6262" t="s">
        <v>823</v>
      </c>
      <c r="E6262" t="s">
        <v>1432</v>
      </c>
      <c r="F6262" t="s">
        <v>1433</v>
      </c>
    </row>
    <row r="6263" spans="1:6">
      <c r="A6263">
        <v>10369</v>
      </c>
      <c r="B6263" t="s">
        <v>750</v>
      </c>
      <c r="C6263">
        <v>30942.12</v>
      </c>
      <c r="D6263" t="s">
        <v>824</v>
      </c>
      <c r="E6263" t="s">
        <v>1432</v>
      </c>
      <c r="F6263" t="s">
        <v>1435</v>
      </c>
    </row>
    <row r="6264" spans="1:6">
      <c r="A6264">
        <v>10374</v>
      </c>
      <c r="B6264" t="s">
        <v>751</v>
      </c>
      <c r="C6264">
        <v>102250</v>
      </c>
      <c r="D6264" t="s">
        <v>1404</v>
      </c>
      <c r="E6264" t="s">
        <v>1405</v>
      </c>
      <c r="F6264" t="s">
        <v>1406</v>
      </c>
    </row>
    <row r="6265" spans="1:6">
      <c r="A6265">
        <v>10374</v>
      </c>
      <c r="B6265" t="s">
        <v>751</v>
      </c>
      <c r="C6265">
        <v>102250</v>
      </c>
      <c r="D6265" t="s">
        <v>1317</v>
      </c>
      <c r="E6265" t="s">
        <v>1405</v>
      </c>
      <c r="F6265" t="s">
        <v>1406</v>
      </c>
    </row>
    <row r="6266" spans="1:6">
      <c r="A6266">
        <v>10383</v>
      </c>
      <c r="B6266" t="s">
        <v>752</v>
      </c>
      <c r="C6266">
        <v>355</v>
      </c>
      <c r="D6266" t="s">
        <v>820</v>
      </c>
      <c r="E6266" t="s">
        <v>1490</v>
      </c>
      <c r="F6266" t="s">
        <v>1491</v>
      </c>
    </row>
    <row r="6267" spans="1:6">
      <c r="A6267">
        <v>10383</v>
      </c>
      <c r="B6267" t="s">
        <v>752</v>
      </c>
      <c r="C6267">
        <v>6376.4</v>
      </c>
      <c r="D6267" t="s">
        <v>821</v>
      </c>
      <c r="E6267" t="s">
        <v>1538</v>
      </c>
      <c r="F6267" t="s">
        <v>1539</v>
      </c>
    </row>
    <row r="6268" spans="1:6">
      <c r="A6268">
        <v>10383</v>
      </c>
      <c r="B6268" t="s">
        <v>752</v>
      </c>
      <c r="C6268">
        <v>8687.64</v>
      </c>
      <c r="D6268" t="s">
        <v>822</v>
      </c>
      <c r="E6268" t="s">
        <v>1538</v>
      </c>
      <c r="F6268" t="s">
        <v>1541</v>
      </c>
    </row>
    <row r="6269" spans="1:6">
      <c r="A6269">
        <v>10383</v>
      </c>
      <c r="B6269" t="s">
        <v>752</v>
      </c>
      <c r="C6269">
        <v>7928.1</v>
      </c>
      <c r="D6269" t="s">
        <v>823</v>
      </c>
      <c r="E6269" t="s">
        <v>1432</v>
      </c>
      <c r="F6269" t="s">
        <v>1433</v>
      </c>
    </row>
    <row r="6270" spans="1:6">
      <c r="A6270">
        <v>10383</v>
      </c>
      <c r="B6270" t="s">
        <v>752</v>
      </c>
      <c r="C6270">
        <v>9790.6200000000008</v>
      </c>
      <c r="D6270" t="s">
        <v>824</v>
      </c>
      <c r="E6270" t="s">
        <v>1432</v>
      </c>
      <c r="F6270" t="s">
        <v>1435</v>
      </c>
    </row>
    <row r="6271" spans="1:6">
      <c r="A6271">
        <v>10397</v>
      </c>
      <c r="B6271" t="s">
        <v>753</v>
      </c>
      <c r="C6271">
        <v>22693</v>
      </c>
      <c r="D6271" t="s">
        <v>1037</v>
      </c>
      <c r="E6271" t="s">
        <v>1221</v>
      </c>
      <c r="F6271" t="s">
        <v>1222</v>
      </c>
    </row>
    <row r="6272" spans="1:6">
      <c r="A6272">
        <v>10397</v>
      </c>
      <c r="B6272" t="s">
        <v>753</v>
      </c>
      <c r="C6272">
        <v>0</v>
      </c>
      <c r="D6272" t="s">
        <v>831</v>
      </c>
      <c r="E6272" t="s">
        <v>1221</v>
      </c>
      <c r="F6272" t="s">
        <v>1222</v>
      </c>
    </row>
    <row r="6273" spans="1:6">
      <c r="A6273">
        <v>10397</v>
      </c>
      <c r="B6273" t="s">
        <v>753</v>
      </c>
      <c r="C6273">
        <v>6336</v>
      </c>
      <c r="D6273" t="s">
        <v>1038</v>
      </c>
      <c r="E6273" t="s">
        <v>1221</v>
      </c>
      <c r="F6273" t="s">
        <v>1224</v>
      </c>
    </row>
    <row r="6274" spans="1:6">
      <c r="A6274">
        <v>10397</v>
      </c>
      <c r="B6274" t="s">
        <v>753</v>
      </c>
      <c r="C6274">
        <v>49860</v>
      </c>
      <c r="D6274" t="s">
        <v>832</v>
      </c>
      <c r="E6274" t="s">
        <v>1221</v>
      </c>
      <c r="F6274" t="s">
        <v>1224</v>
      </c>
    </row>
    <row r="6275" spans="1:6">
      <c r="A6275">
        <v>10397</v>
      </c>
      <c r="B6275" t="s">
        <v>753</v>
      </c>
      <c r="C6275">
        <v>1381</v>
      </c>
      <c r="D6275" t="s">
        <v>1039</v>
      </c>
      <c r="E6275" t="s">
        <v>1226</v>
      </c>
      <c r="F6275" t="s">
        <v>1227</v>
      </c>
    </row>
    <row r="6276" spans="1:6">
      <c r="A6276">
        <v>10397</v>
      </c>
      <c r="B6276" t="s">
        <v>753</v>
      </c>
      <c r="C6276">
        <v>2337</v>
      </c>
      <c r="D6276" t="s">
        <v>1040</v>
      </c>
      <c r="E6276" t="s">
        <v>1226</v>
      </c>
      <c r="F6276" t="s">
        <v>1229</v>
      </c>
    </row>
    <row r="6277" spans="1:6">
      <c r="A6277">
        <v>10435</v>
      </c>
      <c r="B6277" t="s">
        <v>754</v>
      </c>
      <c r="C6277">
        <v>155</v>
      </c>
      <c r="D6277" t="s">
        <v>820</v>
      </c>
      <c r="E6277" t="s">
        <v>1490</v>
      </c>
      <c r="F6277" t="s">
        <v>1491</v>
      </c>
    </row>
    <row r="6278" spans="1:6">
      <c r="A6278">
        <v>10435</v>
      </c>
      <c r="B6278" t="s">
        <v>754</v>
      </c>
      <c r="C6278">
        <v>8977.1200000000008</v>
      </c>
      <c r="D6278" t="s">
        <v>755</v>
      </c>
      <c r="E6278" t="s">
        <v>1375</v>
      </c>
      <c r="F6278" t="s">
        <v>1376</v>
      </c>
    </row>
    <row r="6279" spans="1:6">
      <c r="A6279">
        <v>10435</v>
      </c>
      <c r="B6279" t="s">
        <v>754</v>
      </c>
      <c r="C6279">
        <v>3665.05</v>
      </c>
      <c r="D6279" t="s">
        <v>756</v>
      </c>
      <c r="E6279" t="s">
        <v>1375</v>
      </c>
      <c r="F6279" t="s">
        <v>1378</v>
      </c>
    </row>
    <row r="6280" spans="1:6">
      <c r="A6280">
        <v>10435</v>
      </c>
      <c r="B6280" t="s">
        <v>754</v>
      </c>
      <c r="C6280">
        <v>10331</v>
      </c>
      <c r="D6280" t="s">
        <v>1037</v>
      </c>
      <c r="E6280" t="s">
        <v>1221</v>
      </c>
      <c r="F6280" t="s">
        <v>1222</v>
      </c>
    </row>
    <row r="6281" spans="1:6">
      <c r="A6281">
        <v>10435</v>
      </c>
      <c r="B6281" t="s">
        <v>754</v>
      </c>
      <c r="C6281">
        <v>18202</v>
      </c>
      <c r="D6281" t="s">
        <v>1038</v>
      </c>
      <c r="E6281" t="s">
        <v>1221</v>
      </c>
      <c r="F6281" t="s">
        <v>1224</v>
      </c>
    </row>
    <row r="6282" spans="1:6">
      <c r="A6282">
        <v>10435</v>
      </c>
      <c r="B6282" t="s">
        <v>754</v>
      </c>
      <c r="C6282">
        <v>813</v>
      </c>
      <c r="D6282" t="s">
        <v>1039</v>
      </c>
      <c r="E6282" t="s">
        <v>1226</v>
      </c>
      <c r="F6282" t="s">
        <v>1227</v>
      </c>
    </row>
    <row r="6283" spans="1:6">
      <c r="A6283">
        <v>10435</v>
      </c>
      <c r="B6283" t="s">
        <v>754</v>
      </c>
      <c r="C6283">
        <v>1142</v>
      </c>
      <c r="D6283" t="s">
        <v>1040</v>
      </c>
      <c r="E6283" t="s">
        <v>1226</v>
      </c>
      <c r="F6283" t="s">
        <v>1229</v>
      </c>
    </row>
    <row r="6284" spans="1:6">
      <c r="A6284">
        <v>10435</v>
      </c>
      <c r="B6284" t="s">
        <v>754</v>
      </c>
      <c r="C6284">
        <v>1770.72</v>
      </c>
      <c r="D6284" t="s">
        <v>823</v>
      </c>
      <c r="E6284" t="s">
        <v>1432</v>
      </c>
      <c r="F6284" t="s">
        <v>1433</v>
      </c>
    </row>
    <row r="6285" spans="1:6">
      <c r="A6285">
        <v>10454</v>
      </c>
      <c r="B6285" t="s">
        <v>757</v>
      </c>
      <c r="C6285">
        <v>558</v>
      </c>
      <c r="D6285" t="s">
        <v>820</v>
      </c>
      <c r="E6285" t="s">
        <v>1490</v>
      </c>
      <c r="F6285" t="s">
        <v>1491</v>
      </c>
    </row>
    <row r="6286" spans="1:6">
      <c r="A6286">
        <v>10454</v>
      </c>
      <c r="B6286" t="s">
        <v>757</v>
      </c>
      <c r="C6286">
        <v>5569.59</v>
      </c>
      <c r="D6286" t="s">
        <v>821</v>
      </c>
      <c r="E6286" t="s">
        <v>1538</v>
      </c>
      <c r="F6286" t="s">
        <v>1539</v>
      </c>
    </row>
    <row r="6287" spans="1:6">
      <c r="A6287">
        <v>10454</v>
      </c>
      <c r="B6287" t="s">
        <v>757</v>
      </c>
      <c r="C6287">
        <v>7254</v>
      </c>
      <c r="D6287" t="s">
        <v>822</v>
      </c>
      <c r="E6287" t="s">
        <v>1538</v>
      </c>
      <c r="F6287" t="s">
        <v>1541</v>
      </c>
    </row>
    <row r="6288" spans="1:6">
      <c r="A6288">
        <v>10454</v>
      </c>
      <c r="B6288" t="s">
        <v>757</v>
      </c>
      <c r="C6288">
        <v>8963.2999999999993</v>
      </c>
      <c r="D6288" t="s">
        <v>823</v>
      </c>
      <c r="E6288" t="s">
        <v>1432</v>
      </c>
      <c r="F6288" t="s">
        <v>1433</v>
      </c>
    </row>
    <row r="6289" spans="1:6">
      <c r="A6289">
        <v>10454</v>
      </c>
      <c r="B6289" t="s">
        <v>757</v>
      </c>
      <c r="C6289">
        <v>12629.98</v>
      </c>
      <c r="D6289" t="s">
        <v>824</v>
      </c>
      <c r="E6289" t="s">
        <v>1432</v>
      </c>
      <c r="F6289" t="s">
        <v>1435</v>
      </c>
    </row>
    <row r="6290" spans="1:6">
      <c r="A6290">
        <v>10479</v>
      </c>
      <c r="B6290" t="s">
        <v>758</v>
      </c>
      <c r="C6290">
        <v>1121</v>
      </c>
      <c r="D6290" t="s">
        <v>820</v>
      </c>
      <c r="E6290" t="s">
        <v>1490</v>
      </c>
      <c r="F6290" t="s">
        <v>1491</v>
      </c>
    </row>
    <row r="6291" spans="1:6">
      <c r="A6291">
        <v>10479</v>
      </c>
      <c r="B6291" t="s">
        <v>758</v>
      </c>
      <c r="C6291">
        <v>8721.69</v>
      </c>
      <c r="D6291" t="s">
        <v>821</v>
      </c>
      <c r="E6291" t="s">
        <v>1538</v>
      </c>
      <c r="F6291" t="s">
        <v>1539</v>
      </c>
    </row>
    <row r="6292" spans="1:6">
      <c r="A6292">
        <v>10479</v>
      </c>
      <c r="B6292" t="s">
        <v>758</v>
      </c>
      <c r="C6292">
        <v>16413.400000000001</v>
      </c>
      <c r="D6292" t="s">
        <v>822</v>
      </c>
      <c r="E6292" t="s">
        <v>1538</v>
      </c>
      <c r="F6292" t="s">
        <v>1541</v>
      </c>
    </row>
    <row r="6293" spans="1:6">
      <c r="A6293">
        <v>10479</v>
      </c>
      <c r="B6293" t="s">
        <v>758</v>
      </c>
      <c r="C6293">
        <v>15869.53</v>
      </c>
      <c r="D6293" t="s">
        <v>823</v>
      </c>
      <c r="E6293" t="s">
        <v>1432</v>
      </c>
      <c r="F6293" t="s">
        <v>1433</v>
      </c>
    </row>
    <row r="6294" spans="1:6">
      <c r="A6294">
        <v>10479</v>
      </c>
      <c r="B6294" t="s">
        <v>758</v>
      </c>
      <c r="C6294">
        <v>26652.36</v>
      </c>
      <c r="D6294" t="s">
        <v>824</v>
      </c>
      <c r="E6294" t="s">
        <v>1432</v>
      </c>
      <c r="F6294" t="s">
        <v>1435</v>
      </c>
    </row>
    <row r="6295" spans="1:6">
      <c r="A6295">
        <v>10527</v>
      </c>
      <c r="B6295" t="s">
        <v>759</v>
      </c>
      <c r="C6295">
        <v>102250</v>
      </c>
      <c r="D6295" t="s">
        <v>1404</v>
      </c>
      <c r="E6295" t="s">
        <v>1405</v>
      </c>
      <c r="F6295" t="s">
        <v>1406</v>
      </c>
    </row>
    <row r="6296" spans="1:6">
      <c r="A6296">
        <v>10527</v>
      </c>
      <c r="B6296" t="s">
        <v>759</v>
      </c>
      <c r="C6296">
        <v>102250</v>
      </c>
      <c r="D6296" t="s">
        <v>1317</v>
      </c>
      <c r="E6296" t="s">
        <v>1405</v>
      </c>
      <c r="F6296" t="s">
        <v>1406</v>
      </c>
    </row>
    <row r="6297" spans="1:6">
      <c r="A6297">
        <v>10563</v>
      </c>
      <c r="B6297" t="s">
        <v>760</v>
      </c>
      <c r="C6297">
        <v>131038</v>
      </c>
      <c r="D6297" t="s">
        <v>1037</v>
      </c>
      <c r="E6297" t="s">
        <v>1221</v>
      </c>
      <c r="F6297" t="s">
        <v>1222</v>
      </c>
    </row>
    <row r="6298" spans="1:6">
      <c r="A6298">
        <v>10563</v>
      </c>
      <c r="B6298" t="s">
        <v>760</v>
      </c>
      <c r="C6298">
        <v>192616</v>
      </c>
      <c r="D6298" t="s">
        <v>1038</v>
      </c>
      <c r="E6298" t="s">
        <v>1221</v>
      </c>
      <c r="F6298" t="s">
        <v>1224</v>
      </c>
    </row>
    <row r="6299" spans="1:6">
      <c r="A6299">
        <v>10563</v>
      </c>
      <c r="B6299" t="s">
        <v>760</v>
      </c>
      <c r="C6299">
        <v>33715</v>
      </c>
      <c r="D6299" t="s">
        <v>817</v>
      </c>
      <c r="E6299" t="s">
        <v>1424</v>
      </c>
      <c r="F6299" t="s">
        <v>1425</v>
      </c>
    </row>
    <row r="6300" spans="1:6">
      <c r="A6300">
        <v>10563</v>
      </c>
      <c r="B6300" t="s">
        <v>760</v>
      </c>
      <c r="C6300">
        <v>18026</v>
      </c>
      <c r="D6300" t="s">
        <v>833</v>
      </c>
      <c r="E6300" t="s">
        <v>1424</v>
      </c>
      <c r="F6300" t="s">
        <v>1425</v>
      </c>
    </row>
    <row r="6301" spans="1:6">
      <c r="A6301">
        <v>10563</v>
      </c>
      <c r="B6301" t="s">
        <v>760</v>
      </c>
      <c r="C6301">
        <v>47259</v>
      </c>
      <c r="D6301" t="s">
        <v>855</v>
      </c>
      <c r="E6301" t="s">
        <v>1424</v>
      </c>
      <c r="F6301" t="s">
        <v>1427</v>
      </c>
    </row>
    <row r="6302" spans="1:6">
      <c r="A6302">
        <v>10563</v>
      </c>
      <c r="B6302" t="s">
        <v>760</v>
      </c>
      <c r="C6302">
        <v>6402</v>
      </c>
      <c r="D6302" t="s">
        <v>1039</v>
      </c>
      <c r="E6302" t="s">
        <v>1226</v>
      </c>
      <c r="F6302" t="s">
        <v>1227</v>
      </c>
    </row>
    <row r="6303" spans="1:6">
      <c r="A6303">
        <v>10563</v>
      </c>
      <c r="B6303" t="s">
        <v>760</v>
      </c>
      <c r="C6303">
        <v>9042</v>
      </c>
      <c r="D6303" t="s">
        <v>1040</v>
      </c>
      <c r="E6303" t="s">
        <v>1226</v>
      </c>
      <c r="F6303" t="s">
        <v>1229</v>
      </c>
    </row>
    <row r="6304" spans="1:6">
      <c r="A6304">
        <v>10563</v>
      </c>
      <c r="B6304" t="s">
        <v>760</v>
      </c>
      <c r="C6304">
        <v>3969</v>
      </c>
      <c r="D6304" t="s">
        <v>818</v>
      </c>
      <c r="E6304" t="s">
        <v>1429</v>
      </c>
      <c r="F6304" t="s">
        <v>1430</v>
      </c>
    </row>
    <row r="6305" spans="1:6">
      <c r="A6305">
        <v>10563</v>
      </c>
      <c r="B6305" t="s">
        <v>760</v>
      </c>
      <c r="C6305">
        <v>2888</v>
      </c>
      <c r="D6305" t="s">
        <v>834</v>
      </c>
      <c r="E6305" t="s">
        <v>1429</v>
      </c>
      <c r="F6305" t="s">
        <v>1430</v>
      </c>
    </row>
    <row r="6306" spans="1:6">
      <c r="A6306">
        <v>10563</v>
      </c>
      <c r="B6306" t="s">
        <v>760</v>
      </c>
      <c r="C6306">
        <v>3486</v>
      </c>
      <c r="D6306" t="s">
        <v>856</v>
      </c>
      <c r="E6306" t="s">
        <v>1429</v>
      </c>
      <c r="F6306" t="s">
        <v>1248</v>
      </c>
    </row>
    <row r="6307" spans="1:6">
      <c r="A6307">
        <v>10564</v>
      </c>
      <c r="B6307" t="s">
        <v>761</v>
      </c>
      <c r="C6307">
        <v>537</v>
      </c>
      <c r="D6307" t="s">
        <v>820</v>
      </c>
      <c r="E6307" t="s">
        <v>1490</v>
      </c>
      <c r="F6307" t="s">
        <v>1491</v>
      </c>
    </row>
    <row r="6308" spans="1:6">
      <c r="A6308">
        <v>10564</v>
      </c>
      <c r="B6308" t="s">
        <v>761</v>
      </c>
      <c r="C6308">
        <v>8455.02</v>
      </c>
      <c r="D6308" t="s">
        <v>821</v>
      </c>
      <c r="E6308" t="s">
        <v>1538</v>
      </c>
      <c r="F6308" t="s">
        <v>1539</v>
      </c>
    </row>
    <row r="6309" spans="1:6">
      <c r="A6309">
        <v>10564</v>
      </c>
      <c r="B6309" t="s">
        <v>761</v>
      </c>
      <c r="C6309">
        <v>7687.08</v>
      </c>
      <c r="D6309" t="s">
        <v>822</v>
      </c>
      <c r="E6309" t="s">
        <v>1538</v>
      </c>
      <c r="F6309" t="s">
        <v>1541</v>
      </c>
    </row>
    <row r="6310" spans="1:6">
      <c r="A6310">
        <v>10564</v>
      </c>
      <c r="B6310" t="s">
        <v>761</v>
      </c>
      <c r="C6310">
        <v>11157.72</v>
      </c>
      <c r="D6310" t="s">
        <v>823</v>
      </c>
      <c r="E6310" t="s">
        <v>1432</v>
      </c>
      <c r="F6310" t="s">
        <v>1433</v>
      </c>
    </row>
    <row r="6311" spans="1:6">
      <c r="A6311">
        <v>10564</v>
      </c>
      <c r="B6311" t="s">
        <v>761</v>
      </c>
      <c r="C6311">
        <v>9260.4</v>
      </c>
      <c r="D6311" t="s">
        <v>824</v>
      </c>
      <c r="E6311" t="s">
        <v>1432</v>
      </c>
      <c r="F6311" t="s">
        <v>1435</v>
      </c>
    </row>
    <row r="6312" spans="1:6">
      <c r="A6312">
        <v>10608</v>
      </c>
      <c r="B6312" t="s">
        <v>762</v>
      </c>
      <c r="C6312">
        <v>1275</v>
      </c>
      <c r="D6312" t="s">
        <v>820</v>
      </c>
      <c r="E6312" t="s">
        <v>1490</v>
      </c>
      <c r="F6312" t="s">
        <v>1491</v>
      </c>
    </row>
    <row r="6313" spans="1:6">
      <c r="A6313">
        <v>10608</v>
      </c>
      <c r="B6313" t="s">
        <v>762</v>
      </c>
      <c r="C6313">
        <v>17102.14</v>
      </c>
      <c r="D6313" t="s">
        <v>821</v>
      </c>
      <c r="E6313" t="s">
        <v>1538</v>
      </c>
      <c r="F6313" t="s">
        <v>1539</v>
      </c>
    </row>
    <row r="6314" spans="1:6">
      <c r="A6314">
        <v>10608</v>
      </c>
      <c r="B6314" t="s">
        <v>762</v>
      </c>
      <c r="C6314">
        <v>25503.96</v>
      </c>
      <c r="D6314" t="s">
        <v>822</v>
      </c>
      <c r="E6314" t="s">
        <v>1538</v>
      </c>
      <c r="F6314" t="s">
        <v>1541</v>
      </c>
    </row>
    <row r="6315" spans="1:6">
      <c r="A6315">
        <v>10608</v>
      </c>
      <c r="B6315" t="s">
        <v>762</v>
      </c>
      <c r="C6315">
        <v>27200.82</v>
      </c>
      <c r="D6315" t="s">
        <v>823</v>
      </c>
      <c r="E6315" t="s">
        <v>1432</v>
      </c>
      <c r="F6315" t="s">
        <v>1433</v>
      </c>
    </row>
    <row r="6316" spans="1:6">
      <c r="A6316">
        <v>10608</v>
      </c>
      <c r="B6316" t="s">
        <v>762</v>
      </c>
      <c r="C6316">
        <v>38492.550000000003</v>
      </c>
      <c r="D6316" t="s">
        <v>824</v>
      </c>
      <c r="E6316" t="s">
        <v>1432</v>
      </c>
      <c r="F6316" t="s">
        <v>1435</v>
      </c>
    </row>
    <row r="6317" spans="1:6">
      <c r="A6317">
        <v>10608</v>
      </c>
      <c r="B6317" t="s">
        <v>762</v>
      </c>
      <c r="C6317">
        <v>8292</v>
      </c>
      <c r="D6317" t="s">
        <v>1273</v>
      </c>
      <c r="E6317" t="s">
        <v>1274</v>
      </c>
      <c r="F6317" t="s">
        <v>1275</v>
      </c>
    </row>
    <row r="6318" spans="1:6">
      <c r="A6318">
        <v>10611</v>
      </c>
      <c r="B6318" t="s">
        <v>763</v>
      </c>
      <c r="C6318">
        <v>87</v>
      </c>
      <c r="D6318" t="s">
        <v>820</v>
      </c>
      <c r="E6318" t="s">
        <v>1490</v>
      </c>
      <c r="F6318" t="s">
        <v>1491</v>
      </c>
    </row>
    <row r="6319" spans="1:6">
      <c r="A6319">
        <v>10611</v>
      </c>
      <c r="B6319" t="s">
        <v>763</v>
      </c>
      <c r="C6319">
        <v>102250</v>
      </c>
      <c r="D6319" t="s">
        <v>1404</v>
      </c>
      <c r="E6319" t="s">
        <v>1405</v>
      </c>
      <c r="F6319" t="s">
        <v>1406</v>
      </c>
    </row>
    <row r="6320" spans="1:6">
      <c r="A6320">
        <v>10611</v>
      </c>
      <c r="B6320" t="s">
        <v>763</v>
      </c>
      <c r="C6320">
        <v>598.94000000000005</v>
      </c>
      <c r="D6320" t="s">
        <v>821</v>
      </c>
      <c r="E6320" t="s">
        <v>1538</v>
      </c>
      <c r="F6320" t="s">
        <v>1539</v>
      </c>
    </row>
    <row r="6321" spans="1:6">
      <c r="A6321">
        <v>10611</v>
      </c>
      <c r="B6321" t="s">
        <v>763</v>
      </c>
      <c r="C6321">
        <v>1495.54</v>
      </c>
      <c r="D6321" t="s">
        <v>822</v>
      </c>
      <c r="E6321" t="s">
        <v>1538</v>
      </c>
      <c r="F6321" t="s">
        <v>1541</v>
      </c>
    </row>
    <row r="6322" spans="1:6">
      <c r="A6322">
        <v>10611</v>
      </c>
      <c r="B6322" t="s">
        <v>763</v>
      </c>
      <c r="C6322">
        <v>1407.34</v>
      </c>
      <c r="D6322" t="s">
        <v>823</v>
      </c>
      <c r="E6322" t="s">
        <v>1432</v>
      </c>
      <c r="F6322" t="s">
        <v>1433</v>
      </c>
    </row>
    <row r="6323" spans="1:6">
      <c r="A6323">
        <v>10611</v>
      </c>
      <c r="B6323" t="s">
        <v>763</v>
      </c>
      <c r="C6323">
        <v>2557.94</v>
      </c>
      <c r="D6323" t="s">
        <v>824</v>
      </c>
      <c r="E6323" t="s">
        <v>1432</v>
      </c>
      <c r="F6323" t="s">
        <v>1435</v>
      </c>
    </row>
    <row r="6324" spans="1:6">
      <c r="A6324">
        <v>10622</v>
      </c>
      <c r="B6324" t="s">
        <v>764</v>
      </c>
      <c r="C6324">
        <v>429</v>
      </c>
      <c r="D6324" t="s">
        <v>820</v>
      </c>
      <c r="E6324" t="s">
        <v>1490</v>
      </c>
      <c r="F6324" t="s">
        <v>1491</v>
      </c>
    </row>
    <row r="6325" spans="1:6">
      <c r="A6325">
        <v>10622</v>
      </c>
      <c r="B6325" t="s">
        <v>764</v>
      </c>
      <c r="C6325">
        <v>5677.36</v>
      </c>
      <c r="D6325" t="s">
        <v>821</v>
      </c>
      <c r="E6325" t="s">
        <v>1538</v>
      </c>
      <c r="F6325" t="s">
        <v>1539</v>
      </c>
    </row>
    <row r="6326" spans="1:6">
      <c r="A6326">
        <v>10622</v>
      </c>
      <c r="B6326" t="s">
        <v>764</v>
      </c>
      <c r="C6326">
        <v>8491.93</v>
      </c>
      <c r="D6326" t="s">
        <v>822</v>
      </c>
      <c r="E6326" t="s">
        <v>1538</v>
      </c>
      <c r="F6326" t="s">
        <v>1541</v>
      </c>
    </row>
    <row r="6327" spans="1:6">
      <c r="A6327">
        <v>10622</v>
      </c>
      <c r="B6327" t="s">
        <v>764</v>
      </c>
      <c r="C6327">
        <v>7245.7</v>
      </c>
      <c r="D6327" t="s">
        <v>823</v>
      </c>
      <c r="E6327" t="s">
        <v>1432</v>
      </c>
      <c r="F6327" t="s">
        <v>1433</v>
      </c>
    </row>
    <row r="6328" spans="1:6">
      <c r="A6328">
        <v>10622</v>
      </c>
      <c r="B6328" t="s">
        <v>764</v>
      </c>
      <c r="C6328">
        <v>10747.22</v>
      </c>
      <c r="D6328" t="s">
        <v>824</v>
      </c>
      <c r="E6328" t="s">
        <v>1432</v>
      </c>
      <c r="F6328" t="s">
        <v>1435</v>
      </c>
    </row>
    <row r="6329" spans="1:6">
      <c r="A6329">
        <v>10627</v>
      </c>
      <c r="B6329" t="s">
        <v>765</v>
      </c>
      <c r="C6329">
        <v>45413</v>
      </c>
      <c r="D6329" t="s">
        <v>1037</v>
      </c>
      <c r="E6329" t="s">
        <v>1221</v>
      </c>
      <c r="F6329" t="s">
        <v>1222</v>
      </c>
    </row>
    <row r="6330" spans="1:6">
      <c r="A6330">
        <v>10627</v>
      </c>
      <c r="B6330" t="s">
        <v>765</v>
      </c>
      <c r="C6330">
        <v>71738</v>
      </c>
      <c r="D6330" t="s">
        <v>1038</v>
      </c>
      <c r="E6330" t="s">
        <v>1221</v>
      </c>
      <c r="F6330" t="s">
        <v>1224</v>
      </c>
    </row>
    <row r="6331" spans="1:6">
      <c r="A6331">
        <v>10627</v>
      </c>
      <c r="B6331" t="s">
        <v>765</v>
      </c>
      <c r="C6331">
        <v>2743</v>
      </c>
      <c r="D6331" t="s">
        <v>1039</v>
      </c>
      <c r="E6331" t="s">
        <v>1226</v>
      </c>
      <c r="F6331" t="s">
        <v>1227</v>
      </c>
    </row>
    <row r="6332" spans="1:6">
      <c r="A6332">
        <v>10627</v>
      </c>
      <c r="B6332" t="s">
        <v>765</v>
      </c>
      <c r="C6332">
        <v>3866</v>
      </c>
      <c r="D6332" t="s">
        <v>1040</v>
      </c>
      <c r="E6332" t="s">
        <v>1226</v>
      </c>
      <c r="F6332" t="s">
        <v>1229</v>
      </c>
    </row>
    <row r="6333" spans="1:6">
      <c r="A6333">
        <v>10627</v>
      </c>
      <c r="B6333" t="s">
        <v>765</v>
      </c>
      <c r="C6333">
        <v>155500</v>
      </c>
      <c r="D6333" t="s">
        <v>1452</v>
      </c>
      <c r="E6333" t="s">
        <v>1450</v>
      </c>
      <c r="F6333" t="s">
        <v>1453</v>
      </c>
    </row>
    <row r="6334" spans="1:6">
      <c r="A6334">
        <v>10627</v>
      </c>
      <c r="B6334" t="s">
        <v>765</v>
      </c>
      <c r="C6334">
        <v>179100</v>
      </c>
      <c r="D6334" t="s">
        <v>1267</v>
      </c>
      <c r="E6334" t="s">
        <v>1450</v>
      </c>
      <c r="F6334" t="s">
        <v>1453</v>
      </c>
    </row>
    <row r="6335" spans="1:6">
      <c r="A6335">
        <v>10627</v>
      </c>
      <c r="B6335" t="s">
        <v>765</v>
      </c>
      <c r="C6335">
        <v>251299</v>
      </c>
      <c r="D6335" t="s">
        <v>1268</v>
      </c>
      <c r="E6335" t="s">
        <v>1450</v>
      </c>
      <c r="F6335" t="s">
        <v>1453</v>
      </c>
    </row>
    <row r="6336" spans="1:6">
      <c r="A6336">
        <v>10727</v>
      </c>
      <c r="B6336" t="s">
        <v>766</v>
      </c>
      <c r="C6336">
        <v>1656</v>
      </c>
      <c r="D6336" t="s">
        <v>820</v>
      </c>
      <c r="E6336" t="s">
        <v>1490</v>
      </c>
      <c r="F6336" t="s">
        <v>1491</v>
      </c>
    </row>
    <row r="6337" spans="1:6">
      <c r="A6337">
        <v>10727</v>
      </c>
      <c r="B6337" t="s">
        <v>766</v>
      </c>
      <c r="C6337">
        <v>21069.32</v>
      </c>
      <c r="D6337" t="s">
        <v>821</v>
      </c>
      <c r="E6337" t="s">
        <v>1538</v>
      </c>
      <c r="F6337" t="s">
        <v>1539</v>
      </c>
    </row>
    <row r="6338" spans="1:6">
      <c r="A6338">
        <v>10727</v>
      </c>
      <c r="B6338" t="s">
        <v>766</v>
      </c>
      <c r="C6338">
        <v>29491.439999999999</v>
      </c>
      <c r="D6338" t="s">
        <v>822</v>
      </c>
      <c r="E6338" t="s">
        <v>1538</v>
      </c>
      <c r="F6338" t="s">
        <v>1541</v>
      </c>
    </row>
    <row r="6339" spans="1:6">
      <c r="A6339">
        <v>10727</v>
      </c>
      <c r="B6339" t="s">
        <v>766</v>
      </c>
      <c r="C6339">
        <v>32276.09</v>
      </c>
      <c r="D6339" t="s">
        <v>823</v>
      </c>
      <c r="E6339" t="s">
        <v>1432</v>
      </c>
      <c r="F6339" t="s">
        <v>1433</v>
      </c>
    </row>
    <row r="6340" spans="1:6">
      <c r="A6340">
        <v>10727</v>
      </c>
      <c r="B6340" t="s">
        <v>766</v>
      </c>
      <c r="C6340">
        <v>44134.55</v>
      </c>
      <c r="D6340" t="s">
        <v>824</v>
      </c>
      <c r="E6340" t="s">
        <v>1432</v>
      </c>
      <c r="F6340" t="s">
        <v>1435</v>
      </c>
    </row>
    <row r="6341" spans="1:6">
      <c r="A6341">
        <v>10727</v>
      </c>
      <c r="B6341" t="s">
        <v>766</v>
      </c>
      <c r="C6341">
        <v>8258</v>
      </c>
      <c r="D6341" t="s">
        <v>1273</v>
      </c>
      <c r="E6341" t="s">
        <v>1274</v>
      </c>
      <c r="F6341" t="s">
        <v>1275</v>
      </c>
    </row>
    <row r="6342" spans="1:6">
      <c r="A6342">
        <v>10781</v>
      </c>
      <c r="B6342" t="s">
        <v>767</v>
      </c>
      <c r="C6342">
        <v>9051</v>
      </c>
      <c r="D6342" t="s">
        <v>1037</v>
      </c>
      <c r="E6342" t="s">
        <v>1221</v>
      </c>
      <c r="F6342" t="s">
        <v>1222</v>
      </c>
    </row>
    <row r="6343" spans="1:6">
      <c r="A6343">
        <v>10781</v>
      </c>
      <c r="B6343" t="s">
        <v>767</v>
      </c>
      <c r="C6343">
        <v>10214</v>
      </c>
      <c r="D6343" t="s">
        <v>1038</v>
      </c>
      <c r="E6343" t="s">
        <v>1221</v>
      </c>
      <c r="F6343" t="s">
        <v>1224</v>
      </c>
    </row>
    <row r="6344" spans="1:6">
      <c r="A6344">
        <v>10783</v>
      </c>
      <c r="B6344" t="s">
        <v>768</v>
      </c>
      <c r="C6344">
        <v>1240</v>
      </c>
      <c r="D6344" t="s">
        <v>820</v>
      </c>
      <c r="E6344" t="s">
        <v>1490</v>
      </c>
      <c r="F6344" t="s">
        <v>1491</v>
      </c>
    </row>
    <row r="6345" spans="1:6">
      <c r="A6345">
        <v>10783</v>
      </c>
      <c r="B6345" t="s">
        <v>768</v>
      </c>
      <c r="C6345">
        <v>19148.29</v>
      </c>
      <c r="D6345" t="s">
        <v>821</v>
      </c>
      <c r="E6345" t="s">
        <v>1538</v>
      </c>
      <c r="F6345" t="s">
        <v>1539</v>
      </c>
    </row>
    <row r="6346" spans="1:6">
      <c r="A6346">
        <v>10783</v>
      </c>
      <c r="B6346" t="s">
        <v>768</v>
      </c>
      <c r="C6346">
        <v>27142.44</v>
      </c>
      <c r="D6346" t="s">
        <v>822</v>
      </c>
      <c r="E6346" t="s">
        <v>1538</v>
      </c>
      <c r="F6346" t="s">
        <v>1541</v>
      </c>
    </row>
    <row r="6347" spans="1:6">
      <c r="A6347">
        <v>10783</v>
      </c>
      <c r="B6347" t="s">
        <v>768</v>
      </c>
      <c r="C6347">
        <v>27774.02</v>
      </c>
      <c r="D6347" t="s">
        <v>823</v>
      </c>
      <c r="E6347" t="s">
        <v>1432</v>
      </c>
      <c r="F6347" t="s">
        <v>1433</v>
      </c>
    </row>
    <row r="6348" spans="1:6">
      <c r="A6348">
        <v>10783</v>
      </c>
      <c r="B6348" t="s">
        <v>768</v>
      </c>
      <c r="C6348">
        <v>38604.239999999998</v>
      </c>
      <c r="D6348" t="s">
        <v>824</v>
      </c>
      <c r="E6348" t="s">
        <v>1432</v>
      </c>
      <c r="F6348" t="s">
        <v>1435</v>
      </c>
    </row>
    <row r="6349" spans="1:6">
      <c r="A6349">
        <v>10844</v>
      </c>
      <c r="B6349" t="s">
        <v>769</v>
      </c>
      <c r="C6349">
        <v>0</v>
      </c>
      <c r="D6349" t="s">
        <v>852</v>
      </c>
      <c r="F6349" t="s">
        <v>1222</v>
      </c>
    </row>
    <row r="6350" spans="1:6">
      <c r="A6350">
        <v>10844</v>
      </c>
      <c r="B6350" t="s">
        <v>769</v>
      </c>
      <c r="C6350">
        <v>12422</v>
      </c>
      <c r="D6350" t="s">
        <v>1037</v>
      </c>
      <c r="E6350" t="s">
        <v>1221</v>
      </c>
      <c r="F6350" t="s">
        <v>1222</v>
      </c>
    </row>
    <row r="6351" spans="1:6">
      <c r="A6351">
        <v>10844</v>
      </c>
      <c r="B6351" t="s">
        <v>769</v>
      </c>
      <c r="C6351">
        <v>0</v>
      </c>
      <c r="D6351" t="s">
        <v>853</v>
      </c>
      <c r="F6351" t="s">
        <v>1224</v>
      </c>
    </row>
    <row r="6352" spans="1:6">
      <c r="A6352">
        <v>10844</v>
      </c>
      <c r="B6352" t="s">
        <v>769</v>
      </c>
      <c r="C6352">
        <v>18327</v>
      </c>
      <c r="D6352" t="s">
        <v>1038</v>
      </c>
      <c r="E6352" t="s">
        <v>1221</v>
      </c>
      <c r="F6352" t="s">
        <v>1224</v>
      </c>
    </row>
    <row r="6353" spans="1:6">
      <c r="A6353">
        <v>10844</v>
      </c>
      <c r="B6353" t="s">
        <v>769</v>
      </c>
      <c r="C6353">
        <v>623</v>
      </c>
      <c r="D6353" t="s">
        <v>1039</v>
      </c>
      <c r="E6353" t="s">
        <v>1226</v>
      </c>
      <c r="F6353" t="s">
        <v>1227</v>
      </c>
    </row>
    <row r="6354" spans="1:6">
      <c r="A6354">
        <v>10844</v>
      </c>
      <c r="B6354" t="s">
        <v>769</v>
      </c>
      <c r="C6354">
        <v>920</v>
      </c>
      <c r="D6354" t="s">
        <v>1040</v>
      </c>
      <c r="E6354" t="s">
        <v>1226</v>
      </c>
      <c r="F6354" t="s">
        <v>1229</v>
      </c>
    </row>
    <row r="6355" spans="1:6">
      <c r="A6355">
        <v>10901</v>
      </c>
      <c r="B6355" t="s">
        <v>770</v>
      </c>
      <c r="C6355">
        <v>19169</v>
      </c>
      <c r="D6355" t="s">
        <v>1037</v>
      </c>
      <c r="E6355" t="s">
        <v>1221</v>
      </c>
      <c r="F6355" t="s">
        <v>1222</v>
      </c>
    </row>
    <row r="6356" spans="1:6">
      <c r="A6356">
        <v>10901</v>
      </c>
      <c r="B6356" t="s">
        <v>770</v>
      </c>
      <c r="C6356">
        <v>26470</v>
      </c>
      <c r="D6356" t="s">
        <v>1038</v>
      </c>
      <c r="E6356" t="s">
        <v>1221</v>
      </c>
      <c r="F6356" t="s">
        <v>1224</v>
      </c>
    </row>
    <row r="6357" spans="1:6">
      <c r="A6357">
        <v>10901</v>
      </c>
      <c r="B6357" t="s">
        <v>770</v>
      </c>
      <c r="C6357">
        <v>1998</v>
      </c>
      <c r="D6357" t="s">
        <v>1039</v>
      </c>
      <c r="E6357" t="s">
        <v>1226</v>
      </c>
      <c r="F6357" t="s">
        <v>1227</v>
      </c>
    </row>
    <row r="6358" spans="1:6">
      <c r="A6358">
        <v>10901</v>
      </c>
      <c r="B6358" t="s">
        <v>770</v>
      </c>
      <c r="C6358">
        <v>2394</v>
      </c>
      <c r="D6358" t="s">
        <v>1040</v>
      </c>
      <c r="E6358" t="s">
        <v>1226</v>
      </c>
      <c r="F6358" t="s">
        <v>1229</v>
      </c>
    </row>
    <row r="6359" spans="1:6">
      <c r="A6359">
        <v>10904</v>
      </c>
      <c r="B6359" t="s">
        <v>771</v>
      </c>
      <c r="C6359">
        <v>8975</v>
      </c>
      <c r="D6359" t="s">
        <v>1037</v>
      </c>
      <c r="E6359" t="s">
        <v>1221</v>
      </c>
      <c r="F6359" t="s">
        <v>1222</v>
      </c>
    </row>
    <row r="6360" spans="1:6">
      <c r="A6360">
        <v>10904</v>
      </c>
      <c r="B6360" t="s">
        <v>771</v>
      </c>
      <c r="C6360">
        <v>9319</v>
      </c>
      <c r="D6360" t="s">
        <v>1038</v>
      </c>
      <c r="E6360" t="s">
        <v>1221</v>
      </c>
      <c r="F6360" t="s">
        <v>1224</v>
      </c>
    </row>
    <row r="6361" spans="1:6">
      <c r="A6361">
        <v>10904</v>
      </c>
      <c r="B6361" t="s">
        <v>771</v>
      </c>
      <c r="C6361">
        <v>531</v>
      </c>
      <c r="D6361" t="s">
        <v>1039</v>
      </c>
      <c r="E6361" t="s">
        <v>1226</v>
      </c>
      <c r="F6361" t="s">
        <v>1227</v>
      </c>
    </row>
    <row r="6362" spans="1:6">
      <c r="A6362">
        <v>10904</v>
      </c>
      <c r="B6362" t="s">
        <v>771</v>
      </c>
      <c r="C6362">
        <v>499</v>
      </c>
      <c r="D6362" t="s">
        <v>1040</v>
      </c>
      <c r="E6362" t="s">
        <v>1226</v>
      </c>
      <c r="F6362" t="s">
        <v>1229</v>
      </c>
    </row>
    <row r="6363" spans="1:6">
      <c r="A6363">
        <v>10948</v>
      </c>
      <c r="B6363" t="s">
        <v>772</v>
      </c>
      <c r="C6363">
        <v>0</v>
      </c>
      <c r="D6363" t="s">
        <v>852</v>
      </c>
      <c r="F6363" t="s">
        <v>1222</v>
      </c>
    </row>
    <row r="6364" spans="1:6">
      <c r="A6364">
        <v>10948</v>
      </c>
      <c r="B6364" t="s">
        <v>772</v>
      </c>
      <c r="C6364">
        <v>14773</v>
      </c>
      <c r="D6364" t="s">
        <v>1037</v>
      </c>
      <c r="E6364" t="s">
        <v>1221</v>
      </c>
      <c r="F6364" t="s">
        <v>1222</v>
      </c>
    </row>
    <row r="6365" spans="1:6">
      <c r="A6365">
        <v>10948</v>
      </c>
      <c r="B6365" t="s">
        <v>772</v>
      </c>
      <c r="C6365">
        <v>0</v>
      </c>
      <c r="D6365" t="s">
        <v>853</v>
      </c>
      <c r="F6365" t="s">
        <v>1224</v>
      </c>
    </row>
    <row r="6366" spans="1:6">
      <c r="A6366">
        <v>10948</v>
      </c>
      <c r="B6366" t="s">
        <v>772</v>
      </c>
      <c r="C6366">
        <v>23818</v>
      </c>
      <c r="D6366" t="s">
        <v>1038</v>
      </c>
      <c r="E6366" t="s">
        <v>1221</v>
      </c>
      <c r="F6366" t="s">
        <v>1224</v>
      </c>
    </row>
    <row r="6367" spans="1:6">
      <c r="A6367">
        <v>10948</v>
      </c>
      <c r="B6367" t="s">
        <v>772</v>
      </c>
      <c r="C6367">
        <v>587</v>
      </c>
      <c r="D6367" t="s">
        <v>1039</v>
      </c>
      <c r="E6367" t="s">
        <v>1226</v>
      </c>
      <c r="F6367" t="s">
        <v>1227</v>
      </c>
    </row>
    <row r="6368" spans="1:6">
      <c r="A6368">
        <v>10948</v>
      </c>
      <c r="B6368" t="s">
        <v>772</v>
      </c>
      <c r="C6368">
        <v>800</v>
      </c>
      <c r="D6368" t="s">
        <v>1040</v>
      </c>
      <c r="E6368" t="s">
        <v>1226</v>
      </c>
      <c r="F6368" t="s">
        <v>1229</v>
      </c>
    </row>
    <row r="6369" spans="1:6">
      <c r="A6369">
        <v>10993</v>
      </c>
      <c r="B6369" t="s">
        <v>776</v>
      </c>
      <c r="C6369">
        <v>1752</v>
      </c>
      <c r="D6369" t="s">
        <v>820</v>
      </c>
      <c r="E6369" t="s">
        <v>1490</v>
      </c>
      <c r="F6369" t="s">
        <v>1491</v>
      </c>
    </row>
    <row r="6370" spans="1:6">
      <c r="A6370">
        <v>10993</v>
      </c>
      <c r="B6370" t="s">
        <v>776</v>
      </c>
      <c r="C6370">
        <v>23192.2</v>
      </c>
      <c r="D6370" t="s">
        <v>821</v>
      </c>
      <c r="E6370" t="s">
        <v>1538</v>
      </c>
      <c r="F6370" t="s">
        <v>1539</v>
      </c>
    </row>
    <row r="6371" spans="1:6">
      <c r="A6371">
        <v>10993</v>
      </c>
      <c r="B6371" t="s">
        <v>776</v>
      </c>
      <c r="C6371">
        <v>25701</v>
      </c>
      <c r="D6371" t="s">
        <v>822</v>
      </c>
      <c r="E6371" t="s">
        <v>1538</v>
      </c>
      <c r="F6371" t="s">
        <v>1541</v>
      </c>
    </row>
    <row r="6372" spans="1:6">
      <c r="A6372">
        <v>10993</v>
      </c>
      <c r="B6372" t="s">
        <v>776</v>
      </c>
      <c r="C6372">
        <v>35157.480000000003</v>
      </c>
      <c r="D6372" t="s">
        <v>823</v>
      </c>
      <c r="E6372" t="s">
        <v>1432</v>
      </c>
      <c r="F6372" t="s">
        <v>1433</v>
      </c>
    </row>
    <row r="6373" spans="1:6">
      <c r="A6373">
        <v>10993</v>
      </c>
      <c r="B6373" t="s">
        <v>776</v>
      </c>
      <c r="C6373">
        <v>39534.519999999997</v>
      </c>
      <c r="D6373" t="s">
        <v>824</v>
      </c>
      <c r="E6373" t="s">
        <v>1432</v>
      </c>
      <c r="F6373" t="s">
        <v>1435</v>
      </c>
    </row>
    <row r="6374" spans="1:6">
      <c r="A6374">
        <v>11026</v>
      </c>
      <c r="B6374" t="s">
        <v>777</v>
      </c>
      <c r="C6374">
        <v>5945</v>
      </c>
      <c r="D6374" t="s">
        <v>1037</v>
      </c>
      <c r="E6374" t="s">
        <v>1221</v>
      </c>
      <c r="F6374" t="s">
        <v>1222</v>
      </c>
    </row>
    <row r="6375" spans="1:6">
      <c r="A6375">
        <v>11026</v>
      </c>
      <c r="B6375" t="s">
        <v>777</v>
      </c>
      <c r="C6375">
        <v>5649</v>
      </c>
      <c r="D6375" t="s">
        <v>1038</v>
      </c>
      <c r="E6375" t="s">
        <v>1221</v>
      </c>
      <c r="F6375" t="s">
        <v>1224</v>
      </c>
    </row>
    <row r="6376" spans="1:6">
      <c r="A6376">
        <v>11026</v>
      </c>
      <c r="B6376" t="s">
        <v>777</v>
      </c>
      <c r="C6376">
        <v>317</v>
      </c>
      <c r="D6376" t="s">
        <v>1039</v>
      </c>
      <c r="E6376" t="s">
        <v>1226</v>
      </c>
      <c r="F6376" t="s">
        <v>1227</v>
      </c>
    </row>
    <row r="6377" spans="1:6">
      <c r="A6377">
        <v>11026</v>
      </c>
      <c r="B6377" t="s">
        <v>777</v>
      </c>
      <c r="C6377">
        <v>278</v>
      </c>
      <c r="D6377" t="s">
        <v>1040</v>
      </c>
      <c r="E6377" t="s">
        <v>1226</v>
      </c>
      <c r="F6377" t="s">
        <v>1229</v>
      </c>
    </row>
    <row r="6378" spans="1:6">
      <c r="A6378">
        <v>11078</v>
      </c>
      <c r="B6378" t="s">
        <v>778</v>
      </c>
      <c r="C6378">
        <v>6610</v>
      </c>
      <c r="D6378" t="s">
        <v>1037</v>
      </c>
      <c r="E6378" t="s">
        <v>1221</v>
      </c>
      <c r="F6378" t="s">
        <v>1222</v>
      </c>
    </row>
    <row r="6379" spans="1:6">
      <c r="A6379">
        <v>11078</v>
      </c>
      <c r="B6379" t="s">
        <v>778</v>
      </c>
      <c r="C6379">
        <v>10872</v>
      </c>
      <c r="D6379" t="s">
        <v>1038</v>
      </c>
      <c r="E6379" t="s">
        <v>1221</v>
      </c>
      <c r="F6379" t="s">
        <v>1224</v>
      </c>
    </row>
    <row r="6380" spans="1:6">
      <c r="A6380">
        <v>11078</v>
      </c>
      <c r="B6380" t="s">
        <v>778</v>
      </c>
      <c r="C6380">
        <v>295</v>
      </c>
      <c r="D6380" t="s">
        <v>1039</v>
      </c>
      <c r="E6380" t="s">
        <v>1226</v>
      </c>
      <c r="F6380" t="s">
        <v>1227</v>
      </c>
    </row>
    <row r="6381" spans="1:6">
      <c r="A6381">
        <v>11078</v>
      </c>
      <c r="B6381" t="s">
        <v>778</v>
      </c>
      <c r="C6381">
        <v>469</v>
      </c>
      <c r="D6381" t="s">
        <v>1040</v>
      </c>
      <c r="E6381" t="s">
        <v>1226</v>
      </c>
      <c r="F6381" t="s">
        <v>1229</v>
      </c>
    </row>
    <row r="6382" spans="1:6">
      <c r="A6382">
        <v>11119</v>
      </c>
      <c r="B6382" t="s">
        <v>779</v>
      </c>
      <c r="C6382">
        <v>150000</v>
      </c>
      <c r="D6382" t="s">
        <v>780</v>
      </c>
      <c r="E6382" t="s">
        <v>781</v>
      </c>
      <c r="F6382" t="s">
        <v>782</v>
      </c>
    </row>
    <row r="6383" spans="1:6">
      <c r="A6383">
        <v>11150</v>
      </c>
      <c r="B6383" t="s">
        <v>783</v>
      </c>
      <c r="C6383">
        <v>1631</v>
      </c>
      <c r="D6383" t="s">
        <v>1037</v>
      </c>
      <c r="E6383" t="s">
        <v>1221</v>
      </c>
      <c r="F6383" t="s">
        <v>1222</v>
      </c>
    </row>
    <row r="6384" spans="1:6">
      <c r="A6384">
        <v>11150</v>
      </c>
      <c r="B6384" t="s">
        <v>783</v>
      </c>
      <c r="C6384">
        <v>3558</v>
      </c>
      <c r="D6384" t="s">
        <v>831</v>
      </c>
      <c r="E6384" t="s">
        <v>1221</v>
      </c>
      <c r="F6384" t="s">
        <v>1222</v>
      </c>
    </row>
    <row r="6385" spans="1:6">
      <c r="A6385">
        <v>11150</v>
      </c>
      <c r="B6385" t="s">
        <v>783</v>
      </c>
      <c r="C6385">
        <v>2485</v>
      </c>
      <c r="D6385" t="s">
        <v>1038</v>
      </c>
      <c r="E6385" t="s">
        <v>1221</v>
      </c>
      <c r="F6385" t="s">
        <v>1224</v>
      </c>
    </row>
    <row r="6386" spans="1:6">
      <c r="A6386">
        <v>11150</v>
      </c>
      <c r="B6386" t="s">
        <v>783</v>
      </c>
      <c r="C6386">
        <v>17282</v>
      </c>
      <c r="D6386" t="s">
        <v>832</v>
      </c>
      <c r="E6386" t="s">
        <v>1221</v>
      </c>
      <c r="F6386" t="s">
        <v>1224</v>
      </c>
    </row>
    <row r="6387" spans="1:6">
      <c r="A6387">
        <v>11150</v>
      </c>
      <c r="B6387" t="s">
        <v>783</v>
      </c>
      <c r="C6387">
        <v>546</v>
      </c>
      <c r="D6387" t="s">
        <v>1039</v>
      </c>
      <c r="E6387" t="s">
        <v>1226</v>
      </c>
      <c r="F6387" t="s">
        <v>1227</v>
      </c>
    </row>
    <row r="6388" spans="1:6">
      <c r="A6388">
        <v>11150</v>
      </c>
      <c r="B6388" t="s">
        <v>783</v>
      </c>
      <c r="C6388">
        <v>727</v>
      </c>
      <c r="D6388" t="s">
        <v>1040</v>
      </c>
      <c r="E6388" t="s">
        <v>1226</v>
      </c>
      <c r="F6388" t="s">
        <v>1229</v>
      </c>
    </row>
    <row r="6389" spans="1:6">
      <c r="A6389">
        <v>11156</v>
      </c>
      <c r="B6389" t="s">
        <v>784</v>
      </c>
      <c r="C6389">
        <v>5011</v>
      </c>
      <c r="D6389" t="s">
        <v>1037</v>
      </c>
      <c r="E6389" t="s">
        <v>1221</v>
      </c>
      <c r="F6389" t="s">
        <v>1222</v>
      </c>
    </row>
    <row r="6390" spans="1:6">
      <c r="A6390">
        <v>11156</v>
      </c>
      <c r="B6390" t="s">
        <v>784</v>
      </c>
      <c r="C6390">
        <v>4572</v>
      </c>
      <c r="D6390" t="s">
        <v>831</v>
      </c>
      <c r="E6390" t="s">
        <v>1221</v>
      </c>
      <c r="F6390" t="s">
        <v>1222</v>
      </c>
    </row>
    <row r="6391" spans="1:6">
      <c r="A6391">
        <v>11156</v>
      </c>
      <c r="B6391" t="s">
        <v>784</v>
      </c>
      <c r="C6391">
        <v>3399</v>
      </c>
      <c r="D6391" t="s">
        <v>1038</v>
      </c>
      <c r="E6391" t="s">
        <v>1221</v>
      </c>
      <c r="F6391" t="s">
        <v>1224</v>
      </c>
    </row>
    <row r="6392" spans="1:6">
      <c r="A6392">
        <v>11156</v>
      </c>
      <c r="B6392" t="s">
        <v>784</v>
      </c>
      <c r="C6392">
        <v>24303</v>
      </c>
      <c r="D6392" t="s">
        <v>832</v>
      </c>
      <c r="E6392" t="s">
        <v>1221</v>
      </c>
      <c r="F6392" t="s">
        <v>1224</v>
      </c>
    </row>
    <row r="6393" spans="1:6">
      <c r="A6393">
        <v>11156</v>
      </c>
      <c r="B6393" t="s">
        <v>784</v>
      </c>
      <c r="C6393">
        <v>1980</v>
      </c>
      <c r="D6393" t="s">
        <v>1039</v>
      </c>
      <c r="E6393" t="s">
        <v>1226</v>
      </c>
      <c r="F6393" t="s">
        <v>1227</v>
      </c>
    </row>
    <row r="6394" spans="1:6">
      <c r="A6394">
        <v>11156</v>
      </c>
      <c r="B6394" t="s">
        <v>784</v>
      </c>
      <c r="C6394">
        <v>2257</v>
      </c>
      <c r="D6394" t="s">
        <v>1040</v>
      </c>
      <c r="E6394" t="s">
        <v>1226</v>
      </c>
      <c r="F6394" t="s">
        <v>1229</v>
      </c>
    </row>
    <row r="6395" spans="1:6">
      <c r="A6395">
        <v>11254</v>
      </c>
      <c r="B6395" t="s">
        <v>785</v>
      </c>
      <c r="C6395">
        <v>930</v>
      </c>
      <c r="D6395" t="s">
        <v>1037</v>
      </c>
      <c r="E6395" t="s">
        <v>1221</v>
      </c>
      <c r="F6395" t="s">
        <v>1222</v>
      </c>
    </row>
    <row r="6396" spans="1:6">
      <c r="A6396">
        <v>11254</v>
      </c>
      <c r="B6396" t="s">
        <v>785</v>
      </c>
      <c r="C6396">
        <v>21536</v>
      </c>
      <c r="D6396" t="s">
        <v>831</v>
      </c>
      <c r="E6396" t="s">
        <v>1221</v>
      </c>
      <c r="F6396" t="s">
        <v>1222</v>
      </c>
    </row>
    <row r="6397" spans="1:6">
      <c r="A6397">
        <v>11254</v>
      </c>
      <c r="B6397" t="s">
        <v>785</v>
      </c>
      <c r="C6397">
        <v>138</v>
      </c>
      <c r="D6397" t="s">
        <v>1038</v>
      </c>
      <c r="E6397" t="s">
        <v>1221</v>
      </c>
      <c r="F6397" t="s">
        <v>1224</v>
      </c>
    </row>
    <row r="6398" spans="1:6">
      <c r="A6398">
        <v>11254</v>
      </c>
      <c r="B6398" t="s">
        <v>785</v>
      </c>
      <c r="C6398">
        <v>102162</v>
      </c>
      <c r="D6398" t="s">
        <v>832</v>
      </c>
      <c r="E6398" t="s">
        <v>1221</v>
      </c>
      <c r="F6398" t="s">
        <v>1224</v>
      </c>
    </row>
    <row r="6399" spans="1:6">
      <c r="A6399">
        <v>11254</v>
      </c>
      <c r="B6399" t="s">
        <v>785</v>
      </c>
      <c r="C6399">
        <v>4814</v>
      </c>
      <c r="D6399" t="s">
        <v>1039</v>
      </c>
      <c r="E6399" t="s">
        <v>1226</v>
      </c>
      <c r="F6399" t="s">
        <v>1227</v>
      </c>
    </row>
    <row r="6400" spans="1:6">
      <c r="A6400">
        <v>11254</v>
      </c>
      <c r="B6400" t="s">
        <v>785</v>
      </c>
      <c r="C6400">
        <v>6413</v>
      </c>
      <c r="D6400" t="s">
        <v>1040</v>
      </c>
      <c r="E6400" t="s">
        <v>1226</v>
      </c>
      <c r="F6400" t="s">
        <v>1229</v>
      </c>
    </row>
    <row r="6401" spans="1:6">
      <c r="A6401">
        <v>11299</v>
      </c>
      <c r="B6401" t="s">
        <v>786</v>
      </c>
      <c r="C6401">
        <v>219</v>
      </c>
      <c r="D6401" t="s">
        <v>820</v>
      </c>
      <c r="E6401" t="s">
        <v>1490</v>
      </c>
      <c r="F6401" t="s">
        <v>1491</v>
      </c>
    </row>
    <row r="6402" spans="1:6">
      <c r="A6402">
        <v>11299</v>
      </c>
      <c r="B6402" t="s">
        <v>786</v>
      </c>
      <c r="C6402">
        <v>3392.61</v>
      </c>
      <c r="D6402" t="s">
        <v>821</v>
      </c>
      <c r="E6402" t="s">
        <v>1538</v>
      </c>
      <c r="F6402" t="s">
        <v>1539</v>
      </c>
    </row>
    <row r="6403" spans="1:6">
      <c r="A6403">
        <v>11299</v>
      </c>
      <c r="B6403" t="s">
        <v>786</v>
      </c>
      <c r="C6403">
        <v>4928.04</v>
      </c>
      <c r="D6403" t="s">
        <v>822</v>
      </c>
      <c r="E6403" t="s">
        <v>1538</v>
      </c>
      <c r="F6403" t="s">
        <v>1541</v>
      </c>
    </row>
    <row r="6404" spans="1:6">
      <c r="A6404">
        <v>11299</v>
      </c>
      <c r="B6404" t="s">
        <v>786</v>
      </c>
      <c r="C6404">
        <v>4944.3</v>
      </c>
      <c r="D6404" t="s">
        <v>823</v>
      </c>
      <c r="E6404" t="s">
        <v>1432</v>
      </c>
      <c r="F6404" t="s">
        <v>1433</v>
      </c>
    </row>
    <row r="6405" spans="1:6">
      <c r="A6405">
        <v>11299</v>
      </c>
      <c r="B6405" t="s">
        <v>786</v>
      </c>
      <c r="C6405">
        <v>7644.78</v>
      </c>
      <c r="D6405" t="s">
        <v>824</v>
      </c>
      <c r="E6405" t="s">
        <v>1432</v>
      </c>
      <c r="F6405" t="s">
        <v>1435</v>
      </c>
    </row>
    <row r="6406" spans="1:6">
      <c r="A6406">
        <v>11309</v>
      </c>
      <c r="B6406" t="s">
        <v>787</v>
      </c>
      <c r="C6406">
        <v>7227</v>
      </c>
      <c r="D6406" t="s">
        <v>1037</v>
      </c>
      <c r="E6406" t="s">
        <v>1221</v>
      </c>
      <c r="F6406" t="s">
        <v>1222</v>
      </c>
    </row>
    <row r="6407" spans="1:6">
      <c r="A6407">
        <v>11309</v>
      </c>
      <c r="B6407" t="s">
        <v>787</v>
      </c>
      <c r="C6407">
        <v>12695</v>
      </c>
      <c r="D6407" t="s">
        <v>1038</v>
      </c>
      <c r="E6407" t="s">
        <v>1221</v>
      </c>
      <c r="F6407" t="s">
        <v>1224</v>
      </c>
    </row>
    <row r="6408" spans="1:6">
      <c r="A6408">
        <v>11309</v>
      </c>
      <c r="B6408" t="s">
        <v>787</v>
      </c>
      <c r="C6408">
        <v>399</v>
      </c>
      <c r="D6408" t="s">
        <v>1039</v>
      </c>
      <c r="E6408" t="s">
        <v>1226</v>
      </c>
      <c r="F6408" t="s">
        <v>1227</v>
      </c>
    </row>
    <row r="6409" spans="1:6">
      <c r="A6409">
        <v>11309</v>
      </c>
      <c r="B6409" t="s">
        <v>787</v>
      </c>
      <c r="C6409">
        <v>649</v>
      </c>
      <c r="D6409" t="s">
        <v>1040</v>
      </c>
      <c r="E6409" t="s">
        <v>1226</v>
      </c>
      <c r="F6409" t="s">
        <v>1229</v>
      </c>
    </row>
    <row r="6410" spans="1:6">
      <c r="A6410">
        <v>11321</v>
      </c>
      <c r="B6410" t="s">
        <v>788</v>
      </c>
      <c r="C6410">
        <v>8743</v>
      </c>
      <c r="D6410" t="s">
        <v>826</v>
      </c>
      <c r="E6410" t="s">
        <v>827</v>
      </c>
      <c r="F6410" t="s">
        <v>1241</v>
      </c>
    </row>
    <row r="6411" spans="1:6">
      <c r="A6411">
        <v>11321</v>
      </c>
      <c r="B6411" t="s">
        <v>788</v>
      </c>
      <c r="C6411">
        <v>14368</v>
      </c>
      <c r="D6411" t="s">
        <v>828</v>
      </c>
      <c r="E6411" t="s">
        <v>827</v>
      </c>
      <c r="F6411" t="s">
        <v>1241</v>
      </c>
    </row>
    <row r="6412" spans="1:6">
      <c r="A6412">
        <v>11321</v>
      </c>
      <c r="B6412" t="s">
        <v>788</v>
      </c>
      <c r="C6412">
        <v>7979</v>
      </c>
      <c r="D6412" t="s">
        <v>829</v>
      </c>
      <c r="E6412" t="s">
        <v>827</v>
      </c>
      <c r="F6412" t="s">
        <v>1243</v>
      </c>
    </row>
    <row r="6413" spans="1:6">
      <c r="A6413">
        <v>11321</v>
      </c>
      <c r="B6413" t="s">
        <v>788</v>
      </c>
      <c r="C6413">
        <v>80052</v>
      </c>
      <c r="D6413" t="s">
        <v>830</v>
      </c>
      <c r="E6413" t="s">
        <v>827</v>
      </c>
      <c r="F6413" t="s">
        <v>1243</v>
      </c>
    </row>
    <row r="6414" spans="1:6">
      <c r="A6414">
        <v>11321</v>
      </c>
      <c r="B6414" t="s">
        <v>788</v>
      </c>
      <c r="C6414">
        <v>0</v>
      </c>
      <c r="D6414" t="s">
        <v>852</v>
      </c>
      <c r="F6414" t="s">
        <v>1222</v>
      </c>
    </row>
    <row r="6415" spans="1:6">
      <c r="A6415">
        <v>11321</v>
      </c>
      <c r="B6415" t="s">
        <v>788</v>
      </c>
      <c r="C6415">
        <v>135520</v>
      </c>
      <c r="D6415" t="s">
        <v>1037</v>
      </c>
      <c r="E6415" t="s">
        <v>1221</v>
      </c>
      <c r="F6415" t="s">
        <v>1222</v>
      </c>
    </row>
    <row r="6416" spans="1:6">
      <c r="A6416">
        <v>11321</v>
      </c>
      <c r="B6416" t="s">
        <v>788</v>
      </c>
      <c r="C6416">
        <v>0</v>
      </c>
      <c r="D6416" t="s">
        <v>853</v>
      </c>
      <c r="F6416" t="s">
        <v>1224</v>
      </c>
    </row>
    <row r="6417" spans="1:6">
      <c r="A6417">
        <v>11321</v>
      </c>
      <c r="B6417" t="s">
        <v>788</v>
      </c>
      <c r="C6417">
        <v>195975</v>
      </c>
      <c r="D6417" t="s">
        <v>1038</v>
      </c>
      <c r="E6417" t="s">
        <v>1221</v>
      </c>
      <c r="F6417" t="s">
        <v>1224</v>
      </c>
    </row>
    <row r="6418" spans="1:6">
      <c r="A6418">
        <v>11322</v>
      </c>
      <c r="B6418" t="s">
        <v>789</v>
      </c>
      <c r="C6418">
        <v>100872</v>
      </c>
      <c r="D6418" t="s">
        <v>1528</v>
      </c>
      <c r="E6418" t="s">
        <v>1529</v>
      </c>
      <c r="F6418" t="s">
        <v>1530</v>
      </c>
    </row>
    <row r="6419" spans="1:6">
      <c r="A6419">
        <v>11375</v>
      </c>
      <c r="B6419" t="s">
        <v>790</v>
      </c>
      <c r="C6419">
        <v>8397</v>
      </c>
      <c r="D6419" t="s">
        <v>826</v>
      </c>
      <c r="E6419" t="s">
        <v>827</v>
      </c>
      <c r="F6419" t="s">
        <v>1241</v>
      </c>
    </row>
    <row r="6420" spans="1:6">
      <c r="A6420">
        <v>11375</v>
      </c>
      <c r="B6420" t="s">
        <v>790</v>
      </c>
      <c r="C6420">
        <v>21658</v>
      </c>
      <c r="D6420" t="s">
        <v>828</v>
      </c>
      <c r="E6420" t="s">
        <v>827</v>
      </c>
      <c r="F6420" t="s">
        <v>1241</v>
      </c>
    </row>
    <row r="6421" spans="1:6">
      <c r="A6421">
        <v>11375</v>
      </c>
      <c r="B6421" t="s">
        <v>790</v>
      </c>
      <c r="C6421">
        <v>1058</v>
      </c>
      <c r="D6421" t="s">
        <v>829</v>
      </c>
      <c r="E6421" t="s">
        <v>827</v>
      </c>
      <c r="F6421" t="s">
        <v>1243</v>
      </c>
    </row>
    <row r="6422" spans="1:6">
      <c r="A6422">
        <v>11375</v>
      </c>
      <c r="B6422" t="s">
        <v>790</v>
      </c>
      <c r="C6422">
        <v>111406</v>
      </c>
      <c r="D6422" t="s">
        <v>830</v>
      </c>
      <c r="E6422" t="s">
        <v>827</v>
      </c>
      <c r="F6422" t="s">
        <v>1243</v>
      </c>
    </row>
    <row r="6423" spans="1:6">
      <c r="A6423">
        <v>11375</v>
      </c>
      <c r="B6423" t="s">
        <v>790</v>
      </c>
      <c r="C6423">
        <v>220455</v>
      </c>
      <c r="D6423" t="s">
        <v>1037</v>
      </c>
      <c r="E6423" t="s">
        <v>1221</v>
      </c>
      <c r="F6423" t="s">
        <v>1222</v>
      </c>
    </row>
    <row r="6424" spans="1:6">
      <c r="A6424">
        <v>11375</v>
      </c>
      <c r="B6424" t="s">
        <v>790</v>
      </c>
      <c r="C6424">
        <v>304355</v>
      </c>
      <c r="D6424" t="s">
        <v>1038</v>
      </c>
      <c r="E6424" t="s">
        <v>1221</v>
      </c>
      <c r="F6424" t="s">
        <v>1224</v>
      </c>
    </row>
    <row r="6425" spans="1:6">
      <c r="A6425">
        <v>11393</v>
      </c>
      <c r="B6425" t="s">
        <v>791</v>
      </c>
      <c r="C6425">
        <v>30000</v>
      </c>
      <c r="D6425" t="s">
        <v>792</v>
      </c>
      <c r="E6425" t="s">
        <v>793</v>
      </c>
      <c r="F6425" t="s">
        <v>794</v>
      </c>
    </row>
    <row r="6426" spans="1:6">
      <c r="A6426">
        <v>11536</v>
      </c>
      <c r="B6426" t="s">
        <v>795</v>
      </c>
      <c r="C6426">
        <v>49926</v>
      </c>
      <c r="D6426" t="s">
        <v>1207</v>
      </c>
      <c r="E6426" t="s">
        <v>1350</v>
      </c>
      <c r="F6426" t="s">
        <v>1351</v>
      </c>
    </row>
    <row r="6427" spans="1:6">
      <c r="A6427">
        <v>11541</v>
      </c>
      <c r="B6427" t="s">
        <v>800</v>
      </c>
      <c r="C6427">
        <v>3874</v>
      </c>
      <c r="D6427" t="s">
        <v>831</v>
      </c>
      <c r="E6427" t="s">
        <v>1221</v>
      </c>
      <c r="F6427" t="s">
        <v>1222</v>
      </c>
    </row>
    <row r="6428" spans="1:6">
      <c r="A6428">
        <v>11541</v>
      </c>
      <c r="B6428" t="s">
        <v>800</v>
      </c>
      <c r="C6428">
        <v>1739</v>
      </c>
      <c r="D6428" t="s">
        <v>1038</v>
      </c>
      <c r="E6428" t="s">
        <v>1221</v>
      </c>
      <c r="F6428" t="s">
        <v>1224</v>
      </c>
    </row>
    <row r="6429" spans="1:6">
      <c r="A6429">
        <v>11541</v>
      </c>
      <c r="B6429" t="s">
        <v>800</v>
      </c>
      <c r="C6429">
        <v>18491</v>
      </c>
      <c r="D6429" t="s">
        <v>832</v>
      </c>
      <c r="E6429" t="s">
        <v>1221</v>
      </c>
      <c r="F6429" t="s">
        <v>1224</v>
      </c>
    </row>
    <row r="6430" spans="1:6">
      <c r="A6430">
        <v>11541</v>
      </c>
      <c r="B6430" t="s">
        <v>800</v>
      </c>
      <c r="C6430">
        <v>976</v>
      </c>
      <c r="D6430" t="s">
        <v>1039</v>
      </c>
      <c r="E6430" t="s">
        <v>1226</v>
      </c>
      <c r="F6430" t="s">
        <v>1227</v>
      </c>
    </row>
    <row r="6431" spans="1:6">
      <c r="A6431">
        <v>11541</v>
      </c>
      <c r="B6431" t="s">
        <v>800</v>
      </c>
      <c r="C6431">
        <v>1034</v>
      </c>
      <c r="D6431" t="s">
        <v>1040</v>
      </c>
      <c r="E6431" t="s">
        <v>1226</v>
      </c>
      <c r="F6431" t="s">
        <v>1229</v>
      </c>
    </row>
    <row r="6432" spans="1:6">
      <c r="A6432">
        <v>11555</v>
      </c>
      <c r="B6432" t="s">
        <v>801</v>
      </c>
      <c r="C6432">
        <v>2113</v>
      </c>
      <c r="D6432" t="s">
        <v>1037</v>
      </c>
      <c r="E6432" t="s">
        <v>1221</v>
      </c>
      <c r="F6432" t="s">
        <v>1222</v>
      </c>
    </row>
    <row r="6433" spans="1:6">
      <c r="A6433">
        <v>11555</v>
      </c>
      <c r="B6433" t="s">
        <v>801</v>
      </c>
      <c r="C6433">
        <v>3140</v>
      </c>
      <c r="D6433" t="s">
        <v>1038</v>
      </c>
      <c r="E6433" t="s">
        <v>1221</v>
      </c>
      <c r="F6433" t="s">
        <v>1224</v>
      </c>
    </row>
    <row r="6434" spans="1:6">
      <c r="A6434">
        <v>11555</v>
      </c>
      <c r="B6434" t="s">
        <v>801</v>
      </c>
      <c r="C6434">
        <v>399</v>
      </c>
      <c r="D6434" t="s">
        <v>1039</v>
      </c>
      <c r="E6434" t="s">
        <v>1226</v>
      </c>
      <c r="F6434" t="s">
        <v>1227</v>
      </c>
    </row>
    <row r="6435" spans="1:6">
      <c r="A6435">
        <v>11555</v>
      </c>
      <c r="B6435" t="s">
        <v>801</v>
      </c>
      <c r="C6435">
        <v>580</v>
      </c>
      <c r="D6435" t="s">
        <v>1040</v>
      </c>
      <c r="E6435" t="s">
        <v>1226</v>
      </c>
      <c r="F6435" t="s">
        <v>1229</v>
      </c>
    </row>
    <row r="6436" spans="1:6">
      <c r="A6436">
        <v>11556</v>
      </c>
      <c r="B6436" t="s">
        <v>802</v>
      </c>
      <c r="C6436">
        <v>3552</v>
      </c>
      <c r="D6436" t="s">
        <v>831</v>
      </c>
      <c r="E6436" t="s">
        <v>1221</v>
      </c>
      <c r="F6436" t="s">
        <v>1222</v>
      </c>
    </row>
    <row r="6437" spans="1:6">
      <c r="A6437">
        <v>11556</v>
      </c>
      <c r="B6437" t="s">
        <v>802</v>
      </c>
      <c r="C6437">
        <v>1344</v>
      </c>
      <c r="D6437" t="s">
        <v>1038</v>
      </c>
      <c r="E6437" t="s">
        <v>1221</v>
      </c>
      <c r="F6437" t="s">
        <v>1224</v>
      </c>
    </row>
    <row r="6438" spans="1:6">
      <c r="A6438">
        <v>11556</v>
      </c>
      <c r="B6438" t="s">
        <v>802</v>
      </c>
      <c r="C6438">
        <v>17525</v>
      </c>
      <c r="D6438" t="s">
        <v>832</v>
      </c>
      <c r="E6438" t="s">
        <v>1221</v>
      </c>
      <c r="F6438" t="s">
        <v>1224</v>
      </c>
    </row>
    <row r="6439" spans="1:6">
      <c r="A6439">
        <v>11556</v>
      </c>
      <c r="B6439" t="s">
        <v>802</v>
      </c>
      <c r="C6439">
        <v>526</v>
      </c>
      <c r="D6439" t="s">
        <v>1039</v>
      </c>
      <c r="E6439" t="s">
        <v>1226</v>
      </c>
      <c r="F6439" t="s">
        <v>1227</v>
      </c>
    </row>
    <row r="6440" spans="1:6">
      <c r="A6440">
        <v>11556</v>
      </c>
      <c r="B6440" t="s">
        <v>802</v>
      </c>
      <c r="C6440">
        <v>823</v>
      </c>
      <c r="D6440" t="s">
        <v>1040</v>
      </c>
      <c r="E6440" t="s">
        <v>1226</v>
      </c>
      <c r="F6440" t="s">
        <v>1229</v>
      </c>
    </row>
    <row r="6441" spans="1:6">
      <c r="A6441">
        <v>11601</v>
      </c>
      <c r="B6441" t="s">
        <v>803</v>
      </c>
      <c r="C6441">
        <v>6093</v>
      </c>
      <c r="D6441" t="s">
        <v>1037</v>
      </c>
      <c r="E6441" t="s">
        <v>1221</v>
      </c>
      <c r="F6441" t="s">
        <v>1222</v>
      </c>
    </row>
    <row r="6442" spans="1:6">
      <c r="A6442">
        <v>11601</v>
      </c>
      <c r="B6442" t="s">
        <v>803</v>
      </c>
      <c r="C6442">
        <v>6250</v>
      </c>
      <c r="D6442" t="s">
        <v>1038</v>
      </c>
      <c r="E6442" t="s">
        <v>1221</v>
      </c>
      <c r="F6442" t="s">
        <v>1224</v>
      </c>
    </row>
    <row r="6443" spans="1:6">
      <c r="A6443">
        <v>11601</v>
      </c>
      <c r="B6443" t="s">
        <v>803</v>
      </c>
      <c r="C6443">
        <v>321</v>
      </c>
      <c r="D6443" t="s">
        <v>1039</v>
      </c>
      <c r="E6443" t="s">
        <v>1226</v>
      </c>
      <c r="F6443" t="s">
        <v>1227</v>
      </c>
    </row>
    <row r="6444" spans="1:6">
      <c r="A6444">
        <v>11601</v>
      </c>
      <c r="B6444" t="s">
        <v>803</v>
      </c>
      <c r="C6444">
        <v>315</v>
      </c>
      <c r="D6444" t="s">
        <v>1040</v>
      </c>
      <c r="E6444" t="s">
        <v>1226</v>
      </c>
      <c r="F6444" t="s">
        <v>1229</v>
      </c>
    </row>
    <row r="6445" spans="1:6">
      <c r="A6445">
        <v>11664</v>
      </c>
      <c r="B6445" t="s">
        <v>804</v>
      </c>
      <c r="C6445">
        <v>1145</v>
      </c>
      <c r="D6445" t="s">
        <v>820</v>
      </c>
      <c r="E6445" t="s">
        <v>1490</v>
      </c>
      <c r="F6445" t="s">
        <v>1491</v>
      </c>
    </row>
    <row r="6446" spans="1:6">
      <c r="A6446">
        <v>11664</v>
      </c>
      <c r="B6446" t="s">
        <v>804</v>
      </c>
      <c r="C6446">
        <v>12692.57</v>
      </c>
      <c r="D6446" t="s">
        <v>821</v>
      </c>
      <c r="E6446" t="s">
        <v>1538</v>
      </c>
      <c r="F6446" t="s">
        <v>1539</v>
      </c>
    </row>
    <row r="6447" spans="1:6">
      <c r="A6447">
        <v>11664</v>
      </c>
      <c r="B6447" t="s">
        <v>804</v>
      </c>
      <c r="C6447">
        <v>15045.6</v>
      </c>
      <c r="D6447" t="s">
        <v>822</v>
      </c>
      <c r="E6447" t="s">
        <v>1538</v>
      </c>
      <c r="F6447" t="s">
        <v>1541</v>
      </c>
    </row>
    <row r="6448" spans="1:6">
      <c r="A6448">
        <v>11664</v>
      </c>
      <c r="B6448" t="s">
        <v>804</v>
      </c>
      <c r="C6448">
        <v>19540.66</v>
      </c>
      <c r="D6448" t="s">
        <v>823</v>
      </c>
      <c r="E6448" t="s">
        <v>1432</v>
      </c>
      <c r="F6448" t="s">
        <v>1433</v>
      </c>
    </row>
    <row r="6449" spans="1:6">
      <c r="A6449">
        <v>11664</v>
      </c>
      <c r="B6449" t="s">
        <v>804</v>
      </c>
      <c r="C6449">
        <v>23238.26</v>
      </c>
      <c r="D6449" t="s">
        <v>824</v>
      </c>
      <c r="E6449" t="s">
        <v>1432</v>
      </c>
      <c r="F6449" t="s">
        <v>1435</v>
      </c>
    </row>
    <row r="6450" spans="1:6">
      <c r="A6450">
        <v>11665</v>
      </c>
      <c r="B6450" t="s">
        <v>805</v>
      </c>
      <c r="C6450">
        <v>217331</v>
      </c>
      <c r="D6450" t="s">
        <v>1037</v>
      </c>
      <c r="E6450" t="s">
        <v>1221</v>
      </c>
      <c r="F6450" t="s">
        <v>1222</v>
      </c>
    </row>
    <row r="6451" spans="1:6">
      <c r="A6451">
        <v>11665</v>
      </c>
      <c r="B6451" t="s">
        <v>805</v>
      </c>
      <c r="C6451">
        <v>270943</v>
      </c>
      <c r="D6451" t="s">
        <v>1038</v>
      </c>
      <c r="E6451" t="s">
        <v>1221</v>
      </c>
      <c r="F6451" t="s">
        <v>1224</v>
      </c>
    </row>
    <row r="6452" spans="1:6">
      <c r="A6452">
        <v>11665</v>
      </c>
      <c r="B6452" t="s">
        <v>805</v>
      </c>
      <c r="C6452">
        <v>13864</v>
      </c>
      <c r="D6452" t="s">
        <v>1039</v>
      </c>
      <c r="E6452" t="s">
        <v>1226</v>
      </c>
      <c r="F6452" t="s">
        <v>1227</v>
      </c>
    </row>
    <row r="6453" spans="1:6">
      <c r="A6453">
        <v>11665</v>
      </c>
      <c r="B6453" t="s">
        <v>805</v>
      </c>
      <c r="C6453">
        <v>16397</v>
      </c>
      <c r="D6453" t="s">
        <v>1040</v>
      </c>
      <c r="E6453" t="s">
        <v>1226</v>
      </c>
      <c r="F6453" t="s">
        <v>1229</v>
      </c>
    </row>
    <row r="6454" spans="1:6">
      <c r="A6454">
        <v>11669</v>
      </c>
      <c r="B6454" t="s">
        <v>806</v>
      </c>
      <c r="C6454">
        <v>1343</v>
      </c>
      <c r="D6454" t="s">
        <v>1037</v>
      </c>
      <c r="E6454" t="s">
        <v>1221</v>
      </c>
      <c r="F6454" t="s">
        <v>1222</v>
      </c>
    </row>
    <row r="6455" spans="1:6">
      <c r="A6455">
        <v>11669</v>
      </c>
      <c r="B6455" t="s">
        <v>806</v>
      </c>
      <c r="C6455">
        <v>4896</v>
      </c>
      <c r="D6455" t="s">
        <v>831</v>
      </c>
      <c r="E6455" t="s">
        <v>1221</v>
      </c>
      <c r="F6455" t="s">
        <v>1222</v>
      </c>
    </row>
    <row r="6456" spans="1:6">
      <c r="A6456">
        <v>11669</v>
      </c>
      <c r="B6456" t="s">
        <v>806</v>
      </c>
      <c r="C6456">
        <v>3865</v>
      </c>
      <c r="D6456" t="s">
        <v>1038</v>
      </c>
      <c r="E6456" t="s">
        <v>1221</v>
      </c>
      <c r="F6456" t="s">
        <v>1224</v>
      </c>
    </row>
    <row r="6457" spans="1:6">
      <c r="A6457">
        <v>11669</v>
      </c>
      <c r="B6457" t="s">
        <v>806</v>
      </c>
      <c r="C6457">
        <v>25148</v>
      </c>
      <c r="D6457" t="s">
        <v>832</v>
      </c>
      <c r="E6457" t="s">
        <v>1221</v>
      </c>
      <c r="F6457" t="s">
        <v>1224</v>
      </c>
    </row>
    <row r="6458" spans="1:6">
      <c r="A6458">
        <v>11669</v>
      </c>
      <c r="B6458" t="s">
        <v>806</v>
      </c>
      <c r="C6458">
        <v>966</v>
      </c>
      <c r="D6458" t="s">
        <v>1039</v>
      </c>
      <c r="E6458" t="s">
        <v>1226</v>
      </c>
      <c r="F6458" t="s">
        <v>1227</v>
      </c>
    </row>
    <row r="6459" spans="1:6">
      <c r="A6459">
        <v>11669</v>
      </c>
      <c r="B6459" t="s">
        <v>806</v>
      </c>
      <c r="C6459">
        <v>1422</v>
      </c>
      <c r="D6459" t="s">
        <v>1040</v>
      </c>
      <c r="E6459" t="s">
        <v>1226</v>
      </c>
      <c r="F6459" t="s">
        <v>1229</v>
      </c>
    </row>
    <row r="6460" spans="1:6">
      <c r="A6460">
        <v>11671</v>
      </c>
      <c r="B6460" t="s">
        <v>807</v>
      </c>
      <c r="C6460">
        <v>5137</v>
      </c>
      <c r="D6460" t="s">
        <v>1037</v>
      </c>
      <c r="E6460" t="s">
        <v>1221</v>
      </c>
      <c r="F6460" t="s">
        <v>1222</v>
      </c>
    </row>
    <row r="6461" spans="1:6">
      <c r="A6461">
        <v>11671</v>
      </c>
      <c r="B6461" t="s">
        <v>807</v>
      </c>
      <c r="C6461">
        <v>7475</v>
      </c>
      <c r="D6461" t="s">
        <v>1038</v>
      </c>
      <c r="E6461" t="s">
        <v>1221</v>
      </c>
      <c r="F6461" t="s">
        <v>1224</v>
      </c>
    </row>
    <row r="6462" spans="1:6">
      <c r="A6462">
        <v>11671</v>
      </c>
      <c r="B6462" t="s">
        <v>807</v>
      </c>
      <c r="C6462">
        <v>823</v>
      </c>
      <c r="D6462" t="s">
        <v>1039</v>
      </c>
      <c r="E6462" t="s">
        <v>1226</v>
      </c>
      <c r="F6462" t="s">
        <v>1227</v>
      </c>
    </row>
    <row r="6463" spans="1:6">
      <c r="A6463">
        <v>11671</v>
      </c>
      <c r="B6463" t="s">
        <v>807</v>
      </c>
      <c r="C6463">
        <v>1149</v>
      </c>
      <c r="D6463" t="s">
        <v>1040</v>
      </c>
      <c r="E6463" t="s">
        <v>1226</v>
      </c>
      <c r="F6463" t="s">
        <v>1229</v>
      </c>
    </row>
    <row r="6464" spans="1:6">
      <c r="A6464">
        <v>11705</v>
      </c>
      <c r="B6464" t="s">
        <v>808</v>
      </c>
      <c r="C6464">
        <v>37599</v>
      </c>
      <c r="D6464" t="s">
        <v>1037</v>
      </c>
      <c r="E6464" t="s">
        <v>1221</v>
      </c>
      <c r="F6464" t="s">
        <v>1222</v>
      </c>
    </row>
    <row r="6465" spans="1:6">
      <c r="A6465">
        <v>11705</v>
      </c>
      <c r="B6465" t="s">
        <v>808</v>
      </c>
      <c r="C6465">
        <v>41711</v>
      </c>
      <c r="D6465" t="s">
        <v>1038</v>
      </c>
      <c r="E6465" t="s">
        <v>1221</v>
      </c>
      <c r="F6465" t="s">
        <v>1224</v>
      </c>
    </row>
    <row r="6466" spans="1:6">
      <c r="A6466">
        <v>11705</v>
      </c>
      <c r="B6466" t="s">
        <v>808</v>
      </c>
      <c r="C6466">
        <v>1838</v>
      </c>
      <c r="D6466" t="s">
        <v>1039</v>
      </c>
      <c r="E6466" t="s">
        <v>1226</v>
      </c>
      <c r="F6466" t="s">
        <v>1227</v>
      </c>
    </row>
    <row r="6467" spans="1:6">
      <c r="A6467">
        <v>11705</v>
      </c>
      <c r="B6467" t="s">
        <v>808</v>
      </c>
      <c r="C6467">
        <v>1935</v>
      </c>
      <c r="D6467" t="s">
        <v>1040</v>
      </c>
      <c r="E6467" t="s">
        <v>1226</v>
      </c>
      <c r="F6467" t="s">
        <v>1229</v>
      </c>
    </row>
    <row r="6468" spans="1:6">
      <c r="A6468">
        <v>11706</v>
      </c>
      <c r="B6468" t="s">
        <v>809</v>
      </c>
      <c r="C6468">
        <v>0</v>
      </c>
      <c r="D6468" t="s">
        <v>852</v>
      </c>
      <c r="F6468" t="s">
        <v>1222</v>
      </c>
    </row>
    <row r="6469" spans="1:6">
      <c r="A6469">
        <v>11706</v>
      </c>
      <c r="B6469" t="s">
        <v>809</v>
      </c>
      <c r="C6469">
        <v>12122</v>
      </c>
      <c r="D6469" t="s">
        <v>1037</v>
      </c>
      <c r="E6469" t="s">
        <v>1221</v>
      </c>
      <c r="F6469" t="s">
        <v>1222</v>
      </c>
    </row>
    <row r="6470" spans="1:6">
      <c r="A6470">
        <v>11706</v>
      </c>
      <c r="B6470" t="s">
        <v>809</v>
      </c>
      <c r="C6470">
        <v>11736</v>
      </c>
      <c r="D6470" t="s">
        <v>831</v>
      </c>
      <c r="E6470" t="s">
        <v>1221</v>
      </c>
      <c r="F6470" t="s">
        <v>1222</v>
      </c>
    </row>
    <row r="6471" spans="1:6">
      <c r="A6471">
        <v>11706</v>
      </c>
      <c r="B6471" t="s">
        <v>809</v>
      </c>
      <c r="C6471">
        <v>0</v>
      </c>
      <c r="D6471" t="s">
        <v>853</v>
      </c>
      <c r="F6471" t="s">
        <v>1224</v>
      </c>
    </row>
    <row r="6472" spans="1:6">
      <c r="A6472">
        <v>11706</v>
      </c>
      <c r="B6472" t="s">
        <v>809</v>
      </c>
      <c r="C6472">
        <v>12287</v>
      </c>
      <c r="D6472" t="s">
        <v>1038</v>
      </c>
      <c r="E6472" t="s">
        <v>1221</v>
      </c>
      <c r="F6472" t="s">
        <v>1224</v>
      </c>
    </row>
    <row r="6473" spans="1:6">
      <c r="A6473">
        <v>11706</v>
      </c>
      <c r="B6473" t="s">
        <v>809</v>
      </c>
      <c r="C6473">
        <v>72690</v>
      </c>
      <c r="D6473" t="s">
        <v>832</v>
      </c>
      <c r="E6473" t="s">
        <v>1221</v>
      </c>
      <c r="F6473" t="s">
        <v>1224</v>
      </c>
    </row>
    <row r="6474" spans="1:6">
      <c r="A6474">
        <v>11706</v>
      </c>
      <c r="B6474" t="s">
        <v>809</v>
      </c>
      <c r="C6474">
        <v>2424</v>
      </c>
      <c r="D6474" t="s">
        <v>1039</v>
      </c>
      <c r="E6474" t="s">
        <v>1226</v>
      </c>
      <c r="F6474" t="s">
        <v>1227</v>
      </c>
    </row>
    <row r="6475" spans="1:6">
      <c r="A6475">
        <v>11706</v>
      </c>
      <c r="B6475" t="s">
        <v>809</v>
      </c>
      <c r="C6475">
        <v>4008</v>
      </c>
      <c r="D6475" t="s">
        <v>1040</v>
      </c>
      <c r="E6475" t="s">
        <v>1226</v>
      </c>
      <c r="F6475" t="s">
        <v>1229</v>
      </c>
    </row>
    <row r="6476" spans="1:6">
      <c r="A6476">
        <v>11708</v>
      </c>
      <c r="B6476" t="s">
        <v>810</v>
      </c>
      <c r="C6476">
        <v>11686</v>
      </c>
      <c r="D6476" t="s">
        <v>1037</v>
      </c>
      <c r="E6476" t="s">
        <v>1221</v>
      </c>
      <c r="F6476" t="s">
        <v>1222</v>
      </c>
    </row>
    <row r="6477" spans="1:6">
      <c r="A6477">
        <v>11708</v>
      </c>
      <c r="B6477" t="s">
        <v>810</v>
      </c>
      <c r="C6477">
        <v>16454</v>
      </c>
      <c r="D6477" t="s">
        <v>1038</v>
      </c>
      <c r="E6477" t="s">
        <v>1221</v>
      </c>
      <c r="F6477" t="s">
        <v>1224</v>
      </c>
    </row>
    <row r="6478" spans="1:6">
      <c r="A6478">
        <v>11708</v>
      </c>
      <c r="B6478" t="s">
        <v>810</v>
      </c>
      <c r="C6478">
        <v>795</v>
      </c>
      <c r="D6478" t="s">
        <v>1039</v>
      </c>
      <c r="E6478" t="s">
        <v>1226</v>
      </c>
      <c r="F6478" t="s">
        <v>1227</v>
      </c>
    </row>
    <row r="6479" spans="1:6">
      <c r="A6479">
        <v>11708</v>
      </c>
      <c r="B6479" t="s">
        <v>810</v>
      </c>
      <c r="C6479">
        <v>1051</v>
      </c>
      <c r="D6479" t="s">
        <v>1040</v>
      </c>
      <c r="E6479" t="s">
        <v>1226</v>
      </c>
      <c r="F6479" t="s">
        <v>1229</v>
      </c>
    </row>
    <row r="6480" spans="1:6">
      <c r="A6480">
        <v>11780</v>
      </c>
      <c r="B6480" t="s">
        <v>811</v>
      </c>
      <c r="C6480">
        <v>327</v>
      </c>
      <c r="D6480" t="s">
        <v>820</v>
      </c>
      <c r="E6480" t="s">
        <v>1490</v>
      </c>
      <c r="F6480" t="s">
        <v>1491</v>
      </c>
    </row>
    <row r="6481" spans="1:6">
      <c r="A6481">
        <v>11780</v>
      </c>
      <c r="B6481" t="s">
        <v>811</v>
      </c>
      <c r="C6481">
        <v>3385.6</v>
      </c>
      <c r="D6481" t="s">
        <v>821</v>
      </c>
      <c r="E6481" t="s">
        <v>1538</v>
      </c>
      <c r="F6481" t="s">
        <v>1539</v>
      </c>
    </row>
    <row r="6482" spans="1:6">
      <c r="A6482">
        <v>11780</v>
      </c>
      <c r="B6482" t="s">
        <v>811</v>
      </c>
      <c r="C6482">
        <v>4659.72</v>
      </c>
      <c r="D6482" t="s">
        <v>822</v>
      </c>
      <c r="E6482" t="s">
        <v>1538</v>
      </c>
      <c r="F6482" t="s">
        <v>1541</v>
      </c>
    </row>
    <row r="6483" spans="1:6">
      <c r="A6483">
        <v>11780</v>
      </c>
      <c r="B6483" t="s">
        <v>811</v>
      </c>
      <c r="C6483">
        <v>6263.18</v>
      </c>
      <c r="D6483" t="s">
        <v>823</v>
      </c>
      <c r="E6483" t="s">
        <v>1432</v>
      </c>
      <c r="F6483" t="s">
        <v>1433</v>
      </c>
    </row>
    <row r="6484" spans="1:6">
      <c r="A6484">
        <v>11780</v>
      </c>
      <c r="B6484" t="s">
        <v>811</v>
      </c>
      <c r="C6484">
        <v>9735.66</v>
      </c>
      <c r="D6484" t="s">
        <v>824</v>
      </c>
      <c r="E6484" t="s">
        <v>1432</v>
      </c>
      <c r="F6484" t="s">
        <v>1435</v>
      </c>
    </row>
    <row r="6485" spans="1:6">
      <c r="A6485">
        <v>11781</v>
      </c>
      <c r="B6485" t="s">
        <v>687</v>
      </c>
      <c r="C6485">
        <v>3884</v>
      </c>
      <c r="D6485" t="s">
        <v>1037</v>
      </c>
      <c r="E6485" t="s">
        <v>1221</v>
      </c>
      <c r="F6485" t="s">
        <v>1222</v>
      </c>
    </row>
    <row r="6486" spans="1:6">
      <c r="A6486">
        <v>11781</v>
      </c>
      <c r="B6486" t="s">
        <v>687</v>
      </c>
      <c r="C6486">
        <v>8051</v>
      </c>
      <c r="D6486" t="s">
        <v>1038</v>
      </c>
      <c r="E6486" t="s">
        <v>1221</v>
      </c>
      <c r="F6486" t="s">
        <v>1224</v>
      </c>
    </row>
    <row r="6487" spans="1:6">
      <c r="A6487">
        <v>11781</v>
      </c>
      <c r="B6487" t="s">
        <v>687</v>
      </c>
      <c r="C6487">
        <v>411</v>
      </c>
      <c r="D6487" t="s">
        <v>1039</v>
      </c>
      <c r="E6487" t="s">
        <v>1226</v>
      </c>
      <c r="F6487" t="s">
        <v>1227</v>
      </c>
    </row>
    <row r="6488" spans="1:6">
      <c r="A6488">
        <v>11781</v>
      </c>
      <c r="B6488" t="s">
        <v>687</v>
      </c>
      <c r="C6488">
        <v>681</v>
      </c>
      <c r="D6488" t="s">
        <v>1040</v>
      </c>
      <c r="E6488" t="s">
        <v>1226</v>
      </c>
      <c r="F6488" t="s">
        <v>1229</v>
      </c>
    </row>
    <row r="6489" spans="1:6">
      <c r="A6489">
        <v>11807</v>
      </c>
      <c r="B6489" t="s">
        <v>688</v>
      </c>
      <c r="C6489">
        <v>1880</v>
      </c>
      <c r="D6489" t="s">
        <v>1037</v>
      </c>
      <c r="E6489" t="s">
        <v>1221</v>
      </c>
      <c r="F6489" t="s">
        <v>1222</v>
      </c>
    </row>
    <row r="6490" spans="1:6">
      <c r="A6490">
        <v>11807</v>
      </c>
      <c r="B6490" t="s">
        <v>688</v>
      </c>
      <c r="C6490">
        <v>3074</v>
      </c>
      <c r="D6490" t="s">
        <v>831</v>
      </c>
      <c r="E6490" t="s">
        <v>1221</v>
      </c>
      <c r="F6490" t="s">
        <v>1222</v>
      </c>
    </row>
    <row r="6491" spans="1:6">
      <c r="A6491">
        <v>11807</v>
      </c>
      <c r="B6491" t="s">
        <v>688</v>
      </c>
      <c r="C6491">
        <v>11785</v>
      </c>
      <c r="D6491" t="s">
        <v>832</v>
      </c>
      <c r="E6491" t="s">
        <v>1221</v>
      </c>
      <c r="F6491" t="s">
        <v>1224</v>
      </c>
    </row>
    <row r="6492" spans="1:6">
      <c r="A6492">
        <v>11807</v>
      </c>
      <c r="B6492" t="s">
        <v>688</v>
      </c>
      <c r="C6492">
        <v>553</v>
      </c>
      <c r="D6492" t="s">
        <v>1039</v>
      </c>
      <c r="E6492" t="s">
        <v>1226</v>
      </c>
      <c r="F6492" t="s">
        <v>1227</v>
      </c>
    </row>
    <row r="6493" spans="1:6">
      <c r="A6493">
        <v>11807</v>
      </c>
      <c r="B6493" t="s">
        <v>688</v>
      </c>
      <c r="C6493">
        <v>751</v>
      </c>
      <c r="D6493" t="s">
        <v>1040</v>
      </c>
      <c r="E6493" t="s">
        <v>1226</v>
      </c>
      <c r="F6493" t="s">
        <v>1229</v>
      </c>
    </row>
    <row r="6494" spans="1:6">
      <c r="A6494">
        <v>11810</v>
      </c>
      <c r="B6494" t="s">
        <v>689</v>
      </c>
      <c r="C6494">
        <v>912</v>
      </c>
      <c r="D6494" t="s">
        <v>1037</v>
      </c>
      <c r="E6494" t="s">
        <v>1221</v>
      </c>
      <c r="F6494" t="s">
        <v>1222</v>
      </c>
    </row>
    <row r="6495" spans="1:6">
      <c r="A6495">
        <v>11810</v>
      </c>
      <c r="B6495" t="s">
        <v>689</v>
      </c>
      <c r="C6495">
        <v>2364</v>
      </c>
      <c r="D6495" t="s">
        <v>831</v>
      </c>
      <c r="E6495" t="s">
        <v>1221</v>
      </c>
      <c r="F6495" t="s">
        <v>1222</v>
      </c>
    </row>
    <row r="6496" spans="1:6">
      <c r="A6496">
        <v>11810</v>
      </c>
      <c r="B6496" t="s">
        <v>689</v>
      </c>
      <c r="C6496">
        <v>629</v>
      </c>
      <c r="D6496" t="s">
        <v>1038</v>
      </c>
      <c r="E6496" t="s">
        <v>1221</v>
      </c>
      <c r="F6496" t="s">
        <v>1224</v>
      </c>
    </row>
    <row r="6497" spans="1:6">
      <c r="A6497">
        <v>11810</v>
      </c>
      <c r="B6497" t="s">
        <v>689</v>
      </c>
      <c r="C6497">
        <v>12808</v>
      </c>
      <c r="D6497" t="s">
        <v>832</v>
      </c>
      <c r="E6497" t="s">
        <v>1221</v>
      </c>
      <c r="F6497" t="s">
        <v>1224</v>
      </c>
    </row>
    <row r="6498" spans="1:6">
      <c r="A6498">
        <v>11810</v>
      </c>
      <c r="B6498" t="s">
        <v>689</v>
      </c>
      <c r="C6498">
        <v>392</v>
      </c>
      <c r="D6498" t="s">
        <v>1039</v>
      </c>
      <c r="E6498" t="s">
        <v>1226</v>
      </c>
      <c r="F6498" t="s">
        <v>1227</v>
      </c>
    </row>
    <row r="6499" spans="1:6">
      <c r="A6499">
        <v>11810</v>
      </c>
      <c r="B6499" t="s">
        <v>689</v>
      </c>
      <c r="C6499">
        <v>521</v>
      </c>
      <c r="D6499" t="s">
        <v>1040</v>
      </c>
      <c r="E6499" t="s">
        <v>1226</v>
      </c>
      <c r="F6499" t="s">
        <v>1229</v>
      </c>
    </row>
    <row r="6500" spans="1:6">
      <c r="A6500">
        <v>11841</v>
      </c>
      <c r="B6500" t="s">
        <v>690</v>
      </c>
      <c r="C6500">
        <v>1272</v>
      </c>
      <c r="D6500" t="s">
        <v>1037</v>
      </c>
      <c r="E6500" t="s">
        <v>1221</v>
      </c>
      <c r="F6500" t="s">
        <v>1222</v>
      </c>
    </row>
    <row r="6501" spans="1:6">
      <c r="A6501">
        <v>11841</v>
      </c>
      <c r="B6501" t="s">
        <v>690</v>
      </c>
      <c r="C6501">
        <v>8218</v>
      </c>
      <c r="D6501" t="s">
        <v>831</v>
      </c>
      <c r="E6501" t="s">
        <v>1221</v>
      </c>
      <c r="F6501" t="s">
        <v>1222</v>
      </c>
    </row>
    <row r="6502" spans="1:6">
      <c r="A6502">
        <v>11841</v>
      </c>
      <c r="B6502" t="s">
        <v>690</v>
      </c>
      <c r="C6502">
        <v>189</v>
      </c>
      <c r="D6502" t="s">
        <v>1038</v>
      </c>
      <c r="E6502" t="s">
        <v>1221</v>
      </c>
      <c r="F6502" t="s">
        <v>1224</v>
      </c>
    </row>
    <row r="6503" spans="1:6">
      <c r="A6503">
        <v>11841</v>
      </c>
      <c r="B6503" t="s">
        <v>690</v>
      </c>
      <c r="C6503">
        <v>37520</v>
      </c>
      <c r="D6503" t="s">
        <v>832</v>
      </c>
      <c r="E6503" t="s">
        <v>1221</v>
      </c>
      <c r="F6503" t="s">
        <v>1224</v>
      </c>
    </row>
    <row r="6504" spans="1:6">
      <c r="A6504">
        <v>11841</v>
      </c>
      <c r="B6504" t="s">
        <v>690</v>
      </c>
      <c r="C6504">
        <v>1129</v>
      </c>
      <c r="D6504" t="s">
        <v>1039</v>
      </c>
      <c r="E6504" t="s">
        <v>1226</v>
      </c>
      <c r="F6504" t="s">
        <v>1227</v>
      </c>
    </row>
    <row r="6505" spans="1:6">
      <c r="A6505">
        <v>11841</v>
      </c>
      <c r="B6505" t="s">
        <v>690</v>
      </c>
      <c r="C6505">
        <v>1415</v>
      </c>
      <c r="D6505" t="s">
        <v>1040</v>
      </c>
      <c r="E6505" t="s">
        <v>1226</v>
      </c>
      <c r="F6505" t="s">
        <v>1229</v>
      </c>
    </row>
    <row r="6506" spans="1:6">
      <c r="A6506">
        <v>11842</v>
      </c>
      <c r="B6506" t="s">
        <v>691</v>
      </c>
      <c r="C6506">
        <v>240</v>
      </c>
      <c r="D6506" t="s">
        <v>1037</v>
      </c>
      <c r="E6506" t="s">
        <v>1221</v>
      </c>
      <c r="F6506" t="s">
        <v>1222</v>
      </c>
    </row>
    <row r="6507" spans="1:6">
      <c r="A6507">
        <v>11842</v>
      </c>
      <c r="B6507" t="s">
        <v>691</v>
      </c>
      <c r="C6507">
        <v>2802</v>
      </c>
      <c r="D6507" t="s">
        <v>831</v>
      </c>
      <c r="E6507" t="s">
        <v>1221</v>
      </c>
      <c r="F6507" t="s">
        <v>1222</v>
      </c>
    </row>
    <row r="6508" spans="1:6">
      <c r="A6508">
        <v>11842</v>
      </c>
      <c r="B6508" t="s">
        <v>691</v>
      </c>
      <c r="C6508">
        <v>944</v>
      </c>
      <c r="D6508" t="s">
        <v>1038</v>
      </c>
      <c r="E6508" t="s">
        <v>1221</v>
      </c>
      <c r="F6508" t="s">
        <v>1224</v>
      </c>
    </row>
    <row r="6509" spans="1:6">
      <c r="A6509">
        <v>11842</v>
      </c>
      <c r="B6509" t="s">
        <v>691</v>
      </c>
      <c r="C6509">
        <v>12728</v>
      </c>
      <c r="D6509" t="s">
        <v>832</v>
      </c>
      <c r="E6509" t="s">
        <v>1221</v>
      </c>
      <c r="F6509" t="s">
        <v>1224</v>
      </c>
    </row>
    <row r="6510" spans="1:6">
      <c r="A6510">
        <v>11842</v>
      </c>
      <c r="B6510" t="s">
        <v>691</v>
      </c>
      <c r="C6510">
        <v>816</v>
      </c>
      <c r="D6510" t="s">
        <v>1039</v>
      </c>
      <c r="E6510" t="s">
        <v>1226</v>
      </c>
      <c r="F6510" t="s">
        <v>1227</v>
      </c>
    </row>
    <row r="6511" spans="1:6">
      <c r="A6511">
        <v>11842</v>
      </c>
      <c r="B6511" t="s">
        <v>691</v>
      </c>
      <c r="C6511">
        <v>1002</v>
      </c>
      <c r="D6511" t="s">
        <v>1040</v>
      </c>
      <c r="E6511" t="s">
        <v>1226</v>
      </c>
      <c r="F6511" t="s">
        <v>1229</v>
      </c>
    </row>
    <row r="6512" spans="1:6">
      <c r="A6512">
        <v>11845</v>
      </c>
      <c r="B6512" t="s">
        <v>692</v>
      </c>
      <c r="C6512">
        <v>2674</v>
      </c>
      <c r="D6512" t="s">
        <v>1037</v>
      </c>
      <c r="E6512" t="s">
        <v>1221</v>
      </c>
      <c r="F6512" t="s">
        <v>1222</v>
      </c>
    </row>
    <row r="6513" spans="1:6">
      <c r="A6513">
        <v>11845</v>
      </c>
      <c r="B6513" t="s">
        <v>692</v>
      </c>
      <c r="C6513">
        <v>4157</v>
      </c>
      <c r="D6513" t="s">
        <v>831</v>
      </c>
      <c r="E6513" t="s">
        <v>1221</v>
      </c>
      <c r="F6513" t="s">
        <v>1222</v>
      </c>
    </row>
    <row r="6514" spans="1:6">
      <c r="A6514">
        <v>11845</v>
      </c>
      <c r="B6514" t="s">
        <v>692</v>
      </c>
      <c r="C6514">
        <v>5240</v>
      </c>
      <c r="D6514" t="s">
        <v>1038</v>
      </c>
      <c r="E6514" t="s">
        <v>1221</v>
      </c>
      <c r="F6514" t="s">
        <v>1224</v>
      </c>
    </row>
    <row r="6515" spans="1:6">
      <c r="A6515">
        <v>11845</v>
      </c>
      <c r="B6515" t="s">
        <v>692</v>
      </c>
      <c r="C6515">
        <v>24294</v>
      </c>
      <c r="D6515" t="s">
        <v>832</v>
      </c>
      <c r="E6515" t="s">
        <v>1221</v>
      </c>
      <c r="F6515" t="s">
        <v>1224</v>
      </c>
    </row>
    <row r="6516" spans="1:6">
      <c r="A6516">
        <v>11845</v>
      </c>
      <c r="B6516" t="s">
        <v>692</v>
      </c>
      <c r="C6516">
        <v>1524</v>
      </c>
      <c r="D6516" t="s">
        <v>1039</v>
      </c>
      <c r="E6516" t="s">
        <v>1226</v>
      </c>
      <c r="F6516" t="s">
        <v>1227</v>
      </c>
    </row>
    <row r="6517" spans="1:6">
      <c r="A6517">
        <v>11845</v>
      </c>
      <c r="B6517" t="s">
        <v>692</v>
      </c>
      <c r="C6517">
        <v>1809</v>
      </c>
      <c r="D6517" t="s">
        <v>1040</v>
      </c>
      <c r="E6517" t="s">
        <v>1226</v>
      </c>
      <c r="F6517" t="s">
        <v>1229</v>
      </c>
    </row>
    <row r="6518" spans="1:6">
      <c r="A6518">
        <v>11863</v>
      </c>
      <c r="B6518" t="s">
        <v>693</v>
      </c>
      <c r="C6518">
        <v>929</v>
      </c>
      <c r="D6518" t="s">
        <v>820</v>
      </c>
      <c r="E6518" t="s">
        <v>1490</v>
      </c>
      <c r="F6518" t="s">
        <v>1491</v>
      </c>
    </row>
    <row r="6519" spans="1:6">
      <c r="A6519">
        <v>11863</v>
      </c>
      <c r="B6519" t="s">
        <v>693</v>
      </c>
      <c r="C6519">
        <v>7854.91</v>
      </c>
      <c r="D6519" t="s">
        <v>821</v>
      </c>
      <c r="E6519" t="s">
        <v>1538</v>
      </c>
      <c r="F6519" t="s">
        <v>1539</v>
      </c>
    </row>
    <row r="6520" spans="1:6">
      <c r="A6520">
        <v>11863</v>
      </c>
      <c r="B6520" t="s">
        <v>693</v>
      </c>
      <c r="C6520">
        <v>17680.14</v>
      </c>
      <c r="D6520" t="s">
        <v>822</v>
      </c>
      <c r="E6520" t="s">
        <v>1538</v>
      </c>
      <c r="F6520" t="s">
        <v>1541</v>
      </c>
    </row>
    <row r="6521" spans="1:6">
      <c r="A6521">
        <v>11863</v>
      </c>
      <c r="B6521" t="s">
        <v>693</v>
      </c>
      <c r="C6521">
        <v>11324.41</v>
      </c>
      <c r="D6521" t="s">
        <v>823</v>
      </c>
      <c r="E6521" t="s">
        <v>1432</v>
      </c>
      <c r="F6521" t="s">
        <v>1433</v>
      </c>
    </row>
    <row r="6522" spans="1:6">
      <c r="A6522">
        <v>11863</v>
      </c>
      <c r="B6522" t="s">
        <v>693</v>
      </c>
      <c r="C6522">
        <v>32841.18</v>
      </c>
      <c r="D6522" t="s">
        <v>824</v>
      </c>
      <c r="E6522" t="s">
        <v>1432</v>
      </c>
      <c r="F6522" t="s">
        <v>1435</v>
      </c>
    </row>
    <row r="6523" spans="1:6">
      <c r="A6523">
        <v>11864</v>
      </c>
      <c r="B6523" t="s">
        <v>694</v>
      </c>
      <c r="C6523">
        <v>2839</v>
      </c>
      <c r="D6523" t="s">
        <v>826</v>
      </c>
      <c r="E6523" t="s">
        <v>827</v>
      </c>
      <c r="F6523" t="s">
        <v>1241</v>
      </c>
    </row>
    <row r="6524" spans="1:6">
      <c r="A6524">
        <v>11864</v>
      </c>
      <c r="B6524" t="s">
        <v>694</v>
      </c>
      <c r="C6524">
        <v>6734</v>
      </c>
      <c r="D6524" t="s">
        <v>828</v>
      </c>
      <c r="E6524" t="s">
        <v>827</v>
      </c>
      <c r="F6524" t="s">
        <v>1241</v>
      </c>
    </row>
    <row r="6525" spans="1:6">
      <c r="A6525">
        <v>11864</v>
      </c>
      <c r="B6525" t="s">
        <v>694</v>
      </c>
      <c r="C6525">
        <v>3713</v>
      </c>
      <c r="D6525" t="s">
        <v>829</v>
      </c>
      <c r="E6525" t="s">
        <v>827</v>
      </c>
      <c r="F6525" t="s">
        <v>1243</v>
      </c>
    </row>
    <row r="6526" spans="1:6">
      <c r="A6526">
        <v>11864</v>
      </c>
      <c r="B6526" t="s">
        <v>694</v>
      </c>
      <c r="C6526">
        <v>35303</v>
      </c>
      <c r="D6526" t="s">
        <v>830</v>
      </c>
      <c r="E6526" t="s">
        <v>827</v>
      </c>
      <c r="F6526" t="s">
        <v>1243</v>
      </c>
    </row>
    <row r="6527" spans="1:6">
      <c r="A6527">
        <v>11864</v>
      </c>
      <c r="B6527" t="s">
        <v>694</v>
      </c>
      <c r="C6527">
        <v>76542</v>
      </c>
      <c r="D6527" t="s">
        <v>1037</v>
      </c>
      <c r="E6527" t="s">
        <v>1221</v>
      </c>
      <c r="F6527" t="s">
        <v>1222</v>
      </c>
    </row>
    <row r="6528" spans="1:6">
      <c r="A6528">
        <v>11864</v>
      </c>
      <c r="B6528" t="s">
        <v>694</v>
      </c>
      <c r="C6528">
        <v>108310</v>
      </c>
      <c r="D6528" t="s">
        <v>1038</v>
      </c>
      <c r="E6528" t="s">
        <v>1221</v>
      </c>
      <c r="F6528" t="s">
        <v>1224</v>
      </c>
    </row>
    <row r="6529" spans="1:6">
      <c r="A6529">
        <v>11865</v>
      </c>
      <c r="B6529" t="s">
        <v>695</v>
      </c>
      <c r="C6529">
        <v>111</v>
      </c>
      <c r="D6529" t="s">
        <v>1037</v>
      </c>
      <c r="E6529" t="s">
        <v>1221</v>
      </c>
      <c r="F6529" t="s">
        <v>1222</v>
      </c>
    </row>
    <row r="6530" spans="1:6">
      <c r="A6530">
        <v>11865</v>
      </c>
      <c r="B6530" t="s">
        <v>695</v>
      </c>
      <c r="C6530">
        <v>2078</v>
      </c>
      <c r="D6530" t="s">
        <v>831</v>
      </c>
      <c r="E6530" t="s">
        <v>1221</v>
      </c>
      <c r="F6530" t="s">
        <v>1222</v>
      </c>
    </row>
    <row r="6531" spans="1:6">
      <c r="A6531">
        <v>11865</v>
      </c>
      <c r="B6531" t="s">
        <v>695</v>
      </c>
      <c r="C6531">
        <v>1608</v>
      </c>
      <c r="D6531" t="s">
        <v>1038</v>
      </c>
      <c r="E6531" t="s">
        <v>1221</v>
      </c>
      <c r="F6531" t="s">
        <v>1224</v>
      </c>
    </row>
    <row r="6532" spans="1:6">
      <c r="A6532">
        <v>11865</v>
      </c>
      <c r="B6532" t="s">
        <v>695</v>
      </c>
      <c r="C6532">
        <v>10448</v>
      </c>
      <c r="D6532" t="s">
        <v>832</v>
      </c>
      <c r="E6532" t="s">
        <v>1221</v>
      </c>
      <c r="F6532" t="s">
        <v>1224</v>
      </c>
    </row>
    <row r="6533" spans="1:6">
      <c r="A6533">
        <v>11865</v>
      </c>
      <c r="B6533" t="s">
        <v>695</v>
      </c>
      <c r="C6533">
        <v>795</v>
      </c>
      <c r="D6533" t="s">
        <v>1039</v>
      </c>
      <c r="E6533" t="s">
        <v>1226</v>
      </c>
      <c r="F6533" t="s">
        <v>1227</v>
      </c>
    </row>
    <row r="6534" spans="1:6">
      <c r="A6534">
        <v>11865</v>
      </c>
      <c r="B6534" t="s">
        <v>695</v>
      </c>
      <c r="C6534">
        <v>998</v>
      </c>
      <c r="D6534" t="s">
        <v>1040</v>
      </c>
      <c r="E6534" t="s">
        <v>1226</v>
      </c>
      <c r="F6534" t="s">
        <v>1229</v>
      </c>
    </row>
    <row r="6535" spans="1:6">
      <c r="A6535">
        <v>11891</v>
      </c>
      <c r="B6535" t="s">
        <v>697</v>
      </c>
      <c r="C6535">
        <v>7500</v>
      </c>
      <c r="D6535" t="s">
        <v>1037</v>
      </c>
      <c r="E6535" t="s">
        <v>1221</v>
      </c>
      <c r="F6535" t="s">
        <v>1222</v>
      </c>
    </row>
    <row r="6536" spans="1:6">
      <c r="A6536">
        <v>11891</v>
      </c>
      <c r="B6536" t="s">
        <v>697</v>
      </c>
      <c r="C6536">
        <v>6669</v>
      </c>
      <c r="D6536" t="s">
        <v>1038</v>
      </c>
      <c r="E6536" t="s">
        <v>1221</v>
      </c>
      <c r="F6536" t="s">
        <v>1224</v>
      </c>
    </row>
    <row r="6537" spans="1:6">
      <c r="A6537">
        <v>11891</v>
      </c>
      <c r="B6537" t="s">
        <v>697</v>
      </c>
      <c r="C6537">
        <v>555</v>
      </c>
      <c r="D6537" t="s">
        <v>1039</v>
      </c>
      <c r="E6537" t="s">
        <v>1226</v>
      </c>
      <c r="F6537" t="s">
        <v>1227</v>
      </c>
    </row>
    <row r="6538" spans="1:6">
      <c r="A6538">
        <v>11891</v>
      </c>
      <c r="B6538" t="s">
        <v>697</v>
      </c>
      <c r="C6538">
        <v>515</v>
      </c>
      <c r="D6538" t="s">
        <v>1040</v>
      </c>
      <c r="E6538" t="s">
        <v>1226</v>
      </c>
      <c r="F6538" t="s">
        <v>1229</v>
      </c>
    </row>
    <row r="6539" spans="1:6">
      <c r="A6539">
        <v>11905</v>
      </c>
      <c r="B6539" t="s">
        <v>698</v>
      </c>
      <c r="C6539">
        <v>18547</v>
      </c>
      <c r="D6539" t="s">
        <v>1037</v>
      </c>
      <c r="E6539" t="s">
        <v>1221</v>
      </c>
      <c r="F6539" t="s">
        <v>1222</v>
      </c>
    </row>
    <row r="6540" spans="1:6">
      <c r="A6540">
        <v>11905</v>
      </c>
      <c r="B6540" t="s">
        <v>698</v>
      </c>
      <c r="C6540">
        <v>26550</v>
      </c>
      <c r="D6540" t="s">
        <v>1038</v>
      </c>
      <c r="E6540" t="s">
        <v>1221</v>
      </c>
      <c r="F6540" t="s">
        <v>1224</v>
      </c>
    </row>
    <row r="6541" spans="1:6">
      <c r="A6541">
        <v>11905</v>
      </c>
      <c r="B6541" t="s">
        <v>698</v>
      </c>
      <c r="C6541">
        <v>1051</v>
      </c>
      <c r="D6541" t="s">
        <v>1039</v>
      </c>
      <c r="E6541" t="s">
        <v>1226</v>
      </c>
      <c r="F6541" t="s">
        <v>1227</v>
      </c>
    </row>
    <row r="6542" spans="1:6">
      <c r="A6542">
        <v>11905</v>
      </c>
      <c r="B6542" t="s">
        <v>698</v>
      </c>
      <c r="C6542">
        <v>1422</v>
      </c>
      <c r="D6542" t="s">
        <v>1040</v>
      </c>
      <c r="E6542" t="s">
        <v>1226</v>
      </c>
      <c r="F6542" t="s">
        <v>1229</v>
      </c>
    </row>
    <row r="6543" spans="1:6">
      <c r="A6543">
        <v>11918</v>
      </c>
      <c r="B6543" t="s">
        <v>699</v>
      </c>
      <c r="C6543">
        <v>3629</v>
      </c>
      <c r="D6543" t="s">
        <v>1037</v>
      </c>
      <c r="E6543" t="s">
        <v>1221</v>
      </c>
      <c r="F6543" t="s">
        <v>1222</v>
      </c>
    </row>
    <row r="6544" spans="1:6">
      <c r="A6544">
        <v>11918</v>
      </c>
      <c r="B6544" t="s">
        <v>699</v>
      </c>
      <c r="C6544">
        <v>5749</v>
      </c>
      <c r="D6544" t="s">
        <v>1038</v>
      </c>
      <c r="E6544" t="s">
        <v>1221</v>
      </c>
      <c r="F6544" t="s">
        <v>1224</v>
      </c>
    </row>
    <row r="6545" spans="1:6">
      <c r="A6545">
        <v>11918</v>
      </c>
      <c r="B6545" t="s">
        <v>699</v>
      </c>
      <c r="C6545">
        <v>451</v>
      </c>
      <c r="D6545" t="s">
        <v>1039</v>
      </c>
      <c r="E6545" t="s">
        <v>1226</v>
      </c>
      <c r="F6545" t="s">
        <v>1227</v>
      </c>
    </row>
    <row r="6546" spans="1:6">
      <c r="A6546">
        <v>11918</v>
      </c>
      <c r="B6546" t="s">
        <v>699</v>
      </c>
      <c r="C6546">
        <v>692</v>
      </c>
      <c r="D6546" t="s">
        <v>1040</v>
      </c>
      <c r="E6546" t="s">
        <v>1226</v>
      </c>
      <c r="F6546" t="s">
        <v>1229</v>
      </c>
    </row>
    <row r="6547" spans="1:6">
      <c r="A6547">
        <v>11923</v>
      </c>
      <c r="B6547" t="s">
        <v>700</v>
      </c>
      <c r="C6547">
        <v>2496</v>
      </c>
      <c r="D6547" t="s">
        <v>826</v>
      </c>
      <c r="E6547" t="s">
        <v>827</v>
      </c>
      <c r="F6547" t="s">
        <v>1241</v>
      </c>
    </row>
    <row r="6548" spans="1:6">
      <c r="A6548">
        <v>11923</v>
      </c>
      <c r="B6548" t="s">
        <v>700</v>
      </c>
      <c r="C6548">
        <v>40760</v>
      </c>
      <c r="D6548" t="s">
        <v>828</v>
      </c>
      <c r="E6548" t="s">
        <v>827</v>
      </c>
      <c r="F6548" t="s">
        <v>1241</v>
      </c>
    </row>
    <row r="6549" spans="1:6">
      <c r="A6549">
        <v>11923</v>
      </c>
      <c r="B6549" t="s">
        <v>700</v>
      </c>
      <c r="C6549">
        <v>3322</v>
      </c>
      <c r="D6549" t="s">
        <v>829</v>
      </c>
      <c r="E6549" t="s">
        <v>827</v>
      </c>
      <c r="F6549" t="s">
        <v>1243</v>
      </c>
    </row>
    <row r="6550" spans="1:6">
      <c r="A6550">
        <v>11923</v>
      </c>
      <c r="B6550" t="s">
        <v>700</v>
      </c>
      <c r="C6550">
        <v>208806</v>
      </c>
      <c r="D6550" t="s">
        <v>830</v>
      </c>
      <c r="E6550" t="s">
        <v>827</v>
      </c>
      <c r="F6550" t="s">
        <v>1243</v>
      </c>
    </row>
    <row r="6551" spans="1:6">
      <c r="A6551">
        <v>11923</v>
      </c>
      <c r="B6551" t="s">
        <v>700</v>
      </c>
      <c r="C6551">
        <v>328926</v>
      </c>
      <c r="D6551" t="s">
        <v>1037</v>
      </c>
      <c r="E6551" t="s">
        <v>1221</v>
      </c>
      <c r="F6551" t="s">
        <v>1222</v>
      </c>
    </row>
    <row r="6552" spans="1:6">
      <c r="A6552">
        <v>11923</v>
      </c>
      <c r="B6552" t="s">
        <v>700</v>
      </c>
      <c r="C6552">
        <v>477005</v>
      </c>
      <c r="D6552" t="s">
        <v>1038</v>
      </c>
      <c r="E6552" t="s">
        <v>1221</v>
      </c>
      <c r="F6552" t="s">
        <v>1224</v>
      </c>
    </row>
    <row r="6553" spans="1:6">
      <c r="A6553">
        <v>11969</v>
      </c>
      <c r="B6553" t="s">
        <v>701</v>
      </c>
      <c r="C6553">
        <v>38789</v>
      </c>
      <c r="D6553" t="s">
        <v>1037</v>
      </c>
      <c r="E6553" t="s">
        <v>1221</v>
      </c>
      <c r="F6553" t="s">
        <v>1222</v>
      </c>
    </row>
    <row r="6554" spans="1:6">
      <c r="A6554">
        <v>11969</v>
      </c>
      <c r="B6554" t="s">
        <v>701</v>
      </c>
      <c r="C6554">
        <v>47281</v>
      </c>
      <c r="D6554" t="s">
        <v>1038</v>
      </c>
      <c r="E6554" t="s">
        <v>1221</v>
      </c>
      <c r="F6554" t="s">
        <v>1224</v>
      </c>
    </row>
    <row r="6555" spans="1:6">
      <c r="A6555">
        <v>11969</v>
      </c>
      <c r="B6555" t="s">
        <v>701</v>
      </c>
      <c r="C6555">
        <v>2384</v>
      </c>
      <c r="D6555" t="s">
        <v>1039</v>
      </c>
      <c r="E6555" t="s">
        <v>1226</v>
      </c>
      <c r="F6555" t="s">
        <v>1227</v>
      </c>
    </row>
    <row r="6556" spans="1:6">
      <c r="A6556">
        <v>11969</v>
      </c>
      <c r="B6556" t="s">
        <v>701</v>
      </c>
      <c r="C6556">
        <v>2784</v>
      </c>
      <c r="D6556" t="s">
        <v>1040</v>
      </c>
      <c r="E6556" t="s">
        <v>1226</v>
      </c>
      <c r="F6556" t="s">
        <v>1229</v>
      </c>
    </row>
    <row r="6557" spans="1:6">
      <c r="A6557">
        <v>11981</v>
      </c>
      <c r="B6557" t="s">
        <v>702</v>
      </c>
      <c r="C6557">
        <v>368</v>
      </c>
      <c r="D6557" t="s">
        <v>1037</v>
      </c>
      <c r="E6557" t="s">
        <v>1221</v>
      </c>
      <c r="F6557" t="s">
        <v>1222</v>
      </c>
    </row>
    <row r="6558" spans="1:6">
      <c r="A6558">
        <v>11981</v>
      </c>
      <c r="B6558" t="s">
        <v>702</v>
      </c>
      <c r="C6558">
        <v>1949</v>
      </c>
      <c r="D6558" t="s">
        <v>831</v>
      </c>
      <c r="E6558" t="s">
        <v>1221</v>
      </c>
      <c r="F6558" t="s">
        <v>1222</v>
      </c>
    </row>
    <row r="6559" spans="1:6">
      <c r="A6559">
        <v>11981</v>
      </c>
      <c r="B6559" t="s">
        <v>702</v>
      </c>
      <c r="C6559">
        <v>27</v>
      </c>
      <c r="D6559" t="s">
        <v>1038</v>
      </c>
      <c r="E6559" t="s">
        <v>1221</v>
      </c>
      <c r="F6559" t="s">
        <v>1224</v>
      </c>
    </row>
    <row r="6560" spans="1:6">
      <c r="A6560">
        <v>11981</v>
      </c>
      <c r="B6560" t="s">
        <v>702</v>
      </c>
      <c r="C6560">
        <v>10743</v>
      </c>
      <c r="D6560" t="s">
        <v>832</v>
      </c>
      <c r="E6560" t="s">
        <v>1221</v>
      </c>
      <c r="F6560" t="s">
        <v>1224</v>
      </c>
    </row>
    <row r="6561" spans="1:6">
      <c r="A6561">
        <v>11981</v>
      </c>
      <c r="B6561" t="s">
        <v>702</v>
      </c>
      <c r="C6561">
        <v>578</v>
      </c>
      <c r="D6561" t="s">
        <v>1039</v>
      </c>
      <c r="E6561" t="s">
        <v>1226</v>
      </c>
      <c r="F6561" t="s">
        <v>1227</v>
      </c>
    </row>
    <row r="6562" spans="1:6">
      <c r="A6562">
        <v>11981</v>
      </c>
      <c r="B6562" t="s">
        <v>702</v>
      </c>
      <c r="C6562">
        <v>678</v>
      </c>
      <c r="D6562" t="s">
        <v>1040</v>
      </c>
      <c r="E6562" t="s">
        <v>1226</v>
      </c>
      <c r="F6562" t="s">
        <v>1229</v>
      </c>
    </row>
    <row r="6563" spans="1:6">
      <c r="A6563">
        <v>11994</v>
      </c>
      <c r="B6563" t="s">
        <v>703</v>
      </c>
      <c r="C6563">
        <v>2023</v>
      </c>
      <c r="D6563" t="s">
        <v>1037</v>
      </c>
      <c r="E6563" t="s">
        <v>1221</v>
      </c>
      <c r="F6563" t="s">
        <v>1222</v>
      </c>
    </row>
    <row r="6564" spans="1:6">
      <c r="A6564">
        <v>11994</v>
      </c>
      <c r="B6564" t="s">
        <v>703</v>
      </c>
      <c r="C6564">
        <v>2384</v>
      </c>
      <c r="D6564" t="s">
        <v>831</v>
      </c>
      <c r="E6564" t="s">
        <v>1221</v>
      </c>
      <c r="F6564" t="s">
        <v>1222</v>
      </c>
    </row>
    <row r="6565" spans="1:6">
      <c r="A6565">
        <v>11994</v>
      </c>
      <c r="B6565" t="s">
        <v>703</v>
      </c>
      <c r="C6565">
        <v>965</v>
      </c>
      <c r="D6565" t="s">
        <v>1038</v>
      </c>
      <c r="E6565" t="s">
        <v>1221</v>
      </c>
      <c r="F6565" t="s">
        <v>1224</v>
      </c>
    </row>
    <row r="6566" spans="1:6">
      <c r="A6566">
        <v>11994</v>
      </c>
      <c r="B6566" t="s">
        <v>703</v>
      </c>
      <c r="C6566">
        <v>17332</v>
      </c>
      <c r="D6566" t="s">
        <v>832</v>
      </c>
      <c r="E6566" t="s">
        <v>1221</v>
      </c>
      <c r="F6566" t="s">
        <v>1224</v>
      </c>
    </row>
    <row r="6567" spans="1:6">
      <c r="A6567">
        <v>11994</v>
      </c>
      <c r="B6567" t="s">
        <v>703</v>
      </c>
      <c r="C6567">
        <v>749</v>
      </c>
      <c r="D6567" t="s">
        <v>1039</v>
      </c>
      <c r="E6567" t="s">
        <v>1226</v>
      </c>
      <c r="F6567" t="s">
        <v>1227</v>
      </c>
    </row>
    <row r="6568" spans="1:6">
      <c r="A6568">
        <v>11994</v>
      </c>
      <c r="B6568" t="s">
        <v>703</v>
      </c>
      <c r="C6568">
        <v>633</v>
      </c>
      <c r="D6568" t="s">
        <v>1040</v>
      </c>
      <c r="E6568" t="s">
        <v>1226</v>
      </c>
      <c r="F6568" t="s">
        <v>1229</v>
      </c>
    </row>
    <row r="6569" spans="1:6">
      <c r="A6569">
        <v>12049</v>
      </c>
      <c r="B6569" t="s">
        <v>704</v>
      </c>
      <c r="C6569">
        <v>247</v>
      </c>
      <c r="D6569" t="s">
        <v>820</v>
      </c>
      <c r="E6569" t="s">
        <v>1490</v>
      </c>
      <c r="F6569" t="s">
        <v>1491</v>
      </c>
    </row>
    <row r="6570" spans="1:6">
      <c r="A6570">
        <v>12049</v>
      </c>
      <c r="B6570" t="s">
        <v>704</v>
      </c>
      <c r="C6570">
        <v>3989.43</v>
      </c>
      <c r="D6570" t="s">
        <v>821</v>
      </c>
      <c r="E6570" t="s">
        <v>1538</v>
      </c>
      <c r="F6570" t="s">
        <v>1539</v>
      </c>
    </row>
    <row r="6571" spans="1:6">
      <c r="A6571">
        <v>12049</v>
      </c>
      <c r="B6571" t="s">
        <v>704</v>
      </c>
      <c r="C6571">
        <v>5383.56</v>
      </c>
      <c r="D6571" t="s">
        <v>822</v>
      </c>
      <c r="E6571" t="s">
        <v>1538</v>
      </c>
      <c r="F6571" t="s">
        <v>1541</v>
      </c>
    </row>
    <row r="6572" spans="1:6">
      <c r="A6572">
        <v>12049</v>
      </c>
      <c r="B6572" t="s">
        <v>704</v>
      </c>
      <c r="C6572">
        <v>5496.8</v>
      </c>
      <c r="D6572" t="s">
        <v>823</v>
      </c>
      <c r="E6572" t="s">
        <v>1432</v>
      </c>
      <c r="F6572" t="s">
        <v>1433</v>
      </c>
    </row>
    <row r="6573" spans="1:6">
      <c r="A6573">
        <v>12049</v>
      </c>
      <c r="B6573" t="s">
        <v>704</v>
      </c>
      <c r="C6573">
        <v>6207.46</v>
      </c>
      <c r="D6573" t="s">
        <v>824</v>
      </c>
      <c r="E6573" t="s">
        <v>1432</v>
      </c>
      <c r="F6573" t="s">
        <v>1435</v>
      </c>
    </row>
    <row r="6574" spans="1:6">
      <c r="A6574">
        <v>12106</v>
      </c>
      <c r="B6574" t="s">
        <v>706</v>
      </c>
      <c r="C6574">
        <v>201</v>
      </c>
      <c r="D6574" t="s">
        <v>820</v>
      </c>
      <c r="E6574" t="s">
        <v>1490</v>
      </c>
      <c r="F6574" t="s">
        <v>1491</v>
      </c>
    </row>
    <row r="6575" spans="1:6">
      <c r="A6575">
        <v>12106</v>
      </c>
      <c r="B6575" t="s">
        <v>706</v>
      </c>
      <c r="C6575">
        <v>3193.78</v>
      </c>
      <c r="D6575" t="s">
        <v>821</v>
      </c>
      <c r="E6575" t="s">
        <v>1538</v>
      </c>
      <c r="F6575" t="s">
        <v>1539</v>
      </c>
    </row>
    <row r="6576" spans="1:6">
      <c r="A6576">
        <v>12106</v>
      </c>
      <c r="B6576" t="s">
        <v>706</v>
      </c>
      <c r="C6576">
        <v>4514.6400000000003</v>
      </c>
      <c r="D6576" t="s">
        <v>822</v>
      </c>
      <c r="E6576" t="s">
        <v>1538</v>
      </c>
      <c r="F6576" t="s">
        <v>1541</v>
      </c>
    </row>
    <row r="6577" spans="1:6">
      <c r="A6577">
        <v>12106</v>
      </c>
      <c r="B6577" t="s">
        <v>706</v>
      </c>
      <c r="C6577">
        <v>4554.38</v>
      </c>
      <c r="D6577" t="s">
        <v>823</v>
      </c>
      <c r="E6577" t="s">
        <v>1432</v>
      </c>
      <c r="F6577" t="s">
        <v>1433</v>
      </c>
    </row>
    <row r="6578" spans="1:6">
      <c r="A6578">
        <v>12106</v>
      </c>
      <c r="B6578" t="s">
        <v>706</v>
      </c>
      <c r="C6578">
        <v>5853.98</v>
      </c>
      <c r="D6578" t="s">
        <v>824</v>
      </c>
      <c r="E6578" t="s">
        <v>1432</v>
      </c>
      <c r="F6578" t="s">
        <v>1435</v>
      </c>
    </row>
    <row r="6579" spans="1:6">
      <c r="A6579">
        <v>12107</v>
      </c>
      <c r="B6579" t="s">
        <v>707</v>
      </c>
      <c r="C6579">
        <v>14423</v>
      </c>
      <c r="D6579" t="s">
        <v>1037</v>
      </c>
      <c r="E6579" t="s">
        <v>1221</v>
      </c>
      <c r="F6579" t="s">
        <v>1222</v>
      </c>
    </row>
    <row r="6580" spans="1:6">
      <c r="A6580">
        <v>12107</v>
      </c>
      <c r="B6580" t="s">
        <v>707</v>
      </c>
      <c r="C6580">
        <v>19336</v>
      </c>
      <c r="D6580" t="s">
        <v>1038</v>
      </c>
      <c r="E6580" t="s">
        <v>1221</v>
      </c>
      <c r="F6580" t="s">
        <v>1224</v>
      </c>
    </row>
    <row r="6581" spans="1:6">
      <c r="A6581">
        <v>12107</v>
      </c>
      <c r="B6581" t="s">
        <v>707</v>
      </c>
      <c r="C6581">
        <v>651</v>
      </c>
      <c r="D6581" t="s">
        <v>1039</v>
      </c>
      <c r="E6581" t="s">
        <v>1226</v>
      </c>
      <c r="F6581" t="s">
        <v>1227</v>
      </c>
    </row>
    <row r="6582" spans="1:6">
      <c r="A6582">
        <v>12107</v>
      </c>
      <c r="B6582" t="s">
        <v>707</v>
      </c>
      <c r="C6582">
        <v>853</v>
      </c>
      <c r="D6582" t="s">
        <v>1040</v>
      </c>
      <c r="E6582" t="s">
        <v>1226</v>
      </c>
      <c r="F6582" t="s">
        <v>1229</v>
      </c>
    </row>
    <row r="6583" spans="1:6">
      <c r="A6583">
        <v>12169</v>
      </c>
      <c r="B6583" t="s">
        <v>708</v>
      </c>
      <c r="C6583">
        <v>0</v>
      </c>
      <c r="D6583" t="s">
        <v>852</v>
      </c>
      <c r="F6583" t="s">
        <v>1222</v>
      </c>
    </row>
    <row r="6584" spans="1:6">
      <c r="A6584">
        <v>12169</v>
      </c>
      <c r="B6584" t="s">
        <v>708</v>
      </c>
      <c r="C6584">
        <v>12841</v>
      </c>
      <c r="D6584" t="s">
        <v>1037</v>
      </c>
      <c r="E6584" t="s">
        <v>1221</v>
      </c>
      <c r="F6584" t="s">
        <v>1222</v>
      </c>
    </row>
    <row r="6585" spans="1:6">
      <c r="A6585">
        <v>12169</v>
      </c>
      <c r="B6585" t="s">
        <v>708</v>
      </c>
      <c r="C6585">
        <v>0</v>
      </c>
      <c r="D6585" t="s">
        <v>853</v>
      </c>
      <c r="F6585" t="s">
        <v>1224</v>
      </c>
    </row>
    <row r="6586" spans="1:6">
      <c r="A6586">
        <v>12169</v>
      </c>
      <c r="B6586" t="s">
        <v>708</v>
      </c>
      <c r="C6586">
        <v>18849</v>
      </c>
      <c r="D6586" t="s">
        <v>1038</v>
      </c>
      <c r="E6586" t="s">
        <v>1221</v>
      </c>
      <c r="F6586" t="s">
        <v>1224</v>
      </c>
    </row>
    <row r="6587" spans="1:6">
      <c r="A6587">
        <v>12171</v>
      </c>
      <c r="B6587" t="s">
        <v>709</v>
      </c>
      <c r="C6587">
        <v>18514</v>
      </c>
      <c r="D6587" t="s">
        <v>1037</v>
      </c>
      <c r="E6587" t="s">
        <v>1221</v>
      </c>
      <c r="F6587" t="s">
        <v>1222</v>
      </c>
    </row>
    <row r="6588" spans="1:6">
      <c r="A6588">
        <v>12171</v>
      </c>
      <c r="B6588" t="s">
        <v>709</v>
      </c>
      <c r="C6588">
        <v>24359</v>
      </c>
      <c r="D6588" t="s">
        <v>1038</v>
      </c>
      <c r="E6588" t="s">
        <v>1221</v>
      </c>
      <c r="F6588" t="s">
        <v>1224</v>
      </c>
    </row>
    <row r="6589" spans="1:6">
      <c r="A6589">
        <v>12171</v>
      </c>
      <c r="B6589" t="s">
        <v>709</v>
      </c>
      <c r="C6589">
        <v>946</v>
      </c>
      <c r="D6589" t="s">
        <v>1039</v>
      </c>
      <c r="E6589" t="s">
        <v>1226</v>
      </c>
      <c r="F6589" t="s">
        <v>1227</v>
      </c>
    </row>
    <row r="6590" spans="1:6">
      <c r="A6590">
        <v>12171</v>
      </c>
      <c r="B6590" t="s">
        <v>709</v>
      </c>
      <c r="C6590">
        <v>1176</v>
      </c>
      <c r="D6590" t="s">
        <v>1040</v>
      </c>
      <c r="E6590" t="s">
        <v>1226</v>
      </c>
      <c r="F6590" t="s">
        <v>1229</v>
      </c>
    </row>
    <row r="6591" spans="1:6">
      <c r="A6591">
        <v>12179</v>
      </c>
      <c r="B6591" t="s">
        <v>710</v>
      </c>
      <c r="C6591">
        <v>106</v>
      </c>
      <c r="D6591" t="s">
        <v>820</v>
      </c>
      <c r="E6591" t="s">
        <v>1490</v>
      </c>
      <c r="F6591" t="s">
        <v>1491</v>
      </c>
    </row>
    <row r="6592" spans="1:6">
      <c r="A6592">
        <v>12179</v>
      </c>
      <c r="B6592" t="s">
        <v>710</v>
      </c>
      <c r="C6592">
        <v>2812.49</v>
      </c>
      <c r="D6592" t="s">
        <v>821</v>
      </c>
      <c r="E6592" t="s">
        <v>1538</v>
      </c>
      <c r="F6592" t="s">
        <v>1539</v>
      </c>
    </row>
    <row r="6593" spans="1:6">
      <c r="A6593">
        <v>12179</v>
      </c>
      <c r="B6593" t="s">
        <v>710</v>
      </c>
      <c r="C6593">
        <v>3957.72</v>
      </c>
      <c r="D6593" t="s">
        <v>822</v>
      </c>
      <c r="E6593" t="s">
        <v>1538</v>
      </c>
      <c r="F6593" t="s">
        <v>1541</v>
      </c>
    </row>
    <row r="6594" spans="1:6">
      <c r="A6594">
        <v>12179</v>
      </c>
      <c r="B6594" t="s">
        <v>710</v>
      </c>
      <c r="C6594">
        <v>3020.4</v>
      </c>
      <c r="D6594" t="s">
        <v>823</v>
      </c>
      <c r="E6594" t="s">
        <v>1432</v>
      </c>
      <c r="F6594" t="s">
        <v>1433</v>
      </c>
    </row>
    <row r="6595" spans="1:6">
      <c r="A6595">
        <v>12179</v>
      </c>
      <c r="B6595" t="s">
        <v>710</v>
      </c>
      <c r="C6595">
        <v>2076.36</v>
      </c>
      <c r="D6595" t="s">
        <v>824</v>
      </c>
      <c r="E6595" t="s">
        <v>1432</v>
      </c>
      <c r="F6595" t="s">
        <v>1435</v>
      </c>
    </row>
    <row r="6596" spans="1:6">
      <c r="A6596">
        <v>12186</v>
      </c>
      <c r="B6596" t="s">
        <v>711</v>
      </c>
      <c r="C6596">
        <v>601</v>
      </c>
      <c r="D6596" t="s">
        <v>820</v>
      </c>
      <c r="E6596" t="s">
        <v>1490</v>
      </c>
      <c r="F6596" t="s">
        <v>1491</v>
      </c>
    </row>
    <row r="6597" spans="1:6">
      <c r="A6597">
        <v>12186</v>
      </c>
      <c r="B6597" t="s">
        <v>711</v>
      </c>
      <c r="C6597">
        <v>3668.68</v>
      </c>
      <c r="D6597" t="s">
        <v>821</v>
      </c>
      <c r="E6597" t="s">
        <v>1538</v>
      </c>
      <c r="F6597" t="s">
        <v>1539</v>
      </c>
    </row>
    <row r="6598" spans="1:6">
      <c r="A6598">
        <v>12186</v>
      </c>
      <c r="B6598" t="s">
        <v>711</v>
      </c>
      <c r="C6598">
        <v>8173.44</v>
      </c>
      <c r="D6598" t="s">
        <v>822</v>
      </c>
      <c r="E6598" t="s">
        <v>1538</v>
      </c>
      <c r="F6598" t="s">
        <v>1541</v>
      </c>
    </row>
    <row r="6599" spans="1:6">
      <c r="A6599">
        <v>12186</v>
      </c>
      <c r="B6599" t="s">
        <v>711</v>
      </c>
      <c r="C6599">
        <v>5960.06</v>
      </c>
      <c r="D6599" t="s">
        <v>823</v>
      </c>
      <c r="E6599" t="s">
        <v>1432</v>
      </c>
      <c r="F6599" t="s">
        <v>1433</v>
      </c>
    </row>
    <row r="6600" spans="1:6">
      <c r="A6600">
        <v>12186</v>
      </c>
      <c r="B6600" t="s">
        <v>711</v>
      </c>
      <c r="C6600">
        <v>17385.09</v>
      </c>
      <c r="D6600" t="s">
        <v>824</v>
      </c>
      <c r="E6600" t="s">
        <v>1432</v>
      </c>
      <c r="F6600" t="s">
        <v>1435</v>
      </c>
    </row>
    <row r="6601" spans="1:6">
      <c r="A6601">
        <v>12194</v>
      </c>
      <c r="B6601" t="s">
        <v>712</v>
      </c>
      <c r="C6601">
        <v>1779</v>
      </c>
      <c r="D6601" t="s">
        <v>1037</v>
      </c>
      <c r="E6601" t="s">
        <v>1221</v>
      </c>
      <c r="F6601" t="s">
        <v>1222</v>
      </c>
    </row>
    <row r="6602" spans="1:6">
      <c r="A6602">
        <v>12194</v>
      </c>
      <c r="B6602" t="s">
        <v>712</v>
      </c>
      <c r="C6602">
        <v>1610</v>
      </c>
      <c r="D6602" t="s">
        <v>1038</v>
      </c>
      <c r="E6602" t="s">
        <v>1221</v>
      </c>
      <c r="F6602" t="s">
        <v>1224</v>
      </c>
    </row>
    <row r="6603" spans="1:6">
      <c r="A6603">
        <v>12214</v>
      </c>
      <c r="B6603" t="s">
        <v>713</v>
      </c>
      <c r="C6603">
        <v>4106</v>
      </c>
      <c r="D6603" t="s">
        <v>1037</v>
      </c>
      <c r="E6603" t="s">
        <v>1221</v>
      </c>
      <c r="F6603" t="s">
        <v>1222</v>
      </c>
    </row>
    <row r="6604" spans="1:6">
      <c r="A6604">
        <v>12214</v>
      </c>
      <c r="B6604" t="s">
        <v>713</v>
      </c>
      <c r="C6604">
        <v>3526</v>
      </c>
      <c r="D6604" t="s">
        <v>1038</v>
      </c>
      <c r="E6604" t="s">
        <v>1221</v>
      </c>
      <c r="F6604" t="s">
        <v>1224</v>
      </c>
    </row>
    <row r="6605" spans="1:6">
      <c r="A6605">
        <v>12214</v>
      </c>
      <c r="B6605" t="s">
        <v>713</v>
      </c>
      <c r="C6605">
        <v>600</v>
      </c>
      <c r="D6605" t="s">
        <v>1039</v>
      </c>
      <c r="E6605" t="s">
        <v>1226</v>
      </c>
      <c r="F6605" t="s">
        <v>1227</v>
      </c>
    </row>
    <row r="6606" spans="1:6">
      <c r="A6606">
        <v>12214</v>
      </c>
      <c r="B6606" t="s">
        <v>713</v>
      </c>
      <c r="C6606">
        <v>537</v>
      </c>
      <c r="D6606" t="s">
        <v>1040</v>
      </c>
      <c r="E6606" t="s">
        <v>1226</v>
      </c>
      <c r="F6606" t="s">
        <v>1229</v>
      </c>
    </row>
    <row r="6607" spans="1:6">
      <c r="A6607">
        <v>12251</v>
      </c>
      <c r="B6607" t="s">
        <v>714</v>
      </c>
      <c r="C6607">
        <v>3159</v>
      </c>
      <c r="D6607" t="s">
        <v>1037</v>
      </c>
      <c r="E6607" t="s">
        <v>1221</v>
      </c>
      <c r="F6607" t="s">
        <v>1222</v>
      </c>
    </row>
    <row r="6608" spans="1:6">
      <c r="A6608">
        <v>12251</v>
      </c>
      <c r="B6608" t="s">
        <v>714</v>
      </c>
      <c r="C6608">
        <v>5137</v>
      </c>
      <c r="D6608" t="s">
        <v>1038</v>
      </c>
      <c r="E6608" t="s">
        <v>1221</v>
      </c>
      <c r="F6608" t="s">
        <v>1224</v>
      </c>
    </row>
    <row r="6609" spans="1:6">
      <c r="A6609">
        <v>12251</v>
      </c>
      <c r="B6609" t="s">
        <v>714</v>
      </c>
      <c r="C6609">
        <v>707</v>
      </c>
      <c r="D6609" t="s">
        <v>1039</v>
      </c>
      <c r="E6609" t="s">
        <v>1226</v>
      </c>
      <c r="F6609" t="s">
        <v>1227</v>
      </c>
    </row>
    <row r="6610" spans="1:6">
      <c r="A6610">
        <v>12251</v>
      </c>
      <c r="B6610" t="s">
        <v>714</v>
      </c>
      <c r="C6610">
        <v>1015</v>
      </c>
      <c r="D6610" t="s">
        <v>1040</v>
      </c>
      <c r="E6610" t="s">
        <v>1226</v>
      </c>
      <c r="F6610" t="s">
        <v>1229</v>
      </c>
    </row>
    <row r="6611" spans="1:6">
      <c r="A6611">
        <v>12259</v>
      </c>
      <c r="B6611" t="s">
        <v>715</v>
      </c>
      <c r="C6611">
        <v>12790</v>
      </c>
      <c r="D6611" t="s">
        <v>1037</v>
      </c>
      <c r="E6611" t="s">
        <v>1221</v>
      </c>
      <c r="F6611" t="s">
        <v>1222</v>
      </c>
    </row>
    <row r="6612" spans="1:6">
      <c r="A6612">
        <v>12259</v>
      </c>
      <c r="B6612" t="s">
        <v>715</v>
      </c>
      <c r="C6612">
        <v>16923</v>
      </c>
      <c r="D6612" t="s">
        <v>1038</v>
      </c>
      <c r="E6612" t="s">
        <v>1221</v>
      </c>
      <c r="F6612" t="s">
        <v>1224</v>
      </c>
    </row>
    <row r="6613" spans="1:6">
      <c r="A6613">
        <v>12259</v>
      </c>
      <c r="B6613" t="s">
        <v>715</v>
      </c>
      <c r="C6613">
        <v>903</v>
      </c>
      <c r="D6613" t="s">
        <v>1039</v>
      </c>
      <c r="E6613" t="s">
        <v>1226</v>
      </c>
      <c r="F6613" t="s">
        <v>1227</v>
      </c>
    </row>
    <row r="6614" spans="1:6">
      <c r="A6614">
        <v>12259</v>
      </c>
      <c r="B6614" t="s">
        <v>715</v>
      </c>
      <c r="C6614">
        <v>964</v>
      </c>
      <c r="D6614" t="s">
        <v>1040</v>
      </c>
      <c r="E6614" t="s">
        <v>1226</v>
      </c>
      <c r="F6614" t="s">
        <v>1229</v>
      </c>
    </row>
    <row r="6615" spans="1:6">
      <c r="A6615">
        <v>12264</v>
      </c>
      <c r="B6615" t="s">
        <v>716</v>
      </c>
      <c r="C6615">
        <v>6290</v>
      </c>
      <c r="D6615" t="s">
        <v>1037</v>
      </c>
      <c r="E6615" t="s">
        <v>1221</v>
      </c>
      <c r="F6615" t="s">
        <v>1222</v>
      </c>
    </row>
    <row r="6616" spans="1:6">
      <c r="A6616">
        <v>12264</v>
      </c>
      <c r="B6616" t="s">
        <v>716</v>
      </c>
      <c r="C6616">
        <v>9330</v>
      </c>
      <c r="D6616" t="s">
        <v>1038</v>
      </c>
      <c r="E6616" t="s">
        <v>1221</v>
      </c>
      <c r="F6616" t="s">
        <v>1224</v>
      </c>
    </row>
    <row r="6617" spans="1:6">
      <c r="A6617">
        <v>12264</v>
      </c>
      <c r="B6617" t="s">
        <v>716</v>
      </c>
      <c r="C6617">
        <v>426</v>
      </c>
      <c r="D6617" t="s">
        <v>1039</v>
      </c>
      <c r="E6617" t="s">
        <v>1226</v>
      </c>
      <c r="F6617" t="s">
        <v>1227</v>
      </c>
    </row>
    <row r="6618" spans="1:6">
      <c r="A6618">
        <v>12264</v>
      </c>
      <c r="B6618" t="s">
        <v>716</v>
      </c>
      <c r="C6618">
        <v>610</v>
      </c>
      <c r="D6618" t="s">
        <v>1040</v>
      </c>
      <c r="E6618" t="s">
        <v>1226</v>
      </c>
      <c r="F6618" t="s">
        <v>1229</v>
      </c>
    </row>
    <row r="6619" spans="1:6">
      <c r="A6619">
        <v>12269</v>
      </c>
      <c r="B6619" t="s">
        <v>717</v>
      </c>
      <c r="C6619">
        <v>772</v>
      </c>
      <c r="D6619" t="s">
        <v>1037</v>
      </c>
      <c r="E6619" t="s">
        <v>1221</v>
      </c>
      <c r="F6619" t="s">
        <v>1222</v>
      </c>
    </row>
    <row r="6620" spans="1:6">
      <c r="A6620">
        <v>12269</v>
      </c>
      <c r="B6620" t="s">
        <v>717</v>
      </c>
      <c r="C6620">
        <v>648</v>
      </c>
      <c r="D6620" t="s">
        <v>1038</v>
      </c>
      <c r="E6620" t="s">
        <v>1221</v>
      </c>
      <c r="F6620" t="s">
        <v>1224</v>
      </c>
    </row>
    <row r="6621" spans="1:6">
      <c r="A6621">
        <v>12269</v>
      </c>
      <c r="B6621" t="s">
        <v>717</v>
      </c>
      <c r="C6621">
        <v>271</v>
      </c>
      <c r="D6621" t="s">
        <v>1039</v>
      </c>
      <c r="E6621" t="s">
        <v>1226</v>
      </c>
      <c r="F6621" t="s">
        <v>1227</v>
      </c>
    </row>
    <row r="6622" spans="1:6">
      <c r="A6622">
        <v>12269</v>
      </c>
      <c r="B6622" t="s">
        <v>717</v>
      </c>
      <c r="C6622">
        <v>213</v>
      </c>
      <c r="D6622" t="s">
        <v>1040</v>
      </c>
      <c r="E6622" t="s">
        <v>1226</v>
      </c>
      <c r="F6622" t="s">
        <v>1229</v>
      </c>
    </row>
    <row r="6623" spans="1:6">
      <c r="A6623">
        <v>12282</v>
      </c>
      <c r="B6623" t="s">
        <v>718</v>
      </c>
      <c r="C6623">
        <v>1781</v>
      </c>
      <c r="D6623" t="s">
        <v>1037</v>
      </c>
      <c r="E6623" t="s">
        <v>1221</v>
      </c>
      <c r="F6623" t="s">
        <v>1222</v>
      </c>
    </row>
    <row r="6624" spans="1:6">
      <c r="A6624">
        <v>12282</v>
      </c>
      <c r="B6624" t="s">
        <v>718</v>
      </c>
      <c r="C6624">
        <v>2503</v>
      </c>
      <c r="D6624" t="s">
        <v>1038</v>
      </c>
      <c r="E6624" t="s">
        <v>1221</v>
      </c>
      <c r="F6624" t="s">
        <v>1224</v>
      </c>
    </row>
    <row r="6625" spans="1:6">
      <c r="A6625">
        <v>12282</v>
      </c>
      <c r="B6625" t="s">
        <v>718</v>
      </c>
      <c r="C6625">
        <v>202</v>
      </c>
      <c r="D6625" t="s">
        <v>1039</v>
      </c>
      <c r="E6625" t="s">
        <v>1226</v>
      </c>
      <c r="F6625" t="s">
        <v>1227</v>
      </c>
    </row>
    <row r="6626" spans="1:6">
      <c r="A6626">
        <v>12282</v>
      </c>
      <c r="B6626" t="s">
        <v>718</v>
      </c>
      <c r="C6626">
        <v>293</v>
      </c>
      <c r="D6626" t="s">
        <v>1040</v>
      </c>
      <c r="E6626" t="s">
        <v>1226</v>
      </c>
      <c r="F6626" t="s">
        <v>1229</v>
      </c>
    </row>
    <row r="6627" spans="1:6">
      <c r="A6627">
        <v>12286</v>
      </c>
      <c r="B6627" t="s">
        <v>719</v>
      </c>
      <c r="C6627">
        <v>54789</v>
      </c>
      <c r="D6627" t="s">
        <v>1037</v>
      </c>
      <c r="E6627" t="s">
        <v>1221</v>
      </c>
      <c r="F6627" t="s">
        <v>1222</v>
      </c>
    </row>
    <row r="6628" spans="1:6">
      <c r="A6628">
        <v>12286</v>
      </c>
      <c r="B6628" t="s">
        <v>719</v>
      </c>
      <c r="C6628">
        <v>113928</v>
      </c>
      <c r="D6628" t="s">
        <v>1038</v>
      </c>
      <c r="E6628" t="s">
        <v>1221</v>
      </c>
      <c r="F6628" t="s">
        <v>1224</v>
      </c>
    </row>
    <row r="6629" spans="1:6">
      <c r="A6629">
        <v>12286</v>
      </c>
      <c r="B6629" t="s">
        <v>719</v>
      </c>
      <c r="C6629">
        <v>2780</v>
      </c>
      <c r="D6629" t="s">
        <v>1039</v>
      </c>
      <c r="E6629" t="s">
        <v>1226</v>
      </c>
      <c r="F6629" t="s">
        <v>1227</v>
      </c>
    </row>
    <row r="6630" spans="1:6">
      <c r="A6630">
        <v>12286</v>
      </c>
      <c r="B6630" t="s">
        <v>719</v>
      </c>
      <c r="C6630">
        <v>5637</v>
      </c>
      <c r="D6630" t="s">
        <v>1040</v>
      </c>
      <c r="E6630" t="s">
        <v>1226</v>
      </c>
      <c r="F6630" t="s">
        <v>1229</v>
      </c>
    </row>
    <row r="6631" spans="1:6">
      <c r="A6631">
        <v>12330</v>
      </c>
      <c r="B6631" t="s">
        <v>720</v>
      </c>
      <c r="C6631">
        <v>565</v>
      </c>
      <c r="D6631" t="s">
        <v>820</v>
      </c>
      <c r="E6631" t="s">
        <v>1490</v>
      </c>
      <c r="F6631" t="s">
        <v>1491</v>
      </c>
    </row>
    <row r="6632" spans="1:6">
      <c r="A6632">
        <v>12330</v>
      </c>
      <c r="B6632" t="s">
        <v>720</v>
      </c>
      <c r="C6632">
        <v>8844.94</v>
      </c>
      <c r="D6632" t="s">
        <v>821</v>
      </c>
      <c r="E6632" t="s">
        <v>1538</v>
      </c>
      <c r="F6632" t="s">
        <v>1539</v>
      </c>
    </row>
    <row r="6633" spans="1:6">
      <c r="A6633">
        <v>12330</v>
      </c>
      <c r="B6633" t="s">
        <v>720</v>
      </c>
      <c r="C6633">
        <v>12210.12</v>
      </c>
      <c r="D6633" t="s">
        <v>822</v>
      </c>
      <c r="E6633" t="s">
        <v>1538</v>
      </c>
      <c r="F6633" t="s">
        <v>1541</v>
      </c>
    </row>
    <row r="6634" spans="1:6">
      <c r="A6634">
        <v>12330</v>
      </c>
      <c r="B6634" t="s">
        <v>720</v>
      </c>
      <c r="C6634">
        <v>13703.36</v>
      </c>
      <c r="D6634" t="s">
        <v>823</v>
      </c>
      <c r="E6634" t="s">
        <v>1432</v>
      </c>
      <c r="F6634" t="s">
        <v>1433</v>
      </c>
    </row>
    <row r="6635" spans="1:6">
      <c r="A6635">
        <v>12330</v>
      </c>
      <c r="B6635" t="s">
        <v>720</v>
      </c>
      <c r="C6635">
        <v>18910.939999999999</v>
      </c>
      <c r="D6635" t="s">
        <v>824</v>
      </c>
      <c r="E6635" t="s">
        <v>1432</v>
      </c>
      <c r="F6635" t="s">
        <v>1435</v>
      </c>
    </row>
    <row r="6636" spans="1:6">
      <c r="A6636">
        <v>12335</v>
      </c>
      <c r="B6636" t="s">
        <v>721</v>
      </c>
      <c r="C6636">
        <v>1548</v>
      </c>
      <c r="D6636" t="s">
        <v>1037</v>
      </c>
      <c r="E6636" t="s">
        <v>1221</v>
      </c>
      <c r="F6636" t="s">
        <v>1222</v>
      </c>
    </row>
    <row r="6637" spans="1:6">
      <c r="A6637">
        <v>12335</v>
      </c>
      <c r="B6637" t="s">
        <v>721</v>
      </c>
      <c r="C6637">
        <v>2334</v>
      </c>
      <c r="D6637" t="s">
        <v>831</v>
      </c>
      <c r="E6637" t="s">
        <v>1221</v>
      </c>
      <c r="F6637" t="s">
        <v>1222</v>
      </c>
    </row>
    <row r="6638" spans="1:6">
      <c r="A6638">
        <v>12335</v>
      </c>
      <c r="B6638" t="s">
        <v>721</v>
      </c>
      <c r="C6638">
        <v>248</v>
      </c>
      <c r="D6638" t="s">
        <v>1038</v>
      </c>
      <c r="E6638" t="s">
        <v>1221</v>
      </c>
      <c r="F6638" t="s">
        <v>1224</v>
      </c>
    </row>
    <row r="6639" spans="1:6">
      <c r="A6639">
        <v>12335</v>
      </c>
      <c r="B6639" t="s">
        <v>721</v>
      </c>
      <c r="C6639">
        <v>11121</v>
      </c>
      <c r="D6639" t="s">
        <v>832</v>
      </c>
      <c r="E6639" t="s">
        <v>1221</v>
      </c>
      <c r="F6639" t="s">
        <v>1224</v>
      </c>
    </row>
    <row r="6640" spans="1:6">
      <c r="A6640">
        <v>12335</v>
      </c>
      <c r="B6640" t="s">
        <v>721</v>
      </c>
      <c r="C6640">
        <v>615</v>
      </c>
      <c r="D6640" t="s">
        <v>1039</v>
      </c>
      <c r="E6640" t="s">
        <v>1226</v>
      </c>
      <c r="F6640" t="s">
        <v>1227</v>
      </c>
    </row>
    <row r="6641" spans="1:6">
      <c r="A6641">
        <v>12335</v>
      </c>
      <c r="B6641" t="s">
        <v>721</v>
      </c>
      <c r="C6641">
        <v>729</v>
      </c>
      <c r="D6641" t="s">
        <v>1040</v>
      </c>
      <c r="E6641" t="s">
        <v>1226</v>
      </c>
      <c r="F6641" t="s">
        <v>1229</v>
      </c>
    </row>
    <row r="6642" spans="1:6">
      <c r="A6642">
        <v>12358</v>
      </c>
      <c r="B6642" t="s">
        <v>722</v>
      </c>
      <c r="C6642">
        <v>7649</v>
      </c>
      <c r="D6642" t="s">
        <v>1037</v>
      </c>
      <c r="E6642" t="s">
        <v>1221</v>
      </c>
      <c r="F6642" t="s">
        <v>1222</v>
      </c>
    </row>
    <row r="6643" spans="1:6">
      <c r="A6643">
        <v>12358</v>
      </c>
      <c r="B6643" t="s">
        <v>722</v>
      </c>
      <c r="C6643">
        <v>8818</v>
      </c>
      <c r="D6643" t="s">
        <v>1038</v>
      </c>
      <c r="E6643" t="s">
        <v>1221</v>
      </c>
      <c r="F6643" t="s">
        <v>1224</v>
      </c>
    </row>
    <row r="6644" spans="1:6">
      <c r="A6644">
        <v>12358</v>
      </c>
      <c r="B6644" t="s">
        <v>722</v>
      </c>
      <c r="C6644">
        <v>479</v>
      </c>
      <c r="D6644" t="s">
        <v>1039</v>
      </c>
      <c r="E6644" t="s">
        <v>1226</v>
      </c>
      <c r="F6644" t="s">
        <v>1227</v>
      </c>
    </row>
    <row r="6645" spans="1:6">
      <c r="A6645">
        <v>12358</v>
      </c>
      <c r="B6645" t="s">
        <v>722</v>
      </c>
      <c r="C6645">
        <v>525</v>
      </c>
      <c r="D6645" t="s">
        <v>1040</v>
      </c>
      <c r="E6645" t="s">
        <v>1226</v>
      </c>
      <c r="F6645" t="s">
        <v>1229</v>
      </c>
    </row>
    <row r="6646" spans="1:6">
      <c r="A6646">
        <v>12415</v>
      </c>
      <c r="B6646" t="s">
        <v>723</v>
      </c>
      <c r="C6646">
        <v>338</v>
      </c>
      <c r="D6646" t="s">
        <v>820</v>
      </c>
      <c r="E6646" t="s">
        <v>1490</v>
      </c>
      <c r="F6646" t="s">
        <v>1491</v>
      </c>
    </row>
    <row r="6647" spans="1:6">
      <c r="A6647">
        <v>12415</v>
      </c>
      <c r="B6647" t="s">
        <v>723</v>
      </c>
      <c r="C6647">
        <v>48.76</v>
      </c>
      <c r="D6647" t="s">
        <v>755</v>
      </c>
      <c r="E6647" t="s">
        <v>1375</v>
      </c>
      <c r="F6647" t="s">
        <v>1376</v>
      </c>
    </row>
    <row r="6648" spans="1:6">
      <c r="A6648">
        <v>12415</v>
      </c>
      <c r="B6648" t="s">
        <v>723</v>
      </c>
      <c r="C6648">
        <v>103.69</v>
      </c>
      <c r="D6648" t="s">
        <v>756</v>
      </c>
      <c r="E6648" t="s">
        <v>1375</v>
      </c>
      <c r="F6648" t="s">
        <v>1378</v>
      </c>
    </row>
    <row r="6649" spans="1:6">
      <c r="A6649">
        <v>12415</v>
      </c>
      <c r="B6649" t="s">
        <v>723</v>
      </c>
      <c r="C6649">
        <v>842.06</v>
      </c>
      <c r="D6649" t="s">
        <v>823</v>
      </c>
      <c r="E6649" t="s">
        <v>1432</v>
      </c>
      <c r="F6649" t="s">
        <v>1433</v>
      </c>
    </row>
    <row r="6650" spans="1:6">
      <c r="A6650">
        <v>12415</v>
      </c>
      <c r="B6650" t="s">
        <v>723</v>
      </c>
      <c r="C6650">
        <v>2245.2600000000002</v>
      </c>
      <c r="D6650" t="s">
        <v>824</v>
      </c>
      <c r="E6650" t="s">
        <v>1432</v>
      </c>
      <c r="F6650" t="s">
        <v>1435</v>
      </c>
    </row>
    <row r="6651" spans="1:6">
      <c r="A6651">
        <v>12416</v>
      </c>
      <c r="B6651" t="s">
        <v>724</v>
      </c>
      <c r="C6651">
        <v>12495</v>
      </c>
      <c r="D6651" t="s">
        <v>1037</v>
      </c>
      <c r="E6651" t="s">
        <v>1221</v>
      </c>
      <c r="F6651" t="s">
        <v>1222</v>
      </c>
    </row>
    <row r="6652" spans="1:6">
      <c r="A6652">
        <v>12416</v>
      </c>
      <c r="B6652" t="s">
        <v>724</v>
      </c>
      <c r="C6652">
        <v>10634</v>
      </c>
      <c r="D6652" t="s">
        <v>1038</v>
      </c>
      <c r="E6652" t="s">
        <v>1221</v>
      </c>
      <c r="F6652" t="s">
        <v>1224</v>
      </c>
    </row>
    <row r="6653" spans="1:6">
      <c r="A6653">
        <v>12416</v>
      </c>
      <c r="B6653" t="s">
        <v>724</v>
      </c>
      <c r="C6653">
        <v>796</v>
      </c>
      <c r="D6653" t="s">
        <v>1039</v>
      </c>
      <c r="E6653" t="s">
        <v>1226</v>
      </c>
      <c r="F6653" t="s">
        <v>1227</v>
      </c>
    </row>
    <row r="6654" spans="1:6">
      <c r="A6654">
        <v>12416</v>
      </c>
      <c r="B6654" t="s">
        <v>724</v>
      </c>
      <c r="C6654">
        <v>616</v>
      </c>
      <c r="D6654" t="s">
        <v>1040</v>
      </c>
      <c r="E6654" t="s">
        <v>1226</v>
      </c>
      <c r="F6654" t="s">
        <v>1229</v>
      </c>
    </row>
    <row r="6655" spans="1:6">
      <c r="A6655">
        <v>12420</v>
      </c>
      <c r="B6655" t="s">
        <v>725</v>
      </c>
      <c r="C6655">
        <v>5620</v>
      </c>
      <c r="D6655" t="s">
        <v>1037</v>
      </c>
      <c r="E6655" t="s">
        <v>1221</v>
      </c>
      <c r="F6655" t="s">
        <v>1222</v>
      </c>
    </row>
    <row r="6656" spans="1:6">
      <c r="A6656">
        <v>12420</v>
      </c>
      <c r="B6656" t="s">
        <v>725</v>
      </c>
      <c r="C6656">
        <v>6937</v>
      </c>
      <c r="D6656" t="s">
        <v>1038</v>
      </c>
      <c r="E6656" t="s">
        <v>1221</v>
      </c>
      <c r="F6656" t="s">
        <v>1224</v>
      </c>
    </row>
    <row r="6657" spans="1:6">
      <c r="A6657">
        <v>12420</v>
      </c>
      <c r="B6657" t="s">
        <v>725</v>
      </c>
      <c r="C6657">
        <v>649</v>
      </c>
      <c r="D6657" t="s">
        <v>1039</v>
      </c>
      <c r="E6657" t="s">
        <v>1226</v>
      </c>
      <c r="F6657" t="s">
        <v>1227</v>
      </c>
    </row>
    <row r="6658" spans="1:6">
      <c r="A6658">
        <v>12420</v>
      </c>
      <c r="B6658" t="s">
        <v>725</v>
      </c>
      <c r="C6658">
        <v>804</v>
      </c>
      <c r="D6658" t="s">
        <v>1040</v>
      </c>
      <c r="E6658" t="s">
        <v>1226</v>
      </c>
      <c r="F6658" t="s">
        <v>1229</v>
      </c>
    </row>
    <row r="6659" spans="1:6">
      <c r="A6659">
        <v>12421</v>
      </c>
      <c r="B6659" t="s">
        <v>726</v>
      </c>
      <c r="C6659">
        <v>18138</v>
      </c>
      <c r="D6659" t="s">
        <v>1037</v>
      </c>
      <c r="E6659" t="s">
        <v>1221</v>
      </c>
      <c r="F6659" t="s">
        <v>1222</v>
      </c>
    </row>
    <row r="6660" spans="1:6">
      <c r="A6660">
        <v>12421</v>
      </c>
      <c r="B6660" t="s">
        <v>726</v>
      </c>
      <c r="C6660">
        <v>19297</v>
      </c>
      <c r="D6660" t="s">
        <v>1038</v>
      </c>
      <c r="E6660" t="s">
        <v>1221</v>
      </c>
      <c r="F6660" t="s">
        <v>1224</v>
      </c>
    </row>
    <row r="6661" spans="1:6">
      <c r="A6661">
        <v>12421</v>
      </c>
      <c r="B6661" t="s">
        <v>726</v>
      </c>
      <c r="C6661">
        <v>869</v>
      </c>
      <c r="D6661" t="s">
        <v>1039</v>
      </c>
      <c r="E6661" t="s">
        <v>1226</v>
      </c>
      <c r="F6661" t="s">
        <v>1227</v>
      </c>
    </row>
    <row r="6662" spans="1:6">
      <c r="A6662">
        <v>12421</v>
      </c>
      <c r="B6662" t="s">
        <v>726</v>
      </c>
      <c r="C6662">
        <v>1024</v>
      </c>
      <c r="D6662" t="s">
        <v>1040</v>
      </c>
      <c r="E6662" t="s">
        <v>1226</v>
      </c>
      <c r="F6662" t="s">
        <v>1229</v>
      </c>
    </row>
    <row r="6663" spans="1:6">
      <c r="A6663">
        <v>12424</v>
      </c>
      <c r="B6663" t="s">
        <v>727</v>
      </c>
      <c r="C6663">
        <v>7052</v>
      </c>
      <c r="D6663" t="s">
        <v>1037</v>
      </c>
      <c r="E6663" t="s">
        <v>1221</v>
      </c>
      <c r="F6663" t="s">
        <v>1222</v>
      </c>
    </row>
    <row r="6664" spans="1:6">
      <c r="A6664">
        <v>12424</v>
      </c>
      <c r="B6664" t="s">
        <v>727</v>
      </c>
      <c r="C6664">
        <v>9833</v>
      </c>
      <c r="D6664" t="s">
        <v>1038</v>
      </c>
      <c r="E6664" t="s">
        <v>1221</v>
      </c>
      <c r="F6664" t="s">
        <v>1224</v>
      </c>
    </row>
    <row r="6665" spans="1:6">
      <c r="A6665">
        <v>12424</v>
      </c>
      <c r="B6665" t="s">
        <v>727</v>
      </c>
      <c r="C6665">
        <v>615</v>
      </c>
      <c r="D6665" t="s">
        <v>1039</v>
      </c>
      <c r="E6665" t="s">
        <v>1226</v>
      </c>
      <c r="F6665" t="s">
        <v>1227</v>
      </c>
    </row>
    <row r="6666" spans="1:6">
      <c r="A6666">
        <v>12424</v>
      </c>
      <c r="B6666" t="s">
        <v>727</v>
      </c>
      <c r="C6666">
        <v>918</v>
      </c>
      <c r="D6666" t="s">
        <v>1040</v>
      </c>
      <c r="E6666" t="s">
        <v>1226</v>
      </c>
      <c r="F6666" t="s">
        <v>1229</v>
      </c>
    </row>
    <row r="6667" spans="1:6">
      <c r="A6667">
        <v>12425</v>
      </c>
      <c r="B6667" t="s">
        <v>728</v>
      </c>
      <c r="C6667">
        <v>14829</v>
      </c>
      <c r="D6667" t="s">
        <v>1037</v>
      </c>
      <c r="E6667" t="s">
        <v>1221</v>
      </c>
      <c r="F6667" t="s">
        <v>1222</v>
      </c>
    </row>
    <row r="6668" spans="1:6">
      <c r="A6668">
        <v>12425</v>
      </c>
      <c r="B6668" t="s">
        <v>728</v>
      </c>
      <c r="C6668">
        <v>21497</v>
      </c>
      <c r="D6668" t="s">
        <v>1038</v>
      </c>
      <c r="E6668" t="s">
        <v>1221</v>
      </c>
      <c r="F6668" t="s">
        <v>1224</v>
      </c>
    </row>
    <row r="6669" spans="1:6">
      <c r="A6669">
        <v>12425</v>
      </c>
      <c r="B6669" t="s">
        <v>728</v>
      </c>
      <c r="C6669">
        <v>1268</v>
      </c>
      <c r="D6669" t="s">
        <v>1039</v>
      </c>
      <c r="E6669" t="s">
        <v>1226</v>
      </c>
      <c r="F6669" t="s">
        <v>1227</v>
      </c>
    </row>
    <row r="6670" spans="1:6">
      <c r="A6670">
        <v>12425</v>
      </c>
      <c r="B6670" t="s">
        <v>728</v>
      </c>
      <c r="C6670">
        <v>1786</v>
      </c>
      <c r="D6670" t="s">
        <v>1040</v>
      </c>
      <c r="E6670" t="s">
        <v>1226</v>
      </c>
      <c r="F6670" t="s">
        <v>1229</v>
      </c>
    </row>
    <row r="6671" spans="1:6">
      <c r="A6671">
        <v>12453</v>
      </c>
      <c r="B6671" t="s">
        <v>729</v>
      </c>
      <c r="C6671">
        <v>5193</v>
      </c>
      <c r="D6671" t="s">
        <v>1037</v>
      </c>
      <c r="E6671" t="s">
        <v>1221</v>
      </c>
      <c r="F6671" t="s">
        <v>1222</v>
      </c>
    </row>
    <row r="6672" spans="1:6">
      <c r="A6672">
        <v>12453</v>
      </c>
      <c r="B6672" t="s">
        <v>729</v>
      </c>
      <c r="C6672">
        <v>8242</v>
      </c>
      <c r="D6672" t="s">
        <v>1038</v>
      </c>
      <c r="E6672" t="s">
        <v>1221</v>
      </c>
      <c r="F6672" t="s">
        <v>1224</v>
      </c>
    </row>
    <row r="6673" spans="1:6">
      <c r="A6673">
        <v>12453</v>
      </c>
      <c r="B6673" t="s">
        <v>729</v>
      </c>
      <c r="C6673">
        <v>670</v>
      </c>
      <c r="D6673" t="s">
        <v>1039</v>
      </c>
      <c r="E6673" t="s">
        <v>1226</v>
      </c>
      <c r="F6673" t="s">
        <v>1227</v>
      </c>
    </row>
    <row r="6674" spans="1:6">
      <c r="A6674">
        <v>12453</v>
      </c>
      <c r="B6674" t="s">
        <v>729</v>
      </c>
      <c r="C6674">
        <v>930</v>
      </c>
      <c r="D6674" t="s">
        <v>1040</v>
      </c>
      <c r="E6674" t="s">
        <v>1226</v>
      </c>
      <c r="F6674" t="s">
        <v>1229</v>
      </c>
    </row>
    <row r="6675" spans="1:6">
      <c r="A6675">
        <v>12454</v>
      </c>
      <c r="B6675" t="s">
        <v>730</v>
      </c>
      <c r="C6675">
        <v>0</v>
      </c>
      <c r="D6675" t="s">
        <v>852</v>
      </c>
      <c r="F6675" t="s">
        <v>1222</v>
      </c>
    </row>
    <row r="6676" spans="1:6">
      <c r="A6676">
        <v>12454</v>
      </c>
      <c r="B6676" t="s">
        <v>730</v>
      </c>
      <c r="C6676">
        <v>3119</v>
      </c>
      <c r="D6676" t="s">
        <v>1037</v>
      </c>
      <c r="E6676" t="s">
        <v>1221</v>
      </c>
      <c r="F6676" t="s">
        <v>1222</v>
      </c>
    </row>
    <row r="6677" spans="1:6">
      <c r="A6677">
        <v>12454</v>
      </c>
      <c r="B6677" t="s">
        <v>730</v>
      </c>
      <c r="C6677">
        <v>0</v>
      </c>
      <c r="D6677" t="s">
        <v>853</v>
      </c>
      <c r="F6677" t="s">
        <v>1224</v>
      </c>
    </row>
    <row r="6678" spans="1:6">
      <c r="A6678">
        <v>12454</v>
      </c>
      <c r="B6678" t="s">
        <v>730</v>
      </c>
      <c r="C6678">
        <v>4012</v>
      </c>
      <c r="D6678" t="s">
        <v>1038</v>
      </c>
      <c r="E6678" t="s">
        <v>1221</v>
      </c>
      <c r="F6678" t="s">
        <v>1224</v>
      </c>
    </row>
    <row r="6679" spans="1:6">
      <c r="A6679">
        <v>12454</v>
      </c>
      <c r="B6679" t="s">
        <v>730</v>
      </c>
      <c r="C6679">
        <v>247</v>
      </c>
      <c r="D6679" t="s">
        <v>1039</v>
      </c>
      <c r="E6679" t="s">
        <v>1226</v>
      </c>
      <c r="F6679" t="s">
        <v>1227</v>
      </c>
    </row>
    <row r="6680" spans="1:6">
      <c r="A6680">
        <v>12454</v>
      </c>
      <c r="B6680" t="s">
        <v>730</v>
      </c>
      <c r="C6680">
        <v>317</v>
      </c>
      <c r="D6680" t="s">
        <v>1040</v>
      </c>
      <c r="E6680" t="s">
        <v>1226</v>
      </c>
      <c r="F6680" t="s">
        <v>1229</v>
      </c>
    </row>
    <row r="6681" spans="1:6">
      <c r="A6681">
        <v>12472</v>
      </c>
      <c r="B6681" t="s">
        <v>731</v>
      </c>
      <c r="C6681">
        <v>3926</v>
      </c>
      <c r="D6681" t="s">
        <v>1037</v>
      </c>
      <c r="E6681" t="s">
        <v>1221</v>
      </c>
      <c r="F6681" t="s">
        <v>1222</v>
      </c>
    </row>
    <row r="6682" spans="1:6">
      <c r="A6682">
        <v>12472</v>
      </c>
      <c r="B6682" t="s">
        <v>731</v>
      </c>
      <c r="C6682">
        <v>6529</v>
      </c>
      <c r="D6682" t="s">
        <v>1038</v>
      </c>
      <c r="E6682" t="s">
        <v>1221</v>
      </c>
      <c r="F6682" t="s">
        <v>1224</v>
      </c>
    </row>
    <row r="6683" spans="1:6">
      <c r="A6683">
        <v>12472</v>
      </c>
      <c r="B6683" t="s">
        <v>731</v>
      </c>
      <c r="C6683">
        <v>469</v>
      </c>
      <c r="D6683" t="s">
        <v>1039</v>
      </c>
      <c r="E6683" t="s">
        <v>1226</v>
      </c>
      <c r="F6683" t="s">
        <v>1227</v>
      </c>
    </row>
    <row r="6684" spans="1:6">
      <c r="A6684">
        <v>12472</v>
      </c>
      <c r="B6684" t="s">
        <v>731</v>
      </c>
      <c r="C6684">
        <v>612</v>
      </c>
      <c r="D6684" t="s">
        <v>1040</v>
      </c>
      <c r="E6684" t="s">
        <v>1226</v>
      </c>
      <c r="F6684" t="s">
        <v>1229</v>
      </c>
    </row>
    <row r="6685" spans="1:6">
      <c r="A6685">
        <v>12480</v>
      </c>
      <c r="B6685" t="s">
        <v>732</v>
      </c>
      <c r="C6685">
        <v>0</v>
      </c>
      <c r="D6685" t="s">
        <v>852</v>
      </c>
      <c r="F6685" t="s">
        <v>1222</v>
      </c>
    </row>
    <row r="6686" spans="1:6">
      <c r="A6686">
        <v>12480</v>
      </c>
      <c r="B6686" t="s">
        <v>732</v>
      </c>
      <c r="C6686">
        <v>9921</v>
      </c>
      <c r="D6686" t="s">
        <v>1037</v>
      </c>
      <c r="E6686" t="s">
        <v>1221</v>
      </c>
      <c r="F6686" t="s">
        <v>1222</v>
      </c>
    </row>
    <row r="6687" spans="1:6">
      <c r="A6687">
        <v>12480</v>
      </c>
      <c r="B6687" t="s">
        <v>732</v>
      </c>
      <c r="C6687">
        <v>0</v>
      </c>
      <c r="D6687" t="s">
        <v>853</v>
      </c>
      <c r="F6687" t="s">
        <v>1224</v>
      </c>
    </row>
    <row r="6688" spans="1:6">
      <c r="A6688">
        <v>12480</v>
      </c>
      <c r="B6688" t="s">
        <v>732</v>
      </c>
      <c r="C6688">
        <v>11649</v>
      </c>
      <c r="D6688" t="s">
        <v>1038</v>
      </c>
      <c r="E6688" t="s">
        <v>1221</v>
      </c>
      <c r="F6688" t="s">
        <v>1224</v>
      </c>
    </row>
    <row r="6689" spans="1:6">
      <c r="A6689">
        <v>12480</v>
      </c>
      <c r="B6689" t="s">
        <v>732</v>
      </c>
      <c r="C6689">
        <v>671</v>
      </c>
      <c r="D6689" t="s">
        <v>1039</v>
      </c>
      <c r="E6689" t="s">
        <v>1226</v>
      </c>
      <c r="F6689" t="s">
        <v>1227</v>
      </c>
    </row>
    <row r="6690" spans="1:6">
      <c r="A6690">
        <v>12480</v>
      </c>
      <c r="B6690" t="s">
        <v>732</v>
      </c>
      <c r="C6690">
        <v>845</v>
      </c>
      <c r="D6690" t="s">
        <v>1040</v>
      </c>
      <c r="E6690" t="s">
        <v>1226</v>
      </c>
      <c r="F6690" t="s">
        <v>1229</v>
      </c>
    </row>
    <row r="6691" spans="1:6">
      <c r="A6691">
        <v>12481</v>
      </c>
      <c r="B6691" t="s">
        <v>733</v>
      </c>
      <c r="C6691">
        <v>576</v>
      </c>
      <c r="D6691" t="s">
        <v>820</v>
      </c>
      <c r="E6691" t="s">
        <v>1490</v>
      </c>
      <c r="F6691" t="s">
        <v>1491</v>
      </c>
    </row>
    <row r="6692" spans="1:6">
      <c r="A6692">
        <v>12481</v>
      </c>
      <c r="B6692" t="s">
        <v>733</v>
      </c>
      <c r="C6692">
        <v>212.42</v>
      </c>
      <c r="D6692" t="s">
        <v>821</v>
      </c>
      <c r="E6692" t="s">
        <v>1538</v>
      </c>
      <c r="F6692" t="s">
        <v>1539</v>
      </c>
    </row>
    <row r="6693" spans="1:6">
      <c r="A6693">
        <v>12481</v>
      </c>
      <c r="B6693" t="s">
        <v>733</v>
      </c>
      <c r="C6693">
        <v>431.28</v>
      </c>
      <c r="D6693" t="s">
        <v>822</v>
      </c>
      <c r="E6693" t="s">
        <v>1538</v>
      </c>
      <c r="F6693" t="s">
        <v>1541</v>
      </c>
    </row>
    <row r="6694" spans="1:6">
      <c r="A6694">
        <v>12481</v>
      </c>
      <c r="B6694" t="s">
        <v>733</v>
      </c>
      <c r="C6694">
        <v>1504</v>
      </c>
      <c r="D6694" t="s">
        <v>823</v>
      </c>
      <c r="E6694" t="s">
        <v>1432</v>
      </c>
      <c r="F6694" t="s">
        <v>1433</v>
      </c>
    </row>
    <row r="6695" spans="1:6">
      <c r="A6695">
        <v>12481</v>
      </c>
      <c r="B6695" t="s">
        <v>733</v>
      </c>
      <c r="C6695">
        <v>2714.5</v>
      </c>
      <c r="D6695" t="s">
        <v>824</v>
      </c>
      <c r="E6695" t="s">
        <v>1432</v>
      </c>
      <c r="F6695" t="s">
        <v>1435</v>
      </c>
    </row>
    <row r="6696" spans="1:6">
      <c r="A6696">
        <v>12506</v>
      </c>
      <c r="B6696" t="s">
        <v>734</v>
      </c>
      <c r="C6696">
        <v>425</v>
      </c>
      <c r="D6696" t="s">
        <v>820</v>
      </c>
      <c r="E6696" t="s">
        <v>1490</v>
      </c>
      <c r="F6696" t="s">
        <v>1491</v>
      </c>
    </row>
    <row r="6697" spans="1:6">
      <c r="A6697">
        <v>12506</v>
      </c>
      <c r="B6697" t="s">
        <v>734</v>
      </c>
      <c r="C6697">
        <v>3558.95</v>
      </c>
      <c r="D6697" t="s">
        <v>821</v>
      </c>
      <c r="E6697" t="s">
        <v>1538</v>
      </c>
      <c r="F6697" t="s">
        <v>1539</v>
      </c>
    </row>
    <row r="6698" spans="1:6">
      <c r="A6698">
        <v>12506</v>
      </c>
      <c r="B6698" t="s">
        <v>734</v>
      </c>
      <c r="C6698">
        <v>10219.74</v>
      </c>
      <c r="D6698" t="s">
        <v>822</v>
      </c>
      <c r="E6698" t="s">
        <v>1538</v>
      </c>
      <c r="F6698" t="s">
        <v>1541</v>
      </c>
    </row>
    <row r="6699" spans="1:6">
      <c r="A6699">
        <v>12506</v>
      </c>
      <c r="B6699" t="s">
        <v>734</v>
      </c>
      <c r="C6699">
        <v>5943.18</v>
      </c>
      <c r="D6699" t="s">
        <v>823</v>
      </c>
      <c r="E6699" t="s">
        <v>1432</v>
      </c>
      <c r="F6699" t="s">
        <v>1433</v>
      </c>
    </row>
    <row r="6700" spans="1:6">
      <c r="A6700">
        <v>12506</v>
      </c>
      <c r="B6700" t="s">
        <v>734</v>
      </c>
      <c r="C6700">
        <v>17613.22</v>
      </c>
      <c r="D6700" t="s">
        <v>824</v>
      </c>
      <c r="E6700" t="s">
        <v>1432</v>
      </c>
      <c r="F6700" t="s">
        <v>1435</v>
      </c>
    </row>
    <row r="6701" spans="1:6">
      <c r="A6701">
        <v>12578</v>
      </c>
      <c r="B6701" t="s">
        <v>735</v>
      </c>
      <c r="C6701">
        <v>5955</v>
      </c>
      <c r="D6701" t="s">
        <v>1037</v>
      </c>
      <c r="E6701" t="s">
        <v>1221</v>
      </c>
      <c r="F6701" t="s">
        <v>1222</v>
      </c>
    </row>
    <row r="6702" spans="1:6">
      <c r="A6702">
        <v>12578</v>
      </c>
      <c r="B6702" t="s">
        <v>735</v>
      </c>
      <c r="C6702">
        <v>7607</v>
      </c>
      <c r="D6702" t="s">
        <v>1038</v>
      </c>
      <c r="E6702" t="s">
        <v>1221</v>
      </c>
      <c r="F6702" t="s">
        <v>1224</v>
      </c>
    </row>
    <row r="6703" spans="1:6">
      <c r="A6703">
        <v>12578</v>
      </c>
      <c r="B6703" t="s">
        <v>735</v>
      </c>
      <c r="C6703">
        <v>355</v>
      </c>
      <c r="D6703" t="s">
        <v>1039</v>
      </c>
      <c r="E6703" t="s">
        <v>1226</v>
      </c>
      <c r="F6703" t="s">
        <v>1227</v>
      </c>
    </row>
    <row r="6704" spans="1:6">
      <c r="A6704">
        <v>12578</v>
      </c>
      <c r="B6704" t="s">
        <v>735</v>
      </c>
      <c r="C6704">
        <v>522</v>
      </c>
      <c r="D6704" t="s">
        <v>1040</v>
      </c>
      <c r="E6704" t="s">
        <v>1226</v>
      </c>
      <c r="F6704" t="s">
        <v>1229</v>
      </c>
    </row>
    <row r="6705" spans="1:6">
      <c r="A6705">
        <v>12662</v>
      </c>
      <c r="B6705" t="s">
        <v>736</v>
      </c>
      <c r="C6705">
        <v>73592</v>
      </c>
      <c r="D6705" t="s">
        <v>1449</v>
      </c>
      <c r="E6705" t="s">
        <v>1450</v>
      </c>
      <c r="F6705" t="s">
        <v>1451</v>
      </c>
    </row>
    <row r="6706" spans="1:6">
      <c r="A6706">
        <v>12662</v>
      </c>
      <c r="B6706" t="s">
        <v>736</v>
      </c>
      <c r="C6706">
        <v>137986</v>
      </c>
      <c r="D6706" t="s">
        <v>1452</v>
      </c>
      <c r="E6706" t="s">
        <v>1450</v>
      </c>
      <c r="F6706" t="s">
        <v>1453</v>
      </c>
    </row>
    <row r="6707" spans="1:6">
      <c r="A6707">
        <v>12663</v>
      </c>
      <c r="B6707" t="s">
        <v>737</v>
      </c>
      <c r="C6707">
        <v>2222</v>
      </c>
      <c r="D6707" t="s">
        <v>1037</v>
      </c>
      <c r="E6707" t="s">
        <v>1221</v>
      </c>
      <c r="F6707" t="s">
        <v>1222</v>
      </c>
    </row>
    <row r="6708" spans="1:6">
      <c r="A6708">
        <v>12663</v>
      </c>
      <c r="B6708" t="s">
        <v>737</v>
      </c>
      <c r="C6708">
        <v>5581</v>
      </c>
      <c r="D6708" t="s">
        <v>1038</v>
      </c>
      <c r="E6708" t="s">
        <v>1221</v>
      </c>
      <c r="F6708" t="s">
        <v>1224</v>
      </c>
    </row>
    <row r="6709" spans="1:6">
      <c r="A6709">
        <v>12663</v>
      </c>
      <c r="B6709" t="s">
        <v>737</v>
      </c>
      <c r="C6709">
        <v>486</v>
      </c>
      <c r="D6709" t="s">
        <v>1039</v>
      </c>
      <c r="E6709" t="s">
        <v>1226</v>
      </c>
      <c r="F6709" t="s">
        <v>1227</v>
      </c>
    </row>
    <row r="6710" spans="1:6">
      <c r="A6710">
        <v>12663</v>
      </c>
      <c r="B6710" t="s">
        <v>737</v>
      </c>
      <c r="C6710">
        <v>1178</v>
      </c>
      <c r="D6710" t="s">
        <v>1040</v>
      </c>
      <c r="E6710" t="s">
        <v>1226</v>
      </c>
      <c r="F6710" t="s">
        <v>1229</v>
      </c>
    </row>
    <row r="6711" spans="1:6">
      <c r="A6711">
        <v>12750</v>
      </c>
      <c r="B6711" t="s">
        <v>738</v>
      </c>
      <c r="C6711">
        <v>18686</v>
      </c>
      <c r="D6711" t="s">
        <v>817</v>
      </c>
      <c r="E6711" t="s">
        <v>1424</v>
      </c>
      <c r="F6711" t="s">
        <v>1425</v>
      </c>
    </row>
    <row r="6712" spans="1:6">
      <c r="A6712">
        <v>12750</v>
      </c>
      <c r="B6712" t="s">
        <v>738</v>
      </c>
      <c r="C6712">
        <v>1570</v>
      </c>
      <c r="D6712" t="s">
        <v>818</v>
      </c>
      <c r="E6712" t="s">
        <v>1429</v>
      </c>
      <c r="F6712" t="s">
        <v>1430</v>
      </c>
    </row>
    <row r="6713" spans="1:6">
      <c r="A6713">
        <v>12774</v>
      </c>
      <c r="B6713" t="s">
        <v>739</v>
      </c>
      <c r="C6713">
        <v>12261</v>
      </c>
      <c r="D6713" t="s">
        <v>1037</v>
      </c>
      <c r="E6713" t="s">
        <v>1221</v>
      </c>
      <c r="F6713" t="s">
        <v>1222</v>
      </c>
    </row>
    <row r="6714" spans="1:6">
      <c r="A6714">
        <v>12774</v>
      </c>
      <c r="B6714" t="s">
        <v>739</v>
      </c>
      <c r="C6714">
        <v>15820</v>
      </c>
      <c r="D6714" t="s">
        <v>1038</v>
      </c>
      <c r="E6714" t="s">
        <v>1221</v>
      </c>
      <c r="F6714" t="s">
        <v>1224</v>
      </c>
    </row>
    <row r="6715" spans="1:6">
      <c r="A6715">
        <v>12774</v>
      </c>
      <c r="B6715" t="s">
        <v>739</v>
      </c>
      <c r="C6715">
        <v>699</v>
      </c>
      <c r="D6715" t="s">
        <v>1039</v>
      </c>
      <c r="E6715" t="s">
        <v>1226</v>
      </c>
      <c r="F6715" t="s">
        <v>1227</v>
      </c>
    </row>
    <row r="6716" spans="1:6">
      <c r="A6716">
        <v>12774</v>
      </c>
      <c r="B6716" t="s">
        <v>739</v>
      </c>
      <c r="C6716">
        <v>919</v>
      </c>
      <c r="D6716" t="s">
        <v>1040</v>
      </c>
      <c r="E6716" t="s">
        <v>1226</v>
      </c>
      <c r="F6716" t="s">
        <v>1229</v>
      </c>
    </row>
    <row r="6717" spans="1:6">
      <c r="A6717">
        <v>12843</v>
      </c>
      <c r="B6717" t="s">
        <v>740</v>
      </c>
      <c r="C6717">
        <v>60000</v>
      </c>
      <c r="D6717" t="s">
        <v>741</v>
      </c>
      <c r="E6717" t="s">
        <v>742</v>
      </c>
      <c r="F6717" t="s">
        <v>743</v>
      </c>
    </row>
    <row r="6718" spans="1:6">
      <c r="A6718">
        <v>12844</v>
      </c>
      <c r="B6718" t="s">
        <v>744</v>
      </c>
      <c r="C6718">
        <v>5647</v>
      </c>
      <c r="D6718" t="s">
        <v>817</v>
      </c>
      <c r="E6718" t="s">
        <v>1424</v>
      </c>
      <c r="F6718" t="s">
        <v>1425</v>
      </c>
    </row>
    <row r="6719" spans="1:6">
      <c r="A6719">
        <v>12844</v>
      </c>
      <c r="B6719" t="s">
        <v>744</v>
      </c>
      <c r="C6719">
        <v>491</v>
      </c>
      <c r="D6719" t="s">
        <v>818</v>
      </c>
      <c r="E6719" t="s">
        <v>1429</v>
      </c>
      <c r="F6719" t="s">
        <v>1430</v>
      </c>
    </row>
    <row r="6720" spans="1:6">
      <c r="A6720">
        <v>12951</v>
      </c>
      <c r="B6720" t="s">
        <v>746</v>
      </c>
      <c r="C6720">
        <v>60000</v>
      </c>
      <c r="D6720" t="s">
        <v>747</v>
      </c>
      <c r="E6720" t="s">
        <v>1437</v>
      </c>
      <c r="F6720" t="s">
        <v>748</v>
      </c>
    </row>
    <row r="6721" spans="1:6">
      <c r="A6721">
        <v>13116</v>
      </c>
      <c r="B6721" t="s">
        <v>749</v>
      </c>
      <c r="C6721">
        <v>102250</v>
      </c>
      <c r="D6721" t="s">
        <v>1404</v>
      </c>
      <c r="E6721" t="s">
        <v>1405</v>
      </c>
      <c r="F6721" t="s">
        <v>1406</v>
      </c>
    </row>
    <row r="6722" spans="1:6">
      <c r="A6722">
        <v>13116</v>
      </c>
      <c r="B6722" t="s">
        <v>749</v>
      </c>
      <c r="C6722">
        <v>102250</v>
      </c>
      <c r="D6722" t="s">
        <v>1317</v>
      </c>
      <c r="E6722" t="s">
        <v>1405</v>
      </c>
      <c r="F6722" t="s">
        <v>1406</v>
      </c>
    </row>
    <row r="6723" spans="1:6">
      <c r="A6723">
        <v>13278</v>
      </c>
      <c r="B6723" t="s">
        <v>616</v>
      </c>
      <c r="C6723">
        <v>21832</v>
      </c>
      <c r="D6723" t="s">
        <v>1037</v>
      </c>
      <c r="E6723" t="s">
        <v>1221</v>
      </c>
      <c r="F6723" t="s">
        <v>1222</v>
      </c>
    </row>
    <row r="6724" spans="1:6">
      <c r="A6724">
        <v>13278</v>
      </c>
      <c r="B6724" t="s">
        <v>616</v>
      </c>
      <c r="C6724">
        <v>47538</v>
      </c>
      <c r="D6724" t="s">
        <v>1038</v>
      </c>
      <c r="E6724" t="s">
        <v>1221</v>
      </c>
      <c r="F6724" t="s">
        <v>1224</v>
      </c>
    </row>
    <row r="6725" spans="1:6">
      <c r="A6725">
        <v>13278</v>
      </c>
      <c r="B6725" t="s">
        <v>616</v>
      </c>
      <c r="C6725">
        <v>1482</v>
      </c>
      <c r="D6725" t="s">
        <v>1039</v>
      </c>
      <c r="E6725" t="s">
        <v>1226</v>
      </c>
      <c r="F6725" t="s">
        <v>1227</v>
      </c>
    </row>
    <row r="6726" spans="1:6">
      <c r="A6726">
        <v>13278</v>
      </c>
      <c r="B6726" t="s">
        <v>616</v>
      </c>
      <c r="C6726">
        <v>2109</v>
      </c>
      <c r="D6726" t="s">
        <v>1040</v>
      </c>
      <c r="E6726" t="s">
        <v>1226</v>
      </c>
      <c r="F6726" t="s">
        <v>1229</v>
      </c>
    </row>
    <row r="6727" spans="1:6">
      <c r="A6727">
        <v>13616</v>
      </c>
      <c r="B6727" t="s">
        <v>617</v>
      </c>
      <c r="C6727">
        <v>1453.47</v>
      </c>
      <c r="D6727" t="s">
        <v>755</v>
      </c>
      <c r="E6727" t="s">
        <v>1375</v>
      </c>
      <c r="F6727" t="s">
        <v>1376</v>
      </c>
    </row>
    <row r="6728" spans="1:6">
      <c r="A6728">
        <v>13616</v>
      </c>
      <c r="B6728" t="s">
        <v>617</v>
      </c>
      <c r="C6728">
        <v>2657.71</v>
      </c>
      <c r="D6728" t="s">
        <v>756</v>
      </c>
      <c r="E6728" t="s">
        <v>1375</v>
      </c>
      <c r="F6728" t="s">
        <v>1378</v>
      </c>
    </row>
    <row r="6729" spans="1:6">
      <c r="A6729">
        <v>13688</v>
      </c>
      <c r="B6729" t="s">
        <v>618</v>
      </c>
      <c r="C6729">
        <v>3020</v>
      </c>
      <c r="D6729" t="s">
        <v>821</v>
      </c>
      <c r="E6729" t="s">
        <v>1538</v>
      </c>
      <c r="F6729" t="s">
        <v>1539</v>
      </c>
    </row>
    <row r="6730" spans="1:6">
      <c r="A6730">
        <v>13688</v>
      </c>
      <c r="B6730" t="s">
        <v>618</v>
      </c>
      <c r="C6730">
        <v>3711.24</v>
      </c>
      <c r="D6730" t="s">
        <v>822</v>
      </c>
      <c r="E6730" t="s">
        <v>1538</v>
      </c>
      <c r="F6730" t="s">
        <v>1541</v>
      </c>
    </row>
    <row r="6731" spans="1:6">
      <c r="A6731">
        <v>13778</v>
      </c>
      <c r="B6731" t="s">
        <v>619</v>
      </c>
      <c r="C6731">
        <v>102.84</v>
      </c>
      <c r="D6731" t="s">
        <v>755</v>
      </c>
      <c r="E6731" t="s">
        <v>1375</v>
      </c>
      <c r="F6731" t="s">
        <v>1376</v>
      </c>
    </row>
    <row r="6732" spans="1:6">
      <c r="A6732">
        <v>13778</v>
      </c>
      <c r="B6732" t="s">
        <v>619</v>
      </c>
      <c r="C6732">
        <v>582.09</v>
      </c>
      <c r="D6732" t="s">
        <v>756</v>
      </c>
      <c r="E6732" t="s">
        <v>1375</v>
      </c>
      <c r="F6732" t="s">
        <v>1378</v>
      </c>
    </row>
    <row r="6733" spans="1:6">
      <c r="A6733">
        <v>13779</v>
      </c>
      <c r="B6733" t="s">
        <v>620</v>
      </c>
      <c r="C6733">
        <v>202.75</v>
      </c>
      <c r="D6733" t="s">
        <v>755</v>
      </c>
      <c r="E6733" t="s">
        <v>1375</v>
      </c>
      <c r="F6733" t="s">
        <v>1376</v>
      </c>
    </row>
    <row r="6734" spans="1:6">
      <c r="A6734">
        <v>13779</v>
      </c>
      <c r="B6734" t="s">
        <v>620</v>
      </c>
      <c r="C6734">
        <v>463.57</v>
      </c>
      <c r="D6734" t="s">
        <v>756</v>
      </c>
      <c r="E6734" t="s">
        <v>1375</v>
      </c>
      <c r="F6734" t="s">
        <v>1378</v>
      </c>
    </row>
    <row r="6735" spans="1:6">
      <c r="A6735">
        <v>13937</v>
      </c>
      <c r="B6735" t="s">
        <v>621</v>
      </c>
      <c r="C6735">
        <v>964.93</v>
      </c>
      <c r="D6735" t="s">
        <v>755</v>
      </c>
      <c r="E6735" t="s">
        <v>1375</v>
      </c>
      <c r="F6735" t="s">
        <v>1376</v>
      </c>
    </row>
    <row r="6736" spans="1:6">
      <c r="A6736">
        <v>13937</v>
      </c>
      <c r="B6736" t="s">
        <v>621</v>
      </c>
      <c r="C6736">
        <v>1506.57</v>
      </c>
      <c r="D6736" t="s">
        <v>756</v>
      </c>
      <c r="E6736" t="s">
        <v>1375</v>
      </c>
      <c r="F6736" t="s">
        <v>1378</v>
      </c>
    </row>
    <row r="6737" spans="1:6">
      <c r="A6737">
        <v>13938</v>
      </c>
      <c r="B6737" t="s">
        <v>622</v>
      </c>
      <c r="C6737">
        <v>383</v>
      </c>
      <c r="D6737" t="s">
        <v>820</v>
      </c>
      <c r="E6737" t="s">
        <v>1490</v>
      </c>
      <c r="F6737" t="s">
        <v>1491</v>
      </c>
    </row>
    <row r="6738" spans="1:6">
      <c r="A6738">
        <v>13938</v>
      </c>
      <c r="B6738" t="s">
        <v>622</v>
      </c>
      <c r="C6738">
        <v>2053.79</v>
      </c>
      <c r="D6738" t="s">
        <v>823</v>
      </c>
      <c r="E6738" t="s">
        <v>1432</v>
      </c>
      <c r="F6738" t="s">
        <v>1433</v>
      </c>
    </row>
    <row r="6739" spans="1:6">
      <c r="A6739">
        <v>13938</v>
      </c>
      <c r="B6739" t="s">
        <v>622</v>
      </c>
      <c r="C6739">
        <v>4517.3900000000003</v>
      </c>
      <c r="D6739" t="s">
        <v>824</v>
      </c>
      <c r="E6739" t="s">
        <v>1432</v>
      </c>
      <c r="F6739" t="s">
        <v>1435</v>
      </c>
    </row>
    <row r="6740" spans="1:6">
      <c r="A6740">
        <v>13939</v>
      </c>
      <c r="B6740" t="s">
        <v>623</v>
      </c>
      <c r="C6740">
        <v>385</v>
      </c>
      <c r="D6740" t="s">
        <v>820</v>
      </c>
      <c r="E6740" t="s">
        <v>1490</v>
      </c>
      <c r="F6740" t="s">
        <v>1491</v>
      </c>
    </row>
    <row r="6741" spans="1:6">
      <c r="A6741">
        <v>13939</v>
      </c>
      <c r="B6741" t="s">
        <v>623</v>
      </c>
      <c r="C6741">
        <v>815.15</v>
      </c>
      <c r="D6741" t="s">
        <v>823</v>
      </c>
      <c r="E6741" t="s">
        <v>1432</v>
      </c>
      <c r="F6741" t="s">
        <v>1433</v>
      </c>
    </row>
    <row r="6742" spans="1:6">
      <c r="A6742">
        <v>13939</v>
      </c>
      <c r="B6742" t="s">
        <v>623</v>
      </c>
      <c r="C6742">
        <v>1572.92</v>
      </c>
      <c r="D6742" t="s">
        <v>824</v>
      </c>
      <c r="E6742" t="s">
        <v>1432</v>
      </c>
      <c r="F6742" t="s">
        <v>1435</v>
      </c>
    </row>
    <row r="6743" spans="1:6">
      <c r="A6743">
        <v>13941</v>
      </c>
      <c r="B6743" t="s">
        <v>624</v>
      </c>
      <c r="C6743">
        <v>459.78</v>
      </c>
      <c r="D6743" t="s">
        <v>755</v>
      </c>
      <c r="E6743" t="s">
        <v>1375</v>
      </c>
      <c r="F6743" t="s">
        <v>1376</v>
      </c>
    </row>
    <row r="6744" spans="1:6">
      <c r="A6744">
        <v>13941</v>
      </c>
      <c r="B6744" t="s">
        <v>624</v>
      </c>
      <c r="C6744">
        <v>1178.72</v>
      </c>
      <c r="D6744" t="s">
        <v>756</v>
      </c>
      <c r="E6744" t="s">
        <v>1375</v>
      </c>
      <c r="F6744" t="s">
        <v>1378</v>
      </c>
    </row>
    <row r="6745" spans="1:6">
      <c r="A6745">
        <v>14120</v>
      </c>
      <c r="B6745" t="s">
        <v>625</v>
      </c>
      <c r="C6745">
        <v>88000</v>
      </c>
      <c r="D6745" t="s">
        <v>1018</v>
      </c>
      <c r="E6745" t="s">
        <v>1019</v>
      </c>
      <c r="F6745" t="s">
        <v>1020</v>
      </c>
    </row>
    <row r="6746" spans="1:6">
      <c r="A6746">
        <v>14142</v>
      </c>
      <c r="B6746" t="s">
        <v>626</v>
      </c>
      <c r="C6746">
        <v>75000</v>
      </c>
      <c r="D6746" t="s">
        <v>1349</v>
      </c>
      <c r="E6746" t="s">
        <v>1350</v>
      </c>
      <c r="F6746" t="s">
        <v>1351</v>
      </c>
    </row>
    <row r="6747" spans="1:6">
      <c r="A6747">
        <v>14142</v>
      </c>
      <c r="B6747" t="s">
        <v>626</v>
      </c>
      <c r="C6747">
        <v>16382</v>
      </c>
      <c r="D6747" t="s">
        <v>1037</v>
      </c>
      <c r="E6747" t="s">
        <v>1221</v>
      </c>
      <c r="F6747" t="s">
        <v>1222</v>
      </c>
    </row>
    <row r="6748" spans="1:6">
      <c r="A6748">
        <v>14142</v>
      </c>
      <c r="B6748" t="s">
        <v>626</v>
      </c>
      <c r="C6748">
        <v>22467</v>
      </c>
      <c r="D6748" t="s">
        <v>1038</v>
      </c>
      <c r="E6748" t="s">
        <v>1221</v>
      </c>
      <c r="F6748" t="s">
        <v>1224</v>
      </c>
    </row>
    <row r="6749" spans="1:6">
      <c r="A6749">
        <v>14142</v>
      </c>
      <c r="B6749" t="s">
        <v>626</v>
      </c>
      <c r="C6749">
        <v>875</v>
      </c>
      <c r="D6749" t="s">
        <v>1039</v>
      </c>
      <c r="E6749" t="s">
        <v>1226</v>
      </c>
      <c r="F6749" t="s">
        <v>1227</v>
      </c>
    </row>
    <row r="6750" spans="1:6">
      <c r="A6750">
        <v>14142</v>
      </c>
      <c r="B6750" t="s">
        <v>626</v>
      </c>
      <c r="C6750">
        <v>1166</v>
      </c>
      <c r="D6750" t="s">
        <v>1040</v>
      </c>
      <c r="E6750" t="s">
        <v>1226</v>
      </c>
      <c r="F6750" t="s">
        <v>1229</v>
      </c>
    </row>
    <row r="6751" spans="1:6">
      <c r="A6751">
        <v>14385</v>
      </c>
      <c r="B6751" t="s">
        <v>628</v>
      </c>
      <c r="C6751">
        <v>2187</v>
      </c>
      <c r="D6751" t="s">
        <v>820</v>
      </c>
      <c r="E6751" t="s">
        <v>1490</v>
      </c>
      <c r="F6751" t="s">
        <v>1491</v>
      </c>
    </row>
    <row r="6752" spans="1:6">
      <c r="A6752">
        <v>14385</v>
      </c>
      <c r="B6752" t="s">
        <v>628</v>
      </c>
      <c r="C6752">
        <v>19592.580000000002</v>
      </c>
      <c r="D6752" t="s">
        <v>823</v>
      </c>
      <c r="E6752" t="s">
        <v>1432</v>
      </c>
      <c r="F6752" t="s">
        <v>1433</v>
      </c>
    </row>
    <row r="6753" spans="1:6">
      <c r="A6753">
        <v>14385</v>
      </c>
      <c r="B6753" t="s">
        <v>628</v>
      </c>
      <c r="C6753">
        <v>64223.72</v>
      </c>
      <c r="D6753" t="s">
        <v>824</v>
      </c>
      <c r="E6753" t="s">
        <v>1432</v>
      </c>
      <c r="F6753" t="s">
        <v>1435</v>
      </c>
    </row>
    <row r="6754" spans="1:6">
      <c r="A6754">
        <v>14493</v>
      </c>
      <c r="B6754" t="s">
        <v>631</v>
      </c>
      <c r="C6754">
        <v>336870</v>
      </c>
      <c r="D6754" t="s">
        <v>632</v>
      </c>
      <c r="E6754" t="s">
        <v>633</v>
      </c>
      <c r="F6754" t="s">
        <v>634</v>
      </c>
    </row>
    <row r="6755" spans="1:6">
      <c r="A6755">
        <v>14715</v>
      </c>
      <c r="B6755" t="s">
        <v>622</v>
      </c>
      <c r="C6755">
        <v>604</v>
      </c>
      <c r="D6755" t="s">
        <v>820</v>
      </c>
      <c r="E6755" t="s">
        <v>1490</v>
      </c>
      <c r="F6755" t="s">
        <v>1491</v>
      </c>
    </row>
    <row r="6756" spans="1:6">
      <c r="A6756">
        <v>14715</v>
      </c>
      <c r="B6756" t="s">
        <v>622</v>
      </c>
      <c r="C6756">
        <v>1120.49</v>
      </c>
      <c r="D6756" t="s">
        <v>823</v>
      </c>
      <c r="E6756" t="s">
        <v>1432</v>
      </c>
      <c r="F6756" t="s">
        <v>1433</v>
      </c>
    </row>
    <row r="6757" spans="1:6">
      <c r="A6757">
        <v>14715</v>
      </c>
      <c r="B6757" t="s">
        <v>622</v>
      </c>
      <c r="C6757">
        <v>2332.94</v>
      </c>
      <c r="D6757" t="s">
        <v>824</v>
      </c>
      <c r="E6757" t="s">
        <v>1432</v>
      </c>
      <c r="F6757" t="s">
        <v>1435</v>
      </c>
    </row>
    <row r="6758" spans="1:6">
      <c r="A6758">
        <v>14717</v>
      </c>
      <c r="B6758" t="s">
        <v>635</v>
      </c>
      <c r="C6758">
        <v>749</v>
      </c>
      <c r="D6758" t="s">
        <v>820</v>
      </c>
      <c r="E6758" t="s">
        <v>1490</v>
      </c>
      <c r="F6758" t="s">
        <v>1491</v>
      </c>
    </row>
    <row r="6759" spans="1:6">
      <c r="A6759">
        <v>14717</v>
      </c>
      <c r="B6759" t="s">
        <v>635</v>
      </c>
      <c r="C6759">
        <v>2198.88</v>
      </c>
      <c r="D6759" t="s">
        <v>823</v>
      </c>
      <c r="E6759" t="s">
        <v>1432</v>
      </c>
      <c r="F6759" t="s">
        <v>1433</v>
      </c>
    </row>
    <row r="6760" spans="1:6">
      <c r="A6760">
        <v>14717</v>
      </c>
      <c r="B6760" t="s">
        <v>635</v>
      </c>
      <c r="C6760">
        <v>4875.4399999999996</v>
      </c>
      <c r="D6760" t="s">
        <v>824</v>
      </c>
      <c r="E6760" t="s">
        <v>1432</v>
      </c>
      <c r="F6760" t="s">
        <v>1435</v>
      </c>
    </row>
    <row r="6761" spans="1:6">
      <c r="A6761">
        <v>14718</v>
      </c>
      <c r="B6761" t="s">
        <v>636</v>
      </c>
      <c r="C6761">
        <v>279</v>
      </c>
      <c r="D6761" t="s">
        <v>820</v>
      </c>
      <c r="E6761" t="s">
        <v>1490</v>
      </c>
      <c r="F6761" t="s">
        <v>1491</v>
      </c>
    </row>
    <row r="6762" spans="1:6">
      <c r="A6762">
        <v>14718</v>
      </c>
      <c r="B6762" t="s">
        <v>636</v>
      </c>
      <c r="C6762">
        <v>1271.5999999999999</v>
      </c>
      <c r="D6762" t="s">
        <v>823</v>
      </c>
      <c r="E6762" t="s">
        <v>1432</v>
      </c>
      <c r="F6762" t="s">
        <v>1433</v>
      </c>
    </row>
    <row r="6763" spans="1:6">
      <c r="A6763">
        <v>14718</v>
      </c>
      <c r="B6763" t="s">
        <v>636</v>
      </c>
      <c r="C6763">
        <v>5707.6</v>
      </c>
      <c r="D6763" t="s">
        <v>824</v>
      </c>
      <c r="E6763" t="s">
        <v>1432</v>
      </c>
      <c r="F6763" t="s">
        <v>1435</v>
      </c>
    </row>
    <row r="6764" spans="1:6">
      <c r="A6764">
        <v>14719</v>
      </c>
      <c r="B6764" t="s">
        <v>621</v>
      </c>
      <c r="C6764">
        <v>442</v>
      </c>
      <c r="D6764" t="s">
        <v>820</v>
      </c>
      <c r="E6764" t="s">
        <v>1490</v>
      </c>
      <c r="F6764" t="s">
        <v>1491</v>
      </c>
    </row>
    <row r="6765" spans="1:6">
      <c r="A6765">
        <v>14719</v>
      </c>
      <c r="B6765" t="s">
        <v>621</v>
      </c>
      <c r="C6765">
        <v>872.01</v>
      </c>
      <c r="D6765" t="s">
        <v>823</v>
      </c>
      <c r="E6765" t="s">
        <v>1432</v>
      </c>
      <c r="F6765" t="s">
        <v>1433</v>
      </c>
    </row>
    <row r="6766" spans="1:6">
      <c r="A6766">
        <v>14719</v>
      </c>
      <c r="B6766" t="s">
        <v>621</v>
      </c>
      <c r="C6766">
        <v>3091.77</v>
      </c>
      <c r="D6766" t="s">
        <v>824</v>
      </c>
      <c r="E6766" t="s">
        <v>1432</v>
      </c>
      <c r="F6766" t="s">
        <v>1435</v>
      </c>
    </row>
    <row r="6767" spans="1:6">
      <c r="A6767">
        <v>14720</v>
      </c>
      <c r="B6767" t="s">
        <v>637</v>
      </c>
      <c r="C6767">
        <v>926</v>
      </c>
      <c r="D6767" t="s">
        <v>820</v>
      </c>
      <c r="E6767" t="s">
        <v>1490</v>
      </c>
      <c r="F6767" t="s">
        <v>1491</v>
      </c>
    </row>
    <row r="6768" spans="1:6">
      <c r="A6768">
        <v>14720</v>
      </c>
      <c r="B6768" t="s">
        <v>637</v>
      </c>
      <c r="C6768">
        <v>2901.43</v>
      </c>
      <c r="D6768" t="s">
        <v>823</v>
      </c>
      <c r="E6768" t="s">
        <v>1432</v>
      </c>
      <c r="F6768" t="s">
        <v>1433</v>
      </c>
    </row>
    <row r="6769" spans="1:6">
      <c r="A6769">
        <v>14720</v>
      </c>
      <c r="B6769" t="s">
        <v>637</v>
      </c>
      <c r="C6769">
        <v>6110.45</v>
      </c>
      <c r="D6769" t="s">
        <v>824</v>
      </c>
      <c r="E6769" t="s">
        <v>1432</v>
      </c>
      <c r="F6769" t="s">
        <v>1435</v>
      </c>
    </row>
    <row r="6770" spans="1:6">
      <c r="A6770">
        <v>14721</v>
      </c>
      <c r="B6770" t="s">
        <v>638</v>
      </c>
      <c r="C6770">
        <v>1095</v>
      </c>
      <c r="D6770" t="s">
        <v>820</v>
      </c>
      <c r="E6770" t="s">
        <v>1490</v>
      </c>
      <c r="F6770" t="s">
        <v>1491</v>
      </c>
    </row>
    <row r="6771" spans="1:6">
      <c r="A6771">
        <v>14721</v>
      </c>
      <c r="B6771" t="s">
        <v>638</v>
      </c>
      <c r="C6771">
        <v>11216.27</v>
      </c>
      <c r="D6771" t="s">
        <v>823</v>
      </c>
      <c r="E6771" t="s">
        <v>1432</v>
      </c>
      <c r="F6771" t="s">
        <v>1433</v>
      </c>
    </row>
    <row r="6772" spans="1:6">
      <c r="A6772">
        <v>14721</v>
      </c>
      <c r="B6772" t="s">
        <v>638</v>
      </c>
      <c r="C6772">
        <v>28636.82</v>
      </c>
      <c r="D6772" t="s">
        <v>824</v>
      </c>
      <c r="E6772" t="s">
        <v>1432</v>
      </c>
      <c r="F6772" t="s">
        <v>1435</v>
      </c>
    </row>
    <row r="6773" spans="1:6">
      <c r="A6773">
        <v>14722</v>
      </c>
      <c r="B6773" t="s">
        <v>639</v>
      </c>
      <c r="C6773">
        <v>285</v>
      </c>
      <c r="D6773" t="s">
        <v>820</v>
      </c>
      <c r="E6773" t="s">
        <v>1490</v>
      </c>
      <c r="F6773" t="s">
        <v>1491</v>
      </c>
    </row>
    <row r="6774" spans="1:6">
      <c r="A6774">
        <v>14722</v>
      </c>
      <c r="B6774" t="s">
        <v>639</v>
      </c>
      <c r="C6774">
        <v>630.45000000000005</v>
      </c>
      <c r="D6774" t="s">
        <v>823</v>
      </c>
      <c r="E6774" t="s">
        <v>1432</v>
      </c>
      <c r="F6774" t="s">
        <v>1433</v>
      </c>
    </row>
    <row r="6775" spans="1:6">
      <c r="A6775">
        <v>14722</v>
      </c>
      <c r="B6775" t="s">
        <v>639</v>
      </c>
      <c r="C6775">
        <v>1605.36</v>
      </c>
      <c r="D6775" t="s">
        <v>824</v>
      </c>
      <c r="E6775" t="s">
        <v>1432</v>
      </c>
      <c r="F6775" t="s">
        <v>1435</v>
      </c>
    </row>
    <row r="6776" spans="1:6">
      <c r="A6776">
        <v>14816</v>
      </c>
      <c r="B6776" t="s">
        <v>640</v>
      </c>
      <c r="C6776">
        <v>602</v>
      </c>
      <c r="D6776" t="s">
        <v>820</v>
      </c>
      <c r="E6776" t="s">
        <v>1490</v>
      </c>
      <c r="F6776" t="s">
        <v>1491</v>
      </c>
    </row>
    <row r="6777" spans="1:6">
      <c r="A6777">
        <v>14816</v>
      </c>
      <c r="B6777" t="s">
        <v>640</v>
      </c>
      <c r="C6777">
        <v>3827.2</v>
      </c>
      <c r="D6777" t="s">
        <v>823</v>
      </c>
      <c r="E6777" t="s">
        <v>1432</v>
      </c>
      <c r="F6777" t="s">
        <v>1433</v>
      </c>
    </row>
    <row r="6778" spans="1:6">
      <c r="A6778">
        <v>14816</v>
      </c>
      <c r="B6778" t="s">
        <v>640</v>
      </c>
      <c r="C6778">
        <v>8278.14</v>
      </c>
      <c r="D6778" t="s">
        <v>824</v>
      </c>
      <c r="E6778" t="s">
        <v>1432</v>
      </c>
      <c r="F6778" t="s">
        <v>1435</v>
      </c>
    </row>
    <row r="6779" spans="1:6">
      <c r="A6779">
        <v>14894</v>
      </c>
      <c r="B6779" t="s">
        <v>641</v>
      </c>
      <c r="C6779">
        <v>762</v>
      </c>
      <c r="D6779" t="s">
        <v>820</v>
      </c>
      <c r="E6779" t="s">
        <v>1490</v>
      </c>
      <c r="F6779" t="s">
        <v>1491</v>
      </c>
    </row>
    <row r="6780" spans="1:6">
      <c r="A6780">
        <v>14894</v>
      </c>
      <c r="B6780" t="s">
        <v>641</v>
      </c>
      <c r="C6780">
        <v>2144.88</v>
      </c>
      <c r="D6780" t="s">
        <v>823</v>
      </c>
      <c r="E6780" t="s">
        <v>1432</v>
      </c>
      <c r="F6780" t="s">
        <v>1433</v>
      </c>
    </row>
    <row r="6781" spans="1:6">
      <c r="A6781">
        <v>14894</v>
      </c>
      <c r="B6781" t="s">
        <v>641</v>
      </c>
      <c r="C6781">
        <v>5529.08</v>
      </c>
      <c r="D6781" t="s">
        <v>824</v>
      </c>
      <c r="E6781" t="s">
        <v>1432</v>
      </c>
      <c r="F6781" t="s">
        <v>1435</v>
      </c>
    </row>
    <row r="6782" spans="1:6">
      <c r="A6782">
        <v>14898</v>
      </c>
      <c r="B6782" t="s">
        <v>642</v>
      </c>
      <c r="C6782">
        <v>1010</v>
      </c>
      <c r="D6782" t="s">
        <v>820</v>
      </c>
      <c r="E6782" t="s">
        <v>1490</v>
      </c>
      <c r="F6782" t="s">
        <v>1491</v>
      </c>
    </row>
    <row r="6783" spans="1:6">
      <c r="A6783">
        <v>14898</v>
      </c>
      <c r="B6783" t="s">
        <v>642</v>
      </c>
      <c r="C6783">
        <v>2502.56</v>
      </c>
      <c r="D6783" t="s">
        <v>821</v>
      </c>
      <c r="E6783" t="s">
        <v>1538</v>
      </c>
      <c r="F6783" t="s">
        <v>1539</v>
      </c>
    </row>
    <row r="6784" spans="1:6">
      <c r="A6784">
        <v>14898</v>
      </c>
      <c r="B6784" t="s">
        <v>642</v>
      </c>
      <c r="C6784">
        <v>3348</v>
      </c>
      <c r="D6784" t="s">
        <v>822</v>
      </c>
      <c r="E6784" t="s">
        <v>1538</v>
      </c>
      <c r="F6784" t="s">
        <v>1541</v>
      </c>
    </row>
    <row r="6785" spans="1:6">
      <c r="A6785">
        <v>14898</v>
      </c>
      <c r="B6785" t="s">
        <v>642</v>
      </c>
      <c r="C6785">
        <v>14011.02</v>
      </c>
      <c r="D6785" t="s">
        <v>823</v>
      </c>
      <c r="E6785" t="s">
        <v>1432</v>
      </c>
      <c r="F6785" t="s">
        <v>1433</v>
      </c>
    </row>
    <row r="6786" spans="1:6">
      <c r="A6786">
        <v>14898</v>
      </c>
      <c r="B6786" t="s">
        <v>642</v>
      </c>
      <c r="C6786">
        <v>18748.849999999999</v>
      </c>
      <c r="D6786" t="s">
        <v>824</v>
      </c>
      <c r="E6786" t="s">
        <v>1432</v>
      </c>
      <c r="F6786" t="s">
        <v>1435</v>
      </c>
    </row>
    <row r="6787" spans="1:6">
      <c r="A6787">
        <v>15518</v>
      </c>
      <c r="B6787" t="s">
        <v>643</v>
      </c>
      <c r="C6787">
        <v>753.84</v>
      </c>
      <c r="D6787" t="s">
        <v>755</v>
      </c>
      <c r="E6787" t="s">
        <v>1375</v>
      </c>
      <c r="F6787" t="s">
        <v>1376</v>
      </c>
    </row>
    <row r="6788" spans="1:6">
      <c r="A6788">
        <v>15518</v>
      </c>
      <c r="B6788" t="s">
        <v>643</v>
      </c>
      <c r="C6788">
        <v>1804.11</v>
      </c>
      <c r="D6788" t="s">
        <v>756</v>
      </c>
      <c r="E6788" t="s">
        <v>1375</v>
      </c>
      <c r="F6788" t="s">
        <v>1378</v>
      </c>
    </row>
    <row r="6789" spans="1:6">
      <c r="A6789">
        <v>15535</v>
      </c>
      <c r="B6789" t="s">
        <v>644</v>
      </c>
      <c r="C6789">
        <v>1375.98</v>
      </c>
      <c r="D6789" t="s">
        <v>823</v>
      </c>
      <c r="E6789" t="s">
        <v>1432</v>
      </c>
      <c r="F6789" t="s">
        <v>1433</v>
      </c>
    </row>
    <row r="6790" spans="1:6">
      <c r="A6790">
        <v>15536</v>
      </c>
      <c r="B6790" t="s">
        <v>645</v>
      </c>
      <c r="C6790">
        <v>1266.46</v>
      </c>
      <c r="D6790" t="s">
        <v>755</v>
      </c>
      <c r="E6790" t="s">
        <v>1375</v>
      </c>
      <c r="F6790" t="s">
        <v>1376</v>
      </c>
    </row>
    <row r="6791" spans="1:6">
      <c r="A6791">
        <v>15536</v>
      </c>
      <c r="B6791" t="s">
        <v>645</v>
      </c>
      <c r="C6791">
        <v>2830.12</v>
      </c>
      <c r="D6791" t="s">
        <v>756</v>
      </c>
      <c r="E6791" t="s">
        <v>1375</v>
      </c>
      <c r="F6791" t="s">
        <v>1378</v>
      </c>
    </row>
    <row r="6792" spans="1:6">
      <c r="A6792">
        <v>15559</v>
      </c>
      <c r="B6792" t="s">
        <v>646</v>
      </c>
      <c r="C6792">
        <v>643</v>
      </c>
      <c r="D6792" t="s">
        <v>1037</v>
      </c>
      <c r="E6792" t="s">
        <v>1221</v>
      </c>
      <c r="F6792" t="s">
        <v>1222</v>
      </c>
    </row>
    <row r="6793" spans="1:6">
      <c r="A6793">
        <v>15559</v>
      </c>
      <c r="B6793" t="s">
        <v>646</v>
      </c>
      <c r="C6793">
        <v>886</v>
      </c>
      <c r="D6793" t="s">
        <v>1038</v>
      </c>
      <c r="E6793" t="s">
        <v>1221</v>
      </c>
      <c r="F6793" t="s">
        <v>1224</v>
      </c>
    </row>
    <row r="6794" spans="1:6">
      <c r="A6794">
        <v>15560</v>
      </c>
      <c r="B6794" t="s">
        <v>647</v>
      </c>
      <c r="C6794">
        <v>1530.17</v>
      </c>
      <c r="D6794" t="s">
        <v>755</v>
      </c>
      <c r="E6794" t="s">
        <v>1375</v>
      </c>
      <c r="F6794" t="s">
        <v>1376</v>
      </c>
    </row>
    <row r="6795" spans="1:6">
      <c r="A6795">
        <v>15560</v>
      </c>
      <c r="B6795" t="s">
        <v>647</v>
      </c>
      <c r="C6795">
        <v>3269.03</v>
      </c>
      <c r="D6795" t="s">
        <v>756</v>
      </c>
      <c r="E6795" t="s">
        <v>1375</v>
      </c>
      <c r="F6795" t="s">
        <v>1378</v>
      </c>
    </row>
    <row r="6796" spans="1:6">
      <c r="A6796">
        <v>15601</v>
      </c>
      <c r="B6796" t="s">
        <v>648</v>
      </c>
      <c r="C6796">
        <v>1026</v>
      </c>
      <c r="D6796" t="s">
        <v>1037</v>
      </c>
      <c r="E6796" t="s">
        <v>1221</v>
      </c>
      <c r="F6796" t="s">
        <v>1222</v>
      </c>
    </row>
    <row r="6797" spans="1:6">
      <c r="A6797">
        <v>15601</v>
      </c>
      <c r="B6797" t="s">
        <v>648</v>
      </c>
      <c r="C6797">
        <v>1340</v>
      </c>
      <c r="D6797" t="s">
        <v>1038</v>
      </c>
      <c r="E6797" t="s">
        <v>1221</v>
      </c>
      <c r="F6797" t="s">
        <v>1224</v>
      </c>
    </row>
    <row r="6798" spans="1:6">
      <c r="A6798">
        <v>15621</v>
      </c>
      <c r="B6798" t="s">
        <v>649</v>
      </c>
      <c r="C6798">
        <v>773.4</v>
      </c>
      <c r="D6798" t="s">
        <v>755</v>
      </c>
      <c r="E6798" t="s">
        <v>1375</v>
      </c>
      <c r="F6798" t="s">
        <v>1376</v>
      </c>
    </row>
    <row r="6799" spans="1:6">
      <c r="A6799">
        <v>15621</v>
      </c>
      <c r="B6799" t="s">
        <v>649</v>
      </c>
      <c r="C6799">
        <v>1817.15</v>
      </c>
      <c r="D6799" t="s">
        <v>756</v>
      </c>
      <c r="E6799" t="s">
        <v>1375</v>
      </c>
      <c r="F6799" t="s">
        <v>1378</v>
      </c>
    </row>
    <row r="6800" spans="1:6">
      <c r="A6800">
        <v>15691</v>
      </c>
      <c r="B6800" t="s">
        <v>650</v>
      </c>
      <c r="C6800">
        <v>875</v>
      </c>
      <c r="D6800" t="s">
        <v>1037</v>
      </c>
      <c r="E6800" t="s">
        <v>1221</v>
      </c>
      <c r="F6800" t="s">
        <v>1222</v>
      </c>
    </row>
    <row r="6801" spans="1:6">
      <c r="A6801">
        <v>15691</v>
      </c>
      <c r="B6801" t="s">
        <v>650</v>
      </c>
      <c r="C6801">
        <v>693</v>
      </c>
      <c r="D6801" t="s">
        <v>1038</v>
      </c>
      <c r="E6801" t="s">
        <v>1221</v>
      </c>
      <c r="F6801" t="s">
        <v>1224</v>
      </c>
    </row>
    <row r="6802" spans="1:6">
      <c r="A6802">
        <v>16157</v>
      </c>
      <c r="B6802" t="s">
        <v>651</v>
      </c>
      <c r="C6802">
        <v>1229.32</v>
      </c>
      <c r="D6802" t="s">
        <v>755</v>
      </c>
      <c r="E6802" t="s">
        <v>1375</v>
      </c>
      <c r="F6802" t="s">
        <v>1376</v>
      </c>
    </row>
    <row r="6803" spans="1:6">
      <c r="A6803">
        <v>16157</v>
      </c>
      <c r="B6803" t="s">
        <v>651</v>
      </c>
      <c r="C6803">
        <v>2268.54</v>
      </c>
      <c r="D6803" t="s">
        <v>756</v>
      </c>
      <c r="E6803" t="s">
        <v>1375</v>
      </c>
      <c r="F6803" t="s">
        <v>1378</v>
      </c>
    </row>
    <row r="6804" spans="1:6">
      <c r="A6804">
        <v>16158</v>
      </c>
      <c r="B6804" t="s">
        <v>652</v>
      </c>
      <c r="C6804">
        <v>980</v>
      </c>
      <c r="D6804" t="s">
        <v>820</v>
      </c>
      <c r="E6804" t="s">
        <v>1490</v>
      </c>
      <c r="F6804" t="s">
        <v>1491</v>
      </c>
    </row>
    <row r="6805" spans="1:6">
      <c r="A6805">
        <v>16158</v>
      </c>
      <c r="B6805" t="s">
        <v>652</v>
      </c>
      <c r="C6805">
        <v>2291.44</v>
      </c>
      <c r="D6805" t="s">
        <v>823</v>
      </c>
      <c r="E6805" t="s">
        <v>1432</v>
      </c>
      <c r="F6805" t="s">
        <v>1433</v>
      </c>
    </row>
    <row r="6806" spans="1:6">
      <c r="A6806">
        <v>16158</v>
      </c>
      <c r="B6806" t="s">
        <v>652</v>
      </c>
      <c r="C6806">
        <v>6122.86</v>
      </c>
      <c r="D6806" t="s">
        <v>824</v>
      </c>
      <c r="E6806" t="s">
        <v>1432</v>
      </c>
      <c r="F6806" t="s">
        <v>1435</v>
      </c>
    </row>
    <row r="6807" spans="1:6">
      <c r="A6807">
        <v>16159</v>
      </c>
      <c r="B6807" t="s">
        <v>653</v>
      </c>
      <c r="C6807">
        <v>564</v>
      </c>
      <c r="D6807" t="s">
        <v>820</v>
      </c>
      <c r="E6807" t="s">
        <v>1490</v>
      </c>
      <c r="F6807" t="s">
        <v>1491</v>
      </c>
    </row>
    <row r="6808" spans="1:6">
      <c r="A6808">
        <v>16159</v>
      </c>
      <c r="B6808" t="s">
        <v>653</v>
      </c>
      <c r="C6808">
        <v>1321.75</v>
      </c>
      <c r="D6808" t="s">
        <v>823</v>
      </c>
      <c r="E6808" t="s">
        <v>1432</v>
      </c>
      <c r="F6808" t="s">
        <v>1433</v>
      </c>
    </row>
    <row r="6809" spans="1:6">
      <c r="A6809">
        <v>16159</v>
      </c>
      <c r="B6809" t="s">
        <v>653</v>
      </c>
      <c r="C6809">
        <v>2946.82</v>
      </c>
      <c r="D6809" t="s">
        <v>824</v>
      </c>
      <c r="E6809" t="s">
        <v>1432</v>
      </c>
      <c r="F6809" t="s">
        <v>1435</v>
      </c>
    </row>
    <row r="6810" spans="1:6">
      <c r="A6810">
        <v>16160</v>
      </c>
      <c r="B6810" t="s">
        <v>654</v>
      </c>
      <c r="C6810">
        <v>555.95000000000005</v>
      </c>
      <c r="D6810" t="s">
        <v>755</v>
      </c>
      <c r="E6810" t="s">
        <v>1375</v>
      </c>
      <c r="F6810" t="s">
        <v>1376</v>
      </c>
    </row>
    <row r="6811" spans="1:6">
      <c r="A6811">
        <v>16160</v>
      </c>
      <c r="B6811" t="s">
        <v>654</v>
      </c>
      <c r="C6811">
        <v>1054.45</v>
      </c>
      <c r="D6811" t="s">
        <v>756</v>
      </c>
      <c r="E6811" t="s">
        <v>1375</v>
      </c>
      <c r="F6811" t="s">
        <v>1378</v>
      </c>
    </row>
    <row r="6812" spans="1:6">
      <c r="A6812">
        <v>16161</v>
      </c>
      <c r="B6812" t="s">
        <v>622</v>
      </c>
      <c r="C6812">
        <v>44.38</v>
      </c>
      <c r="D6812" t="s">
        <v>755</v>
      </c>
      <c r="E6812" t="s">
        <v>1375</v>
      </c>
      <c r="F6812" t="s">
        <v>1376</v>
      </c>
    </row>
    <row r="6813" spans="1:6">
      <c r="A6813">
        <v>16161</v>
      </c>
      <c r="B6813" t="s">
        <v>622</v>
      </c>
      <c r="C6813">
        <v>1464.51</v>
      </c>
      <c r="D6813" t="s">
        <v>756</v>
      </c>
      <c r="E6813" t="s">
        <v>1375</v>
      </c>
      <c r="F6813" t="s">
        <v>1378</v>
      </c>
    </row>
    <row r="6814" spans="1:6">
      <c r="A6814">
        <v>16163</v>
      </c>
      <c r="B6814" t="s">
        <v>622</v>
      </c>
      <c r="C6814">
        <v>528.71</v>
      </c>
      <c r="D6814" t="s">
        <v>755</v>
      </c>
      <c r="E6814" t="s">
        <v>1375</v>
      </c>
      <c r="F6814" t="s">
        <v>1376</v>
      </c>
    </row>
    <row r="6815" spans="1:6">
      <c r="A6815">
        <v>16164</v>
      </c>
      <c r="B6815" t="s">
        <v>621</v>
      </c>
      <c r="C6815">
        <v>512</v>
      </c>
      <c r="D6815" t="s">
        <v>755</v>
      </c>
      <c r="E6815" t="s">
        <v>1375</v>
      </c>
      <c r="F6815" t="s">
        <v>1376</v>
      </c>
    </row>
    <row r="6816" spans="1:6">
      <c r="A6816">
        <v>16164</v>
      </c>
      <c r="B6816" t="s">
        <v>621</v>
      </c>
      <c r="C6816">
        <v>1355.6</v>
      </c>
      <c r="D6816" t="s">
        <v>756</v>
      </c>
      <c r="E6816" t="s">
        <v>1375</v>
      </c>
      <c r="F6816" t="s">
        <v>1378</v>
      </c>
    </row>
    <row r="6817" spans="1:6">
      <c r="A6817">
        <v>16165</v>
      </c>
      <c r="B6817" t="s">
        <v>655</v>
      </c>
      <c r="C6817">
        <v>696.74</v>
      </c>
      <c r="D6817" t="s">
        <v>755</v>
      </c>
      <c r="E6817" t="s">
        <v>1375</v>
      </c>
      <c r="F6817" t="s">
        <v>1376</v>
      </c>
    </row>
    <row r="6818" spans="1:6">
      <c r="A6818">
        <v>16165</v>
      </c>
      <c r="B6818" t="s">
        <v>655</v>
      </c>
      <c r="C6818">
        <v>1632.57</v>
      </c>
      <c r="D6818" t="s">
        <v>756</v>
      </c>
      <c r="E6818" t="s">
        <v>1375</v>
      </c>
      <c r="F6818" t="s">
        <v>1378</v>
      </c>
    </row>
    <row r="6819" spans="1:6">
      <c r="A6819">
        <v>16169</v>
      </c>
      <c r="B6819" t="s">
        <v>622</v>
      </c>
      <c r="C6819">
        <v>582.13</v>
      </c>
      <c r="D6819" t="s">
        <v>755</v>
      </c>
      <c r="E6819" t="s">
        <v>1375</v>
      </c>
      <c r="F6819" t="s">
        <v>1376</v>
      </c>
    </row>
    <row r="6820" spans="1:6">
      <c r="A6820">
        <v>16169</v>
      </c>
      <c r="B6820" t="s">
        <v>622</v>
      </c>
      <c r="C6820">
        <v>1286.17</v>
      </c>
      <c r="D6820" t="s">
        <v>756</v>
      </c>
      <c r="E6820" t="s">
        <v>1375</v>
      </c>
      <c r="F6820" t="s">
        <v>1378</v>
      </c>
    </row>
    <row r="6821" spans="1:6">
      <c r="A6821">
        <v>16176</v>
      </c>
      <c r="B6821" t="s">
        <v>656</v>
      </c>
      <c r="C6821">
        <v>1016.29</v>
      </c>
      <c r="D6821" t="s">
        <v>755</v>
      </c>
      <c r="E6821" t="s">
        <v>1375</v>
      </c>
      <c r="F6821" t="s">
        <v>1376</v>
      </c>
    </row>
    <row r="6822" spans="1:6">
      <c r="A6822">
        <v>16176</v>
      </c>
      <c r="B6822" t="s">
        <v>656</v>
      </c>
      <c r="C6822">
        <v>2612.19</v>
      </c>
      <c r="D6822" t="s">
        <v>756</v>
      </c>
      <c r="E6822" t="s">
        <v>1375</v>
      </c>
      <c r="F6822" t="s">
        <v>1378</v>
      </c>
    </row>
    <row r="6823" spans="1:6">
      <c r="A6823">
        <v>16192</v>
      </c>
      <c r="B6823" t="s">
        <v>657</v>
      </c>
      <c r="C6823">
        <v>705.76</v>
      </c>
      <c r="D6823" t="s">
        <v>755</v>
      </c>
      <c r="E6823" t="s">
        <v>1375</v>
      </c>
      <c r="F6823" t="s">
        <v>1376</v>
      </c>
    </row>
    <row r="6824" spans="1:6">
      <c r="A6824">
        <v>16192</v>
      </c>
      <c r="B6824" t="s">
        <v>657</v>
      </c>
      <c r="C6824">
        <v>1584.15</v>
      </c>
      <c r="D6824" t="s">
        <v>756</v>
      </c>
      <c r="E6824" t="s">
        <v>1375</v>
      </c>
      <c r="F6824" t="s">
        <v>1378</v>
      </c>
    </row>
    <row r="6825" spans="1:6">
      <c r="A6825">
        <v>16198</v>
      </c>
      <c r="B6825" t="s">
        <v>658</v>
      </c>
      <c r="C6825">
        <v>75000</v>
      </c>
      <c r="D6825" t="s">
        <v>1267</v>
      </c>
      <c r="E6825" t="s">
        <v>1450</v>
      </c>
      <c r="F6825" t="s">
        <v>1453</v>
      </c>
    </row>
    <row r="6826" spans="1:6">
      <c r="A6826">
        <v>16198</v>
      </c>
      <c r="B6826" t="s">
        <v>658</v>
      </c>
      <c r="C6826">
        <v>161400</v>
      </c>
      <c r="D6826" t="s">
        <v>1268</v>
      </c>
      <c r="E6826" t="s">
        <v>1450</v>
      </c>
      <c r="F6826" t="s">
        <v>1453</v>
      </c>
    </row>
    <row r="6827" spans="1:6">
      <c r="A6827">
        <v>16235</v>
      </c>
      <c r="B6827" t="s">
        <v>621</v>
      </c>
      <c r="C6827">
        <v>331</v>
      </c>
      <c r="D6827" t="s">
        <v>820</v>
      </c>
      <c r="E6827" t="s">
        <v>1490</v>
      </c>
      <c r="F6827" t="s">
        <v>1491</v>
      </c>
    </row>
    <row r="6828" spans="1:6">
      <c r="A6828">
        <v>16235</v>
      </c>
      <c r="B6828" t="s">
        <v>621</v>
      </c>
      <c r="C6828">
        <v>1541.59</v>
      </c>
      <c r="D6828" t="s">
        <v>823</v>
      </c>
      <c r="E6828" t="s">
        <v>1432</v>
      </c>
      <c r="F6828" t="s">
        <v>1433</v>
      </c>
    </row>
    <row r="6829" spans="1:6">
      <c r="A6829">
        <v>16235</v>
      </c>
      <c r="B6829" t="s">
        <v>621</v>
      </c>
      <c r="C6829">
        <v>4723.7700000000004</v>
      </c>
      <c r="D6829" t="s">
        <v>824</v>
      </c>
      <c r="E6829" t="s">
        <v>1432</v>
      </c>
      <c r="F6829" t="s">
        <v>1435</v>
      </c>
    </row>
    <row r="6830" spans="1:6">
      <c r="A6830">
        <v>16258</v>
      </c>
      <c r="B6830" t="s">
        <v>659</v>
      </c>
      <c r="C6830">
        <v>1054.6199999999999</v>
      </c>
      <c r="D6830" t="s">
        <v>755</v>
      </c>
      <c r="E6830" t="s">
        <v>1375</v>
      </c>
      <c r="F6830" t="s">
        <v>1376</v>
      </c>
    </row>
    <row r="6831" spans="1:6">
      <c r="A6831">
        <v>16271</v>
      </c>
      <c r="B6831" t="s">
        <v>660</v>
      </c>
      <c r="C6831">
        <v>320.68</v>
      </c>
      <c r="D6831" t="s">
        <v>755</v>
      </c>
      <c r="E6831" t="s">
        <v>1375</v>
      </c>
      <c r="F6831" t="s">
        <v>1376</v>
      </c>
    </row>
    <row r="6832" spans="1:6">
      <c r="A6832">
        <v>16271</v>
      </c>
      <c r="B6832" t="s">
        <v>660</v>
      </c>
      <c r="C6832">
        <v>825.79</v>
      </c>
      <c r="D6832" t="s">
        <v>756</v>
      </c>
      <c r="E6832" t="s">
        <v>1375</v>
      </c>
      <c r="F6832" t="s">
        <v>1378</v>
      </c>
    </row>
    <row r="6833" spans="1:6">
      <c r="A6833">
        <v>16324</v>
      </c>
      <c r="B6833" t="s">
        <v>661</v>
      </c>
      <c r="C6833">
        <v>986.01</v>
      </c>
      <c r="D6833" t="s">
        <v>755</v>
      </c>
      <c r="E6833" t="s">
        <v>1375</v>
      </c>
      <c r="F6833" t="s">
        <v>1376</v>
      </c>
    </row>
    <row r="6834" spans="1:6">
      <c r="A6834">
        <v>16324</v>
      </c>
      <c r="B6834" t="s">
        <v>661</v>
      </c>
      <c r="C6834">
        <v>2549.48</v>
      </c>
      <c r="D6834" t="s">
        <v>756</v>
      </c>
      <c r="E6834" t="s">
        <v>1375</v>
      </c>
      <c r="F6834" t="s">
        <v>1378</v>
      </c>
    </row>
    <row r="6835" spans="1:6">
      <c r="A6835">
        <v>16364</v>
      </c>
      <c r="B6835" t="s">
        <v>662</v>
      </c>
      <c r="C6835">
        <v>180.93</v>
      </c>
      <c r="D6835" t="s">
        <v>755</v>
      </c>
      <c r="E6835" t="s">
        <v>1375</v>
      </c>
      <c r="F6835" t="s">
        <v>1376</v>
      </c>
    </row>
    <row r="6836" spans="1:6">
      <c r="A6836">
        <v>16364</v>
      </c>
      <c r="B6836" t="s">
        <v>662</v>
      </c>
      <c r="C6836">
        <v>346.85</v>
      </c>
      <c r="D6836" t="s">
        <v>756</v>
      </c>
      <c r="E6836" t="s">
        <v>1375</v>
      </c>
      <c r="F6836" t="s">
        <v>1378</v>
      </c>
    </row>
    <row r="6837" spans="1:6">
      <c r="A6837">
        <v>16603</v>
      </c>
      <c r="B6837" t="s">
        <v>663</v>
      </c>
      <c r="C6837">
        <v>373.78</v>
      </c>
      <c r="D6837" t="s">
        <v>755</v>
      </c>
      <c r="E6837" t="s">
        <v>1375</v>
      </c>
      <c r="F6837" t="s">
        <v>1376</v>
      </c>
    </row>
    <row r="6838" spans="1:6">
      <c r="A6838">
        <v>16603</v>
      </c>
      <c r="B6838" t="s">
        <v>663</v>
      </c>
      <c r="C6838">
        <v>735.17</v>
      </c>
      <c r="D6838" t="s">
        <v>756</v>
      </c>
      <c r="E6838" t="s">
        <v>1375</v>
      </c>
      <c r="F6838" t="s">
        <v>1378</v>
      </c>
    </row>
    <row r="6839" spans="1:6">
      <c r="A6839">
        <v>16604</v>
      </c>
      <c r="B6839" t="s">
        <v>664</v>
      </c>
      <c r="C6839">
        <v>228.26</v>
      </c>
      <c r="D6839" t="s">
        <v>755</v>
      </c>
      <c r="E6839" t="s">
        <v>1375</v>
      </c>
      <c r="F6839" t="s">
        <v>1376</v>
      </c>
    </row>
    <row r="6840" spans="1:6">
      <c r="A6840">
        <v>16604</v>
      </c>
      <c r="B6840" t="s">
        <v>664</v>
      </c>
      <c r="C6840">
        <v>576.98</v>
      </c>
      <c r="D6840" t="s">
        <v>756</v>
      </c>
      <c r="E6840" t="s">
        <v>1375</v>
      </c>
      <c r="F6840" t="s">
        <v>1378</v>
      </c>
    </row>
    <row r="6841" spans="1:6">
      <c r="A6841">
        <v>16605</v>
      </c>
      <c r="B6841" t="s">
        <v>621</v>
      </c>
      <c r="C6841">
        <v>1184.81</v>
      </c>
      <c r="D6841" t="s">
        <v>755</v>
      </c>
      <c r="E6841" t="s">
        <v>1375</v>
      </c>
      <c r="F6841" t="s">
        <v>1376</v>
      </c>
    </row>
    <row r="6842" spans="1:6">
      <c r="A6842">
        <v>16605</v>
      </c>
      <c r="B6842" t="s">
        <v>621</v>
      </c>
      <c r="C6842">
        <v>2739.06</v>
      </c>
      <c r="D6842" t="s">
        <v>756</v>
      </c>
      <c r="E6842" t="s">
        <v>1375</v>
      </c>
      <c r="F6842" t="s">
        <v>1378</v>
      </c>
    </row>
    <row r="6843" spans="1:6">
      <c r="A6843">
        <v>16606</v>
      </c>
      <c r="B6843" t="s">
        <v>665</v>
      </c>
      <c r="C6843">
        <v>298.38</v>
      </c>
      <c r="D6843" t="s">
        <v>755</v>
      </c>
      <c r="E6843" t="s">
        <v>1375</v>
      </c>
      <c r="F6843" t="s">
        <v>1376</v>
      </c>
    </row>
    <row r="6844" spans="1:6">
      <c r="A6844">
        <v>16607</v>
      </c>
      <c r="B6844" t="s">
        <v>666</v>
      </c>
      <c r="C6844">
        <v>496.85</v>
      </c>
      <c r="D6844" t="s">
        <v>755</v>
      </c>
      <c r="E6844" t="s">
        <v>1375</v>
      </c>
      <c r="F6844" t="s">
        <v>1376</v>
      </c>
    </row>
    <row r="6845" spans="1:6">
      <c r="A6845">
        <v>16607</v>
      </c>
      <c r="B6845" t="s">
        <v>666</v>
      </c>
      <c r="C6845">
        <v>1499.18</v>
      </c>
      <c r="D6845" t="s">
        <v>756</v>
      </c>
      <c r="E6845" t="s">
        <v>1375</v>
      </c>
      <c r="F6845" t="s">
        <v>1378</v>
      </c>
    </row>
    <row r="6846" spans="1:6">
      <c r="A6846">
        <v>16609</v>
      </c>
      <c r="B6846" t="s">
        <v>621</v>
      </c>
      <c r="C6846">
        <v>723.79</v>
      </c>
      <c r="D6846" t="s">
        <v>755</v>
      </c>
      <c r="E6846" t="s">
        <v>1375</v>
      </c>
      <c r="F6846" t="s">
        <v>1376</v>
      </c>
    </row>
    <row r="6847" spans="1:6">
      <c r="A6847">
        <v>16609</v>
      </c>
      <c r="B6847" t="s">
        <v>621</v>
      </c>
      <c r="C6847">
        <v>1805.3</v>
      </c>
      <c r="D6847" t="s">
        <v>756</v>
      </c>
      <c r="E6847" t="s">
        <v>1375</v>
      </c>
      <c r="F6847" t="s">
        <v>1378</v>
      </c>
    </row>
    <row r="6848" spans="1:6">
      <c r="A6848">
        <v>16610</v>
      </c>
      <c r="B6848" t="s">
        <v>667</v>
      </c>
      <c r="C6848">
        <v>837.51</v>
      </c>
      <c r="D6848" t="s">
        <v>755</v>
      </c>
      <c r="E6848" t="s">
        <v>1375</v>
      </c>
      <c r="F6848" t="s">
        <v>1376</v>
      </c>
    </row>
    <row r="6849" spans="1:6">
      <c r="A6849">
        <v>16610</v>
      </c>
      <c r="B6849" t="s">
        <v>667</v>
      </c>
      <c r="C6849">
        <v>2059</v>
      </c>
      <c r="D6849" t="s">
        <v>756</v>
      </c>
      <c r="E6849" t="s">
        <v>1375</v>
      </c>
      <c r="F6849" t="s">
        <v>1378</v>
      </c>
    </row>
    <row r="6850" spans="1:6">
      <c r="A6850">
        <v>16611</v>
      </c>
      <c r="B6850" t="s">
        <v>668</v>
      </c>
      <c r="C6850">
        <v>905.73</v>
      </c>
      <c r="D6850" t="s">
        <v>755</v>
      </c>
      <c r="E6850" t="s">
        <v>1375</v>
      </c>
      <c r="F6850" t="s">
        <v>1376</v>
      </c>
    </row>
    <row r="6851" spans="1:6">
      <c r="A6851">
        <v>16611</v>
      </c>
      <c r="B6851" t="s">
        <v>668</v>
      </c>
      <c r="C6851">
        <v>2376.56</v>
      </c>
      <c r="D6851" t="s">
        <v>756</v>
      </c>
      <c r="E6851" t="s">
        <v>1375</v>
      </c>
      <c r="F6851" t="s">
        <v>1378</v>
      </c>
    </row>
    <row r="6852" spans="1:6">
      <c r="A6852">
        <v>16612</v>
      </c>
      <c r="B6852" t="s">
        <v>669</v>
      </c>
      <c r="C6852">
        <v>667.48</v>
      </c>
      <c r="D6852" t="s">
        <v>755</v>
      </c>
      <c r="E6852" t="s">
        <v>1375</v>
      </c>
      <c r="F6852" t="s">
        <v>1376</v>
      </c>
    </row>
    <row r="6853" spans="1:6">
      <c r="A6853">
        <v>16613</v>
      </c>
      <c r="B6853" t="s">
        <v>670</v>
      </c>
      <c r="C6853">
        <v>167.42</v>
      </c>
      <c r="D6853" t="s">
        <v>755</v>
      </c>
      <c r="E6853" t="s">
        <v>1375</v>
      </c>
      <c r="F6853" t="s">
        <v>1376</v>
      </c>
    </row>
    <row r="6854" spans="1:6">
      <c r="A6854">
        <v>16613</v>
      </c>
      <c r="B6854" t="s">
        <v>670</v>
      </c>
      <c r="C6854">
        <v>450.96</v>
      </c>
      <c r="D6854" t="s">
        <v>756</v>
      </c>
      <c r="E6854" t="s">
        <v>1375</v>
      </c>
      <c r="F6854" t="s">
        <v>1378</v>
      </c>
    </row>
    <row r="6855" spans="1:6">
      <c r="A6855">
        <v>16616</v>
      </c>
      <c r="B6855" t="s">
        <v>671</v>
      </c>
      <c r="C6855">
        <v>1496.8</v>
      </c>
      <c r="D6855" t="s">
        <v>755</v>
      </c>
      <c r="E6855" t="s">
        <v>1375</v>
      </c>
      <c r="F6855" t="s">
        <v>1376</v>
      </c>
    </row>
    <row r="6856" spans="1:6">
      <c r="A6856">
        <v>16616</v>
      </c>
      <c r="B6856" t="s">
        <v>671</v>
      </c>
      <c r="C6856">
        <v>4266.9399999999996</v>
      </c>
      <c r="D6856" t="s">
        <v>756</v>
      </c>
      <c r="E6856" t="s">
        <v>1375</v>
      </c>
      <c r="F6856" t="s">
        <v>1378</v>
      </c>
    </row>
    <row r="6857" spans="1:6">
      <c r="A6857">
        <v>16617</v>
      </c>
      <c r="B6857" t="s">
        <v>672</v>
      </c>
      <c r="C6857">
        <v>202.28</v>
      </c>
      <c r="D6857" t="s">
        <v>755</v>
      </c>
      <c r="E6857" t="s">
        <v>1375</v>
      </c>
      <c r="F6857" t="s">
        <v>1376</v>
      </c>
    </row>
    <row r="6858" spans="1:6">
      <c r="A6858">
        <v>16620</v>
      </c>
      <c r="B6858" t="s">
        <v>673</v>
      </c>
      <c r="C6858">
        <v>1864.81</v>
      </c>
      <c r="D6858" t="s">
        <v>755</v>
      </c>
      <c r="E6858" t="s">
        <v>1375</v>
      </c>
      <c r="F6858" t="s">
        <v>1376</v>
      </c>
    </row>
    <row r="6859" spans="1:6">
      <c r="A6859">
        <v>16620</v>
      </c>
      <c r="B6859" t="s">
        <v>673</v>
      </c>
      <c r="C6859">
        <v>4032.89</v>
      </c>
      <c r="D6859" t="s">
        <v>756</v>
      </c>
      <c r="E6859" t="s">
        <v>1375</v>
      </c>
      <c r="F6859" t="s">
        <v>1378</v>
      </c>
    </row>
    <row r="6860" spans="1:6">
      <c r="A6860">
        <v>16624</v>
      </c>
      <c r="B6860" t="s">
        <v>674</v>
      </c>
      <c r="C6860">
        <v>1168.3699999999999</v>
      </c>
      <c r="D6860" t="s">
        <v>755</v>
      </c>
      <c r="E6860" t="s">
        <v>1375</v>
      </c>
      <c r="F6860" t="s">
        <v>1376</v>
      </c>
    </row>
    <row r="6861" spans="1:6">
      <c r="A6861">
        <v>16624</v>
      </c>
      <c r="B6861" t="s">
        <v>674</v>
      </c>
      <c r="C6861">
        <v>2129.54</v>
      </c>
      <c r="D6861" t="s">
        <v>756</v>
      </c>
      <c r="E6861" t="s">
        <v>1375</v>
      </c>
      <c r="F6861" t="s">
        <v>1378</v>
      </c>
    </row>
    <row r="6862" spans="1:6">
      <c r="A6862">
        <v>16625</v>
      </c>
      <c r="B6862" t="s">
        <v>675</v>
      </c>
      <c r="C6862">
        <v>779.65</v>
      </c>
      <c r="D6862" t="s">
        <v>755</v>
      </c>
      <c r="E6862" t="s">
        <v>1375</v>
      </c>
      <c r="F6862" t="s">
        <v>1376</v>
      </c>
    </row>
    <row r="6863" spans="1:6">
      <c r="A6863">
        <v>16625</v>
      </c>
      <c r="B6863" t="s">
        <v>675</v>
      </c>
      <c r="C6863">
        <v>2025.52</v>
      </c>
      <c r="D6863" t="s">
        <v>756</v>
      </c>
      <c r="E6863" t="s">
        <v>1375</v>
      </c>
      <c r="F6863" t="s">
        <v>1378</v>
      </c>
    </row>
    <row r="6864" spans="1:6">
      <c r="A6864">
        <v>16647</v>
      </c>
      <c r="B6864" t="s">
        <v>676</v>
      </c>
      <c r="C6864">
        <v>423.31</v>
      </c>
      <c r="D6864" t="s">
        <v>755</v>
      </c>
      <c r="E6864" t="s">
        <v>1375</v>
      </c>
      <c r="F6864" t="s">
        <v>1376</v>
      </c>
    </row>
    <row r="6865" spans="1:6">
      <c r="A6865">
        <v>16647</v>
      </c>
      <c r="B6865" t="s">
        <v>676</v>
      </c>
      <c r="C6865">
        <v>1447.84</v>
      </c>
      <c r="D6865" t="s">
        <v>756</v>
      </c>
      <c r="E6865" t="s">
        <v>1375</v>
      </c>
      <c r="F6865" t="s">
        <v>1378</v>
      </c>
    </row>
    <row r="6866" spans="1:6">
      <c r="A6866">
        <v>16689</v>
      </c>
      <c r="B6866" t="s">
        <v>677</v>
      </c>
      <c r="C6866">
        <v>608.42999999999995</v>
      </c>
      <c r="D6866" t="s">
        <v>755</v>
      </c>
      <c r="E6866" t="s">
        <v>1375</v>
      </c>
      <c r="F6866" t="s">
        <v>1376</v>
      </c>
    </row>
    <row r="6867" spans="1:6">
      <c r="A6867">
        <v>16689</v>
      </c>
      <c r="B6867" t="s">
        <v>677</v>
      </c>
      <c r="C6867">
        <v>1852.83</v>
      </c>
      <c r="D6867" t="s">
        <v>756</v>
      </c>
      <c r="E6867" t="s">
        <v>1375</v>
      </c>
      <c r="F6867" t="s">
        <v>1378</v>
      </c>
    </row>
    <row r="6868" spans="1:6">
      <c r="A6868">
        <v>16715</v>
      </c>
      <c r="B6868" t="s">
        <v>678</v>
      </c>
      <c r="C6868">
        <v>507.49</v>
      </c>
      <c r="D6868" t="s">
        <v>755</v>
      </c>
      <c r="E6868" t="s">
        <v>1375</v>
      </c>
      <c r="F6868" t="s">
        <v>1376</v>
      </c>
    </row>
    <row r="6869" spans="1:6">
      <c r="A6869">
        <v>16715</v>
      </c>
      <c r="B6869" t="s">
        <v>678</v>
      </c>
      <c r="C6869">
        <v>1044.02</v>
      </c>
      <c r="D6869" t="s">
        <v>756</v>
      </c>
      <c r="E6869" t="s">
        <v>1375</v>
      </c>
      <c r="F6869" t="s">
        <v>1378</v>
      </c>
    </row>
    <row r="6870" spans="1:6">
      <c r="A6870">
        <v>16773</v>
      </c>
      <c r="B6870" t="s">
        <v>679</v>
      </c>
      <c r="C6870">
        <v>143006</v>
      </c>
      <c r="D6870" t="s">
        <v>1267</v>
      </c>
      <c r="E6870" t="s">
        <v>1450</v>
      </c>
      <c r="F6870" t="s">
        <v>1453</v>
      </c>
    </row>
    <row r="6871" spans="1:6">
      <c r="A6871">
        <v>16776</v>
      </c>
      <c r="B6871" t="s">
        <v>680</v>
      </c>
      <c r="C6871">
        <v>632.44000000000005</v>
      </c>
      <c r="D6871" t="s">
        <v>755</v>
      </c>
      <c r="E6871" t="s">
        <v>1375</v>
      </c>
      <c r="F6871" t="s">
        <v>1376</v>
      </c>
    </row>
    <row r="6872" spans="1:6">
      <c r="A6872">
        <v>16776</v>
      </c>
      <c r="B6872" t="s">
        <v>680</v>
      </c>
      <c r="C6872">
        <v>1544.83</v>
      </c>
      <c r="D6872" t="s">
        <v>756</v>
      </c>
      <c r="E6872" t="s">
        <v>1375</v>
      </c>
      <c r="F6872" t="s">
        <v>1378</v>
      </c>
    </row>
    <row r="6873" spans="1:6">
      <c r="A6873">
        <v>17021</v>
      </c>
      <c r="B6873" t="s">
        <v>681</v>
      </c>
      <c r="C6873">
        <v>632.15</v>
      </c>
      <c r="D6873" t="s">
        <v>755</v>
      </c>
      <c r="E6873" t="s">
        <v>1375</v>
      </c>
      <c r="F6873" t="s">
        <v>1376</v>
      </c>
    </row>
    <row r="6874" spans="1:6">
      <c r="A6874">
        <v>17021</v>
      </c>
      <c r="B6874" t="s">
        <v>681</v>
      </c>
      <c r="C6874">
        <v>1309.81</v>
      </c>
      <c r="D6874" t="s">
        <v>756</v>
      </c>
      <c r="E6874" t="s">
        <v>1375</v>
      </c>
      <c r="F6874" t="s">
        <v>1378</v>
      </c>
    </row>
    <row r="6875" spans="1:6">
      <c r="A6875">
        <v>17025</v>
      </c>
      <c r="B6875" t="s">
        <v>682</v>
      </c>
      <c r="C6875">
        <v>1004.59</v>
      </c>
      <c r="D6875" t="s">
        <v>755</v>
      </c>
      <c r="E6875" t="s">
        <v>1375</v>
      </c>
      <c r="F6875" t="s">
        <v>1376</v>
      </c>
    </row>
    <row r="6876" spans="1:6">
      <c r="A6876">
        <v>17025</v>
      </c>
      <c r="B6876" t="s">
        <v>682</v>
      </c>
      <c r="C6876">
        <v>2219.2199999999998</v>
      </c>
      <c r="D6876" t="s">
        <v>756</v>
      </c>
      <c r="E6876" t="s">
        <v>1375</v>
      </c>
      <c r="F6876" t="s">
        <v>1378</v>
      </c>
    </row>
    <row r="6877" spans="1:6">
      <c r="A6877">
        <v>17092</v>
      </c>
      <c r="B6877" t="s">
        <v>683</v>
      </c>
      <c r="C6877">
        <v>25872</v>
      </c>
      <c r="D6877" t="s">
        <v>1528</v>
      </c>
      <c r="E6877" t="s">
        <v>1529</v>
      </c>
      <c r="F6877" t="s">
        <v>1530</v>
      </c>
    </row>
    <row r="6878" spans="1:6">
      <c r="A6878">
        <v>17177</v>
      </c>
      <c r="B6878" t="s">
        <v>684</v>
      </c>
      <c r="C6878">
        <v>1208.1300000000001</v>
      </c>
      <c r="D6878" t="s">
        <v>755</v>
      </c>
      <c r="E6878" t="s">
        <v>1375</v>
      </c>
      <c r="F6878" t="s">
        <v>1376</v>
      </c>
    </row>
    <row r="6879" spans="1:6">
      <c r="A6879">
        <v>17445</v>
      </c>
      <c r="B6879" t="s">
        <v>685</v>
      </c>
      <c r="C6879">
        <v>643.47</v>
      </c>
      <c r="D6879" t="s">
        <v>755</v>
      </c>
      <c r="E6879" t="s">
        <v>1375</v>
      </c>
      <c r="F6879" t="s">
        <v>1376</v>
      </c>
    </row>
    <row r="6880" spans="1:6">
      <c r="A6880">
        <v>17445</v>
      </c>
      <c r="B6880" t="s">
        <v>685</v>
      </c>
      <c r="C6880">
        <v>1897.05</v>
      </c>
      <c r="D6880" t="s">
        <v>756</v>
      </c>
      <c r="E6880" t="s">
        <v>1375</v>
      </c>
      <c r="F6880" t="s">
        <v>1378</v>
      </c>
    </row>
    <row r="6881" spans="1:6">
      <c r="A6881">
        <v>17446</v>
      </c>
      <c r="B6881" t="s">
        <v>686</v>
      </c>
      <c r="C6881">
        <v>338.67</v>
      </c>
      <c r="D6881" t="s">
        <v>755</v>
      </c>
      <c r="E6881" t="s">
        <v>1375</v>
      </c>
      <c r="F6881" t="s">
        <v>1376</v>
      </c>
    </row>
    <row r="6882" spans="1:6">
      <c r="A6882">
        <v>17446</v>
      </c>
      <c r="B6882" t="s">
        <v>686</v>
      </c>
      <c r="C6882">
        <v>1120.58</v>
      </c>
      <c r="D6882" t="s">
        <v>756</v>
      </c>
      <c r="E6882" t="s">
        <v>1375</v>
      </c>
      <c r="F6882" t="s">
        <v>1378</v>
      </c>
    </row>
    <row r="6883" spans="1:6">
      <c r="A6883">
        <v>17467</v>
      </c>
      <c r="B6883" t="s">
        <v>553</v>
      </c>
      <c r="C6883">
        <v>1433.27</v>
      </c>
      <c r="D6883" t="s">
        <v>755</v>
      </c>
      <c r="E6883" t="s">
        <v>1375</v>
      </c>
      <c r="F6883" t="s">
        <v>1376</v>
      </c>
    </row>
    <row r="6884" spans="1:6">
      <c r="A6884">
        <v>17467</v>
      </c>
      <c r="B6884" t="s">
        <v>553</v>
      </c>
      <c r="C6884">
        <v>3699.69</v>
      </c>
      <c r="D6884" t="s">
        <v>756</v>
      </c>
      <c r="E6884" t="s">
        <v>1375</v>
      </c>
      <c r="F6884" t="s">
        <v>1378</v>
      </c>
    </row>
    <row r="6885" spans="1:6">
      <c r="A6885">
        <v>17517</v>
      </c>
      <c r="B6885" t="s">
        <v>554</v>
      </c>
      <c r="C6885">
        <v>5087</v>
      </c>
      <c r="D6885" t="s">
        <v>817</v>
      </c>
      <c r="E6885" t="s">
        <v>1424</v>
      </c>
      <c r="F6885" t="s">
        <v>1425</v>
      </c>
    </row>
    <row r="6886" spans="1:6">
      <c r="A6886">
        <v>17517</v>
      </c>
      <c r="B6886" t="s">
        <v>554</v>
      </c>
      <c r="C6886">
        <v>532</v>
      </c>
      <c r="D6886" t="s">
        <v>818</v>
      </c>
      <c r="E6886" t="s">
        <v>1429</v>
      </c>
      <c r="F6886" t="s">
        <v>1430</v>
      </c>
    </row>
    <row r="6887" spans="1:6">
      <c r="A6887">
        <v>17521</v>
      </c>
      <c r="B6887" t="s">
        <v>555</v>
      </c>
      <c r="C6887">
        <v>14411</v>
      </c>
      <c r="D6887" t="s">
        <v>1528</v>
      </c>
      <c r="E6887" t="s">
        <v>1529</v>
      </c>
      <c r="F6887" t="s">
        <v>1530</v>
      </c>
    </row>
    <row r="6888" spans="1:6">
      <c r="A6888">
        <v>17920</v>
      </c>
      <c r="B6888" t="s">
        <v>556</v>
      </c>
      <c r="C6888">
        <v>58480</v>
      </c>
      <c r="D6888" t="s">
        <v>1382</v>
      </c>
      <c r="E6888" t="s">
        <v>1383</v>
      </c>
      <c r="F6888" t="s">
        <v>1384</v>
      </c>
    </row>
    <row r="6889" spans="1:6">
      <c r="A6889">
        <v>18037</v>
      </c>
      <c r="B6889" t="s">
        <v>557</v>
      </c>
      <c r="C6889">
        <v>28000</v>
      </c>
      <c r="D6889" t="s">
        <v>1018</v>
      </c>
      <c r="E6889" t="s">
        <v>1019</v>
      </c>
      <c r="F6889" t="s">
        <v>1020</v>
      </c>
    </row>
    <row r="6890" spans="1:6">
      <c r="A6890">
        <v>18037</v>
      </c>
      <c r="B6890" t="s">
        <v>557</v>
      </c>
      <c r="C6890">
        <v>20000</v>
      </c>
      <c r="D6890" t="s">
        <v>558</v>
      </c>
      <c r="E6890" t="s">
        <v>974</v>
      </c>
      <c r="F6890" t="s">
        <v>1588</v>
      </c>
    </row>
    <row r="6891" spans="1:6">
      <c r="A6891">
        <v>18362</v>
      </c>
      <c r="B6891" t="s">
        <v>559</v>
      </c>
      <c r="C6891">
        <v>4171.82</v>
      </c>
      <c r="D6891" t="s">
        <v>755</v>
      </c>
      <c r="E6891" t="s">
        <v>1375</v>
      </c>
      <c r="F6891" t="s">
        <v>1376</v>
      </c>
    </row>
    <row r="6892" spans="1:6">
      <c r="A6892">
        <v>18377</v>
      </c>
      <c r="B6892" t="s">
        <v>560</v>
      </c>
      <c r="C6892">
        <v>123997</v>
      </c>
      <c r="D6892" t="s">
        <v>1333</v>
      </c>
      <c r="E6892" t="s">
        <v>1383</v>
      </c>
      <c r="F6892" t="s">
        <v>1334</v>
      </c>
    </row>
    <row r="6893" spans="1:6">
      <c r="A6893">
        <v>18377</v>
      </c>
      <c r="B6893" t="s">
        <v>560</v>
      </c>
      <c r="C6893">
        <v>125169</v>
      </c>
      <c r="D6893" t="s">
        <v>1382</v>
      </c>
      <c r="E6893" t="s">
        <v>1383</v>
      </c>
      <c r="F6893" t="s">
        <v>1384</v>
      </c>
    </row>
    <row r="6894" spans="1:6">
      <c r="A6894">
        <v>18377</v>
      </c>
      <c r="B6894" t="s">
        <v>560</v>
      </c>
      <c r="C6894">
        <v>65604</v>
      </c>
      <c r="D6894" t="s">
        <v>1338</v>
      </c>
      <c r="E6894" t="s">
        <v>1383</v>
      </c>
      <c r="F6894" t="s">
        <v>1384</v>
      </c>
    </row>
    <row r="6895" spans="1:6">
      <c r="A6895">
        <v>18377</v>
      </c>
      <c r="B6895" t="s">
        <v>560</v>
      </c>
      <c r="C6895">
        <v>157561</v>
      </c>
      <c r="D6895" t="s">
        <v>1142</v>
      </c>
      <c r="E6895" t="s">
        <v>1383</v>
      </c>
      <c r="F6895" t="s">
        <v>1143</v>
      </c>
    </row>
    <row r="6896" spans="1:6">
      <c r="A6896">
        <v>18662</v>
      </c>
      <c r="B6896" t="s">
        <v>561</v>
      </c>
      <c r="C6896">
        <v>112604</v>
      </c>
      <c r="D6896" t="s">
        <v>1038</v>
      </c>
      <c r="E6896" t="s">
        <v>1221</v>
      </c>
      <c r="F6896" t="s">
        <v>1224</v>
      </c>
    </row>
    <row r="6897" spans="1:6">
      <c r="A6897">
        <v>18662</v>
      </c>
      <c r="B6897" t="s">
        <v>561</v>
      </c>
      <c r="C6897">
        <v>5177</v>
      </c>
      <c r="D6897" t="s">
        <v>1040</v>
      </c>
      <c r="E6897" t="s">
        <v>1226</v>
      </c>
      <c r="F6897" t="s">
        <v>1229</v>
      </c>
    </row>
    <row r="6898" spans="1:6">
      <c r="A6898">
        <v>18856</v>
      </c>
      <c r="B6898" t="s">
        <v>621</v>
      </c>
      <c r="C6898">
        <v>263.83</v>
      </c>
      <c r="D6898" t="s">
        <v>755</v>
      </c>
      <c r="E6898" t="s">
        <v>1375</v>
      </c>
      <c r="F6898" t="s">
        <v>1376</v>
      </c>
    </row>
    <row r="6899" spans="1:6">
      <c r="A6899">
        <v>18856</v>
      </c>
      <c r="B6899" t="s">
        <v>621</v>
      </c>
      <c r="C6899">
        <v>985.29</v>
      </c>
      <c r="D6899" t="s">
        <v>756</v>
      </c>
      <c r="E6899" t="s">
        <v>1375</v>
      </c>
      <c r="F6899" t="s">
        <v>1378</v>
      </c>
    </row>
    <row r="6900" spans="1:6">
      <c r="A6900">
        <v>18937</v>
      </c>
      <c r="B6900" t="s">
        <v>562</v>
      </c>
      <c r="C6900">
        <v>126634</v>
      </c>
      <c r="D6900" t="s">
        <v>1335</v>
      </c>
      <c r="E6900" t="s">
        <v>1383</v>
      </c>
      <c r="F6900" t="s">
        <v>1334</v>
      </c>
    </row>
    <row r="6901" spans="1:6">
      <c r="A6901">
        <v>18937</v>
      </c>
      <c r="B6901" t="s">
        <v>562</v>
      </c>
      <c r="C6901">
        <v>188193</v>
      </c>
      <c r="D6901" t="s">
        <v>1236</v>
      </c>
      <c r="E6901" t="s">
        <v>1383</v>
      </c>
      <c r="F6901" t="s">
        <v>1237</v>
      </c>
    </row>
    <row r="6902" spans="1:6">
      <c r="A6902">
        <v>20268</v>
      </c>
      <c r="B6902" t="s">
        <v>563</v>
      </c>
      <c r="C6902">
        <v>12616</v>
      </c>
      <c r="D6902" t="s">
        <v>817</v>
      </c>
      <c r="E6902" t="s">
        <v>1424</v>
      </c>
      <c r="F6902" t="s">
        <v>1425</v>
      </c>
    </row>
    <row r="6903" spans="1:6">
      <c r="A6903">
        <v>20268</v>
      </c>
      <c r="B6903" t="s">
        <v>563</v>
      </c>
      <c r="C6903">
        <v>6425</v>
      </c>
      <c r="D6903" t="s">
        <v>833</v>
      </c>
      <c r="E6903" t="s">
        <v>1424</v>
      </c>
      <c r="F6903" t="s">
        <v>1425</v>
      </c>
    </row>
    <row r="6904" spans="1:6">
      <c r="A6904">
        <v>20268</v>
      </c>
      <c r="B6904" t="s">
        <v>563</v>
      </c>
      <c r="C6904">
        <v>17257</v>
      </c>
      <c r="D6904" t="s">
        <v>855</v>
      </c>
      <c r="E6904" t="s">
        <v>1424</v>
      </c>
      <c r="F6904" t="s">
        <v>1427</v>
      </c>
    </row>
    <row r="6905" spans="1:6">
      <c r="A6905">
        <v>20268</v>
      </c>
      <c r="B6905" t="s">
        <v>563</v>
      </c>
      <c r="C6905">
        <v>1269</v>
      </c>
      <c r="D6905" t="s">
        <v>818</v>
      </c>
      <c r="E6905" t="s">
        <v>1429</v>
      </c>
      <c r="F6905" t="s">
        <v>1430</v>
      </c>
    </row>
    <row r="6906" spans="1:6">
      <c r="A6906">
        <v>20268</v>
      </c>
      <c r="B6906" t="s">
        <v>563</v>
      </c>
      <c r="C6906">
        <v>967</v>
      </c>
      <c r="D6906" t="s">
        <v>834</v>
      </c>
      <c r="E6906" t="s">
        <v>1429</v>
      </c>
      <c r="F6906" t="s">
        <v>1430</v>
      </c>
    </row>
    <row r="6907" spans="1:6">
      <c r="A6907">
        <v>20268</v>
      </c>
      <c r="B6907" t="s">
        <v>563</v>
      </c>
      <c r="C6907">
        <v>1858</v>
      </c>
      <c r="D6907" t="s">
        <v>856</v>
      </c>
      <c r="E6907" t="s">
        <v>1429</v>
      </c>
      <c r="F6907" t="s">
        <v>1248</v>
      </c>
    </row>
    <row r="6908" spans="1:6">
      <c r="A6908">
        <v>20351</v>
      </c>
      <c r="B6908" t="s">
        <v>564</v>
      </c>
      <c r="C6908">
        <v>2046</v>
      </c>
      <c r="D6908" t="s">
        <v>1037</v>
      </c>
      <c r="E6908" t="s">
        <v>1221</v>
      </c>
      <c r="F6908" t="s">
        <v>1222</v>
      </c>
    </row>
    <row r="6909" spans="1:6">
      <c r="A6909">
        <v>20351</v>
      </c>
      <c r="B6909" t="s">
        <v>564</v>
      </c>
      <c r="C6909">
        <v>2684</v>
      </c>
      <c r="D6909" t="s">
        <v>1038</v>
      </c>
      <c r="E6909" t="s">
        <v>1221</v>
      </c>
      <c r="F6909" t="s">
        <v>1224</v>
      </c>
    </row>
    <row r="6910" spans="1:6">
      <c r="A6910">
        <v>20351</v>
      </c>
      <c r="B6910" t="s">
        <v>564</v>
      </c>
      <c r="C6910">
        <v>92</v>
      </c>
      <c r="D6910" t="s">
        <v>1039</v>
      </c>
      <c r="E6910" t="s">
        <v>1226</v>
      </c>
      <c r="F6910" t="s">
        <v>1227</v>
      </c>
    </row>
    <row r="6911" spans="1:6">
      <c r="A6911">
        <v>20351</v>
      </c>
      <c r="B6911" t="s">
        <v>564</v>
      </c>
      <c r="C6911">
        <v>67</v>
      </c>
      <c r="D6911" t="s">
        <v>1040</v>
      </c>
      <c r="E6911" t="s">
        <v>1226</v>
      </c>
      <c r="F6911" t="s">
        <v>1229</v>
      </c>
    </row>
    <row r="6912" spans="1:6">
      <c r="A6912">
        <v>20610</v>
      </c>
      <c r="B6912" t="s">
        <v>565</v>
      </c>
      <c r="C6912">
        <v>0</v>
      </c>
      <c r="D6912" t="s">
        <v>852</v>
      </c>
      <c r="F6912" t="s">
        <v>1222</v>
      </c>
    </row>
    <row r="6913" spans="1:6">
      <c r="A6913">
        <v>20610</v>
      </c>
      <c r="B6913" t="s">
        <v>565</v>
      </c>
      <c r="C6913">
        <v>8933</v>
      </c>
      <c r="D6913" t="s">
        <v>1037</v>
      </c>
      <c r="E6913" t="s">
        <v>1221</v>
      </c>
      <c r="F6913" t="s">
        <v>1222</v>
      </c>
    </row>
    <row r="6914" spans="1:6">
      <c r="A6914">
        <v>20610</v>
      </c>
      <c r="B6914" t="s">
        <v>565</v>
      </c>
      <c r="C6914">
        <v>0</v>
      </c>
      <c r="D6914" t="s">
        <v>853</v>
      </c>
      <c r="F6914" t="s">
        <v>1224</v>
      </c>
    </row>
    <row r="6915" spans="1:6">
      <c r="A6915">
        <v>20610</v>
      </c>
      <c r="B6915" t="s">
        <v>565</v>
      </c>
      <c r="C6915">
        <v>6989</v>
      </c>
      <c r="D6915" t="s">
        <v>1038</v>
      </c>
      <c r="E6915" t="s">
        <v>1221</v>
      </c>
      <c r="F6915" t="s">
        <v>1224</v>
      </c>
    </row>
    <row r="6916" spans="1:6">
      <c r="A6916">
        <v>20610</v>
      </c>
      <c r="B6916" t="s">
        <v>565</v>
      </c>
      <c r="C6916">
        <v>537</v>
      </c>
      <c r="D6916" t="s">
        <v>1039</v>
      </c>
      <c r="E6916" t="s">
        <v>1226</v>
      </c>
      <c r="F6916" t="s">
        <v>1227</v>
      </c>
    </row>
    <row r="6917" spans="1:6">
      <c r="A6917">
        <v>20610</v>
      </c>
      <c r="B6917" t="s">
        <v>565</v>
      </c>
      <c r="C6917">
        <v>406</v>
      </c>
      <c r="D6917" t="s">
        <v>1040</v>
      </c>
      <c r="E6917" t="s">
        <v>1226</v>
      </c>
      <c r="F6917" t="s">
        <v>1229</v>
      </c>
    </row>
    <row r="6918" spans="1:6">
      <c r="A6918">
        <v>22870</v>
      </c>
      <c r="B6918" t="s">
        <v>566</v>
      </c>
      <c r="C6918">
        <v>1859.93</v>
      </c>
      <c r="D6918" t="s">
        <v>755</v>
      </c>
      <c r="E6918" t="s">
        <v>1375</v>
      </c>
      <c r="F6918" t="s">
        <v>1376</v>
      </c>
    </row>
    <row r="6919" spans="1:6">
      <c r="A6919">
        <v>22906</v>
      </c>
      <c r="B6919" t="s">
        <v>567</v>
      </c>
      <c r="C6919">
        <v>10000</v>
      </c>
      <c r="D6919" t="s">
        <v>1018</v>
      </c>
      <c r="E6919" t="s">
        <v>1019</v>
      </c>
      <c r="F6919" t="s">
        <v>1020</v>
      </c>
    </row>
    <row r="6920" spans="1:6">
      <c r="A6920">
        <v>22906</v>
      </c>
      <c r="B6920" t="s">
        <v>567</v>
      </c>
      <c r="C6920">
        <v>10000</v>
      </c>
      <c r="D6920" t="s">
        <v>568</v>
      </c>
      <c r="E6920" t="s">
        <v>569</v>
      </c>
      <c r="F6920" t="s">
        <v>967</v>
      </c>
    </row>
    <row r="6921" spans="1:6">
      <c r="A6921">
        <v>22906</v>
      </c>
      <c r="B6921" t="s">
        <v>567</v>
      </c>
      <c r="C6921">
        <v>20000</v>
      </c>
      <c r="D6921" t="s">
        <v>570</v>
      </c>
      <c r="E6921" t="s">
        <v>569</v>
      </c>
      <c r="F6921" t="s">
        <v>967</v>
      </c>
    </row>
    <row r="6922" spans="1:6">
      <c r="A6922">
        <v>22906</v>
      </c>
      <c r="B6922" t="s">
        <v>567</v>
      </c>
      <c r="C6922">
        <v>15000</v>
      </c>
      <c r="D6922" t="s">
        <v>571</v>
      </c>
      <c r="E6922" t="s">
        <v>569</v>
      </c>
      <c r="F6922" t="s">
        <v>967</v>
      </c>
    </row>
    <row r="6923" spans="1:6">
      <c r="A6923">
        <v>22906</v>
      </c>
      <c r="B6923" t="s">
        <v>567</v>
      </c>
      <c r="C6923">
        <v>12500</v>
      </c>
      <c r="D6923" t="s">
        <v>572</v>
      </c>
      <c r="E6923" t="s">
        <v>569</v>
      </c>
      <c r="F6923" t="s">
        <v>967</v>
      </c>
    </row>
    <row r="6924" spans="1:6">
      <c r="A6924">
        <v>22906</v>
      </c>
      <c r="B6924" t="s">
        <v>567</v>
      </c>
      <c r="C6924">
        <v>7500</v>
      </c>
      <c r="D6924" t="s">
        <v>573</v>
      </c>
      <c r="E6924" t="s">
        <v>569</v>
      </c>
      <c r="F6924" t="s">
        <v>967</v>
      </c>
    </row>
    <row r="6925" spans="1:6">
      <c r="A6925">
        <v>22906</v>
      </c>
      <c r="B6925" t="s">
        <v>567</v>
      </c>
      <c r="C6925">
        <v>5000</v>
      </c>
      <c r="D6925" t="s">
        <v>574</v>
      </c>
      <c r="E6925" t="s">
        <v>569</v>
      </c>
      <c r="F6925" t="s">
        <v>967</v>
      </c>
    </row>
    <row r="6926" spans="1:6">
      <c r="A6926">
        <v>24649</v>
      </c>
      <c r="B6926" t="s">
        <v>575</v>
      </c>
      <c r="C6926">
        <v>9120.2999999999993</v>
      </c>
      <c r="D6926" t="s">
        <v>755</v>
      </c>
      <c r="E6926" t="s">
        <v>1375</v>
      </c>
      <c r="F6926" t="s">
        <v>1376</v>
      </c>
    </row>
    <row r="6927" spans="1:6">
      <c r="A6927">
        <v>24776</v>
      </c>
      <c r="B6927" t="s">
        <v>576</v>
      </c>
      <c r="C6927">
        <v>5000</v>
      </c>
      <c r="D6927" t="s">
        <v>1018</v>
      </c>
      <c r="E6927" t="s">
        <v>1019</v>
      </c>
      <c r="F6927" t="s">
        <v>1020</v>
      </c>
    </row>
    <row r="6928" spans="1:6">
      <c r="A6928">
        <v>25050</v>
      </c>
      <c r="B6928" t="s">
        <v>577</v>
      </c>
      <c r="C6928">
        <v>607</v>
      </c>
      <c r="D6928" t="s">
        <v>820</v>
      </c>
      <c r="E6928" t="s">
        <v>1490</v>
      </c>
      <c r="F6928" t="s">
        <v>1491</v>
      </c>
    </row>
    <row r="6929" spans="1:6">
      <c r="A6929">
        <v>25050</v>
      </c>
      <c r="B6929" t="s">
        <v>577</v>
      </c>
      <c r="C6929">
        <v>2911.96</v>
      </c>
      <c r="D6929" t="s">
        <v>823</v>
      </c>
      <c r="E6929" t="s">
        <v>1432</v>
      </c>
      <c r="F6929" t="s">
        <v>1433</v>
      </c>
    </row>
    <row r="6930" spans="1:6">
      <c r="A6930">
        <v>25061</v>
      </c>
      <c r="B6930" t="s">
        <v>578</v>
      </c>
      <c r="C6930">
        <v>58480</v>
      </c>
      <c r="D6930" t="s">
        <v>1382</v>
      </c>
      <c r="E6930" t="s">
        <v>1383</v>
      </c>
      <c r="F6930" t="s">
        <v>1384</v>
      </c>
    </row>
    <row r="6931" spans="1:6">
      <c r="A6931">
        <v>26763</v>
      </c>
      <c r="B6931" t="s">
        <v>579</v>
      </c>
      <c r="C6931">
        <v>77472</v>
      </c>
      <c r="D6931" t="s">
        <v>1268</v>
      </c>
      <c r="E6931" t="s">
        <v>1450</v>
      </c>
      <c r="F6931" t="s">
        <v>1453</v>
      </c>
    </row>
    <row r="6932" spans="1:6">
      <c r="A6932">
        <v>26772</v>
      </c>
      <c r="B6932" t="s">
        <v>682</v>
      </c>
      <c r="C6932">
        <v>487</v>
      </c>
      <c r="D6932" t="s">
        <v>820</v>
      </c>
      <c r="E6932" t="s">
        <v>1490</v>
      </c>
      <c r="F6932" t="s">
        <v>1491</v>
      </c>
    </row>
    <row r="6933" spans="1:6">
      <c r="A6933">
        <v>26772</v>
      </c>
      <c r="B6933" t="s">
        <v>682</v>
      </c>
      <c r="C6933">
        <v>1274.45</v>
      </c>
      <c r="D6933" t="s">
        <v>823</v>
      </c>
      <c r="E6933" t="s">
        <v>1432</v>
      </c>
      <c r="F6933" t="s">
        <v>1433</v>
      </c>
    </row>
    <row r="6934" spans="1:6">
      <c r="A6934">
        <v>26772</v>
      </c>
      <c r="B6934" t="s">
        <v>682</v>
      </c>
      <c r="C6934">
        <v>2292.65</v>
      </c>
      <c r="D6934" t="s">
        <v>824</v>
      </c>
      <c r="E6934" t="s">
        <v>1432</v>
      </c>
      <c r="F6934" t="s">
        <v>1435</v>
      </c>
    </row>
    <row r="6935" spans="1:6">
      <c r="A6935">
        <v>29456</v>
      </c>
      <c r="B6935" t="s">
        <v>580</v>
      </c>
      <c r="C6935">
        <v>446.41</v>
      </c>
      <c r="D6935" t="s">
        <v>755</v>
      </c>
      <c r="E6935" t="s">
        <v>1375</v>
      </c>
      <c r="F6935" t="s">
        <v>1376</v>
      </c>
    </row>
    <row r="6936" spans="1:6">
      <c r="A6936">
        <v>29457</v>
      </c>
      <c r="B6936" t="s">
        <v>581</v>
      </c>
      <c r="C6936">
        <v>26006</v>
      </c>
      <c r="D6936" t="s">
        <v>817</v>
      </c>
      <c r="E6936" t="s">
        <v>1424</v>
      </c>
      <c r="F6936" t="s">
        <v>1425</v>
      </c>
    </row>
    <row r="6937" spans="1:6">
      <c r="A6937">
        <v>29457</v>
      </c>
      <c r="B6937" t="s">
        <v>581</v>
      </c>
      <c r="C6937">
        <v>2662</v>
      </c>
      <c r="D6937" t="s">
        <v>818</v>
      </c>
      <c r="E6937" t="s">
        <v>1429</v>
      </c>
      <c r="F6937" t="s">
        <v>1430</v>
      </c>
    </row>
    <row r="6938" spans="1:6">
      <c r="A6938">
        <v>29458</v>
      </c>
      <c r="B6938" t="s">
        <v>582</v>
      </c>
      <c r="C6938">
        <v>4896.22</v>
      </c>
      <c r="D6938" t="s">
        <v>755</v>
      </c>
      <c r="E6938" t="s">
        <v>1375</v>
      </c>
      <c r="F6938" t="s">
        <v>1376</v>
      </c>
    </row>
    <row r="6939" spans="1:6">
      <c r="A6939">
        <v>29474</v>
      </c>
      <c r="B6939" t="s">
        <v>583</v>
      </c>
      <c r="C6939">
        <v>1494</v>
      </c>
      <c r="D6939" t="s">
        <v>755</v>
      </c>
      <c r="E6939" t="s">
        <v>1375</v>
      </c>
      <c r="F6939" t="s">
        <v>1376</v>
      </c>
    </row>
    <row r="6940" spans="1:6">
      <c r="A6940">
        <v>30015</v>
      </c>
      <c r="B6940" t="s">
        <v>584</v>
      </c>
      <c r="C6940">
        <v>972.52</v>
      </c>
      <c r="D6940" t="s">
        <v>755</v>
      </c>
      <c r="E6940" t="s">
        <v>1375</v>
      </c>
      <c r="F6940" t="s">
        <v>1376</v>
      </c>
    </row>
    <row r="6941" spans="1:6">
      <c r="A6941">
        <v>30215</v>
      </c>
      <c r="B6941" t="s">
        <v>587</v>
      </c>
      <c r="C6941">
        <v>2663.95</v>
      </c>
      <c r="D6941" t="s">
        <v>755</v>
      </c>
      <c r="E6941" t="s">
        <v>1375</v>
      </c>
      <c r="F6941" t="s">
        <v>1376</v>
      </c>
    </row>
    <row r="6942" spans="1:6">
      <c r="A6942">
        <v>33514</v>
      </c>
      <c r="B6942" t="s">
        <v>588</v>
      </c>
      <c r="C6942">
        <v>454</v>
      </c>
      <c r="D6942" t="s">
        <v>755</v>
      </c>
      <c r="E6942" t="s">
        <v>1375</v>
      </c>
      <c r="F6942" t="s">
        <v>1376</v>
      </c>
    </row>
    <row r="6943" spans="1:6">
      <c r="A6943">
        <v>34795</v>
      </c>
      <c r="B6943" t="s">
        <v>589</v>
      </c>
      <c r="C6943">
        <v>1918.96</v>
      </c>
      <c r="D6943" t="s">
        <v>755</v>
      </c>
      <c r="E6943" t="s">
        <v>1375</v>
      </c>
      <c r="F6943" t="s">
        <v>1376</v>
      </c>
    </row>
    <row r="6944" spans="1:6">
      <c r="A6944">
        <v>42889</v>
      </c>
      <c r="B6944" t="s">
        <v>590</v>
      </c>
      <c r="C6944">
        <v>1357.79</v>
      </c>
      <c r="D6944" t="s">
        <v>755</v>
      </c>
      <c r="E6944" t="s">
        <v>1375</v>
      </c>
      <c r="F6944" t="s">
        <v>1376</v>
      </c>
    </row>
    <row r="6945" spans="1:6">
      <c r="A6945">
        <v>43032</v>
      </c>
      <c r="B6945" t="s">
        <v>591</v>
      </c>
      <c r="C6945">
        <v>3474</v>
      </c>
      <c r="D6945" t="s">
        <v>1327</v>
      </c>
      <c r="E6945" t="s">
        <v>1328</v>
      </c>
      <c r="F6945" t="s">
        <v>1329</v>
      </c>
    </row>
    <row r="6946" spans="1:6">
      <c r="A6946">
        <v>43032</v>
      </c>
      <c r="B6946" t="s">
        <v>591</v>
      </c>
      <c r="C6946">
        <v>39323</v>
      </c>
      <c r="D6946" t="s">
        <v>1436</v>
      </c>
      <c r="E6946" t="s">
        <v>1437</v>
      </c>
      <c r="F6946" t="s">
        <v>1438</v>
      </c>
    </row>
    <row r="6947" spans="1:6">
      <c r="A6947">
        <v>43213</v>
      </c>
      <c r="B6947" t="s">
        <v>592</v>
      </c>
      <c r="C6947">
        <v>1188.0999999999999</v>
      </c>
      <c r="D6947" t="s">
        <v>755</v>
      </c>
      <c r="E6947" t="s">
        <v>1375</v>
      </c>
      <c r="F6947" t="s">
        <v>1376</v>
      </c>
    </row>
    <row r="6948" spans="1:6">
      <c r="A6948">
        <v>43213</v>
      </c>
      <c r="B6948" t="s">
        <v>592</v>
      </c>
      <c r="C6948">
        <v>2718.33</v>
      </c>
      <c r="D6948" t="s">
        <v>756</v>
      </c>
      <c r="E6948" t="s">
        <v>1375</v>
      </c>
      <c r="F6948" t="s">
        <v>1378</v>
      </c>
    </row>
    <row r="6949" spans="1:6">
      <c r="A6949">
        <v>44272</v>
      </c>
      <c r="B6949" t="s">
        <v>593</v>
      </c>
      <c r="C6949">
        <v>225000</v>
      </c>
      <c r="D6949" t="s">
        <v>1349</v>
      </c>
      <c r="E6949" t="s">
        <v>1350</v>
      </c>
      <c r="F6949" t="s">
        <v>1351</v>
      </c>
    </row>
    <row r="6950" spans="1:6">
      <c r="A6950">
        <v>44347</v>
      </c>
      <c r="B6950" t="s">
        <v>594</v>
      </c>
      <c r="C6950">
        <v>12500</v>
      </c>
      <c r="D6950" t="s">
        <v>595</v>
      </c>
      <c r="E6950" t="s">
        <v>1595</v>
      </c>
      <c r="F6950" t="s">
        <v>1596</v>
      </c>
    </row>
    <row r="6951" spans="1:6">
      <c r="A6951">
        <v>54052</v>
      </c>
      <c r="B6951" t="s">
        <v>596</v>
      </c>
      <c r="C6951">
        <v>784</v>
      </c>
      <c r="D6951" t="s">
        <v>820</v>
      </c>
      <c r="E6951" t="s">
        <v>1490</v>
      </c>
      <c r="F6951" t="s">
        <v>1491</v>
      </c>
    </row>
    <row r="6952" spans="1:6">
      <c r="A6952">
        <v>54052</v>
      </c>
      <c r="B6952" t="s">
        <v>596</v>
      </c>
      <c r="C6952">
        <v>10886.77</v>
      </c>
      <c r="D6952" t="s">
        <v>821</v>
      </c>
      <c r="E6952" t="s">
        <v>1538</v>
      </c>
      <c r="F6952" t="s">
        <v>1539</v>
      </c>
    </row>
    <row r="6953" spans="1:6">
      <c r="A6953">
        <v>54052</v>
      </c>
      <c r="B6953" t="s">
        <v>596</v>
      </c>
      <c r="C6953">
        <v>16088.28</v>
      </c>
      <c r="D6953" t="s">
        <v>822</v>
      </c>
      <c r="E6953" t="s">
        <v>1538</v>
      </c>
      <c r="F6953" t="s">
        <v>1541</v>
      </c>
    </row>
    <row r="6954" spans="1:6">
      <c r="A6954">
        <v>54052</v>
      </c>
      <c r="B6954" t="s">
        <v>596</v>
      </c>
      <c r="C6954">
        <v>16570.599999999999</v>
      </c>
      <c r="D6954" t="s">
        <v>823</v>
      </c>
      <c r="E6954" t="s">
        <v>1432</v>
      </c>
      <c r="F6954" t="s">
        <v>1433</v>
      </c>
    </row>
    <row r="6955" spans="1:6">
      <c r="A6955">
        <v>54052</v>
      </c>
      <c r="B6955" t="s">
        <v>596</v>
      </c>
      <c r="C6955">
        <v>24819.119999999999</v>
      </c>
      <c r="D6955" t="s">
        <v>824</v>
      </c>
      <c r="E6955" t="s">
        <v>1432</v>
      </c>
      <c r="F6955" t="s">
        <v>1435</v>
      </c>
    </row>
    <row r="6956" spans="1:6">
      <c r="A6956">
        <v>55063</v>
      </c>
      <c r="B6956" t="s">
        <v>598</v>
      </c>
      <c r="C6956">
        <v>5394</v>
      </c>
      <c r="D6956" t="s">
        <v>1037</v>
      </c>
      <c r="E6956" t="s">
        <v>1221</v>
      </c>
      <c r="F6956" t="s">
        <v>1222</v>
      </c>
    </row>
    <row r="6957" spans="1:6">
      <c r="A6957">
        <v>55063</v>
      </c>
      <c r="B6957" t="s">
        <v>598</v>
      </c>
      <c r="C6957">
        <v>6825</v>
      </c>
      <c r="D6957" t="s">
        <v>1038</v>
      </c>
      <c r="E6957" t="s">
        <v>1221</v>
      </c>
      <c r="F6957" t="s">
        <v>1224</v>
      </c>
    </row>
    <row r="6958" spans="1:6">
      <c r="A6958">
        <v>55063</v>
      </c>
      <c r="B6958" t="s">
        <v>598</v>
      </c>
      <c r="C6958">
        <v>1315</v>
      </c>
      <c r="D6958" t="s">
        <v>1039</v>
      </c>
      <c r="E6958" t="s">
        <v>1226</v>
      </c>
      <c r="F6958" t="s">
        <v>1227</v>
      </c>
    </row>
    <row r="6959" spans="1:6">
      <c r="A6959">
        <v>55063</v>
      </c>
      <c r="B6959" t="s">
        <v>598</v>
      </c>
      <c r="C6959">
        <v>1828</v>
      </c>
      <c r="D6959" t="s">
        <v>1040</v>
      </c>
      <c r="E6959" t="s">
        <v>1226</v>
      </c>
      <c r="F6959" t="s">
        <v>1229</v>
      </c>
    </row>
    <row r="6960" spans="1:6">
      <c r="A6960">
        <v>55496</v>
      </c>
      <c r="B6960" t="s">
        <v>663</v>
      </c>
      <c r="C6960">
        <v>2842.75</v>
      </c>
      <c r="D6960" t="s">
        <v>821</v>
      </c>
      <c r="E6960" t="s">
        <v>1538</v>
      </c>
      <c r="F6960" t="s">
        <v>1539</v>
      </c>
    </row>
    <row r="6961" spans="1:6">
      <c r="A6961">
        <v>55496</v>
      </c>
      <c r="B6961" t="s">
        <v>663</v>
      </c>
      <c r="C6961">
        <v>9271.1299999999992</v>
      </c>
      <c r="D6961" t="s">
        <v>822</v>
      </c>
      <c r="E6961" t="s">
        <v>1538</v>
      </c>
      <c r="F6961" t="s">
        <v>1541</v>
      </c>
    </row>
    <row r="6962" spans="1:6">
      <c r="A6962">
        <v>56603</v>
      </c>
      <c r="B6962" t="s">
        <v>599</v>
      </c>
      <c r="C6962">
        <v>0</v>
      </c>
      <c r="D6962" t="s">
        <v>852</v>
      </c>
      <c r="F6962" t="s">
        <v>1222</v>
      </c>
    </row>
    <row r="6963" spans="1:6">
      <c r="A6963">
        <v>56603</v>
      </c>
      <c r="B6963" t="s">
        <v>599</v>
      </c>
      <c r="C6963">
        <v>17972</v>
      </c>
      <c r="D6963" t="s">
        <v>1037</v>
      </c>
      <c r="E6963" t="s">
        <v>1221</v>
      </c>
      <c r="F6963" t="s">
        <v>1222</v>
      </c>
    </row>
    <row r="6964" spans="1:6">
      <c r="A6964">
        <v>56603</v>
      </c>
      <c r="B6964" t="s">
        <v>599</v>
      </c>
      <c r="C6964">
        <v>0</v>
      </c>
      <c r="D6964" t="s">
        <v>853</v>
      </c>
      <c r="F6964" t="s">
        <v>1224</v>
      </c>
    </row>
    <row r="6965" spans="1:6">
      <c r="A6965">
        <v>56603</v>
      </c>
      <c r="B6965" t="s">
        <v>599</v>
      </c>
      <c r="C6965">
        <v>24292</v>
      </c>
      <c r="D6965" t="s">
        <v>1038</v>
      </c>
      <c r="E6965" t="s">
        <v>1221</v>
      </c>
      <c r="F6965" t="s">
        <v>1224</v>
      </c>
    </row>
    <row r="6966" spans="1:6">
      <c r="A6966">
        <v>56603</v>
      </c>
      <c r="B6966" t="s">
        <v>599</v>
      </c>
      <c r="C6966">
        <v>1326</v>
      </c>
      <c r="D6966" t="s">
        <v>1039</v>
      </c>
      <c r="E6966" t="s">
        <v>1226</v>
      </c>
      <c r="F6966" t="s">
        <v>1227</v>
      </c>
    </row>
    <row r="6967" spans="1:6">
      <c r="A6967">
        <v>56603</v>
      </c>
      <c r="B6967" t="s">
        <v>599</v>
      </c>
      <c r="C6967">
        <v>1890</v>
      </c>
      <c r="D6967" t="s">
        <v>1040</v>
      </c>
      <c r="E6967" t="s">
        <v>1226</v>
      </c>
      <c r="F6967" t="s">
        <v>1229</v>
      </c>
    </row>
    <row r="6968" spans="1:6">
      <c r="A6968">
        <v>59538</v>
      </c>
      <c r="B6968" t="s">
        <v>600</v>
      </c>
      <c r="C6968">
        <v>1208</v>
      </c>
      <c r="D6968" t="s">
        <v>1037</v>
      </c>
      <c r="E6968" t="s">
        <v>1221</v>
      </c>
      <c r="F6968" t="s">
        <v>1222</v>
      </c>
    </row>
    <row r="6969" spans="1:6">
      <c r="A6969">
        <v>59538</v>
      </c>
      <c r="B6969" t="s">
        <v>600</v>
      </c>
      <c r="C6969">
        <v>54</v>
      </c>
      <c r="D6969" t="s">
        <v>1039</v>
      </c>
      <c r="E6969" t="s">
        <v>1226</v>
      </c>
      <c r="F6969" t="s">
        <v>1227</v>
      </c>
    </row>
    <row r="6970" spans="1:6">
      <c r="A6970">
        <v>59684</v>
      </c>
      <c r="B6970" t="s">
        <v>601</v>
      </c>
      <c r="C6970">
        <v>150000</v>
      </c>
      <c r="D6970" t="s">
        <v>1207</v>
      </c>
      <c r="E6970" t="s">
        <v>1350</v>
      </c>
      <c r="F6970" t="s">
        <v>1351</v>
      </c>
    </row>
    <row r="6971" spans="1:6">
      <c r="A6971">
        <v>59684</v>
      </c>
      <c r="B6971" t="s">
        <v>601</v>
      </c>
      <c r="C6971">
        <v>36403</v>
      </c>
      <c r="D6971" t="s">
        <v>1119</v>
      </c>
      <c r="E6971" t="s">
        <v>1450</v>
      </c>
      <c r="F6971" t="s">
        <v>1451</v>
      </c>
    </row>
    <row r="6972" spans="1:6">
      <c r="A6972">
        <v>59684</v>
      </c>
      <c r="B6972" t="s">
        <v>601</v>
      </c>
      <c r="C6972">
        <v>299552</v>
      </c>
      <c r="D6972" t="s">
        <v>1267</v>
      </c>
      <c r="E6972" t="s">
        <v>1450</v>
      </c>
      <c r="F6972" t="s">
        <v>1453</v>
      </c>
    </row>
    <row r="6973" spans="1:6">
      <c r="A6973">
        <v>60704</v>
      </c>
      <c r="B6973" t="s">
        <v>602</v>
      </c>
      <c r="C6973">
        <v>3298</v>
      </c>
      <c r="D6973" t="s">
        <v>1037</v>
      </c>
      <c r="E6973" t="s">
        <v>1221</v>
      </c>
      <c r="F6973" t="s">
        <v>1222</v>
      </c>
    </row>
    <row r="6974" spans="1:6">
      <c r="A6974">
        <v>60704</v>
      </c>
      <c r="B6974" t="s">
        <v>602</v>
      </c>
      <c r="C6974">
        <v>3950</v>
      </c>
      <c r="D6974" t="s">
        <v>1038</v>
      </c>
      <c r="E6974" t="s">
        <v>1221</v>
      </c>
      <c r="F6974" t="s">
        <v>1224</v>
      </c>
    </row>
    <row r="6975" spans="1:6">
      <c r="A6975">
        <v>66216</v>
      </c>
      <c r="B6975" t="s">
        <v>603</v>
      </c>
      <c r="C6975">
        <v>14000</v>
      </c>
      <c r="D6975" t="s">
        <v>1528</v>
      </c>
      <c r="E6975" t="s">
        <v>1529</v>
      </c>
      <c r="F6975" t="s">
        <v>1530</v>
      </c>
    </row>
    <row r="6976" spans="1:6">
      <c r="A6976">
        <v>66343</v>
      </c>
      <c r="B6976" t="s">
        <v>604</v>
      </c>
      <c r="C6976">
        <v>39486</v>
      </c>
      <c r="D6976" t="s">
        <v>1037</v>
      </c>
      <c r="E6976" t="s">
        <v>1221</v>
      </c>
      <c r="F6976" t="s">
        <v>1222</v>
      </c>
    </row>
    <row r="6977" spans="1:6">
      <c r="A6977">
        <v>66343</v>
      </c>
      <c r="B6977" t="s">
        <v>604</v>
      </c>
      <c r="C6977">
        <v>93003</v>
      </c>
      <c r="D6977" t="s">
        <v>1038</v>
      </c>
      <c r="E6977" t="s">
        <v>1221</v>
      </c>
      <c r="F6977" t="s">
        <v>1224</v>
      </c>
    </row>
    <row r="6978" spans="1:6">
      <c r="A6978">
        <v>66343</v>
      </c>
      <c r="B6978" t="s">
        <v>604</v>
      </c>
      <c r="C6978">
        <v>1904</v>
      </c>
      <c r="D6978" t="s">
        <v>1039</v>
      </c>
      <c r="E6978" t="s">
        <v>1226</v>
      </c>
      <c r="F6978" t="s">
        <v>1227</v>
      </c>
    </row>
    <row r="6979" spans="1:6">
      <c r="A6979">
        <v>66343</v>
      </c>
      <c r="B6979" t="s">
        <v>604</v>
      </c>
      <c r="C6979">
        <v>4293</v>
      </c>
      <c r="D6979" t="s">
        <v>1040</v>
      </c>
      <c r="E6979" t="s">
        <v>1226</v>
      </c>
      <c r="F6979" t="s">
        <v>1229</v>
      </c>
    </row>
    <row r="6980" spans="1:6">
      <c r="A6980">
        <v>66792</v>
      </c>
      <c r="B6980" t="s">
        <v>605</v>
      </c>
      <c r="C6980">
        <v>100000</v>
      </c>
      <c r="D6980" t="s">
        <v>1349</v>
      </c>
      <c r="E6980" t="s">
        <v>1350</v>
      </c>
      <c r="F6980" t="s">
        <v>1351</v>
      </c>
    </row>
    <row r="6981" spans="1:6">
      <c r="A6981">
        <v>66792</v>
      </c>
      <c r="B6981" t="s">
        <v>605</v>
      </c>
      <c r="C6981">
        <v>50000</v>
      </c>
      <c r="D6981" t="s">
        <v>1449</v>
      </c>
      <c r="E6981" t="s">
        <v>1450</v>
      </c>
      <c r="F6981" t="s">
        <v>1451</v>
      </c>
    </row>
    <row r="6982" spans="1:6">
      <c r="A6982">
        <v>66792</v>
      </c>
      <c r="B6982" t="s">
        <v>605</v>
      </c>
      <c r="C6982">
        <v>75000</v>
      </c>
      <c r="D6982" t="s">
        <v>1452</v>
      </c>
      <c r="E6982" t="s">
        <v>1450</v>
      </c>
      <c r="F6982" t="s">
        <v>1453</v>
      </c>
    </row>
    <row r="6983" spans="1:6">
      <c r="A6983">
        <v>66792</v>
      </c>
      <c r="B6983" t="s">
        <v>605</v>
      </c>
      <c r="C6983">
        <v>75000</v>
      </c>
      <c r="D6983" t="s">
        <v>606</v>
      </c>
      <c r="E6983" t="s">
        <v>607</v>
      </c>
      <c r="F6983" t="s">
        <v>608</v>
      </c>
    </row>
    <row r="6984" spans="1:6">
      <c r="A6984">
        <v>67550</v>
      </c>
      <c r="B6984" t="s">
        <v>609</v>
      </c>
      <c r="C6984">
        <v>65000</v>
      </c>
      <c r="D6984" t="s">
        <v>610</v>
      </c>
      <c r="E6984" t="s">
        <v>611</v>
      </c>
      <c r="F6984" t="s">
        <v>612</v>
      </c>
    </row>
    <row r="6985" spans="1:6">
      <c r="A6985">
        <v>68522</v>
      </c>
      <c r="B6985" t="s">
        <v>614</v>
      </c>
      <c r="C6985">
        <v>85162</v>
      </c>
      <c r="D6985" t="s">
        <v>1268</v>
      </c>
      <c r="E6985" t="s">
        <v>1450</v>
      </c>
      <c r="F6985" t="s">
        <v>1453</v>
      </c>
    </row>
    <row r="6986" spans="1:6">
      <c r="A6986">
        <v>68522</v>
      </c>
      <c r="B6986" t="s">
        <v>614</v>
      </c>
      <c r="C6986">
        <v>50000</v>
      </c>
      <c r="D6986" t="s">
        <v>1281</v>
      </c>
      <c r="E6986" t="s">
        <v>1470</v>
      </c>
      <c r="F6986" t="s">
        <v>1471</v>
      </c>
    </row>
    <row r="6987" spans="1:6">
      <c r="A6987">
        <v>69091</v>
      </c>
      <c r="B6987" t="s">
        <v>615</v>
      </c>
      <c r="C6987">
        <v>9285</v>
      </c>
      <c r="D6987" t="s">
        <v>479</v>
      </c>
      <c r="E6987" t="s">
        <v>480</v>
      </c>
      <c r="F6987" t="s">
        <v>481</v>
      </c>
    </row>
    <row r="6988" spans="1:6">
      <c r="A6988">
        <v>69297</v>
      </c>
      <c r="B6988" t="s">
        <v>482</v>
      </c>
      <c r="C6988">
        <v>13152</v>
      </c>
      <c r="D6988" t="s">
        <v>1037</v>
      </c>
      <c r="E6988" t="s">
        <v>1221</v>
      </c>
      <c r="F6988" t="s">
        <v>1222</v>
      </c>
    </row>
    <row r="6989" spans="1:6">
      <c r="A6989">
        <v>69297</v>
      </c>
      <c r="B6989" t="s">
        <v>482</v>
      </c>
      <c r="C6989">
        <v>15856</v>
      </c>
      <c r="D6989" t="s">
        <v>1038</v>
      </c>
      <c r="E6989" t="s">
        <v>1221</v>
      </c>
      <c r="F6989" t="s">
        <v>1224</v>
      </c>
    </row>
    <row r="6990" spans="1:6">
      <c r="A6990">
        <v>69297</v>
      </c>
      <c r="B6990" t="s">
        <v>482</v>
      </c>
      <c r="C6990">
        <v>791</v>
      </c>
      <c r="D6990" t="s">
        <v>1039</v>
      </c>
      <c r="E6990" t="s">
        <v>1226</v>
      </c>
      <c r="F6990" t="s">
        <v>1227</v>
      </c>
    </row>
    <row r="6991" spans="1:6">
      <c r="A6991">
        <v>69297</v>
      </c>
      <c r="B6991" t="s">
        <v>482</v>
      </c>
      <c r="C6991">
        <v>969</v>
      </c>
      <c r="D6991" t="s">
        <v>1040</v>
      </c>
      <c r="E6991" t="s">
        <v>1226</v>
      </c>
      <c r="F6991" t="s">
        <v>1229</v>
      </c>
    </row>
    <row r="6992" spans="1:6">
      <c r="A6992">
        <v>72731</v>
      </c>
      <c r="B6992" t="s">
        <v>483</v>
      </c>
      <c r="C6992">
        <v>0</v>
      </c>
      <c r="D6992" t="s">
        <v>852</v>
      </c>
      <c r="F6992" t="s">
        <v>1222</v>
      </c>
    </row>
    <row r="6993" spans="1:6">
      <c r="A6993">
        <v>72731</v>
      </c>
      <c r="B6993" t="s">
        <v>483</v>
      </c>
      <c r="C6993">
        <v>10539</v>
      </c>
      <c r="D6993" t="s">
        <v>1037</v>
      </c>
      <c r="E6993" t="s">
        <v>1221</v>
      </c>
      <c r="F6993" t="s">
        <v>1222</v>
      </c>
    </row>
    <row r="6994" spans="1:6">
      <c r="A6994">
        <v>72731</v>
      </c>
      <c r="B6994" t="s">
        <v>483</v>
      </c>
      <c r="C6994">
        <v>0</v>
      </c>
      <c r="D6994" t="s">
        <v>853</v>
      </c>
      <c r="F6994" t="s">
        <v>1224</v>
      </c>
    </row>
    <row r="6995" spans="1:6">
      <c r="A6995">
        <v>72731</v>
      </c>
      <c r="B6995" t="s">
        <v>483</v>
      </c>
      <c r="C6995">
        <v>14322</v>
      </c>
      <c r="D6995" t="s">
        <v>1038</v>
      </c>
      <c r="E6995" t="s">
        <v>1221</v>
      </c>
      <c r="F6995" t="s">
        <v>1224</v>
      </c>
    </row>
    <row r="6996" spans="1:6">
      <c r="A6996">
        <v>72731</v>
      </c>
      <c r="B6996" t="s">
        <v>483</v>
      </c>
      <c r="C6996">
        <v>1004</v>
      </c>
      <c r="D6996" t="s">
        <v>1039</v>
      </c>
      <c r="E6996" t="s">
        <v>1226</v>
      </c>
      <c r="F6996" t="s">
        <v>1227</v>
      </c>
    </row>
    <row r="6997" spans="1:6">
      <c r="A6997">
        <v>72731</v>
      </c>
      <c r="B6997" t="s">
        <v>483</v>
      </c>
      <c r="C6997">
        <v>1184</v>
      </c>
      <c r="D6997" t="s">
        <v>1040</v>
      </c>
      <c r="E6997" t="s">
        <v>1226</v>
      </c>
      <c r="F6997" t="s">
        <v>1229</v>
      </c>
    </row>
    <row r="6998" spans="1:6">
      <c r="A6998">
        <v>77679</v>
      </c>
      <c r="B6998" t="s">
        <v>484</v>
      </c>
      <c r="C6998">
        <v>30165</v>
      </c>
      <c r="D6998" t="s">
        <v>1037</v>
      </c>
      <c r="E6998" t="s">
        <v>1221</v>
      </c>
      <c r="F6998" t="s">
        <v>1222</v>
      </c>
    </row>
    <row r="6999" spans="1:6">
      <c r="A6999">
        <v>77679</v>
      </c>
      <c r="B6999" t="s">
        <v>484</v>
      </c>
      <c r="C6999">
        <v>39816</v>
      </c>
      <c r="D6999" t="s">
        <v>1038</v>
      </c>
      <c r="E6999" t="s">
        <v>1221</v>
      </c>
      <c r="F6999" t="s">
        <v>1224</v>
      </c>
    </row>
    <row r="7000" spans="1:6">
      <c r="A7000">
        <v>77679</v>
      </c>
      <c r="B7000" t="s">
        <v>484</v>
      </c>
      <c r="C7000">
        <v>1938</v>
      </c>
      <c r="D7000" t="s">
        <v>1039</v>
      </c>
      <c r="E7000" t="s">
        <v>1226</v>
      </c>
      <c r="F7000" t="s">
        <v>1227</v>
      </c>
    </row>
    <row r="7001" spans="1:6">
      <c r="A7001">
        <v>77679</v>
      </c>
      <c r="B7001" t="s">
        <v>484</v>
      </c>
      <c r="C7001">
        <v>2529</v>
      </c>
      <c r="D7001" t="s">
        <v>1040</v>
      </c>
      <c r="E7001" t="s">
        <v>1226</v>
      </c>
      <c r="F7001" t="s">
        <v>1229</v>
      </c>
    </row>
    <row r="7002" spans="1:6">
      <c r="A7002">
        <v>79026</v>
      </c>
      <c r="B7002" t="s">
        <v>485</v>
      </c>
      <c r="C7002">
        <v>124583</v>
      </c>
      <c r="D7002" t="s">
        <v>1382</v>
      </c>
      <c r="E7002" t="s">
        <v>1383</v>
      </c>
      <c r="F7002" t="s">
        <v>1384</v>
      </c>
    </row>
    <row r="7003" spans="1:6">
      <c r="A7003">
        <v>79318</v>
      </c>
      <c r="B7003" t="s">
        <v>486</v>
      </c>
      <c r="C7003">
        <v>114</v>
      </c>
      <c r="D7003" t="s">
        <v>820</v>
      </c>
      <c r="E7003" t="s">
        <v>1490</v>
      </c>
      <c r="F7003" t="s">
        <v>1491</v>
      </c>
    </row>
    <row r="7004" spans="1:6">
      <c r="A7004">
        <v>79318</v>
      </c>
      <c r="B7004" t="s">
        <v>486</v>
      </c>
      <c r="C7004">
        <v>1368.4</v>
      </c>
      <c r="D7004" t="s">
        <v>823</v>
      </c>
      <c r="E7004" t="s">
        <v>1432</v>
      </c>
      <c r="F7004" t="s">
        <v>1433</v>
      </c>
    </row>
    <row r="7005" spans="1:6">
      <c r="A7005">
        <v>79318</v>
      </c>
      <c r="B7005" t="s">
        <v>486</v>
      </c>
      <c r="C7005">
        <v>1817.14</v>
      </c>
      <c r="D7005" t="s">
        <v>824</v>
      </c>
      <c r="E7005" t="s">
        <v>1432</v>
      </c>
      <c r="F7005" t="s">
        <v>1435</v>
      </c>
    </row>
    <row r="7006" spans="1:6">
      <c r="A7006">
        <v>86579</v>
      </c>
      <c r="B7006" t="s">
        <v>491</v>
      </c>
      <c r="C7006">
        <v>36343</v>
      </c>
      <c r="D7006" t="s">
        <v>1037</v>
      </c>
      <c r="E7006" t="s">
        <v>1221</v>
      </c>
      <c r="F7006" t="s">
        <v>1222</v>
      </c>
    </row>
    <row r="7007" spans="1:6">
      <c r="A7007">
        <v>86579</v>
      </c>
      <c r="B7007" t="s">
        <v>491</v>
      </c>
      <c r="C7007">
        <v>47148</v>
      </c>
      <c r="D7007" t="s">
        <v>1038</v>
      </c>
      <c r="E7007" t="s">
        <v>1221</v>
      </c>
      <c r="F7007" t="s">
        <v>1224</v>
      </c>
    </row>
    <row r="7008" spans="1:6">
      <c r="A7008">
        <v>86579</v>
      </c>
      <c r="B7008" t="s">
        <v>491</v>
      </c>
      <c r="C7008">
        <v>2539</v>
      </c>
      <c r="D7008" t="s">
        <v>1039</v>
      </c>
      <c r="E7008" t="s">
        <v>1226</v>
      </c>
      <c r="F7008" t="s">
        <v>1227</v>
      </c>
    </row>
    <row r="7009" spans="1:6">
      <c r="A7009">
        <v>86579</v>
      </c>
      <c r="B7009" t="s">
        <v>491</v>
      </c>
      <c r="C7009">
        <v>3011</v>
      </c>
      <c r="D7009" t="s">
        <v>1040</v>
      </c>
      <c r="E7009" t="s">
        <v>1226</v>
      </c>
      <c r="F7009" t="s">
        <v>1229</v>
      </c>
    </row>
    <row r="7010" spans="1:6">
      <c r="A7010">
        <v>87897</v>
      </c>
      <c r="B7010" t="s">
        <v>492</v>
      </c>
      <c r="C7010">
        <v>26</v>
      </c>
      <c r="D7010" t="s">
        <v>820</v>
      </c>
      <c r="E7010" t="s">
        <v>1490</v>
      </c>
      <c r="F7010" t="s">
        <v>1491</v>
      </c>
    </row>
    <row r="7011" spans="1:6">
      <c r="A7011">
        <v>87897</v>
      </c>
      <c r="B7011" t="s">
        <v>492</v>
      </c>
      <c r="C7011">
        <v>1226.3499999999999</v>
      </c>
      <c r="D7011" t="s">
        <v>821</v>
      </c>
      <c r="E7011" t="s">
        <v>1538</v>
      </c>
      <c r="F7011" t="s">
        <v>1539</v>
      </c>
    </row>
    <row r="7012" spans="1:6">
      <c r="A7012">
        <v>87897</v>
      </c>
      <c r="B7012" t="s">
        <v>492</v>
      </c>
      <c r="C7012">
        <v>6145.42</v>
      </c>
      <c r="D7012" t="s">
        <v>822</v>
      </c>
      <c r="E7012" t="s">
        <v>1538</v>
      </c>
      <c r="F7012" t="s">
        <v>1541</v>
      </c>
    </row>
    <row r="7013" spans="1:6">
      <c r="A7013">
        <v>87897</v>
      </c>
      <c r="B7013" t="s">
        <v>492</v>
      </c>
      <c r="C7013">
        <v>2770.94</v>
      </c>
      <c r="D7013" t="s">
        <v>823</v>
      </c>
      <c r="E7013" t="s">
        <v>1432</v>
      </c>
      <c r="F7013" t="s">
        <v>1433</v>
      </c>
    </row>
    <row r="7014" spans="1:6">
      <c r="A7014">
        <v>87897</v>
      </c>
      <c r="B7014" t="s">
        <v>492</v>
      </c>
      <c r="C7014">
        <v>13633.64</v>
      </c>
      <c r="D7014" t="s">
        <v>824</v>
      </c>
      <c r="E7014" t="s">
        <v>1432</v>
      </c>
      <c r="F7014" t="s">
        <v>1435</v>
      </c>
    </row>
    <row r="7015" spans="1:6">
      <c r="A7015">
        <v>88554</v>
      </c>
      <c r="B7015" t="s">
        <v>493</v>
      </c>
      <c r="C7015">
        <v>1867.22</v>
      </c>
      <c r="D7015" t="s">
        <v>755</v>
      </c>
      <c r="E7015" t="s">
        <v>1375</v>
      </c>
      <c r="F7015" t="s">
        <v>1376</v>
      </c>
    </row>
    <row r="7016" spans="1:6">
      <c r="A7016">
        <v>88616</v>
      </c>
      <c r="B7016" t="s">
        <v>494</v>
      </c>
      <c r="C7016">
        <v>900000</v>
      </c>
      <c r="D7016" t="s">
        <v>495</v>
      </c>
      <c r="E7016" t="s">
        <v>496</v>
      </c>
      <c r="F7016" t="s">
        <v>497</v>
      </c>
    </row>
    <row r="7017" spans="1:6">
      <c r="A7017">
        <v>90339</v>
      </c>
      <c r="B7017" t="s">
        <v>498</v>
      </c>
      <c r="C7017">
        <v>668</v>
      </c>
      <c r="D7017" t="s">
        <v>1037</v>
      </c>
      <c r="E7017" t="s">
        <v>1221</v>
      </c>
      <c r="F7017" t="s">
        <v>1222</v>
      </c>
    </row>
    <row r="7018" spans="1:6">
      <c r="A7018">
        <v>90339</v>
      </c>
      <c r="B7018" t="s">
        <v>498</v>
      </c>
      <c r="C7018">
        <v>2723</v>
      </c>
      <c r="D7018" t="s">
        <v>1038</v>
      </c>
      <c r="E7018" t="s">
        <v>1221</v>
      </c>
      <c r="F7018" t="s">
        <v>1224</v>
      </c>
    </row>
    <row r="7019" spans="1:6">
      <c r="A7019">
        <v>90339</v>
      </c>
      <c r="B7019" t="s">
        <v>498</v>
      </c>
      <c r="C7019">
        <v>59</v>
      </c>
      <c r="D7019" t="s">
        <v>1039</v>
      </c>
      <c r="E7019" t="s">
        <v>1226</v>
      </c>
      <c r="F7019" t="s">
        <v>1227</v>
      </c>
    </row>
    <row r="7020" spans="1:6">
      <c r="A7020">
        <v>90339</v>
      </c>
      <c r="B7020" t="s">
        <v>498</v>
      </c>
      <c r="C7020">
        <v>269</v>
      </c>
      <c r="D7020" t="s">
        <v>1040</v>
      </c>
      <c r="E7020" t="s">
        <v>1226</v>
      </c>
      <c r="F7020" t="s">
        <v>1229</v>
      </c>
    </row>
    <row r="7021" spans="1:6">
      <c r="A7021">
        <v>90623</v>
      </c>
      <c r="B7021" t="s">
        <v>652</v>
      </c>
      <c r="C7021">
        <v>689.33</v>
      </c>
      <c r="D7021" t="s">
        <v>755</v>
      </c>
      <c r="E7021" t="s">
        <v>1375</v>
      </c>
      <c r="F7021" t="s">
        <v>1376</v>
      </c>
    </row>
    <row r="7022" spans="1:6">
      <c r="A7022">
        <v>90623</v>
      </c>
      <c r="B7022" t="s">
        <v>652</v>
      </c>
      <c r="C7022">
        <v>4021.88</v>
      </c>
      <c r="D7022" t="s">
        <v>756</v>
      </c>
      <c r="E7022" t="s">
        <v>1375</v>
      </c>
      <c r="F7022" t="s">
        <v>1378</v>
      </c>
    </row>
    <row r="7023" spans="1:6">
      <c r="A7023">
        <v>93289</v>
      </c>
      <c r="B7023" t="s">
        <v>499</v>
      </c>
      <c r="C7023">
        <v>1138.51</v>
      </c>
      <c r="D7023" t="s">
        <v>824</v>
      </c>
      <c r="E7023" t="s">
        <v>1432</v>
      </c>
      <c r="F7023" t="s">
        <v>1435</v>
      </c>
    </row>
    <row r="7024" spans="1:6">
      <c r="A7024">
        <v>93822</v>
      </c>
      <c r="B7024" t="s">
        <v>500</v>
      </c>
      <c r="C7024">
        <v>3252</v>
      </c>
      <c r="D7024" t="s">
        <v>1038</v>
      </c>
      <c r="E7024" t="s">
        <v>1221</v>
      </c>
      <c r="F7024" t="s">
        <v>1224</v>
      </c>
    </row>
    <row r="7025" spans="1:6">
      <c r="A7025">
        <v>93822</v>
      </c>
      <c r="B7025" t="s">
        <v>500</v>
      </c>
      <c r="C7025">
        <v>258</v>
      </c>
      <c r="D7025" t="s">
        <v>1040</v>
      </c>
      <c r="E7025" t="s">
        <v>1226</v>
      </c>
      <c r="F7025" t="s">
        <v>1229</v>
      </c>
    </row>
    <row r="7026" spans="1:6">
      <c r="A7026">
        <v>93823</v>
      </c>
      <c r="B7026" t="s">
        <v>501</v>
      </c>
      <c r="C7026">
        <v>9209</v>
      </c>
      <c r="D7026" t="s">
        <v>1038</v>
      </c>
      <c r="E7026" t="s">
        <v>1221</v>
      </c>
      <c r="F7026" t="s">
        <v>1224</v>
      </c>
    </row>
    <row r="7027" spans="1:6">
      <c r="A7027">
        <v>93823</v>
      </c>
      <c r="B7027" t="s">
        <v>501</v>
      </c>
      <c r="C7027">
        <v>697</v>
      </c>
      <c r="D7027" t="s">
        <v>1040</v>
      </c>
      <c r="E7027" t="s">
        <v>1226</v>
      </c>
      <c r="F7027" t="s">
        <v>1229</v>
      </c>
    </row>
    <row r="7028" spans="1:6">
      <c r="A7028">
        <v>93824</v>
      </c>
      <c r="B7028" t="s">
        <v>502</v>
      </c>
      <c r="C7028">
        <v>3694</v>
      </c>
      <c r="D7028" t="s">
        <v>1038</v>
      </c>
      <c r="E7028" t="s">
        <v>1221</v>
      </c>
      <c r="F7028" t="s">
        <v>1224</v>
      </c>
    </row>
    <row r="7029" spans="1:6">
      <c r="A7029">
        <v>93824</v>
      </c>
      <c r="B7029" t="s">
        <v>502</v>
      </c>
      <c r="C7029">
        <v>252</v>
      </c>
      <c r="D7029" t="s">
        <v>1040</v>
      </c>
      <c r="E7029" t="s">
        <v>1226</v>
      </c>
      <c r="F7029" t="s">
        <v>1229</v>
      </c>
    </row>
    <row r="7030" spans="1:6">
      <c r="A7030" t="s">
        <v>505</v>
      </c>
      <c r="B7030" t="s">
        <v>506</v>
      </c>
      <c r="C7030">
        <v>164470</v>
      </c>
      <c r="D7030" t="s">
        <v>507</v>
      </c>
      <c r="E7030" t="s">
        <v>1437</v>
      </c>
      <c r="F7030" t="s">
        <v>508</v>
      </c>
    </row>
    <row r="7031" spans="1:6">
      <c r="A7031" t="s">
        <v>505</v>
      </c>
      <c r="B7031" t="s">
        <v>506</v>
      </c>
      <c r="C7031">
        <v>89000</v>
      </c>
      <c r="D7031" t="s">
        <v>1097</v>
      </c>
      <c r="E7031" t="s">
        <v>1437</v>
      </c>
      <c r="F7031" t="s">
        <v>1098</v>
      </c>
    </row>
    <row r="7032" spans="1:6">
      <c r="A7032" t="s">
        <v>509</v>
      </c>
      <c r="B7032" t="s">
        <v>510</v>
      </c>
      <c r="C7032">
        <v>48055</v>
      </c>
      <c r="D7032" t="s">
        <v>1097</v>
      </c>
      <c r="E7032" t="s">
        <v>1437</v>
      </c>
      <c r="F7032" t="s">
        <v>1098</v>
      </c>
    </row>
    <row r="7033" spans="1:6">
      <c r="A7033" t="s">
        <v>511</v>
      </c>
      <c r="B7033" t="s">
        <v>512</v>
      </c>
      <c r="C7033">
        <v>100000</v>
      </c>
      <c r="D7033" t="s">
        <v>513</v>
      </c>
      <c r="E7033" t="s">
        <v>1503</v>
      </c>
      <c r="F7033" t="s">
        <v>1206</v>
      </c>
    </row>
    <row r="7034" spans="1:6">
      <c r="A7034" t="s">
        <v>511</v>
      </c>
      <c r="B7034" t="s">
        <v>512</v>
      </c>
      <c r="C7034">
        <v>110192</v>
      </c>
      <c r="D7034" t="s">
        <v>507</v>
      </c>
      <c r="E7034" t="s">
        <v>1437</v>
      </c>
      <c r="F7034" t="s">
        <v>508</v>
      </c>
    </row>
    <row r="7035" spans="1:6">
      <c r="A7035" t="s">
        <v>511</v>
      </c>
      <c r="B7035" t="s">
        <v>512</v>
      </c>
      <c r="C7035">
        <v>36971</v>
      </c>
      <c r="D7035" t="s">
        <v>1097</v>
      </c>
      <c r="E7035" t="s">
        <v>1437</v>
      </c>
      <c r="F7035" t="s">
        <v>1098</v>
      </c>
    </row>
    <row r="7036" spans="1:6">
      <c r="A7036" t="s">
        <v>514</v>
      </c>
      <c r="B7036" t="s">
        <v>515</v>
      </c>
      <c r="C7036">
        <v>154486</v>
      </c>
      <c r="D7036" t="s">
        <v>507</v>
      </c>
      <c r="E7036" t="s">
        <v>1437</v>
      </c>
      <c r="F7036" t="s">
        <v>508</v>
      </c>
    </row>
    <row r="7037" spans="1:6">
      <c r="A7037" t="s">
        <v>514</v>
      </c>
      <c r="B7037" t="s">
        <v>515</v>
      </c>
      <c r="C7037">
        <v>9000</v>
      </c>
      <c r="D7037" t="s">
        <v>1097</v>
      </c>
      <c r="E7037" t="s">
        <v>1437</v>
      </c>
      <c r="F7037" t="s">
        <v>1098</v>
      </c>
    </row>
    <row r="7038" spans="1:6">
      <c r="A7038" t="s">
        <v>516</v>
      </c>
      <c r="B7038" t="s">
        <v>517</v>
      </c>
      <c r="C7038">
        <v>6590</v>
      </c>
      <c r="D7038" t="s">
        <v>518</v>
      </c>
      <c r="E7038" t="s">
        <v>1437</v>
      </c>
      <c r="F7038" t="s">
        <v>519</v>
      </c>
    </row>
    <row r="7039" spans="1:6">
      <c r="A7039" t="s">
        <v>516</v>
      </c>
      <c r="B7039" t="s">
        <v>517</v>
      </c>
      <c r="C7039">
        <v>68802</v>
      </c>
      <c r="D7039" t="s">
        <v>507</v>
      </c>
      <c r="E7039" t="s">
        <v>1437</v>
      </c>
      <c r="F7039" t="s">
        <v>508</v>
      </c>
    </row>
    <row r="7040" spans="1:6">
      <c r="A7040" t="s">
        <v>520</v>
      </c>
      <c r="B7040" t="s">
        <v>521</v>
      </c>
      <c r="C7040">
        <v>157754</v>
      </c>
      <c r="D7040" t="s">
        <v>507</v>
      </c>
      <c r="E7040" t="s">
        <v>1437</v>
      </c>
      <c r="F7040" t="s">
        <v>508</v>
      </c>
    </row>
    <row r="7041" spans="1:6">
      <c r="A7041" t="s">
        <v>520</v>
      </c>
      <c r="B7041" t="s">
        <v>521</v>
      </c>
      <c r="C7041">
        <v>48055</v>
      </c>
      <c r="D7041" t="s">
        <v>1097</v>
      </c>
      <c r="E7041" t="s">
        <v>1437</v>
      </c>
      <c r="F7041" t="s">
        <v>1098</v>
      </c>
    </row>
    <row r="7042" spans="1:6">
      <c r="A7042" t="s">
        <v>522</v>
      </c>
      <c r="B7042" t="s">
        <v>523</v>
      </c>
      <c r="C7042">
        <v>6859</v>
      </c>
      <c r="D7042" t="s">
        <v>524</v>
      </c>
      <c r="E7042" t="s">
        <v>1424</v>
      </c>
      <c r="F7042" t="s">
        <v>1425</v>
      </c>
    </row>
    <row r="7043" spans="1:6">
      <c r="A7043" t="s">
        <v>522</v>
      </c>
      <c r="B7043" t="s">
        <v>523</v>
      </c>
      <c r="C7043">
        <v>575</v>
      </c>
      <c r="D7043" t="s">
        <v>525</v>
      </c>
      <c r="E7043" t="s">
        <v>1429</v>
      </c>
      <c r="F7043" t="s">
        <v>1430</v>
      </c>
    </row>
    <row r="7044" spans="1:6">
      <c r="A7044" t="s">
        <v>522</v>
      </c>
      <c r="B7044" t="s">
        <v>523</v>
      </c>
      <c r="C7044">
        <v>109465</v>
      </c>
      <c r="D7044" t="s">
        <v>507</v>
      </c>
      <c r="E7044" t="s">
        <v>1437</v>
      </c>
      <c r="F7044" t="s">
        <v>508</v>
      </c>
    </row>
    <row r="7045" spans="1:6">
      <c r="A7045" t="s">
        <v>522</v>
      </c>
      <c r="B7045" t="s">
        <v>523</v>
      </c>
      <c r="C7045">
        <v>89000</v>
      </c>
      <c r="D7045" t="s">
        <v>1097</v>
      </c>
      <c r="E7045" t="s">
        <v>1437</v>
      </c>
      <c r="F7045" t="s">
        <v>1098</v>
      </c>
    </row>
    <row r="7046" spans="1:6">
      <c r="A7046" t="s">
        <v>526</v>
      </c>
      <c r="B7046" t="s">
        <v>527</v>
      </c>
      <c r="C7046">
        <v>7248</v>
      </c>
      <c r="D7046" t="s">
        <v>528</v>
      </c>
      <c r="E7046" t="s">
        <v>1221</v>
      </c>
      <c r="F7046" t="s">
        <v>1222</v>
      </c>
    </row>
    <row r="7047" spans="1:6">
      <c r="A7047" t="s">
        <v>526</v>
      </c>
      <c r="B7047" t="s">
        <v>527</v>
      </c>
      <c r="C7047">
        <v>12685</v>
      </c>
      <c r="D7047" t="s">
        <v>529</v>
      </c>
      <c r="E7047" t="s">
        <v>1221</v>
      </c>
      <c r="F7047" t="s">
        <v>1224</v>
      </c>
    </row>
    <row r="7048" spans="1:6">
      <c r="A7048" t="s">
        <v>526</v>
      </c>
      <c r="B7048" t="s">
        <v>527</v>
      </c>
      <c r="C7048">
        <v>654</v>
      </c>
      <c r="D7048" t="s">
        <v>530</v>
      </c>
      <c r="E7048" t="s">
        <v>1226</v>
      </c>
      <c r="F7048" t="s">
        <v>1227</v>
      </c>
    </row>
    <row r="7049" spans="1:6">
      <c r="A7049" t="s">
        <v>526</v>
      </c>
      <c r="B7049" t="s">
        <v>527</v>
      </c>
      <c r="C7049">
        <v>747</v>
      </c>
      <c r="D7049" t="s">
        <v>531</v>
      </c>
      <c r="E7049" t="s">
        <v>1226</v>
      </c>
      <c r="F7049" t="s">
        <v>1229</v>
      </c>
    </row>
    <row r="7050" spans="1:6">
      <c r="A7050" t="s">
        <v>526</v>
      </c>
      <c r="B7050" t="s">
        <v>527</v>
      </c>
      <c r="C7050">
        <v>203137</v>
      </c>
      <c r="D7050" t="s">
        <v>507</v>
      </c>
      <c r="E7050" t="s">
        <v>1437</v>
      </c>
      <c r="F7050" t="s">
        <v>508</v>
      </c>
    </row>
    <row r="7051" spans="1:6">
      <c r="A7051" t="s">
        <v>532</v>
      </c>
      <c r="B7051" t="s">
        <v>533</v>
      </c>
      <c r="C7051">
        <v>103475</v>
      </c>
      <c r="D7051" t="s">
        <v>507</v>
      </c>
      <c r="E7051" t="s">
        <v>1437</v>
      </c>
      <c r="F7051" t="s">
        <v>508</v>
      </c>
    </row>
    <row r="7052" spans="1:6">
      <c r="A7052" t="s">
        <v>532</v>
      </c>
      <c r="B7052" t="s">
        <v>533</v>
      </c>
      <c r="C7052">
        <v>48055</v>
      </c>
      <c r="D7052" t="s">
        <v>1097</v>
      </c>
      <c r="E7052" t="s">
        <v>1437</v>
      </c>
      <c r="F7052" t="s">
        <v>1098</v>
      </c>
    </row>
    <row r="7053" spans="1:6">
      <c r="A7053" t="s">
        <v>534</v>
      </c>
      <c r="B7053" t="s">
        <v>535</v>
      </c>
      <c r="C7053">
        <v>74792</v>
      </c>
      <c r="D7053" t="s">
        <v>507</v>
      </c>
      <c r="E7053" t="s">
        <v>1437</v>
      </c>
      <c r="F7053" t="s">
        <v>508</v>
      </c>
    </row>
    <row r="7054" spans="1:6">
      <c r="A7054" t="s">
        <v>534</v>
      </c>
      <c r="B7054" t="s">
        <v>535</v>
      </c>
      <c r="C7054">
        <v>89000</v>
      </c>
      <c r="D7054" t="s">
        <v>1097</v>
      </c>
      <c r="E7054" t="s">
        <v>1437</v>
      </c>
      <c r="F7054" t="s">
        <v>1098</v>
      </c>
    </row>
    <row r="7055" spans="1:6">
      <c r="A7055" t="s">
        <v>536</v>
      </c>
      <c r="B7055" t="s">
        <v>537</v>
      </c>
      <c r="C7055">
        <v>94035</v>
      </c>
      <c r="D7055" t="s">
        <v>507</v>
      </c>
      <c r="E7055" t="s">
        <v>1437</v>
      </c>
      <c r="F7055" t="s">
        <v>508</v>
      </c>
    </row>
    <row r="7056" spans="1:6">
      <c r="A7056" t="s">
        <v>536</v>
      </c>
      <c r="B7056" t="s">
        <v>537</v>
      </c>
      <c r="C7056">
        <v>48055</v>
      </c>
      <c r="D7056" t="s">
        <v>1097</v>
      </c>
      <c r="E7056" t="s">
        <v>1437</v>
      </c>
      <c r="F7056" t="s">
        <v>1098</v>
      </c>
    </row>
    <row r="7057" spans="1:6">
      <c r="A7057" t="s">
        <v>538</v>
      </c>
      <c r="B7057" t="s">
        <v>539</v>
      </c>
      <c r="C7057">
        <v>48055</v>
      </c>
      <c r="D7057" t="s">
        <v>1097</v>
      </c>
      <c r="E7057" t="s">
        <v>1437</v>
      </c>
      <c r="F7057" t="s">
        <v>1098</v>
      </c>
    </row>
    <row r="7058" spans="1:6">
      <c r="A7058" t="s">
        <v>540</v>
      </c>
      <c r="B7058" t="s">
        <v>541</v>
      </c>
      <c r="C7058">
        <v>5551</v>
      </c>
      <c r="D7058" t="s">
        <v>524</v>
      </c>
      <c r="E7058" t="s">
        <v>1424</v>
      </c>
      <c r="F7058" t="s">
        <v>1425</v>
      </c>
    </row>
    <row r="7059" spans="1:6">
      <c r="A7059" t="s">
        <v>540</v>
      </c>
      <c r="B7059" t="s">
        <v>541</v>
      </c>
      <c r="C7059">
        <v>464</v>
      </c>
      <c r="D7059" t="s">
        <v>525</v>
      </c>
      <c r="E7059" t="s">
        <v>1429</v>
      </c>
      <c r="F7059" t="s">
        <v>1430</v>
      </c>
    </row>
    <row r="7060" spans="1:6">
      <c r="A7060" t="s">
        <v>542</v>
      </c>
      <c r="B7060" t="s">
        <v>543</v>
      </c>
      <c r="C7060">
        <v>100000</v>
      </c>
      <c r="D7060" t="s">
        <v>513</v>
      </c>
      <c r="E7060" t="s">
        <v>1503</v>
      </c>
      <c r="F7060" t="s">
        <v>1206</v>
      </c>
    </row>
    <row r="7061" spans="1:6">
      <c r="A7061" t="s">
        <v>544</v>
      </c>
      <c r="B7061" t="s">
        <v>545</v>
      </c>
      <c r="C7061">
        <v>255000</v>
      </c>
      <c r="D7061" t="s">
        <v>1418</v>
      </c>
      <c r="E7061" t="s">
        <v>1419</v>
      </c>
      <c r="F7061" t="s">
        <v>1420</v>
      </c>
    </row>
    <row r="7062" spans="1:6">
      <c r="A7062" t="s">
        <v>546</v>
      </c>
      <c r="B7062" t="s">
        <v>547</v>
      </c>
      <c r="C7062">
        <v>70032.800000000003</v>
      </c>
      <c r="D7062" t="s">
        <v>1431</v>
      </c>
      <c r="E7062" t="s">
        <v>1432</v>
      </c>
      <c r="F7062" t="s">
        <v>1433</v>
      </c>
    </row>
    <row r="7063" spans="1:6">
      <c r="A7063" t="s">
        <v>546</v>
      </c>
      <c r="B7063" t="s">
        <v>547</v>
      </c>
      <c r="C7063">
        <v>66603.199999999997</v>
      </c>
      <c r="D7063" t="s">
        <v>1434</v>
      </c>
      <c r="E7063" t="s">
        <v>1432</v>
      </c>
      <c r="F7063" t="s">
        <v>1435</v>
      </c>
    </row>
    <row r="7064" spans="1:6">
      <c r="A7064" t="s">
        <v>548</v>
      </c>
      <c r="B7064" t="s">
        <v>549</v>
      </c>
      <c r="C7064">
        <v>0</v>
      </c>
      <c r="D7064" t="s">
        <v>550</v>
      </c>
      <c r="E7064" t="s">
        <v>1490</v>
      </c>
      <c r="F7064" t="s">
        <v>1491</v>
      </c>
    </row>
    <row r="7065" spans="1:6">
      <c r="A7065" t="s">
        <v>548</v>
      </c>
      <c r="B7065" t="s">
        <v>549</v>
      </c>
      <c r="C7065">
        <v>4390</v>
      </c>
      <c r="D7065" t="s">
        <v>820</v>
      </c>
      <c r="E7065" t="s">
        <v>1490</v>
      </c>
      <c r="F7065" t="s">
        <v>1491</v>
      </c>
    </row>
    <row r="7066" spans="1:6">
      <c r="A7066" t="s">
        <v>548</v>
      </c>
      <c r="B7066" t="s">
        <v>549</v>
      </c>
      <c r="C7066">
        <v>69705.17</v>
      </c>
      <c r="D7066" t="s">
        <v>821</v>
      </c>
      <c r="E7066" t="s">
        <v>1538</v>
      </c>
      <c r="F7066" t="s">
        <v>1539</v>
      </c>
    </row>
    <row r="7067" spans="1:6">
      <c r="A7067" t="s">
        <v>548</v>
      </c>
      <c r="B7067" t="s">
        <v>549</v>
      </c>
      <c r="C7067">
        <v>83971.68</v>
      </c>
      <c r="D7067" t="s">
        <v>822</v>
      </c>
      <c r="E7067" t="s">
        <v>1538</v>
      </c>
      <c r="F7067" t="s">
        <v>1541</v>
      </c>
    </row>
    <row r="7068" spans="1:6">
      <c r="A7068" t="s">
        <v>548</v>
      </c>
      <c r="B7068" t="s">
        <v>549</v>
      </c>
      <c r="C7068">
        <v>107889.28</v>
      </c>
      <c r="D7068" t="s">
        <v>823</v>
      </c>
      <c r="E7068" t="s">
        <v>1432</v>
      </c>
      <c r="F7068" t="s">
        <v>1433</v>
      </c>
    </row>
    <row r="7069" spans="1:6">
      <c r="A7069" t="s">
        <v>548</v>
      </c>
      <c r="B7069" t="s">
        <v>549</v>
      </c>
      <c r="C7069">
        <v>131608.07999999999</v>
      </c>
      <c r="D7069" t="s">
        <v>824</v>
      </c>
      <c r="E7069" t="s">
        <v>1432</v>
      </c>
      <c r="F7069" t="s">
        <v>1435</v>
      </c>
    </row>
    <row r="7070" spans="1:6">
      <c r="A7070" t="s">
        <v>548</v>
      </c>
      <c r="B7070" t="s">
        <v>549</v>
      </c>
      <c r="C7070">
        <v>116956</v>
      </c>
      <c r="D7070" t="s">
        <v>551</v>
      </c>
      <c r="E7070" t="s">
        <v>552</v>
      </c>
      <c r="F7070" t="s">
        <v>417</v>
      </c>
    </row>
    <row r="7071" spans="1:6">
      <c r="A7071" t="s">
        <v>548</v>
      </c>
      <c r="B7071" t="s">
        <v>549</v>
      </c>
      <c r="C7071">
        <v>72800</v>
      </c>
      <c r="D7071" t="s">
        <v>418</v>
      </c>
      <c r="E7071" t="s">
        <v>552</v>
      </c>
      <c r="F7071" t="s">
        <v>419</v>
      </c>
    </row>
    <row r="7072" spans="1:6">
      <c r="A7072" t="s">
        <v>548</v>
      </c>
      <c r="B7072" t="s">
        <v>549</v>
      </c>
      <c r="C7072">
        <v>10000</v>
      </c>
      <c r="D7072" t="s">
        <v>420</v>
      </c>
      <c r="E7072" t="s">
        <v>1437</v>
      </c>
      <c r="F7072" t="s">
        <v>421</v>
      </c>
    </row>
    <row r="7073" spans="1:6">
      <c r="A7073" t="s">
        <v>548</v>
      </c>
      <c r="B7073" t="s">
        <v>549</v>
      </c>
      <c r="C7073">
        <v>13487</v>
      </c>
      <c r="D7073" t="s">
        <v>1584</v>
      </c>
      <c r="E7073" t="s">
        <v>1585</v>
      </c>
      <c r="F7073" t="s">
        <v>1586</v>
      </c>
    </row>
    <row r="7074" spans="1:6">
      <c r="A7074" t="s">
        <v>548</v>
      </c>
      <c r="B7074" t="s">
        <v>549</v>
      </c>
      <c r="C7074">
        <v>469</v>
      </c>
      <c r="D7074" t="s">
        <v>1589</v>
      </c>
      <c r="E7074" t="s">
        <v>1590</v>
      </c>
      <c r="F7074" t="s">
        <v>1591</v>
      </c>
    </row>
    <row r="7075" spans="1:6">
      <c r="A7075" t="s">
        <v>548</v>
      </c>
      <c r="B7075" t="s">
        <v>549</v>
      </c>
      <c r="C7075">
        <v>697</v>
      </c>
      <c r="D7075" t="s">
        <v>1594</v>
      </c>
      <c r="E7075" t="s">
        <v>1595</v>
      </c>
      <c r="F7075" t="s">
        <v>1596</v>
      </c>
    </row>
    <row r="7076" spans="1:6">
      <c r="A7076" t="s">
        <v>548</v>
      </c>
      <c r="B7076" t="s">
        <v>549</v>
      </c>
      <c r="C7076">
        <v>66340</v>
      </c>
      <c r="D7076" t="s">
        <v>1599</v>
      </c>
      <c r="E7076" t="s">
        <v>1600</v>
      </c>
      <c r="F7076" t="s">
        <v>1601</v>
      </c>
    </row>
    <row r="7077" spans="1:6">
      <c r="A7077" t="s">
        <v>548</v>
      </c>
      <c r="B7077" t="s">
        <v>549</v>
      </c>
      <c r="C7077">
        <v>231500</v>
      </c>
      <c r="D7077" t="s">
        <v>1602</v>
      </c>
      <c r="E7077" t="s">
        <v>1600</v>
      </c>
      <c r="F7077" t="s">
        <v>1603</v>
      </c>
    </row>
    <row r="7078" spans="1:6">
      <c r="A7078" t="s">
        <v>548</v>
      </c>
      <c r="B7078" t="s">
        <v>549</v>
      </c>
      <c r="C7078">
        <v>674</v>
      </c>
      <c r="D7078" t="s">
        <v>1604</v>
      </c>
      <c r="E7078" t="s">
        <v>1605</v>
      </c>
      <c r="F7078" t="s">
        <v>1606</v>
      </c>
    </row>
    <row r="7079" spans="1:6">
      <c r="A7079" t="s">
        <v>422</v>
      </c>
      <c r="B7079" t="s">
        <v>423</v>
      </c>
      <c r="C7079">
        <v>465000</v>
      </c>
      <c r="D7079" t="s">
        <v>424</v>
      </c>
      <c r="E7079" t="s">
        <v>425</v>
      </c>
      <c r="F7079" t="s">
        <v>426</v>
      </c>
    </row>
    <row r="7080" spans="1:6">
      <c r="A7080" t="s">
        <v>427</v>
      </c>
      <c r="B7080" t="s">
        <v>428</v>
      </c>
      <c r="C7080">
        <v>0</v>
      </c>
      <c r="D7080" t="s">
        <v>550</v>
      </c>
      <c r="E7080" t="s">
        <v>1490</v>
      </c>
      <c r="F7080" t="s">
        <v>1491</v>
      </c>
    </row>
    <row r="7081" spans="1:6">
      <c r="A7081" t="s">
        <v>427</v>
      </c>
      <c r="B7081" t="s">
        <v>428</v>
      </c>
      <c r="C7081">
        <v>12947</v>
      </c>
      <c r="D7081" t="s">
        <v>820</v>
      </c>
      <c r="E7081" t="s">
        <v>1490</v>
      </c>
      <c r="F7081" t="s">
        <v>1491</v>
      </c>
    </row>
    <row r="7082" spans="1:6">
      <c r="A7082" t="s">
        <v>427</v>
      </c>
      <c r="B7082" t="s">
        <v>428</v>
      </c>
      <c r="C7082">
        <v>216928.6</v>
      </c>
      <c r="D7082" t="s">
        <v>821</v>
      </c>
      <c r="E7082" t="s">
        <v>1538</v>
      </c>
      <c r="F7082" t="s">
        <v>1539</v>
      </c>
    </row>
    <row r="7083" spans="1:6">
      <c r="A7083" t="s">
        <v>427</v>
      </c>
      <c r="B7083" t="s">
        <v>428</v>
      </c>
      <c r="C7083">
        <v>249216.24</v>
      </c>
      <c r="D7083" t="s">
        <v>822</v>
      </c>
      <c r="E7083" t="s">
        <v>1538</v>
      </c>
      <c r="F7083" t="s">
        <v>1541</v>
      </c>
    </row>
    <row r="7084" spans="1:6">
      <c r="A7084" t="s">
        <v>427</v>
      </c>
      <c r="B7084" t="s">
        <v>428</v>
      </c>
      <c r="C7084">
        <v>341544.28</v>
      </c>
      <c r="D7084" t="s">
        <v>823</v>
      </c>
      <c r="E7084" t="s">
        <v>1432</v>
      </c>
      <c r="F7084" t="s">
        <v>1433</v>
      </c>
    </row>
    <row r="7085" spans="1:6">
      <c r="A7085" t="s">
        <v>427</v>
      </c>
      <c r="B7085" t="s">
        <v>428</v>
      </c>
      <c r="C7085">
        <v>394266.02</v>
      </c>
      <c r="D7085" t="s">
        <v>824</v>
      </c>
      <c r="E7085" t="s">
        <v>1432</v>
      </c>
      <c r="F7085" t="s">
        <v>1435</v>
      </c>
    </row>
    <row r="7086" spans="1:6">
      <c r="A7086" t="s">
        <v>427</v>
      </c>
      <c r="B7086" t="s">
        <v>428</v>
      </c>
      <c r="C7086">
        <v>339845</v>
      </c>
      <c r="D7086" t="s">
        <v>551</v>
      </c>
      <c r="E7086" t="s">
        <v>552</v>
      </c>
      <c r="F7086" t="s">
        <v>417</v>
      </c>
    </row>
    <row r="7087" spans="1:6">
      <c r="A7087" t="s">
        <v>427</v>
      </c>
      <c r="B7087" t="s">
        <v>428</v>
      </c>
      <c r="C7087">
        <v>635000</v>
      </c>
      <c r="D7087" t="s">
        <v>418</v>
      </c>
      <c r="E7087" t="s">
        <v>552</v>
      </c>
      <c r="F7087" t="s">
        <v>419</v>
      </c>
    </row>
    <row r="7088" spans="1:6">
      <c r="A7088" t="s">
        <v>427</v>
      </c>
      <c r="B7088" t="s">
        <v>428</v>
      </c>
      <c r="C7088">
        <v>75000</v>
      </c>
      <c r="D7088" t="s">
        <v>420</v>
      </c>
      <c r="E7088" t="s">
        <v>1437</v>
      </c>
      <c r="F7088" t="s">
        <v>421</v>
      </c>
    </row>
    <row r="7089" spans="1:6">
      <c r="A7089" t="s">
        <v>427</v>
      </c>
      <c r="B7089" t="s">
        <v>428</v>
      </c>
      <c r="C7089">
        <v>54761</v>
      </c>
      <c r="D7089" t="s">
        <v>1584</v>
      </c>
      <c r="E7089" t="s">
        <v>1585</v>
      </c>
      <c r="F7089" t="s">
        <v>1586</v>
      </c>
    </row>
    <row r="7090" spans="1:6">
      <c r="A7090" t="s">
        <v>427</v>
      </c>
      <c r="B7090" t="s">
        <v>428</v>
      </c>
      <c r="C7090">
        <v>85000</v>
      </c>
      <c r="D7090" t="s">
        <v>1587</v>
      </c>
      <c r="E7090" t="s">
        <v>1585</v>
      </c>
      <c r="F7090" t="s">
        <v>1588</v>
      </c>
    </row>
    <row r="7091" spans="1:6">
      <c r="A7091" t="s">
        <v>427</v>
      </c>
      <c r="B7091" t="s">
        <v>428</v>
      </c>
      <c r="C7091">
        <v>225000</v>
      </c>
      <c r="D7091" t="s">
        <v>1602</v>
      </c>
      <c r="E7091" t="s">
        <v>1600</v>
      </c>
      <c r="F7091" t="s">
        <v>1603</v>
      </c>
    </row>
    <row r="7092" spans="1:6">
      <c r="A7092" t="s">
        <v>429</v>
      </c>
      <c r="B7092" t="s">
        <v>430</v>
      </c>
      <c r="C7092">
        <v>49255055</v>
      </c>
      <c r="D7092" t="s">
        <v>1610</v>
      </c>
      <c r="E7092" t="s">
        <v>1481</v>
      </c>
      <c r="F7092" t="s">
        <v>1482</v>
      </c>
    </row>
    <row r="7093" spans="1:6">
      <c r="A7093" t="s">
        <v>429</v>
      </c>
      <c r="B7093" t="s">
        <v>430</v>
      </c>
      <c r="C7093">
        <v>660413</v>
      </c>
      <c r="D7093" t="s">
        <v>1418</v>
      </c>
      <c r="E7093" t="s">
        <v>1419</v>
      </c>
      <c r="F7093" t="s">
        <v>1420</v>
      </c>
    </row>
    <row r="7094" spans="1:6">
      <c r="A7094" t="s">
        <v>431</v>
      </c>
      <c r="B7094" t="s">
        <v>432</v>
      </c>
      <c r="C7094">
        <v>0</v>
      </c>
      <c r="D7094" t="s">
        <v>550</v>
      </c>
      <c r="E7094" t="s">
        <v>1490</v>
      </c>
      <c r="F7094" t="s">
        <v>1491</v>
      </c>
    </row>
    <row r="7095" spans="1:6">
      <c r="A7095" t="s">
        <v>431</v>
      </c>
      <c r="B7095" t="s">
        <v>432</v>
      </c>
      <c r="C7095">
        <v>2256</v>
      </c>
      <c r="D7095" t="s">
        <v>820</v>
      </c>
      <c r="E7095" t="s">
        <v>1490</v>
      </c>
      <c r="F7095" t="s">
        <v>1491</v>
      </c>
    </row>
    <row r="7096" spans="1:6">
      <c r="A7096" t="s">
        <v>431</v>
      </c>
      <c r="B7096" t="s">
        <v>432</v>
      </c>
      <c r="C7096">
        <v>32064.29</v>
      </c>
      <c r="D7096" t="s">
        <v>821</v>
      </c>
      <c r="E7096" t="s">
        <v>1538</v>
      </c>
      <c r="F7096" t="s">
        <v>1539</v>
      </c>
    </row>
    <row r="7097" spans="1:6">
      <c r="A7097" t="s">
        <v>431</v>
      </c>
      <c r="B7097" t="s">
        <v>432</v>
      </c>
      <c r="C7097">
        <v>31735.08</v>
      </c>
      <c r="D7097" t="s">
        <v>822</v>
      </c>
      <c r="E7097" t="s">
        <v>1538</v>
      </c>
      <c r="F7097" t="s">
        <v>1541</v>
      </c>
    </row>
    <row r="7098" spans="1:6">
      <c r="A7098" t="s">
        <v>431</v>
      </c>
      <c r="B7098" t="s">
        <v>432</v>
      </c>
      <c r="C7098">
        <v>49761.64</v>
      </c>
      <c r="D7098" t="s">
        <v>823</v>
      </c>
      <c r="E7098" t="s">
        <v>1432</v>
      </c>
      <c r="F7098" t="s">
        <v>1433</v>
      </c>
    </row>
    <row r="7099" spans="1:6">
      <c r="A7099" t="s">
        <v>431</v>
      </c>
      <c r="B7099" t="s">
        <v>432</v>
      </c>
      <c r="C7099">
        <v>49270.5</v>
      </c>
      <c r="D7099" t="s">
        <v>824</v>
      </c>
      <c r="E7099" t="s">
        <v>1432</v>
      </c>
      <c r="F7099" t="s">
        <v>1435</v>
      </c>
    </row>
    <row r="7100" spans="1:6">
      <c r="A7100" t="s">
        <v>433</v>
      </c>
      <c r="B7100" t="s">
        <v>434</v>
      </c>
      <c r="C7100">
        <v>688701</v>
      </c>
      <c r="D7100" t="s">
        <v>435</v>
      </c>
      <c r="E7100" t="s">
        <v>436</v>
      </c>
      <c r="F7100" t="s">
        <v>437</v>
      </c>
    </row>
    <row r="7101" spans="1:6">
      <c r="A7101" t="s">
        <v>440</v>
      </c>
      <c r="B7101" t="s">
        <v>441</v>
      </c>
      <c r="C7101">
        <v>31250</v>
      </c>
      <c r="D7101" t="s">
        <v>1126</v>
      </c>
      <c r="E7101" t="s">
        <v>1127</v>
      </c>
      <c r="F7101" t="s">
        <v>1128</v>
      </c>
    </row>
    <row r="7102" spans="1:6">
      <c r="A7102" t="s">
        <v>440</v>
      </c>
      <c r="B7102" t="s">
        <v>441</v>
      </c>
      <c r="C7102">
        <v>58700</v>
      </c>
      <c r="D7102" t="s">
        <v>1314</v>
      </c>
      <c r="E7102" t="s">
        <v>1315</v>
      </c>
      <c r="F7102" t="s">
        <v>1316</v>
      </c>
    </row>
    <row r="7103" spans="1:6">
      <c r="A7103" t="s">
        <v>440</v>
      </c>
      <c r="B7103" t="s">
        <v>441</v>
      </c>
      <c r="C7103">
        <v>0</v>
      </c>
      <c r="D7103" t="s">
        <v>550</v>
      </c>
      <c r="E7103" t="s">
        <v>1490</v>
      </c>
      <c r="F7103" t="s">
        <v>1491</v>
      </c>
    </row>
    <row r="7104" spans="1:6">
      <c r="A7104" t="s">
        <v>440</v>
      </c>
      <c r="B7104" t="s">
        <v>441</v>
      </c>
      <c r="C7104">
        <v>28979</v>
      </c>
      <c r="D7104" t="s">
        <v>820</v>
      </c>
      <c r="E7104" t="s">
        <v>1490</v>
      </c>
      <c r="F7104" t="s">
        <v>1491</v>
      </c>
    </row>
    <row r="7105" spans="1:6">
      <c r="A7105" t="s">
        <v>440</v>
      </c>
      <c r="B7105" t="s">
        <v>441</v>
      </c>
      <c r="C7105">
        <v>26040</v>
      </c>
      <c r="D7105" t="s">
        <v>1333</v>
      </c>
      <c r="E7105" t="s">
        <v>1383</v>
      </c>
      <c r="F7105" t="s">
        <v>1334</v>
      </c>
    </row>
    <row r="7106" spans="1:6">
      <c r="A7106" t="s">
        <v>440</v>
      </c>
      <c r="B7106" t="s">
        <v>441</v>
      </c>
      <c r="C7106">
        <v>108438.27</v>
      </c>
      <c r="D7106" t="s">
        <v>821</v>
      </c>
      <c r="E7106" t="s">
        <v>1538</v>
      </c>
      <c r="F7106" t="s">
        <v>1539</v>
      </c>
    </row>
    <row r="7107" spans="1:6">
      <c r="A7107" t="s">
        <v>440</v>
      </c>
      <c r="B7107" t="s">
        <v>441</v>
      </c>
      <c r="C7107">
        <v>172332.16</v>
      </c>
      <c r="D7107" t="s">
        <v>822</v>
      </c>
      <c r="E7107" t="s">
        <v>1538</v>
      </c>
      <c r="F7107" t="s">
        <v>1541</v>
      </c>
    </row>
    <row r="7108" spans="1:6">
      <c r="A7108" t="s">
        <v>440</v>
      </c>
      <c r="B7108" t="s">
        <v>441</v>
      </c>
      <c r="C7108">
        <v>485819.99</v>
      </c>
      <c r="D7108" t="s">
        <v>823</v>
      </c>
      <c r="E7108" t="s">
        <v>1432</v>
      </c>
      <c r="F7108" t="s">
        <v>1433</v>
      </c>
    </row>
    <row r="7109" spans="1:6">
      <c r="A7109" t="s">
        <v>440</v>
      </c>
      <c r="B7109" t="s">
        <v>441</v>
      </c>
      <c r="C7109">
        <v>724510.53</v>
      </c>
      <c r="D7109" t="s">
        <v>824</v>
      </c>
      <c r="E7109" t="s">
        <v>1432</v>
      </c>
      <c r="F7109" t="s">
        <v>1435</v>
      </c>
    </row>
    <row r="7110" spans="1:6">
      <c r="A7110" t="s">
        <v>440</v>
      </c>
      <c r="B7110" t="s">
        <v>441</v>
      </c>
      <c r="C7110">
        <v>1924465</v>
      </c>
      <c r="D7110" t="s">
        <v>1579</v>
      </c>
      <c r="E7110" t="s">
        <v>1577</v>
      </c>
      <c r="F7110" t="s">
        <v>1580</v>
      </c>
    </row>
    <row r="7111" spans="1:6">
      <c r="A7111" t="s">
        <v>440</v>
      </c>
      <c r="B7111" t="s">
        <v>441</v>
      </c>
      <c r="C7111">
        <v>36765</v>
      </c>
      <c r="D7111" t="s">
        <v>1359</v>
      </c>
      <c r="E7111" t="s">
        <v>1357</v>
      </c>
      <c r="F7111" t="s">
        <v>1360</v>
      </c>
    </row>
    <row r="7112" spans="1:6">
      <c r="A7112" t="s">
        <v>440</v>
      </c>
      <c r="B7112" t="s">
        <v>441</v>
      </c>
      <c r="C7112">
        <v>206718</v>
      </c>
      <c r="D7112" t="s">
        <v>1436</v>
      </c>
      <c r="E7112" t="s">
        <v>1437</v>
      </c>
      <c r="F7112" t="s">
        <v>1438</v>
      </c>
    </row>
    <row r="7113" spans="1:6">
      <c r="A7113" t="s">
        <v>440</v>
      </c>
      <c r="B7113" t="s">
        <v>441</v>
      </c>
      <c r="C7113">
        <v>14747</v>
      </c>
      <c r="D7113" t="s">
        <v>1581</v>
      </c>
      <c r="E7113" t="s">
        <v>1582</v>
      </c>
      <c r="F7113" t="s">
        <v>1583</v>
      </c>
    </row>
    <row r="7114" spans="1:6">
      <c r="A7114" t="s">
        <v>440</v>
      </c>
      <c r="B7114" t="s">
        <v>441</v>
      </c>
      <c r="C7114">
        <v>680326</v>
      </c>
      <c r="D7114" t="s">
        <v>1587</v>
      </c>
      <c r="E7114" t="s">
        <v>1585</v>
      </c>
      <c r="F7114" t="s">
        <v>1588</v>
      </c>
    </row>
    <row r="7115" spans="1:6">
      <c r="A7115" t="s">
        <v>440</v>
      </c>
      <c r="B7115" t="s">
        <v>441</v>
      </c>
      <c r="C7115">
        <v>659</v>
      </c>
      <c r="D7115" t="s">
        <v>1454</v>
      </c>
      <c r="E7115" t="s">
        <v>1455</v>
      </c>
      <c r="F7115" t="s">
        <v>1456</v>
      </c>
    </row>
    <row r="7116" spans="1:6">
      <c r="A7116" t="s">
        <v>440</v>
      </c>
      <c r="B7116" t="s">
        <v>441</v>
      </c>
      <c r="C7116">
        <v>112084</v>
      </c>
      <c r="D7116" t="s">
        <v>1457</v>
      </c>
      <c r="E7116" t="s">
        <v>1455</v>
      </c>
      <c r="F7116" t="s">
        <v>1458</v>
      </c>
    </row>
    <row r="7117" spans="1:6">
      <c r="A7117" t="s">
        <v>440</v>
      </c>
      <c r="B7117" t="s">
        <v>441</v>
      </c>
      <c r="C7117">
        <v>48533</v>
      </c>
      <c r="D7117" t="s">
        <v>1592</v>
      </c>
      <c r="E7117" t="s">
        <v>1590</v>
      </c>
      <c r="F7117" t="s">
        <v>1593</v>
      </c>
    </row>
    <row r="7118" spans="1:6">
      <c r="A7118" t="s">
        <v>440</v>
      </c>
      <c r="B7118" t="s">
        <v>441</v>
      </c>
      <c r="C7118">
        <v>15410</v>
      </c>
      <c r="D7118" t="s">
        <v>1597</v>
      </c>
      <c r="E7118" t="s">
        <v>1595</v>
      </c>
      <c r="F7118" t="s">
        <v>1598</v>
      </c>
    </row>
    <row r="7119" spans="1:6">
      <c r="A7119" t="s">
        <v>440</v>
      </c>
      <c r="B7119" t="s">
        <v>441</v>
      </c>
      <c r="C7119">
        <v>2055103</v>
      </c>
      <c r="D7119" t="s">
        <v>1602</v>
      </c>
      <c r="E7119" t="s">
        <v>1600</v>
      </c>
      <c r="F7119" t="s">
        <v>1603</v>
      </c>
    </row>
    <row r="7120" spans="1:6">
      <c r="A7120" t="s">
        <v>443</v>
      </c>
      <c r="B7120" t="s">
        <v>444</v>
      </c>
      <c r="C7120">
        <v>37975</v>
      </c>
      <c r="D7120" t="s">
        <v>445</v>
      </c>
      <c r="E7120" t="s">
        <v>1437</v>
      </c>
      <c r="F7120" t="s">
        <v>446</v>
      </c>
    </row>
    <row r="7121" spans="1:6">
      <c r="A7121" t="s">
        <v>443</v>
      </c>
      <c r="B7121" t="s">
        <v>444</v>
      </c>
      <c r="C7121">
        <v>45000</v>
      </c>
      <c r="D7121" t="s">
        <v>1097</v>
      </c>
      <c r="E7121" t="s">
        <v>1437</v>
      </c>
      <c r="F7121" t="s">
        <v>1098</v>
      </c>
    </row>
  </sheetData>
  <sheetCalcPr fullCalcOnLoad="1"/>
  <autoFilter ref="A1:G7121"/>
  <pageMargins left="0.7" right="0.7" top="0.75" bottom="0.75" header="0.3" footer="0.3"/>
  <legacyDrawing r:id="rId1"/>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N35"/>
  <sheetViews>
    <sheetView workbookViewId="0">
      <selection activeCell="A3" sqref="A3"/>
    </sheetView>
  </sheetViews>
  <sheetFormatPr baseColWidth="10" defaultColWidth="8.83203125" defaultRowHeight="12"/>
  <cols>
    <col min="1" max="1" width="16.6640625" customWidth="1"/>
  </cols>
  <sheetData>
    <row r="1" spans="1:12">
      <c r="A1" t="s">
        <v>1685</v>
      </c>
      <c r="I1" t="s">
        <v>1686</v>
      </c>
    </row>
    <row r="2" spans="1:12" ht="24">
      <c r="A2" s="41" t="s">
        <v>64</v>
      </c>
      <c r="B2" s="145" t="s">
        <v>1687</v>
      </c>
      <c r="C2" s="145"/>
      <c r="D2" s="127" t="s">
        <v>1554</v>
      </c>
      <c r="E2" s="145"/>
      <c r="F2" s="127" t="s">
        <v>1555</v>
      </c>
      <c r="G2" s="145"/>
      <c r="J2" t="s">
        <v>1688</v>
      </c>
      <c r="K2" t="s">
        <v>1689</v>
      </c>
      <c r="L2" t="s">
        <v>1690</v>
      </c>
    </row>
    <row r="3" spans="1:12">
      <c r="A3" s="20" t="s">
        <v>1691</v>
      </c>
      <c r="B3" s="21"/>
      <c r="C3" s="21"/>
      <c r="D3" s="21"/>
      <c r="E3" s="21"/>
      <c r="F3" s="21"/>
      <c r="G3" s="21"/>
      <c r="I3" s="48" t="s">
        <v>1681</v>
      </c>
      <c r="J3" s="23">
        <f>B4</f>
        <v>11551.26495095202</v>
      </c>
      <c r="K3" s="23">
        <f>B5</f>
        <v>11282.617318435754</v>
      </c>
      <c r="L3" s="23">
        <f>B6</f>
        <v>268.64763251626573</v>
      </c>
    </row>
    <row r="4" spans="1:12">
      <c r="A4" s="39" t="s">
        <v>1688</v>
      </c>
      <c r="B4" s="120">
        <f>B14</f>
        <v>11551.26495095202</v>
      </c>
      <c r="C4" s="121"/>
      <c r="D4" s="120">
        <f>D14</f>
        <v>11005.990558722917</v>
      </c>
      <c r="E4" s="121"/>
      <c r="F4" s="120">
        <f>F14</f>
        <v>16963.091028194107</v>
      </c>
      <c r="G4" s="121"/>
      <c r="I4" s="48" t="str">
        <f>D2</f>
        <v>Bridgeport</v>
      </c>
      <c r="J4" s="23">
        <f>D4</f>
        <v>11005.990558722917</v>
      </c>
      <c r="K4" s="23">
        <f>D5</f>
        <v>9459.1485714285718</v>
      </c>
      <c r="L4" s="23">
        <f>D6</f>
        <v>1546.841987294345</v>
      </c>
    </row>
    <row r="5" spans="1:12">
      <c r="A5" s="39" t="s">
        <v>1689</v>
      </c>
      <c r="B5" s="120">
        <f>C14</f>
        <v>11282.617318435754</v>
      </c>
      <c r="C5" s="121"/>
      <c r="D5" s="120">
        <f>E14</f>
        <v>9459.1485714285718</v>
      </c>
      <c r="E5" s="121"/>
      <c r="F5" s="120">
        <f>G14</f>
        <v>14354.180180180181</v>
      </c>
      <c r="G5" s="121"/>
      <c r="I5" s="48" t="str">
        <f>F2</f>
        <v>New Haven</v>
      </c>
      <c r="J5" s="23">
        <f>F4</f>
        <v>16963.091028194107</v>
      </c>
      <c r="K5" s="23">
        <f>F5</f>
        <v>14354.180180180181</v>
      </c>
      <c r="L5" s="23">
        <f>F6</f>
        <v>2608.9108480139257</v>
      </c>
    </row>
    <row r="6" spans="1:12">
      <c r="A6" s="143" t="s">
        <v>1690</v>
      </c>
      <c r="B6" s="120">
        <f>B4-B5</f>
        <v>268.64763251626573</v>
      </c>
      <c r="C6" s="121"/>
      <c r="D6" s="120">
        <f>D4-D5</f>
        <v>1546.841987294345</v>
      </c>
      <c r="E6" s="121"/>
      <c r="F6" s="120">
        <f>F4-F5</f>
        <v>2608.9108480139257</v>
      </c>
      <c r="G6" s="121"/>
      <c r="I6" s="22"/>
      <c r="J6" s="23"/>
      <c r="K6" s="23"/>
      <c r="L6" s="23"/>
    </row>
    <row r="7" spans="1:12">
      <c r="A7" s="144"/>
      <c r="B7" s="106">
        <f>B6/B4</f>
        <v>2.3256988187611835E-2</v>
      </c>
      <c r="C7" s="107"/>
      <c r="D7" s="106">
        <f>D6/D4</f>
        <v>0.1405454583157332</v>
      </c>
      <c r="E7" s="107"/>
      <c r="F7" s="106">
        <f>F6/F4</f>
        <v>0.15379926003330954</v>
      </c>
      <c r="G7" s="107"/>
    </row>
    <row r="8" spans="1:12" ht="24">
      <c r="A8" s="55" t="s">
        <v>1692</v>
      </c>
      <c r="B8" s="42" t="s">
        <v>1693</v>
      </c>
      <c r="C8" s="42" t="s">
        <v>1689</v>
      </c>
      <c r="D8" s="42" t="s">
        <v>1693</v>
      </c>
      <c r="E8" s="42" t="s">
        <v>1689</v>
      </c>
      <c r="F8" s="42" t="s">
        <v>1693</v>
      </c>
      <c r="G8" s="42" t="s">
        <v>1689</v>
      </c>
    </row>
    <row r="9" spans="1:12">
      <c r="A9" s="39" t="s">
        <v>1682</v>
      </c>
      <c r="B9" s="43">
        <f>'FY03 Dist w school constr'!E174</f>
        <v>456.00394478404741</v>
      </c>
      <c r="C9" s="43">
        <f>'FY03 Charter w school const'!E19</f>
        <v>1037.4362197392923</v>
      </c>
      <c r="D9" s="43">
        <f>'FY03 Dist w school constr'!E181</f>
        <v>1115.6638084378562</v>
      </c>
      <c r="E9" s="43">
        <f>'FY03 Charter w school const'!E28</f>
        <v>1393.8571428571429</v>
      </c>
      <c r="F9" s="43">
        <f>'FY03 Dist w school constr'!E188</f>
        <v>2038.438580861545</v>
      </c>
      <c r="G9" s="43">
        <f>'FY03 Charter w school const'!E38</f>
        <v>1317.4294294294293</v>
      </c>
    </row>
    <row r="10" spans="1:12">
      <c r="A10" s="39" t="s">
        <v>1681</v>
      </c>
      <c r="B10" s="43">
        <f>'FY03 Dist w school constr'!D174</f>
        <v>3796.3368959492009</v>
      </c>
      <c r="C10" s="43">
        <f>'FY03 Charter w school const'!D19</f>
        <v>8167.3896648044692</v>
      </c>
      <c r="D10" s="43">
        <f>'FY03 Dist w school constr'!D181</f>
        <v>7464.6145496009121</v>
      </c>
      <c r="E10" s="43">
        <f>'FY03 Charter w school const'!D28</f>
        <v>7026.6628571428573</v>
      </c>
      <c r="F10" s="43">
        <f>'FY03 Dist w school constr'!D188</f>
        <v>10965.343622261817</v>
      </c>
      <c r="G10" s="43">
        <f>'FY03 Charter w school const'!D38</f>
        <v>8390.3213213213221</v>
      </c>
    </row>
    <row r="11" spans="1:12">
      <c r="A11" s="39" t="s">
        <v>1684</v>
      </c>
      <c r="B11" s="43">
        <f>'FY03 Dist w school constr'!G174</f>
        <v>7193.891839055751</v>
      </c>
      <c r="C11" s="43">
        <f>'FY03 Charter w school const'!G19</f>
        <v>148.28864059590316</v>
      </c>
      <c r="D11" s="43">
        <f>'FY03 Dist w school constr'!G181</f>
        <v>2358.7306271379703</v>
      </c>
      <c r="E11" s="43">
        <f>'FY03 Charter w school const'!G28</f>
        <v>166.40571428571428</v>
      </c>
      <c r="F11" s="43">
        <f>'FY03 Dist w school constr'!G188</f>
        <v>3811.0307095692274</v>
      </c>
      <c r="G11" s="43">
        <f>'FY03 Charter w school const'!G38</f>
        <v>0</v>
      </c>
    </row>
    <row r="12" spans="1:12">
      <c r="A12" s="39" t="s">
        <v>1694</v>
      </c>
      <c r="B12" s="43"/>
      <c r="C12" s="43"/>
      <c r="D12" s="43"/>
      <c r="E12" s="43"/>
      <c r="F12" s="43"/>
      <c r="G12" s="43"/>
    </row>
    <row r="13" spans="1:12">
      <c r="A13" s="39" t="s">
        <v>1695</v>
      </c>
      <c r="B13" s="43">
        <f>'FY03 Dist w school constr'!F174</f>
        <v>105.03227116302229</v>
      </c>
      <c r="C13" s="43">
        <f>'FY03 Charter w school const'!F19</f>
        <v>1929.5027932960893</v>
      </c>
      <c r="D13" s="43">
        <f>'FY03 Dist w school constr'!F181</f>
        <v>66.981573546180158</v>
      </c>
      <c r="E13" s="43">
        <f>'FY03 Charter w school const'!F28</f>
        <v>872.22285714285715</v>
      </c>
      <c r="F13" s="43">
        <f>'FY03 Dist w school constr'!F188</f>
        <v>148.27811550151975</v>
      </c>
      <c r="G13" s="43">
        <f>'FY03 Charter w school const'!F38</f>
        <v>4646.4294294294295</v>
      </c>
    </row>
    <row r="14" spans="1:12">
      <c r="A14" s="39" t="s">
        <v>1543</v>
      </c>
      <c r="B14" s="43">
        <f t="shared" ref="B14:G14" si="0">SUM(B9:B13)</f>
        <v>11551.26495095202</v>
      </c>
      <c r="C14" s="43">
        <f t="shared" si="0"/>
        <v>11282.617318435754</v>
      </c>
      <c r="D14" s="43">
        <f t="shared" si="0"/>
        <v>11005.990558722917</v>
      </c>
      <c r="E14" s="43">
        <f t="shared" si="0"/>
        <v>9459.1485714285718</v>
      </c>
      <c r="F14" s="43">
        <f t="shared" si="0"/>
        <v>16963.091028194107</v>
      </c>
      <c r="G14" s="43">
        <f t="shared" si="0"/>
        <v>14354.180180180181</v>
      </c>
    </row>
    <row r="15" spans="1:12">
      <c r="A15" s="56" t="s">
        <v>1544</v>
      </c>
      <c r="B15" s="44"/>
      <c r="C15" s="44"/>
      <c r="D15" s="44"/>
      <c r="E15" s="44"/>
      <c r="F15" s="44"/>
      <c r="G15" s="44"/>
    </row>
    <row r="16" spans="1:12">
      <c r="A16" s="143" t="s">
        <v>1688</v>
      </c>
      <c r="B16" s="108">
        <f>'FY03 Dist w school constr'!C174</f>
        <v>544263</v>
      </c>
      <c r="C16" s="109"/>
      <c r="D16" s="108">
        <f>'FY03 Dist w school constr'!C181</f>
        <v>21925</v>
      </c>
      <c r="E16" s="109"/>
      <c r="F16" s="108">
        <f>'FY03 Dist w school constr'!C188</f>
        <v>19082</v>
      </c>
      <c r="G16" s="109"/>
    </row>
    <row r="17" spans="1:14">
      <c r="A17" s="144"/>
      <c r="B17" s="106">
        <f>B16/(B16+B18)</f>
        <v>0.99606889319578118</v>
      </c>
      <c r="C17" s="107"/>
      <c r="D17" s="106">
        <f>D16/(D16+D18)</f>
        <v>0.99208144796380093</v>
      </c>
      <c r="E17" s="107"/>
      <c r="F17" s="106">
        <f>F16/(F16+F18)</f>
        <v>0.98284831315992793</v>
      </c>
      <c r="G17" s="107"/>
    </row>
    <row r="18" spans="1:14">
      <c r="A18" s="143" t="s">
        <v>1689</v>
      </c>
      <c r="B18" s="108">
        <f>'FY03 Charter w school const'!C19</f>
        <v>2148</v>
      </c>
      <c r="C18" s="109"/>
      <c r="D18" s="108">
        <f>'FY03 Charter w school const'!C28</f>
        <v>175</v>
      </c>
      <c r="E18" s="109"/>
      <c r="F18" s="108">
        <f>'FY03 Charter w school const'!C38</f>
        <v>333</v>
      </c>
      <c r="G18" s="109"/>
    </row>
    <row r="19" spans="1:14">
      <c r="A19" s="144"/>
      <c r="B19" s="106">
        <f>B18/(B16+B18)</f>
        <v>3.931106804218802E-3</v>
      </c>
      <c r="C19" s="107"/>
      <c r="D19" s="106">
        <f>D18/(D16+D18)</f>
        <v>7.9185520361990946E-3</v>
      </c>
      <c r="E19" s="107"/>
      <c r="F19" s="106">
        <f>F18/(F16+F18)</f>
        <v>1.7151686840072108E-2</v>
      </c>
      <c r="G19" s="107"/>
    </row>
    <row r="20" spans="1:14">
      <c r="A20" s="39" t="s">
        <v>1545</v>
      </c>
      <c r="B20" s="116">
        <v>12</v>
      </c>
      <c r="C20" s="109"/>
      <c r="D20" s="116">
        <v>1</v>
      </c>
      <c r="E20" s="109"/>
      <c r="F20" s="116">
        <v>2</v>
      </c>
      <c r="G20" s="109"/>
    </row>
    <row r="21" spans="1:14">
      <c r="A21" s="56" t="s">
        <v>1546</v>
      </c>
      <c r="B21" s="44"/>
      <c r="C21" s="44"/>
      <c r="D21" s="44"/>
      <c r="E21" s="44"/>
      <c r="F21" s="44"/>
      <c r="G21" s="44"/>
    </row>
    <row r="22" spans="1:14">
      <c r="A22" s="143" t="s">
        <v>1688</v>
      </c>
      <c r="B22" s="108">
        <f>'FY03 Dist w school constr'!H173</f>
        <v>6286926116</v>
      </c>
      <c r="C22" s="109"/>
      <c r="D22" s="108">
        <f>'FY03 Dist w school constr'!H180</f>
        <v>241306343</v>
      </c>
      <c r="E22" s="109"/>
      <c r="F22" s="108">
        <f>'FY03 Dist w school constr'!H187</f>
        <v>323689703</v>
      </c>
      <c r="G22" s="109"/>
    </row>
    <row r="23" spans="1:14">
      <c r="A23" s="144"/>
      <c r="B23" s="106">
        <f>B22/B26</f>
        <v>0.99615996782264404</v>
      </c>
      <c r="C23" s="107"/>
      <c r="D23" s="106">
        <f>D22/D26</f>
        <v>0.99318678194596388</v>
      </c>
      <c r="E23" s="107"/>
      <c r="F23" s="106">
        <f>F22/F26</f>
        <v>0.985447842524383</v>
      </c>
      <c r="G23" s="107"/>
    </row>
    <row r="24" spans="1:14">
      <c r="A24" s="143" t="s">
        <v>1689</v>
      </c>
      <c r="B24" s="108">
        <f>'FY03 Charter w school const'!H18</f>
        <v>24235062</v>
      </c>
      <c r="C24" s="109"/>
      <c r="D24" s="108">
        <f>'FY03 Charter w school const'!H27</f>
        <v>1655351</v>
      </c>
      <c r="E24" s="109"/>
      <c r="F24" s="108">
        <f>'FY03 Charter w school const'!H37</f>
        <v>4779942</v>
      </c>
      <c r="G24" s="109"/>
    </row>
    <row r="25" spans="1:14">
      <c r="A25" s="144"/>
      <c r="B25" s="106">
        <f>B24/B26</f>
        <v>3.8400321773560003E-3</v>
      </c>
      <c r="C25" s="107"/>
      <c r="D25" s="106">
        <f>D24/D26</f>
        <v>6.813218054036123E-3</v>
      </c>
      <c r="E25" s="107"/>
      <c r="F25" s="106">
        <f>F24/F26</f>
        <v>1.4552157475616964E-2</v>
      </c>
      <c r="G25" s="107"/>
    </row>
    <row r="26" spans="1:14">
      <c r="A26" s="39" t="s">
        <v>1543</v>
      </c>
      <c r="B26" s="108">
        <f>B22+B24</f>
        <v>6311161178</v>
      </c>
      <c r="C26" s="109"/>
      <c r="D26" s="108">
        <f>D22+D24</f>
        <v>242961694</v>
      </c>
      <c r="E26" s="109"/>
      <c r="F26" s="108">
        <f>F22+F24</f>
        <v>328469645</v>
      </c>
      <c r="G26" s="109"/>
      <c r="I26" t="s">
        <v>1547</v>
      </c>
    </row>
    <row r="27" spans="1:14" ht="24">
      <c r="A27" s="57" t="s">
        <v>1548</v>
      </c>
      <c r="B27" s="42" t="s">
        <v>1693</v>
      </c>
      <c r="C27" s="42" t="s">
        <v>1689</v>
      </c>
      <c r="D27" s="42" t="s">
        <v>1693</v>
      </c>
      <c r="E27" s="42" t="s">
        <v>1689</v>
      </c>
      <c r="F27" s="42" t="s">
        <v>1693</v>
      </c>
      <c r="G27" s="42" t="s">
        <v>1689</v>
      </c>
      <c r="J27" s="26" t="s">
        <v>1549</v>
      </c>
      <c r="K27" s="26" t="s">
        <v>1681</v>
      </c>
      <c r="L27" s="26" t="s">
        <v>1684</v>
      </c>
      <c r="M27" s="26" t="s">
        <v>1550</v>
      </c>
      <c r="N27" s="26" t="s">
        <v>1695</v>
      </c>
    </row>
    <row r="28" spans="1:14">
      <c r="A28" s="39" t="s">
        <v>1682</v>
      </c>
      <c r="B28" s="45">
        <f t="shared" ref="B28:G28" si="1">B9/B14</f>
        <v>3.9476537567122896E-2</v>
      </c>
      <c r="C28" s="45">
        <f t="shared" si="1"/>
        <v>9.1949960763459154E-2</v>
      </c>
      <c r="D28" s="45">
        <f t="shared" si="1"/>
        <v>0.10136877752939964</v>
      </c>
      <c r="E28" s="45">
        <f t="shared" si="1"/>
        <v>0.14735545512703951</v>
      </c>
      <c r="F28" s="45">
        <f t="shared" si="1"/>
        <v>0.12016905276718057</v>
      </c>
      <c r="G28" s="45">
        <f t="shared" si="1"/>
        <v>9.1780193148787145E-2</v>
      </c>
      <c r="I28" t="s">
        <v>1551</v>
      </c>
      <c r="J28" s="23">
        <f>B9</f>
        <v>456.00394478404741</v>
      </c>
      <c r="K28" s="23">
        <f>B10</f>
        <v>3796.3368959492009</v>
      </c>
      <c r="L28" s="23">
        <f>B11</f>
        <v>7193.891839055751</v>
      </c>
      <c r="M28" s="23">
        <f>B12</f>
        <v>0</v>
      </c>
      <c r="N28" s="23">
        <f>B13</f>
        <v>105.03227116302229</v>
      </c>
    </row>
    <row r="29" spans="1:14">
      <c r="A29" s="39" t="s">
        <v>1681</v>
      </c>
      <c r="B29" s="45">
        <f t="shared" ref="B29:G29" si="2">B10/B14</f>
        <v>0.32865118340449101</v>
      </c>
      <c r="C29" s="45">
        <f t="shared" si="2"/>
        <v>0.72389140163949239</v>
      </c>
      <c r="D29" s="45">
        <f t="shared" si="2"/>
        <v>0.67823196011055553</v>
      </c>
      <c r="E29" s="45">
        <f t="shared" si="2"/>
        <v>0.74284305866248301</v>
      </c>
      <c r="F29" s="45">
        <f t="shared" si="2"/>
        <v>0.64642367384791355</v>
      </c>
      <c r="G29" s="45">
        <f t="shared" si="2"/>
        <v>0.58452110925195333</v>
      </c>
      <c r="I29" t="s">
        <v>1552</v>
      </c>
      <c r="J29" s="23">
        <f>C9</f>
        <v>1037.4362197392923</v>
      </c>
      <c r="K29" s="23">
        <f>C10</f>
        <v>8167.3896648044692</v>
      </c>
      <c r="L29" s="23">
        <f>C11</f>
        <v>148.28864059590316</v>
      </c>
      <c r="M29" s="23">
        <f>C12</f>
        <v>0</v>
      </c>
      <c r="N29" s="23">
        <f>C13</f>
        <v>1929.5027932960893</v>
      </c>
    </row>
    <row r="30" spans="1:14">
      <c r="A30" s="39" t="s">
        <v>1684</v>
      </c>
      <c r="B30" s="45">
        <f t="shared" ref="B30:G30" si="3">B11/B14</f>
        <v>0.62277957172671838</v>
      </c>
      <c r="C30" s="45">
        <f t="shared" si="3"/>
        <v>1.3143106462859471E-2</v>
      </c>
      <c r="D30" s="45">
        <f t="shared" si="3"/>
        <v>0.21431334277027275</v>
      </c>
      <c r="E30" s="45">
        <f t="shared" si="3"/>
        <v>1.759203939224974E-2</v>
      </c>
      <c r="F30" s="45">
        <f t="shared" si="3"/>
        <v>0.22466605309344675</v>
      </c>
      <c r="G30" s="45">
        <f t="shared" si="3"/>
        <v>0</v>
      </c>
      <c r="I30" s="48" t="s">
        <v>60</v>
      </c>
      <c r="J30" s="23">
        <f>D9</f>
        <v>1115.6638084378562</v>
      </c>
      <c r="K30" s="23">
        <f>D10</f>
        <v>7464.6145496009121</v>
      </c>
      <c r="L30" s="23">
        <f>D11</f>
        <v>2358.7306271379703</v>
      </c>
      <c r="M30" s="23">
        <f>D12</f>
        <v>0</v>
      </c>
      <c r="N30" s="23">
        <f>D13</f>
        <v>66.981573546180158</v>
      </c>
    </row>
    <row r="31" spans="1:14">
      <c r="A31" s="39" t="s">
        <v>1694</v>
      </c>
      <c r="B31" s="45"/>
      <c r="C31" s="45"/>
      <c r="D31" s="45"/>
      <c r="E31" s="45"/>
      <c r="F31" s="45"/>
      <c r="G31" s="45"/>
      <c r="I31" s="48" t="s">
        <v>1557</v>
      </c>
      <c r="J31" s="23">
        <f>E9</f>
        <v>1393.8571428571429</v>
      </c>
      <c r="K31" s="23">
        <f>E10</f>
        <v>7026.6628571428573</v>
      </c>
      <c r="L31" s="23">
        <f>E11</f>
        <v>166.40571428571428</v>
      </c>
      <c r="M31" s="23">
        <f>E12</f>
        <v>0</v>
      </c>
      <c r="N31" s="23">
        <f>E13</f>
        <v>872.22285714285715</v>
      </c>
    </row>
    <row r="32" spans="1:14">
      <c r="A32" s="39" t="s">
        <v>1695</v>
      </c>
      <c r="B32" s="45">
        <f t="shared" ref="B32:G32" si="4">B13/B14</f>
        <v>9.0927073016679304E-3</v>
      </c>
      <c r="C32" s="45">
        <f t="shared" si="4"/>
        <v>0.17101553113418896</v>
      </c>
      <c r="D32" s="45">
        <f t="shared" si="4"/>
        <v>6.0859195897722436E-3</v>
      </c>
      <c r="E32" s="45">
        <f t="shared" si="4"/>
        <v>9.2209446818227667E-2</v>
      </c>
      <c r="F32" s="45">
        <f t="shared" si="4"/>
        <v>8.7412202914591945E-3</v>
      </c>
      <c r="G32" s="45">
        <f t="shared" si="4"/>
        <v>0.32369869759925957</v>
      </c>
      <c r="I32" s="48" t="s">
        <v>1558</v>
      </c>
      <c r="J32" s="23">
        <f>F9</f>
        <v>2038.438580861545</v>
      </c>
      <c r="K32" s="23">
        <f>F10</f>
        <v>10965.343622261817</v>
      </c>
      <c r="L32" s="23">
        <f>F11</f>
        <v>3811.0307095692274</v>
      </c>
      <c r="M32" s="23">
        <f>F12</f>
        <v>0</v>
      </c>
      <c r="N32" s="23">
        <f>F13</f>
        <v>148.27811550151975</v>
      </c>
    </row>
    <row r="33" spans="1:14">
      <c r="A33" s="56" t="s">
        <v>1553</v>
      </c>
      <c r="B33" s="44"/>
      <c r="C33" s="44"/>
      <c r="D33" s="44"/>
      <c r="E33" s="44"/>
      <c r="F33" s="44"/>
      <c r="G33" s="44"/>
      <c r="I33" s="48" t="s">
        <v>1559</v>
      </c>
      <c r="J33" s="23">
        <f>G9</f>
        <v>1317.4294294294293</v>
      </c>
      <c r="K33" s="23">
        <f>G10</f>
        <v>8390.3213213213221</v>
      </c>
      <c r="L33" s="23">
        <f>G11</f>
        <v>0</v>
      </c>
      <c r="M33" s="23">
        <f>G12</f>
        <v>0</v>
      </c>
      <c r="N33" s="23">
        <f>G13</f>
        <v>4646.4294294294295</v>
      </c>
    </row>
    <row r="34" spans="1:14">
      <c r="A34" s="58"/>
      <c r="B34" s="104" t="s">
        <v>61</v>
      </c>
      <c r="C34" s="142"/>
      <c r="D34" s="104" t="s">
        <v>62</v>
      </c>
      <c r="E34" s="142"/>
      <c r="F34" s="104" t="s">
        <v>63</v>
      </c>
      <c r="G34" s="142"/>
      <c r="J34" s="23"/>
      <c r="K34" s="23"/>
      <c r="L34" s="23"/>
      <c r="M34" s="23"/>
      <c r="N34" s="23"/>
    </row>
    <row r="35" spans="1:14">
      <c r="B35" s="140">
        <f>B6*B16</f>
        <v>146214966.41620034</v>
      </c>
      <c r="C35" s="141"/>
      <c r="D35" s="140">
        <f>D6*D16</f>
        <v>33914510.571428515</v>
      </c>
      <c r="E35" s="141"/>
      <c r="F35" s="140">
        <f>F6*F16</f>
        <v>49783236.801801734</v>
      </c>
      <c r="G35" s="141"/>
      <c r="J35" s="23"/>
      <c r="K35" s="23"/>
      <c r="L35" s="23"/>
      <c r="M35" s="23"/>
      <c r="N35" s="23"/>
    </row>
  </sheetData>
  <sheetCalcPr fullCalcOnLoad="1"/>
  <mergeCells count="56">
    <mergeCell ref="B2:C2"/>
    <mergeCell ref="D2:E2"/>
    <mergeCell ref="F2:G2"/>
    <mergeCell ref="B4:C4"/>
    <mergeCell ref="D4:E4"/>
    <mergeCell ref="F4:G4"/>
    <mergeCell ref="B5:C5"/>
    <mergeCell ref="D5:E5"/>
    <mergeCell ref="F5:G5"/>
    <mergeCell ref="A6:A7"/>
    <mergeCell ref="B6:C6"/>
    <mergeCell ref="D6:E6"/>
    <mergeCell ref="F6:G6"/>
    <mergeCell ref="B7:C7"/>
    <mergeCell ref="D7:E7"/>
    <mergeCell ref="F7:G7"/>
    <mergeCell ref="A16:A17"/>
    <mergeCell ref="B16:C16"/>
    <mergeCell ref="D16:E16"/>
    <mergeCell ref="F16:G16"/>
    <mergeCell ref="B17:C17"/>
    <mergeCell ref="D17:E17"/>
    <mergeCell ref="F17:G17"/>
    <mergeCell ref="A18:A19"/>
    <mergeCell ref="B18:C18"/>
    <mergeCell ref="D18:E18"/>
    <mergeCell ref="F18:G18"/>
    <mergeCell ref="B19:C19"/>
    <mergeCell ref="D19:E19"/>
    <mergeCell ref="F19:G19"/>
    <mergeCell ref="F23:G23"/>
    <mergeCell ref="B34:C34"/>
    <mergeCell ref="A22:A23"/>
    <mergeCell ref="B22:C22"/>
    <mergeCell ref="D22:E22"/>
    <mergeCell ref="F22:G22"/>
    <mergeCell ref="D26:E26"/>
    <mergeCell ref="F26:G26"/>
    <mergeCell ref="A24:A25"/>
    <mergeCell ref="F24:G24"/>
    <mergeCell ref="B20:C20"/>
    <mergeCell ref="D20:E20"/>
    <mergeCell ref="F20:G20"/>
    <mergeCell ref="B35:C35"/>
    <mergeCell ref="D35:E35"/>
    <mergeCell ref="F35:G35"/>
    <mergeCell ref="B23:C23"/>
    <mergeCell ref="D23:E23"/>
    <mergeCell ref="B24:C24"/>
    <mergeCell ref="D24:E24"/>
    <mergeCell ref="D34:E34"/>
    <mergeCell ref="F34:G34"/>
    <mergeCell ref="D25:E25"/>
    <mergeCell ref="F25:G25"/>
    <mergeCell ref="B26:C26"/>
    <mergeCell ref="B25:C25"/>
  </mergeCells>
  <phoneticPr fontId="10"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90"/>
  <sheetViews>
    <sheetView topLeftCell="A161" workbookViewId="0">
      <selection activeCell="D189" sqref="D189"/>
    </sheetView>
  </sheetViews>
  <sheetFormatPr baseColWidth="10" defaultColWidth="8.83203125" defaultRowHeight="12"/>
  <cols>
    <col min="1" max="1" width="12.83203125" customWidth="1"/>
    <col min="2" max="2" width="19.5" customWidth="1"/>
    <col min="3" max="3" width="21.6640625" style="3" bestFit="1" customWidth="1"/>
    <col min="4" max="4" width="15.6640625" style="12" bestFit="1" customWidth="1"/>
    <col min="5" max="5" width="18.5" style="6" bestFit="1" customWidth="1"/>
    <col min="6" max="6" width="16.6640625" style="35" bestFit="1" customWidth="1"/>
    <col min="7" max="7" width="15.83203125" style="16" bestFit="1" customWidth="1"/>
    <col min="8" max="8" width="13.33203125" customWidth="1"/>
    <col min="9" max="9" width="12.5" bestFit="1" customWidth="1"/>
    <col min="10" max="10" width="9.6640625" bestFit="1" customWidth="1"/>
    <col min="11" max="11" width="10.6640625" bestFit="1" customWidth="1"/>
  </cols>
  <sheetData>
    <row r="1" spans="1:11">
      <c r="A1" t="s">
        <v>1675</v>
      </c>
    </row>
    <row r="3" spans="1:11" s="1" customFormat="1">
      <c r="A3" s="1" t="s">
        <v>1676</v>
      </c>
      <c r="B3" s="1" t="s">
        <v>1696</v>
      </c>
      <c r="C3" s="4" t="s">
        <v>1669</v>
      </c>
      <c r="D3" s="13" t="s">
        <v>1670</v>
      </c>
      <c r="E3" s="14" t="s">
        <v>1671</v>
      </c>
      <c r="F3" s="36" t="s">
        <v>1672</v>
      </c>
      <c r="G3" s="17" t="s">
        <v>1673</v>
      </c>
      <c r="H3" s="1" t="s">
        <v>1664</v>
      </c>
      <c r="I3" s="1" t="s">
        <v>1665</v>
      </c>
      <c r="J3" s="2" t="s">
        <v>1666</v>
      </c>
      <c r="K3" s="2" t="s">
        <v>1667</v>
      </c>
    </row>
    <row r="4" spans="1:11">
      <c r="A4">
        <v>1</v>
      </c>
      <c r="B4" t="s">
        <v>1697</v>
      </c>
      <c r="C4" s="3">
        <v>3254085</v>
      </c>
      <c r="D4" s="12">
        <v>1085745</v>
      </c>
      <c r="E4" s="6">
        <v>65112</v>
      </c>
      <c r="F4" s="35">
        <v>10179</v>
      </c>
      <c r="G4" s="16">
        <v>2093049</v>
      </c>
      <c r="H4">
        <v>64.3</v>
      </c>
      <c r="I4">
        <v>2</v>
      </c>
      <c r="J4">
        <v>33.4</v>
      </c>
      <c r="K4">
        <v>0.3</v>
      </c>
    </row>
    <row r="5" spans="1:11">
      <c r="A5">
        <v>2</v>
      </c>
      <c r="B5" t="s">
        <v>1698</v>
      </c>
      <c r="C5" s="3">
        <v>26616472</v>
      </c>
      <c r="D5" s="12">
        <v>15571785</v>
      </c>
      <c r="E5" s="6">
        <v>1050134</v>
      </c>
      <c r="F5" s="35">
        <v>63315</v>
      </c>
      <c r="G5" s="16">
        <v>9931238</v>
      </c>
      <c r="H5">
        <v>37.299999999999997</v>
      </c>
      <c r="I5">
        <v>3.9</v>
      </c>
      <c r="J5">
        <v>58.5</v>
      </c>
      <c r="K5">
        <v>0.2</v>
      </c>
    </row>
    <row r="6" spans="1:11">
      <c r="A6">
        <v>3</v>
      </c>
      <c r="B6" t="s">
        <v>1699</v>
      </c>
      <c r="C6" s="3">
        <v>5530577</v>
      </c>
      <c r="D6" s="12">
        <v>2732733</v>
      </c>
      <c r="E6" s="6">
        <v>198305</v>
      </c>
      <c r="F6" s="35">
        <v>9717</v>
      </c>
      <c r="G6" s="16">
        <v>2589822</v>
      </c>
      <c r="H6">
        <v>46.8</v>
      </c>
      <c r="I6">
        <v>3.6</v>
      </c>
      <c r="J6">
        <v>49.4</v>
      </c>
      <c r="K6">
        <v>0.2</v>
      </c>
    </row>
    <row r="7" spans="1:11">
      <c r="A7">
        <v>4</v>
      </c>
      <c r="B7" t="s">
        <v>1700</v>
      </c>
      <c r="C7" s="3">
        <v>34665315</v>
      </c>
      <c r="D7" s="12">
        <v>2287643</v>
      </c>
      <c r="E7" s="6">
        <v>399944</v>
      </c>
      <c r="F7" s="35">
        <v>131279</v>
      </c>
      <c r="G7" s="16">
        <v>31846449</v>
      </c>
      <c r="H7">
        <v>91.9</v>
      </c>
      <c r="I7">
        <v>1.2</v>
      </c>
      <c r="J7">
        <v>6.6</v>
      </c>
      <c r="K7">
        <v>0.4</v>
      </c>
    </row>
    <row r="8" spans="1:11">
      <c r="A8">
        <v>5</v>
      </c>
      <c r="B8" t="s">
        <v>1701</v>
      </c>
      <c r="C8" s="3">
        <v>3523411</v>
      </c>
      <c r="D8" s="12">
        <v>900130</v>
      </c>
      <c r="E8" s="6">
        <v>179849</v>
      </c>
      <c r="F8" s="35">
        <v>450</v>
      </c>
      <c r="G8" s="16">
        <v>2442982</v>
      </c>
      <c r="H8">
        <v>69.3</v>
      </c>
      <c r="I8">
        <v>5.0999999999999996</v>
      </c>
      <c r="J8">
        <v>25.5</v>
      </c>
      <c r="K8">
        <v>0</v>
      </c>
    </row>
    <row r="9" spans="1:11">
      <c r="A9">
        <v>7</v>
      </c>
      <c r="B9" t="s">
        <v>1702</v>
      </c>
      <c r="C9" s="3">
        <v>33027344</v>
      </c>
      <c r="D9" s="12">
        <v>5299155</v>
      </c>
      <c r="E9" s="6">
        <v>625336</v>
      </c>
      <c r="F9" s="35">
        <v>13252</v>
      </c>
      <c r="G9" s="16">
        <v>27089601</v>
      </c>
      <c r="H9">
        <v>82</v>
      </c>
      <c r="I9">
        <v>1.9</v>
      </c>
      <c r="J9">
        <v>16</v>
      </c>
      <c r="K9">
        <v>0</v>
      </c>
    </row>
    <row r="10" spans="1:11">
      <c r="A10">
        <v>8</v>
      </c>
      <c r="B10" t="s">
        <v>1703</v>
      </c>
      <c r="C10" s="3">
        <v>5382487</v>
      </c>
      <c r="D10" s="12">
        <v>1218887</v>
      </c>
      <c r="E10" s="6">
        <v>177035</v>
      </c>
      <c r="F10" s="35">
        <v>22200</v>
      </c>
      <c r="G10" s="16">
        <v>3964365</v>
      </c>
      <c r="H10">
        <v>73.7</v>
      </c>
      <c r="I10">
        <v>3.3</v>
      </c>
      <c r="J10">
        <v>22.6</v>
      </c>
      <c r="K10">
        <v>0.4</v>
      </c>
    </row>
    <row r="11" spans="1:11">
      <c r="A11">
        <v>9</v>
      </c>
      <c r="B11" t="s">
        <v>1704</v>
      </c>
      <c r="C11" s="3">
        <v>38604071</v>
      </c>
      <c r="D11" s="12">
        <v>12014224</v>
      </c>
      <c r="E11" s="6">
        <v>632099</v>
      </c>
      <c r="F11" s="35">
        <v>0</v>
      </c>
      <c r="G11" s="16">
        <v>25957748</v>
      </c>
      <c r="H11">
        <v>67.2</v>
      </c>
      <c r="I11">
        <v>1.6</v>
      </c>
      <c r="J11">
        <v>31.1</v>
      </c>
      <c r="K11">
        <v>0</v>
      </c>
    </row>
    <row r="12" spans="1:11">
      <c r="A12">
        <v>11</v>
      </c>
      <c r="B12" t="s">
        <v>1705</v>
      </c>
      <c r="C12" s="3">
        <v>31790507</v>
      </c>
      <c r="D12" s="12">
        <v>4135330</v>
      </c>
      <c r="E12" s="6">
        <v>812305</v>
      </c>
      <c r="F12" s="35">
        <v>258381</v>
      </c>
      <c r="G12" s="16">
        <v>26584491</v>
      </c>
      <c r="H12">
        <v>83.6</v>
      </c>
      <c r="I12">
        <v>2.6</v>
      </c>
      <c r="J12">
        <v>13</v>
      </c>
      <c r="K12">
        <v>0.8</v>
      </c>
    </row>
    <row r="13" spans="1:11">
      <c r="A13">
        <v>12</v>
      </c>
      <c r="B13" t="s">
        <v>1706</v>
      </c>
      <c r="C13" s="3">
        <v>10768951</v>
      </c>
      <c r="D13" s="12">
        <v>3849337</v>
      </c>
      <c r="E13" s="6">
        <v>191337</v>
      </c>
      <c r="F13" s="35">
        <v>28682</v>
      </c>
      <c r="G13" s="16">
        <v>6699595</v>
      </c>
      <c r="H13">
        <v>62.2</v>
      </c>
      <c r="I13">
        <v>1.8</v>
      </c>
      <c r="J13">
        <v>35.700000000000003</v>
      </c>
      <c r="K13">
        <v>0.3</v>
      </c>
    </row>
    <row r="14" spans="1:11">
      <c r="A14">
        <v>13</v>
      </c>
      <c r="B14" t="s">
        <v>1707</v>
      </c>
      <c r="C14" s="3">
        <v>4546740</v>
      </c>
      <c r="D14" s="12">
        <v>1522407</v>
      </c>
      <c r="E14" s="6">
        <v>136735</v>
      </c>
      <c r="F14" s="35">
        <v>5615</v>
      </c>
      <c r="G14" s="16">
        <v>2881983</v>
      </c>
      <c r="H14">
        <v>63.4</v>
      </c>
      <c r="I14">
        <v>3</v>
      </c>
      <c r="J14">
        <v>33.5</v>
      </c>
      <c r="K14">
        <v>0.1</v>
      </c>
    </row>
    <row r="15" spans="1:11">
      <c r="A15">
        <v>14</v>
      </c>
      <c r="B15" t="s">
        <v>1708</v>
      </c>
      <c r="C15" s="3">
        <v>40101168</v>
      </c>
      <c r="D15" s="12">
        <v>3043361</v>
      </c>
      <c r="E15" s="6">
        <v>915898</v>
      </c>
      <c r="F15" s="35">
        <v>0</v>
      </c>
      <c r="G15" s="16">
        <v>36141909</v>
      </c>
      <c r="H15">
        <v>90.1</v>
      </c>
      <c r="I15">
        <v>2.2999999999999998</v>
      </c>
      <c r="J15">
        <v>7.6</v>
      </c>
      <c r="K15">
        <v>0</v>
      </c>
    </row>
    <row r="16" spans="1:11" s="7" customFormat="1">
      <c r="A16" s="7">
        <v>15</v>
      </c>
      <c r="B16" s="7" t="s">
        <v>1709</v>
      </c>
      <c r="C16" s="8">
        <v>251008445</v>
      </c>
      <c r="D16" s="12">
        <v>172973178</v>
      </c>
      <c r="E16" s="6">
        <v>24851527</v>
      </c>
      <c r="F16" s="35">
        <v>1468571</v>
      </c>
      <c r="G16" s="16">
        <v>51715169</v>
      </c>
      <c r="H16" s="7">
        <v>20.6</v>
      </c>
      <c r="I16" s="7">
        <v>9.9</v>
      </c>
      <c r="J16" s="7">
        <v>68.900000000000006</v>
      </c>
      <c r="K16" s="7">
        <v>0.6</v>
      </c>
    </row>
    <row r="17" spans="1:11">
      <c r="A17">
        <v>17</v>
      </c>
      <c r="B17" t="s">
        <v>1710</v>
      </c>
      <c r="C17" s="3">
        <v>83381762</v>
      </c>
      <c r="D17" s="12">
        <v>38680165</v>
      </c>
      <c r="E17" s="6">
        <v>2411579</v>
      </c>
      <c r="F17" s="35">
        <v>300568</v>
      </c>
      <c r="G17" s="16">
        <v>41989450</v>
      </c>
      <c r="H17">
        <v>50.4</v>
      </c>
      <c r="I17">
        <v>2.9</v>
      </c>
      <c r="J17">
        <v>46.4</v>
      </c>
      <c r="K17">
        <v>0.4</v>
      </c>
    </row>
    <row r="18" spans="1:11">
      <c r="A18">
        <v>18</v>
      </c>
      <c r="B18" t="s">
        <v>1711</v>
      </c>
      <c r="C18" s="3">
        <v>30079033</v>
      </c>
      <c r="D18" s="12">
        <v>1771778</v>
      </c>
      <c r="E18" s="6">
        <v>505503</v>
      </c>
      <c r="F18" s="35">
        <v>67493</v>
      </c>
      <c r="G18" s="16">
        <v>27734259</v>
      </c>
      <c r="H18">
        <v>92.2</v>
      </c>
      <c r="I18">
        <v>1.7</v>
      </c>
      <c r="J18">
        <v>5.9</v>
      </c>
      <c r="K18">
        <v>0.2</v>
      </c>
    </row>
    <row r="19" spans="1:11">
      <c r="A19">
        <v>19</v>
      </c>
      <c r="B19" t="s">
        <v>1712</v>
      </c>
      <c r="C19" s="3">
        <v>13282921</v>
      </c>
      <c r="D19" s="12">
        <v>7371992</v>
      </c>
      <c r="E19" s="6">
        <v>480035</v>
      </c>
      <c r="F19" s="35">
        <v>15882</v>
      </c>
      <c r="G19" s="16">
        <v>5415012</v>
      </c>
      <c r="H19">
        <v>40.799999999999997</v>
      </c>
      <c r="I19">
        <v>3.6</v>
      </c>
      <c r="J19">
        <v>55.5</v>
      </c>
      <c r="K19">
        <v>0.1</v>
      </c>
    </row>
    <row r="20" spans="1:11">
      <c r="A20">
        <v>21</v>
      </c>
      <c r="B20" t="s">
        <v>1713</v>
      </c>
      <c r="C20" s="3">
        <v>1876727</v>
      </c>
      <c r="D20" s="12">
        <v>303168</v>
      </c>
      <c r="E20" s="6">
        <v>142729</v>
      </c>
      <c r="F20" s="35">
        <v>1927</v>
      </c>
      <c r="G20" s="16">
        <v>1428903</v>
      </c>
      <c r="H20">
        <v>76.099999999999994</v>
      </c>
      <c r="I20">
        <v>7.6</v>
      </c>
      <c r="J20">
        <v>16.2</v>
      </c>
      <c r="K20">
        <v>0.1</v>
      </c>
    </row>
    <row r="21" spans="1:11">
      <c r="A21">
        <v>22</v>
      </c>
      <c r="B21" t="s">
        <v>1714</v>
      </c>
      <c r="C21" s="3">
        <v>9836386</v>
      </c>
      <c r="D21" s="12">
        <v>5083368</v>
      </c>
      <c r="E21" s="6">
        <v>242357</v>
      </c>
      <c r="F21" s="35">
        <v>16150</v>
      </c>
      <c r="G21" s="16">
        <v>4494511</v>
      </c>
      <c r="H21">
        <v>45.7</v>
      </c>
      <c r="I21">
        <v>2.5</v>
      </c>
      <c r="J21">
        <v>51.7</v>
      </c>
      <c r="K21">
        <v>0.2</v>
      </c>
    </row>
    <row r="22" spans="1:11">
      <c r="A22">
        <v>23</v>
      </c>
      <c r="B22" t="s">
        <v>1715</v>
      </c>
      <c r="C22" s="3">
        <v>16382212</v>
      </c>
      <c r="D22" s="12">
        <v>3202933</v>
      </c>
      <c r="E22" s="6">
        <v>367384</v>
      </c>
      <c r="F22" s="35">
        <v>90543</v>
      </c>
      <c r="G22" s="16">
        <v>12721352</v>
      </c>
      <c r="H22">
        <v>77.7</v>
      </c>
      <c r="I22">
        <v>2.2000000000000002</v>
      </c>
      <c r="J22">
        <v>19.600000000000001</v>
      </c>
      <c r="K22">
        <v>0.6</v>
      </c>
    </row>
    <row r="23" spans="1:11">
      <c r="A23">
        <v>24</v>
      </c>
      <c r="B23" t="s">
        <v>1716</v>
      </c>
      <c r="C23" s="3">
        <v>2945330</v>
      </c>
      <c r="D23" s="12">
        <v>1486767</v>
      </c>
      <c r="E23" s="6">
        <v>51229</v>
      </c>
      <c r="F23" s="35">
        <v>0</v>
      </c>
      <c r="G23" s="16">
        <v>1407334</v>
      </c>
      <c r="H23">
        <v>47.8</v>
      </c>
      <c r="I23">
        <v>1.7</v>
      </c>
      <c r="J23">
        <v>50.5</v>
      </c>
      <c r="K23">
        <v>0</v>
      </c>
    </row>
    <row r="24" spans="1:11">
      <c r="A24">
        <v>25</v>
      </c>
      <c r="B24" t="s">
        <v>1717</v>
      </c>
      <c r="C24" s="3">
        <v>51413073</v>
      </c>
      <c r="D24" s="12">
        <v>9159236</v>
      </c>
      <c r="E24" s="6">
        <v>667382</v>
      </c>
      <c r="F24" s="35">
        <v>408749</v>
      </c>
      <c r="G24" s="16">
        <v>41177706</v>
      </c>
      <c r="H24">
        <v>80.099999999999994</v>
      </c>
      <c r="I24">
        <v>1.3</v>
      </c>
      <c r="J24">
        <v>17.8</v>
      </c>
      <c r="K24">
        <v>0.8</v>
      </c>
    </row>
    <row r="25" spans="1:11">
      <c r="A25">
        <v>26</v>
      </c>
      <c r="B25" t="s">
        <v>1718</v>
      </c>
      <c r="C25" s="3">
        <v>3324171</v>
      </c>
      <c r="D25" s="12">
        <v>574388</v>
      </c>
      <c r="E25" s="6">
        <v>19823</v>
      </c>
      <c r="F25" s="35">
        <v>0</v>
      </c>
      <c r="G25" s="16">
        <v>2729960</v>
      </c>
      <c r="H25">
        <v>82.1</v>
      </c>
      <c r="I25">
        <v>0.6</v>
      </c>
      <c r="J25">
        <v>17.3</v>
      </c>
      <c r="K25">
        <v>0</v>
      </c>
    </row>
    <row r="26" spans="1:11">
      <c r="A26">
        <v>27</v>
      </c>
      <c r="B26" t="s">
        <v>1719</v>
      </c>
      <c r="C26" s="3">
        <v>23985350</v>
      </c>
      <c r="D26" s="12">
        <v>6812529</v>
      </c>
      <c r="E26" s="6">
        <v>559680</v>
      </c>
      <c r="F26" s="35">
        <v>0</v>
      </c>
      <c r="G26" s="16">
        <v>16613141</v>
      </c>
      <c r="H26">
        <v>69.3</v>
      </c>
      <c r="I26">
        <v>2.2999999999999998</v>
      </c>
      <c r="J26">
        <v>28.4</v>
      </c>
      <c r="K26">
        <v>0</v>
      </c>
    </row>
    <row r="27" spans="1:11">
      <c r="A27">
        <v>28</v>
      </c>
      <c r="B27" t="s">
        <v>1720</v>
      </c>
      <c r="C27" s="3">
        <v>34224817</v>
      </c>
      <c r="D27" s="12">
        <v>18136585</v>
      </c>
      <c r="E27" s="6">
        <v>631794</v>
      </c>
      <c r="F27" s="35">
        <v>56109</v>
      </c>
      <c r="G27" s="16">
        <v>15400329</v>
      </c>
      <c r="H27">
        <v>45</v>
      </c>
      <c r="I27">
        <v>1.8</v>
      </c>
      <c r="J27">
        <v>53</v>
      </c>
      <c r="K27">
        <v>0.2</v>
      </c>
    </row>
    <row r="28" spans="1:11">
      <c r="A28">
        <v>29</v>
      </c>
      <c r="B28" t="s">
        <v>1721</v>
      </c>
      <c r="C28" s="3">
        <v>1524135</v>
      </c>
      <c r="D28" s="12">
        <v>285999</v>
      </c>
      <c r="E28" s="6">
        <v>40922</v>
      </c>
      <c r="F28" s="35">
        <v>0</v>
      </c>
      <c r="G28" s="16">
        <v>1197214</v>
      </c>
      <c r="H28">
        <v>78.599999999999994</v>
      </c>
      <c r="I28">
        <v>2.7</v>
      </c>
      <c r="J28">
        <v>18.8</v>
      </c>
      <c r="K28">
        <v>0</v>
      </c>
    </row>
    <row r="29" spans="1:11">
      <c r="A29">
        <v>30</v>
      </c>
      <c r="B29" t="s">
        <v>1722</v>
      </c>
      <c r="C29" s="3">
        <v>9261262</v>
      </c>
      <c r="D29" s="12">
        <v>3047731</v>
      </c>
      <c r="E29" s="6">
        <v>142087</v>
      </c>
      <c r="F29" s="35">
        <v>37339</v>
      </c>
      <c r="G29" s="16">
        <v>6034105</v>
      </c>
      <c r="H29">
        <v>65.2</v>
      </c>
      <c r="I29">
        <v>1.5</v>
      </c>
      <c r="J29">
        <v>32.9</v>
      </c>
      <c r="K29">
        <v>0.4</v>
      </c>
    </row>
    <row r="30" spans="1:11">
      <c r="A30">
        <v>31</v>
      </c>
      <c r="B30" t="s">
        <v>1723</v>
      </c>
      <c r="C30" s="3">
        <v>2536618</v>
      </c>
      <c r="D30" s="12">
        <v>138683</v>
      </c>
      <c r="E30" s="6">
        <v>76351</v>
      </c>
      <c r="F30" s="35">
        <v>4411</v>
      </c>
      <c r="G30" s="16">
        <v>2317173</v>
      </c>
      <c r="H30">
        <v>91.3</v>
      </c>
      <c r="I30">
        <v>3</v>
      </c>
      <c r="J30">
        <v>5.5</v>
      </c>
      <c r="K30">
        <v>0.2</v>
      </c>
    </row>
    <row r="31" spans="1:11">
      <c r="A31">
        <v>32</v>
      </c>
      <c r="B31" t="s">
        <v>1724</v>
      </c>
      <c r="C31" s="3">
        <v>18290285</v>
      </c>
      <c r="D31" s="12">
        <v>8139761</v>
      </c>
      <c r="E31" s="6">
        <v>307599</v>
      </c>
      <c r="F31" s="35">
        <v>39637</v>
      </c>
      <c r="G31" s="16">
        <v>9803288</v>
      </c>
      <c r="H31">
        <v>53.6</v>
      </c>
      <c r="I31">
        <v>1.7</v>
      </c>
      <c r="J31">
        <v>44.5</v>
      </c>
      <c r="K31">
        <v>0.2</v>
      </c>
    </row>
    <row r="32" spans="1:11">
      <c r="A32">
        <v>33</v>
      </c>
      <c r="B32" t="s">
        <v>1725</v>
      </c>
      <c r="C32" s="3">
        <v>21907420</v>
      </c>
      <c r="D32" s="12">
        <v>5879080</v>
      </c>
      <c r="E32" s="6">
        <v>509898</v>
      </c>
      <c r="F32" s="35">
        <v>12926</v>
      </c>
      <c r="G32" s="16">
        <v>15505516</v>
      </c>
      <c r="H32">
        <v>70.8</v>
      </c>
      <c r="I32">
        <v>2.2999999999999998</v>
      </c>
      <c r="J32">
        <v>26.8</v>
      </c>
      <c r="K32">
        <v>0.1</v>
      </c>
    </row>
    <row r="33" spans="1:11">
      <c r="A33">
        <v>34</v>
      </c>
      <c r="B33" t="s">
        <v>1726</v>
      </c>
      <c r="C33" s="3">
        <v>96286278</v>
      </c>
      <c r="D33" s="12">
        <v>22121220</v>
      </c>
      <c r="E33" s="6">
        <v>4848111</v>
      </c>
      <c r="F33" s="35">
        <v>483612</v>
      </c>
      <c r="G33" s="16">
        <v>68833335</v>
      </c>
      <c r="H33">
        <v>71.5</v>
      </c>
      <c r="I33">
        <v>5</v>
      </c>
      <c r="J33">
        <v>23</v>
      </c>
      <c r="K33">
        <v>0.5</v>
      </c>
    </row>
    <row r="34" spans="1:11">
      <c r="A34">
        <v>35</v>
      </c>
      <c r="B34" t="s">
        <v>1727</v>
      </c>
      <c r="C34" s="3">
        <v>51318848</v>
      </c>
      <c r="D34" s="12">
        <v>2242778</v>
      </c>
      <c r="E34" s="6">
        <v>411618</v>
      </c>
      <c r="F34" s="35">
        <v>0</v>
      </c>
      <c r="G34" s="16">
        <v>48664452</v>
      </c>
      <c r="H34">
        <v>94.8</v>
      </c>
      <c r="I34">
        <v>0.8</v>
      </c>
      <c r="J34">
        <v>4.4000000000000004</v>
      </c>
      <c r="K34">
        <v>0</v>
      </c>
    </row>
    <row r="35" spans="1:11">
      <c r="A35">
        <v>36</v>
      </c>
      <c r="B35" t="s">
        <v>1728</v>
      </c>
      <c r="C35" s="3">
        <v>4377317</v>
      </c>
      <c r="D35" s="12">
        <v>997047</v>
      </c>
      <c r="E35" s="6">
        <v>36122</v>
      </c>
      <c r="F35" s="35">
        <v>0</v>
      </c>
      <c r="G35" s="16">
        <v>3344148</v>
      </c>
      <c r="H35">
        <v>76.400000000000006</v>
      </c>
      <c r="I35">
        <v>0.8</v>
      </c>
      <c r="J35">
        <v>22.8</v>
      </c>
      <c r="K35">
        <v>0</v>
      </c>
    </row>
    <row r="36" spans="1:11">
      <c r="A36">
        <v>37</v>
      </c>
      <c r="B36" t="s">
        <v>1729</v>
      </c>
      <c r="C36" s="3">
        <v>15325238</v>
      </c>
      <c r="D36" s="12">
        <v>6629753</v>
      </c>
      <c r="E36" s="6">
        <v>772960</v>
      </c>
      <c r="F36" s="35">
        <v>2580</v>
      </c>
      <c r="G36" s="16">
        <v>7919945</v>
      </c>
      <c r="H36">
        <v>51.7</v>
      </c>
      <c r="I36">
        <v>5</v>
      </c>
      <c r="J36">
        <v>43.3</v>
      </c>
      <c r="K36">
        <v>0</v>
      </c>
    </row>
    <row r="37" spans="1:11">
      <c r="A37">
        <v>39</v>
      </c>
      <c r="B37" t="s">
        <v>1730</v>
      </c>
      <c r="C37" s="3">
        <v>3158034</v>
      </c>
      <c r="D37" s="12">
        <v>1083354</v>
      </c>
      <c r="E37" s="6">
        <v>119222</v>
      </c>
      <c r="F37" s="35">
        <v>6540</v>
      </c>
      <c r="G37" s="16">
        <v>1948918</v>
      </c>
      <c r="H37">
        <v>61.7</v>
      </c>
      <c r="I37">
        <v>3.8</v>
      </c>
      <c r="J37">
        <v>34.299999999999997</v>
      </c>
      <c r="K37">
        <v>0.2</v>
      </c>
    </row>
    <row r="38" spans="1:11">
      <c r="A38">
        <v>40</v>
      </c>
      <c r="B38" t="s">
        <v>1731</v>
      </c>
      <c r="C38" s="3">
        <v>10384043</v>
      </c>
      <c r="D38" s="12">
        <v>1162316</v>
      </c>
      <c r="E38" s="6">
        <v>108549</v>
      </c>
      <c r="F38" s="35">
        <v>39168</v>
      </c>
      <c r="G38" s="16">
        <v>9074010</v>
      </c>
      <c r="H38">
        <v>87.4</v>
      </c>
      <c r="I38">
        <v>1</v>
      </c>
      <c r="J38">
        <v>11.2</v>
      </c>
      <c r="K38">
        <v>0.4</v>
      </c>
    </row>
    <row r="39" spans="1:11">
      <c r="A39">
        <v>41</v>
      </c>
      <c r="B39" t="s">
        <v>1732</v>
      </c>
      <c r="C39" s="3">
        <v>15926224</v>
      </c>
      <c r="D39" s="12">
        <v>4223499</v>
      </c>
      <c r="E39" s="6">
        <v>428815</v>
      </c>
      <c r="F39" s="35">
        <v>774056</v>
      </c>
      <c r="G39" s="16">
        <v>10499854</v>
      </c>
      <c r="H39">
        <v>65.900000000000006</v>
      </c>
      <c r="I39">
        <v>2.7</v>
      </c>
      <c r="J39">
        <v>26.5</v>
      </c>
      <c r="K39">
        <v>4.9000000000000004</v>
      </c>
    </row>
    <row r="40" spans="1:11">
      <c r="A40">
        <v>42</v>
      </c>
      <c r="B40" t="s">
        <v>1733</v>
      </c>
      <c r="C40" s="3">
        <v>20962084</v>
      </c>
      <c r="D40" s="12">
        <v>7822977</v>
      </c>
      <c r="E40" s="6">
        <v>356105</v>
      </c>
      <c r="F40" s="35">
        <v>2802</v>
      </c>
      <c r="G40" s="16">
        <v>12780200</v>
      </c>
      <c r="H40">
        <v>61</v>
      </c>
      <c r="I40">
        <v>1.7</v>
      </c>
      <c r="J40">
        <v>37.299999999999997</v>
      </c>
      <c r="K40">
        <v>0</v>
      </c>
    </row>
    <row r="41" spans="1:11">
      <c r="A41">
        <v>43</v>
      </c>
      <c r="B41" t="s">
        <v>1734</v>
      </c>
      <c r="C41" s="3">
        <v>90511837</v>
      </c>
      <c r="D41" s="12">
        <v>43593295</v>
      </c>
      <c r="E41" s="6">
        <v>4611979</v>
      </c>
      <c r="F41" s="35">
        <v>1588012</v>
      </c>
      <c r="G41" s="16">
        <v>40718551</v>
      </c>
      <c r="H41">
        <v>45</v>
      </c>
      <c r="I41">
        <v>5.0999999999999996</v>
      </c>
      <c r="J41">
        <v>48.2</v>
      </c>
      <c r="K41">
        <v>1.8</v>
      </c>
    </row>
    <row r="42" spans="1:11">
      <c r="A42">
        <v>44</v>
      </c>
      <c r="B42" t="s">
        <v>1735</v>
      </c>
      <c r="C42" s="3">
        <v>43325763</v>
      </c>
      <c r="D42" s="12">
        <v>20892383</v>
      </c>
      <c r="E42" s="6">
        <v>771174</v>
      </c>
      <c r="F42" s="35">
        <v>1010133</v>
      </c>
      <c r="G42" s="16">
        <v>20652073</v>
      </c>
      <c r="H42">
        <v>47.7</v>
      </c>
      <c r="I42">
        <v>1.8</v>
      </c>
      <c r="J42">
        <v>48.2</v>
      </c>
      <c r="K42">
        <v>2.2999999999999998</v>
      </c>
    </row>
    <row r="43" spans="1:11">
      <c r="A43">
        <v>45</v>
      </c>
      <c r="B43" t="s">
        <v>1736</v>
      </c>
      <c r="C43" s="3">
        <v>34227359</v>
      </c>
      <c r="D43" s="12">
        <v>10491843</v>
      </c>
      <c r="E43" s="6">
        <v>591298</v>
      </c>
      <c r="F43" s="35">
        <v>1602839</v>
      </c>
      <c r="G43" s="16">
        <v>21541379</v>
      </c>
      <c r="H43">
        <v>62.9</v>
      </c>
      <c r="I43">
        <v>1.7</v>
      </c>
      <c r="J43">
        <v>30.7</v>
      </c>
      <c r="K43">
        <v>4.7</v>
      </c>
    </row>
    <row r="44" spans="1:11">
      <c r="A44">
        <v>46</v>
      </c>
      <c r="B44" t="s">
        <v>1737</v>
      </c>
      <c r="C44" s="3">
        <v>12703263</v>
      </c>
      <c r="D44" s="12">
        <v>568204</v>
      </c>
      <c r="E44" s="6">
        <v>110693</v>
      </c>
      <c r="F44" s="35">
        <v>2047</v>
      </c>
      <c r="G44" s="16">
        <v>12022319</v>
      </c>
      <c r="H44">
        <v>94.6</v>
      </c>
      <c r="I44">
        <v>0.9</v>
      </c>
      <c r="J44">
        <v>4.5</v>
      </c>
      <c r="K44">
        <v>0</v>
      </c>
    </row>
    <row r="45" spans="1:11">
      <c r="A45">
        <v>47</v>
      </c>
      <c r="B45" t="s">
        <v>1738</v>
      </c>
      <c r="C45" s="3">
        <v>15128077</v>
      </c>
      <c r="D45" s="12">
        <v>5477499</v>
      </c>
      <c r="E45" s="6">
        <v>332803</v>
      </c>
      <c r="F45" s="35">
        <v>25078</v>
      </c>
      <c r="G45" s="16">
        <v>9292697</v>
      </c>
      <c r="H45">
        <v>61.4</v>
      </c>
      <c r="I45">
        <v>2.2000000000000002</v>
      </c>
      <c r="J45">
        <v>36.200000000000003</v>
      </c>
      <c r="K45">
        <v>0.2</v>
      </c>
    </row>
    <row r="46" spans="1:11">
      <c r="A46">
        <v>48</v>
      </c>
      <c r="B46" t="s">
        <v>1739</v>
      </c>
      <c r="C46" s="3">
        <v>29707496</v>
      </c>
      <c r="D46" s="12">
        <v>15846258</v>
      </c>
      <c r="E46" s="6">
        <v>425196</v>
      </c>
      <c r="F46" s="35">
        <v>16385</v>
      </c>
      <c r="G46" s="16">
        <v>13419657</v>
      </c>
      <c r="H46">
        <v>45.2</v>
      </c>
      <c r="I46">
        <v>1.4</v>
      </c>
      <c r="J46">
        <v>53.3</v>
      </c>
      <c r="K46">
        <v>0.1</v>
      </c>
    </row>
    <row r="47" spans="1:11">
      <c r="A47">
        <v>49</v>
      </c>
      <c r="B47" t="s">
        <v>1740</v>
      </c>
      <c r="C47" s="3">
        <v>73328618</v>
      </c>
      <c r="D47" s="12">
        <v>32297313</v>
      </c>
      <c r="E47" s="6">
        <v>2235721</v>
      </c>
      <c r="F47" s="35">
        <v>46591</v>
      </c>
      <c r="G47" s="16">
        <v>38748993</v>
      </c>
      <c r="H47">
        <v>52.8</v>
      </c>
      <c r="I47">
        <v>3</v>
      </c>
      <c r="J47">
        <v>44</v>
      </c>
      <c r="K47">
        <v>0.1</v>
      </c>
    </row>
    <row r="48" spans="1:11">
      <c r="A48">
        <v>50</v>
      </c>
      <c r="B48" t="s">
        <v>1741</v>
      </c>
      <c r="C48" s="3">
        <v>5808826</v>
      </c>
      <c r="D48" s="12">
        <v>395304</v>
      </c>
      <c r="E48" s="6">
        <v>61382</v>
      </c>
      <c r="F48" s="35">
        <v>0</v>
      </c>
      <c r="G48" s="16">
        <v>5352140</v>
      </c>
      <c r="H48">
        <v>92.1</v>
      </c>
      <c r="I48">
        <v>1.1000000000000001</v>
      </c>
      <c r="J48">
        <v>6.8</v>
      </c>
      <c r="K48">
        <v>0</v>
      </c>
    </row>
    <row r="49" spans="1:11">
      <c r="A49">
        <v>51</v>
      </c>
      <c r="B49" t="s">
        <v>1742</v>
      </c>
      <c r="C49" s="3">
        <v>108462923</v>
      </c>
      <c r="D49" s="12">
        <v>4433888</v>
      </c>
      <c r="E49" s="6">
        <v>1799928</v>
      </c>
      <c r="F49" s="35">
        <v>228532</v>
      </c>
      <c r="G49" s="16">
        <v>102000575</v>
      </c>
      <c r="H49">
        <v>94</v>
      </c>
      <c r="I49">
        <v>1.7</v>
      </c>
      <c r="J49">
        <v>4.0999999999999996</v>
      </c>
      <c r="K49">
        <v>0.2</v>
      </c>
    </row>
    <row r="50" spans="1:11">
      <c r="A50">
        <v>52</v>
      </c>
      <c r="B50" t="s">
        <v>1743</v>
      </c>
      <c r="C50" s="3">
        <v>45319085</v>
      </c>
      <c r="D50" s="12">
        <v>3954678</v>
      </c>
      <c r="E50" s="6">
        <v>532968</v>
      </c>
      <c r="F50" s="35">
        <v>298567</v>
      </c>
      <c r="G50" s="16">
        <v>40532872</v>
      </c>
      <c r="H50">
        <v>89.4</v>
      </c>
      <c r="I50">
        <v>1.2</v>
      </c>
      <c r="J50">
        <v>8.6999999999999993</v>
      </c>
      <c r="K50">
        <v>0.7</v>
      </c>
    </row>
    <row r="51" spans="1:11">
      <c r="A51">
        <v>53</v>
      </c>
      <c r="B51" t="s">
        <v>1744</v>
      </c>
      <c r="C51" s="3">
        <v>3824896</v>
      </c>
      <c r="D51" s="12">
        <v>990000</v>
      </c>
      <c r="E51" s="6">
        <v>65358</v>
      </c>
      <c r="F51" s="35">
        <v>1425</v>
      </c>
      <c r="G51" s="16">
        <v>2768113</v>
      </c>
      <c r="H51">
        <v>72.400000000000006</v>
      </c>
      <c r="I51">
        <v>1.7</v>
      </c>
      <c r="J51">
        <v>25.9</v>
      </c>
      <c r="K51">
        <v>0</v>
      </c>
    </row>
    <row r="52" spans="1:11">
      <c r="A52">
        <v>54</v>
      </c>
      <c r="B52" t="s">
        <v>1745</v>
      </c>
      <c r="C52" s="3">
        <v>63453298</v>
      </c>
      <c r="D52" s="12">
        <v>5828825</v>
      </c>
      <c r="E52" s="6">
        <v>851686</v>
      </c>
      <c r="F52" s="35">
        <v>318916</v>
      </c>
      <c r="G52" s="16">
        <v>56453871</v>
      </c>
      <c r="H52">
        <v>89</v>
      </c>
      <c r="I52">
        <v>1.3</v>
      </c>
      <c r="J52">
        <v>9.1999999999999993</v>
      </c>
      <c r="K52">
        <v>0.5</v>
      </c>
    </row>
    <row r="53" spans="1:11">
      <c r="A53">
        <v>56</v>
      </c>
      <c r="B53" t="s">
        <v>1746</v>
      </c>
      <c r="C53" s="3">
        <v>21230340</v>
      </c>
      <c r="D53" s="12">
        <v>5660512</v>
      </c>
      <c r="E53" s="6">
        <v>270646</v>
      </c>
      <c r="F53" s="35">
        <v>133528</v>
      </c>
      <c r="G53" s="16">
        <v>15165654</v>
      </c>
      <c r="H53">
        <v>71.400000000000006</v>
      </c>
      <c r="I53">
        <v>1.3</v>
      </c>
      <c r="J53">
        <v>26.7</v>
      </c>
      <c r="K53">
        <v>0.6</v>
      </c>
    </row>
    <row r="54" spans="1:11">
      <c r="A54">
        <v>57</v>
      </c>
      <c r="B54" t="s">
        <v>1747</v>
      </c>
      <c r="C54" s="3">
        <v>122619957</v>
      </c>
      <c r="D54" s="12">
        <v>4199740</v>
      </c>
      <c r="E54" s="6">
        <v>2133651</v>
      </c>
      <c r="F54" s="35">
        <v>436846</v>
      </c>
      <c r="G54" s="16">
        <v>115849720</v>
      </c>
      <c r="H54">
        <v>94.5</v>
      </c>
      <c r="I54">
        <v>1.7</v>
      </c>
      <c r="J54">
        <v>3.4</v>
      </c>
      <c r="K54">
        <v>0.4</v>
      </c>
    </row>
    <row r="55" spans="1:11">
      <c r="A55">
        <v>58</v>
      </c>
      <c r="B55" t="s">
        <v>1748</v>
      </c>
      <c r="C55" s="3">
        <v>22455158</v>
      </c>
      <c r="D55" s="12">
        <v>11514279</v>
      </c>
      <c r="E55" s="6">
        <v>623978</v>
      </c>
      <c r="F55" s="35">
        <v>1631781</v>
      </c>
      <c r="G55" s="16">
        <v>8685120</v>
      </c>
      <c r="H55">
        <v>38.700000000000003</v>
      </c>
      <c r="I55">
        <v>2.8</v>
      </c>
      <c r="J55">
        <v>51.3</v>
      </c>
      <c r="K55">
        <v>7.3</v>
      </c>
    </row>
    <row r="56" spans="1:11">
      <c r="A56">
        <v>59</v>
      </c>
      <c r="B56" t="s">
        <v>1749</v>
      </c>
      <c r="C56" s="3">
        <v>64311746</v>
      </c>
      <c r="D56" s="12">
        <v>24507304</v>
      </c>
      <c r="E56" s="6">
        <v>1905002</v>
      </c>
      <c r="F56" s="35">
        <v>172132</v>
      </c>
      <c r="G56" s="16">
        <v>37727308</v>
      </c>
      <c r="H56">
        <v>58.7</v>
      </c>
      <c r="I56">
        <v>3</v>
      </c>
      <c r="J56">
        <v>38.1</v>
      </c>
      <c r="K56">
        <v>0.3</v>
      </c>
    </row>
    <row r="57" spans="1:11">
      <c r="A57">
        <v>60</v>
      </c>
      <c r="B57" t="s">
        <v>1750</v>
      </c>
      <c r="C57" s="3">
        <v>40756701</v>
      </c>
      <c r="D57" s="12">
        <v>4464911</v>
      </c>
      <c r="E57" s="6">
        <v>786599</v>
      </c>
      <c r="F57" s="35">
        <v>0</v>
      </c>
      <c r="G57" s="16">
        <v>35505191</v>
      </c>
      <c r="H57">
        <v>87.1</v>
      </c>
      <c r="I57">
        <v>1.9</v>
      </c>
      <c r="J57">
        <v>11</v>
      </c>
      <c r="K57">
        <v>0</v>
      </c>
    </row>
    <row r="58" spans="1:11">
      <c r="A58">
        <v>62</v>
      </c>
      <c r="B58" t="s">
        <v>1751</v>
      </c>
      <c r="C58" s="3">
        <v>99272510</v>
      </c>
      <c r="D58" s="12">
        <v>38303175</v>
      </c>
      <c r="E58" s="6">
        <v>1825066</v>
      </c>
      <c r="F58" s="35">
        <v>39341</v>
      </c>
      <c r="G58" s="16">
        <v>59104928</v>
      </c>
      <c r="H58">
        <v>59.5</v>
      </c>
      <c r="I58">
        <v>1.8</v>
      </c>
      <c r="J58">
        <v>38.6</v>
      </c>
      <c r="K58">
        <v>0</v>
      </c>
    </row>
    <row r="59" spans="1:11">
      <c r="A59">
        <v>63</v>
      </c>
      <c r="B59" t="s">
        <v>1752</v>
      </c>
      <c r="C59" s="3">
        <v>2027201</v>
      </c>
      <c r="D59" s="12">
        <v>924019</v>
      </c>
      <c r="E59" s="6">
        <v>28429</v>
      </c>
      <c r="F59" s="35">
        <v>0</v>
      </c>
      <c r="G59" s="16">
        <v>1074753</v>
      </c>
      <c r="H59">
        <v>53</v>
      </c>
      <c r="I59">
        <v>1.4</v>
      </c>
      <c r="J59">
        <v>45.6</v>
      </c>
      <c r="K59">
        <v>0</v>
      </c>
    </row>
    <row r="60" spans="1:11">
      <c r="A60">
        <v>64</v>
      </c>
      <c r="B60" t="s">
        <v>1753</v>
      </c>
      <c r="C60" s="3">
        <v>323574879</v>
      </c>
      <c r="D60" s="12">
        <v>196210828</v>
      </c>
      <c r="E60" s="6">
        <v>36918077</v>
      </c>
      <c r="F60" s="35">
        <v>9105856</v>
      </c>
      <c r="G60" s="16">
        <v>81340118</v>
      </c>
      <c r="H60">
        <v>25.1</v>
      </c>
      <c r="I60">
        <v>11.4</v>
      </c>
      <c r="J60">
        <v>60.6</v>
      </c>
      <c r="K60">
        <v>2.8</v>
      </c>
    </row>
    <row r="61" spans="1:11">
      <c r="A61">
        <v>65</v>
      </c>
      <c r="B61" t="s">
        <v>1754</v>
      </c>
      <c r="C61" s="3">
        <v>4277037</v>
      </c>
      <c r="D61" s="12">
        <v>1378231</v>
      </c>
      <c r="E61" s="6">
        <v>146270</v>
      </c>
      <c r="F61" s="35">
        <v>2763</v>
      </c>
      <c r="G61" s="16">
        <v>2749773</v>
      </c>
      <c r="H61">
        <v>64.3</v>
      </c>
      <c r="I61">
        <v>3.4</v>
      </c>
      <c r="J61">
        <v>32.200000000000003</v>
      </c>
      <c r="K61">
        <v>0.1</v>
      </c>
    </row>
    <row r="62" spans="1:11">
      <c r="A62">
        <v>67</v>
      </c>
      <c r="B62" t="s">
        <v>1755</v>
      </c>
      <c r="C62" s="3">
        <v>9272850</v>
      </c>
      <c r="D62" s="12">
        <v>3345371</v>
      </c>
      <c r="E62" s="6">
        <v>275895</v>
      </c>
      <c r="F62" s="35">
        <v>0</v>
      </c>
      <c r="G62" s="16">
        <v>5651584</v>
      </c>
      <c r="H62">
        <v>60.9</v>
      </c>
      <c r="I62">
        <v>3</v>
      </c>
      <c r="J62">
        <v>36.1</v>
      </c>
      <c r="K62">
        <v>0</v>
      </c>
    </row>
    <row r="63" spans="1:11">
      <c r="A63">
        <v>68</v>
      </c>
      <c r="B63" t="s">
        <v>1756</v>
      </c>
      <c r="C63" s="3">
        <v>5421554</v>
      </c>
      <c r="D63" s="12">
        <v>1526422</v>
      </c>
      <c r="E63" s="6">
        <v>111180</v>
      </c>
      <c r="F63" s="35">
        <v>4944</v>
      </c>
      <c r="G63" s="16">
        <v>3779008</v>
      </c>
      <c r="H63">
        <v>69.7</v>
      </c>
      <c r="I63">
        <v>2.1</v>
      </c>
      <c r="J63">
        <v>28.2</v>
      </c>
      <c r="K63">
        <v>0.1</v>
      </c>
    </row>
    <row r="64" spans="1:11">
      <c r="A64">
        <v>69</v>
      </c>
      <c r="B64" t="s">
        <v>1757</v>
      </c>
      <c r="C64" s="3">
        <v>30589853</v>
      </c>
      <c r="D64" s="12">
        <v>16919158</v>
      </c>
      <c r="E64" s="6">
        <v>1442911</v>
      </c>
      <c r="F64" s="35">
        <v>1724599</v>
      </c>
      <c r="G64" s="16">
        <v>10503185</v>
      </c>
      <c r="H64">
        <v>34.299999999999997</v>
      </c>
      <c r="I64">
        <v>4.7</v>
      </c>
      <c r="J64">
        <v>55.3</v>
      </c>
      <c r="K64">
        <v>5.6</v>
      </c>
    </row>
    <row r="65" spans="1:11">
      <c r="A65">
        <v>71</v>
      </c>
      <c r="B65" t="s">
        <v>1758</v>
      </c>
      <c r="C65" s="3">
        <v>14599268</v>
      </c>
      <c r="D65" s="12">
        <v>5732550</v>
      </c>
      <c r="E65" s="6">
        <v>394600</v>
      </c>
      <c r="F65" s="35">
        <v>1642991</v>
      </c>
      <c r="G65" s="16">
        <v>6829127</v>
      </c>
      <c r="H65">
        <v>46.8</v>
      </c>
      <c r="I65">
        <v>2.7</v>
      </c>
      <c r="J65">
        <v>39.299999999999997</v>
      </c>
      <c r="K65">
        <v>11.3</v>
      </c>
    </row>
    <row r="66" spans="1:11">
      <c r="A66">
        <v>72</v>
      </c>
      <c r="B66" t="s">
        <v>1759</v>
      </c>
      <c r="C66" s="3">
        <v>32614496</v>
      </c>
      <c r="D66" s="12">
        <v>16684242</v>
      </c>
      <c r="E66" s="6">
        <v>657517</v>
      </c>
      <c r="F66" s="35">
        <v>1397854</v>
      </c>
      <c r="G66" s="16">
        <v>13874883</v>
      </c>
      <c r="H66">
        <v>42.5</v>
      </c>
      <c r="I66">
        <v>2</v>
      </c>
      <c r="J66">
        <v>51.2</v>
      </c>
      <c r="K66">
        <v>4.3</v>
      </c>
    </row>
    <row r="67" spans="1:11">
      <c r="A67">
        <v>73</v>
      </c>
      <c r="B67" t="s">
        <v>1760</v>
      </c>
      <c r="C67" s="3">
        <v>10371645</v>
      </c>
      <c r="D67" s="12">
        <v>6724882</v>
      </c>
      <c r="E67" s="6">
        <v>233785</v>
      </c>
      <c r="F67" s="35">
        <v>9051</v>
      </c>
      <c r="G67" s="16">
        <v>3403927</v>
      </c>
      <c r="H67">
        <v>32.799999999999997</v>
      </c>
      <c r="I67">
        <v>2.2999999999999998</v>
      </c>
      <c r="J67">
        <v>64.8</v>
      </c>
      <c r="K67">
        <v>0.1</v>
      </c>
    </row>
    <row r="68" spans="1:11">
      <c r="A68">
        <v>74</v>
      </c>
      <c r="B68" t="s">
        <v>1761</v>
      </c>
      <c r="C68" s="3">
        <v>13272626</v>
      </c>
      <c r="D68" s="12">
        <v>1365402</v>
      </c>
      <c r="E68" s="6">
        <v>269374</v>
      </c>
      <c r="F68" s="35">
        <v>31280</v>
      </c>
      <c r="G68" s="16">
        <v>11606570</v>
      </c>
      <c r="H68">
        <v>87.4</v>
      </c>
      <c r="I68">
        <v>2</v>
      </c>
      <c r="J68">
        <v>10.3</v>
      </c>
      <c r="K68">
        <v>0.2</v>
      </c>
    </row>
    <row r="69" spans="1:11">
      <c r="A69">
        <v>76</v>
      </c>
      <c r="B69" t="s">
        <v>1762</v>
      </c>
      <c r="C69" s="3">
        <v>40995423</v>
      </c>
      <c r="D69" s="12">
        <v>8434257</v>
      </c>
      <c r="E69" s="6">
        <v>718477</v>
      </c>
      <c r="F69" s="35">
        <v>157899</v>
      </c>
      <c r="G69" s="16">
        <v>31684790</v>
      </c>
      <c r="H69">
        <v>77.3</v>
      </c>
      <c r="I69">
        <v>1.8</v>
      </c>
      <c r="J69">
        <v>20.6</v>
      </c>
      <c r="K69">
        <v>0.4</v>
      </c>
    </row>
    <row r="70" spans="1:11">
      <c r="A70">
        <v>77</v>
      </c>
      <c r="B70" t="s">
        <v>1763</v>
      </c>
      <c r="C70" s="3">
        <v>79979135</v>
      </c>
      <c r="D70" s="12">
        <v>27207708</v>
      </c>
      <c r="E70" s="6">
        <v>2899939</v>
      </c>
      <c r="F70" s="35">
        <v>1170058</v>
      </c>
      <c r="G70" s="16">
        <v>48701430</v>
      </c>
      <c r="H70">
        <v>60.9</v>
      </c>
      <c r="I70">
        <v>3.6</v>
      </c>
      <c r="J70">
        <v>34</v>
      </c>
      <c r="K70">
        <v>1.5</v>
      </c>
    </row>
    <row r="71" spans="1:11">
      <c r="A71">
        <v>78</v>
      </c>
      <c r="B71" t="s">
        <v>1764</v>
      </c>
      <c r="C71" s="3">
        <v>16951897</v>
      </c>
      <c r="D71" s="12">
        <v>6911895</v>
      </c>
      <c r="E71" s="6">
        <v>473021</v>
      </c>
      <c r="F71" s="35">
        <v>64218</v>
      </c>
      <c r="G71" s="16">
        <v>9502763</v>
      </c>
      <c r="H71">
        <v>56.1</v>
      </c>
      <c r="I71">
        <v>2.8</v>
      </c>
      <c r="J71">
        <v>40.799999999999997</v>
      </c>
      <c r="K71">
        <v>0.4</v>
      </c>
    </row>
    <row r="72" spans="1:11">
      <c r="A72">
        <v>79</v>
      </c>
      <c r="B72" t="s">
        <v>1765</v>
      </c>
      <c r="C72" s="3">
        <v>7620024</v>
      </c>
      <c r="D72" s="12">
        <v>3536101</v>
      </c>
      <c r="E72" s="6">
        <v>105420</v>
      </c>
      <c r="F72" s="35">
        <v>0</v>
      </c>
      <c r="G72" s="16">
        <v>3978503</v>
      </c>
      <c r="H72">
        <v>52.2</v>
      </c>
      <c r="I72">
        <v>1.4</v>
      </c>
      <c r="J72">
        <v>46.4</v>
      </c>
      <c r="K72">
        <v>0</v>
      </c>
    </row>
    <row r="73" spans="1:11">
      <c r="A73">
        <v>80</v>
      </c>
      <c r="B73" t="s">
        <v>1766</v>
      </c>
      <c r="C73" s="3">
        <v>99845951</v>
      </c>
      <c r="D73" s="12">
        <v>54444666</v>
      </c>
      <c r="E73" s="6">
        <v>4855769</v>
      </c>
      <c r="F73" s="35">
        <v>1116999</v>
      </c>
      <c r="G73" s="16">
        <v>39428517</v>
      </c>
      <c r="H73">
        <v>39.5</v>
      </c>
      <c r="I73">
        <v>4.9000000000000004</v>
      </c>
      <c r="J73">
        <v>54.5</v>
      </c>
      <c r="K73">
        <v>1.1000000000000001</v>
      </c>
    </row>
    <row r="74" spans="1:11">
      <c r="A74">
        <v>83</v>
      </c>
      <c r="B74" t="s">
        <v>1767</v>
      </c>
      <c r="C74" s="3">
        <v>66598026</v>
      </c>
      <c r="D74" s="12">
        <v>20149185</v>
      </c>
      <c r="E74" s="6">
        <v>3109867</v>
      </c>
      <c r="F74" s="35">
        <v>559231</v>
      </c>
      <c r="G74" s="16">
        <v>42779743</v>
      </c>
      <c r="H74">
        <v>64.2</v>
      </c>
      <c r="I74">
        <v>4.7</v>
      </c>
      <c r="J74">
        <v>30.3</v>
      </c>
      <c r="K74">
        <v>0.8</v>
      </c>
    </row>
    <row r="75" spans="1:11">
      <c r="A75">
        <v>84</v>
      </c>
      <c r="B75" t="s">
        <v>1768</v>
      </c>
      <c r="C75" s="3">
        <v>80507740</v>
      </c>
      <c r="D75" s="12">
        <v>12786699</v>
      </c>
      <c r="E75" s="6">
        <v>1881006</v>
      </c>
      <c r="F75" s="35">
        <v>160526</v>
      </c>
      <c r="G75" s="16">
        <v>65679509</v>
      </c>
      <c r="H75">
        <v>81.599999999999994</v>
      </c>
      <c r="I75">
        <v>2.2999999999999998</v>
      </c>
      <c r="J75">
        <v>15.9</v>
      </c>
      <c r="K75">
        <v>0.2</v>
      </c>
    </row>
    <row r="76" spans="1:11">
      <c r="A76">
        <v>85</v>
      </c>
      <c r="B76" t="s">
        <v>1769</v>
      </c>
      <c r="C76" s="3">
        <v>43081596</v>
      </c>
      <c r="D76" s="12">
        <v>10193361</v>
      </c>
      <c r="E76" s="6">
        <v>711000</v>
      </c>
      <c r="F76" s="35">
        <v>636686</v>
      </c>
      <c r="G76" s="16">
        <v>31540549</v>
      </c>
      <c r="H76">
        <v>73.2</v>
      </c>
      <c r="I76">
        <v>1.7</v>
      </c>
      <c r="J76">
        <v>23.7</v>
      </c>
      <c r="K76">
        <v>1.5</v>
      </c>
    </row>
    <row r="77" spans="1:11">
      <c r="A77">
        <v>86</v>
      </c>
      <c r="B77" t="s">
        <v>1770</v>
      </c>
      <c r="C77" s="3">
        <v>31164964</v>
      </c>
      <c r="D77" s="12">
        <v>11983925</v>
      </c>
      <c r="E77" s="6">
        <v>1063938</v>
      </c>
      <c r="F77" s="35">
        <v>220243</v>
      </c>
      <c r="G77" s="16">
        <v>17896858</v>
      </c>
      <c r="H77">
        <v>57.4</v>
      </c>
      <c r="I77">
        <v>3.4</v>
      </c>
      <c r="J77">
        <v>38.5</v>
      </c>
      <c r="K77">
        <v>0.7</v>
      </c>
    </row>
    <row r="78" spans="1:11">
      <c r="A78">
        <v>88</v>
      </c>
      <c r="B78" t="s">
        <v>1771</v>
      </c>
      <c r="C78" s="3">
        <v>49795577</v>
      </c>
      <c r="D78" s="12">
        <v>27314840</v>
      </c>
      <c r="E78" s="6">
        <v>2151210</v>
      </c>
      <c r="F78" s="35">
        <v>325451</v>
      </c>
      <c r="G78" s="16">
        <v>20004076</v>
      </c>
      <c r="H78">
        <v>40.200000000000003</v>
      </c>
      <c r="I78">
        <v>4.3</v>
      </c>
      <c r="J78">
        <v>54.9</v>
      </c>
      <c r="K78">
        <v>0.7</v>
      </c>
    </row>
    <row r="79" spans="1:11">
      <c r="A79">
        <v>89</v>
      </c>
      <c r="B79" t="s">
        <v>1772</v>
      </c>
      <c r="C79" s="3">
        <v>125190890</v>
      </c>
      <c r="D79" s="12">
        <v>73585572</v>
      </c>
      <c r="E79" s="6">
        <v>10389724</v>
      </c>
      <c r="F79" s="35">
        <v>1311682</v>
      </c>
      <c r="G79" s="16">
        <v>39903912</v>
      </c>
      <c r="H79">
        <v>31.9</v>
      </c>
      <c r="I79">
        <v>8.3000000000000007</v>
      </c>
      <c r="J79">
        <v>58.8</v>
      </c>
      <c r="K79">
        <v>1</v>
      </c>
    </row>
    <row r="80" spans="1:11">
      <c r="A80">
        <v>90</v>
      </c>
      <c r="B80" t="s">
        <v>1773</v>
      </c>
      <c r="C80" s="3">
        <v>54195582</v>
      </c>
      <c r="D80" s="12">
        <v>1929289</v>
      </c>
      <c r="E80" s="6">
        <v>637975</v>
      </c>
      <c r="F80" s="35">
        <v>0</v>
      </c>
      <c r="G80" s="16">
        <v>51628318</v>
      </c>
      <c r="H80">
        <v>95.3</v>
      </c>
      <c r="I80">
        <v>1.2</v>
      </c>
      <c r="J80">
        <v>3.6</v>
      </c>
      <c r="K80">
        <v>0</v>
      </c>
    </row>
    <row r="81" spans="1:11">
      <c r="A81">
        <v>91</v>
      </c>
      <c r="B81" t="s">
        <v>1774</v>
      </c>
      <c r="C81" s="3">
        <v>29364277</v>
      </c>
      <c r="D81" s="12">
        <v>5164387</v>
      </c>
      <c r="E81" s="6">
        <v>424746</v>
      </c>
      <c r="F81" s="35">
        <v>526220</v>
      </c>
      <c r="G81" s="16">
        <v>23248924</v>
      </c>
      <c r="H81">
        <v>79.2</v>
      </c>
      <c r="I81">
        <v>1.4</v>
      </c>
      <c r="J81">
        <v>17.600000000000001</v>
      </c>
      <c r="K81">
        <v>1.8</v>
      </c>
    </row>
    <row r="82" spans="1:11">
      <c r="A82">
        <v>92</v>
      </c>
      <c r="B82" t="s">
        <v>1775</v>
      </c>
      <c r="C82" s="3">
        <v>6188782</v>
      </c>
      <c r="D82" s="12">
        <v>1817837</v>
      </c>
      <c r="E82" s="6">
        <v>185699</v>
      </c>
      <c r="F82" s="35">
        <v>9500</v>
      </c>
      <c r="G82" s="16">
        <v>4175746</v>
      </c>
      <c r="H82">
        <v>67.5</v>
      </c>
      <c r="I82">
        <v>3</v>
      </c>
      <c r="J82">
        <v>29.4</v>
      </c>
      <c r="K82">
        <v>0.2</v>
      </c>
    </row>
    <row r="83" spans="1:11" s="9" customFormat="1">
      <c r="A83" s="9">
        <v>93</v>
      </c>
      <c r="B83" s="9" t="s">
        <v>1776</v>
      </c>
      <c r="C83" s="10">
        <v>333224148</v>
      </c>
      <c r="D83" s="12">
        <v>218503424</v>
      </c>
      <c r="E83" s="6">
        <v>39169193</v>
      </c>
      <c r="F83" s="35">
        <v>2829443</v>
      </c>
      <c r="G83" s="16">
        <v>72722088</v>
      </c>
      <c r="H83" s="9">
        <v>21.8</v>
      </c>
      <c r="I83" s="9">
        <v>11.8</v>
      </c>
      <c r="J83" s="9">
        <v>65.599999999999994</v>
      </c>
      <c r="K83" s="9">
        <v>0.8</v>
      </c>
    </row>
    <row r="84" spans="1:11">
      <c r="A84">
        <v>94</v>
      </c>
      <c r="B84" t="s">
        <v>1777</v>
      </c>
      <c r="C84" s="3">
        <v>44909250</v>
      </c>
      <c r="D84" s="12">
        <v>10085391</v>
      </c>
      <c r="E84" s="6">
        <v>537917</v>
      </c>
      <c r="F84" s="35">
        <v>74315</v>
      </c>
      <c r="G84" s="16">
        <v>34211627</v>
      </c>
      <c r="H84">
        <v>76.2</v>
      </c>
      <c r="I84">
        <v>1.2</v>
      </c>
      <c r="J84">
        <v>22.5</v>
      </c>
      <c r="K84">
        <v>0.2</v>
      </c>
    </row>
    <row r="85" spans="1:11">
      <c r="A85">
        <v>95</v>
      </c>
      <c r="B85" t="s">
        <v>1778</v>
      </c>
      <c r="C85" s="3">
        <v>45358342</v>
      </c>
      <c r="D85" s="12">
        <v>23959074</v>
      </c>
      <c r="E85" s="6">
        <v>5189577</v>
      </c>
      <c r="F85" s="35">
        <v>361933</v>
      </c>
      <c r="G85" s="16">
        <v>15847758</v>
      </c>
      <c r="H85">
        <v>34.9</v>
      </c>
      <c r="I85">
        <v>11.4</v>
      </c>
      <c r="J85">
        <v>52.8</v>
      </c>
      <c r="K85">
        <v>0.8</v>
      </c>
    </row>
    <row r="86" spans="1:11">
      <c r="A86">
        <v>96</v>
      </c>
      <c r="B86" t="s">
        <v>1779</v>
      </c>
      <c r="C86" s="3">
        <v>51693427</v>
      </c>
      <c r="D86" s="12">
        <v>13749624</v>
      </c>
      <c r="E86" s="6">
        <v>509711</v>
      </c>
      <c r="F86" s="35">
        <v>667797</v>
      </c>
      <c r="G86" s="16">
        <v>36766295</v>
      </c>
      <c r="H86">
        <v>71.099999999999994</v>
      </c>
      <c r="I86">
        <v>1</v>
      </c>
      <c r="J86">
        <v>26.6</v>
      </c>
      <c r="K86">
        <v>1.3</v>
      </c>
    </row>
    <row r="87" spans="1:11">
      <c r="A87">
        <v>97</v>
      </c>
      <c r="B87" t="s">
        <v>1780</v>
      </c>
      <c r="C87" s="3">
        <v>56627290</v>
      </c>
      <c r="D87" s="12">
        <v>9448853</v>
      </c>
      <c r="E87" s="6">
        <v>800118</v>
      </c>
      <c r="F87" s="35">
        <v>146361</v>
      </c>
      <c r="G87" s="16">
        <v>46231958</v>
      </c>
      <c r="H87">
        <v>81.599999999999994</v>
      </c>
      <c r="I87">
        <v>1.4</v>
      </c>
      <c r="J87">
        <v>16.7</v>
      </c>
      <c r="K87">
        <v>0.3</v>
      </c>
    </row>
    <row r="88" spans="1:11">
      <c r="A88">
        <v>98</v>
      </c>
      <c r="B88" t="s">
        <v>1781</v>
      </c>
      <c r="C88" s="3">
        <v>2126006</v>
      </c>
      <c r="D88" s="12">
        <v>341509</v>
      </c>
      <c r="E88" s="6">
        <v>77394</v>
      </c>
      <c r="F88" s="35">
        <v>10122</v>
      </c>
      <c r="G88" s="16">
        <v>1696981</v>
      </c>
      <c r="H88">
        <v>79.8</v>
      </c>
      <c r="I88">
        <v>3.6</v>
      </c>
      <c r="J88">
        <v>16.100000000000001</v>
      </c>
      <c r="K88">
        <v>0.5</v>
      </c>
    </row>
    <row r="89" spans="1:11">
      <c r="A89">
        <v>99</v>
      </c>
      <c r="B89" t="s">
        <v>1782</v>
      </c>
      <c r="C89" s="3">
        <v>25080720</v>
      </c>
      <c r="D89" s="12">
        <v>9615762</v>
      </c>
      <c r="E89" s="6">
        <v>470616</v>
      </c>
      <c r="F89" s="35">
        <v>0</v>
      </c>
      <c r="G89" s="16">
        <v>14994342</v>
      </c>
      <c r="H89">
        <v>59.8</v>
      </c>
      <c r="I89">
        <v>1.9</v>
      </c>
      <c r="J89">
        <v>38.299999999999997</v>
      </c>
      <c r="K89">
        <v>0</v>
      </c>
    </row>
    <row r="90" spans="1:11">
      <c r="A90">
        <v>100</v>
      </c>
      <c r="B90" t="s">
        <v>1783</v>
      </c>
      <c r="C90" s="3">
        <v>4411566</v>
      </c>
      <c r="D90" s="12">
        <v>1567483</v>
      </c>
      <c r="E90" s="6">
        <v>111609</v>
      </c>
      <c r="F90" s="35">
        <v>5706</v>
      </c>
      <c r="G90" s="16">
        <v>2726768</v>
      </c>
      <c r="H90">
        <v>61.8</v>
      </c>
      <c r="I90">
        <v>2.5</v>
      </c>
      <c r="J90">
        <v>35.5</v>
      </c>
      <c r="K90">
        <v>0.1</v>
      </c>
    </row>
    <row r="91" spans="1:11">
      <c r="A91">
        <v>101</v>
      </c>
      <c r="B91" t="s">
        <v>1784</v>
      </c>
      <c r="C91" s="3">
        <v>37793659</v>
      </c>
      <c r="D91" s="12">
        <v>3054076</v>
      </c>
      <c r="E91" s="6">
        <v>657981</v>
      </c>
      <c r="F91" s="35">
        <v>0</v>
      </c>
      <c r="G91" s="16">
        <v>34081602</v>
      </c>
      <c r="H91">
        <v>90.2</v>
      </c>
      <c r="I91">
        <v>1.7</v>
      </c>
      <c r="J91">
        <v>8.1</v>
      </c>
      <c r="K91">
        <v>0</v>
      </c>
    </row>
    <row r="92" spans="1:11">
      <c r="A92">
        <v>102</v>
      </c>
      <c r="B92" t="s">
        <v>1785</v>
      </c>
      <c r="C92" s="3">
        <v>10683887</v>
      </c>
      <c r="D92" s="12">
        <v>3546820</v>
      </c>
      <c r="E92" s="6">
        <v>302048</v>
      </c>
      <c r="F92" s="35">
        <v>129541</v>
      </c>
      <c r="G92" s="16">
        <v>6705478</v>
      </c>
      <c r="H92">
        <v>62.8</v>
      </c>
      <c r="I92">
        <v>2.8</v>
      </c>
      <c r="J92">
        <v>33.200000000000003</v>
      </c>
      <c r="K92">
        <v>1.2</v>
      </c>
    </row>
    <row r="93" spans="1:11">
      <c r="A93">
        <v>103</v>
      </c>
      <c r="B93" t="s">
        <v>1786</v>
      </c>
      <c r="C93" s="3">
        <v>135804143</v>
      </c>
      <c r="D93" s="12">
        <v>16853413</v>
      </c>
      <c r="E93" s="6">
        <v>3601675</v>
      </c>
      <c r="F93" s="35">
        <v>476693</v>
      </c>
      <c r="G93" s="16">
        <v>114872362</v>
      </c>
      <c r="H93">
        <v>84.6</v>
      </c>
      <c r="I93">
        <v>2.7</v>
      </c>
      <c r="J93">
        <v>12.4</v>
      </c>
      <c r="K93">
        <v>0.4</v>
      </c>
    </row>
    <row r="94" spans="1:11">
      <c r="A94">
        <v>104</v>
      </c>
      <c r="B94" t="s">
        <v>1787</v>
      </c>
      <c r="C94" s="3">
        <v>57962818</v>
      </c>
      <c r="D94" s="12">
        <v>30976602</v>
      </c>
      <c r="E94" s="6">
        <v>4034302</v>
      </c>
      <c r="F94" s="35">
        <v>215019</v>
      </c>
      <c r="G94" s="16">
        <v>22736895</v>
      </c>
      <c r="H94">
        <v>39.200000000000003</v>
      </c>
      <c r="I94">
        <v>7</v>
      </c>
      <c r="J94">
        <v>53.4</v>
      </c>
      <c r="K94">
        <v>0.4</v>
      </c>
    </row>
    <row r="95" spans="1:11">
      <c r="A95">
        <v>106</v>
      </c>
      <c r="B95" t="s">
        <v>1788</v>
      </c>
      <c r="C95" s="3">
        <v>17089423</v>
      </c>
      <c r="D95" s="12">
        <v>1256587</v>
      </c>
      <c r="E95" s="6">
        <v>354443</v>
      </c>
      <c r="F95" s="35">
        <v>188656</v>
      </c>
      <c r="G95" s="16">
        <v>15289737</v>
      </c>
      <c r="H95">
        <v>89.5</v>
      </c>
      <c r="I95">
        <v>2.1</v>
      </c>
      <c r="J95">
        <v>7.4</v>
      </c>
      <c r="K95">
        <v>1.1000000000000001</v>
      </c>
    </row>
    <row r="96" spans="1:11">
      <c r="A96">
        <v>107</v>
      </c>
      <c r="B96" t="s">
        <v>1789</v>
      </c>
      <c r="C96" s="3">
        <v>12888212</v>
      </c>
      <c r="D96" s="12">
        <v>880084</v>
      </c>
      <c r="E96" s="6">
        <v>272845</v>
      </c>
      <c r="F96" s="35">
        <v>0</v>
      </c>
      <c r="G96" s="16">
        <v>11735283</v>
      </c>
      <c r="H96">
        <v>91.1</v>
      </c>
      <c r="I96">
        <v>2.1</v>
      </c>
      <c r="J96">
        <v>6.8</v>
      </c>
      <c r="K96">
        <v>0</v>
      </c>
    </row>
    <row r="97" spans="1:11">
      <c r="A97">
        <v>108</v>
      </c>
      <c r="B97" t="s">
        <v>1790</v>
      </c>
      <c r="C97" s="3">
        <v>17310290</v>
      </c>
      <c r="D97" s="12">
        <v>4418863</v>
      </c>
      <c r="E97" s="6">
        <v>213878</v>
      </c>
      <c r="F97" s="35">
        <v>2000</v>
      </c>
      <c r="G97" s="16">
        <v>12675549</v>
      </c>
      <c r="H97">
        <v>73.2</v>
      </c>
      <c r="I97">
        <v>1.2</v>
      </c>
      <c r="J97">
        <v>25.5</v>
      </c>
      <c r="K97">
        <v>0</v>
      </c>
    </row>
    <row r="98" spans="1:11">
      <c r="A98">
        <v>109</v>
      </c>
      <c r="B98" t="s">
        <v>1791</v>
      </c>
      <c r="C98" s="3">
        <v>30192453</v>
      </c>
      <c r="D98" s="12">
        <v>18054302</v>
      </c>
      <c r="E98" s="6">
        <v>1129889</v>
      </c>
      <c r="F98" s="35">
        <v>874873</v>
      </c>
      <c r="G98" s="16">
        <v>10133389</v>
      </c>
      <c r="H98">
        <v>33.6</v>
      </c>
      <c r="I98">
        <v>3.7</v>
      </c>
      <c r="J98">
        <v>59.8</v>
      </c>
      <c r="K98">
        <v>2.9</v>
      </c>
    </row>
    <row r="99" spans="1:11">
      <c r="A99">
        <v>110</v>
      </c>
      <c r="B99" t="s">
        <v>1792</v>
      </c>
      <c r="C99" s="3">
        <v>29135362</v>
      </c>
      <c r="D99" s="12">
        <v>11031271</v>
      </c>
      <c r="E99" s="6">
        <v>581366</v>
      </c>
      <c r="F99" s="35">
        <v>239886</v>
      </c>
      <c r="G99" s="16">
        <v>17282839</v>
      </c>
      <c r="H99">
        <v>59.3</v>
      </c>
      <c r="I99">
        <v>2</v>
      </c>
      <c r="J99">
        <v>37.9</v>
      </c>
      <c r="K99">
        <v>0.8</v>
      </c>
    </row>
    <row r="100" spans="1:11">
      <c r="A100">
        <v>111</v>
      </c>
      <c r="B100" t="s">
        <v>1793</v>
      </c>
      <c r="C100" s="3">
        <v>19566225</v>
      </c>
      <c r="D100" s="12">
        <v>9900093</v>
      </c>
      <c r="E100" s="6">
        <v>531219</v>
      </c>
      <c r="F100" s="35">
        <v>48792</v>
      </c>
      <c r="G100" s="16">
        <v>9086121</v>
      </c>
      <c r="H100">
        <v>46.4</v>
      </c>
      <c r="I100">
        <v>2.7</v>
      </c>
      <c r="J100">
        <v>50.6</v>
      </c>
      <c r="K100">
        <v>0.2</v>
      </c>
    </row>
    <row r="101" spans="1:11">
      <c r="A101">
        <v>112</v>
      </c>
      <c r="B101" t="s">
        <v>1794</v>
      </c>
      <c r="C101" s="3">
        <v>7303075</v>
      </c>
      <c r="D101" s="12">
        <v>3225488</v>
      </c>
      <c r="E101" s="6">
        <v>190618</v>
      </c>
      <c r="F101" s="35">
        <v>24900</v>
      </c>
      <c r="G101" s="16">
        <v>3862069</v>
      </c>
      <c r="H101">
        <v>52.9</v>
      </c>
      <c r="I101">
        <v>2.6</v>
      </c>
      <c r="J101">
        <v>44.2</v>
      </c>
      <c r="K101">
        <v>0.3</v>
      </c>
    </row>
    <row r="102" spans="1:11">
      <c r="A102">
        <v>113</v>
      </c>
      <c r="B102" t="s">
        <v>1795</v>
      </c>
      <c r="C102" s="3">
        <v>15787235</v>
      </c>
      <c r="D102" s="12">
        <v>4998543</v>
      </c>
      <c r="E102" s="6">
        <v>341389</v>
      </c>
      <c r="F102" s="35">
        <v>6143</v>
      </c>
      <c r="G102" s="16">
        <v>10441160</v>
      </c>
      <c r="H102">
        <v>66.099999999999994</v>
      </c>
      <c r="I102">
        <v>2.2000000000000002</v>
      </c>
      <c r="J102">
        <v>31.7</v>
      </c>
      <c r="K102">
        <v>0</v>
      </c>
    </row>
    <row r="103" spans="1:11">
      <c r="A103">
        <v>114</v>
      </c>
      <c r="B103" t="s">
        <v>1796</v>
      </c>
      <c r="C103" s="3">
        <v>13372338</v>
      </c>
      <c r="D103" s="12">
        <v>7064497</v>
      </c>
      <c r="E103" s="6">
        <v>317578</v>
      </c>
      <c r="F103" s="35">
        <v>9676</v>
      </c>
      <c r="G103" s="16">
        <v>5980587</v>
      </c>
      <c r="H103">
        <v>44.7</v>
      </c>
      <c r="I103">
        <v>2.4</v>
      </c>
      <c r="J103">
        <v>52.8</v>
      </c>
      <c r="K103">
        <v>0.1</v>
      </c>
    </row>
    <row r="104" spans="1:11">
      <c r="A104">
        <v>116</v>
      </c>
      <c r="B104" t="s">
        <v>1797</v>
      </c>
      <c r="C104" s="3">
        <v>16696981</v>
      </c>
      <c r="D104" s="12">
        <v>9182112</v>
      </c>
      <c r="E104" s="6">
        <v>1444288</v>
      </c>
      <c r="F104" s="35">
        <v>178452</v>
      </c>
      <c r="G104" s="16">
        <v>5892129</v>
      </c>
      <c r="H104">
        <v>35.299999999999997</v>
      </c>
      <c r="I104">
        <v>8.6</v>
      </c>
      <c r="J104">
        <v>55</v>
      </c>
      <c r="K104">
        <v>1.1000000000000001</v>
      </c>
    </row>
    <row r="105" spans="1:11">
      <c r="A105">
        <v>117</v>
      </c>
      <c r="B105" t="s">
        <v>1798</v>
      </c>
      <c r="C105" s="3">
        <v>15671969</v>
      </c>
      <c r="D105" s="12">
        <v>536438</v>
      </c>
      <c r="E105" s="6">
        <v>235278</v>
      </c>
      <c r="F105" s="35">
        <v>5178</v>
      </c>
      <c r="G105" s="16">
        <v>14895075</v>
      </c>
      <c r="H105">
        <v>95</v>
      </c>
      <c r="I105">
        <v>1.5</v>
      </c>
      <c r="J105">
        <v>3.4</v>
      </c>
      <c r="K105">
        <v>0</v>
      </c>
    </row>
    <row r="106" spans="1:11">
      <c r="A106">
        <v>118</v>
      </c>
      <c r="B106" t="s">
        <v>1799</v>
      </c>
      <c r="C106" s="3">
        <v>67232423</v>
      </c>
      <c r="D106" s="12">
        <v>9877077</v>
      </c>
      <c r="E106" s="6">
        <v>788500</v>
      </c>
      <c r="F106" s="35">
        <v>104193</v>
      </c>
      <c r="G106" s="16">
        <v>56462653</v>
      </c>
      <c r="H106">
        <v>84</v>
      </c>
      <c r="I106">
        <v>1.2</v>
      </c>
      <c r="J106">
        <v>14.7</v>
      </c>
      <c r="K106">
        <v>0.2</v>
      </c>
    </row>
    <row r="107" spans="1:11">
      <c r="A107">
        <v>119</v>
      </c>
      <c r="B107" t="s">
        <v>1800</v>
      </c>
      <c r="C107" s="3">
        <v>24838477</v>
      </c>
      <c r="D107" s="12">
        <v>3065384</v>
      </c>
      <c r="E107" s="6">
        <v>460308</v>
      </c>
      <c r="F107" s="35">
        <v>28303</v>
      </c>
      <c r="G107" s="16">
        <v>21284482</v>
      </c>
      <c r="H107">
        <v>85.7</v>
      </c>
      <c r="I107">
        <v>1.9</v>
      </c>
      <c r="J107">
        <v>12.3</v>
      </c>
      <c r="K107">
        <v>0.1</v>
      </c>
    </row>
    <row r="108" spans="1:11">
      <c r="A108">
        <v>121</v>
      </c>
      <c r="B108" t="s">
        <v>1801</v>
      </c>
      <c r="C108" s="3">
        <v>8189120</v>
      </c>
      <c r="D108" s="12">
        <v>3235989</v>
      </c>
      <c r="E108" s="6">
        <v>113432</v>
      </c>
      <c r="F108" s="35">
        <v>22225</v>
      </c>
      <c r="G108" s="16">
        <v>4817474</v>
      </c>
      <c r="H108">
        <v>58.8</v>
      </c>
      <c r="I108">
        <v>1.4</v>
      </c>
      <c r="J108">
        <v>39.5</v>
      </c>
      <c r="K108">
        <v>0.3</v>
      </c>
    </row>
    <row r="109" spans="1:11">
      <c r="A109">
        <v>122</v>
      </c>
      <c r="B109" t="s">
        <v>1802</v>
      </c>
      <c r="C109" s="3">
        <v>4910080</v>
      </c>
      <c r="D109" s="12">
        <v>296652</v>
      </c>
      <c r="E109" s="6">
        <v>143331</v>
      </c>
      <c r="F109" s="35">
        <v>11703</v>
      </c>
      <c r="G109" s="16">
        <v>4458394</v>
      </c>
      <c r="H109">
        <v>90.8</v>
      </c>
      <c r="I109">
        <v>2.9</v>
      </c>
      <c r="J109">
        <v>6</v>
      </c>
      <c r="K109">
        <v>0.2</v>
      </c>
    </row>
    <row r="110" spans="1:11">
      <c r="A110">
        <v>123</v>
      </c>
      <c r="B110" t="s">
        <v>1803</v>
      </c>
      <c r="C110" s="3">
        <v>1817466</v>
      </c>
      <c r="D110" s="12">
        <v>935254</v>
      </c>
      <c r="E110" s="6">
        <v>16166</v>
      </c>
      <c r="F110" s="35">
        <v>19060</v>
      </c>
      <c r="G110" s="16">
        <v>846986</v>
      </c>
      <c r="H110">
        <v>46.6</v>
      </c>
      <c r="I110">
        <v>0.9</v>
      </c>
      <c r="J110">
        <v>51.5</v>
      </c>
      <c r="K110">
        <v>1</v>
      </c>
    </row>
    <row r="111" spans="1:11">
      <c r="A111">
        <v>124</v>
      </c>
      <c r="B111" t="s">
        <v>1804</v>
      </c>
      <c r="C111" s="3">
        <v>23705751</v>
      </c>
      <c r="D111" s="12">
        <v>8868922</v>
      </c>
      <c r="E111" s="6">
        <v>607126</v>
      </c>
      <c r="F111" s="35">
        <v>2398060</v>
      </c>
      <c r="G111" s="16">
        <v>11831643</v>
      </c>
      <c r="H111">
        <v>49.9</v>
      </c>
      <c r="I111">
        <v>2.6</v>
      </c>
      <c r="J111">
        <v>37.4</v>
      </c>
      <c r="K111">
        <v>10.1</v>
      </c>
    </row>
    <row r="112" spans="1:11">
      <c r="A112">
        <v>125</v>
      </c>
      <c r="B112" t="s">
        <v>1805</v>
      </c>
      <c r="C112" s="3">
        <v>3686896</v>
      </c>
      <c r="D112" s="12">
        <v>210580</v>
      </c>
      <c r="E112" s="6">
        <v>87636</v>
      </c>
      <c r="F112" s="35">
        <v>16959</v>
      </c>
      <c r="G112" s="16">
        <v>3371721</v>
      </c>
      <c r="H112">
        <v>91.5</v>
      </c>
      <c r="I112">
        <v>2.4</v>
      </c>
      <c r="J112">
        <v>5.7</v>
      </c>
      <c r="K112">
        <v>0.5</v>
      </c>
    </row>
    <row r="113" spans="1:11">
      <c r="A113">
        <v>126</v>
      </c>
      <c r="B113" t="s">
        <v>1806</v>
      </c>
      <c r="C113" s="3">
        <v>53968821</v>
      </c>
      <c r="D113" s="12">
        <v>5458611</v>
      </c>
      <c r="E113" s="6">
        <v>1457234</v>
      </c>
      <c r="F113" s="35">
        <v>944180</v>
      </c>
      <c r="G113" s="16">
        <v>46108796</v>
      </c>
      <c r="H113">
        <v>85.4</v>
      </c>
      <c r="I113">
        <v>2.7</v>
      </c>
      <c r="J113">
        <v>10.1</v>
      </c>
      <c r="K113">
        <v>1.7</v>
      </c>
    </row>
    <row r="114" spans="1:11">
      <c r="A114">
        <v>127</v>
      </c>
      <c r="B114" t="s">
        <v>1807</v>
      </c>
      <c r="C114" s="3">
        <v>6725307</v>
      </c>
      <c r="D114" s="12">
        <v>235808</v>
      </c>
      <c r="E114" s="6">
        <v>86868</v>
      </c>
      <c r="F114" s="35">
        <v>6485</v>
      </c>
      <c r="G114" s="16">
        <v>6396146</v>
      </c>
      <c r="H114">
        <v>95.1</v>
      </c>
      <c r="I114">
        <v>1.3</v>
      </c>
      <c r="J114">
        <v>3.5</v>
      </c>
      <c r="K114">
        <v>0.1</v>
      </c>
    </row>
    <row r="115" spans="1:11">
      <c r="A115">
        <v>128</v>
      </c>
      <c r="B115" t="s">
        <v>1808</v>
      </c>
      <c r="C115" s="3">
        <v>49396056</v>
      </c>
      <c r="D115" s="12">
        <v>3325489</v>
      </c>
      <c r="E115" s="6">
        <v>715103</v>
      </c>
      <c r="F115" s="35">
        <v>18944</v>
      </c>
      <c r="G115" s="16">
        <v>45336520</v>
      </c>
      <c r="H115">
        <v>91.8</v>
      </c>
      <c r="I115">
        <v>1.4</v>
      </c>
      <c r="J115">
        <v>6.7</v>
      </c>
      <c r="K115">
        <v>0</v>
      </c>
    </row>
    <row r="116" spans="1:11">
      <c r="A116">
        <v>129</v>
      </c>
      <c r="B116" t="s">
        <v>1809</v>
      </c>
      <c r="C116" s="3">
        <v>16767869</v>
      </c>
      <c r="D116" s="12">
        <v>5700257</v>
      </c>
      <c r="E116" s="6">
        <v>317058</v>
      </c>
      <c r="F116" s="35">
        <v>36910</v>
      </c>
      <c r="G116" s="16">
        <v>10713644</v>
      </c>
      <c r="H116">
        <v>63.9</v>
      </c>
      <c r="I116">
        <v>1.9</v>
      </c>
      <c r="J116">
        <v>34</v>
      </c>
      <c r="K116">
        <v>0.2</v>
      </c>
    </row>
    <row r="117" spans="1:11">
      <c r="A117">
        <v>131</v>
      </c>
      <c r="B117" t="s">
        <v>1810</v>
      </c>
      <c r="C117" s="3">
        <v>70170528</v>
      </c>
      <c r="D117" s="12">
        <v>23089856</v>
      </c>
      <c r="E117" s="6">
        <v>1602627</v>
      </c>
      <c r="F117" s="35">
        <v>1867981</v>
      </c>
      <c r="G117" s="16">
        <v>43610064</v>
      </c>
      <c r="H117">
        <v>62.1</v>
      </c>
      <c r="I117">
        <v>2.2999999999999998</v>
      </c>
      <c r="J117">
        <v>32.9</v>
      </c>
      <c r="K117">
        <v>2.7</v>
      </c>
    </row>
    <row r="118" spans="1:11">
      <c r="A118">
        <v>132</v>
      </c>
      <c r="B118" t="s">
        <v>1811</v>
      </c>
      <c r="C118" s="3">
        <v>49405319</v>
      </c>
      <c r="D118" s="12">
        <v>11412121</v>
      </c>
      <c r="E118" s="6">
        <v>567055</v>
      </c>
      <c r="F118" s="35">
        <v>121430</v>
      </c>
      <c r="G118" s="16">
        <v>37304713</v>
      </c>
      <c r="H118">
        <v>75.5</v>
      </c>
      <c r="I118">
        <v>1.1000000000000001</v>
      </c>
      <c r="J118">
        <v>23.1</v>
      </c>
      <c r="K118">
        <v>0.2</v>
      </c>
    </row>
    <row r="119" spans="1:11">
      <c r="A119">
        <v>133</v>
      </c>
      <c r="B119" t="s">
        <v>1812</v>
      </c>
      <c r="C119" s="3">
        <v>5537042</v>
      </c>
      <c r="D119" s="12">
        <v>2722786</v>
      </c>
      <c r="E119" s="6">
        <v>160445</v>
      </c>
      <c r="F119" s="35">
        <v>25000</v>
      </c>
      <c r="G119" s="16">
        <v>2628811</v>
      </c>
      <c r="H119">
        <v>47.5</v>
      </c>
      <c r="I119">
        <v>2.9</v>
      </c>
      <c r="J119">
        <v>49.2</v>
      </c>
      <c r="K119">
        <v>0.5</v>
      </c>
    </row>
    <row r="120" spans="1:11">
      <c r="A120">
        <v>134</v>
      </c>
      <c r="B120" t="s">
        <v>1813</v>
      </c>
      <c r="C120" s="3">
        <v>21494701</v>
      </c>
      <c r="D120" s="12">
        <v>10507012</v>
      </c>
      <c r="E120" s="6">
        <v>726350</v>
      </c>
      <c r="F120" s="35">
        <v>108357</v>
      </c>
      <c r="G120" s="16">
        <v>10152982</v>
      </c>
      <c r="H120">
        <v>47.2</v>
      </c>
      <c r="I120">
        <v>3.4</v>
      </c>
      <c r="J120">
        <v>48.9</v>
      </c>
      <c r="K120">
        <v>0.5</v>
      </c>
    </row>
    <row r="121" spans="1:11">
      <c r="A121">
        <v>135</v>
      </c>
      <c r="B121" t="s">
        <v>1814</v>
      </c>
      <c r="C121" s="3">
        <v>199616482</v>
      </c>
      <c r="D121" s="12">
        <v>19216057</v>
      </c>
      <c r="E121" s="6">
        <v>6771826</v>
      </c>
      <c r="F121" s="35">
        <v>549618</v>
      </c>
      <c r="G121" s="16">
        <v>173078981</v>
      </c>
      <c r="H121">
        <v>86.7</v>
      </c>
      <c r="I121">
        <v>3.4</v>
      </c>
      <c r="J121">
        <v>9.6</v>
      </c>
      <c r="K121">
        <v>0.3</v>
      </c>
    </row>
    <row r="122" spans="1:11">
      <c r="A122">
        <v>136</v>
      </c>
      <c r="B122" t="s">
        <v>1815</v>
      </c>
      <c r="C122" s="3">
        <v>5745107</v>
      </c>
      <c r="D122" s="12">
        <v>2978585</v>
      </c>
      <c r="E122" s="6">
        <v>161872</v>
      </c>
      <c r="F122" s="35">
        <v>0</v>
      </c>
      <c r="G122" s="16">
        <v>2604650</v>
      </c>
      <c r="H122">
        <v>45.3</v>
      </c>
      <c r="I122">
        <v>2.8</v>
      </c>
      <c r="J122">
        <v>51.8</v>
      </c>
      <c r="K122">
        <v>0</v>
      </c>
    </row>
    <row r="123" spans="1:11">
      <c r="A123">
        <v>137</v>
      </c>
      <c r="B123" t="s">
        <v>1816</v>
      </c>
      <c r="C123" s="3">
        <v>25768581</v>
      </c>
      <c r="D123" s="12">
        <v>3224820</v>
      </c>
      <c r="E123" s="6">
        <v>669452</v>
      </c>
      <c r="F123" s="35">
        <v>91572</v>
      </c>
      <c r="G123" s="16">
        <v>21782737</v>
      </c>
      <c r="H123">
        <v>84.5</v>
      </c>
      <c r="I123">
        <v>2.6</v>
      </c>
      <c r="J123">
        <v>12.5</v>
      </c>
      <c r="K123">
        <v>0.4</v>
      </c>
    </row>
    <row r="124" spans="1:11">
      <c r="A124">
        <v>138</v>
      </c>
      <c r="B124" t="s">
        <v>1817</v>
      </c>
      <c r="C124" s="3">
        <v>80449142</v>
      </c>
      <c r="D124" s="12">
        <v>18989721</v>
      </c>
      <c r="E124" s="6">
        <v>1733681</v>
      </c>
      <c r="F124" s="35">
        <v>5254</v>
      </c>
      <c r="G124" s="16">
        <v>59720486</v>
      </c>
      <c r="H124">
        <v>74.2</v>
      </c>
      <c r="I124">
        <v>2.2000000000000002</v>
      </c>
      <c r="J124">
        <v>23.6</v>
      </c>
      <c r="K124">
        <v>0</v>
      </c>
    </row>
    <row r="125" spans="1:11">
      <c r="A125">
        <v>139</v>
      </c>
      <c r="B125" t="s">
        <v>1818</v>
      </c>
      <c r="C125" s="3">
        <v>27263012</v>
      </c>
      <c r="D125" s="12">
        <v>8416287</v>
      </c>
      <c r="E125" s="6">
        <v>448337</v>
      </c>
      <c r="F125" s="35">
        <v>480625</v>
      </c>
      <c r="G125" s="16">
        <v>17917763</v>
      </c>
      <c r="H125">
        <v>65.7</v>
      </c>
      <c r="I125">
        <v>1.6</v>
      </c>
      <c r="J125">
        <v>30.9</v>
      </c>
      <c r="K125">
        <v>1.8</v>
      </c>
    </row>
    <row r="126" spans="1:11">
      <c r="A126">
        <v>140</v>
      </c>
      <c r="B126" t="s">
        <v>1819</v>
      </c>
      <c r="C126" s="3">
        <v>13059173</v>
      </c>
      <c r="D126" s="12">
        <v>5355202</v>
      </c>
      <c r="E126" s="6">
        <v>317318</v>
      </c>
      <c r="F126" s="35">
        <v>22418</v>
      </c>
      <c r="G126" s="16">
        <v>7364235</v>
      </c>
      <c r="H126">
        <v>56.4</v>
      </c>
      <c r="I126">
        <v>2.4</v>
      </c>
      <c r="J126">
        <v>41</v>
      </c>
      <c r="K126">
        <v>0.2</v>
      </c>
    </row>
    <row r="127" spans="1:11">
      <c r="A127">
        <v>141</v>
      </c>
      <c r="B127" t="s">
        <v>1820</v>
      </c>
      <c r="C127" s="3">
        <v>13488504</v>
      </c>
      <c r="D127" s="12">
        <v>7370210</v>
      </c>
      <c r="E127" s="6">
        <v>704400</v>
      </c>
      <c r="F127" s="35">
        <v>111846</v>
      </c>
      <c r="G127" s="16">
        <v>5302048</v>
      </c>
      <c r="H127">
        <v>39.299999999999997</v>
      </c>
      <c r="I127">
        <v>5.2</v>
      </c>
      <c r="J127">
        <v>54.6</v>
      </c>
      <c r="K127">
        <v>0.8</v>
      </c>
    </row>
    <row r="128" spans="1:11">
      <c r="A128">
        <v>142</v>
      </c>
      <c r="B128" t="s">
        <v>1821</v>
      </c>
      <c r="C128" s="3">
        <v>29826317</v>
      </c>
      <c r="D128" s="12">
        <v>12210370</v>
      </c>
      <c r="E128" s="6">
        <v>467418</v>
      </c>
      <c r="F128" s="35">
        <v>52667</v>
      </c>
      <c r="G128" s="16">
        <v>17095862</v>
      </c>
      <c r="H128">
        <v>57.3</v>
      </c>
      <c r="I128">
        <v>1.6</v>
      </c>
      <c r="J128">
        <v>40.9</v>
      </c>
      <c r="K128">
        <v>0.2</v>
      </c>
    </row>
    <row r="129" spans="1:11">
      <c r="A129">
        <v>143</v>
      </c>
      <c r="B129" t="s">
        <v>1822</v>
      </c>
      <c r="C129" s="3">
        <v>53380570</v>
      </c>
      <c r="D129" s="12">
        <v>24426734</v>
      </c>
      <c r="E129" s="6">
        <v>1658930</v>
      </c>
      <c r="F129" s="35">
        <v>168336</v>
      </c>
      <c r="G129" s="16">
        <v>27126570</v>
      </c>
      <c r="H129">
        <v>50.8</v>
      </c>
      <c r="I129">
        <v>3.1</v>
      </c>
      <c r="J129">
        <v>45.8</v>
      </c>
      <c r="K129">
        <v>0.3</v>
      </c>
    </row>
    <row r="130" spans="1:11">
      <c r="A130">
        <v>144</v>
      </c>
      <c r="B130" t="s">
        <v>1823</v>
      </c>
      <c r="C130" s="3">
        <v>67919800</v>
      </c>
      <c r="D130" s="12">
        <v>7580611</v>
      </c>
      <c r="E130" s="6">
        <v>1059065</v>
      </c>
      <c r="F130" s="35">
        <v>991337</v>
      </c>
      <c r="G130" s="16">
        <v>58288787</v>
      </c>
      <c r="H130">
        <v>85.8</v>
      </c>
      <c r="I130">
        <v>1.6</v>
      </c>
      <c r="J130">
        <v>11.2</v>
      </c>
      <c r="K130">
        <v>1.5</v>
      </c>
    </row>
    <row r="131" spans="1:11">
      <c r="A131">
        <v>145</v>
      </c>
      <c r="B131" t="s">
        <v>1824</v>
      </c>
      <c r="C131" s="3">
        <v>988998</v>
      </c>
      <c r="D131" s="12">
        <v>279943</v>
      </c>
      <c r="E131" s="6">
        <v>24791</v>
      </c>
      <c r="F131" s="35">
        <v>2614</v>
      </c>
      <c r="G131" s="16">
        <v>681650</v>
      </c>
      <c r="H131">
        <v>68.900000000000006</v>
      </c>
      <c r="I131">
        <v>2.5</v>
      </c>
      <c r="J131">
        <v>28.3</v>
      </c>
      <c r="K131">
        <v>0.3</v>
      </c>
    </row>
    <row r="132" spans="1:11">
      <c r="A132">
        <v>146</v>
      </c>
      <c r="B132" t="s">
        <v>1825</v>
      </c>
      <c r="C132" s="3">
        <v>41874724</v>
      </c>
      <c r="D132" s="12">
        <v>17230857</v>
      </c>
      <c r="E132" s="6">
        <v>1536651</v>
      </c>
      <c r="F132" s="35">
        <v>623787</v>
      </c>
      <c r="G132" s="16">
        <v>22483429</v>
      </c>
      <c r="H132">
        <v>53.7</v>
      </c>
      <c r="I132">
        <v>3.7</v>
      </c>
      <c r="J132">
        <v>41.1</v>
      </c>
      <c r="K132">
        <v>1.5</v>
      </c>
    </row>
    <row r="133" spans="1:11">
      <c r="A133">
        <v>147</v>
      </c>
      <c r="B133" t="s">
        <v>1826</v>
      </c>
      <c r="C133" s="3">
        <v>5459847</v>
      </c>
      <c r="D133" s="12">
        <v>2755102</v>
      </c>
      <c r="E133" s="6">
        <v>116856</v>
      </c>
      <c r="F133" s="35">
        <v>4050</v>
      </c>
      <c r="G133" s="16">
        <v>2583839</v>
      </c>
      <c r="H133">
        <v>47.3</v>
      </c>
      <c r="I133">
        <v>2.1</v>
      </c>
      <c r="J133">
        <v>50.5</v>
      </c>
      <c r="K133">
        <v>0.1</v>
      </c>
    </row>
    <row r="134" spans="1:11">
      <c r="A134">
        <v>148</v>
      </c>
      <c r="B134" t="s">
        <v>1827</v>
      </c>
      <c r="C134" s="3">
        <v>69851661</v>
      </c>
      <c r="D134" s="12">
        <v>23376593</v>
      </c>
      <c r="E134" s="6">
        <v>1274783</v>
      </c>
      <c r="F134" s="35">
        <v>999131</v>
      </c>
      <c r="G134" s="16">
        <v>44201154</v>
      </c>
      <c r="H134">
        <v>63.3</v>
      </c>
      <c r="I134">
        <v>1.8</v>
      </c>
      <c r="J134">
        <v>33.5</v>
      </c>
      <c r="K134">
        <v>1.4</v>
      </c>
    </row>
    <row r="135" spans="1:11">
      <c r="A135">
        <v>151</v>
      </c>
      <c r="B135" t="s">
        <v>1611</v>
      </c>
      <c r="C135" s="3">
        <v>190123853</v>
      </c>
      <c r="D135" s="12">
        <v>108481950</v>
      </c>
      <c r="E135" s="6">
        <v>16922196</v>
      </c>
      <c r="F135" s="35">
        <v>704518</v>
      </c>
      <c r="G135" s="16">
        <v>64015189</v>
      </c>
      <c r="H135">
        <v>33.700000000000003</v>
      </c>
      <c r="I135">
        <v>8.9</v>
      </c>
      <c r="J135">
        <v>57.1</v>
      </c>
      <c r="K135">
        <v>0.4</v>
      </c>
    </row>
    <row r="136" spans="1:11">
      <c r="A136">
        <v>152</v>
      </c>
      <c r="B136" t="s">
        <v>1612</v>
      </c>
      <c r="C136" s="3">
        <v>35538369</v>
      </c>
      <c r="D136" s="12">
        <v>1481048</v>
      </c>
      <c r="E136" s="6">
        <v>738853</v>
      </c>
      <c r="F136" s="35">
        <v>135448</v>
      </c>
      <c r="G136" s="16">
        <v>33183020</v>
      </c>
      <c r="H136">
        <v>93.4</v>
      </c>
      <c r="I136">
        <v>2.1</v>
      </c>
      <c r="J136">
        <v>4.2</v>
      </c>
      <c r="K136">
        <v>0.4</v>
      </c>
    </row>
    <row r="137" spans="1:11">
      <c r="A137">
        <v>153</v>
      </c>
      <c r="B137" t="s">
        <v>1613</v>
      </c>
      <c r="C137" s="3">
        <v>32080149</v>
      </c>
      <c r="D137" s="12">
        <v>12226366</v>
      </c>
      <c r="E137" s="6">
        <v>767626</v>
      </c>
      <c r="F137" s="35">
        <v>162643</v>
      </c>
      <c r="G137" s="16">
        <v>18923514</v>
      </c>
      <c r="H137">
        <v>59</v>
      </c>
      <c r="I137">
        <v>2.4</v>
      </c>
      <c r="J137">
        <v>38.1</v>
      </c>
      <c r="K137">
        <v>0.5</v>
      </c>
    </row>
    <row r="138" spans="1:11">
      <c r="A138">
        <v>154</v>
      </c>
      <c r="B138" t="s">
        <v>1614</v>
      </c>
      <c r="C138" s="3">
        <v>12113313</v>
      </c>
      <c r="D138" s="12">
        <v>1012885</v>
      </c>
      <c r="E138" s="6">
        <v>197228</v>
      </c>
      <c r="F138" s="35">
        <v>0</v>
      </c>
      <c r="G138" s="16">
        <v>10903200</v>
      </c>
      <c r="H138">
        <v>90</v>
      </c>
      <c r="I138">
        <v>1.6</v>
      </c>
      <c r="J138">
        <v>8.4</v>
      </c>
      <c r="K138">
        <v>0</v>
      </c>
    </row>
    <row r="139" spans="1:11">
      <c r="A139">
        <v>155</v>
      </c>
      <c r="B139" t="s">
        <v>1615</v>
      </c>
      <c r="C139" s="3">
        <v>103434932</v>
      </c>
      <c r="D139" s="12">
        <v>13716291</v>
      </c>
      <c r="E139" s="6">
        <v>2259466</v>
      </c>
      <c r="F139" s="35">
        <v>249783</v>
      </c>
      <c r="G139" s="16">
        <v>87209392</v>
      </c>
      <c r="H139">
        <v>84.3</v>
      </c>
      <c r="I139">
        <v>2.2000000000000002</v>
      </c>
      <c r="J139">
        <v>13.3</v>
      </c>
      <c r="K139">
        <v>0.2</v>
      </c>
    </row>
    <row r="140" spans="1:11">
      <c r="A140">
        <v>156</v>
      </c>
      <c r="B140" t="s">
        <v>1616</v>
      </c>
      <c r="C140" s="3">
        <v>77767523</v>
      </c>
      <c r="D140" s="12">
        <v>42645623</v>
      </c>
      <c r="E140" s="6">
        <v>2164051</v>
      </c>
      <c r="F140" s="35">
        <v>280379</v>
      </c>
      <c r="G140" s="16">
        <v>32677470</v>
      </c>
      <c r="H140">
        <v>42</v>
      </c>
      <c r="I140">
        <v>2.8</v>
      </c>
      <c r="J140">
        <v>54.8</v>
      </c>
      <c r="K140">
        <v>0.4</v>
      </c>
    </row>
    <row r="141" spans="1:11">
      <c r="A141">
        <v>157</v>
      </c>
      <c r="B141" t="s">
        <v>1617</v>
      </c>
      <c r="C141" s="3">
        <v>34190215</v>
      </c>
      <c r="D141" s="12">
        <v>1397798</v>
      </c>
      <c r="E141" s="6">
        <v>358326</v>
      </c>
      <c r="F141" s="35">
        <v>169544</v>
      </c>
      <c r="G141" s="16">
        <v>32264547</v>
      </c>
      <c r="H141">
        <v>94.4</v>
      </c>
      <c r="I141">
        <v>1</v>
      </c>
      <c r="J141">
        <v>4.0999999999999996</v>
      </c>
      <c r="K141">
        <v>0.5</v>
      </c>
    </row>
    <row r="142" spans="1:11">
      <c r="A142">
        <v>158</v>
      </c>
      <c r="B142" t="s">
        <v>1618</v>
      </c>
      <c r="C142" s="3">
        <v>78354302</v>
      </c>
      <c r="D142" s="12">
        <v>3191604</v>
      </c>
      <c r="E142" s="6">
        <v>1046801</v>
      </c>
      <c r="F142" s="35">
        <v>933123</v>
      </c>
      <c r="G142" s="16">
        <v>73182774</v>
      </c>
      <c r="H142">
        <v>93.4</v>
      </c>
      <c r="I142">
        <v>1.3</v>
      </c>
      <c r="J142">
        <v>4.0999999999999996</v>
      </c>
      <c r="K142">
        <v>1.2</v>
      </c>
    </row>
    <row r="143" spans="1:11">
      <c r="A143">
        <v>159</v>
      </c>
      <c r="B143" t="s">
        <v>1619</v>
      </c>
      <c r="C143" s="3">
        <v>37889175</v>
      </c>
      <c r="D143" s="12">
        <v>6845190</v>
      </c>
      <c r="E143" s="6">
        <v>652173</v>
      </c>
      <c r="F143" s="35">
        <v>37664</v>
      </c>
      <c r="G143" s="16">
        <v>30354148</v>
      </c>
      <c r="H143">
        <v>80.099999999999994</v>
      </c>
      <c r="I143">
        <v>1.7</v>
      </c>
      <c r="J143">
        <v>18.100000000000001</v>
      </c>
      <c r="K143">
        <v>0.1</v>
      </c>
    </row>
    <row r="144" spans="1:11">
      <c r="A144">
        <v>160</v>
      </c>
      <c r="B144" t="s">
        <v>1620</v>
      </c>
      <c r="C144" s="3">
        <v>6619948</v>
      </c>
      <c r="D144" s="12">
        <v>2450476</v>
      </c>
      <c r="E144" s="6">
        <v>214285</v>
      </c>
      <c r="F144" s="35">
        <v>0</v>
      </c>
      <c r="G144" s="16">
        <v>3955187</v>
      </c>
      <c r="H144">
        <v>59.7</v>
      </c>
      <c r="I144">
        <v>3.2</v>
      </c>
      <c r="J144">
        <v>37</v>
      </c>
      <c r="K144">
        <v>0</v>
      </c>
    </row>
    <row r="145" spans="1:11">
      <c r="A145">
        <v>161</v>
      </c>
      <c r="B145" t="s">
        <v>1621</v>
      </c>
      <c r="C145" s="3">
        <v>53496651</v>
      </c>
      <c r="D145" s="12">
        <v>2387717</v>
      </c>
      <c r="E145" s="6">
        <v>741565</v>
      </c>
      <c r="F145" s="35">
        <v>211972</v>
      </c>
      <c r="G145" s="16">
        <v>50155397</v>
      </c>
      <c r="H145">
        <v>93.8</v>
      </c>
      <c r="I145">
        <v>1.4</v>
      </c>
      <c r="J145">
        <v>4.5</v>
      </c>
      <c r="K145">
        <v>0.4</v>
      </c>
    </row>
    <row r="146" spans="1:11">
      <c r="A146">
        <v>162</v>
      </c>
      <c r="B146" t="s">
        <v>1622</v>
      </c>
      <c r="C146" s="3">
        <v>17988079</v>
      </c>
      <c r="D146" s="12">
        <v>7150819</v>
      </c>
      <c r="E146" s="6">
        <v>529229</v>
      </c>
      <c r="F146" s="35">
        <v>33430</v>
      </c>
      <c r="G146" s="16">
        <v>10274601</v>
      </c>
      <c r="H146">
        <v>57.1</v>
      </c>
      <c r="I146">
        <v>2.9</v>
      </c>
      <c r="J146">
        <v>39.799999999999997</v>
      </c>
      <c r="K146">
        <v>0.2</v>
      </c>
    </row>
    <row r="147" spans="1:11">
      <c r="A147">
        <v>163</v>
      </c>
      <c r="B147" t="s">
        <v>1623</v>
      </c>
      <c r="C147" s="3">
        <v>44800181</v>
      </c>
      <c r="D147" s="12">
        <v>25744558</v>
      </c>
      <c r="E147" s="6">
        <v>5863873</v>
      </c>
      <c r="F147" s="35">
        <v>1579819</v>
      </c>
      <c r="G147" s="16">
        <v>11611931</v>
      </c>
      <c r="H147">
        <v>25.9</v>
      </c>
      <c r="I147">
        <v>13.1</v>
      </c>
      <c r="J147">
        <v>57.5</v>
      </c>
      <c r="K147">
        <v>3.5</v>
      </c>
    </row>
    <row r="148" spans="1:11">
      <c r="A148">
        <v>164</v>
      </c>
      <c r="B148" t="s">
        <v>1624</v>
      </c>
      <c r="C148" s="3">
        <v>54341435</v>
      </c>
      <c r="D148" s="12">
        <v>13500111</v>
      </c>
      <c r="E148" s="6">
        <v>906578</v>
      </c>
      <c r="F148" s="35">
        <v>153398</v>
      </c>
      <c r="G148" s="16">
        <v>39781348</v>
      </c>
      <c r="H148">
        <v>73.2</v>
      </c>
      <c r="I148">
        <v>1.7</v>
      </c>
      <c r="J148">
        <v>24.8</v>
      </c>
      <c r="K148">
        <v>0.3</v>
      </c>
    </row>
    <row r="149" spans="1:11">
      <c r="A149">
        <v>165</v>
      </c>
      <c r="B149" t="s">
        <v>1625</v>
      </c>
      <c r="C149" s="3">
        <v>22855946</v>
      </c>
      <c r="D149" s="12">
        <v>3464637</v>
      </c>
      <c r="E149" s="6">
        <v>381833</v>
      </c>
      <c r="F149" s="35">
        <v>111176</v>
      </c>
      <c r="G149" s="16">
        <v>18898300</v>
      </c>
      <c r="H149">
        <v>82.7</v>
      </c>
      <c r="I149">
        <v>1.7</v>
      </c>
      <c r="J149">
        <v>15.2</v>
      </c>
      <c r="K149">
        <v>0.5</v>
      </c>
    </row>
    <row r="150" spans="1:11">
      <c r="A150">
        <v>166</v>
      </c>
      <c r="B150" t="s">
        <v>1626</v>
      </c>
      <c r="C150" s="3">
        <v>28038115</v>
      </c>
      <c r="D150" s="12">
        <v>12640444</v>
      </c>
      <c r="E150" s="6">
        <v>430548</v>
      </c>
      <c r="F150" s="35">
        <v>480102</v>
      </c>
      <c r="G150" s="16">
        <v>14487021</v>
      </c>
      <c r="H150">
        <v>51.7</v>
      </c>
      <c r="I150">
        <v>1.5</v>
      </c>
      <c r="J150">
        <v>45.1</v>
      </c>
      <c r="K150">
        <v>1.7</v>
      </c>
    </row>
    <row r="151" spans="1:11">
      <c r="A151">
        <v>167</v>
      </c>
      <c r="B151" t="s">
        <v>1627</v>
      </c>
      <c r="C151" s="3">
        <v>10376580</v>
      </c>
      <c r="D151" s="12">
        <v>670776</v>
      </c>
      <c r="E151" s="6">
        <v>144534</v>
      </c>
      <c r="F151" s="35">
        <v>8528</v>
      </c>
      <c r="G151" s="16">
        <v>9552742</v>
      </c>
      <c r="H151">
        <v>92.1</v>
      </c>
      <c r="I151">
        <v>1.4</v>
      </c>
      <c r="J151">
        <v>6.5</v>
      </c>
      <c r="K151">
        <v>0.1</v>
      </c>
    </row>
    <row r="152" spans="1:11">
      <c r="A152">
        <v>169</v>
      </c>
      <c r="B152" t="s">
        <v>1628</v>
      </c>
      <c r="C152" s="3">
        <v>12962079</v>
      </c>
      <c r="D152" s="12">
        <v>5040771</v>
      </c>
      <c r="E152" s="6">
        <v>289106</v>
      </c>
      <c r="F152" s="35">
        <v>28061</v>
      </c>
      <c r="G152" s="16">
        <v>7604141</v>
      </c>
      <c r="H152">
        <v>58.7</v>
      </c>
      <c r="I152">
        <v>2.2000000000000002</v>
      </c>
      <c r="J152">
        <v>38.9</v>
      </c>
      <c r="K152">
        <v>0.2</v>
      </c>
    </row>
    <row r="153" spans="1:11">
      <c r="A153">
        <v>201</v>
      </c>
      <c r="B153" t="s">
        <v>1629</v>
      </c>
      <c r="C153" s="3">
        <v>7781652</v>
      </c>
      <c r="D153" s="12">
        <v>955032</v>
      </c>
      <c r="E153" s="6">
        <v>202351</v>
      </c>
      <c r="F153" s="35">
        <v>8439</v>
      </c>
      <c r="G153" s="16">
        <v>6615830</v>
      </c>
      <c r="H153">
        <v>85</v>
      </c>
      <c r="I153">
        <v>2.6</v>
      </c>
      <c r="J153">
        <v>12.3</v>
      </c>
      <c r="K153">
        <v>0.1</v>
      </c>
    </row>
    <row r="154" spans="1:11">
      <c r="A154">
        <v>204</v>
      </c>
      <c r="B154" t="s">
        <v>1630</v>
      </c>
      <c r="C154" s="3">
        <v>12165956</v>
      </c>
      <c r="D154" s="12">
        <v>1288240</v>
      </c>
      <c r="E154" s="6">
        <v>152482</v>
      </c>
      <c r="F154" s="35">
        <v>0</v>
      </c>
      <c r="G154" s="16">
        <v>10725234</v>
      </c>
      <c r="H154">
        <v>88.2</v>
      </c>
      <c r="I154">
        <v>1.3</v>
      </c>
      <c r="J154">
        <v>10.6</v>
      </c>
      <c r="K154">
        <v>0</v>
      </c>
    </row>
    <row r="155" spans="1:11">
      <c r="A155">
        <v>205</v>
      </c>
      <c r="B155" t="s">
        <v>1631</v>
      </c>
      <c r="C155" s="3">
        <v>31192639</v>
      </c>
      <c r="D155" s="12">
        <v>2863400</v>
      </c>
      <c r="E155" s="6">
        <v>360804</v>
      </c>
      <c r="F155" s="35">
        <v>26944</v>
      </c>
      <c r="G155" s="16">
        <v>27941491</v>
      </c>
      <c r="H155">
        <v>89.6</v>
      </c>
      <c r="I155">
        <v>1.2</v>
      </c>
      <c r="J155">
        <v>9.1999999999999993</v>
      </c>
      <c r="K155">
        <v>0.1</v>
      </c>
    </row>
    <row r="156" spans="1:11">
      <c r="A156">
        <v>206</v>
      </c>
      <c r="B156" t="s">
        <v>1632</v>
      </c>
      <c r="C156" s="3">
        <v>14046870</v>
      </c>
      <c r="D156" s="12">
        <v>2138304</v>
      </c>
      <c r="E156" s="6">
        <v>296102</v>
      </c>
      <c r="F156" s="35">
        <v>509470</v>
      </c>
      <c r="G156" s="16">
        <v>11102994</v>
      </c>
      <c r="H156">
        <v>79</v>
      </c>
      <c r="I156">
        <v>2.1</v>
      </c>
      <c r="J156">
        <v>15.2</v>
      </c>
      <c r="K156">
        <v>3.6</v>
      </c>
    </row>
    <row r="157" spans="1:11">
      <c r="A157">
        <v>207</v>
      </c>
      <c r="B157" t="s">
        <v>1633</v>
      </c>
      <c r="C157" s="3">
        <v>14554732</v>
      </c>
      <c r="D157" s="12">
        <v>2627231</v>
      </c>
      <c r="E157" s="6">
        <v>274406</v>
      </c>
      <c r="F157" s="35">
        <v>494201</v>
      </c>
      <c r="G157" s="16">
        <v>11158894</v>
      </c>
      <c r="H157">
        <v>76.7</v>
      </c>
      <c r="I157">
        <v>1.9</v>
      </c>
      <c r="J157">
        <v>18.100000000000001</v>
      </c>
      <c r="K157">
        <v>3.4</v>
      </c>
    </row>
    <row r="158" spans="1:11">
      <c r="A158">
        <v>208</v>
      </c>
      <c r="B158" t="s">
        <v>1634</v>
      </c>
      <c r="C158" s="3">
        <v>28199426</v>
      </c>
      <c r="D158" s="12">
        <v>16744517</v>
      </c>
      <c r="E158" s="6">
        <v>273606</v>
      </c>
      <c r="F158" s="35">
        <v>31207</v>
      </c>
      <c r="G158" s="16">
        <v>11150096</v>
      </c>
      <c r="H158">
        <v>39.5</v>
      </c>
      <c r="I158">
        <v>1</v>
      </c>
      <c r="J158">
        <v>59.4</v>
      </c>
      <c r="K158">
        <v>0.1</v>
      </c>
    </row>
    <row r="159" spans="1:11">
      <c r="A159">
        <v>209</v>
      </c>
      <c r="B159" t="s">
        <v>1635</v>
      </c>
      <c r="C159" s="3">
        <v>18635581</v>
      </c>
      <c r="D159" s="12">
        <v>5069585</v>
      </c>
      <c r="E159" s="6">
        <v>247794</v>
      </c>
      <c r="F159" s="35">
        <v>4888</v>
      </c>
      <c r="G159" s="16">
        <v>13313314</v>
      </c>
      <c r="H159">
        <v>71.400000000000006</v>
      </c>
      <c r="I159">
        <v>1.3</v>
      </c>
      <c r="J159">
        <v>27.2</v>
      </c>
      <c r="K159">
        <v>0</v>
      </c>
    </row>
    <row r="160" spans="1:11">
      <c r="A160">
        <v>210</v>
      </c>
      <c r="B160" t="s">
        <v>1636</v>
      </c>
      <c r="C160" s="3">
        <v>26310540</v>
      </c>
      <c r="D160" s="12">
        <v>7520453</v>
      </c>
      <c r="E160" s="6">
        <v>317921</v>
      </c>
      <c r="F160" s="35">
        <v>6850</v>
      </c>
      <c r="G160" s="16">
        <v>18465316</v>
      </c>
      <c r="H160">
        <v>70.2</v>
      </c>
      <c r="I160">
        <v>1.2</v>
      </c>
      <c r="J160">
        <v>28.6</v>
      </c>
      <c r="K160">
        <v>0</v>
      </c>
    </row>
    <row r="161" spans="1:11">
      <c r="A161">
        <v>211</v>
      </c>
      <c r="B161" t="s">
        <v>1637</v>
      </c>
      <c r="C161" s="3">
        <v>5557645</v>
      </c>
      <c r="D161" s="12">
        <v>1887418</v>
      </c>
      <c r="E161" s="6">
        <v>116441</v>
      </c>
      <c r="F161" s="35">
        <v>49533</v>
      </c>
      <c r="G161" s="16">
        <v>3504253</v>
      </c>
      <c r="H161">
        <v>63.1</v>
      </c>
      <c r="I161">
        <v>2.1</v>
      </c>
      <c r="J161">
        <v>34</v>
      </c>
      <c r="K161">
        <v>0.9</v>
      </c>
    </row>
    <row r="162" spans="1:11">
      <c r="A162">
        <v>212</v>
      </c>
      <c r="B162" t="s">
        <v>1638</v>
      </c>
      <c r="C162" s="3">
        <v>16151015</v>
      </c>
      <c r="D162" s="12">
        <v>695135</v>
      </c>
      <c r="E162" s="6">
        <v>317059</v>
      </c>
      <c r="F162" s="35">
        <v>328200</v>
      </c>
      <c r="G162" s="16">
        <v>14810621</v>
      </c>
      <c r="H162">
        <v>91.7</v>
      </c>
      <c r="I162">
        <v>2</v>
      </c>
      <c r="J162">
        <v>4.3</v>
      </c>
      <c r="K162">
        <v>2</v>
      </c>
    </row>
    <row r="163" spans="1:11">
      <c r="A163">
        <v>213</v>
      </c>
      <c r="B163" t="s">
        <v>1639</v>
      </c>
      <c r="C163" s="3">
        <v>34937989</v>
      </c>
      <c r="D163" s="12">
        <v>16400820</v>
      </c>
      <c r="E163" s="6">
        <v>467832</v>
      </c>
      <c r="F163" s="35">
        <v>34354</v>
      </c>
      <c r="G163" s="16">
        <v>18034983</v>
      </c>
      <c r="H163">
        <v>51.6</v>
      </c>
      <c r="I163">
        <v>1.3</v>
      </c>
      <c r="J163">
        <v>46.9</v>
      </c>
      <c r="K163">
        <v>0.1</v>
      </c>
    </row>
    <row r="164" spans="1:11">
      <c r="A164">
        <v>214</v>
      </c>
      <c r="B164" t="s">
        <v>1640</v>
      </c>
      <c r="C164" s="3">
        <v>23688857</v>
      </c>
      <c r="D164" s="12">
        <v>3400645</v>
      </c>
      <c r="E164" s="6">
        <v>577451</v>
      </c>
      <c r="F164" s="35">
        <v>1154007</v>
      </c>
      <c r="G164" s="16">
        <v>18556754</v>
      </c>
      <c r="H164">
        <v>78.3</v>
      </c>
      <c r="I164">
        <v>2.4</v>
      </c>
      <c r="J164">
        <v>14.4</v>
      </c>
      <c r="K164">
        <v>4.9000000000000004</v>
      </c>
    </row>
    <row r="165" spans="1:11">
      <c r="A165">
        <v>215</v>
      </c>
      <c r="B165" t="s">
        <v>1641</v>
      </c>
      <c r="C165" s="3">
        <v>51502213</v>
      </c>
      <c r="D165" s="12">
        <v>7639406</v>
      </c>
      <c r="E165" s="6">
        <v>672385</v>
      </c>
      <c r="F165" s="35">
        <v>220706</v>
      </c>
      <c r="G165" s="16">
        <v>42969716</v>
      </c>
      <c r="H165">
        <v>83.4</v>
      </c>
      <c r="I165">
        <v>1.3</v>
      </c>
      <c r="J165">
        <v>14.8</v>
      </c>
      <c r="K165">
        <v>0.4</v>
      </c>
    </row>
    <row r="166" spans="1:11">
      <c r="A166">
        <v>216</v>
      </c>
      <c r="B166" t="s">
        <v>1642</v>
      </c>
      <c r="C166" s="3">
        <v>27902048</v>
      </c>
      <c r="D166" s="12">
        <v>11095748</v>
      </c>
      <c r="E166" s="6">
        <v>299668</v>
      </c>
      <c r="F166" s="35">
        <v>14721</v>
      </c>
      <c r="G166" s="16">
        <v>16491911</v>
      </c>
      <c r="H166">
        <v>59.1</v>
      </c>
      <c r="I166">
        <v>1.1000000000000001</v>
      </c>
      <c r="J166">
        <v>39.799999999999997</v>
      </c>
      <c r="K166">
        <v>0.1</v>
      </c>
    </row>
    <row r="167" spans="1:11">
      <c r="A167">
        <v>217</v>
      </c>
      <c r="B167" t="s">
        <v>1643</v>
      </c>
      <c r="C167" s="3">
        <v>25676892</v>
      </c>
      <c r="D167" s="12">
        <v>3437359</v>
      </c>
      <c r="E167" s="6">
        <v>446897</v>
      </c>
      <c r="F167" s="35">
        <v>16960</v>
      </c>
      <c r="G167" s="16">
        <v>21775676</v>
      </c>
      <c r="H167">
        <v>84.8</v>
      </c>
      <c r="I167">
        <v>1.7</v>
      </c>
      <c r="J167">
        <v>13.4</v>
      </c>
      <c r="K167">
        <v>0.1</v>
      </c>
    </row>
    <row r="168" spans="1:11">
      <c r="A168">
        <v>218</v>
      </c>
      <c r="B168" t="s">
        <v>1644</v>
      </c>
      <c r="C168" s="3">
        <v>22865434</v>
      </c>
      <c r="D168" s="12">
        <v>2797717</v>
      </c>
      <c r="E168" s="6">
        <v>191982</v>
      </c>
      <c r="F168" s="35">
        <v>54841</v>
      </c>
      <c r="G168" s="16">
        <v>19820894</v>
      </c>
      <c r="H168">
        <v>86.7</v>
      </c>
      <c r="I168">
        <v>0.8</v>
      </c>
      <c r="J168">
        <v>12.2</v>
      </c>
      <c r="K168">
        <v>0.2</v>
      </c>
    </row>
    <row r="169" spans="1:11">
      <c r="A169">
        <v>219</v>
      </c>
      <c r="B169" t="s">
        <v>1645</v>
      </c>
      <c r="C169" s="3">
        <v>16188640</v>
      </c>
      <c r="D169" s="12">
        <v>7424797</v>
      </c>
      <c r="E169" s="6">
        <v>272741</v>
      </c>
      <c r="F169" s="35">
        <v>499402</v>
      </c>
      <c r="G169" s="16">
        <v>7991700</v>
      </c>
      <c r="H169">
        <v>49.4</v>
      </c>
      <c r="I169">
        <v>1.7</v>
      </c>
      <c r="J169">
        <v>45.9</v>
      </c>
      <c r="K169">
        <v>3.1</v>
      </c>
    </row>
    <row r="170" spans="1:11">
      <c r="B170" s="48" t="s">
        <v>449</v>
      </c>
      <c r="D170" s="12">
        <f>SUM(D4:D169)</f>
        <v>2145319330</v>
      </c>
      <c r="E170" s="6">
        <f>SUM(E4:E169)</f>
        <v>260460171</v>
      </c>
      <c r="F170" s="35">
        <f>SUM(F4:F169)</f>
        <v>57165179</v>
      </c>
      <c r="G170" s="16">
        <f>SUM(G4:G169)</f>
        <v>3915369154</v>
      </c>
    </row>
    <row r="171" spans="1:11">
      <c r="C171" s="52" t="s">
        <v>448</v>
      </c>
      <c r="D171" s="12">
        <f>'FY03 ST Fed Grants'!F182</f>
        <v>16068137</v>
      </c>
      <c r="E171" s="6">
        <f>'FY03 ST Fed Grants'!F30</f>
        <v>6041447</v>
      </c>
    </row>
    <row r="172" spans="1:11">
      <c r="C172" s="52" t="s">
        <v>447</v>
      </c>
      <c r="D172" s="12">
        <f>'FY03 ST Fed Grants'!F426</f>
        <v>63045485</v>
      </c>
      <c r="E172" s="6">
        <f>'FY03 ST Fed Grants'!F341</f>
        <v>6232649</v>
      </c>
    </row>
    <row r="173" spans="1:11">
      <c r="B173" s="48" t="s">
        <v>1543</v>
      </c>
      <c r="D173" s="12">
        <f>D170-(D171+D172)</f>
        <v>2066205708</v>
      </c>
      <c r="E173" s="6">
        <f>E170-(E171+E172)</f>
        <v>248186075</v>
      </c>
      <c r="F173" s="35">
        <f>F170-(F171+F172)</f>
        <v>57165179</v>
      </c>
      <c r="G173" s="16">
        <f>G170-(G171+G172)</f>
        <v>3915369154</v>
      </c>
      <c r="H173" s="3">
        <f>SUM(D173:G173)</f>
        <v>6286926116</v>
      </c>
    </row>
    <row r="174" spans="1:11">
      <c r="B174" s="48" t="s">
        <v>1544</v>
      </c>
      <c r="C174" s="3">
        <v>544263</v>
      </c>
      <c r="D174" s="18">
        <f>D173/C174</f>
        <v>3796.3368959492009</v>
      </c>
      <c r="E174" s="18">
        <f>E173/C174</f>
        <v>456.00394478404741</v>
      </c>
      <c r="F174" s="18">
        <f>F173/C174</f>
        <v>105.03227116302229</v>
      </c>
      <c r="G174" s="18">
        <f>G173/C174</f>
        <v>7193.891839055751</v>
      </c>
    </row>
    <row r="175" spans="1:11">
      <c r="D175" s="19">
        <f>D173/H173</f>
        <v>0.32865118340449095</v>
      </c>
      <c r="E175" s="19">
        <f>E173/H173</f>
        <v>3.9476537567122889E-2</v>
      </c>
      <c r="F175" s="19">
        <f>F173/H173</f>
        <v>9.0927073016679304E-3</v>
      </c>
      <c r="G175" s="19">
        <f>G173/H173</f>
        <v>0.62277957172671827</v>
      </c>
    </row>
    <row r="176" spans="1:11">
      <c r="D176" s="18"/>
      <c r="E176" s="18"/>
      <c r="F176" s="18"/>
      <c r="G176" s="18"/>
    </row>
    <row r="177" spans="1:11" s="7" customFormat="1">
      <c r="A177" s="7">
        <v>15</v>
      </c>
      <c r="B177" s="7" t="s">
        <v>1709</v>
      </c>
      <c r="C177" s="8">
        <v>251008445</v>
      </c>
      <c r="D177" s="12">
        <v>172973178</v>
      </c>
      <c r="E177" s="6">
        <v>24851527</v>
      </c>
      <c r="F177" s="35">
        <v>1468571</v>
      </c>
      <c r="G177" s="16">
        <v>51715169</v>
      </c>
      <c r="H177" s="7">
        <v>20.6</v>
      </c>
      <c r="I177" s="7">
        <v>9.9</v>
      </c>
      <c r="J177" s="7">
        <v>68.900000000000006</v>
      </c>
      <c r="K177" s="7">
        <v>0.6</v>
      </c>
    </row>
    <row r="178" spans="1:11">
      <c r="C178" s="52" t="s">
        <v>448</v>
      </c>
      <c r="D178" s="12">
        <f>'FY03 ST Fed Grants'!F183</f>
        <v>956003</v>
      </c>
      <c r="E178" s="6">
        <f>'FY03 ST Fed Grants'!F31</f>
        <v>95800</v>
      </c>
    </row>
    <row r="179" spans="1:11">
      <c r="C179" s="52" t="s">
        <v>447</v>
      </c>
      <c r="D179" s="12">
        <f>'FY03 ST Fed Grants'!F427</f>
        <v>8355501</v>
      </c>
      <c r="E179" s="6">
        <f>'FY03 ST Fed Grants'!F342</f>
        <v>294798</v>
      </c>
    </row>
    <row r="180" spans="1:11">
      <c r="B180" s="48" t="s">
        <v>1543</v>
      </c>
      <c r="D180" s="12">
        <f>D177-(D178+D179)</f>
        <v>163661674</v>
      </c>
      <c r="E180" s="6">
        <f>E177-(E178+E179)</f>
        <v>24460929</v>
      </c>
      <c r="F180" s="35">
        <f>F177-(F178+F179)</f>
        <v>1468571</v>
      </c>
      <c r="G180" s="16">
        <f>G177-(G178+G179)</f>
        <v>51715169</v>
      </c>
      <c r="H180" s="3">
        <f>SUM(D180:G180)</f>
        <v>241306343</v>
      </c>
    </row>
    <row r="181" spans="1:11">
      <c r="B181" s="48" t="s">
        <v>1544</v>
      </c>
      <c r="C181" s="3">
        <v>21925</v>
      </c>
      <c r="D181" s="18">
        <f>D180/C181</f>
        <v>7464.6145496009121</v>
      </c>
      <c r="E181" s="18">
        <f>E180/C181</f>
        <v>1115.6638084378562</v>
      </c>
      <c r="F181" s="18">
        <f>F180/C181</f>
        <v>66.981573546180158</v>
      </c>
      <c r="G181" s="18">
        <f>G180/C181</f>
        <v>2358.7306271379703</v>
      </c>
    </row>
    <row r="182" spans="1:11">
      <c r="D182" s="19">
        <f>D180/H180</f>
        <v>0.67823196011055542</v>
      </c>
      <c r="E182" s="19">
        <f>E180/H180</f>
        <v>0.10136877752939963</v>
      </c>
      <c r="F182" s="19">
        <f>F180/H180</f>
        <v>6.0859195897722427E-3</v>
      </c>
      <c r="G182" s="19">
        <f>G180/H180</f>
        <v>0.21431334277027272</v>
      </c>
    </row>
    <row r="183" spans="1:11">
      <c r="D183" s="18"/>
      <c r="E183" s="18"/>
      <c r="F183" s="18"/>
      <c r="G183" s="18"/>
    </row>
    <row r="184" spans="1:11" s="9" customFormat="1">
      <c r="A184" s="9">
        <v>93</v>
      </c>
      <c r="B184" s="9" t="s">
        <v>1776</v>
      </c>
      <c r="C184" s="10">
        <v>333224148</v>
      </c>
      <c r="D184" s="12">
        <v>218503424</v>
      </c>
      <c r="E184" s="6">
        <v>39169193</v>
      </c>
      <c r="F184" s="35">
        <v>2829443</v>
      </c>
      <c r="G184" s="16">
        <v>72722088</v>
      </c>
      <c r="H184" s="9">
        <v>21.8</v>
      </c>
      <c r="I184" s="9">
        <v>11.8</v>
      </c>
      <c r="J184" s="9">
        <v>65.599999999999994</v>
      </c>
      <c r="K184" s="9">
        <v>0.8</v>
      </c>
    </row>
    <row r="185" spans="1:11">
      <c r="C185" s="52" t="s">
        <v>448</v>
      </c>
      <c r="D185" s="12">
        <f>'FY03 ST Fed Grants'!F184</f>
        <v>2167633</v>
      </c>
      <c r="E185" s="6">
        <f>'FY03 ST Fed Grants'!F32</f>
        <v>144686</v>
      </c>
    </row>
    <row r="186" spans="1:11">
      <c r="C186" s="52" t="s">
        <v>447</v>
      </c>
      <c r="D186" s="12">
        <f>'FY03 ST Fed Grants'!F428</f>
        <v>7095104</v>
      </c>
      <c r="E186" s="6">
        <f>'FY03 ST Fed Grants'!F343</f>
        <v>127022</v>
      </c>
    </row>
    <row r="187" spans="1:11">
      <c r="B187" s="48" t="s">
        <v>1543</v>
      </c>
      <c r="D187" s="12">
        <f>D184-(D185+D186)</f>
        <v>209240687</v>
      </c>
      <c r="E187" s="6">
        <f>E184-(E185+E186)</f>
        <v>38897485</v>
      </c>
      <c r="F187" s="35">
        <f>F184-(F185+F186)</f>
        <v>2829443</v>
      </c>
      <c r="G187" s="16">
        <f>G184-(G185+G186)</f>
        <v>72722088</v>
      </c>
      <c r="H187" s="3">
        <f>SUM(D187:G187)</f>
        <v>323689703</v>
      </c>
    </row>
    <row r="188" spans="1:11">
      <c r="B188" s="48" t="s">
        <v>1544</v>
      </c>
      <c r="C188" s="3">
        <v>19082</v>
      </c>
      <c r="D188" s="18">
        <f>D187/C188</f>
        <v>10965.343622261817</v>
      </c>
      <c r="E188" s="18">
        <f>E187/C188</f>
        <v>2038.438580861545</v>
      </c>
      <c r="F188" s="18">
        <f>F187/C188</f>
        <v>148.27811550151975</v>
      </c>
      <c r="G188" s="18">
        <f>G187/C188</f>
        <v>3811.0307095692274</v>
      </c>
    </row>
    <row r="189" spans="1:11">
      <c r="D189" s="19">
        <f>D187/H187</f>
        <v>0.64642367384791355</v>
      </c>
      <c r="E189" s="19">
        <f>E187/H187</f>
        <v>0.12016905276718055</v>
      </c>
      <c r="F189" s="19">
        <f>F187/H187</f>
        <v>8.7412202914591945E-3</v>
      </c>
      <c r="G189" s="19">
        <f>G187/H187</f>
        <v>0.22466605309344673</v>
      </c>
    </row>
    <row r="190" spans="1:11">
      <c r="D190" s="18"/>
      <c r="E190" s="18"/>
      <c r="F190" s="18"/>
      <c r="G190" s="18"/>
    </row>
  </sheetData>
  <phoneticPr fontId="2"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39"/>
  <sheetViews>
    <sheetView topLeftCell="A5" workbookViewId="0">
      <selection activeCell="A34" sqref="A34"/>
    </sheetView>
  </sheetViews>
  <sheetFormatPr baseColWidth="10" defaultColWidth="8.83203125" defaultRowHeight="12"/>
  <cols>
    <col min="2" max="2" width="35" customWidth="1"/>
    <col min="3" max="3" width="17.33203125" customWidth="1"/>
    <col min="4" max="4" width="11.5" style="29" customWidth="1"/>
    <col min="5" max="5" width="11.5" style="31" customWidth="1"/>
    <col min="6" max="6" width="11.5" style="49" customWidth="1"/>
    <col min="7" max="7" width="11.5" style="50" customWidth="1"/>
    <col min="8" max="8" width="10.1640625" customWidth="1"/>
  </cols>
  <sheetData>
    <row r="1" spans="1:11" s="1" customFormat="1">
      <c r="A1" s="1" t="s">
        <v>1676</v>
      </c>
      <c r="B1" s="1" t="s">
        <v>1696</v>
      </c>
      <c r="C1" s="4" t="s">
        <v>1669</v>
      </c>
      <c r="D1" s="13" t="s">
        <v>1670</v>
      </c>
      <c r="E1" s="14" t="s">
        <v>1671</v>
      </c>
      <c r="F1" s="36" t="s">
        <v>1672</v>
      </c>
      <c r="G1" s="17" t="s">
        <v>1673</v>
      </c>
      <c r="H1" s="1" t="s">
        <v>1664</v>
      </c>
      <c r="I1" s="1" t="s">
        <v>1665</v>
      </c>
      <c r="J1" s="2" t="s">
        <v>1666</v>
      </c>
      <c r="K1" s="2" t="s">
        <v>1667</v>
      </c>
    </row>
    <row r="2" spans="1:11">
      <c r="A2">
        <v>261</v>
      </c>
      <c r="B2" t="s">
        <v>1646</v>
      </c>
      <c r="C2" s="3">
        <v>2682204</v>
      </c>
      <c r="D2" s="12">
        <v>2297719</v>
      </c>
      <c r="E2" s="6">
        <v>280516</v>
      </c>
      <c r="F2" s="35">
        <v>103969</v>
      </c>
      <c r="G2" s="16">
        <v>0</v>
      </c>
      <c r="H2">
        <v>0</v>
      </c>
      <c r="I2">
        <v>10.5</v>
      </c>
      <c r="J2">
        <v>85.7</v>
      </c>
      <c r="K2">
        <v>3.9</v>
      </c>
    </row>
    <row r="3" spans="1:11">
      <c r="A3">
        <v>263</v>
      </c>
      <c r="B3" t="s">
        <v>1647</v>
      </c>
      <c r="C3" s="3">
        <v>1493819</v>
      </c>
      <c r="D3" s="12">
        <v>1230489</v>
      </c>
      <c r="E3" s="6">
        <v>25457</v>
      </c>
      <c r="F3" s="35">
        <v>217203</v>
      </c>
      <c r="G3" s="16">
        <v>20670</v>
      </c>
      <c r="H3">
        <v>1.4</v>
      </c>
      <c r="I3">
        <v>1.7</v>
      </c>
      <c r="J3">
        <v>82.4</v>
      </c>
      <c r="K3">
        <v>14.5</v>
      </c>
    </row>
    <row r="4" spans="1:11">
      <c r="A4">
        <v>264</v>
      </c>
      <c r="B4" t="s">
        <v>1648</v>
      </c>
      <c r="C4" s="3">
        <v>2823437</v>
      </c>
      <c r="D4" s="12">
        <v>2323844</v>
      </c>
      <c r="E4" s="6">
        <v>223963</v>
      </c>
      <c r="F4" s="35">
        <v>274362</v>
      </c>
      <c r="G4" s="16">
        <v>1268</v>
      </c>
      <c r="H4">
        <v>0</v>
      </c>
      <c r="I4">
        <v>7.9</v>
      </c>
      <c r="J4">
        <v>82.3</v>
      </c>
      <c r="K4">
        <v>9.6999999999999993</v>
      </c>
    </row>
    <row r="5" spans="1:11">
      <c r="A5">
        <v>265</v>
      </c>
      <c r="B5" t="s">
        <v>1649</v>
      </c>
      <c r="C5" s="3">
        <v>1347043</v>
      </c>
      <c r="D5" s="12">
        <v>807703</v>
      </c>
      <c r="E5" s="6">
        <v>272419</v>
      </c>
      <c r="F5" s="35">
        <v>209970</v>
      </c>
      <c r="G5" s="16">
        <v>56951</v>
      </c>
      <c r="H5">
        <v>4.2</v>
      </c>
      <c r="I5">
        <v>20.2</v>
      </c>
      <c r="J5">
        <v>60</v>
      </c>
      <c r="K5">
        <v>15.6</v>
      </c>
    </row>
    <row r="6" spans="1:11">
      <c r="A6">
        <v>268</v>
      </c>
      <c r="B6" s="9" t="s">
        <v>1650</v>
      </c>
      <c r="C6" s="10">
        <v>1551400</v>
      </c>
      <c r="D6" s="12">
        <v>1249575</v>
      </c>
      <c r="E6" s="6">
        <v>223947</v>
      </c>
      <c r="F6" s="35">
        <v>77878</v>
      </c>
      <c r="G6" s="16">
        <v>0</v>
      </c>
      <c r="H6" s="9">
        <v>0</v>
      </c>
      <c r="I6" s="9">
        <v>14.4</v>
      </c>
      <c r="J6" s="9">
        <v>80.5</v>
      </c>
      <c r="K6" s="9">
        <v>5</v>
      </c>
    </row>
    <row r="7" spans="1:11">
      <c r="A7">
        <v>269</v>
      </c>
      <c r="B7" s="7" t="s">
        <v>1651</v>
      </c>
      <c r="C7" s="8">
        <v>1655351</v>
      </c>
      <c r="D7" s="12">
        <v>1229666</v>
      </c>
      <c r="E7" s="6">
        <v>243925</v>
      </c>
      <c r="F7" s="35">
        <v>152639</v>
      </c>
      <c r="G7" s="16">
        <v>29121</v>
      </c>
      <c r="H7" s="7">
        <v>1.8</v>
      </c>
      <c r="I7" s="7">
        <v>14.7</v>
      </c>
      <c r="J7" s="7">
        <v>74.3</v>
      </c>
      <c r="K7" s="7">
        <v>9.1999999999999993</v>
      </c>
    </row>
    <row r="8" spans="1:11">
      <c r="A8">
        <v>270</v>
      </c>
      <c r="B8" t="s">
        <v>1652</v>
      </c>
      <c r="C8" s="3">
        <v>2444363</v>
      </c>
      <c r="D8" s="12">
        <v>2090450</v>
      </c>
      <c r="E8" s="6">
        <v>60453</v>
      </c>
      <c r="F8" s="35">
        <v>169393</v>
      </c>
      <c r="G8" s="16">
        <v>124067</v>
      </c>
      <c r="H8">
        <v>5.0999999999999996</v>
      </c>
      <c r="I8">
        <v>2.5</v>
      </c>
      <c r="J8">
        <v>85.5</v>
      </c>
      <c r="K8">
        <v>6.9</v>
      </c>
    </row>
    <row r="9" spans="1:11">
      <c r="A9">
        <v>272</v>
      </c>
      <c r="B9" t="s">
        <v>1653</v>
      </c>
      <c r="C9" s="3">
        <v>1032495</v>
      </c>
      <c r="D9" s="12">
        <v>897446</v>
      </c>
      <c r="E9" s="6">
        <v>28266</v>
      </c>
      <c r="F9" s="35">
        <v>82833</v>
      </c>
      <c r="G9" s="16">
        <v>23950</v>
      </c>
      <c r="H9">
        <v>2.2999999999999998</v>
      </c>
      <c r="I9">
        <v>2.7</v>
      </c>
      <c r="J9">
        <v>86.9</v>
      </c>
      <c r="K9">
        <v>8</v>
      </c>
    </row>
    <row r="10" spans="1:11">
      <c r="A10">
        <v>273</v>
      </c>
      <c r="B10" t="s">
        <v>1662</v>
      </c>
      <c r="C10" s="3">
        <v>0</v>
      </c>
      <c r="D10" s="12">
        <v>0</v>
      </c>
      <c r="E10" s="6">
        <v>0</v>
      </c>
      <c r="F10" s="35">
        <v>0</v>
      </c>
      <c r="G10" s="16">
        <v>0</v>
      </c>
    </row>
    <row r="11" spans="1:11">
      <c r="A11">
        <v>277</v>
      </c>
      <c r="B11" t="s">
        <v>1654</v>
      </c>
      <c r="C11" s="3">
        <v>2378894</v>
      </c>
      <c r="D11" s="12">
        <v>2115519</v>
      </c>
      <c r="E11" s="6">
        <v>241185</v>
      </c>
      <c r="F11" s="35">
        <v>22190</v>
      </c>
      <c r="G11" s="16">
        <v>0</v>
      </c>
      <c r="H11">
        <v>0</v>
      </c>
      <c r="I11">
        <v>10.1</v>
      </c>
      <c r="J11">
        <v>88.9</v>
      </c>
      <c r="K11">
        <v>0.9</v>
      </c>
    </row>
    <row r="12" spans="1:11">
      <c r="A12">
        <v>278</v>
      </c>
      <c r="B12" t="s">
        <v>1655</v>
      </c>
      <c r="C12" s="3">
        <v>1584899</v>
      </c>
      <c r="D12" s="12">
        <v>759421</v>
      </c>
      <c r="E12" s="6">
        <v>76937</v>
      </c>
      <c r="F12" s="35">
        <v>748541</v>
      </c>
      <c r="G12" s="16">
        <v>0</v>
      </c>
      <c r="H12">
        <v>0</v>
      </c>
      <c r="I12">
        <v>4.9000000000000004</v>
      </c>
      <c r="J12">
        <v>47.9</v>
      </c>
      <c r="K12">
        <v>47.2</v>
      </c>
    </row>
    <row r="13" spans="1:11">
      <c r="A13">
        <v>279</v>
      </c>
      <c r="B13" s="9" t="s">
        <v>1656</v>
      </c>
      <c r="C13" s="10">
        <v>3228542</v>
      </c>
      <c r="D13" s="12">
        <v>1544402</v>
      </c>
      <c r="E13" s="6">
        <v>214757</v>
      </c>
      <c r="F13" s="35">
        <v>1469383</v>
      </c>
      <c r="G13" s="16">
        <v>0</v>
      </c>
      <c r="H13" s="9">
        <v>0</v>
      </c>
      <c r="I13" s="9">
        <v>6.7</v>
      </c>
      <c r="J13" s="9">
        <v>47.8</v>
      </c>
      <c r="K13" s="9">
        <v>45.5</v>
      </c>
    </row>
    <row r="14" spans="1:11">
      <c r="A14">
        <v>280</v>
      </c>
      <c r="B14" t="s">
        <v>1657</v>
      </c>
      <c r="C14" s="3">
        <v>2012615</v>
      </c>
      <c r="D14" s="12">
        <v>997319</v>
      </c>
      <c r="E14" s="6">
        <v>336588</v>
      </c>
      <c r="F14" s="35">
        <v>616211</v>
      </c>
      <c r="G14" s="16">
        <v>62497</v>
      </c>
      <c r="H14">
        <v>3.1</v>
      </c>
      <c r="I14">
        <v>16.7</v>
      </c>
      <c r="J14">
        <v>49.6</v>
      </c>
      <c r="K14">
        <v>30.6</v>
      </c>
    </row>
    <row r="15" spans="1:11">
      <c r="B15" s="48" t="s">
        <v>449</v>
      </c>
      <c r="C15" s="3"/>
      <c r="D15" s="12">
        <f>SUM(D2:D14)</f>
        <v>17543553</v>
      </c>
      <c r="E15" s="6">
        <f>SUM(E2:E14)</f>
        <v>2228413</v>
      </c>
      <c r="F15" s="35">
        <f>SUM(F2:F14)</f>
        <v>4144572</v>
      </c>
      <c r="G15" s="16">
        <f>SUM(G2:G14)</f>
        <v>318524</v>
      </c>
    </row>
    <row r="16" spans="1:11">
      <c r="A16" s="11"/>
      <c r="B16" s="11" t="s">
        <v>465</v>
      </c>
      <c r="C16" s="18"/>
      <c r="D16" s="18">
        <v>0</v>
      </c>
      <c r="E16" s="18">
        <v>0</v>
      </c>
      <c r="F16" s="18">
        <v>0</v>
      </c>
      <c r="G16" s="18">
        <v>0</v>
      </c>
      <c r="H16" s="11"/>
    </row>
    <row r="17" spans="1:11">
      <c r="A17" s="11"/>
      <c r="B17" s="11" t="s">
        <v>466</v>
      </c>
      <c r="C17" s="18"/>
      <c r="D17" s="18">
        <v>0</v>
      </c>
      <c r="E17" s="18">
        <v>0</v>
      </c>
      <c r="F17" s="18">
        <v>0</v>
      </c>
      <c r="G17" s="18">
        <v>0</v>
      </c>
      <c r="H17" s="11"/>
    </row>
    <row r="18" spans="1:11">
      <c r="A18" s="11"/>
      <c r="B18" s="53" t="s">
        <v>1543</v>
      </c>
      <c r="C18" s="18"/>
      <c r="D18" s="18">
        <f>D15-(D16+D17)</f>
        <v>17543553</v>
      </c>
      <c r="E18" s="18">
        <f>E15-(E16+E17)</f>
        <v>2228413</v>
      </c>
      <c r="F18" s="18">
        <f>F15-(F16+F17)</f>
        <v>4144572</v>
      </c>
      <c r="G18" s="18">
        <f>G15-(G16+G17)</f>
        <v>318524</v>
      </c>
      <c r="H18" s="18">
        <f>SUM(D18:G18)</f>
        <v>24235062</v>
      </c>
    </row>
    <row r="19" spans="1:11">
      <c r="A19" s="11"/>
      <c r="B19" s="53" t="s">
        <v>1544</v>
      </c>
      <c r="C19" s="18">
        <v>2148</v>
      </c>
      <c r="D19" s="18">
        <f>D18/$C$19</f>
        <v>8167.3896648044692</v>
      </c>
      <c r="E19" s="18">
        <f>E18/$C$19</f>
        <v>1037.4362197392923</v>
      </c>
      <c r="F19" s="18">
        <f>F18/$C$19</f>
        <v>1929.5027932960893</v>
      </c>
      <c r="G19" s="18">
        <f>G18/$C$19</f>
        <v>148.28864059590316</v>
      </c>
      <c r="H19" s="11"/>
    </row>
    <row r="20" spans="1:11">
      <c r="A20" s="11"/>
      <c r="B20" s="11"/>
      <c r="C20" s="18"/>
      <c r="D20" s="19">
        <f>D18/H18</f>
        <v>0.72389140163949239</v>
      </c>
      <c r="E20" s="19">
        <f>E18/H18</f>
        <v>9.1949960763459154E-2</v>
      </c>
      <c r="F20" s="19">
        <f>F18/H18</f>
        <v>0.17101553113418896</v>
      </c>
      <c r="G20" s="19">
        <f>G18/H18</f>
        <v>1.3143106462859471E-2</v>
      </c>
      <c r="H20" s="11"/>
    </row>
    <row r="22" spans="1:11">
      <c r="B22" s="48" t="s">
        <v>463</v>
      </c>
    </row>
    <row r="23" spans="1:11">
      <c r="A23">
        <v>269</v>
      </c>
      <c r="B23" s="7" t="s">
        <v>1651</v>
      </c>
      <c r="C23" s="8">
        <v>1655351</v>
      </c>
      <c r="D23" s="12">
        <v>1229666</v>
      </c>
      <c r="E23" s="6">
        <v>243925</v>
      </c>
      <c r="F23" s="35">
        <v>152639</v>
      </c>
      <c r="G23" s="16">
        <v>29121</v>
      </c>
      <c r="H23" s="7">
        <v>1.8</v>
      </c>
      <c r="I23" s="7">
        <v>14.7</v>
      </c>
      <c r="J23" s="7">
        <v>74.3</v>
      </c>
      <c r="K23" s="7">
        <v>9.1999999999999993</v>
      </c>
    </row>
    <row r="24" spans="1:11">
      <c r="B24" s="48" t="s">
        <v>449</v>
      </c>
      <c r="C24" s="3"/>
      <c r="D24" s="12">
        <f>D23</f>
        <v>1229666</v>
      </c>
      <c r="E24" s="6">
        <f>E23</f>
        <v>243925</v>
      </c>
      <c r="F24" s="35">
        <f>F23</f>
        <v>152639</v>
      </c>
      <c r="G24" s="16">
        <f>G23</f>
        <v>29121</v>
      </c>
    </row>
    <row r="25" spans="1:11">
      <c r="B25" s="11" t="s">
        <v>465</v>
      </c>
      <c r="C25" s="18"/>
      <c r="D25" s="18">
        <v>0</v>
      </c>
      <c r="E25" s="18">
        <v>0</v>
      </c>
      <c r="F25" s="18">
        <v>0</v>
      </c>
      <c r="G25" s="18">
        <v>0</v>
      </c>
      <c r="H25" s="11"/>
    </row>
    <row r="26" spans="1:11">
      <c r="B26" s="11" t="s">
        <v>466</v>
      </c>
      <c r="C26" s="18"/>
      <c r="D26" s="18">
        <v>0</v>
      </c>
      <c r="E26" s="18">
        <v>0</v>
      </c>
      <c r="F26" s="18">
        <v>0</v>
      </c>
      <c r="G26" s="18">
        <v>0</v>
      </c>
      <c r="H26" s="11"/>
    </row>
    <row r="27" spans="1:11">
      <c r="B27" s="53" t="s">
        <v>1543</v>
      </c>
      <c r="C27" s="18"/>
      <c r="D27" s="18">
        <f>D24-(D25+D26)</f>
        <v>1229666</v>
      </c>
      <c r="E27" s="18">
        <f>E24-(E25+E26)</f>
        <v>243925</v>
      </c>
      <c r="F27" s="18">
        <f>F24-(F25+F26)</f>
        <v>152639</v>
      </c>
      <c r="G27" s="18">
        <f>G24-(G25+G26)</f>
        <v>29121</v>
      </c>
      <c r="H27" s="18">
        <f>SUM(D27:G27)</f>
        <v>1655351</v>
      </c>
    </row>
    <row r="28" spans="1:11">
      <c r="B28" s="53" t="s">
        <v>1544</v>
      </c>
      <c r="C28" s="18">
        <v>175</v>
      </c>
      <c r="D28" s="18">
        <f>D27/$C$28</f>
        <v>7026.6628571428573</v>
      </c>
      <c r="E28" s="18">
        <f>E27/$C$28</f>
        <v>1393.8571428571429</v>
      </c>
      <c r="F28" s="18">
        <f>F27/$C$28</f>
        <v>872.22285714285715</v>
      </c>
      <c r="G28" s="18">
        <f>G27/$C$28</f>
        <v>166.40571428571428</v>
      </c>
      <c r="H28" s="11"/>
    </row>
    <row r="29" spans="1:11">
      <c r="B29" s="11"/>
      <c r="C29" s="18"/>
      <c r="D29" s="19">
        <f>D27/H27</f>
        <v>0.74284305866248301</v>
      </c>
      <c r="E29" s="19">
        <f>E27/H27</f>
        <v>0.14735545512703951</v>
      </c>
      <c r="F29" s="19">
        <f>F27/H27</f>
        <v>9.2209446818227681E-2</v>
      </c>
      <c r="G29" s="19">
        <f>G27/H27</f>
        <v>1.759203939224974E-2</v>
      </c>
      <c r="H29" s="11"/>
    </row>
    <row r="31" spans="1:11">
      <c r="B31" s="48" t="s">
        <v>59</v>
      </c>
    </row>
    <row r="32" spans="1:11">
      <c r="A32">
        <v>268</v>
      </c>
      <c r="B32" s="9" t="s">
        <v>1650</v>
      </c>
      <c r="C32" s="10">
        <v>1551400</v>
      </c>
      <c r="D32" s="12">
        <v>1249575</v>
      </c>
      <c r="E32" s="6">
        <v>223947</v>
      </c>
      <c r="F32" s="35">
        <v>77878</v>
      </c>
      <c r="G32" s="16">
        <v>0</v>
      </c>
      <c r="H32" s="9">
        <v>0</v>
      </c>
      <c r="I32" s="9">
        <v>14.4</v>
      </c>
      <c r="J32" s="9">
        <v>80.5</v>
      </c>
      <c r="K32" s="9">
        <v>5</v>
      </c>
    </row>
    <row r="33" spans="1:11">
      <c r="A33">
        <v>279</v>
      </c>
      <c r="B33" s="9" t="s">
        <v>1656</v>
      </c>
      <c r="C33" s="10">
        <v>3228542</v>
      </c>
      <c r="D33" s="12">
        <v>1544402</v>
      </c>
      <c r="E33" s="6">
        <v>214757</v>
      </c>
      <c r="F33" s="35">
        <v>1469383</v>
      </c>
      <c r="G33" s="16">
        <v>0</v>
      </c>
      <c r="H33" s="9">
        <v>0</v>
      </c>
      <c r="I33" s="9">
        <v>6.7</v>
      </c>
      <c r="J33" s="9">
        <v>47.8</v>
      </c>
      <c r="K33" s="9">
        <v>45.5</v>
      </c>
    </row>
    <row r="34" spans="1:11">
      <c r="B34" s="48" t="s">
        <v>449</v>
      </c>
      <c r="C34" s="3"/>
      <c r="D34" s="12">
        <f>SUM(D32:D33)</f>
        <v>2793977</v>
      </c>
      <c r="E34" s="6">
        <f>SUM(E32:E33)</f>
        <v>438704</v>
      </c>
      <c r="F34" s="35">
        <f>SUM(F32:F33)</f>
        <v>1547261</v>
      </c>
      <c r="G34" s="16">
        <f>SUM(G32:G33)</f>
        <v>0</v>
      </c>
    </row>
    <row r="35" spans="1:11">
      <c r="B35" s="11" t="s">
        <v>465</v>
      </c>
      <c r="C35" s="18"/>
      <c r="D35" s="18">
        <v>0</v>
      </c>
      <c r="E35" s="18">
        <v>0</v>
      </c>
      <c r="F35" s="18">
        <v>0</v>
      </c>
      <c r="G35" s="18">
        <v>0</v>
      </c>
      <c r="H35" s="11"/>
    </row>
    <row r="36" spans="1:11">
      <c r="B36" s="11" t="s">
        <v>466</v>
      </c>
      <c r="C36" s="18"/>
      <c r="D36" s="18">
        <v>0</v>
      </c>
      <c r="E36" s="18">
        <v>0</v>
      </c>
      <c r="F36" s="18">
        <v>0</v>
      </c>
      <c r="G36" s="18">
        <v>0</v>
      </c>
      <c r="H36" s="11"/>
    </row>
    <row r="37" spans="1:11">
      <c r="B37" s="53" t="s">
        <v>1543</v>
      </c>
      <c r="C37" s="18"/>
      <c r="D37" s="18">
        <f>D34-(D35+D36)</f>
        <v>2793977</v>
      </c>
      <c r="E37" s="18">
        <f>E34-(E35+E36)</f>
        <v>438704</v>
      </c>
      <c r="F37" s="18">
        <f>F34-(F35+F36)</f>
        <v>1547261</v>
      </c>
      <c r="G37" s="18">
        <f>G34-(G35+G36)</f>
        <v>0</v>
      </c>
      <c r="H37" s="18">
        <f>SUM(D37:G37)</f>
        <v>4779942</v>
      </c>
    </row>
    <row r="38" spans="1:11">
      <c r="B38" s="53" t="s">
        <v>1544</v>
      </c>
      <c r="C38" s="18">
        <v>333</v>
      </c>
      <c r="D38" s="18">
        <f>D37/$C$38</f>
        <v>8390.3213213213221</v>
      </c>
      <c r="E38" s="18">
        <f>E37/$C$38</f>
        <v>1317.4294294294293</v>
      </c>
      <c r="F38" s="18">
        <f>F37/$C$38</f>
        <v>4646.4294294294295</v>
      </c>
      <c r="G38" s="18">
        <f>G37/$C$38</f>
        <v>0</v>
      </c>
      <c r="H38" s="11"/>
    </row>
    <row r="39" spans="1:11">
      <c r="B39" s="11"/>
      <c r="C39" s="18"/>
      <c r="D39" s="19">
        <f>D37/H37</f>
        <v>0.58452110925195322</v>
      </c>
      <c r="E39" s="19">
        <f>E37/H37</f>
        <v>9.1780193148787159E-2</v>
      </c>
      <c r="F39" s="19">
        <f>F37/H37</f>
        <v>0.32369869759925957</v>
      </c>
      <c r="G39" s="19">
        <f>G37/H37</f>
        <v>0</v>
      </c>
      <c r="H39" s="11"/>
    </row>
  </sheetData>
  <pageMargins left="0.7" right="0.7" top="0.75" bottom="0.75" header="0.3" footer="0.3"/>
  <extLst>
    <ext xmlns:mx="http://schemas.microsoft.com/office/mac/excel/2008/main" uri="http://schemas.microsoft.com/office/mac/excel/2008/main">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G3826"/>
  <sheetViews>
    <sheetView topLeftCell="A250" workbookViewId="0">
      <selection activeCell="C281" sqref="C281"/>
    </sheetView>
  </sheetViews>
  <sheetFormatPr baseColWidth="10" defaultColWidth="8.83203125" defaultRowHeight="12"/>
  <cols>
    <col min="2" max="2" width="18" customWidth="1"/>
    <col min="4" max="4" width="38.5" customWidth="1"/>
    <col min="5" max="5" width="14.6640625" customWidth="1"/>
    <col min="6" max="6" width="11.5" style="28" customWidth="1"/>
  </cols>
  <sheetData>
    <row r="1" spans="1:7">
      <c r="A1" t="s">
        <v>386</v>
      </c>
      <c r="B1" t="s">
        <v>387</v>
      </c>
      <c r="C1" t="s">
        <v>388</v>
      </c>
      <c r="D1" t="s">
        <v>389</v>
      </c>
      <c r="E1" t="s">
        <v>390</v>
      </c>
      <c r="F1" s="28" t="s">
        <v>391</v>
      </c>
    </row>
    <row r="2" spans="1:7">
      <c r="A2" s="31">
        <v>7</v>
      </c>
      <c r="B2" s="31" t="s">
        <v>310</v>
      </c>
      <c r="C2" s="31" t="s">
        <v>311</v>
      </c>
      <c r="D2" s="31" t="s">
        <v>1495</v>
      </c>
      <c r="E2" s="31" t="s">
        <v>1682</v>
      </c>
      <c r="F2" s="32">
        <v>10640</v>
      </c>
      <c r="G2" s="31" t="s">
        <v>1495</v>
      </c>
    </row>
    <row r="3" spans="1:7">
      <c r="A3" s="31">
        <v>14</v>
      </c>
      <c r="B3" s="31" t="s">
        <v>323</v>
      </c>
      <c r="C3" s="31" t="s">
        <v>311</v>
      </c>
      <c r="D3" s="31" t="s">
        <v>1495</v>
      </c>
      <c r="E3" s="31" t="s">
        <v>1682</v>
      </c>
      <c r="F3" s="32">
        <v>97850</v>
      </c>
      <c r="G3" s="31" t="s">
        <v>1495</v>
      </c>
    </row>
    <row r="4" spans="1:7">
      <c r="A4" s="7">
        <v>15</v>
      </c>
      <c r="B4" s="7" t="s">
        <v>324</v>
      </c>
      <c r="C4" s="7" t="s">
        <v>325</v>
      </c>
      <c r="D4" s="7" t="s">
        <v>1495</v>
      </c>
      <c r="E4" s="7" t="s">
        <v>1682</v>
      </c>
      <c r="F4" s="34">
        <v>95800</v>
      </c>
      <c r="G4" s="7" t="s">
        <v>1495</v>
      </c>
    </row>
    <row r="5" spans="1:7">
      <c r="A5" s="31">
        <v>17</v>
      </c>
      <c r="B5" s="31" t="s">
        <v>340</v>
      </c>
      <c r="C5" s="31" t="s">
        <v>316</v>
      </c>
      <c r="D5" s="31" t="s">
        <v>1495</v>
      </c>
      <c r="E5" s="31" t="s">
        <v>1682</v>
      </c>
      <c r="F5" s="32">
        <v>72500</v>
      </c>
      <c r="G5" s="31" t="s">
        <v>1495</v>
      </c>
    </row>
    <row r="6" spans="1:7">
      <c r="A6" s="31">
        <v>34</v>
      </c>
      <c r="B6" s="31" t="s">
        <v>358</v>
      </c>
      <c r="C6" s="31" t="s">
        <v>404</v>
      </c>
      <c r="D6" s="31" t="s">
        <v>1495</v>
      </c>
      <c r="E6" s="31" t="s">
        <v>1682</v>
      </c>
      <c r="F6" s="32">
        <v>157700</v>
      </c>
      <c r="G6" s="31" t="s">
        <v>1495</v>
      </c>
    </row>
    <row r="7" spans="1:7">
      <c r="A7" s="31">
        <v>44</v>
      </c>
      <c r="B7" s="31" t="s">
        <v>236</v>
      </c>
      <c r="C7" s="31" t="s">
        <v>316</v>
      </c>
      <c r="D7" s="31" t="s">
        <v>1495</v>
      </c>
      <c r="E7" s="31" t="s">
        <v>1682</v>
      </c>
      <c r="F7" s="32">
        <v>11487</v>
      </c>
      <c r="G7" s="31" t="s">
        <v>1495</v>
      </c>
    </row>
    <row r="8" spans="1:7">
      <c r="A8" s="31">
        <v>62</v>
      </c>
      <c r="B8" s="31" t="s">
        <v>254</v>
      </c>
      <c r="C8" s="31" t="s">
        <v>316</v>
      </c>
      <c r="D8" s="31" t="s">
        <v>1495</v>
      </c>
      <c r="E8" s="31" t="s">
        <v>1682</v>
      </c>
      <c r="F8" s="32">
        <v>244564</v>
      </c>
      <c r="G8" s="31" t="s">
        <v>1495</v>
      </c>
    </row>
    <row r="9" spans="1:7">
      <c r="A9" s="31">
        <v>64</v>
      </c>
      <c r="B9" s="31" t="s">
        <v>256</v>
      </c>
      <c r="C9" s="31" t="s">
        <v>325</v>
      </c>
      <c r="D9" s="31" t="s">
        <v>1495</v>
      </c>
      <c r="E9" s="31" t="s">
        <v>1682</v>
      </c>
      <c r="F9" s="32">
        <v>99000</v>
      </c>
      <c r="G9" s="31" t="s">
        <v>1495</v>
      </c>
    </row>
    <row r="10" spans="1:7">
      <c r="A10" s="31">
        <v>80</v>
      </c>
      <c r="B10" s="31" t="s">
        <v>273</v>
      </c>
      <c r="C10" s="31" t="s">
        <v>404</v>
      </c>
      <c r="D10" s="31" t="s">
        <v>1495</v>
      </c>
      <c r="E10" s="31" t="s">
        <v>1682</v>
      </c>
      <c r="F10" s="32">
        <v>157882</v>
      </c>
      <c r="G10" s="31" t="s">
        <v>1495</v>
      </c>
    </row>
    <row r="11" spans="1:7">
      <c r="A11" s="31">
        <v>83</v>
      </c>
      <c r="B11" s="31" t="s">
        <v>276</v>
      </c>
      <c r="C11" s="31" t="s">
        <v>316</v>
      </c>
      <c r="D11" s="31" t="s">
        <v>1495</v>
      </c>
      <c r="E11" s="31" t="s">
        <v>1682</v>
      </c>
      <c r="F11" s="32">
        <v>392500</v>
      </c>
      <c r="G11" s="31" t="s">
        <v>1495</v>
      </c>
    </row>
    <row r="12" spans="1:7">
      <c r="A12" s="31">
        <v>88</v>
      </c>
      <c r="B12" s="31" t="s">
        <v>282</v>
      </c>
      <c r="C12" s="31" t="s">
        <v>316</v>
      </c>
      <c r="D12" s="31" t="s">
        <v>1495</v>
      </c>
      <c r="E12" s="31" t="s">
        <v>1682</v>
      </c>
      <c r="F12" s="32">
        <v>30746</v>
      </c>
      <c r="G12" s="31" t="s">
        <v>1495</v>
      </c>
    </row>
    <row r="13" spans="1:7">
      <c r="A13" s="31">
        <v>89</v>
      </c>
      <c r="B13" s="31" t="s">
        <v>283</v>
      </c>
      <c r="C13" s="31" t="s">
        <v>325</v>
      </c>
      <c r="D13" s="31" t="s">
        <v>1495</v>
      </c>
      <c r="E13" s="31" t="s">
        <v>1682</v>
      </c>
      <c r="F13" s="32">
        <v>145000</v>
      </c>
      <c r="G13" s="31" t="s">
        <v>1495</v>
      </c>
    </row>
    <row r="14" spans="1:7">
      <c r="A14" s="9">
        <v>93</v>
      </c>
      <c r="B14" s="9" t="s">
        <v>287</v>
      </c>
      <c r="C14" s="9" t="s">
        <v>325</v>
      </c>
      <c r="D14" s="9" t="s">
        <v>1495</v>
      </c>
      <c r="E14" s="9" t="s">
        <v>1682</v>
      </c>
      <c r="F14" s="33">
        <v>144686</v>
      </c>
      <c r="G14" s="9" t="s">
        <v>1495</v>
      </c>
    </row>
    <row r="15" spans="1:7">
      <c r="A15" s="31">
        <v>95</v>
      </c>
      <c r="B15" s="31" t="s">
        <v>290</v>
      </c>
      <c r="C15" s="31" t="s">
        <v>325</v>
      </c>
      <c r="D15" s="31" t="s">
        <v>1495</v>
      </c>
      <c r="E15" s="31" t="s">
        <v>1682</v>
      </c>
      <c r="F15" s="32">
        <v>121800</v>
      </c>
      <c r="G15" s="31" t="s">
        <v>1495</v>
      </c>
    </row>
    <row r="16" spans="1:7">
      <c r="A16" s="31">
        <v>96</v>
      </c>
      <c r="B16" s="31" t="s">
        <v>164</v>
      </c>
      <c r="C16" s="31" t="s">
        <v>311</v>
      </c>
      <c r="D16" s="31" t="s">
        <v>1495</v>
      </c>
      <c r="E16" s="31" t="s">
        <v>1682</v>
      </c>
      <c r="F16" s="32">
        <v>25000</v>
      </c>
      <c r="G16" s="31" t="s">
        <v>1495</v>
      </c>
    </row>
    <row r="17" spans="1:7">
      <c r="A17" s="31">
        <v>104</v>
      </c>
      <c r="B17" s="31" t="s">
        <v>172</v>
      </c>
      <c r="C17" s="31" t="s">
        <v>404</v>
      </c>
      <c r="D17" s="31" t="s">
        <v>1495</v>
      </c>
      <c r="E17" s="31" t="s">
        <v>1682</v>
      </c>
      <c r="F17" s="32">
        <v>247680</v>
      </c>
      <c r="G17" s="31" t="s">
        <v>1495</v>
      </c>
    </row>
    <row r="18" spans="1:7">
      <c r="A18" s="31">
        <v>126</v>
      </c>
      <c r="B18" s="31" t="s">
        <v>194</v>
      </c>
      <c r="C18" s="31" t="s">
        <v>311</v>
      </c>
      <c r="D18" s="31" t="s">
        <v>1495</v>
      </c>
      <c r="E18" s="31" t="s">
        <v>1682</v>
      </c>
      <c r="F18" s="32">
        <v>120800</v>
      </c>
      <c r="G18" s="31" t="s">
        <v>1495</v>
      </c>
    </row>
    <row r="19" spans="1:7">
      <c r="A19" s="31">
        <v>135</v>
      </c>
      <c r="B19" s="31" t="s">
        <v>203</v>
      </c>
      <c r="C19" s="31" t="s">
        <v>404</v>
      </c>
      <c r="D19" s="31" t="s">
        <v>1495</v>
      </c>
      <c r="E19" s="31" t="s">
        <v>1682</v>
      </c>
      <c r="F19" s="32">
        <v>257297</v>
      </c>
      <c r="G19" s="31" t="s">
        <v>1495</v>
      </c>
    </row>
    <row r="20" spans="1:7">
      <c r="A20" s="31">
        <v>146</v>
      </c>
      <c r="B20" s="31" t="s">
        <v>215</v>
      </c>
      <c r="C20" s="31" t="s">
        <v>316</v>
      </c>
      <c r="D20" s="31" t="s">
        <v>1495</v>
      </c>
      <c r="E20" s="31" t="s">
        <v>1682</v>
      </c>
      <c r="F20" s="32">
        <v>197113</v>
      </c>
      <c r="G20" s="31" t="s">
        <v>1495</v>
      </c>
    </row>
    <row r="21" spans="1:7">
      <c r="A21" s="31">
        <v>148</v>
      </c>
      <c r="B21" s="31" t="s">
        <v>217</v>
      </c>
      <c r="C21" s="31" t="s">
        <v>311</v>
      </c>
      <c r="D21" s="31" t="s">
        <v>1495</v>
      </c>
      <c r="E21" s="31" t="s">
        <v>1682</v>
      </c>
      <c r="F21" s="32">
        <v>174253</v>
      </c>
      <c r="G21" s="31" t="s">
        <v>1495</v>
      </c>
    </row>
    <row r="22" spans="1:7">
      <c r="A22" s="31">
        <v>151</v>
      </c>
      <c r="B22" s="31" t="s">
        <v>220</v>
      </c>
      <c r="C22" s="31" t="s">
        <v>325</v>
      </c>
      <c r="D22" s="31" t="s">
        <v>1495</v>
      </c>
      <c r="E22" s="31" t="s">
        <v>1682</v>
      </c>
      <c r="F22" s="32">
        <v>281153</v>
      </c>
      <c r="G22" s="31" t="s">
        <v>1495</v>
      </c>
    </row>
    <row r="23" spans="1:7">
      <c r="A23" s="31">
        <v>155</v>
      </c>
      <c r="B23" s="31" t="s">
        <v>224</v>
      </c>
      <c r="C23" s="31" t="s">
        <v>306</v>
      </c>
      <c r="D23" s="31" t="s">
        <v>1495</v>
      </c>
      <c r="E23" s="31" t="s">
        <v>1682</v>
      </c>
      <c r="F23" s="32">
        <v>57172</v>
      </c>
      <c r="G23" s="31" t="s">
        <v>1495</v>
      </c>
    </row>
    <row r="24" spans="1:7">
      <c r="A24" s="31">
        <v>241</v>
      </c>
      <c r="B24" s="31" t="s">
        <v>132</v>
      </c>
      <c r="C24" s="31"/>
      <c r="D24" s="31" t="s">
        <v>1495</v>
      </c>
      <c r="E24" s="31" t="s">
        <v>1682</v>
      </c>
      <c r="F24" s="32">
        <v>902214</v>
      </c>
      <c r="G24" s="31" t="s">
        <v>1495</v>
      </c>
    </row>
    <row r="25" spans="1:7">
      <c r="A25" s="31">
        <v>242</v>
      </c>
      <c r="B25" s="31" t="s">
        <v>138</v>
      </c>
      <c r="C25" s="31"/>
      <c r="D25" s="31" t="s">
        <v>1495</v>
      </c>
      <c r="E25" s="31" t="s">
        <v>1682</v>
      </c>
      <c r="F25" s="32">
        <v>174826</v>
      </c>
      <c r="G25" s="31" t="s">
        <v>1495</v>
      </c>
    </row>
    <row r="26" spans="1:7">
      <c r="A26" s="31">
        <v>253</v>
      </c>
      <c r="B26" s="31" t="s">
        <v>144</v>
      </c>
      <c r="C26" s="31"/>
      <c r="D26" s="31" t="s">
        <v>1495</v>
      </c>
      <c r="E26" s="31" t="s">
        <v>1682</v>
      </c>
      <c r="F26" s="32">
        <v>195005</v>
      </c>
      <c r="G26" s="31" t="s">
        <v>1495</v>
      </c>
    </row>
    <row r="27" spans="1:7">
      <c r="A27" s="31">
        <v>301</v>
      </c>
      <c r="B27" s="31" t="s">
        <v>45</v>
      </c>
      <c r="C27" s="31"/>
      <c r="D27" s="31" t="s">
        <v>1495</v>
      </c>
      <c r="E27" s="31" t="s">
        <v>1682</v>
      </c>
      <c r="F27" s="32">
        <v>191359</v>
      </c>
      <c r="G27" s="31" t="s">
        <v>1495</v>
      </c>
    </row>
    <row r="28" spans="1:7">
      <c r="A28" s="31">
        <v>336</v>
      </c>
      <c r="B28" s="31" t="s">
        <v>48</v>
      </c>
      <c r="C28" s="31"/>
      <c r="D28" s="31" t="s">
        <v>1495</v>
      </c>
      <c r="E28" s="31" t="s">
        <v>1682</v>
      </c>
      <c r="F28" s="32">
        <v>165800</v>
      </c>
      <c r="G28" s="31" t="s">
        <v>1495</v>
      </c>
    </row>
    <row r="29" spans="1:7">
      <c r="A29" s="31">
        <v>998</v>
      </c>
      <c r="B29" s="31" t="s">
        <v>53</v>
      </c>
      <c r="C29" s="31"/>
      <c r="D29" s="31" t="s">
        <v>1495</v>
      </c>
      <c r="E29" s="31" t="s">
        <v>1682</v>
      </c>
      <c r="F29" s="32">
        <v>1269620</v>
      </c>
      <c r="G29" s="31" t="s">
        <v>1495</v>
      </c>
    </row>
    <row r="30" spans="1:7">
      <c r="E30" s="11" t="s">
        <v>450</v>
      </c>
      <c r="F30" s="28">
        <f>SUM(F2:F29)</f>
        <v>6041447</v>
      </c>
    </row>
    <row r="31" spans="1:7">
      <c r="E31" s="11" t="s">
        <v>451</v>
      </c>
      <c r="F31" s="28">
        <f>F4</f>
        <v>95800</v>
      </c>
    </row>
    <row r="32" spans="1:7">
      <c r="E32" s="11" t="s">
        <v>452</v>
      </c>
      <c r="F32" s="28">
        <f>F14</f>
        <v>144686</v>
      </c>
    </row>
    <row r="34" spans="1:7">
      <c r="A34" s="29">
        <v>2</v>
      </c>
      <c r="B34" s="29" t="s">
        <v>403</v>
      </c>
      <c r="C34" s="29" t="s">
        <v>404</v>
      </c>
      <c r="D34" s="29" t="s">
        <v>416</v>
      </c>
      <c r="E34" s="29" t="s">
        <v>1681</v>
      </c>
      <c r="F34" s="30">
        <v>88308</v>
      </c>
      <c r="G34" s="29" t="s">
        <v>1495</v>
      </c>
    </row>
    <row r="35" spans="1:7">
      <c r="A35" s="29">
        <v>4</v>
      </c>
      <c r="B35" s="29" t="s">
        <v>305</v>
      </c>
      <c r="C35" s="29" t="s">
        <v>306</v>
      </c>
      <c r="D35" s="29" t="s">
        <v>416</v>
      </c>
      <c r="E35" s="29" t="s">
        <v>1681</v>
      </c>
      <c r="F35" s="30">
        <v>702</v>
      </c>
      <c r="G35" s="29" t="s">
        <v>1495</v>
      </c>
    </row>
    <row r="36" spans="1:7">
      <c r="A36" s="29">
        <v>5</v>
      </c>
      <c r="B36" s="29" t="s">
        <v>308</v>
      </c>
      <c r="C36" s="29" t="s">
        <v>393</v>
      </c>
      <c r="D36" s="29" t="s">
        <v>416</v>
      </c>
      <c r="E36" s="29" t="s">
        <v>1681</v>
      </c>
      <c r="F36" s="30">
        <v>1116</v>
      </c>
      <c r="G36" s="29" t="s">
        <v>1495</v>
      </c>
    </row>
    <row r="37" spans="1:7">
      <c r="A37" s="29">
        <v>7</v>
      </c>
      <c r="B37" s="29" t="s">
        <v>310</v>
      </c>
      <c r="C37" s="29" t="s">
        <v>311</v>
      </c>
      <c r="D37" s="29" t="s">
        <v>416</v>
      </c>
      <c r="E37" s="29" t="s">
        <v>1681</v>
      </c>
      <c r="F37" s="30">
        <v>7833</v>
      </c>
      <c r="G37" s="29" t="s">
        <v>1495</v>
      </c>
    </row>
    <row r="38" spans="1:7">
      <c r="A38" s="29">
        <v>9</v>
      </c>
      <c r="B38" s="29" t="s">
        <v>313</v>
      </c>
      <c r="C38" s="29" t="s">
        <v>311</v>
      </c>
      <c r="D38" s="29" t="s">
        <v>416</v>
      </c>
      <c r="E38" s="29" t="s">
        <v>1681</v>
      </c>
      <c r="F38" s="30">
        <v>5576</v>
      </c>
      <c r="G38" s="29" t="s">
        <v>1495</v>
      </c>
    </row>
    <row r="39" spans="1:7">
      <c r="A39" s="29">
        <v>11</v>
      </c>
      <c r="B39" s="29" t="s">
        <v>315</v>
      </c>
      <c r="C39" s="29" t="s">
        <v>316</v>
      </c>
      <c r="D39" s="29" t="s">
        <v>416</v>
      </c>
      <c r="E39" s="29" t="s">
        <v>1681</v>
      </c>
      <c r="F39" s="30">
        <v>9987</v>
      </c>
      <c r="G39" s="29" t="s">
        <v>1495</v>
      </c>
    </row>
    <row r="40" spans="1:7">
      <c r="A40" s="29">
        <v>12</v>
      </c>
      <c r="B40" s="29" t="s">
        <v>321</v>
      </c>
      <c r="C40" s="29" t="s">
        <v>393</v>
      </c>
      <c r="D40" s="29" t="s">
        <v>416</v>
      </c>
      <c r="E40" s="29" t="s">
        <v>1681</v>
      </c>
      <c r="F40" s="30">
        <v>2912</v>
      </c>
      <c r="G40" s="29" t="s">
        <v>1495</v>
      </c>
    </row>
    <row r="41" spans="1:7">
      <c r="A41" s="29">
        <v>13</v>
      </c>
      <c r="B41" s="29" t="s">
        <v>322</v>
      </c>
      <c r="C41" s="29" t="s">
        <v>302</v>
      </c>
      <c r="D41" s="29" t="s">
        <v>416</v>
      </c>
      <c r="E41" s="29" t="s">
        <v>1681</v>
      </c>
      <c r="F41" s="30">
        <v>3881</v>
      </c>
      <c r="G41" s="29" t="s">
        <v>1495</v>
      </c>
    </row>
    <row r="42" spans="1:7">
      <c r="A42" s="29">
        <v>14</v>
      </c>
      <c r="B42" s="29" t="s">
        <v>323</v>
      </c>
      <c r="C42" s="29" t="s">
        <v>311</v>
      </c>
      <c r="D42" s="29" t="s">
        <v>416</v>
      </c>
      <c r="E42" s="29" t="s">
        <v>1681</v>
      </c>
      <c r="F42" s="30">
        <v>17088</v>
      </c>
      <c r="G42" s="29" t="s">
        <v>1495</v>
      </c>
    </row>
    <row r="43" spans="1:7">
      <c r="A43" s="7">
        <v>15</v>
      </c>
      <c r="B43" s="7" t="s">
        <v>324</v>
      </c>
      <c r="C43" s="7" t="s">
        <v>325</v>
      </c>
      <c r="D43" s="7" t="s">
        <v>416</v>
      </c>
      <c r="E43" s="7" t="s">
        <v>1681</v>
      </c>
      <c r="F43" s="34">
        <v>956003</v>
      </c>
      <c r="G43" s="7" t="s">
        <v>1495</v>
      </c>
    </row>
    <row r="44" spans="1:7">
      <c r="A44" s="29">
        <v>17</v>
      </c>
      <c r="B44" s="29" t="s">
        <v>340</v>
      </c>
      <c r="C44" s="29" t="s">
        <v>316</v>
      </c>
      <c r="D44" s="29" t="s">
        <v>416</v>
      </c>
      <c r="E44" s="29" t="s">
        <v>1681</v>
      </c>
      <c r="F44" s="30">
        <v>206501</v>
      </c>
      <c r="G44" s="29" t="s">
        <v>1495</v>
      </c>
    </row>
    <row r="45" spans="1:7">
      <c r="A45" s="29">
        <v>18</v>
      </c>
      <c r="B45" s="29" t="s">
        <v>341</v>
      </c>
      <c r="C45" s="29" t="s">
        <v>306</v>
      </c>
      <c r="D45" s="29" t="s">
        <v>416</v>
      </c>
      <c r="E45" s="29" t="s">
        <v>1681</v>
      </c>
      <c r="F45" s="30">
        <v>1873</v>
      </c>
      <c r="G45" s="29" t="s">
        <v>1495</v>
      </c>
    </row>
    <row r="46" spans="1:7">
      <c r="A46" s="29">
        <v>19</v>
      </c>
      <c r="B46" s="29" t="s">
        <v>342</v>
      </c>
      <c r="C46" s="29" t="s">
        <v>302</v>
      </c>
      <c r="D46" s="29" t="s">
        <v>416</v>
      </c>
      <c r="E46" s="29" t="s">
        <v>1681</v>
      </c>
      <c r="F46" s="30">
        <v>20047</v>
      </c>
      <c r="G46" s="29" t="s">
        <v>1495</v>
      </c>
    </row>
    <row r="47" spans="1:7">
      <c r="A47" s="29">
        <v>241</v>
      </c>
      <c r="B47" s="29" t="s">
        <v>132</v>
      </c>
      <c r="C47" s="29"/>
      <c r="D47" s="29" t="s">
        <v>416</v>
      </c>
      <c r="E47" s="29" t="s">
        <v>1681</v>
      </c>
      <c r="F47" s="30">
        <v>213103</v>
      </c>
      <c r="G47" s="29" t="s">
        <v>1495</v>
      </c>
    </row>
    <row r="48" spans="1:7">
      <c r="A48" s="29">
        <v>22</v>
      </c>
      <c r="B48" s="29" t="s">
        <v>345</v>
      </c>
      <c r="C48" s="29" t="s">
        <v>346</v>
      </c>
      <c r="D48" s="29" t="s">
        <v>416</v>
      </c>
      <c r="E48" s="29" t="s">
        <v>1681</v>
      </c>
      <c r="F48" s="30">
        <v>9455</v>
      </c>
      <c r="G48" s="29" t="s">
        <v>1495</v>
      </c>
    </row>
    <row r="49" spans="1:7">
      <c r="A49" s="29">
        <v>23</v>
      </c>
      <c r="B49" s="29" t="s">
        <v>347</v>
      </c>
      <c r="C49" s="29" t="s">
        <v>393</v>
      </c>
      <c r="D49" s="29" t="s">
        <v>416</v>
      </c>
      <c r="E49" s="29" t="s">
        <v>1681</v>
      </c>
      <c r="F49" s="30">
        <v>1345</v>
      </c>
      <c r="G49" s="29" t="s">
        <v>1495</v>
      </c>
    </row>
    <row r="50" spans="1:7">
      <c r="A50" s="29">
        <v>24</v>
      </c>
      <c r="B50" s="29" t="s">
        <v>348</v>
      </c>
      <c r="C50" s="29" t="s">
        <v>302</v>
      </c>
      <c r="D50" s="29" t="s">
        <v>416</v>
      </c>
      <c r="E50" s="29" t="s">
        <v>1681</v>
      </c>
      <c r="F50" s="30">
        <v>1749</v>
      </c>
      <c r="G50" s="29" t="s">
        <v>1495</v>
      </c>
    </row>
    <row r="51" spans="1:7">
      <c r="A51" s="29">
        <v>25</v>
      </c>
      <c r="B51" s="29" t="s">
        <v>349</v>
      </c>
      <c r="C51" s="29" t="s">
        <v>306</v>
      </c>
      <c r="D51" s="29" t="s">
        <v>416</v>
      </c>
      <c r="E51" s="29" t="s">
        <v>1681</v>
      </c>
      <c r="F51" s="30">
        <v>18702</v>
      </c>
      <c r="G51" s="29" t="s">
        <v>1495</v>
      </c>
    </row>
    <row r="52" spans="1:7">
      <c r="A52" s="29">
        <v>27</v>
      </c>
      <c r="B52" s="29" t="s">
        <v>351</v>
      </c>
      <c r="C52" s="29" t="s">
        <v>311</v>
      </c>
      <c r="D52" s="29" t="s">
        <v>416</v>
      </c>
      <c r="E52" s="29" t="s">
        <v>1681</v>
      </c>
      <c r="F52" s="30">
        <v>3915</v>
      </c>
      <c r="G52" s="29" t="s">
        <v>1495</v>
      </c>
    </row>
    <row r="53" spans="1:7">
      <c r="A53" s="29">
        <v>28</v>
      </c>
      <c r="B53" s="29" t="s">
        <v>352</v>
      </c>
      <c r="C53" s="29" t="s">
        <v>311</v>
      </c>
      <c r="D53" s="29" t="s">
        <v>416</v>
      </c>
      <c r="E53" s="29" t="s">
        <v>1681</v>
      </c>
      <c r="F53" s="30">
        <v>17263</v>
      </c>
      <c r="G53" s="29" t="s">
        <v>1495</v>
      </c>
    </row>
    <row r="54" spans="1:7">
      <c r="A54" s="29">
        <v>29</v>
      </c>
      <c r="B54" s="29" t="s">
        <v>353</v>
      </c>
      <c r="C54" s="29" t="s">
        <v>302</v>
      </c>
      <c r="D54" s="29" t="s">
        <v>416</v>
      </c>
      <c r="E54" s="29" t="s">
        <v>1681</v>
      </c>
      <c r="F54" s="30">
        <v>296</v>
      </c>
      <c r="G54" s="29" t="s">
        <v>1495</v>
      </c>
    </row>
    <row r="55" spans="1:7">
      <c r="A55" s="29">
        <v>30</v>
      </c>
      <c r="B55" s="29" t="s">
        <v>354</v>
      </c>
      <c r="C55" s="29" t="s">
        <v>393</v>
      </c>
      <c r="D55" s="29" t="s">
        <v>416</v>
      </c>
      <c r="E55" s="29" t="s">
        <v>1681</v>
      </c>
      <c r="F55" s="30">
        <v>1373</v>
      </c>
      <c r="G55" s="29" t="s">
        <v>1495</v>
      </c>
    </row>
    <row r="56" spans="1:7">
      <c r="A56" s="29">
        <v>32</v>
      </c>
      <c r="B56" s="29" t="s">
        <v>356</v>
      </c>
      <c r="C56" s="29" t="s">
        <v>302</v>
      </c>
      <c r="D56" s="29" t="s">
        <v>416</v>
      </c>
      <c r="E56" s="29" t="s">
        <v>1681</v>
      </c>
      <c r="F56" s="30">
        <v>8673</v>
      </c>
      <c r="G56" s="29" t="s">
        <v>1495</v>
      </c>
    </row>
    <row r="57" spans="1:7">
      <c r="A57" s="29">
        <v>33</v>
      </c>
      <c r="B57" s="29" t="s">
        <v>357</v>
      </c>
      <c r="C57" s="29" t="s">
        <v>311</v>
      </c>
      <c r="D57" s="29" t="s">
        <v>416</v>
      </c>
      <c r="E57" s="29" t="s">
        <v>1681</v>
      </c>
      <c r="F57" s="30">
        <v>14986</v>
      </c>
      <c r="G57" s="29" t="s">
        <v>1495</v>
      </c>
    </row>
    <row r="58" spans="1:7">
      <c r="A58" s="29">
        <v>34</v>
      </c>
      <c r="B58" s="29" t="s">
        <v>358</v>
      </c>
      <c r="C58" s="29" t="s">
        <v>404</v>
      </c>
      <c r="D58" s="29" t="s">
        <v>416</v>
      </c>
      <c r="E58" s="29" t="s">
        <v>1681</v>
      </c>
      <c r="F58" s="30">
        <v>92980</v>
      </c>
      <c r="G58" s="29" t="s">
        <v>1495</v>
      </c>
    </row>
    <row r="59" spans="1:7">
      <c r="A59" s="29">
        <v>35</v>
      </c>
      <c r="B59" s="29" t="s">
        <v>226</v>
      </c>
      <c r="C59" s="29" t="s">
        <v>227</v>
      </c>
      <c r="D59" s="29" t="s">
        <v>416</v>
      </c>
      <c r="E59" s="29" t="s">
        <v>1681</v>
      </c>
      <c r="F59" s="30">
        <v>52</v>
      </c>
      <c r="G59" s="29" t="s">
        <v>1495</v>
      </c>
    </row>
    <row r="60" spans="1:7">
      <c r="A60" s="29">
        <v>37</v>
      </c>
      <c r="B60" s="29" t="s">
        <v>229</v>
      </c>
      <c r="C60" s="29" t="s">
        <v>404</v>
      </c>
      <c r="D60" s="29" t="s">
        <v>416</v>
      </c>
      <c r="E60" s="29" t="s">
        <v>1681</v>
      </c>
      <c r="F60" s="30">
        <v>55073</v>
      </c>
      <c r="G60" s="29" t="s">
        <v>1495</v>
      </c>
    </row>
    <row r="61" spans="1:7">
      <c r="A61" s="29">
        <v>253</v>
      </c>
      <c r="B61" s="29" t="s">
        <v>144</v>
      </c>
      <c r="C61" s="29"/>
      <c r="D61" s="29" t="s">
        <v>416</v>
      </c>
      <c r="E61" s="29" t="s">
        <v>1681</v>
      </c>
      <c r="F61" s="30">
        <v>53949</v>
      </c>
      <c r="G61" s="29" t="s">
        <v>1495</v>
      </c>
    </row>
    <row r="62" spans="1:7">
      <c r="A62" s="29">
        <v>40</v>
      </c>
      <c r="B62" s="29" t="s">
        <v>232</v>
      </c>
      <c r="C62" s="29" t="s">
        <v>311</v>
      </c>
      <c r="D62" s="29" t="s">
        <v>416</v>
      </c>
      <c r="E62" s="29" t="s">
        <v>1681</v>
      </c>
      <c r="F62" s="30">
        <v>749</v>
      </c>
      <c r="G62" s="29" t="s">
        <v>1495</v>
      </c>
    </row>
    <row r="63" spans="1:7">
      <c r="A63" s="29">
        <v>41</v>
      </c>
      <c r="B63" s="29" t="s">
        <v>233</v>
      </c>
      <c r="C63" s="29" t="s">
        <v>302</v>
      </c>
      <c r="D63" s="29" t="s">
        <v>416</v>
      </c>
      <c r="E63" s="29" t="s">
        <v>1681</v>
      </c>
      <c r="F63" s="30">
        <v>4882</v>
      </c>
      <c r="G63" s="29" t="s">
        <v>1495</v>
      </c>
    </row>
    <row r="64" spans="1:7">
      <c r="A64" s="29">
        <v>42</v>
      </c>
      <c r="B64" s="29" t="s">
        <v>234</v>
      </c>
      <c r="C64" s="29" t="s">
        <v>311</v>
      </c>
      <c r="D64" s="29" t="s">
        <v>416</v>
      </c>
      <c r="E64" s="29" t="s">
        <v>1681</v>
      </c>
      <c r="F64" s="30">
        <v>18425</v>
      </c>
      <c r="G64" s="29" t="s">
        <v>1495</v>
      </c>
    </row>
    <row r="65" spans="1:7">
      <c r="A65" s="29">
        <v>43</v>
      </c>
      <c r="B65" s="29" t="s">
        <v>235</v>
      </c>
      <c r="C65" s="29" t="s">
        <v>404</v>
      </c>
      <c r="D65" s="29" t="s">
        <v>416</v>
      </c>
      <c r="E65" s="29" t="s">
        <v>1681</v>
      </c>
      <c r="F65" s="30">
        <v>73703</v>
      </c>
      <c r="G65" s="29" t="s">
        <v>1495</v>
      </c>
    </row>
    <row r="66" spans="1:7">
      <c r="A66" s="29">
        <v>44</v>
      </c>
      <c r="B66" s="29" t="s">
        <v>236</v>
      </c>
      <c r="C66" s="29" t="s">
        <v>316</v>
      </c>
      <c r="D66" s="29" t="s">
        <v>416</v>
      </c>
      <c r="E66" s="29" t="s">
        <v>1681</v>
      </c>
      <c r="F66" s="30">
        <v>392853</v>
      </c>
      <c r="G66" s="29" t="s">
        <v>1495</v>
      </c>
    </row>
    <row r="67" spans="1:7">
      <c r="A67" s="29">
        <v>45</v>
      </c>
      <c r="B67" s="29" t="s">
        <v>237</v>
      </c>
      <c r="C67" s="29" t="s">
        <v>311</v>
      </c>
      <c r="D67" s="29" t="s">
        <v>416</v>
      </c>
      <c r="E67" s="29" t="s">
        <v>1681</v>
      </c>
      <c r="F67" s="30">
        <v>12803</v>
      </c>
      <c r="G67" s="29" t="s">
        <v>1495</v>
      </c>
    </row>
    <row r="68" spans="1:7">
      <c r="A68" s="29">
        <v>47</v>
      </c>
      <c r="B68" s="29" t="s">
        <v>239</v>
      </c>
      <c r="C68" s="29" t="s">
        <v>346</v>
      </c>
      <c r="D68" s="29" t="s">
        <v>416</v>
      </c>
      <c r="E68" s="29" t="s">
        <v>1681</v>
      </c>
      <c r="F68" s="30">
        <v>8289</v>
      </c>
      <c r="G68" s="29" t="s">
        <v>1495</v>
      </c>
    </row>
    <row r="69" spans="1:7">
      <c r="A69" s="29">
        <v>39</v>
      </c>
      <c r="B69" s="29" t="s">
        <v>231</v>
      </c>
      <c r="C69" s="29" t="s">
        <v>302</v>
      </c>
      <c r="D69" s="29" t="s">
        <v>416</v>
      </c>
      <c r="E69" s="29" t="s">
        <v>1681</v>
      </c>
      <c r="F69" s="30">
        <v>1577</v>
      </c>
      <c r="G69" s="29" t="s">
        <v>1495</v>
      </c>
    </row>
    <row r="70" spans="1:7">
      <c r="A70" s="29">
        <v>46</v>
      </c>
      <c r="B70" s="29" t="s">
        <v>238</v>
      </c>
      <c r="C70" s="29" t="s">
        <v>227</v>
      </c>
      <c r="D70" s="29" t="s">
        <v>416</v>
      </c>
      <c r="E70" s="29" t="s">
        <v>1681</v>
      </c>
      <c r="F70" s="30">
        <v>85</v>
      </c>
      <c r="G70" s="29" t="s">
        <v>1495</v>
      </c>
    </row>
    <row r="71" spans="1:7">
      <c r="A71" s="29">
        <v>242</v>
      </c>
      <c r="B71" s="29" t="s">
        <v>138</v>
      </c>
      <c r="C71" s="29"/>
      <c r="D71" s="29" t="s">
        <v>416</v>
      </c>
      <c r="E71" s="29" t="s">
        <v>1681</v>
      </c>
      <c r="F71" s="30">
        <v>115338</v>
      </c>
      <c r="G71" s="29" t="s">
        <v>1495</v>
      </c>
    </row>
    <row r="72" spans="1:7">
      <c r="A72" s="29">
        <v>48</v>
      </c>
      <c r="B72" s="29" t="s">
        <v>240</v>
      </c>
      <c r="C72" s="29" t="s">
        <v>393</v>
      </c>
      <c r="D72" s="29" t="s">
        <v>416</v>
      </c>
      <c r="E72" s="29" t="s">
        <v>1681</v>
      </c>
      <c r="F72" s="30">
        <v>10526</v>
      </c>
      <c r="G72" s="29" t="s">
        <v>1495</v>
      </c>
    </row>
    <row r="73" spans="1:7">
      <c r="A73" s="29">
        <v>49</v>
      </c>
      <c r="B73" s="29" t="s">
        <v>241</v>
      </c>
      <c r="C73" s="29" t="s">
        <v>346</v>
      </c>
      <c r="D73" s="29" t="s">
        <v>416</v>
      </c>
      <c r="E73" s="29" t="s">
        <v>1681</v>
      </c>
      <c r="F73" s="30">
        <v>53731</v>
      </c>
      <c r="G73" s="29" t="s">
        <v>1495</v>
      </c>
    </row>
    <row r="74" spans="1:7">
      <c r="A74" s="29">
        <v>51</v>
      </c>
      <c r="B74" s="29" t="s">
        <v>243</v>
      </c>
      <c r="C74" s="29" t="s">
        <v>306</v>
      </c>
      <c r="D74" s="29" t="s">
        <v>416</v>
      </c>
      <c r="E74" s="29" t="s">
        <v>1681</v>
      </c>
      <c r="F74" s="30">
        <v>8743</v>
      </c>
      <c r="G74" s="29" t="s">
        <v>1495</v>
      </c>
    </row>
    <row r="75" spans="1:7">
      <c r="A75" s="29">
        <v>52</v>
      </c>
      <c r="B75" s="29" t="s">
        <v>244</v>
      </c>
      <c r="C75" s="29" t="s">
        <v>306</v>
      </c>
      <c r="D75" s="29" t="s">
        <v>416</v>
      </c>
      <c r="E75" s="29" t="s">
        <v>1681</v>
      </c>
      <c r="F75" s="30">
        <v>2708</v>
      </c>
      <c r="G75" s="29" t="s">
        <v>1495</v>
      </c>
    </row>
    <row r="76" spans="1:7">
      <c r="A76" s="29">
        <v>53</v>
      </c>
      <c r="B76" s="29" t="s">
        <v>245</v>
      </c>
      <c r="C76" s="29" t="s">
        <v>302</v>
      </c>
      <c r="D76" s="29" t="s">
        <v>416</v>
      </c>
      <c r="E76" s="29" t="s">
        <v>1681</v>
      </c>
      <c r="F76" s="30">
        <v>2034</v>
      </c>
      <c r="G76" s="29" t="s">
        <v>1495</v>
      </c>
    </row>
    <row r="77" spans="1:7">
      <c r="A77" s="29">
        <v>54</v>
      </c>
      <c r="B77" s="29" t="s">
        <v>246</v>
      </c>
      <c r="C77" s="29" t="s">
        <v>306</v>
      </c>
      <c r="D77" s="29" t="s">
        <v>416</v>
      </c>
      <c r="E77" s="29" t="s">
        <v>1681</v>
      </c>
      <c r="F77" s="30">
        <v>3571</v>
      </c>
      <c r="G77" s="29" t="s">
        <v>1495</v>
      </c>
    </row>
    <row r="78" spans="1:7">
      <c r="A78" s="29">
        <v>56</v>
      </c>
      <c r="B78" s="29" t="s">
        <v>248</v>
      </c>
      <c r="C78" s="29" t="s">
        <v>306</v>
      </c>
      <c r="D78" s="29" t="s">
        <v>416</v>
      </c>
      <c r="E78" s="29" t="s">
        <v>1681</v>
      </c>
      <c r="F78" s="30">
        <v>2147</v>
      </c>
      <c r="G78" s="29" t="s">
        <v>1495</v>
      </c>
    </row>
    <row r="79" spans="1:7">
      <c r="A79" s="29">
        <v>57</v>
      </c>
      <c r="B79" s="29" t="s">
        <v>249</v>
      </c>
      <c r="C79" s="29" t="s">
        <v>306</v>
      </c>
      <c r="D79" s="29" t="s">
        <v>416</v>
      </c>
      <c r="E79" s="29" t="s">
        <v>1681</v>
      </c>
      <c r="F79" s="30">
        <v>517</v>
      </c>
      <c r="G79" s="29" t="s">
        <v>1495</v>
      </c>
    </row>
    <row r="80" spans="1:7">
      <c r="A80" s="29">
        <v>58</v>
      </c>
      <c r="B80" s="29" t="s">
        <v>250</v>
      </c>
      <c r="C80" s="29" t="s">
        <v>346</v>
      </c>
      <c r="D80" s="29" t="s">
        <v>416</v>
      </c>
      <c r="E80" s="29" t="s">
        <v>1681</v>
      </c>
      <c r="F80" s="30">
        <v>45267</v>
      </c>
      <c r="G80" s="29" t="s">
        <v>1495</v>
      </c>
    </row>
    <row r="81" spans="1:7">
      <c r="A81" s="29">
        <v>59</v>
      </c>
      <c r="B81" s="29" t="s">
        <v>251</v>
      </c>
      <c r="C81" s="29" t="s">
        <v>316</v>
      </c>
      <c r="D81" s="29" t="s">
        <v>416</v>
      </c>
      <c r="E81" s="29" t="s">
        <v>1681</v>
      </c>
      <c r="F81" s="30">
        <v>100516</v>
      </c>
      <c r="G81" s="29" t="s">
        <v>1495</v>
      </c>
    </row>
    <row r="82" spans="1:7">
      <c r="A82" s="29">
        <v>60</v>
      </c>
      <c r="B82" s="29" t="s">
        <v>252</v>
      </c>
      <c r="C82" s="29" t="s">
        <v>306</v>
      </c>
      <c r="D82" s="29" t="s">
        <v>416</v>
      </c>
      <c r="E82" s="29" t="s">
        <v>1681</v>
      </c>
      <c r="F82" s="30">
        <v>2765</v>
      </c>
      <c r="G82" s="29" t="s">
        <v>1495</v>
      </c>
    </row>
    <row r="83" spans="1:7">
      <c r="A83" s="29">
        <v>62</v>
      </c>
      <c r="B83" s="29" t="s">
        <v>254</v>
      </c>
      <c r="C83" s="29" t="s">
        <v>316</v>
      </c>
      <c r="D83" s="29" t="s">
        <v>416</v>
      </c>
      <c r="E83" s="29" t="s">
        <v>1681</v>
      </c>
      <c r="F83" s="30">
        <v>162316</v>
      </c>
      <c r="G83" s="29" t="s">
        <v>1495</v>
      </c>
    </row>
    <row r="84" spans="1:7">
      <c r="A84" s="29">
        <v>63</v>
      </c>
      <c r="B84" s="29" t="s">
        <v>255</v>
      </c>
      <c r="C84" s="29" t="s">
        <v>302</v>
      </c>
      <c r="D84" s="29" t="s">
        <v>416</v>
      </c>
      <c r="E84" s="29" t="s">
        <v>1681</v>
      </c>
      <c r="F84" s="30">
        <v>1103</v>
      </c>
      <c r="G84" s="29" t="s">
        <v>1495</v>
      </c>
    </row>
    <row r="85" spans="1:7">
      <c r="A85" s="29">
        <v>64</v>
      </c>
      <c r="B85" s="29" t="s">
        <v>256</v>
      </c>
      <c r="C85" s="29" t="s">
        <v>325</v>
      </c>
      <c r="D85" s="29" t="s">
        <v>416</v>
      </c>
      <c r="E85" s="29" t="s">
        <v>1681</v>
      </c>
      <c r="F85" s="30">
        <v>3564108</v>
      </c>
      <c r="G85" s="29" t="s">
        <v>1495</v>
      </c>
    </row>
    <row r="86" spans="1:7">
      <c r="A86" s="29">
        <v>65</v>
      </c>
      <c r="B86" s="29" t="s">
        <v>257</v>
      </c>
      <c r="C86" s="29" t="s">
        <v>302</v>
      </c>
      <c r="D86" s="29" t="s">
        <v>416</v>
      </c>
      <c r="E86" s="29" t="s">
        <v>1681</v>
      </c>
      <c r="F86" s="30">
        <v>1354</v>
      </c>
      <c r="G86" s="29" t="s">
        <v>1495</v>
      </c>
    </row>
    <row r="87" spans="1:7">
      <c r="A87" s="29">
        <v>69</v>
      </c>
      <c r="B87" s="29" t="s">
        <v>261</v>
      </c>
      <c r="C87" s="29" t="s">
        <v>316</v>
      </c>
      <c r="D87" s="29" t="s">
        <v>416</v>
      </c>
      <c r="E87" s="29" t="s">
        <v>1681</v>
      </c>
      <c r="F87" s="30">
        <v>67536</v>
      </c>
      <c r="G87" s="29" t="s">
        <v>1495</v>
      </c>
    </row>
    <row r="88" spans="1:7">
      <c r="A88" s="29">
        <v>71</v>
      </c>
      <c r="B88" s="29" t="s">
        <v>263</v>
      </c>
      <c r="C88" s="29" t="s">
        <v>302</v>
      </c>
      <c r="D88" s="29" t="s">
        <v>416</v>
      </c>
      <c r="E88" s="29" t="s">
        <v>1681</v>
      </c>
      <c r="F88" s="30">
        <v>3389</v>
      </c>
      <c r="G88" s="29" t="s">
        <v>1495</v>
      </c>
    </row>
    <row r="89" spans="1:7">
      <c r="A89" s="29">
        <v>72</v>
      </c>
      <c r="B89" s="29" t="s">
        <v>264</v>
      </c>
      <c r="C89" s="29" t="s">
        <v>311</v>
      </c>
      <c r="D89" s="29" t="s">
        <v>416</v>
      </c>
      <c r="E89" s="29" t="s">
        <v>1681</v>
      </c>
      <c r="F89" s="30">
        <v>14182</v>
      </c>
      <c r="G89" s="29" t="s">
        <v>1495</v>
      </c>
    </row>
    <row r="90" spans="1:7">
      <c r="A90" s="29">
        <v>73</v>
      </c>
      <c r="B90" s="29" t="s">
        <v>265</v>
      </c>
      <c r="C90" s="29" t="s">
        <v>302</v>
      </c>
      <c r="D90" s="29" t="s">
        <v>416</v>
      </c>
      <c r="E90" s="29" t="s">
        <v>1681</v>
      </c>
      <c r="F90" s="30">
        <v>9206</v>
      </c>
      <c r="G90" s="29" t="s">
        <v>1495</v>
      </c>
    </row>
    <row r="91" spans="1:7">
      <c r="A91" s="29">
        <v>74</v>
      </c>
      <c r="B91" s="29" t="s">
        <v>266</v>
      </c>
      <c r="C91" s="29" t="s">
        <v>302</v>
      </c>
      <c r="D91" s="29" t="s">
        <v>416</v>
      </c>
      <c r="E91" s="29" t="s">
        <v>1681</v>
      </c>
      <c r="F91" s="30">
        <v>1255</v>
      </c>
      <c r="G91" s="29" t="s">
        <v>1495</v>
      </c>
    </row>
    <row r="92" spans="1:7">
      <c r="A92" s="29">
        <v>76</v>
      </c>
      <c r="B92" s="29" t="s">
        <v>268</v>
      </c>
      <c r="C92" s="29" t="s">
        <v>306</v>
      </c>
      <c r="D92" s="29" t="s">
        <v>416</v>
      </c>
      <c r="E92" s="29" t="s">
        <v>1681</v>
      </c>
      <c r="F92" s="30">
        <v>1809</v>
      </c>
      <c r="G92" s="29" t="s">
        <v>1495</v>
      </c>
    </row>
    <row r="93" spans="1:7">
      <c r="A93" s="29">
        <v>77</v>
      </c>
      <c r="B93" s="29" t="s">
        <v>269</v>
      </c>
      <c r="C93" s="29" t="s">
        <v>316</v>
      </c>
      <c r="D93" s="29" t="s">
        <v>416</v>
      </c>
      <c r="E93" s="29" t="s">
        <v>1681</v>
      </c>
      <c r="F93" s="30">
        <v>165198</v>
      </c>
      <c r="G93" s="29" t="s">
        <v>1495</v>
      </c>
    </row>
    <row r="94" spans="1:7">
      <c r="A94" s="29">
        <v>80</v>
      </c>
      <c r="B94" s="29" t="s">
        <v>273</v>
      </c>
      <c r="C94" s="29" t="s">
        <v>404</v>
      </c>
      <c r="D94" s="29" t="s">
        <v>416</v>
      </c>
      <c r="E94" s="29" t="s">
        <v>1681</v>
      </c>
      <c r="F94" s="30">
        <v>796690</v>
      </c>
      <c r="G94" s="29" t="s">
        <v>1495</v>
      </c>
    </row>
    <row r="95" spans="1:7">
      <c r="A95" s="29">
        <v>83</v>
      </c>
      <c r="B95" s="29" t="s">
        <v>276</v>
      </c>
      <c r="C95" s="29" t="s">
        <v>316</v>
      </c>
      <c r="D95" s="29" t="s">
        <v>416</v>
      </c>
      <c r="E95" s="29" t="s">
        <v>1681</v>
      </c>
      <c r="F95" s="30">
        <v>1054736</v>
      </c>
      <c r="G95" s="29" t="s">
        <v>1495</v>
      </c>
    </row>
    <row r="96" spans="1:7">
      <c r="A96" s="29">
        <v>84</v>
      </c>
      <c r="B96" s="29" t="s">
        <v>278</v>
      </c>
      <c r="C96" s="29" t="s">
        <v>311</v>
      </c>
      <c r="D96" s="29" t="s">
        <v>416</v>
      </c>
      <c r="E96" s="29" t="s">
        <v>1681</v>
      </c>
      <c r="F96" s="30">
        <v>28916</v>
      </c>
      <c r="G96" s="29" t="s">
        <v>1495</v>
      </c>
    </row>
    <row r="97" spans="1:7">
      <c r="A97" s="29">
        <v>85</v>
      </c>
      <c r="B97" s="29" t="s">
        <v>279</v>
      </c>
      <c r="C97" s="29" t="s">
        <v>306</v>
      </c>
      <c r="D97" s="29" t="s">
        <v>416</v>
      </c>
      <c r="E97" s="29" t="s">
        <v>1681</v>
      </c>
      <c r="F97" s="30">
        <v>9857</v>
      </c>
      <c r="G97" s="29" t="s">
        <v>1495</v>
      </c>
    </row>
    <row r="98" spans="1:7">
      <c r="A98" s="29">
        <v>86</v>
      </c>
      <c r="B98" s="29" t="s">
        <v>280</v>
      </c>
      <c r="C98" s="29" t="s">
        <v>346</v>
      </c>
      <c r="D98" s="29" t="s">
        <v>416</v>
      </c>
      <c r="E98" s="29" t="s">
        <v>1681</v>
      </c>
      <c r="F98" s="30">
        <v>22455</v>
      </c>
      <c r="G98" s="29" t="s">
        <v>1495</v>
      </c>
    </row>
    <row r="99" spans="1:7">
      <c r="A99" s="29">
        <v>88</v>
      </c>
      <c r="B99" s="29" t="s">
        <v>282</v>
      </c>
      <c r="C99" s="29" t="s">
        <v>316</v>
      </c>
      <c r="D99" s="29" t="s">
        <v>416</v>
      </c>
      <c r="E99" s="29" t="s">
        <v>1681</v>
      </c>
      <c r="F99" s="30">
        <v>168193</v>
      </c>
      <c r="G99" s="29" t="s">
        <v>1495</v>
      </c>
    </row>
    <row r="100" spans="1:7">
      <c r="A100" s="29">
        <v>89</v>
      </c>
      <c r="B100" s="29" t="s">
        <v>283</v>
      </c>
      <c r="C100" s="29" t="s">
        <v>325</v>
      </c>
      <c r="D100" s="29" t="s">
        <v>416</v>
      </c>
      <c r="E100" s="29" t="s">
        <v>1681</v>
      </c>
      <c r="F100" s="30">
        <v>728719</v>
      </c>
      <c r="G100" s="29" t="s">
        <v>1495</v>
      </c>
    </row>
    <row r="101" spans="1:7">
      <c r="A101" s="29">
        <v>91</v>
      </c>
      <c r="B101" s="29" t="s">
        <v>285</v>
      </c>
      <c r="C101" s="29" t="s">
        <v>306</v>
      </c>
      <c r="D101" s="29" t="s">
        <v>416</v>
      </c>
      <c r="E101" s="29" t="s">
        <v>1681</v>
      </c>
      <c r="F101" s="30">
        <v>2747</v>
      </c>
      <c r="G101" s="29" t="s">
        <v>1495</v>
      </c>
    </row>
    <row r="102" spans="1:7">
      <c r="A102" s="29">
        <v>92</v>
      </c>
      <c r="B102" s="29" t="s">
        <v>286</v>
      </c>
      <c r="C102" s="29" t="s">
        <v>393</v>
      </c>
      <c r="D102" s="29" t="s">
        <v>416</v>
      </c>
      <c r="E102" s="29" t="s">
        <v>1681</v>
      </c>
      <c r="F102" s="30">
        <v>2288</v>
      </c>
      <c r="G102" s="29" t="s">
        <v>1495</v>
      </c>
    </row>
    <row r="103" spans="1:7">
      <c r="A103" s="9">
        <v>93</v>
      </c>
      <c r="B103" s="9" t="s">
        <v>287</v>
      </c>
      <c r="C103" s="9" t="s">
        <v>325</v>
      </c>
      <c r="D103" s="9" t="s">
        <v>416</v>
      </c>
      <c r="E103" s="9" t="s">
        <v>1681</v>
      </c>
      <c r="F103" s="33">
        <v>2167633</v>
      </c>
      <c r="G103" s="9" t="s">
        <v>1495</v>
      </c>
    </row>
    <row r="104" spans="1:7">
      <c r="A104" s="29">
        <v>95</v>
      </c>
      <c r="B104" s="29" t="s">
        <v>290</v>
      </c>
      <c r="C104" s="29" t="s">
        <v>325</v>
      </c>
      <c r="D104" s="29" t="s">
        <v>416</v>
      </c>
      <c r="E104" s="29" t="s">
        <v>1681</v>
      </c>
      <c r="F104" s="30">
        <v>773517</v>
      </c>
      <c r="G104" s="29" t="s">
        <v>1495</v>
      </c>
    </row>
    <row r="105" spans="1:7">
      <c r="A105" s="29">
        <v>96</v>
      </c>
      <c r="B105" s="29" t="s">
        <v>164</v>
      </c>
      <c r="C105" s="29" t="s">
        <v>311</v>
      </c>
      <c r="D105" s="29" t="s">
        <v>416</v>
      </c>
      <c r="E105" s="29" t="s">
        <v>1681</v>
      </c>
      <c r="F105" s="30">
        <v>41318</v>
      </c>
      <c r="G105" s="29" t="s">
        <v>1495</v>
      </c>
    </row>
    <row r="106" spans="1:7">
      <c r="A106" s="29">
        <v>94</v>
      </c>
      <c r="B106" s="29" t="s">
        <v>289</v>
      </c>
      <c r="C106" s="29" t="s">
        <v>311</v>
      </c>
      <c r="D106" s="29" t="s">
        <v>416</v>
      </c>
      <c r="E106" s="29" t="s">
        <v>1681</v>
      </c>
      <c r="F106" s="30">
        <v>16901</v>
      </c>
      <c r="G106" s="29" t="s">
        <v>1495</v>
      </c>
    </row>
    <row r="107" spans="1:7">
      <c r="A107" s="29">
        <v>97</v>
      </c>
      <c r="B107" s="29" t="s">
        <v>165</v>
      </c>
      <c r="C107" s="29" t="s">
        <v>306</v>
      </c>
      <c r="D107" s="29" t="s">
        <v>416</v>
      </c>
      <c r="E107" s="29" t="s">
        <v>1681</v>
      </c>
      <c r="F107" s="30">
        <v>2997</v>
      </c>
      <c r="G107" s="29" t="s">
        <v>1495</v>
      </c>
    </row>
    <row r="108" spans="1:7">
      <c r="A108" s="29">
        <v>98</v>
      </c>
      <c r="B108" s="29" t="s">
        <v>166</v>
      </c>
      <c r="C108" s="29" t="s">
        <v>302</v>
      </c>
      <c r="D108" s="29" t="s">
        <v>416</v>
      </c>
      <c r="E108" s="29" t="s">
        <v>1681</v>
      </c>
      <c r="F108" s="30">
        <v>333</v>
      </c>
      <c r="G108" s="29" t="s">
        <v>1495</v>
      </c>
    </row>
    <row r="109" spans="1:7">
      <c r="A109" s="29">
        <v>99</v>
      </c>
      <c r="B109" s="29" t="s">
        <v>167</v>
      </c>
      <c r="C109" s="29" t="s">
        <v>302</v>
      </c>
      <c r="D109" s="29" t="s">
        <v>416</v>
      </c>
      <c r="E109" s="29" t="s">
        <v>1681</v>
      </c>
      <c r="F109" s="30">
        <v>7634</v>
      </c>
      <c r="G109" s="29" t="s">
        <v>1495</v>
      </c>
    </row>
    <row r="110" spans="1:7">
      <c r="A110" s="29">
        <v>101</v>
      </c>
      <c r="B110" s="29" t="s">
        <v>169</v>
      </c>
      <c r="C110" s="29" t="s">
        <v>311</v>
      </c>
      <c r="D110" s="29" t="s">
        <v>416</v>
      </c>
      <c r="E110" s="29" t="s">
        <v>1681</v>
      </c>
      <c r="F110" s="30">
        <v>9323</v>
      </c>
      <c r="G110" s="29" t="s">
        <v>1495</v>
      </c>
    </row>
    <row r="111" spans="1:7">
      <c r="A111" s="29">
        <v>102</v>
      </c>
      <c r="B111" s="29" t="s">
        <v>170</v>
      </c>
      <c r="C111" s="29" t="s">
        <v>302</v>
      </c>
      <c r="D111" s="29" t="s">
        <v>416</v>
      </c>
      <c r="E111" s="29" t="s">
        <v>1681</v>
      </c>
      <c r="F111" s="30">
        <v>6866</v>
      </c>
      <c r="G111" s="29" t="s">
        <v>1495</v>
      </c>
    </row>
    <row r="112" spans="1:7">
      <c r="A112" s="29">
        <v>103</v>
      </c>
      <c r="B112" s="29" t="s">
        <v>171</v>
      </c>
      <c r="C112" s="29" t="s">
        <v>404</v>
      </c>
      <c r="D112" s="29" t="s">
        <v>416</v>
      </c>
      <c r="E112" s="29" t="s">
        <v>1681</v>
      </c>
      <c r="F112" s="30">
        <v>46950</v>
      </c>
      <c r="G112" s="29" t="s">
        <v>1495</v>
      </c>
    </row>
    <row r="113" spans="1:7">
      <c r="A113" s="29">
        <v>104</v>
      </c>
      <c r="B113" s="29" t="s">
        <v>172</v>
      </c>
      <c r="C113" s="29" t="s">
        <v>404</v>
      </c>
      <c r="D113" s="29" t="s">
        <v>416</v>
      </c>
      <c r="E113" s="29" t="s">
        <v>1681</v>
      </c>
      <c r="F113" s="30">
        <v>354966</v>
      </c>
      <c r="G113" s="29" t="s">
        <v>1495</v>
      </c>
    </row>
    <row r="114" spans="1:7">
      <c r="A114" s="29">
        <v>106</v>
      </c>
      <c r="B114" s="29" t="s">
        <v>174</v>
      </c>
      <c r="C114" s="29" t="s">
        <v>311</v>
      </c>
      <c r="D114" s="29" t="s">
        <v>416</v>
      </c>
      <c r="E114" s="29" t="s">
        <v>1681</v>
      </c>
      <c r="F114" s="30">
        <v>9391</v>
      </c>
      <c r="G114" s="29" t="s">
        <v>1495</v>
      </c>
    </row>
    <row r="115" spans="1:7">
      <c r="A115" s="29">
        <v>108</v>
      </c>
      <c r="B115" s="29" t="s">
        <v>176</v>
      </c>
      <c r="C115" s="29" t="s">
        <v>393</v>
      </c>
      <c r="D115" s="29" t="s">
        <v>416</v>
      </c>
      <c r="E115" s="29" t="s">
        <v>1681</v>
      </c>
      <c r="F115" s="30">
        <v>644</v>
      </c>
      <c r="G115" s="29" t="s">
        <v>1495</v>
      </c>
    </row>
    <row r="116" spans="1:7">
      <c r="A116" s="29">
        <v>109</v>
      </c>
      <c r="B116" s="29" t="s">
        <v>177</v>
      </c>
      <c r="C116" s="29" t="s">
        <v>316</v>
      </c>
      <c r="D116" s="29" t="s">
        <v>416</v>
      </c>
      <c r="E116" s="29" t="s">
        <v>1681</v>
      </c>
      <c r="F116" s="30">
        <v>74328</v>
      </c>
      <c r="G116" s="29" t="s">
        <v>1495</v>
      </c>
    </row>
    <row r="117" spans="1:7">
      <c r="A117" s="29">
        <v>110</v>
      </c>
      <c r="B117" s="29" t="s">
        <v>178</v>
      </c>
      <c r="C117" s="29" t="s">
        <v>346</v>
      </c>
      <c r="D117" s="29" t="s">
        <v>416</v>
      </c>
      <c r="E117" s="29" t="s">
        <v>1681</v>
      </c>
      <c r="F117" s="30">
        <v>164707</v>
      </c>
      <c r="G117" s="29" t="s">
        <v>1495</v>
      </c>
    </row>
    <row r="118" spans="1:7">
      <c r="A118" s="29">
        <v>111</v>
      </c>
      <c r="B118" s="29" t="s">
        <v>179</v>
      </c>
      <c r="C118" s="29" t="s">
        <v>346</v>
      </c>
      <c r="D118" s="29" t="s">
        <v>416</v>
      </c>
      <c r="E118" s="29" t="s">
        <v>1681</v>
      </c>
      <c r="F118" s="30">
        <v>2625</v>
      </c>
      <c r="G118" s="29" t="s">
        <v>1495</v>
      </c>
    </row>
    <row r="119" spans="1:7">
      <c r="A119" s="29">
        <v>112</v>
      </c>
      <c r="B119" s="29" t="s">
        <v>180</v>
      </c>
      <c r="C119" s="29" t="s">
        <v>393</v>
      </c>
      <c r="D119" s="29" t="s">
        <v>416</v>
      </c>
      <c r="E119" s="29" t="s">
        <v>1681</v>
      </c>
      <c r="F119" s="30">
        <v>2791</v>
      </c>
      <c r="G119" s="29" t="s">
        <v>1495</v>
      </c>
    </row>
    <row r="120" spans="1:7">
      <c r="A120" s="29">
        <v>113</v>
      </c>
      <c r="B120" s="29" t="s">
        <v>181</v>
      </c>
      <c r="C120" s="29" t="s">
        <v>302</v>
      </c>
      <c r="D120" s="29" t="s">
        <v>416</v>
      </c>
      <c r="E120" s="29" t="s">
        <v>1681</v>
      </c>
      <c r="F120" s="30">
        <v>13173</v>
      </c>
      <c r="G120" s="29" t="s">
        <v>1495</v>
      </c>
    </row>
    <row r="121" spans="1:7">
      <c r="A121" s="29">
        <v>114</v>
      </c>
      <c r="B121" s="29" t="s">
        <v>182</v>
      </c>
      <c r="C121" s="29" t="s">
        <v>302</v>
      </c>
      <c r="D121" s="29" t="s">
        <v>416</v>
      </c>
      <c r="E121" s="29" t="s">
        <v>1681</v>
      </c>
      <c r="F121" s="30">
        <v>14193</v>
      </c>
      <c r="G121" s="29" t="s">
        <v>1495</v>
      </c>
    </row>
    <row r="122" spans="1:7">
      <c r="A122" s="29">
        <v>116</v>
      </c>
      <c r="B122" s="29" t="s">
        <v>184</v>
      </c>
      <c r="C122" s="29" t="s">
        <v>316</v>
      </c>
      <c r="D122" s="29" t="s">
        <v>416</v>
      </c>
      <c r="E122" s="29" t="s">
        <v>1681</v>
      </c>
      <c r="F122" s="30">
        <v>43847</v>
      </c>
      <c r="G122" s="29" t="s">
        <v>1495</v>
      </c>
    </row>
    <row r="123" spans="1:7">
      <c r="A123" s="29">
        <v>117</v>
      </c>
      <c r="B123" s="29" t="s">
        <v>185</v>
      </c>
      <c r="C123" s="29" t="s">
        <v>227</v>
      </c>
      <c r="D123" s="29" t="s">
        <v>416</v>
      </c>
      <c r="E123" s="29" t="s">
        <v>1681</v>
      </c>
      <c r="F123" s="30">
        <v>66</v>
      </c>
      <c r="G123" s="29" t="s">
        <v>1495</v>
      </c>
    </row>
    <row r="124" spans="1:7">
      <c r="A124" s="29">
        <v>201</v>
      </c>
      <c r="B124" s="29" t="s">
        <v>113</v>
      </c>
      <c r="C124" s="29" t="s">
        <v>302</v>
      </c>
      <c r="D124" s="29" t="s">
        <v>416</v>
      </c>
      <c r="E124" s="29" t="s">
        <v>1681</v>
      </c>
      <c r="F124" s="30">
        <v>8207</v>
      </c>
      <c r="G124" s="29" t="s">
        <v>1495</v>
      </c>
    </row>
    <row r="125" spans="1:7">
      <c r="A125" s="29">
        <v>210</v>
      </c>
      <c r="B125" s="29" t="s">
        <v>120</v>
      </c>
      <c r="C125" s="29" t="s">
        <v>393</v>
      </c>
      <c r="D125" s="29" t="s">
        <v>416</v>
      </c>
      <c r="E125" s="29" t="s">
        <v>1681</v>
      </c>
      <c r="F125" s="30">
        <v>1103</v>
      </c>
      <c r="G125" s="29" t="s">
        <v>1495</v>
      </c>
    </row>
    <row r="126" spans="1:7">
      <c r="A126" s="29">
        <v>212</v>
      </c>
      <c r="B126" s="29" t="s">
        <v>122</v>
      </c>
      <c r="C126" s="29" t="s">
        <v>393</v>
      </c>
      <c r="D126" s="29" t="s">
        <v>416</v>
      </c>
      <c r="E126" s="29" t="s">
        <v>1681</v>
      </c>
      <c r="F126" s="30">
        <v>247</v>
      </c>
      <c r="G126" s="29" t="s">
        <v>1495</v>
      </c>
    </row>
    <row r="127" spans="1:7">
      <c r="A127" s="29">
        <v>213</v>
      </c>
      <c r="B127" s="29" t="s">
        <v>123</v>
      </c>
      <c r="C127" s="29" t="s">
        <v>393</v>
      </c>
      <c r="D127" s="29" t="s">
        <v>416</v>
      </c>
      <c r="E127" s="29" t="s">
        <v>1681</v>
      </c>
      <c r="F127" s="30">
        <v>11842</v>
      </c>
      <c r="G127" s="29" t="s">
        <v>1495</v>
      </c>
    </row>
    <row r="128" spans="1:7">
      <c r="A128" s="29">
        <v>214</v>
      </c>
      <c r="B128" s="29" t="s">
        <v>124</v>
      </c>
      <c r="C128" s="29" t="s">
        <v>393</v>
      </c>
      <c r="D128" s="29" t="s">
        <v>416</v>
      </c>
      <c r="E128" s="29" t="s">
        <v>1681</v>
      </c>
      <c r="F128" s="30">
        <v>4113</v>
      </c>
      <c r="G128" s="29" t="s">
        <v>1495</v>
      </c>
    </row>
    <row r="129" spans="1:7">
      <c r="A129" s="29">
        <v>215</v>
      </c>
      <c r="B129" s="29" t="s">
        <v>125</v>
      </c>
      <c r="C129" s="29" t="s">
        <v>306</v>
      </c>
      <c r="D129" s="29" t="s">
        <v>416</v>
      </c>
      <c r="E129" s="29" t="s">
        <v>1681</v>
      </c>
      <c r="F129" s="30">
        <v>347</v>
      </c>
      <c r="G129" s="29" t="s">
        <v>1495</v>
      </c>
    </row>
    <row r="130" spans="1:7">
      <c r="A130" s="29">
        <v>216</v>
      </c>
      <c r="B130" s="29" t="s">
        <v>126</v>
      </c>
      <c r="C130" s="29" t="s">
        <v>302</v>
      </c>
      <c r="D130" s="29" t="s">
        <v>416</v>
      </c>
      <c r="E130" s="29" t="s">
        <v>1681</v>
      </c>
      <c r="F130" s="30">
        <v>3853</v>
      </c>
      <c r="G130" s="29" t="s">
        <v>1495</v>
      </c>
    </row>
    <row r="131" spans="1:7">
      <c r="A131" s="29">
        <v>217</v>
      </c>
      <c r="B131" s="29" t="s">
        <v>127</v>
      </c>
      <c r="C131" s="29" t="s">
        <v>393</v>
      </c>
      <c r="D131" s="29" t="s">
        <v>416</v>
      </c>
      <c r="E131" s="29" t="s">
        <v>1681</v>
      </c>
      <c r="F131" s="30">
        <v>9038</v>
      </c>
      <c r="G131" s="29" t="s">
        <v>1495</v>
      </c>
    </row>
    <row r="132" spans="1:7">
      <c r="A132" s="29">
        <v>218</v>
      </c>
      <c r="B132" s="29" t="s">
        <v>128</v>
      </c>
      <c r="C132" s="29" t="s">
        <v>393</v>
      </c>
      <c r="D132" s="29" t="s">
        <v>416</v>
      </c>
      <c r="E132" s="29" t="s">
        <v>1681</v>
      </c>
      <c r="F132" s="30">
        <v>1448</v>
      </c>
      <c r="G132" s="29" t="s">
        <v>1495</v>
      </c>
    </row>
    <row r="133" spans="1:7">
      <c r="A133" s="29">
        <v>219</v>
      </c>
      <c r="B133" s="29" t="s">
        <v>129</v>
      </c>
      <c r="C133" s="29" t="s">
        <v>393</v>
      </c>
      <c r="D133" s="29" t="s">
        <v>416</v>
      </c>
      <c r="E133" s="29" t="s">
        <v>1681</v>
      </c>
      <c r="F133" s="30">
        <v>34038</v>
      </c>
      <c r="G133" s="29" t="s">
        <v>1495</v>
      </c>
    </row>
    <row r="134" spans="1:7">
      <c r="A134" s="29">
        <v>204</v>
      </c>
      <c r="B134" s="29" t="s">
        <v>114</v>
      </c>
      <c r="C134" s="29" t="s">
        <v>393</v>
      </c>
      <c r="D134" s="29" t="s">
        <v>416</v>
      </c>
      <c r="E134" s="29" t="s">
        <v>1681</v>
      </c>
      <c r="F134" s="30">
        <v>10531</v>
      </c>
      <c r="G134" s="29" t="s">
        <v>1495</v>
      </c>
    </row>
    <row r="135" spans="1:7">
      <c r="A135" s="29">
        <v>205</v>
      </c>
      <c r="B135" s="29" t="s">
        <v>115</v>
      </c>
      <c r="C135" s="29" t="s">
        <v>306</v>
      </c>
      <c r="D135" s="29" t="s">
        <v>416</v>
      </c>
      <c r="E135" s="29" t="s">
        <v>1681</v>
      </c>
      <c r="F135" s="30">
        <v>4487</v>
      </c>
      <c r="G135" s="29" t="s">
        <v>1495</v>
      </c>
    </row>
    <row r="136" spans="1:7">
      <c r="A136" s="29">
        <v>206</v>
      </c>
      <c r="B136" s="29" t="s">
        <v>116</v>
      </c>
      <c r="C136" s="29" t="s">
        <v>302</v>
      </c>
      <c r="D136" s="29" t="s">
        <v>416</v>
      </c>
      <c r="E136" s="29" t="s">
        <v>1681</v>
      </c>
      <c r="F136" s="30">
        <v>391</v>
      </c>
      <c r="G136" s="29" t="s">
        <v>1495</v>
      </c>
    </row>
    <row r="137" spans="1:7">
      <c r="A137" s="29">
        <v>207</v>
      </c>
      <c r="B137" s="29" t="s">
        <v>117</v>
      </c>
      <c r="C137" s="29" t="s">
        <v>393</v>
      </c>
      <c r="D137" s="29" t="s">
        <v>416</v>
      </c>
      <c r="E137" s="29" t="s">
        <v>1681</v>
      </c>
      <c r="F137" s="30">
        <v>4223</v>
      </c>
      <c r="G137" s="29" t="s">
        <v>1495</v>
      </c>
    </row>
    <row r="138" spans="1:7">
      <c r="A138" s="29">
        <v>208</v>
      </c>
      <c r="B138" s="29" t="s">
        <v>118</v>
      </c>
      <c r="C138" s="29" t="s">
        <v>393</v>
      </c>
      <c r="D138" s="29" t="s">
        <v>416</v>
      </c>
      <c r="E138" s="29" t="s">
        <v>1681</v>
      </c>
      <c r="F138" s="30">
        <v>6742</v>
      </c>
      <c r="G138" s="29" t="s">
        <v>1495</v>
      </c>
    </row>
    <row r="139" spans="1:7">
      <c r="A139" s="29">
        <v>118</v>
      </c>
      <c r="B139" s="29" t="s">
        <v>186</v>
      </c>
      <c r="C139" s="29" t="s">
        <v>227</v>
      </c>
      <c r="D139" s="29" t="s">
        <v>416</v>
      </c>
      <c r="E139" s="29" t="s">
        <v>1681</v>
      </c>
      <c r="F139" s="30">
        <v>178</v>
      </c>
      <c r="G139" s="29" t="s">
        <v>1495</v>
      </c>
    </row>
    <row r="140" spans="1:7">
      <c r="A140" s="29">
        <v>119</v>
      </c>
      <c r="B140" s="29" t="s">
        <v>187</v>
      </c>
      <c r="C140" s="29" t="s">
        <v>311</v>
      </c>
      <c r="D140" s="29" t="s">
        <v>416</v>
      </c>
      <c r="E140" s="29" t="s">
        <v>1681</v>
      </c>
      <c r="F140" s="30">
        <v>8479</v>
      </c>
      <c r="G140" s="29" t="s">
        <v>1495</v>
      </c>
    </row>
    <row r="141" spans="1:7">
      <c r="A141" s="29">
        <v>121</v>
      </c>
      <c r="B141" s="29" t="s">
        <v>189</v>
      </c>
      <c r="C141" s="29" t="s">
        <v>393</v>
      </c>
      <c r="D141" s="29" t="s">
        <v>416</v>
      </c>
      <c r="E141" s="29" t="s">
        <v>1681</v>
      </c>
      <c r="F141" s="30">
        <v>2966</v>
      </c>
      <c r="G141" s="29" t="s">
        <v>1495</v>
      </c>
    </row>
    <row r="142" spans="1:7">
      <c r="A142" s="29">
        <v>123</v>
      </c>
      <c r="B142" s="29" t="s">
        <v>191</v>
      </c>
      <c r="C142" s="29" t="s">
        <v>302</v>
      </c>
      <c r="D142" s="29" t="s">
        <v>416</v>
      </c>
      <c r="E142" s="29" t="s">
        <v>1681</v>
      </c>
      <c r="F142" s="30">
        <v>1078</v>
      </c>
      <c r="G142" s="29" t="s">
        <v>1495</v>
      </c>
    </row>
    <row r="143" spans="1:7">
      <c r="A143" s="29">
        <v>124</v>
      </c>
      <c r="B143" s="29" t="s">
        <v>192</v>
      </c>
      <c r="C143" s="29" t="s">
        <v>346</v>
      </c>
      <c r="D143" s="29" t="s">
        <v>416</v>
      </c>
      <c r="E143" s="29" t="s">
        <v>1681</v>
      </c>
      <c r="F143" s="30">
        <v>35517</v>
      </c>
      <c r="G143" s="29" t="s">
        <v>1495</v>
      </c>
    </row>
    <row r="144" spans="1:7">
      <c r="A144" s="29">
        <v>126</v>
      </c>
      <c r="B144" s="29" t="s">
        <v>194</v>
      </c>
      <c r="C144" s="29" t="s">
        <v>311</v>
      </c>
      <c r="D144" s="29" t="s">
        <v>416</v>
      </c>
      <c r="E144" s="29" t="s">
        <v>1681</v>
      </c>
      <c r="F144" s="30">
        <v>23109</v>
      </c>
      <c r="G144" s="29" t="s">
        <v>1495</v>
      </c>
    </row>
    <row r="145" spans="1:7">
      <c r="A145" s="29">
        <v>127</v>
      </c>
      <c r="B145" s="29" t="s">
        <v>195</v>
      </c>
      <c r="C145" s="29" t="s">
        <v>393</v>
      </c>
      <c r="D145" s="29" t="s">
        <v>416</v>
      </c>
      <c r="E145" s="29" t="s">
        <v>1681</v>
      </c>
      <c r="F145" s="30">
        <v>136</v>
      </c>
      <c r="G145" s="29" t="s">
        <v>1495</v>
      </c>
    </row>
    <row r="146" spans="1:7">
      <c r="A146" s="29">
        <v>128</v>
      </c>
      <c r="B146" s="29" t="s">
        <v>196</v>
      </c>
      <c r="C146" s="29" t="s">
        <v>306</v>
      </c>
      <c r="D146" s="29" t="s">
        <v>416</v>
      </c>
      <c r="E146" s="29" t="s">
        <v>1681</v>
      </c>
      <c r="F146" s="30">
        <v>3084</v>
      </c>
      <c r="G146" s="29" t="s">
        <v>1495</v>
      </c>
    </row>
    <row r="147" spans="1:7">
      <c r="A147" s="29">
        <v>129</v>
      </c>
      <c r="B147" s="29" t="s">
        <v>197</v>
      </c>
      <c r="C147" s="29" t="s">
        <v>393</v>
      </c>
      <c r="D147" s="29" t="s">
        <v>416</v>
      </c>
      <c r="E147" s="29" t="s">
        <v>1681</v>
      </c>
      <c r="F147" s="30">
        <v>6350</v>
      </c>
      <c r="G147" s="29" t="s">
        <v>1495</v>
      </c>
    </row>
    <row r="148" spans="1:7">
      <c r="A148" s="29">
        <v>132</v>
      </c>
      <c r="B148" s="29" t="s">
        <v>200</v>
      </c>
      <c r="C148" s="29" t="s">
        <v>306</v>
      </c>
      <c r="D148" s="29" t="s">
        <v>416</v>
      </c>
      <c r="E148" s="29" t="s">
        <v>1681</v>
      </c>
      <c r="F148" s="30">
        <v>6830</v>
      </c>
      <c r="G148" s="29" t="s">
        <v>1495</v>
      </c>
    </row>
    <row r="149" spans="1:7">
      <c r="A149" s="29">
        <v>131</v>
      </c>
      <c r="B149" s="29" t="s">
        <v>199</v>
      </c>
      <c r="C149" s="29" t="s">
        <v>311</v>
      </c>
      <c r="D149" s="29" t="s">
        <v>416</v>
      </c>
      <c r="E149" s="29" t="s">
        <v>1681</v>
      </c>
      <c r="F149" s="30">
        <v>18371</v>
      </c>
      <c r="G149" s="29" t="s">
        <v>1495</v>
      </c>
    </row>
    <row r="150" spans="1:7">
      <c r="A150" s="29">
        <v>133</v>
      </c>
      <c r="B150" s="29" t="s">
        <v>201</v>
      </c>
      <c r="C150" s="29" t="s">
        <v>346</v>
      </c>
      <c r="D150" s="29" t="s">
        <v>416</v>
      </c>
      <c r="E150" s="29" t="s">
        <v>1681</v>
      </c>
      <c r="F150" s="30">
        <v>10531</v>
      </c>
      <c r="G150" s="29" t="s">
        <v>1495</v>
      </c>
    </row>
    <row r="151" spans="1:7">
      <c r="A151" s="29">
        <v>134</v>
      </c>
      <c r="B151" s="29" t="s">
        <v>202</v>
      </c>
      <c r="C151" s="29" t="s">
        <v>346</v>
      </c>
      <c r="D151" s="29" t="s">
        <v>416</v>
      </c>
      <c r="E151" s="29" t="s">
        <v>1681</v>
      </c>
      <c r="F151" s="30">
        <v>18488</v>
      </c>
      <c r="G151" s="29" t="s">
        <v>1495</v>
      </c>
    </row>
    <row r="152" spans="1:7">
      <c r="A152" s="29">
        <v>135</v>
      </c>
      <c r="B152" s="29" t="s">
        <v>203</v>
      </c>
      <c r="C152" s="29" t="s">
        <v>404</v>
      </c>
      <c r="D152" s="29" t="s">
        <v>416</v>
      </c>
      <c r="E152" s="29" t="s">
        <v>1681</v>
      </c>
      <c r="F152" s="30">
        <v>176361</v>
      </c>
      <c r="G152" s="29" t="s">
        <v>1495</v>
      </c>
    </row>
    <row r="153" spans="1:7">
      <c r="A153" s="29">
        <v>136</v>
      </c>
      <c r="B153" s="29" t="s">
        <v>204</v>
      </c>
      <c r="C153" s="29" t="s">
        <v>346</v>
      </c>
      <c r="D153" s="29" t="s">
        <v>416</v>
      </c>
      <c r="E153" s="29" t="s">
        <v>1681</v>
      </c>
      <c r="F153" s="30">
        <v>8177</v>
      </c>
      <c r="G153" s="29" t="s">
        <v>1495</v>
      </c>
    </row>
    <row r="154" spans="1:7">
      <c r="A154" s="29">
        <v>137</v>
      </c>
      <c r="B154" s="29" t="s">
        <v>205</v>
      </c>
      <c r="C154" s="29" t="s">
        <v>311</v>
      </c>
      <c r="D154" s="29" t="s">
        <v>416</v>
      </c>
      <c r="E154" s="29" t="s">
        <v>1681</v>
      </c>
      <c r="F154" s="30">
        <v>14491</v>
      </c>
      <c r="G154" s="29" t="s">
        <v>1495</v>
      </c>
    </row>
    <row r="155" spans="1:7">
      <c r="A155" s="29">
        <v>138</v>
      </c>
      <c r="B155" s="29" t="s">
        <v>206</v>
      </c>
      <c r="C155" s="29" t="s">
        <v>316</v>
      </c>
      <c r="D155" s="29" t="s">
        <v>416</v>
      </c>
      <c r="E155" s="29" t="s">
        <v>1681</v>
      </c>
      <c r="F155" s="30">
        <v>68260</v>
      </c>
      <c r="G155" s="29" t="s">
        <v>1495</v>
      </c>
    </row>
    <row r="156" spans="1:7">
      <c r="A156" s="29">
        <v>139</v>
      </c>
      <c r="B156" s="29" t="s">
        <v>207</v>
      </c>
      <c r="C156" s="29" t="s">
        <v>393</v>
      </c>
      <c r="D156" s="29" t="s">
        <v>416</v>
      </c>
      <c r="E156" s="29" t="s">
        <v>1681</v>
      </c>
      <c r="F156" s="30">
        <v>3067</v>
      </c>
      <c r="G156" s="29" t="s">
        <v>1495</v>
      </c>
    </row>
    <row r="157" spans="1:7">
      <c r="A157" s="29">
        <v>140</v>
      </c>
      <c r="B157" s="29" t="s">
        <v>208</v>
      </c>
      <c r="C157" s="29" t="s">
        <v>302</v>
      </c>
      <c r="D157" s="29" t="s">
        <v>416</v>
      </c>
      <c r="E157" s="29" t="s">
        <v>1681</v>
      </c>
      <c r="F157" s="30">
        <v>10190</v>
      </c>
      <c r="G157" s="29" t="s">
        <v>1495</v>
      </c>
    </row>
    <row r="158" spans="1:7">
      <c r="A158" s="29">
        <v>141</v>
      </c>
      <c r="B158" s="29" t="s">
        <v>209</v>
      </c>
      <c r="C158" s="29" t="s">
        <v>346</v>
      </c>
      <c r="D158" s="29" t="s">
        <v>416</v>
      </c>
      <c r="E158" s="29" t="s">
        <v>1681</v>
      </c>
      <c r="F158" s="30">
        <v>34686</v>
      </c>
      <c r="G158" s="29" t="s">
        <v>1495</v>
      </c>
    </row>
    <row r="159" spans="1:7">
      <c r="A159" s="29">
        <v>142</v>
      </c>
      <c r="B159" s="29" t="s">
        <v>211</v>
      </c>
      <c r="C159" s="29" t="s">
        <v>393</v>
      </c>
      <c r="D159" s="29" t="s">
        <v>416</v>
      </c>
      <c r="E159" s="29" t="s">
        <v>1681</v>
      </c>
      <c r="F159" s="30">
        <v>7627</v>
      </c>
      <c r="G159" s="29" t="s">
        <v>1495</v>
      </c>
    </row>
    <row r="160" spans="1:7">
      <c r="A160" s="29">
        <v>143</v>
      </c>
      <c r="B160" s="29" t="s">
        <v>212</v>
      </c>
      <c r="C160" s="29" t="s">
        <v>316</v>
      </c>
      <c r="D160" s="29" t="s">
        <v>416</v>
      </c>
      <c r="E160" s="29" t="s">
        <v>1681</v>
      </c>
      <c r="F160" s="30">
        <v>52969</v>
      </c>
      <c r="G160" s="29" t="s">
        <v>1495</v>
      </c>
    </row>
    <row r="161" spans="1:7">
      <c r="A161" s="29">
        <v>144</v>
      </c>
      <c r="B161" s="29" t="s">
        <v>213</v>
      </c>
      <c r="C161" s="29" t="s">
        <v>306</v>
      </c>
      <c r="D161" s="29" t="s">
        <v>416</v>
      </c>
      <c r="E161" s="29" t="s">
        <v>1681</v>
      </c>
      <c r="F161" s="30">
        <v>20001</v>
      </c>
      <c r="G161" s="29" t="s">
        <v>1495</v>
      </c>
    </row>
    <row r="162" spans="1:7">
      <c r="A162" s="29">
        <v>145</v>
      </c>
      <c r="B162" s="29" t="s">
        <v>214</v>
      </c>
      <c r="C162" s="29" t="s">
        <v>302</v>
      </c>
      <c r="D162" s="29" t="s">
        <v>416</v>
      </c>
      <c r="E162" s="29" t="s">
        <v>1681</v>
      </c>
      <c r="F162" s="30">
        <v>1118</v>
      </c>
      <c r="G162" s="29" t="s">
        <v>1495</v>
      </c>
    </row>
    <row r="163" spans="1:7">
      <c r="A163" s="29">
        <v>146</v>
      </c>
      <c r="B163" s="29" t="s">
        <v>215</v>
      </c>
      <c r="C163" s="29" t="s">
        <v>316</v>
      </c>
      <c r="D163" s="29" t="s">
        <v>416</v>
      </c>
      <c r="E163" s="29" t="s">
        <v>1681</v>
      </c>
      <c r="F163" s="30">
        <v>112895</v>
      </c>
      <c r="G163" s="29" t="s">
        <v>1495</v>
      </c>
    </row>
    <row r="164" spans="1:7">
      <c r="A164" s="29">
        <v>147</v>
      </c>
      <c r="B164" s="29" t="s">
        <v>216</v>
      </c>
      <c r="C164" s="29" t="s">
        <v>346</v>
      </c>
      <c r="D164" s="29" t="s">
        <v>416</v>
      </c>
      <c r="E164" s="29" t="s">
        <v>1681</v>
      </c>
      <c r="F164" s="30">
        <v>5276</v>
      </c>
      <c r="G164" s="29" t="s">
        <v>1495</v>
      </c>
    </row>
    <row r="165" spans="1:7">
      <c r="A165" s="29">
        <v>148</v>
      </c>
      <c r="B165" s="29" t="s">
        <v>217</v>
      </c>
      <c r="C165" s="29" t="s">
        <v>311</v>
      </c>
      <c r="D165" s="29" t="s">
        <v>416</v>
      </c>
      <c r="E165" s="29" t="s">
        <v>1681</v>
      </c>
      <c r="F165" s="30">
        <v>186229</v>
      </c>
      <c r="G165" s="29" t="s">
        <v>1495</v>
      </c>
    </row>
    <row r="166" spans="1:7">
      <c r="A166" s="29">
        <v>151</v>
      </c>
      <c r="B166" s="29" t="s">
        <v>220</v>
      </c>
      <c r="C166" s="29" t="s">
        <v>325</v>
      </c>
      <c r="D166" s="29" t="s">
        <v>416</v>
      </c>
      <c r="E166" s="29" t="s">
        <v>1681</v>
      </c>
      <c r="F166" s="30">
        <v>1471070</v>
      </c>
      <c r="G166" s="29" t="s">
        <v>1495</v>
      </c>
    </row>
    <row r="167" spans="1:7">
      <c r="A167" s="29">
        <v>152</v>
      </c>
      <c r="B167" s="29" t="s">
        <v>221</v>
      </c>
      <c r="C167" s="29" t="s">
        <v>311</v>
      </c>
      <c r="D167" s="29" t="s">
        <v>416</v>
      </c>
      <c r="E167" s="29" t="s">
        <v>1681</v>
      </c>
      <c r="F167" s="30">
        <v>3041</v>
      </c>
      <c r="G167" s="29" t="s">
        <v>1495</v>
      </c>
    </row>
    <row r="168" spans="1:7">
      <c r="A168" s="29">
        <v>153</v>
      </c>
      <c r="B168" s="29" t="s">
        <v>222</v>
      </c>
      <c r="C168" s="29" t="s">
        <v>311</v>
      </c>
      <c r="D168" s="29" t="s">
        <v>416</v>
      </c>
      <c r="E168" s="29" t="s">
        <v>1681</v>
      </c>
      <c r="F168" s="30">
        <v>4398</v>
      </c>
      <c r="G168" s="29" t="s">
        <v>1495</v>
      </c>
    </row>
    <row r="169" spans="1:7">
      <c r="A169" s="29">
        <v>155</v>
      </c>
      <c r="B169" s="29" t="s">
        <v>224</v>
      </c>
      <c r="C169" s="29" t="s">
        <v>306</v>
      </c>
      <c r="D169" s="29" t="s">
        <v>416</v>
      </c>
      <c r="E169" s="29" t="s">
        <v>1681</v>
      </c>
      <c r="F169" s="30">
        <v>66058</v>
      </c>
      <c r="G169" s="29" t="s">
        <v>1495</v>
      </c>
    </row>
    <row r="170" spans="1:7">
      <c r="A170" s="29">
        <v>156</v>
      </c>
      <c r="B170" s="29" t="s">
        <v>225</v>
      </c>
      <c r="C170" s="29" t="s">
        <v>404</v>
      </c>
      <c r="D170" s="29" t="s">
        <v>416</v>
      </c>
      <c r="E170" s="29" t="s">
        <v>1681</v>
      </c>
      <c r="F170" s="30">
        <v>99197</v>
      </c>
      <c r="G170" s="29" t="s">
        <v>1495</v>
      </c>
    </row>
    <row r="171" spans="1:7">
      <c r="A171" s="29">
        <v>154</v>
      </c>
      <c r="B171" s="29" t="s">
        <v>223</v>
      </c>
      <c r="C171" s="29" t="s">
        <v>302</v>
      </c>
      <c r="D171" s="29" t="s">
        <v>416</v>
      </c>
      <c r="E171" s="29" t="s">
        <v>1681</v>
      </c>
      <c r="F171" s="30">
        <v>809</v>
      </c>
      <c r="G171" s="29" t="s">
        <v>1495</v>
      </c>
    </row>
    <row r="172" spans="1:7">
      <c r="A172" s="29">
        <v>157</v>
      </c>
      <c r="B172" s="29" t="s">
        <v>100</v>
      </c>
      <c r="C172" s="29" t="s">
        <v>227</v>
      </c>
      <c r="D172" s="29" t="s">
        <v>416</v>
      </c>
      <c r="E172" s="29" t="s">
        <v>1681</v>
      </c>
      <c r="F172" s="30">
        <v>358</v>
      </c>
      <c r="G172" s="29" t="s">
        <v>1495</v>
      </c>
    </row>
    <row r="173" spans="1:7">
      <c r="A173" s="29">
        <v>158</v>
      </c>
      <c r="B173" s="29" t="s">
        <v>101</v>
      </c>
      <c r="C173" s="29" t="s">
        <v>227</v>
      </c>
      <c r="D173" s="29" t="s">
        <v>416</v>
      </c>
      <c r="E173" s="29" t="s">
        <v>1681</v>
      </c>
      <c r="F173" s="30">
        <v>1830</v>
      </c>
      <c r="G173" s="29" t="s">
        <v>1495</v>
      </c>
    </row>
    <row r="174" spans="1:7">
      <c r="A174" s="29">
        <v>159</v>
      </c>
      <c r="B174" s="29" t="s">
        <v>102</v>
      </c>
      <c r="C174" s="29" t="s">
        <v>311</v>
      </c>
      <c r="D174" s="29" t="s">
        <v>416</v>
      </c>
      <c r="E174" s="29" t="s">
        <v>1681</v>
      </c>
      <c r="F174" s="30">
        <v>15254</v>
      </c>
      <c r="G174" s="29" t="s">
        <v>1495</v>
      </c>
    </row>
    <row r="175" spans="1:7">
      <c r="A175" s="29">
        <v>161</v>
      </c>
      <c r="B175" s="29" t="s">
        <v>104</v>
      </c>
      <c r="C175" s="29" t="s">
        <v>227</v>
      </c>
      <c r="D175" s="29" t="s">
        <v>416</v>
      </c>
      <c r="E175" s="29" t="s">
        <v>1681</v>
      </c>
      <c r="F175" s="30">
        <v>223</v>
      </c>
      <c r="G175" s="29" t="s">
        <v>1495</v>
      </c>
    </row>
    <row r="176" spans="1:7">
      <c r="A176" s="29">
        <v>162</v>
      </c>
      <c r="B176" s="29" t="s">
        <v>105</v>
      </c>
      <c r="C176" s="29" t="s">
        <v>316</v>
      </c>
      <c r="D176" s="29" t="s">
        <v>416</v>
      </c>
      <c r="E176" s="29" t="s">
        <v>1681</v>
      </c>
      <c r="F176" s="30">
        <v>8096</v>
      </c>
      <c r="G176" s="29" t="s">
        <v>1495</v>
      </c>
    </row>
    <row r="177" spans="1:7">
      <c r="A177" s="29">
        <v>163</v>
      </c>
      <c r="B177" s="29" t="s">
        <v>106</v>
      </c>
      <c r="C177" s="29" t="s">
        <v>325</v>
      </c>
      <c r="D177" s="29" t="s">
        <v>416</v>
      </c>
      <c r="E177" s="29" t="s">
        <v>1681</v>
      </c>
      <c r="F177" s="30">
        <v>156171</v>
      </c>
      <c r="G177" s="29" t="s">
        <v>1495</v>
      </c>
    </row>
    <row r="178" spans="1:7">
      <c r="A178" s="29">
        <v>164</v>
      </c>
      <c r="B178" s="29" t="s">
        <v>107</v>
      </c>
      <c r="C178" s="29" t="s">
        <v>311</v>
      </c>
      <c r="D178" s="29" t="s">
        <v>416</v>
      </c>
      <c r="E178" s="29" t="s">
        <v>1681</v>
      </c>
      <c r="F178" s="30">
        <v>48379</v>
      </c>
      <c r="G178" s="29" t="s">
        <v>1495</v>
      </c>
    </row>
    <row r="179" spans="1:7">
      <c r="A179" s="29">
        <v>165</v>
      </c>
      <c r="B179" s="29" t="s">
        <v>108</v>
      </c>
      <c r="C179" s="29" t="s">
        <v>346</v>
      </c>
      <c r="D179" s="29" t="s">
        <v>416</v>
      </c>
      <c r="E179" s="29" t="s">
        <v>1681</v>
      </c>
      <c r="F179" s="30">
        <v>9660</v>
      </c>
      <c r="G179" s="29" t="s">
        <v>1495</v>
      </c>
    </row>
    <row r="180" spans="1:7">
      <c r="A180" s="29">
        <v>166</v>
      </c>
      <c r="B180" s="29" t="s">
        <v>109</v>
      </c>
      <c r="C180" s="29" t="s">
        <v>346</v>
      </c>
      <c r="D180" s="29" t="s">
        <v>416</v>
      </c>
      <c r="E180" s="29" t="s">
        <v>1681</v>
      </c>
      <c r="F180" s="30">
        <v>4303</v>
      </c>
      <c r="G180" s="29" t="s">
        <v>1495</v>
      </c>
    </row>
    <row r="181" spans="1:7">
      <c r="A181" s="29">
        <v>169</v>
      </c>
      <c r="B181" s="29" t="s">
        <v>112</v>
      </c>
      <c r="C181" s="29" t="s">
        <v>302</v>
      </c>
      <c r="D181" s="29" t="s">
        <v>416</v>
      </c>
      <c r="E181" s="29" t="s">
        <v>1681</v>
      </c>
      <c r="F181" s="30">
        <v>5986</v>
      </c>
      <c r="G181" s="29" t="s">
        <v>1495</v>
      </c>
    </row>
    <row r="182" spans="1:7">
      <c r="E182" s="11" t="s">
        <v>450</v>
      </c>
      <c r="F182" s="28">
        <f>SUM(F34:F181)</f>
        <v>16068137</v>
      </c>
    </row>
    <row r="183" spans="1:7">
      <c r="E183" s="11" t="s">
        <v>451</v>
      </c>
      <c r="F183" s="28">
        <f>F43</f>
        <v>956003</v>
      </c>
    </row>
    <row r="184" spans="1:7">
      <c r="E184" s="11" t="s">
        <v>452</v>
      </c>
      <c r="F184" s="28">
        <f>F103</f>
        <v>2167633</v>
      </c>
    </row>
    <row r="186" spans="1:7">
      <c r="A186" s="31">
        <v>1</v>
      </c>
      <c r="B186" s="31" t="s">
        <v>392</v>
      </c>
      <c r="C186" s="31" t="s">
        <v>393</v>
      </c>
      <c r="D186" s="31" t="s">
        <v>395</v>
      </c>
      <c r="E186" s="31" t="s">
        <v>1682</v>
      </c>
      <c r="F186" s="32">
        <v>500</v>
      </c>
      <c r="G186" s="31" t="s">
        <v>58</v>
      </c>
    </row>
    <row r="187" spans="1:7">
      <c r="A187" s="31">
        <v>2</v>
      </c>
      <c r="B187" s="31" t="s">
        <v>403</v>
      </c>
      <c r="C187" s="31" t="s">
        <v>404</v>
      </c>
      <c r="D187" s="31" t="s">
        <v>395</v>
      </c>
      <c r="E187" s="31" t="s">
        <v>1682</v>
      </c>
      <c r="F187" s="32">
        <v>3964</v>
      </c>
      <c r="G187" s="31" t="s">
        <v>58</v>
      </c>
    </row>
    <row r="188" spans="1:7">
      <c r="A188" s="31">
        <v>3</v>
      </c>
      <c r="B188" s="31" t="s">
        <v>301</v>
      </c>
      <c r="C188" s="31" t="s">
        <v>302</v>
      </c>
      <c r="D188" s="31" t="s">
        <v>395</v>
      </c>
      <c r="E188" s="31" t="s">
        <v>1682</v>
      </c>
      <c r="F188" s="32">
        <v>7248</v>
      </c>
      <c r="G188" s="31" t="s">
        <v>58</v>
      </c>
    </row>
    <row r="189" spans="1:7">
      <c r="A189" s="31">
        <v>4</v>
      </c>
      <c r="B189" s="31" t="s">
        <v>305</v>
      </c>
      <c r="C189" s="31" t="s">
        <v>306</v>
      </c>
      <c r="D189" s="31" t="s">
        <v>395</v>
      </c>
      <c r="E189" s="31" t="s">
        <v>1682</v>
      </c>
      <c r="F189" s="32">
        <v>18371</v>
      </c>
      <c r="G189" s="31" t="s">
        <v>58</v>
      </c>
    </row>
    <row r="190" spans="1:7">
      <c r="A190" s="31">
        <v>7</v>
      </c>
      <c r="B190" s="31" t="s">
        <v>310</v>
      </c>
      <c r="C190" s="31" t="s">
        <v>311</v>
      </c>
      <c r="D190" s="31" t="s">
        <v>395</v>
      </c>
      <c r="E190" s="31" t="s">
        <v>1682</v>
      </c>
      <c r="F190" s="32">
        <v>22533</v>
      </c>
      <c r="G190" s="31" t="s">
        <v>58</v>
      </c>
    </row>
    <row r="191" spans="1:7">
      <c r="A191" s="31">
        <v>8</v>
      </c>
      <c r="B191" s="31" t="s">
        <v>312</v>
      </c>
      <c r="C191" s="31" t="s">
        <v>393</v>
      </c>
      <c r="D191" s="31" t="s">
        <v>395</v>
      </c>
      <c r="E191" s="31" t="s">
        <v>1682</v>
      </c>
      <c r="F191" s="32">
        <v>8689</v>
      </c>
      <c r="G191" s="31" t="s">
        <v>58</v>
      </c>
    </row>
    <row r="192" spans="1:7">
      <c r="A192" s="31">
        <v>9</v>
      </c>
      <c r="B192" s="31" t="s">
        <v>313</v>
      </c>
      <c r="C192" s="31" t="s">
        <v>311</v>
      </c>
      <c r="D192" s="31" t="s">
        <v>395</v>
      </c>
      <c r="E192" s="31" t="s">
        <v>1682</v>
      </c>
      <c r="F192" s="32">
        <v>26738</v>
      </c>
      <c r="G192" s="31" t="s">
        <v>58</v>
      </c>
    </row>
    <row r="193" spans="1:7">
      <c r="A193" s="31">
        <v>11</v>
      </c>
      <c r="B193" s="31" t="s">
        <v>315</v>
      </c>
      <c r="C193" s="31" t="s">
        <v>316</v>
      </c>
      <c r="D193" s="31" t="s">
        <v>395</v>
      </c>
      <c r="E193" s="31" t="s">
        <v>1682</v>
      </c>
      <c r="F193" s="32">
        <v>19723</v>
      </c>
      <c r="G193" s="31" t="s">
        <v>58</v>
      </c>
    </row>
    <row r="194" spans="1:7">
      <c r="A194" s="31">
        <v>12</v>
      </c>
      <c r="B194" s="31" t="s">
        <v>321</v>
      </c>
      <c r="C194" s="31" t="s">
        <v>393</v>
      </c>
      <c r="D194" s="31" t="s">
        <v>395</v>
      </c>
      <c r="E194" s="31" t="s">
        <v>1682</v>
      </c>
      <c r="F194" s="32">
        <v>4142</v>
      </c>
      <c r="G194" s="31" t="s">
        <v>58</v>
      </c>
    </row>
    <row r="195" spans="1:7">
      <c r="A195" s="31">
        <v>13</v>
      </c>
      <c r="B195" s="31" t="s">
        <v>322</v>
      </c>
      <c r="C195" s="31" t="s">
        <v>302</v>
      </c>
      <c r="D195" s="31" t="s">
        <v>395</v>
      </c>
      <c r="E195" s="31" t="s">
        <v>1682</v>
      </c>
      <c r="F195" s="32">
        <v>4091</v>
      </c>
      <c r="G195" s="31" t="s">
        <v>58</v>
      </c>
    </row>
    <row r="196" spans="1:7">
      <c r="A196" s="31">
        <v>14</v>
      </c>
      <c r="B196" s="31" t="s">
        <v>323</v>
      </c>
      <c r="C196" s="31" t="s">
        <v>311</v>
      </c>
      <c r="D196" s="31" t="s">
        <v>395</v>
      </c>
      <c r="E196" s="31" t="s">
        <v>1682</v>
      </c>
      <c r="F196" s="32">
        <v>30220</v>
      </c>
      <c r="G196" s="31" t="s">
        <v>58</v>
      </c>
    </row>
    <row r="197" spans="1:7">
      <c r="A197" s="7">
        <v>15</v>
      </c>
      <c r="B197" s="7" t="s">
        <v>324</v>
      </c>
      <c r="C197" s="7" t="s">
        <v>325</v>
      </c>
      <c r="D197" s="7" t="s">
        <v>327</v>
      </c>
      <c r="E197" s="7" t="s">
        <v>1682</v>
      </c>
      <c r="F197" s="34">
        <v>94501</v>
      </c>
      <c r="G197" s="7" t="s">
        <v>58</v>
      </c>
    </row>
    <row r="198" spans="1:7">
      <c r="A198" s="7">
        <v>15</v>
      </c>
      <c r="B198" s="7" t="s">
        <v>324</v>
      </c>
      <c r="C198" s="7" t="s">
        <v>325</v>
      </c>
      <c r="D198" s="7" t="s">
        <v>395</v>
      </c>
      <c r="E198" s="7" t="s">
        <v>1682</v>
      </c>
      <c r="F198" s="34">
        <v>200297</v>
      </c>
      <c r="G198" s="7" t="s">
        <v>58</v>
      </c>
    </row>
    <row r="199" spans="1:7">
      <c r="A199" s="31">
        <v>17</v>
      </c>
      <c r="B199" s="31" t="s">
        <v>340</v>
      </c>
      <c r="C199" s="31" t="s">
        <v>316</v>
      </c>
      <c r="D199" s="31" t="s">
        <v>395</v>
      </c>
      <c r="E199" s="31" t="s">
        <v>1682</v>
      </c>
      <c r="F199" s="32">
        <v>56575</v>
      </c>
      <c r="G199" s="31" t="s">
        <v>58</v>
      </c>
    </row>
    <row r="200" spans="1:7">
      <c r="A200" s="31">
        <v>18</v>
      </c>
      <c r="B200" s="31" t="s">
        <v>341</v>
      </c>
      <c r="C200" s="31" t="s">
        <v>306</v>
      </c>
      <c r="D200" s="31" t="s">
        <v>395</v>
      </c>
      <c r="E200" s="31" t="s">
        <v>1682</v>
      </c>
      <c r="F200" s="32">
        <v>21423</v>
      </c>
      <c r="G200" s="31" t="s">
        <v>58</v>
      </c>
    </row>
    <row r="201" spans="1:7">
      <c r="A201" s="31">
        <v>19</v>
      </c>
      <c r="B201" s="31" t="s">
        <v>342</v>
      </c>
      <c r="C201" s="31" t="s">
        <v>302</v>
      </c>
      <c r="D201" s="31" t="s">
        <v>395</v>
      </c>
      <c r="E201" s="31" t="s">
        <v>1682</v>
      </c>
      <c r="F201" s="32">
        <v>10938</v>
      </c>
      <c r="G201" s="31" t="s">
        <v>58</v>
      </c>
    </row>
    <row r="202" spans="1:7">
      <c r="A202" s="31">
        <v>241</v>
      </c>
      <c r="B202" s="31" t="s">
        <v>132</v>
      </c>
      <c r="C202" s="31"/>
      <c r="D202" s="31" t="s">
        <v>327</v>
      </c>
      <c r="E202" s="31" t="s">
        <v>1682</v>
      </c>
      <c r="F202" s="32">
        <v>301536</v>
      </c>
      <c r="G202" s="31" t="s">
        <v>58</v>
      </c>
    </row>
    <row r="203" spans="1:7">
      <c r="A203" s="31">
        <v>22</v>
      </c>
      <c r="B203" s="31" t="s">
        <v>345</v>
      </c>
      <c r="C203" s="31" t="s">
        <v>346</v>
      </c>
      <c r="D203" s="31" t="s">
        <v>395</v>
      </c>
      <c r="E203" s="31" t="s">
        <v>1682</v>
      </c>
      <c r="F203" s="32">
        <v>12000</v>
      </c>
      <c r="G203" s="31" t="s">
        <v>58</v>
      </c>
    </row>
    <row r="204" spans="1:7">
      <c r="A204" s="31">
        <v>23</v>
      </c>
      <c r="B204" s="31" t="s">
        <v>347</v>
      </c>
      <c r="C204" s="31" t="s">
        <v>393</v>
      </c>
      <c r="D204" s="31" t="s">
        <v>395</v>
      </c>
      <c r="E204" s="31" t="s">
        <v>1682</v>
      </c>
      <c r="F204" s="32">
        <v>8900</v>
      </c>
      <c r="G204" s="31" t="s">
        <v>58</v>
      </c>
    </row>
    <row r="205" spans="1:7">
      <c r="A205" s="31">
        <v>25</v>
      </c>
      <c r="B205" s="31" t="s">
        <v>349</v>
      </c>
      <c r="C205" s="31" t="s">
        <v>306</v>
      </c>
      <c r="D205" s="31" t="s">
        <v>395</v>
      </c>
      <c r="E205" s="31" t="s">
        <v>1682</v>
      </c>
      <c r="F205" s="32">
        <v>32242</v>
      </c>
      <c r="G205" s="31" t="s">
        <v>58</v>
      </c>
    </row>
    <row r="206" spans="1:7">
      <c r="A206" s="31">
        <v>27</v>
      </c>
      <c r="B206" s="31" t="s">
        <v>351</v>
      </c>
      <c r="C206" s="31" t="s">
        <v>311</v>
      </c>
      <c r="D206" s="31" t="s">
        <v>395</v>
      </c>
      <c r="E206" s="31" t="s">
        <v>1682</v>
      </c>
      <c r="F206" s="32">
        <v>17147</v>
      </c>
      <c r="G206" s="31" t="s">
        <v>58</v>
      </c>
    </row>
    <row r="207" spans="1:7">
      <c r="A207" s="31">
        <v>28</v>
      </c>
      <c r="B207" s="31" t="s">
        <v>352</v>
      </c>
      <c r="C207" s="31" t="s">
        <v>311</v>
      </c>
      <c r="D207" s="31" t="s">
        <v>395</v>
      </c>
      <c r="E207" s="31" t="s">
        <v>1682</v>
      </c>
      <c r="F207" s="32">
        <v>28975</v>
      </c>
      <c r="G207" s="31" t="s">
        <v>58</v>
      </c>
    </row>
    <row r="208" spans="1:7">
      <c r="A208" s="31">
        <v>30</v>
      </c>
      <c r="B208" s="31" t="s">
        <v>354</v>
      </c>
      <c r="C208" s="31" t="s">
        <v>393</v>
      </c>
      <c r="D208" s="31" t="s">
        <v>395</v>
      </c>
      <c r="E208" s="31" t="s">
        <v>1682</v>
      </c>
      <c r="F208" s="32">
        <v>1000</v>
      </c>
      <c r="G208" s="31" t="s">
        <v>58</v>
      </c>
    </row>
    <row r="209" spans="1:7">
      <c r="A209" s="31">
        <v>32</v>
      </c>
      <c r="B209" s="31" t="s">
        <v>356</v>
      </c>
      <c r="C209" s="31" t="s">
        <v>302</v>
      </c>
      <c r="D209" s="31" t="s">
        <v>395</v>
      </c>
      <c r="E209" s="31" t="s">
        <v>1682</v>
      </c>
      <c r="F209" s="32">
        <v>21910</v>
      </c>
      <c r="G209" s="31" t="s">
        <v>58</v>
      </c>
    </row>
    <row r="210" spans="1:7">
      <c r="A210" s="31">
        <v>33</v>
      </c>
      <c r="B210" s="31" t="s">
        <v>357</v>
      </c>
      <c r="C210" s="31" t="s">
        <v>311</v>
      </c>
      <c r="D210" s="31" t="s">
        <v>395</v>
      </c>
      <c r="E210" s="31" t="s">
        <v>1682</v>
      </c>
      <c r="F210" s="32">
        <v>10625</v>
      </c>
      <c r="G210" s="31" t="s">
        <v>58</v>
      </c>
    </row>
    <row r="211" spans="1:7">
      <c r="A211" s="31">
        <v>34</v>
      </c>
      <c r="B211" s="31" t="s">
        <v>358</v>
      </c>
      <c r="C211" s="31" t="s">
        <v>404</v>
      </c>
      <c r="D211" s="31" t="s">
        <v>327</v>
      </c>
      <c r="E211" s="31" t="s">
        <v>1682</v>
      </c>
      <c r="F211" s="32">
        <v>250000</v>
      </c>
      <c r="G211" s="31" t="s">
        <v>58</v>
      </c>
    </row>
    <row r="212" spans="1:7">
      <c r="A212" s="31">
        <v>34</v>
      </c>
      <c r="B212" s="31" t="s">
        <v>358</v>
      </c>
      <c r="C212" s="31" t="s">
        <v>404</v>
      </c>
      <c r="D212" s="31" t="s">
        <v>395</v>
      </c>
      <c r="E212" s="31" t="s">
        <v>1682</v>
      </c>
      <c r="F212" s="32">
        <v>77727</v>
      </c>
      <c r="G212" s="31" t="s">
        <v>58</v>
      </c>
    </row>
    <row r="213" spans="1:7">
      <c r="A213" s="31">
        <v>35</v>
      </c>
      <c r="B213" s="31" t="s">
        <v>226</v>
      </c>
      <c r="C213" s="31" t="s">
        <v>227</v>
      </c>
      <c r="D213" s="31" t="s">
        <v>395</v>
      </c>
      <c r="E213" s="31" t="s">
        <v>1682</v>
      </c>
      <c r="F213" s="32">
        <v>21870</v>
      </c>
      <c r="G213" s="31" t="s">
        <v>58</v>
      </c>
    </row>
    <row r="214" spans="1:7">
      <c r="A214" s="31">
        <v>37</v>
      </c>
      <c r="B214" s="31" t="s">
        <v>229</v>
      </c>
      <c r="C214" s="31" t="s">
        <v>404</v>
      </c>
      <c r="D214" s="31" t="s">
        <v>395</v>
      </c>
      <c r="E214" s="31" t="s">
        <v>1682</v>
      </c>
      <c r="F214" s="32">
        <v>16111</v>
      </c>
      <c r="G214" s="31" t="s">
        <v>58</v>
      </c>
    </row>
    <row r="215" spans="1:7">
      <c r="A215" s="31">
        <v>253</v>
      </c>
      <c r="B215" s="31" t="s">
        <v>144</v>
      </c>
      <c r="C215" s="31"/>
      <c r="D215" s="31" t="s">
        <v>395</v>
      </c>
      <c r="E215" s="31" t="s">
        <v>1682</v>
      </c>
      <c r="F215" s="32">
        <v>7000</v>
      </c>
      <c r="G215" s="31" t="s">
        <v>58</v>
      </c>
    </row>
    <row r="216" spans="1:7">
      <c r="A216" s="31">
        <v>40</v>
      </c>
      <c r="B216" s="31" t="s">
        <v>232</v>
      </c>
      <c r="C216" s="31" t="s">
        <v>311</v>
      </c>
      <c r="D216" s="31" t="s">
        <v>395</v>
      </c>
      <c r="E216" s="31" t="s">
        <v>1682</v>
      </c>
      <c r="F216" s="32">
        <v>1129</v>
      </c>
      <c r="G216" s="31" t="s">
        <v>58</v>
      </c>
    </row>
    <row r="217" spans="1:7">
      <c r="A217" s="31">
        <v>41</v>
      </c>
      <c r="B217" s="31" t="s">
        <v>233</v>
      </c>
      <c r="C217" s="31" t="s">
        <v>302</v>
      </c>
      <c r="D217" s="31" t="s">
        <v>395</v>
      </c>
      <c r="E217" s="31" t="s">
        <v>1682</v>
      </c>
      <c r="F217" s="32">
        <v>7251</v>
      </c>
      <c r="G217" s="31" t="s">
        <v>58</v>
      </c>
    </row>
    <row r="218" spans="1:7">
      <c r="A218" s="31">
        <v>42</v>
      </c>
      <c r="B218" s="31" t="s">
        <v>234</v>
      </c>
      <c r="C218" s="31" t="s">
        <v>311</v>
      </c>
      <c r="D218" s="31" t="s">
        <v>395</v>
      </c>
      <c r="E218" s="31" t="s">
        <v>1682</v>
      </c>
      <c r="F218" s="32">
        <v>14573</v>
      </c>
      <c r="G218" s="31" t="s">
        <v>58</v>
      </c>
    </row>
    <row r="219" spans="1:7">
      <c r="A219" s="31">
        <v>43</v>
      </c>
      <c r="B219" s="31" t="s">
        <v>235</v>
      </c>
      <c r="C219" s="31" t="s">
        <v>404</v>
      </c>
      <c r="D219" s="31" t="s">
        <v>395</v>
      </c>
      <c r="E219" s="31" t="s">
        <v>1682</v>
      </c>
      <c r="F219" s="32">
        <v>34966</v>
      </c>
      <c r="G219" s="31" t="s">
        <v>58</v>
      </c>
    </row>
    <row r="220" spans="1:7">
      <c r="A220" s="31">
        <v>44</v>
      </c>
      <c r="B220" s="31" t="s">
        <v>236</v>
      </c>
      <c r="C220" s="31" t="s">
        <v>316</v>
      </c>
      <c r="D220" s="31" t="s">
        <v>395</v>
      </c>
      <c r="E220" s="31" t="s">
        <v>1682</v>
      </c>
      <c r="F220" s="32">
        <v>31163</v>
      </c>
      <c r="G220" s="31" t="s">
        <v>58</v>
      </c>
    </row>
    <row r="221" spans="1:7">
      <c r="A221" s="31">
        <v>45</v>
      </c>
      <c r="B221" s="31" t="s">
        <v>237</v>
      </c>
      <c r="C221" s="31" t="s">
        <v>311</v>
      </c>
      <c r="D221" s="31" t="s">
        <v>395</v>
      </c>
      <c r="E221" s="31" t="s">
        <v>1682</v>
      </c>
      <c r="F221" s="32">
        <v>18337</v>
      </c>
      <c r="G221" s="31" t="s">
        <v>58</v>
      </c>
    </row>
    <row r="222" spans="1:7">
      <c r="A222" s="31">
        <v>47</v>
      </c>
      <c r="B222" s="31" t="s">
        <v>239</v>
      </c>
      <c r="C222" s="31" t="s">
        <v>346</v>
      </c>
      <c r="D222" s="31" t="s">
        <v>395</v>
      </c>
      <c r="E222" s="31" t="s">
        <v>1682</v>
      </c>
      <c r="F222" s="32">
        <v>10882</v>
      </c>
      <c r="G222" s="31" t="s">
        <v>58</v>
      </c>
    </row>
    <row r="223" spans="1:7">
      <c r="A223" s="31">
        <v>39</v>
      </c>
      <c r="B223" s="31" t="s">
        <v>231</v>
      </c>
      <c r="C223" s="31" t="s">
        <v>302</v>
      </c>
      <c r="D223" s="31" t="s">
        <v>395</v>
      </c>
      <c r="E223" s="31" t="s">
        <v>1682</v>
      </c>
      <c r="F223" s="32">
        <v>2065</v>
      </c>
      <c r="G223" s="31" t="s">
        <v>58</v>
      </c>
    </row>
    <row r="224" spans="1:7">
      <c r="A224" s="31">
        <v>46</v>
      </c>
      <c r="B224" s="31" t="s">
        <v>238</v>
      </c>
      <c r="C224" s="31" t="s">
        <v>227</v>
      </c>
      <c r="D224" s="31" t="s">
        <v>395</v>
      </c>
      <c r="E224" s="31" t="s">
        <v>1682</v>
      </c>
      <c r="F224" s="32">
        <v>3640</v>
      </c>
      <c r="G224" s="31" t="s">
        <v>58</v>
      </c>
    </row>
    <row r="225" spans="1:7">
      <c r="A225" s="31">
        <v>48</v>
      </c>
      <c r="B225" s="31" t="s">
        <v>240</v>
      </c>
      <c r="C225" s="31" t="s">
        <v>393</v>
      </c>
      <c r="D225" s="31" t="s">
        <v>395</v>
      </c>
      <c r="E225" s="31" t="s">
        <v>1682</v>
      </c>
      <c r="F225" s="32">
        <v>4250</v>
      </c>
      <c r="G225" s="31" t="s">
        <v>58</v>
      </c>
    </row>
    <row r="226" spans="1:7">
      <c r="A226" s="31">
        <v>49</v>
      </c>
      <c r="B226" s="31" t="s">
        <v>241</v>
      </c>
      <c r="C226" s="31" t="s">
        <v>346</v>
      </c>
      <c r="D226" s="31" t="s">
        <v>395</v>
      </c>
      <c r="E226" s="31" t="s">
        <v>1682</v>
      </c>
      <c r="F226" s="32">
        <v>53911</v>
      </c>
      <c r="G226" s="31" t="s">
        <v>58</v>
      </c>
    </row>
    <row r="227" spans="1:7">
      <c r="A227" s="31">
        <v>51</v>
      </c>
      <c r="B227" s="31" t="s">
        <v>243</v>
      </c>
      <c r="C227" s="31" t="s">
        <v>306</v>
      </c>
      <c r="D227" s="31" t="s">
        <v>395</v>
      </c>
      <c r="E227" s="31" t="s">
        <v>1682</v>
      </c>
      <c r="F227" s="32">
        <v>55334</v>
      </c>
      <c r="G227" s="31" t="s">
        <v>58</v>
      </c>
    </row>
    <row r="228" spans="1:7">
      <c r="A228" s="31">
        <v>52</v>
      </c>
      <c r="B228" s="31" t="s">
        <v>244</v>
      </c>
      <c r="C228" s="31" t="s">
        <v>306</v>
      </c>
      <c r="D228" s="31" t="s">
        <v>395</v>
      </c>
      <c r="E228" s="31" t="s">
        <v>1682</v>
      </c>
      <c r="F228" s="32">
        <v>18237</v>
      </c>
      <c r="G228" s="31" t="s">
        <v>58</v>
      </c>
    </row>
    <row r="229" spans="1:7">
      <c r="A229" s="31">
        <v>53</v>
      </c>
      <c r="B229" s="31" t="s">
        <v>245</v>
      </c>
      <c r="C229" s="31" t="s">
        <v>302</v>
      </c>
      <c r="D229" s="31" t="s">
        <v>395</v>
      </c>
      <c r="E229" s="31" t="s">
        <v>1682</v>
      </c>
      <c r="F229" s="32">
        <v>1605</v>
      </c>
      <c r="G229" s="31" t="s">
        <v>58</v>
      </c>
    </row>
    <row r="230" spans="1:7">
      <c r="A230" s="31">
        <v>54</v>
      </c>
      <c r="B230" s="31" t="s">
        <v>246</v>
      </c>
      <c r="C230" s="31" t="s">
        <v>306</v>
      </c>
      <c r="D230" s="31" t="s">
        <v>395</v>
      </c>
      <c r="E230" s="31" t="s">
        <v>1682</v>
      </c>
      <c r="F230" s="32">
        <v>29000</v>
      </c>
      <c r="G230" s="31" t="s">
        <v>58</v>
      </c>
    </row>
    <row r="231" spans="1:7">
      <c r="A231" s="31">
        <v>56</v>
      </c>
      <c r="B231" s="31" t="s">
        <v>248</v>
      </c>
      <c r="C231" s="31" t="s">
        <v>306</v>
      </c>
      <c r="D231" s="31" t="s">
        <v>395</v>
      </c>
      <c r="E231" s="31" t="s">
        <v>1682</v>
      </c>
      <c r="F231" s="32">
        <v>7329</v>
      </c>
      <c r="G231" s="31" t="s">
        <v>58</v>
      </c>
    </row>
    <row r="232" spans="1:7">
      <c r="A232" s="31">
        <v>57</v>
      </c>
      <c r="B232" s="31" t="s">
        <v>249</v>
      </c>
      <c r="C232" s="31" t="s">
        <v>306</v>
      </c>
      <c r="D232" s="31" t="s">
        <v>395</v>
      </c>
      <c r="E232" s="31" t="s">
        <v>1682</v>
      </c>
      <c r="F232" s="32">
        <v>52811</v>
      </c>
      <c r="G232" s="31" t="s">
        <v>58</v>
      </c>
    </row>
    <row r="233" spans="1:7">
      <c r="A233" s="31">
        <v>58</v>
      </c>
      <c r="B233" s="31" t="s">
        <v>250</v>
      </c>
      <c r="C233" s="31" t="s">
        <v>346</v>
      </c>
      <c r="D233" s="31" t="s">
        <v>395</v>
      </c>
      <c r="E233" s="31" t="s">
        <v>1682</v>
      </c>
      <c r="F233" s="32">
        <v>20084</v>
      </c>
      <c r="G233" s="31" t="s">
        <v>58</v>
      </c>
    </row>
    <row r="234" spans="1:7">
      <c r="A234" s="31">
        <v>59</v>
      </c>
      <c r="B234" s="31" t="s">
        <v>251</v>
      </c>
      <c r="C234" s="31" t="s">
        <v>316</v>
      </c>
      <c r="D234" s="31" t="s">
        <v>395</v>
      </c>
      <c r="E234" s="31" t="s">
        <v>1682</v>
      </c>
      <c r="F234" s="32">
        <v>75287</v>
      </c>
      <c r="G234" s="31" t="s">
        <v>58</v>
      </c>
    </row>
    <row r="235" spans="1:7">
      <c r="A235" s="31">
        <v>60</v>
      </c>
      <c r="B235" s="31" t="s">
        <v>252</v>
      </c>
      <c r="C235" s="31" t="s">
        <v>306</v>
      </c>
      <c r="D235" s="31" t="s">
        <v>395</v>
      </c>
      <c r="E235" s="31" t="s">
        <v>1682</v>
      </c>
      <c r="F235" s="32">
        <v>20500</v>
      </c>
      <c r="G235" s="31" t="s">
        <v>58</v>
      </c>
    </row>
    <row r="236" spans="1:7">
      <c r="A236" s="31">
        <v>62</v>
      </c>
      <c r="B236" s="31" t="s">
        <v>254</v>
      </c>
      <c r="C236" s="31" t="s">
        <v>316</v>
      </c>
      <c r="D236" s="31" t="s">
        <v>395</v>
      </c>
      <c r="E236" s="31" t="s">
        <v>1682</v>
      </c>
      <c r="F236" s="32">
        <v>48355</v>
      </c>
      <c r="G236" s="31" t="s">
        <v>58</v>
      </c>
    </row>
    <row r="237" spans="1:7">
      <c r="A237" s="31">
        <v>64</v>
      </c>
      <c r="B237" s="31" t="s">
        <v>256</v>
      </c>
      <c r="C237" s="31" t="s">
        <v>325</v>
      </c>
      <c r="D237" s="31" t="s">
        <v>395</v>
      </c>
      <c r="E237" s="31" t="s">
        <v>1682</v>
      </c>
      <c r="F237" s="32">
        <v>244735</v>
      </c>
      <c r="G237" s="31" t="s">
        <v>58</v>
      </c>
    </row>
    <row r="238" spans="1:7">
      <c r="A238" s="31">
        <v>67</v>
      </c>
      <c r="B238" s="31" t="s">
        <v>259</v>
      </c>
      <c r="C238" s="31" t="s">
        <v>393</v>
      </c>
      <c r="D238" s="31" t="s">
        <v>395</v>
      </c>
      <c r="E238" s="31" t="s">
        <v>1682</v>
      </c>
      <c r="F238" s="32">
        <v>9131</v>
      </c>
      <c r="G238" s="31" t="s">
        <v>58</v>
      </c>
    </row>
    <row r="239" spans="1:7">
      <c r="A239" s="31">
        <v>69</v>
      </c>
      <c r="B239" s="31" t="s">
        <v>261</v>
      </c>
      <c r="C239" s="31" t="s">
        <v>316</v>
      </c>
      <c r="D239" s="31" t="s">
        <v>395</v>
      </c>
      <c r="E239" s="31" t="s">
        <v>1682</v>
      </c>
      <c r="F239" s="32">
        <v>27595</v>
      </c>
      <c r="G239" s="31" t="s">
        <v>58</v>
      </c>
    </row>
    <row r="240" spans="1:7">
      <c r="A240" s="31">
        <v>71</v>
      </c>
      <c r="B240" s="31" t="s">
        <v>263</v>
      </c>
      <c r="C240" s="31" t="s">
        <v>302</v>
      </c>
      <c r="D240" s="31" t="s">
        <v>395</v>
      </c>
      <c r="E240" s="31" t="s">
        <v>1682</v>
      </c>
      <c r="F240" s="32">
        <v>10316</v>
      </c>
      <c r="G240" s="31" t="s">
        <v>58</v>
      </c>
    </row>
    <row r="241" spans="1:7">
      <c r="A241" s="31">
        <v>72</v>
      </c>
      <c r="B241" s="31" t="s">
        <v>264</v>
      </c>
      <c r="C241" s="31" t="s">
        <v>311</v>
      </c>
      <c r="D241" s="31" t="s">
        <v>395</v>
      </c>
      <c r="E241" s="31" t="s">
        <v>1682</v>
      </c>
      <c r="F241" s="32">
        <v>21176</v>
      </c>
      <c r="G241" s="31" t="s">
        <v>58</v>
      </c>
    </row>
    <row r="242" spans="1:7">
      <c r="A242" s="31">
        <v>73</v>
      </c>
      <c r="B242" s="31" t="s">
        <v>265</v>
      </c>
      <c r="C242" s="31" t="s">
        <v>302</v>
      </c>
      <c r="D242" s="31" t="s">
        <v>395</v>
      </c>
      <c r="E242" s="31" t="s">
        <v>1682</v>
      </c>
      <c r="F242" s="32">
        <v>10161</v>
      </c>
      <c r="G242" s="31" t="s">
        <v>58</v>
      </c>
    </row>
    <row r="243" spans="1:7">
      <c r="A243" s="31">
        <v>74</v>
      </c>
      <c r="B243" s="31" t="s">
        <v>266</v>
      </c>
      <c r="C243" s="31" t="s">
        <v>302</v>
      </c>
      <c r="D243" s="31" t="s">
        <v>395</v>
      </c>
      <c r="E243" s="31" t="s">
        <v>1682</v>
      </c>
      <c r="F243" s="32">
        <v>8050</v>
      </c>
      <c r="G243" s="31" t="s">
        <v>58</v>
      </c>
    </row>
    <row r="244" spans="1:7">
      <c r="A244" s="31">
        <v>76</v>
      </c>
      <c r="B244" s="31" t="s">
        <v>268</v>
      </c>
      <c r="C244" s="31" t="s">
        <v>306</v>
      </c>
      <c r="D244" s="31" t="s">
        <v>395</v>
      </c>
      <c r="E244" s="31" t="s">
        <v>1682</v>
      </c>
      <c r="F244" s="32">
        <v>11221</v>
      </c>
      <c r="G244" s="31" t="s">
        <v>58</v>
      </c>
    </row>
    <row r="245" spans="1:7">
      <c r="A245" s="31">
        <v>77</v>
      </c>
      <c r="B245" s="31" t="s">
        <v>269</v>
      </c>
      <c r="C245" s="31" t="s">
        <v>316</v>
      </c>
      <c r="D245" s="31" t="s">
        <v>395</v>
      </c>
      <c r="E245" s="31" t="s">
        <v>1682</v>
      </c>
      <c r="F245" s="32">
        <v>71512</v>
      </c>
      <c r="G245" s="31" t="s">
        <v>58</v>
      </c>
    </row>
    <row r="246" spans="1:7">
      <c r="A246" s="31">
        <v>78</v>
      </c>
      <c r="B246" s="31" t="s">
        <v>271</v>
      </c>
      <c r="C246" s="31" t="s">
        <v>393</v>
      </c>
      <c r="D246" s="31" t="s">
        <v>395</v>
      </c>
      <c r="E246" s="31" t="s">
        <v>1682</v>
      </c>
      <c r="F246" s="32">
        <v>17191</v>
      </c>
      <c r="G246" s="31" t="s">
        <v>58</v>
      </c>
    </row>
    <row r="247" spans="1:7">
      <c r="A247" s="31">
        <v>79</v>
      </c>
      <c r="B247" s="31" t="s">
        <v>272</v>
      </c>
      <c r="C247" s="31" t="s">
        <v>393</v>
      </c>
      <c r="D247" s="31" t="s">
        <v>395</v>
      </c>
      <c r="E247" s="31" t="s">
        <v>1682</v>
      </c>
      <c r="F247" s="32">
        <v>2324</v>
      </c>
      <c r="G247" s="31" t="s">
        <v>58</v>
      </c>
    </row>
    <row r="248" spans="1:7">
      <c r="A248" s="31">
        <v>80</v>
      </c>
      <c r="B248" s="31" t="s">
        <v>273</v>
      </c>
      <c r="C248" s="31" t="s">
        <v>404</v>
      </c>
      <c r="D248" s="31" t="s">
        <v>395</v>
      </c>
      <c r="E248" s="31" t="s">
        <v>1682</v>
      </c>
      <c r="F248" s="32">
        <v>79960</v>
      </c>
      <c r="G248" s="31" t="s">
        <v>58</v>
      </c>
    </row>
    <row r="249" spans="1:7">
      <c r="A249" s="31">
        <v>83</v>
      </c>
      <c r="B249" s="31" t="s">
        <v>276</v>
      </c>
      <c r="C249" s="31" t="s">
        <v>316</v>
      </c>
      <c r="D249" s="31" t="s">
        <v>327</v>
      </c>
      <c r="E249" s="31" t="s">
        <v>1682</v>
      </c>
      <c r="F249" s="32">
        <v>249584</v>
      </c>
      <c r="G249" s="31" t="s">
        <v>58</v>
      </c>
    </row>
    <row r="250" spans="1:7">
      <c r="A250" s="31">
        <v>83</v>
      </c>
      <c r="B250" s="31" t="s">
        <v>276</v>
      </c>
      <c r="C250" s="31" t="s">
        <v>316</v>
      </c>
      <c r="D250" s="31" t="s">
        <v>395</v>
      </c>
      <c r="E250" s="31" t="s">
        <v>1682</v>
      </c>
      <c r="F250" s="32">
        <v>40994</v>
      </c>
      <c r="G250" s="31" t="s">
        <v>58</v>
      </c>
    </row>
    <row r="251" spans="1:7">
      <c r="A251" s="31">
        <v>84</v>
      </c>
      <c r="B251" s="31" t="s">
        <v>278</v>
      </c>
      <c r="C251" s="31" t="s">
        <v>311</v>
      </c>
      <c r="D251" s="31" t="s">
        <v>395</v>
      </c>
      <c r="E251" s="31" t="s">
        <v>1682</v>
      </c>
      <c r="F251" s="32">
        <v>90756</v>
      </c>
      <c r="G251" s="31" t="s">
        <v>58</v>
      </c>
    </row>
    <row r="252" spans="1:7">
      <c r="A252" s="31">
        <v>85</v>
      </c>
      <c r="B252" s="31" t="s">
        <v>279</v>
      </c>
      <c r="C252" s="31" t="s">
        <v>306</v>
      </c>
      <c r="D252" s="31" t="s">
        <v>395</v>
      </c>
      <c r="E252" s="31" t="s">
        <v>1682</v>
      </c>
      <c r="F252" s="32">
        <v>27877</v>
      </c>
      <c r="G252" s="31" t="s">
        <v>58</v>
      </c>
    </row>
    <row r="253" spans="1:7">
      <c r="A253" s="31">
        <v>86</v>
      </c>
      <c r="B253" s="31" t="s">
        <v>280</v>
      </c>
      <c r="C253" s="31" t="s">
        <v>346</v>
      </c>
      <c r="D253" s="31" t="s">
        <v>395</v>
      </c>
      <c r="E253" s="31" t="s">
        <v>1682</v>
      </c>
      <c r="F253" s="32">
        <v>15762</v>
      </c>
      <c r="G253" s="31" t="s">
        <v>58</v>
      </c>
    </row>
    <row r="254" spans="1:7">
      <c r="A254" s="31">
        <v>88</v>
      </c>
      <c r="B254" s="31" t="s">
        <v>282</v>
      </c>
      <c r="C254" s="31" t="s">
        <v>316</v>
      </c>
      <c r="D254" s="31" t="s">
        <v>395</v>
      </c>
      <c r="E254" s="31" t="s">
        <v>1682</v>
      </c>
      <c r="F254" s="32">
        <v>26015</v>
      </c>
      <c r="G254" s="31" t="s">
        <v>58</v>
      </c>
    </row>
    <row r="255" spans="1:7">
      <c r="A255" s="31">
        <v>89</v>
      </c>
      <c r="B255" s="31" t="s">
        <v>283</v>
      </c>
      <c r="C255" s="31" t="s">
        <v>325</v>
      </c>
      <c r="D255" s="31" t="s">
        <v>395</v>
      </c>
      <c r="E255" s="31" t="s">
        <v>1682</v>
      </c>
      <c r="F255" s="32">
        <v>138393</v>
      </c>
      <c r="G255" s="31" t="s">
        <v>58</v>
      </c>
    </row>
    <row r="256" spans="1:7">
      <c r="A256" s="31">
        <v>90</v>
      </c>
      <c r="B256" s="31" t="s">
        <v>284</v>
      </c>
      <c r="C256" s="31" t="s">
        <v>227</v>
      </c>
      <c r="D256" s="31" t="s">
        <v>395</v>
      </c>
      <c r="E256" s="31" t="s">
        <v>1682</v>
      </c>
      <c r="F256" s="32">
        <v>8586</v>
      </c>
      <c r="G256" s="31" t="s">
        <v>58</v>
      </c>
    </row>
    <row r="257" spans="1:7">
      <c r="A257" s="31">
        <v>91</v>
      </c>
      <c r="B257" s="31" t="s">
        <v>285</v>
      </c>
      <c r="C257" s="31" t="s">
        <v>306</v>
      </c>
      <c r="D257" s="31" t="s">
        <v>395</v>
      </c>
      <c r="E257" s="31" t="s">
        <v>1682</v>
      </c>
      <c r="F257" s="32">
        <v>13799</v>
      </c>
      <c r="G257" s="31" t="s">
        <v>58</v>
      </c>
    </row>
    <row r="258" spans="1:7">
      <c r="A258" s="31">
        <v>92</v>
      </c>
      <c r="B258" s="31" t="s">
        <v>286</v>
      </c>
      <c r="C258" s="31" t="s">
        <v>393</v>
      </c>
      <c r="D258" s="31" t="s">
        <v>395</v>
      </c>
      <c r="E258" s="31" t="s">
        <v>1682</v>
      </c>
      <c r="F258" s="32">
        <v>7232</v>
      </c>
      <c r="G258" s="31" t="s">
        <v>58</v>
      </c>
    </row>
    <row r="259" spans="1:7">
      <c r="A259" s="9">
        <v>93</v>
      </c>
      <c r="B259" s="9" t="s">
        <v>287</v>
      </c>
      <c r="C259" s="9" t="s">
        <v>325</v>
      </c>
      <c r="D259" s="9" t="s">
        <v>395</v>
      </c>
      <c r="E259" s="9" t="s">
        <v>1682</v>
      </c>
      <c r="F259" s="33">
        <v>127022</v>
      </c>
      <c r="G259" s="9" t="s">
        <v>58</v>
      </c>
    </row>
    <row r="260" spans="1:7">
      <c r="A260" s="31">
        <v>95</v>
      </c>
      <c r="B260" s="31" t="s">
        <v>290</v>
      </c>
      <c r="C260" s="31" t="s">
        <v>325</v>
      </c>
      <c r="D260" s="31" t="s">
        <v>327</v>
      </c>
      <c r="E260" s="31" t="s">
        <v>1682</v>
      </c>
      <c r="F260" s="32">
        <v>230607</v>
      </c>
      <c r="G260" s="31" t="s">
        <v>58</v>
      </c>
    </row>
    <row r="261" spans="1:7">
      <c r="A261" s="31">
        <v>95</v>
      </c>
      <c r="B261" s="31" t="s">
        <v>290</v>
      </c>
      <c r="C261" s="31" t="s">
        <v>325</v>
      </c>
      <c r="D261" s="31" t="s">
        <v>395</v>
      </c>
      <c r="E261" s="31" t="s">
        <v>1682</v>
      </c>
      <c r="F261" s="32">
        <v>38736</v>
      </c>
      <c r="G261" s="31" t="s">
        <v>58</v>
      </c>
    </row>
    <row r="262" spans="1:7">
      <c r="A262" s="31">
        <v>96</v>
      </c>
      <c r="B262" s="31" t="s">
        <v>164</v>
      </c>
      <c r="C262" s="31" t="s">
        <v>311</v>
      </c>
      <c r="D262" s="31" t="s">
        <v>395</v>
      </c>
      <c r="E262" s="31" t="s">
        <v>1682</v>
      </c>
      <c r="F262" s="32">
        <v>28067</v>
      </c>
      <c r="G262" s="31" t="s">
        <v>58</v>
      </c>
    </row>
    <row r="263" spans="1:7">
      <c r="A263" s="31">
        <v>94</v>
      </c>
      <c r="B263" s="31" t="s">
        <v>289</v>
      </c>
      <c r="C263" s="31" t="s">
        <v>311</v>
      </c>
      <c r="D263" s="31" t="s">
        <v>395</v>
      </c>
      <c r="E263" s="31" t="s">
        <v>1682</v>
      </c>
      <c r="F263" s="32">
        <v>24570</v>
      </c>
      <c r="G263" s="31" t="s">
        <v>58</v>
      </c>
    </row>
    <row r="264" spans="1:7">
      <c r="A264" s="31">
        <v>97</v>
      </c>
      <c r="B264" s="31" t="s">
        <v>165</v>
      </c>
      <c r="C264" s="31" t="s">
        <v>306</v>
      </c>
      <c r="D264" s="31" t="s">
        <v>395</v>
      </c>
      <c r="E264" s="31" t="s">
        <v>1682</v>
      </c>
      <c r="F264" s="32">
        <v>9857</v>
      </c>
      <c r="G264" s="31" t="s">
        <v>58</v>
      </c>
    </row>
    <row r="265" spans="1:7">
      <c r="A265" s="31">
        <v>99</v>
      </c>
      <c r="B265" s="31" t="s">
        <v>167</v>
      </c>
      <c r="C265" s="31" t="s">
        <v>302</v>
      </c>
      <c r="D265" s="31" t="s">
        <v>395</v>
      </c>
      <c r="E265" s="31" t="s">
        <v>1682</v>
      </c>
      <c r="F265" s="32">
        <v>22307</v>
      </c>
      <c r="G265" s="31" t="s">
        <v>58</v>
      </c>
    </row>
    <row r="266" spans="1:7">
      <c r="A266" s="31">
        <v>101</v>
      </c>
      <c r="B266" s="31" t="s">
        <v>169</v>
      </c>
      <c r="C266" s="31" t="s">
        <v>311</v>
      </c>
      <c r="D266" s="31" t="s">
        <v>395</v>
      </c>
      <c r="E266" s="31" t="s">
        <v>1682</v>
      </c>
      <c r="F266" s="32">
        <v>24584</v>
      </c>
      <c r="G266" s="31" t="s">
        <v>58</v>
      </c>
    </row>
    <row r="267" spans="1:7">
      <c r="A267" s="31">
        <v>103</v>
      </c>
      <c r="B267" s="31" t="s">
        <v>171</v>
      </c>
      <c r="C267" s="31" t="s">
        <v>404</v>
      </c>
      <c r="D267" s="31" t="s">
        <v>395</v>
      </c>
      <c r="E267" s="31" t="s">
        <v>1682</v>
      </c>
      <c r="F267" s="32">
        <v>70603</v>
      </c>
      <c r="G267" s="31" t="s">
        <v>58</v>
      </c>
    </row>
    <row r="268" spans="1:7">
      <c r="A268" s="31">
        <v>104</v>
      </c>
      <c r="B268" s="31" t="s">
        <v>172</v>
      </c>
      <c r="C268" s="31" t="s">
        <v>404</v>
      </c>
      <c r="D268" s="31" t="s">
        <v>327</v>
      </c>
      <c r="E268" s="31" t="s">
        <v>1682</v>
      </c>
      <c r="F268" s="32">
        <v>241892</v>
      </c>
      <c r="G268" s="31" t="s">
        <v>58</v>
      </c>
    </row>
    <row r="269" spans="1:7">
      <c r="A269" s="31">
        <v>104</v>
      </c>
      <c r="B269" s="31" t="s">
        <v>172</v>
      </c>
      <c r="C269" s="31" t="s">
        <v>404</v>
      </c>
      <c r="D269" s="31" t="s">
        <v>395</v>
      </c>
      <c r="E269" s="31" t="s">
        <v>1682</v>
      </c>
      <c r="F269" s="32">
        <v>45690</v>
      </c>
      <c r="G269" s="31" t="s">
        <v>58</v>
      </c>
    </row>
    <row r="270" spans="1:7">
      <c r="A270" s="31">
        <v>106</v>
      </c>
      <c r="B270" s="31" t="s">
        <v>174</v>
      </c>
      <c r="C270" s="31" t="s">
        <v>311</v>
      </c>
      <c r="D270" s="31" t="s">
        <v>395</v>
      </c>
      <c r="E270" s="31" t="s">
        <v>1682</v>
      </c>
      <c r="F270" s="32">
        <v>10565</v>
      </c>
      <c r="G270" s="31" t="s">
        <v>58</v>
      </c>
    </row>
    <row r="271" spans="1:7">
      <c r="A271" s="31">
        <v>107</v>
      </c>
      <c r="B271" s="31" t="s">
        <v>175</v>
      </c>
      <c r="C271" s="31" t="s">
        <v>306</v>
      </c>
      <c r="D271" s="31" t="s">
        <v>395</v>
      </c>
      <c r="E271" s="31" t="s">
        <v>1682</v>
      </c>
      <c r="F271" s="32">
        <v>12314</v>
      </c>
      <c r="G271" s="31" t="s">
        <v>58</v>
      </c>
    </row>
    <row r="272" spans="1:7">
      <c r="A272" s="31">
        <v>108</v>
      </c>
      <c r="B272" s="31" t="s">
        <v>176</v>
      </c>
      <c r="C272" s="31" t="s">
        <v>393</v>
      </c>
      <c r="D272" s="31" t="s">
        <v>395</v>
      </c>
      <c r="E272" s="31" t="s">
        <v>1682</v>
      </c>
      <c r="F272" s="32">
        <v>10707</v>
      </c>
      <c r="G272" s="31" t="s">
        <v>58</v>
      </c>
    </row>
    <row r="273" spans="1:7">
      <c r="A273" s="31">
        <v>109</v>
      </c>
      <c r="B273" s="31" t="s">
        <v>177</v>
      </c>
      <c r="C273" s="31" t="s">
        <v>316</v>
      </c>
      <c r="D273" s="31" t="s">
        <v>395</v>
      </c>
      <c r="E273" s="31" t="s">
        <v>1682</v>
      </c>
      <c r="F273" s="32">
        <v>19943</v>
      </c>
      <c r="G273" s="31" t="s">
        <v>58</v>
      </c>
    </row>
    <row r="274" spans="1:7">
      <c r="A274" s="31">
        <v>110</v>
      </c>
      <c r="B274" s="31" t="s">
        <v>178</v>
      </c>
      <c r="C274" s="31" t="s">
        <v>346</v>
      </c>
      <c r="D274" s="31" t="s">
        <v>395</v>
      </c>
      <c r="E274" s="31" t="s">
        <v>1682</v>
      </c>
      <c r="F274" s="32">
        <v>11351</v>
      </c>
      <c r="G274" s="31" t="s">
        <v>58</v>
      </c>
    </row>
    <row r="275" spans="1:7">
      <c r="A275" s="31">
        <v>111</v>
      </c>
      <c r="B275" s="31" t="s">
        <v>179</v>
      </c>
      <c r="C275" s="31" t="s">
        <v>346</v>
      </c>
      <c r="D275" s="31" t="s">
        <v>395</v>
      </c>
      <c r="E275" s="31" t="s">
        <v>1682</v>
      </c>
      <c r="F275" s="32">
        <v>15515</v>
      </c>
      <c r="G275" s="31" t="s">
        <v>58</v>
      </c>
    </row>
    <row r="276" spans="1:7">
      <c r="A276" s="31">
        <v>112</v>
      </c>
      <c r="B276" s="31" t="s">
        <v>180</v>
      </c>
      <c r="C276" s="31" t="s">
        <v>393</v>
      </c>
      <c r="D276" s="31" t="s">
        <v>395</v>
      </c>
      <c r="E276" s="31" t="s">
        <v>1682</v>
      </c>
      <c r="F276" s="32">
        <v>5120</v>
      </c>
      <c r="G276" s="31" t="s">
        <v>58</v>
      </c>
    </row>
    <row r="277" spans="1:7">
      <c r="A277" s="31">
        <v>113</v>
      </c>
      <c r="B277" s="31" t="s">
        <v>181</v>
      </c>
      <c r="C277" s="31" t="s">
        <v>302</v>
      </c>
      <c r="D277" s="31" t="s">
        <v>395</v>
      </c>
      <c r="E277" s="31" t="s">
        <v>1682</v>
      </c>
      <c r="F277" s="32">
        <v>4761</v>
      </c>
      <c r="G277" s="31" t="s">
        <v>58</v>
      </c>
    </row>
    <row r="278" spans="1:7">
      <c r="A278" s="31">
        <v>114</v>
      </c>
      <c r="B278" s="31" t="s">
        <v>182</v>
      </c>
      <c r="C278" s="31" t="s">
        <v>302</v>
      </c>
      <c r="D278" s="31" t="s">
        <v>395</v>
      </c>
      <c r="E278" s="31" t="s">
        <v>1682</v>
      </c>
      <c r="F278" s="32">
        <v>4263</v>
      </c>
      <c r="G278" s="31" t="s">
        <v>58</v>
      </c>
    </row>
    <row r="279" spans="1:7">
      <c r="A279" s="31">
        <v>116</v>
      </c>
      <c r="B279" s="31" t="s">
        <v>184</v>
      </c>
      <c r="C279" s="31" t="s">
        <v>316</v>
      </c>
      <c r="D279" s="31" t="s">
        <v>395</v>
      </c>
      <c r="E279" s="31" t="s">
        <v>1682</v>
      </c>
      <c r="F279" s="32">
        <v>19266</v>
      </c>
      <c r="G279" s="31" t="s">
        <v>58</v>
      </c>
    </row>
    <row r="280" spans="1:7">
      <c r="A280" s="31">
        <v>117</v>
      </c>
      <c r="B280" s="31" t="s">
        <v>185</v>
      </c>
      <c r="C280" s="31" t="s">
        <v>227</v>
      </c>
      <c r="D280" s="31" t="s">
        <v>395</v>
      </c>
      <c r="E280" s="31" t="s">
        <v>1682</v>
      </c>
      <c r="F280" s="32">
        <v>8645</v>
      </c>
      <c r="G280" s="31" t="s">
        <v>58</v>
      </c>
    </row>
    <row r="281" spans="1:7">
      <c r="A281" s="31">
        <v>201</v>
      </c>
      <c r="B281" s="31" t="s">
        <v>113</v>
      </c>
      <c r="C281" s="31" t="s">
        <v>302</v>
      </c>
      <c r="D281" s="31" t="s">
        <v>395</v>
      </c>
      <c r="E281" s="31" t="s">
        <v>1682</v>
      </c>
      <c r="F281" s="32">
        <v>14860</v>
      </c>
      <c r="G281" s="31" t="s">
        <v>58</v>
      </c>
    </row>
    <row r="282" spans="1:7">
      <c r="A282" s="31">
        <v>210</v>
      </c>
      <c r="B282" s="31" t="s">
        <v>120</v>
      </c>
      <c r="C282" s="31" t="s">
        <v>393</v>
      </c>
      <c r="D282" s="31" t="s">
        <v>395</v>
      </c>
      <c r="E282" s="31" t="s">
        <v>1682</v>
      </c>
      <c r="F282" s="32">
        <v>8624</v>
      </c>
      <c r="G282" s="31" t="s">
        <v>58</v>
      </c>
    </row>
    <row r="283" spans="1:7">
      <c r="A283" s="31">
        <v>211</v>
      </c>
      <c r="B283" s="31" t="s">
        <v>121</v>
      </c>
      <c r="C283" s="31" t="s">
        <v>346</v>
      </c>
      <c r="D283" s="31" t="s">
        <v>395</v>
      </c>
      <c r="E283" s="31" t="s">
        <v>1682</v>
      </c>
      <c r="F283" s="32">
        <v>8711</v>
      </c>
      <c r="G283" s="31" t="s">
        <v>58</v>
      </c>
    </row>
    <row r="284" spans="1:7">
      <c r="A284" s="31">
        <v>212</v>
      </c>
      <c r="B284" s="31" t="s">
        <v>122</v>
      </c>
      <c r="C284" s="31" t="s">
        <v>393</v>
      </c>
      <c r="D284" s="31" t="s">
        <v>395</v>
      </c>
      <c r="E284" s="31" t="s">
        <v>1682</v>
      </c>
      <c r="F284" s="32">
        <v>11500</v>
      </c>
      <c r="G284" s="31" t="s">
        <v>58</v>
      </c>
    </row>
    <row r="285" spans="1:7">
      <c r="A285" s="31">
        <v>213</v>
      </c>
      <c r="B285" s="31" t="s">
        <v>123</v>
      </c>
      <c r="C285" s="31" t="s">
        <v>393</v>
      </c>
      <c r="D285" s="31" t="s">
        <v>395</v>
      </c>
      <c r="E285" s="31" t="s">
        <v>1682</v>
      </c>
      <c r="F285" s="32">
        <v>13379</v>
      </c>
      <c r="G285" s="31" t="s">
        <v>58</v>
      </c>
    </row>
    <row r="286" spans="1:7">
      <c r="A286" s="31">
        <v>214</v>
      </c>
      <c r="B286" s="31" t="s">
        <v>124</v>
      </c>
      <c r="C286" s="31" t="s">
        <v>393</v>
      </c>
      <c r="D286" s="31" t="s">
        <v>395</v>
      </c>
      <c r="E286" s="31" t="s">
        <v>1682</v>
      </c>
      <c r="F286" s="32">
        <v>17364</v>
      </c>
      <c r="G286" s="31" t="s">
        <v>58</v>
      </c>
    </row>
    <row r="287" spans="1:7">
      <c r="A287" s="31">
        <v>215</v>
      </c>
      <c r="B287" s="31" t="s">
        <v>125</v>
      </c>
      <c r="C287" s="31" t="s">
        <v>306</v>
      </c>
      <c r="D287" s="31" t="s">
        <v>395</v>
      </c>
      <c r="E287" s="31" t="s">
        <v>1682</v>
      </c>
      <c r="F287" s="32">
        <v>29424</v>
      </c>
      <c r="G287" s="31" t="s">
        <v>58</v>
      </c>
    </row>
    <row r="288" spans="1:7">
      <c r="A288" s="31">
        <v>216</v>
      </c>
      <c r="B288" s="31" t="s">
        <v>126</v>
      </c>
      <c r="C288" s="31" t="s">
        <v>302</v>
      </c>
      <c r="D288" s="31" t="s">
        <v>395</v>
      </c>
      <c r="E288" s="31" t="s">
        <v>1682</v>
      </c>
      <c r="F288" s="32">
        <v>22555</v>
      </c>
      <c r="G288" s="31" t="s">
        <v>58</v>
      </c>
    </row>
    <row r="289" spans="1:7">
      <c r="A289" s="31">
        <v>217</v>
      </c>
      <c r="B289" s="31" t="s">
        <v>127</v>
      </c>
      <c r="C289" s="31" t="s">
        <v>393</v>
      </c>
      <c r="D289" s="31" t="s">
        <v>395</v>
      </c>
      <c r="E289" s="31" t="s">
        <v>1682</v>
      </c>
      <c r="F289" s="32">
        <v>21124</v>
      </c>
      <c r="G289" s="31" t="s">
        <v>58</v>
      </c>
    </row>
    <row r="290" spans="1:7">
      <c r="A290" s="31">
        <v>218</v>
      </c>
      <c r="B290" s="31" t="s">
        <v>128</v>
      </c>
      <c r="C290" s="31" t="s">
        <v>393</v>
      </c>
      <c r="D290" s="31" t="s">
        <v>395</v>
      </c>
      <c r="E290" s="31" t="s">
        <v>1682</v>
      </c>
      <c r="F290" s="32">
        <v>16085</v>
      </c>
      <c r="G290" s="31" t="s">
        <v>58</v>
      </c>
    </row>
    <row r="291" spans="1:7">
      <c r="A291" s="31">
        <v>204</v>
      </c>
      <c r="B291" s="31" t="s">
        <v>114</v>
      </c>
      <c r="C291" s="31" t="s">
        <v>393</v>
      </c>
      <c r="D291" s="31" t="s">
        <v>395</v>
      </c>
      <c r="E291" s="31" t="s">
        <v>1682</v>
      </c>
      <c r="F291" s="32">
        <v>17205</v>
      </c>
      <c r="G291" s="31" t="s">
        <v>58</v>
      </c>
    </row>
    <row r="292" spans="1:7">
      <c r="A292" s="31">
        <v>206</v>
      </c>
      <c r="B292" s="31" t="s">
        <v>116</v>
      </c>
      <c r="C292" s="31" t="s">
        <v>302</v>
      </c>
      <c r="D292" s="31" t="s">
        <v>395</v>
      </c>
      <c r="E292" s="31" t="s">
        <v>1682</v>
      </c>
      <c r="F292" s="32">
        <v>8054</v>
      </c>
      <c r="G292" s="31" t="s">
        <v>58</v>
      </c>
    </row>
    <row r="293" spans="1:7">
      <c r="A293" s="31">
        <v>118</v>
      </c>
      <c r="B293" s="31" t="s">
        <v>186</v>
      </c>
      <c r="C293" s="31" t="s">
        <v>227</v>
      </c>
      <c r="D293" s="31" t="s">
        <v>395</v>
      </c>
      <c r="E293" s="31" t="s">
        <v>1682</v>
      </c>
      <c r="F293" s="32">
        <v>50329</v>
      </c>
      <c r="G293" s="31" t="s">
        <v>58</v>
      </c>
    </row>
    <row r="294" spans="1:7">
      <c r="A294" s="31">
        <v>119</v>
      </c>
      <c r="B294" s="31" t="s">
        <v>187</v>
      </c>
      <c r="C294" s="31" t="s">
        <v>311</v>
      </c>
      <c r="D294" s="31" t="s">
        <v>395</v>
      </c>
      <c r="E294" s="31" t="s">
        <v>1682</v>
      </c>
      <c r="F294" s="32">
        <v>12908</v>
      </c>
      <c r="G294" s="31" t="s">
        <v>58</v>
      </c>
    </row>
    <row r="295" spans="1:7">
      <c r="A295" s="31">
        <v>121</v>
      </c>
      <c r="B295" s="31" t="s">
        <v>189</v>
      </c>
      <c r="C295" s="31" t="s">
        <v>393</v>
      </c>
      <c r="D295" s="31" t="s">
        <v>395</v>
      </c>
      <c r="E295" s="31" t="s">
        <v>1682</v>
      </c>
      <c r="F295" s="32">
        <v>4628</v>
      </c>
      <c r="G295" s="31" t="s">
        <v>58</v>
      </c>
    </row>
    <row r="296" spans="1:7">
      <c r="A296" s="31">
        <v>124</v>
      </c>
      <c r="B296" s="31" t="s">
        <v>192</v>
      </c>
      <c r="C296" s="31" t="s">
        <v>346</v>
      </c>
      <c r="D296" s="31" t="s">
        <v>395</v>
      </c>
      <c r="E296" s="31" t="s">
        <v>1682</v>
      </c>
      <c r="F296" s="32">
        <v>29887</v>
      </c>
      <c r="G296" s="31" t="s">
        <v>58</v>
      </c>
    </row>
    <row r="297" spans="1:7">
      <c r="A297" s="31">
        <v>223</v>
      </c>
      <c r="B297" s="31" t="s">
        <v>130</v>
      </c>
      <c r="C297" s="31"/>
      <c r="D297" s="31" t="s">
        <v>395</v>
      </c>
      <c r="E297" s="31" t="s">
        <v>1682</v>
      </c>
      <c r="F297" s="32">
        <v>12314</v>
      </c>
      <c r="G297" s="31" t="s">
        <v>58</v>
      </c>
    </row>
    <row r="298" spans="1:7">
      <c r="A298" s="31">
        <v>126</v>
      </c>
      <c r="B298" s="31" t="s">
        <v>194</v>
      </c>
      <c r="C298" s="31" t="s">
        <v>311</v>
      </c>
      <c r="D298" s="31" t="s">
        <v>327</v>
      </c>
      <c r="E298" s="31" t="s">
        <v>1682</v>
      </c>
      <c r="F298" s="32">
        <v>242895</v>
      </c>
      <c r="G298" s="31" t="s">
        <v>58</v>
      </c>
    </row>
    <row r="299" spans="1:7">
      <c r="A299" s="31">
        <v>126</v>
      </c>
      <c r="B299" s="31" t="s">
        <v>194</v>
      </c>
      <c r="C299" s="31" t="s">
        <v>311</v>
      </c>
      <c r="D299" s="31" t="s">
        <v>395</v>
      </c>
      <c r="E299" s="31" t="s">
        <v>1682</v>
      </c>
      <c r="F299" s="32">
        <v>42386</v>
      </c>
      <c r="G299" s="31" t="s">
        <v>58</v>
      </c>
    </row>
    <row r="300" spans="1:7">
      <c r="A300" s="31">
        <v>127</v>
      </c>
      <c r="B300" s="31" t="s">
        <v>195</v>
      </c>
      <c r="C300" s="31" t="s">
        <v>393</v>
      </c>
      <c r="D300" s="31" t="s">
        <v>395</v>
      </c>
      <c r="E300" s="31" t="s">
        <v>1682</v>
      </c>
      <c r="F300" s="32">
        <v>1801</v>
      </c>
      <c r="G300" s="31" t="s">
        <v>58</v>
      </c>
    </row>
    <row r="301" spans="1:7">
      <c r="A301" s="31">
        <v>128</v>
      </c>
      <c r="B301" s="31" t="s">
        <v>196</v>
      </c>
      <c r="C301" s="31" t="s">
        <v>306</v>
      </c>
      <c r="D301" s="31" t="s">
        <v>395</v>
      </c>
      <c r="E301" s="31" t="s">
        <v>1682</v>
      </c>
      <c r="F301" s="32">
        <v>24000</v>
      </c>
      <c r="G301" s="31" t="s">
        <v>58</v>
      </c>
    </row>
    <row r="302" spans="1:7">
      <c r="A302" s="31">
        <v>129</v>
      </c>
      <c r="B302" s="31" t="s">
        <v>197</v>
      </c>
      <c r="C302" s="31" t="s">
        <v>393</v>
      </c>
      <c r="D302" s="31" t="s">
        <v>395</v>
      </c>
      <c r="E302" s="31" t="s">
        <v>1682</v>
      </c>
      <c r="F302" s="32">
        <v>10457</v>
      </c>
      <c r="G302" s="31" t="s">
        <v>58</v>
      </c>
    </row>
    <row r="303" spans="1:7">
      <c r="A303" s="31">
        <v>132</v>
      </c>
      <c r="B303" s="31" t="s">
        <v>200</v>
      </c>
      <c r="C303" s="31" t="s">
        <v>306</v>
      </c>
      <c r="D303" s="31" t="s">
        <v>395</v>
      </c>
      <c r="E303" s="31" t="s">
        <v>1682</v>
      </c>
      <c r="F303" s="32">
        <v>19606</v>
      </c>
      <c r="G303" s="31" t="s">
        <v>58</v>
      </c>
    </row>
    <row r="304" spans="1:7">
      <c r="A304" s="31">
        <v>131</v>
      </c>
      <c r="B304" s="31" t="s">
        <v>199</v>
      </c>
      <c r="C304" s="31" t="s">
        <v>311</v>
      </c>
      <c r="D304" s="31" t="s">
        <v>395</v>
      </c>
      <c r="E304" s="31" t="s">
        <v>1682</v>
      </c>
      <c r="F304" s="32">
        <v>48432</v>
      </c>
      <c r="G304" s="31" t="s">
        <v>58</v>
      </c>
    </row>
    <row r="305" spans="1:7">
      <c r="A305" s="31">
        <v>133</v>
      </c>
      <c r="B305" s="31" t="s">
        <v>201</v>
      </c>
      <c r="C305" s="31" t="s">
        <v>346</v>
      </c>
      <c r="D305" s="31" t="s">
        <v>395</v>
      </c>
      <c r="E305" s="31" t="s">
        <v>1682</v>
      </c>
      <c r="F305" s="32">
        <v>7236</v>
      </c>
      <c r="G305" s="31" t="s">
        <v>58</v>
      </c>
    </row>
    <row r="306" spans="1:7">
      <c r="A306" s="31">
        <v>134</v>
      </c>
      <c r="B306" s="31" t="s">
        <v>202</v>
      </c>
      <c r="C306" s="31" t="s">
        <v>346</v>
      </c>
      <c r="D306" s="31" t="s">
        <v>395</v>
      </c>
      <c r="E306" s="31" t="s">
        <v>1682</v>
      </c>
      <c r="F306" s="32">
        <v>14255</v>
      </c>
      <c r="G306" s="31" t="s">
        <v>58</v>
      </c>
    </row>
    <row r="307" spans="1:7">
      <c r="A307" s="31">
        <v>135</v>
      </c>
      <c r="B307" s="31" t="s">
        <v>203</v>
      </c>
      <c r="C307" s="31" t="s">
        <v>404</v>
      </c>
      <c r="D307" s="31" t="s">
        <v>327</v>
      </c>
      <c r="E307" s="31" t="s">
        <v>1682</v>
      </c>
      <c r="F307" s="32">
        <v>233950</v>
      </c>
      <c r="G307" s="31" t="s">
        <v>58</v>
      </c>
    </row>
    <row r="308" spans="1:7">
      <c r="A308" s="31">
        <v>135</v>
      </c>
      <c r="B308" s="31" t="s">
        <v>203</v>
      </c>
      <c r="C308" s="31" t="s">
        <v>404</v>
      </c>
      <c r="D308" s="31" t="s">
        <v>395</v>
      </c>
      <c r="E308" s="31" t="s">
        <v>1682</v>
      </c>
      <c r="F308" s="32">
        <v>101783</v>
      </c>
      <c r="G308" s="31" t="s">
        <v>58</v>
      </c>
    </row>
    <row r="309" spans="1:7">
      <c r="A309" s="31">
        <v>136</v>
      </c>
      <c r="B309" s="31" t="s">
        <v>204</v>
      </c>
      <c r="C309" s="31" t="s">
        <v>346</v>
      </c>
      <c r="D309" s="31" t="s">
        <v>395</v>
      </c>
      <c r="E309" s="31" t="s">
        <v>1682</v>
      </c>
      <c r="F309" s="32">
        <v>3733</v>
      </c>
      <c r="G309" s="31" t="s">
        <v>58</v>
      </c>
    </row>
    <row r="310" spans="1:7">
      <c r="A310" s="31">
        <v>137</v>
      </c>
      <c r="B310" s="31" t="s">
        <v>205</v>
      </c>
      <c r="C310" s="31" t="s">
        <v>311</v>
      </c>
      <c r="D310" s="31" t="s">
        <v>395</v>
      </c>
      <c r="E310" s="31" t="s">
        <v>1682</v>
      </c>
      <c r="F310" s="32">
        <v>17946</v>
      </c>
      <c r="G310" s="31" t="s">
        <v>58</v>
      </c>
    </row>
    <row r="311" spans="1:7">
      <c r="A311" s="31">
        <v>138</v>
      </c>
      <c r="B311" s="31" t="s">
        <v>206</v>
      </c>
      <c r="C311" s="31" t="s">
        <v>316</v>
      </c>
      <c r="D311" s="31" t="s">
        <v>395</v>
      </c>
      <c r="E311" s="31" t="s">
        <v>1682</v>
      </c>
      <c r="F311" s="32">
        <v>54318</v>
      </c>
      <c r="G311" s="31" t="s">
        <v>58</v>
      </c>
    </row>
    <row r="312" spans="1:7">
      <c r="A312" s="31">
        <v>139</v>
      </c>
      <c r="B312" s="31" t="s">
        <v>207</v>
      </c>
      <c r="C312" s="31" t="s">
        <v>393</v>
      </c>
      <c r="D312" s="31" t="s">
        <v>395</v>
      </c>
      <c r="E312" s="31" t="s">
        <v>1682</v>
      </c>
      <c r="F312" s="32">
        <v>17433</v>
      </c>
      <c r="G312" s="31" t="s">
        <v>58</v>
      </c>
    </row>
    <row r="313" spans="1:7">
      <c r="A313" s="31">
        <v>140</v>
      </c>
      <c r="B313" s="31" t="s">
        <v>208</v>
      </c>
      <c r="C313" s="31" t="s">
        <v>302</v>
      </c>
      <c r="D313" s="31" t="s">
        <v>395</v>
      </c>
      <c r="E313" s="31" t="s">
        <v>1682</v>
      </c>
      <c r="F313" s="32">
        <v>17000</v>
      </c>
      <c r="G313" s="31" t="s">
        <v>58</v>
      </c>
    </row>
    <row r="314" spans="1:7">
      <c r="A314" s="31">
        <v>141</v>
      </c>
      <c r="B314" s="31" t="s">
        <v>209</v>
      </c>
      <c r="C314" s="31" t="s">
        <v>346</v>
      </c>
      <c r="D314" s="31" t="s">
        <v>395</v>
      </c>
      <c r="E314" s="31" t="s">
        <v>1682</v>
      </c>
      <c r="F314" s="32">
        <v>14546</v>
      </c>
      <c r="G314" s="31" t="s">
        <v>58</v>
      </c>
    </row>
    <row r="315" spans="1:7">
      <c r="A315" s="31">
        <v>142</v>
      </c>
      <c r="B315" s="31" t="s">
        <v>211</v>
      </c>
      <c r="C315" s="31" t="s">
        <v>393</v>
      </c>
      <c r="D315" s="31" t="s">
        <v>395</v>
      </c>
      <c r="E315" s="31" t="s">
        <v>1682</v>
      </c>
      <c r="F315" s="32">
        <v>12711</v>
      </c>
      <c r="G315" s="31" t="s">
        <v>58</v>
      </c>
    </row>
    <row r="316" spans="1:7">
      <c r="A316" s="31">
        <v>143</v>
      </c>
      <c r="B316" s="31" t="s">
        <v>212</v>
      </c>
      <c r="C316" s="31" t="s">
        <v>316</v>
      </c>
      <c r="D316" s="31" t="s">
        <v>395</v>
      </c>
      <c r="E316" s="31" t="s">
        <v>1682</v>
      </c>
      <c r="F316" s="32">
        <v>20776</v>
      </c>
      <c r="G316" s="31" t="s">
        <v>58</v>
      </c>
    </row>
    <row r="317" spans="1:7">
      <c r="A317" s="31">
        <v>998</v>
      </c>
      <c r="B317" s="31" t="s">
        <v>53</v>
      </c>
      <c r="C317" s="31"/>
      <c r="D317" s="31" t="s">
        <v>395</v>
      </c>
      <c r="E317" s="31" t="s">
        <v>1682</v>
      </c>
      <c r="F317" s="32">
        <v>15575</v>
      </c>
      <c r="G317" s="31" t="s">
        <v>58</v>
      </c>
    </row>
    <row r="318" spans="1:7">
      <c r="A318" s="31">
        <v>144</v>
      </c>
      <c r="B318" s="31" t="s">
        <v>213</v>
      </c>
      <c r="C318" s="31" t="s">
        <v>306</v>
      </c>
      <c r="D318" s="31" t="s">
        <v>395</v>
      </c>
      <c r="E318" s="31" t="s">
        <v>1682</v>
      </c>
      <c r="F318" s="32">
        <v>41630</v>
      </c>
      <c r="G318" s="31" t="s">
        <v>58</v>
      </c>
    </row>
    <row r="319" spans="1:7">
      <c r="A319" s="31">
        <v>145</v>
      </c>
      <c r="B319" s="31" t="s">
        <v>214</v>
      </c>
      <c r="C319" s="31" t="s">
        <v>302</v>
      </c>
      <c r="D319" s="31" t="s">
        <v>395</v>
      </c>
      <c r="E319" s="31" t="s">
        <v>1682</v>
      </c>
      <c r="F319" s="32">
        <v>1513</v>
      </c>
      <c r="G319" s="31" t="s">
        <v>58</v>
      </c>
    </row>
    <row r="320" spans="1:7">
      <c r="A320" s="31">
        <v>146</v>
      </c>
      <c r="B320" s="31" t="s">
        <v>215</v>
      </c>
      <c r="C320" s="31" t="s">
        <v>316</v>
      </c>
      <c r="D320" s="31" t="s">
        <v>395</v>
      </c>
      <c r="E320" s="31" t="s">
        <v>1682</v>
      </c>
      <c r="F320" s="32">
        <v>54167</v>
      </c>
      <c r="G320" s="31" t="s">
        <v>58</v>
      </c>
    </row>
    <row r="321" spans="1:7">
      <c r="A321" s="31">
        <v>147</v>
      </c>
      <c r="B321" s="31" t="s">
        <v>216</v>
      </c>
      <c r="C321" s="31" t="s">
        <v>346</v>
      </c>
      <c r="D321" s="31" t="s">
        <v>395</v>
      </c>
      <c r="E321" s="31" t="s">
        <v>1682</v>
      </c>
      <c r="F321" s="32">
        <v>3172</v>
      </c>
      <c r="G321" s="31" t="s">
        <v>58</v>
      </c>
    </row>
    <row r="322" spans="1:7">
      <c r="A322" s="31">
        <v>148</v>
      </c>
      <c r="B322" s="31" t="s">
        <v>217</v>
      </c>
      <c r="C322" s="31" t="s">
        <v>311</v>
      </c>
      <c r="D322" s="31" t="s">
        <v>395</v>
      </c>
      <c r="E322" s="31" t="s">
        <v>1682</v>
      </c>
      <c r="F322" s="32">
        <v>35000</v>
      </c>
      <c r="G322" s="31" t="s">
        <v>58</v>
      </c>
    </row>
    <row r="323" spans="1:7">
      <c r="A323" s="31">
        <v>151</v>
      </c>
      <c r="B323" s="31" t="s">
        <v>220</v>
      </c>
      <c r="C323" s="31" t="s">
        <v>325</v>
      </c>
      <c r="D323" s="31" t="s">
        <v>395</v>
      </c>
      <c r="E323" s="31" t="s">
        <v>1682</v>
      </c>
      <c r="F323" s="32">
        <v>102958</v>
      </c>
      <c r="G323" s="31" t="s">
        <v>58</v>
      </c>
    </row>
    <row r="324" spans="1:7">
      <c r="A324" s="31">
        <v>152</v>
      </c>
      <c r="B324" s="31" t="s">
        <v>221</v>
      </c>
      <c r="C324" s="31" t="s">
        <v>311</v>
      </c>
      <c r="D324" s="31" t="s">
        <v>395</v>
      </c>
      <c r="E324" s="31" t="s">
        <v>1682</v>
      </c>
      <c r="F324" s="32">
        <v>18818</v>
      </c>
      <c r="G324" s="31" t="s">
        <v>58</v>
      </c>
    </row>
    <row r="325" spans="1:7">
      <c r="A325" s="31">
        <v>153</v>
      </c>
      <c r="B325" s="31" t="s">
        <v>222</v>
      </c>
      <c r="C325" s="31" t="s">
        <v>311</v>
      </c>
      <c r="D325" s="31" t="s">
        <v>395</v>
      </c>
      <c r="E325" s="31" t="s">
        <v>1682</v>
      </c>
      <c r="F325" s="32">
        <v>16339</v>
      </c>
      <c r="G325" s="31" t="s">
        <v>58</v>
      </c>
    </row>
    <row r="326" spans="1:7">
      <c r="A326" s="31">
        <v>155</v>
      </c>
      <c r="B326" s="31" t="s">
        <v>224</v>
      </c>
      <c r="C326" s="31" t="s">
        <v>306</v>
      </c>
      <c r="D326" s="31" t="s">
        <v>395</v>
      </c>
      <c r="E326" s="31" t="s">
        <v>1682</v>
      </c>
      <c r="F326" s="32">
        <v>49229</v>
      </c>
      <c r="G326" s="31" t="s">
        <v>58</v>
      </c>
    </row>
    <row r="327" spans="1:7">
      <c r="A327" s="31">
        <v>156</v>
      </c>
      <c r="B327" s="31" t="s">
        <v>225</v>
      </c>
      <c r="C327" s="31" t="s">
        <v>404</v>
      </c>
      <c r="D327" s="31" t="s">
        <v>395</v>
      </c>
      <c r="E327" s="31" t="s">
        <v>1682</v>
      </c>
      <c r="F327" s="32">
        <v>61230</v>
      </c>
      <c r="G327" s="31" t="s">
        <v>58</v>
      </c>
    </row>
    <row r="328" spans="1:7">
      <c r="A328" s="31">
        <v>154</v>
      </c>
      <c r="B328" s="31" t="s">
        <v>223</v>
      </c>
      <c r="C328" s="31" t="s">
        <v>302</v>
      </c>
      <c r="D328" s="31" t="s">
        <v>395</v>
      </c>
      <c r="E328" s="31" t="s">
        <v>1682</v>
      </c>
      <c r="F328" s="32">
        <v>7097</v>
      </c>
      <c r="G328" s="31" t="s">
        <v>58</v>
      </c>
    </row>
    <row r="329" spans="1:7">
      <c r="A329" s="31">
        <v>157</v>
      </c>
      <c r="B329" s="31" t="s">
        <v>100</v>
      </c>
      <c r="C329" s="31" t="s">
        <v>227</v>
      </c>
      <c r="D329" s="31" t="s">
        <v>395</v>
      </c>
      <c r="E329" s="31" t="s">
        <v>1682</v>
      </c>
      <c r="F329" s="32">
        <v>8494</v>
      </c>
      <c r="G329" s="31" t="s">
        <v>58</v>
      </c>
    </row>
    <row r="330" spans="1:7">
      <c r="A330" s="31">
        <v>158</v>
      </c>
      <c r="B330" s="31" t="s">
        <v>101</v>
      </c>
      <c r="C330" s="31" t="s">
        <v>227</v>
      </c>
      <c r="D330" s="31" t="s">
        <v>395</v>
      </c>
      <c r="E330" s="31" t="s">
        <v>1682</v>
      </c>
      <c r="F330" s="32">
        <v>21789</v>
      </c>
      <c r="G330" s="31" t="s">
        <v>58</v>
      </c>
    </row>
    <row r="331" spans="1:7">
      <c r="A331" s="31">
        <v>159</v>
      </c>
      <c r="B331" s="31" t="s">
        <v>102</v>
      </c>
      <c r="C331" s="31" t="s">
        <v>311</v>
      </c>
      <c r="D331" s="31" t="s">
        <v>395</v>
      </c>
      <c r="E331" s="31" t="s">
        <v>1682</v>
      </c>
      <c r="F331" s="32">
        <v>17207</v>
      </c>
      <c r="G331" s="31" t="s">
        <v>58</v>
      </c>
    </row>
    <row r="332" spans="1:7">
      <c r="A332" s="31">
        <v>161</v>
      </c>
      <c r="B332" s="31" t="s">
        <v>104</v>
      </c>
      <c r="C332" s="31" t="s">
        <v>227</v>
      </c>
      <c r="D332" s="31" t="s">
        <v>395</v>
      </c>
      <c r="E332" s="31" t="s">
        <v>1682</v>
      </c>
      <c r="F332" s="32">
        <v>36515</v>
      </c>
      <c r="G332" s="31" t="s">
        <v>58</v>
      </c>
    </row>
    <row r="333" spans="1:7">
      <c r="A333" s="31">
        <v>162</v>
      </c>
      <c r="B333" s="31" t="s">
        <v>105</v>
      </c>
      <c r="C333" s="31" t="s">
        <v>316</v>
      </c>
      <c r="D333" s="31" t="s">
        <v>395</v>
      </c>
      <c r="E333" s="31" t="s">
        <v>1682</v>
      </c>
      <c r="F333" s="32">
        <v>14625</v>
      </c>
      <c r="G333" s="31" t="s">
        <v>58</v>
      </c>
    </row>
    <row r="334" spans="1:7">
      <c r="A334" s="31">
        <v>163</v>
      </c>
      <c r="B334" s="31" t="s">
        <v>106</v>
      </c>
      <c r="C334" s="31" t="s">
        <v>325</v>
      </c>
      <c r="D334" s="31" t="s">
        <v>327</v>
      </c>
      <c r="E334" s="31" t="s">
        <v>1682</v>
      </c>
      <c r="F334" s="32">
        <v>399045</v>
      </c>
      <c r="G334" s="31" t="s">
        <v>58</v>
      </c>
    </row>
    <row r="335" spans="1:7">
      <c r="A335" s="31">
        <v>163</v>
      </c>
      <c r="B335" s="31" t="s">
        <v>106</v>
      </c>
      <c r="C335" s="31" t="s">
        <v>325</v>
      </c>
      <c r="D335" s="31" t="s">
        <v>395</v>
      </c>
      <c r="E335" s="31" t="s">
        <v>1682</v>
      </c>
      <c r="F335" s="32">
        <v>37000</v>
      </c>
      <c r="G335" s="31" t="s">
        <v>58</v>
      </c>
    </row>
    <row r="336" spans="1:7">
      <c r="A336" s="31">
        <v>164</v>
      </c>
      <c r="B336" s="31" t="s">
        <v>107</v>
      </c>
      <c r="C336" s="31" t="s">
        <v>311</v>
      </c>
      <c r="D336" s="31" t="s">
        <v>395</v>
      </c>
      <c r="E336" s="31" t="s">
        <v>1682</v>
      </c>
      <c r="F336" s="32">
        <v>45835</v>
      </c>
      <c r="G336" s="31" t="s">
        <v>58</v>
      </c>
    </row>
    <row r="337" spans="1:7">
      <c r="A337" s="31">
        <v>165</v>
      </c>
      <c r="B337" s="31" t="s">
        <v>108</v>
      </c>
      <c r="C337" s="31" t="s">
        <v>346</v>
      </c>
      <c r="D337" s="31" t="s">
        <v>395</v>
      </c>
      <c r="E337" s="31" t="s">
        <v>1682</v>
      </c>
      <c r="F337" s="32">
        <v>22929</v>
      </c>
      <c r="G337" s="31" t="s">
        <v>58</v>
      </c>
    </row>
    <row r="338" spans="1:7">
      <c r="A338" s="31">
        <v>166</v>
      </c>
      <c r="B338" s="31" t="s">
        <v>109</v>
      </c>
      <c r="C338" s="31" t="s">
        <v>346</v>
      </c>
      <c r="D338" s="31" t="s">
        <v>395</v>
      </c>
      <c r="E338" s="31" t="s">
        <v>1682</v>
      </c>
      <c r="F338" s="32">
        <v>27059</v>
      </c>
      <c r="G338" s="31" t="s">
        <v>58</v>
      </c>
    </row>
    <row r="339" spans="1:7">
      <c r="A339" s="31">
        <v>167</v>
      </c>
      <c r="B339" s="31" t="s">
        <v>110</v>
      </c>
      <c r="C339" s="31" t="s">
        <v>306</v>
      </c>
      <c r="D339" s="31" t="s">
        <v>395</v>
      </c>
      <c r="E339" s="31" t="s">
        <v>1682</v>
      </c>
      <c r="F339" s="32">
        <v>11532</v>
      </c>
      <c r="G339" s="31" t="s">
        <v>58</v>
      </c>
    </row>
    <row r="340" spans="1:7">
      <c r="A340" s="31">
        <v>169</v>
      </c>
      <c r="B340" s="31" t="s">
        <v>112</v>
      </c>
      <c r="C340" s="31" t="s">
        <v>302</v>
      </c>
      <c r="D340" s="31" t="s">
        <v>395</v>
      </c>
      <c r="E340" s="31" t="s">
        <v>1682</v>
      </c>
      <c r="F340" s="32">
        <v>13216</v>
      </c>
      <c r="G340" s="31" t="s">
        <v>58</v>
      </c>
    </row>
    <row r="341" spans="1:7">
      <c r="E341" s="11" t="s">
        <v>450</v>
      </c>
      <c r="F341" s="28">
        <f>SUM(F186:F340)</f>
        <v>6232649</v>
      </c>
    </row>
    <row r="342" spans="1:7">
      <c r="E342" s="11" t="s">
        <v>451</v>
      </c>
      <c r="F342" s="28">
        <f>SUM(F197:F198)</f>
        <v>294798</v>
      </c>
    </row>
    <row r="343" spans="1:7">
      <c r="E343" s="11" t="s">
        <v>452</v>
      </c>
      <c r="F343" s="28">
        <f>F259</f>
        <v>127022</v>
      </c>
    </row>
    <row r="345" spans="1:7">
      <c r="A345" s="29">
        <v>244</v>
      </c>
      <c r="B345" s="29" t="s">
        <v>140</v>
      </c>
      <c r="C345" s="29"/>
      <c r="D345" s="29" t="s">
        <v>297</v>
      </c>
      <c r="E345" s="29" t="s">
        <v>1681</v>
      </c>
      <c r="F345" s="30">
        <v>4146992</v>
      </c>
      <c r="G345" s="29" t="s">
        <v>58</v>
      </c>
    </row>
    <row r="346" spans="1:7">
      <c r="A346" s="29">
        <v>2</v>
      </c>
      <c r="B346" s="29" t="s">
        <v>403</v>
      </c>
      <c r="C346" s="29" t="s">
        <v>404</v>
      </c>
      <c r="D346" s="29" t="s">
        <v>292</v>
      </c>
      <c r="E346" s="29" t="s">
        <v>1681</v>
      </c>
      <c r="F346" s="30">
        <v>94619</v>
      </c>
      <c r="G346" s="29" t="s">
        <v>58</v>
      </c>
    </row>
    <row r="347" spans="1:7">
      <c r="A347" s="29">
        <v>2</v>
      </c>
      <c r="B347" s="29" t="s">
        <v>403</v>
      </c>
      <c r="C347" s="29" t="s">
        <v>404</v>
      </c>
      <c r="D347" s="29" t="s">
        <v>297</v>
      </c>
      <c r="E347" s="29" t="s">
        <v>1681</v>
      </c>
      <c r="F347" s="30">
        <v>95868</v>
      </c>
      <c r="G347" s="29" t="s">
        <v>58</v>
      </c>
    </row>
    <row r="348" spans="1:7">
      <c r="A348" s="29">
        <v>11</v>
      </c>
      <c r="B348" s="29" t="s">
        <v>315</v>
      </c>
      <c r="C348" s="29" t="s">
        <v>316</v>
      </c>
      <c r="D348" s="29" t="s">
        <v>292</v>
      </c>
      <c r="E348" s="29" t="s">
        <v>1681</v>
      </c>
      <c r="F348" s="30">
        <v>113544</v>
      </c>
      <c r="G348" s="29" t="s">
        <v>58</v>
      </c>
    </row>
    <row r="349" spans="1:7">
      <c r="A349" s="29">
        <v>11</v>
      </c>
      <c r="B349" s="29" t="s">
        <v>315</v>
      </c>
      <c r="C349" s="29" t="s">
        <v>316</v>
      </c>
      <c r="D349" s="29" t="s">
        <v>297</v>
      </c>
      <c r="E349" s="29" t="s">
        <v>1681</v>
      </c>
      <c r="F349" s="30">
        <v>328745</v>
      </c>
      <c r="G349" s="29" t="s">
        <v>58</v>
      </c>
    </row>
    <row r="350" spans="1:7">
      <c r="A350" s="29">
        <v>14</v>
      </c>
      <c r="B350" s="29" t="s">
        <v>323</v>
      </c>
      <c r="C350" s="29" t="s">
        <v>311</v>
      </c>
      <c r="D350" s="29" t="s">
        <v>297</v>
      </c>
      <c r="E350" s="29" t="s">
        <v>1681</v>
      </c>
      <c r="F350" s="30">
        <v>95868</v>
      </c>
      <c r="G350" s="29" t="s">
        <v>58</v>
      </c>
    </row>
    <row r="351" spans="1:7">
      <c r="A351" s="7">
        <v>15</v>
      </c>
      <c r="B351" s="7" t="s">
        <v>324</v>
      </c>
      <c r="C351" s="7" t="s">
        <v>325</v>
      </c>
      <c r="D351" s="7" t="s">
        <v>292</v>
      </c>
      <c r="E351" s="7" t="s">
        <v>1681</v>
      </c>
      <c r="F351" s="34">
        <v>2594345</v>
      </c>
      <c r="G351" s="7" t="s">
        <v>58</v>
      </c>
    </row>
    <row r="352" spans="1:7">
      <c r="A352" s="7">
        <v>15</v>
      </c>
      <c r="B352" s="7" t="s">
        <v>324</v>
      </c>
      <c r="C352" s="7" t="s">
        <v>325</v>
      </c>
      <c r="D352" s="7" t="s">
        <v>297</v>
      </c>
      <c r="E352" s="7" t="s">
        <v>1681</v>
      </c>
      <c r="F352" s="34">
        <v>5761156</v>
      </c>
      <c r="G352" s="7" t="s">
        <v>58</v>
      </c>
    </row>
    <row r="353" spans="1:7">
      <c r="A353" s="29">
        <v>17</v>
      </c>
      <c r="B353" s="29" t="s">
        <v>340</v>
      </c>
      <c r="C353" s="29" t="s">
        <v>316</v>
      </c>
      <c r="D353" s="29" t="s">
        <v>292</v>
      </c>
      <c r="E353" s="29" t="s">
        <v>1681</v>
      </c>
      <c r="F353" s="30">
        <v>531578</v>
      </c>
      <c r="G353" s="29" t="s">
        <v>58</v>
      </c>
    </row>
    <row r="354" spans="1:7">
      <c r="A354" s="29">
        <v>17</v>
      </c>
      <c r="B354" s="29" t="s">
        <v>340</v>
      </c>
      <c r="C354" s="29" t="s">
        <v>316</v>
      </c>
      <c r="D354" s="29" t="s">
        <v>297</v>
      </c>
      <c r="E354" s="29" t="s">
        <v>1681</v>
      </c>
      <c r="F354" s="30">
        <v>924963</v>
      </c>
      <c r="G354" s="29" t="s">
        <v>58</v>
      </c>
    </row>
    <row r="355" spans="1:7">
      <c r="A355" s="29">
        <v>19</v>
      </c>
      <c r="B355" s="29" t="s">
        <v>342</v>
      </c>
      <c r="C355" s="29" t="s">
        <v>302</v>
      </c>
      <c r="D355" s="29" t="s">
        <v>297</v>
      </c>
      <c r="E355" s="29" t="s">
        <v>1681</v>
      </c>
      <c r="F355" s="30">
        <v>95868</v>
      </c>
      <c r="G355" s="29" t="s">
        <v>58</v>
      </c>
    </row>
    <row r="356" spans="1:7">
      <c r="A356" s="29">
        <v>241</v>
      </c>
      <c r="B356" s="29" t="s">
        <v>132</v>
      </c>
      <c r="C356" s="29"/>
      <c r="D356" s="29" t="s">
        <v>297</v>
      </c>
      <c r="E356" s="29" t="s">
        <v>1681</v>
      </c>
      <c r="F356" s="30">
        <v>6153834</v>
      </c>
      <c r="G356" s="29" t="s">
        <v>58</v>
      </c>
    </row>
    <row r="357" spans="1:7">
      <c r="A357" s="29">
        <v>34</v>
      </c>
      <c r="B357" s="29" t="s">
        <v>358</v>
      </c>
      <c r="C357" s="29" t="s">
        <v>404</v>
      </c>
      <c r="D357" s="29" t="s">
        <v>292</v>
      </c>
      <c r="E357" s="29" t="s">
        <v>1681</v>
      </c>
      <c r="F357" s="30">
        <v>735511</v>
      </c>
      <c r="G357" s="29" t="s">
        <v>58</v>
      </c>
    </row>
    <row r="358" spans="1:7">
      <c r="A358" s="29">
        <v>34</v>
      </c>
      <c r="B358" s="29" t="s">
        <v>358</v>
      </c>
      <c r="C358" s="29" t="s">
        <v>404</v>
      </c>
      <c r="D358" s="29" t="s">
        <v>297</v>
      </c>
      <c r="E358" s="29" t="s">
        <v>1681</v>
      </c>
      <c r="F358" s="30">
        <v>1457841</v>
      </c>
      <c r="G358" s="29" t="s">
        <v>58</v>
      </c>
    </row>
    <row r="359" spans="1:7">
      <c r="A359" s="29">
        <v>37</v>
      </c>
      <c r="B359" s="29" t="s">
        <v>229</v>
      </c>
      <c r="C359" s="29" t="s">
        <v>404</v>
      </c>
      <c r="D359" s="29" t="s">
        <v>292</v>
      </c>
      <c r="E359" s="29" t="s">
        <v>1681</v>
      </c>
      <c r="F359" s="30">
        <v>100000</v>
      </c>
      <c r="G359" s="29" t="s">
        <v>58</v>
      </c>
    </row>
    <row r="360" spans="1:7">
      <c r="A360" s="29">
        <v>37</v>
      </c>
      <c r="B360" s="29" t="s">
        <v>229</v>
      </c>
      <c r="C360" s="29" t="s">
        <v>404</v>
      </c>
      <c r="D360" s="29" t="s">
        <v>297</v>
      </c>
      <c r="E360" s="29" t="s">
        <v>1681</v>
      </c>
      <c r="F360" s="30">
        <v>95868</v>
      </c>
      <c r="G360" s="29" t="s">
        <v>58</v>
      </c>
    </row>
    <row r="361" spans="1:7">
      <c r="A361" s="29">
        <v>253</v>
      </c>
      <c r="B361" s="29" t="s">
        <v>144</v>
      </c>
      <c r="C361" s="29"/>
      <c r="D361" s="29" t="s">
        <v>270</v>
      </c>
      <c r="E361" s="29" t="s">
        <v>1681</v>
      </c>
      <c r="F361" s="30">
        <v>205257</v>
      </c>
      <c r="G361" s="29" t="s">
        <v>58</v>
      </c>
    </row>
    <row r="362" spans="1:7">
      <c r="A362" s="29">
        <v>43</v>
      </c>
      <c r="B362" s="29" t="s">
        <v>235</v>
      </c>
      <c r="C362" s="29" t="s">
        <v>404</v>
      </c>
      <c r="D362" s="29" t="s">
        <v>292</v>
      </c>
      <c r="E362" s="29" t="s">
        <v>1681</v>
      </c>
      <c r="F362" s="30">
        <v>537040</v>
      </c>
      <c r="G362" s="29" t="s">
        <v>58</v>
      </c>
    </row>
    <row r="363" spans="1:7">
      <c r="A363" s="29">
        <v>43</v>
      </c>
      <c r="B363" s="29" t="s">
        <v>235</v>
      </c>
      <c r="C363" s="29" t="s">
        <v>404</v>
      </c>
      <c r="D363" s="29" t="s">
        <v>297</v>
      </c>
      <c r="E363" s="29" t="s">
        <v>1681</v>
      </c>
      <c r="F363" s="30">
        <v>1194505</v>
      </c>
      <c r="G363" s="29" t="s">
        <v>58</v>
      </c>
    </row>
    <row r="364" spans="1:7">
      <c r="A364" s="29">
        <v>44</v>
      </c>
      <c r="B364" s="29" t="s">
        <v>236</v>
      </c>
      <c r="C364" s="29" t="s">
        <v>316</v>
      </c>
      <c r="D364" s="29" t="s">
        <v>292</v>
      </c>
      <c r="E364" s="29" t="s">
        <v>1681</v>
      </c>
      <c r="F364" s="30">
        <v>94619</v>
      </c>
      <c r="G364" s="29" t="s">
        <v>58</v>
      </c>
    </row>
    <row r="365" spans="1:7">
      <c r="A365" s="29">
        <v>44</v>
      </c>
      <c r="B365" s="29" t="s">
        <v>236</v>
      </c>
      <c r="C365" s="29" t="s">
        <v>316</v>
      </c>
      <c r="D365" s="29" t="s">
        <v>297</v>
      </c>
      <c r="E365" s="29" t="s">
        <v>1681</v>
      </c>
      <c r="F365" s="30">
        <v>95868</v>
      </c>
      <c r="G365" s="29" t="s">
        <v>58</v>
      </c>
    </row>
    <row r="366" spans="1:7">
      <c r="A366" s="29">
        <v>242</v>
      </c>
      <c r="B366" s="29" t="s">
        <v>138</v>
      </c>
      <c r="C366" s="29"/>
      <c r="D366" s="29" t="s">
        <v>270</v>
      </c>
      <c r="E366" s="29" t="s">
        <v>1681</v>
      </c>
      <c r="F366" s="30">
        <v>105457</v>
      </c>
      <c r="G366" s="29" t="s">
        <v>58</v>
      </c>
    </row>
    <row r="367" spans="1:7">
      <c r="A367" s="29">
        <v>49</v>
      </c>
      <c r="B367" s="29" t="s">
        <v>241</v>
      </c>
      <c r="C367" s="29" t="s">
        <v>346</v>
      </c>
      <c r="D367" s="29" t="s">
        <v>292</v>
      </c>
      <c r="E367" s="29" t="s">
        <v>1681</v>
      </c>
      <c r="F367" s="30">
        <v>94619</v>
      </c>
      <c r="G367" s="29" t="s">
        <v>58</v>
      </c>
    </row>
    <row r="368" spans="1:7">
      <c r="A368" s="29">
        <v>49</v>
      </c>
      <c r="B368" s="29" t="s">
        <v>241</v>
      </c>
      <c r="C368" s="29" t="s">
        <v>346</v>
      </c>
      <c r="D368" s="29" t="s">
        <v>297</v>
      </c>
      <c r="E368" s="29" t="s">
        <v>1681</v>
      </c>
      <c r="F368" s="30">
        <v>95868</v>
      </c>
      <c r="G368" s="29" t="s">
        <v>58</v>
      </c>
    </row>
    <row r="369" spans="1:7">
      <c r="A369" s="29">
        <v>59</v>
      </c>
      <c r="B369" s="29" t="s">
        <v>251</v>
      </c>
      <c r="C369" s="29" t="s">
        <v>316</v>
      </c>
      <c r="D369" s="29" t="s">
        <v>292</v>
      </c>
      <c r="E369" s="29" t="s">
        <v>1681</v>
      </c>
      <c r="F369" s="30">
        <v>94619</v>
      </c>
      <c r="G369" s="29" t="s">
        <v>58</v>
      </c>
    </row>
    <row r="370" spans="1:7">
      <c r="A370" s="29">
        <v>62</v>
      </c>
      <c r="B370" s="29" t="s">
        <v>254</v>
      </c>
      <c r="C370" s="29" t="s">
        <v>316</v>
      </c>
      <c r="D370" s="29" t="s">
        <v>292</v>
      </c>
      <c r="E370" s="29" t="s">
        <v>1681</v>
      </c>
      <c r="F370" s="30">
        <v>94619</v>
      </c>
      <c r="G370" s="29" t="s">
        <v>58</v>
      </c>
    </row>
    <row r="371" spans="1:7">
      <c r="A371" s="29">
        <v>62</v>
      </c>
      <c r="B371" s="29" t="s">
        <v>254</v>
      </c>
      <c r="C371" s="29" t="s">
        <v>316</v>
      </c>
      <c r="D371" s="29" t="s">
        <v>297</v>
      </c>
      <c r="E371" s="29" t="s">
        <v>1681</v>
      </c>
      <c r="F371" s="30">
        <v>95868</v>
      </c>
      <c r="G371" s="29" t="s">
        <v>58</v>
      </c>
    </row>
    <row r="372" spans="1:7">
      <c r="A372" s="29">
        <v>64</v>
      </c>
      <c r="B372" s="29" t="s">
        <v>256</v>
      </c>
      <c r="C372" s="29" t="s">
        <v>325</v>
      </c>
      <c r="D372" s="29" t="s">
        <v>292</v>
      </c>
      <c r="E372" s="29" t="s">
        <v>1681</v>
      </c>
      <c r="F372" s="30">
        <v>2954523</v>
      </c>
      <c r="G372" s="29" t="s">
        <v>58</v>
      </c>
    </row>
    <row r="373" spans="1:7">
      <c r="A373" s="29">
        <v>69</v>
      </c>
      <c r="B373" s="29" t="s">
        <v>261</v>
      </c>
      <c r="C373" s="29" t="s">
        <v>316</v>
      </c>
      <c r="D373" s="29" t="s">
        <v>292</v>
      </c>
      <c r="E373" s="29" t="s">
        <v>1681</v>
      </c>
      <c r="F373" s="30">
        <v>94619</v>
      </c>
      <c r="G373" s="29" t="s">
        <v>58</v>
      </c>
    </row>
    <row r="374" spans="1:7">
      <c r="A374" s="29">
        <v>69</v>
      </c>
      <c r="B374" s="29" t="s">
        <v>261</v>
      </c>
      <c r="C374" s="29" t="s">
        <v>316</v>
      </c>
      <c r="D374" s="29" t="s">
        <v>297</v>
      </c>
      <c r="E374" s="29" t="s">
        <v>1681</v>
      </c>
      <c r="F374" s="30">
        <v>191736</v>
      </c>
      <c r="G374" s="29" t="s">
        <v>58</v>
      </c>
    </row>
    <row r="375" spans="1:7">
      <c r="A375" s="29">
        <v>77</v>
      </c>
      <c r="B375" s="29" t="s">
        <v>269</v>
      </c>
      <c r="C375" s="29" t="s">
        <v>316</v>
      </c>
      <c r="D375" s="29" t="s">
        <v>292</v>
      </c>
      <c r="E375" s="29" t="s">
        <v>1681</v>
      </c>
      <c r="F375" s="30">
        <v>94619</v>
      </c>
      <c r="G375" s="29" t="s">
        <v>58</v>
      </c>
    </row>
    <row r="376" spans="1:7">
      <c r="A376" s="29">
        <v>77</v>
      </c>
      <c r="B376" s="29" t="s">
        <v>269</v>
      </c>
      <c r="C376" s="29" t="s">
        <v>316</v>
      </c>
      <c r="D376" s="29" t="s">
        <v>270</v>
      </c>
      <c r="E376" s="29" t="s">
        <v>1681</v>
      </c>
      <c r="F376" s="30">
        <v>246363</v>
      </c>
      <c r="G376" s="29" t="s">
        <v>58</v>
      </c>
    </row>
    <row r="377" spans="1:7">
      <c r="A377" s="29">
        <v>77</v>
      </c>
      <c r="B377" s="29" t="s">
        <v>269</v>
      </c>
      <c r="C377" s="29" t="s">
        <v>316</v>
      </c>
      <c r="D377" s="29" t="s">
        <v>297</v>
      </c>
      <c r="E377" s="29" t="s">
        <v>1681</v>
      </c>
      <c r="F377" s="30">
        <v>95868</v>
      </c>
      <c r="G377" s="29" t="s">
        <v>58</v>
      </c>
    </row>
    <row r="378" spans="1:7">
      <c r="A378" s="29">
        <v>78</v>
      </c>
      <c r="B378" s="29" t="s">
        <v>271</v>
      </c>
      <c r="C378" s="29" t="s">
        <v>393</v>
      </c>
      <c r="D378" s="29" t="s">
        <v>297</v>
      </c>
      <c r="E378" s="29" t="s">
        <v>1681</v>
      </c>
      <c r="F378" s="30">
        <v>95868</v>
      </c>
      <c r="G378" s="29" t="s">
        <v>58</v>
      </c>
    </row>
    <row r="379" spans="1:7">
      <c r="A379" s="29">
        <v>80</v>
      </c>
      <c r="B379" s="29" t="s">
        <v>273</v>
      </c>
      <c r="C379" s="29" t="s">
        <v>404</v>
      </c>
      <c r="D379" s="29" t="s">
        <v>292</v>
      </c>
      <c r="E379" s="29" t="s">
        <v>1681</v>
      </c>
      <c r="F379" s="30">
        <v>745589</v>
      </c>
      <c r="G379" s="29" t="s">
        <v>58</v>
      </c>
    </row>
    <row r="380" spans="1:7">
      <c r="A380" s="29">
        <v>80</v>
      </c>
      <c r="B380" s="29" t="s">
        <v>273</v>
      </c>
      <c r="C380" s="29" t="s">
        <v>404</v>
      </c>
      <c r="D380" s="29" t="s">
        <v>297</v>
      </c>
      <c r="E380" s="29" t="s">
        <v>1681</v>
      </c>
      <c r="F380" s="30">
        <v>1643904</v>
      </c>
      <c r="G380" s="29" t="s">
        <v>58</v>
      </c>
    </row>
    <row r="381" spans="1:7">
      <c r="A381" s="29">
        <v>83</v>
      </c>
      <c r="B381" s="29" t="s">
        <v>276</v>
      </c>
      <c r="C381" s="29" t="s">
        <v>316</v>
      </c>
      <c r="D381" s="29" t="s">
        <v>292</v>
      </c>
      <c r="E381" s="29" t="s">
        <v>1681</v>
      </c>
      <c r="F381" s="30">
        <v>454419</v>
      </c>
      <c r="G381" s="29" t="s">
        <v>58</v>
      </c>
    </row>
    <row r="382" spans="1:7">
      <c r="A382" s="29">
        <v>83</v>
      </c>
      <c r="B382" s="29" t="s">
        <v>276</v>
      </c>
      <c r="C382" s="29" t="s">
        <v>316</v>
      </c>
      <c r="D382" s="29" t="s">
        <v>297</v>
      </c>
      <c r="E382" s="29" t="s">
        <v>1681</v>
      </c>
      <c r="F382" s="30">
        <v>1012260</v>
      </c>
      <c r="G382" s="29" t="s">
        <v>58</v>
      </c>
    </row>
    <row r="383" spans="1:7">
      <c r="A383" s="29">
        <v>84</v>
      </c>
      <c r="B383" s="29" t="s">
        <v>278</v>
      </c>
      <c r="C383" s="29" t="s">
        <v>311</v>
      </c>
      <c r="D383" s="29" t="s">
        <v>292</v>
      </c>
      <c r="E383" s="29" t="s">
        <v>1681</v>
      </c>
      <c r="F383" s="30">
        <v>94619</v>
      </c>
      <c r="G383" s="29" t="s">
        <v>58</v>
      </c>
    </row>
    <row r="384" spans="1:7">
      <c r="A384" s="29">
        <v>84</v>
      </c>
      <c r="B384" s="29" t="s">
        <v>278</v>
      </c>
      <c r="C384" s="29" t="s">
        <v>311</v>
      </c>
      <c r="D384" s="29" t="s">
        <v>297</v>
      </c>
      <c r="E384" s="29" t="s">
        <v>1681</v>
      </c>
      <c r="F384" s="30">
        <v>95868</v>
      </c>
      <c r="G384" s="29" t="s">
        <v>58</v>
      </c>
    </row>
    <row r="385" spans="1:7">
      <c r="A385" s="29">
        <v>88</v>
      </c>
      <c r="B385" s="29" t="s">
        <v>282</v>
      </c>
      <c r="C385" s="29" t="s">
        <v>316</v>
      </c>
      <c r="D385" s="29" t="s">
        <v>292</v>
      </c>
      <c r="E385" s="29" t="s">
        <v>1681</v>
      </c>
      <c r="F385" s="30">
        <v>94619</v>
      </c>
      <c r="G385" s="29" t="s">
        <v>58</v>
      </c>
    </row>
    <row r="386" spans="1:7">
      <c r="A386" s="29">
        <v>88</v>
      </c>
      <c r="B386" s="29" t="s">
        <v>282</v>
      </c>
      <c r="C386" s="29" t="s">
        <v>316</v>
      </c>
      <c r="D386" s="29" t="s">
        <v>297</v>
      </c>
      <c r="E386" s="29" t="s">
        <v>1681</v>
      </c>
      <c r="F386" s="30">
        <v>95868</v>
      </c>
      <c r="G386" s="29" t="s">
        <v>58</v>
      </c>
    </row>
    <row r="387" spans="1:7">
      <c r="A387" s="29">
        <v>89</v>
      </c>
      <c r="B387" s="29" t="s">
        <v>283</v>
      </c>
      <c r="C387" s="29" t="s">
        <v>325</v>
      </c>
      <c r="D387" s="29" t="s">
        <v>292</v>
      </c>
      <c r="E387" s="29" t="s">
        <v>1681</v>
      </c>
      <c r="F387" s="30">
        <v>1009120</v>
      </c>
      <c r="G387" s="29" t="s">
        <v>58</v>
      </c>
    </row>
    <row r="388" spans="1:7">
      <c r="A388" s="29">
        <v>89</v>
      </c>
      <c r="B388" s="29" t="s">
        <v>283</v>
      </c>
      <c r="C388" s="29" t="s">
        <v>325</v>
      </c>
      <c r="D388" s="29" t="s">
        <v>297</v>
      </c>
      <c r="E388" s="29" t="s">
        <v>1681</v>
      </c>
      <c r="F388" s="30">
        <v>2245117</v>
      </c>
      <c r="G388" s="29" t="s">
        <v>58</v>
      </c>
    </row>
    <row r="389" spans="1:7">
      <c r="A389" s="9">
        <v>93</v>
      </c>
      <c r="B389" s="9" t="s">
        <v>287</v>
      </c>
      <c r="C389" s="9" t="s">
        <v>325</v>
      </c>
      <c r="D389" s="9" t="s">
        <v>292</v>
      </c>
      <c r="E389" s="9" t="s">
        <v>1681</v>
      </c>
      <c r="F389" s="33">
        <v>2211851</v>
      </c>
      <c r="G389" s="9" t="s">
        <v>58</v>
      </c>
    </row>
    <row r="390" spans="1:7">
      <c r="A390" s="9">
        <v>93</v>
      </c>
      <c r="B390" s="9" t="s">
        <v>287</v>
      </c>
      <c r="C390" s="9" t="s">
        <v>325</v>
      </c>
      <c r="D390" s="9" t="s">
        <v>270</v>
      </c>
      <c r="E390" s="9" t="s">
        <v>1681</v>
      </c>
      <c r="F390" s="33">
        <v>392832</v>
      </c>
      <c r="G390" s="9" t="s">
        <v>58</v>
      </c>
    </row>
    <row r="391" spans="1:7">
      <c r="A391" s="9">
        <v>93</v>
      </c>
      <c r="B391" s="9" t="s">
        <v>287</v>
      </c>
      <c r="C391" s="9" t="s">
        <v>325</v>
      </c>
      <c r="D391" s="9" t="s">
        <v>297</v>
      </c>
      <c r="E391" s="9" t="s">
        <v>1681</v>
      </c>
      <c r="F391" s="33">
        <v>4490421</v>
      </c>
      <c r="G391" s="9" t="s">
        <v>58</v>
      </c>
    </row>
    <row r="392" spans="1:7">
      <c r="A392" s="29">
        <v>95</v>
      </c>
      <c r="B392" s="29" t="s">
        <v>290</v>
      </c>
      <c r="C392" s="29" t="s">
        <v>325</v>
      </c>
      <c r="D392" s="29" t="s">
        <v>292</v>
      </c>
      <c r="E392" s="29" t="s">
        <v>1681</v>
      </c>
      <c r="F392" s="30">
        <v>380399</v>
      </c>
      <c r="G392" s="29" t="s">
        <v>58</v>
      </c>
    </row>
    <row r="393" spans="1:7">
      <c r="A393" s="29">
        <v>103</v>
      </c>
      <c r="B393" s="29" t="s">
        <v>171</v>
      </c>
      <c r="C393" s="29" t="s">
        <v>404</v>
      </c>
      <c r="D393" s="29" t="s">
        <v>292</v>
      </c>
      <c r="E393" s="29" t="s">
        <v>1681</v>
      </c>
      <c r="F393" s="30">
        <v>929436</v>
      </c>
      <c r="G393" s="29" t="s">
        <v>58</v>
      </c>
    </row>
    <row r="394" spans="1:7">
      <c r="A394" s="29">
        <v>103</v>
      </c>
      <c r="B394" s="29" t="s">
        <v>171</v>
      </c>
      <c r="C394" s="29" t="s">
        <v>404</v>
      </c>
      <c r="D394" s="29" t="s">
        <v>297</v>
      </c>
      <c r="E394" s="29" t="s">
        <v>1681</v>
      </c>
      <c r="F394" s="30">
        <v>2141532</v>
      </c>
      <c r="G394" s="29" t="s">
        <v>58</v>
      </c>
    </row>
    <row r="395" spans="1:7">
      <c r="A395" s="29">
        <v>104</v>
      </c>
      <c r="B395" s="29" t="s">
        <v>172</v>
      </c>
      <c r="C395" s="29" t="s">
        <v>404</v>
      </c>
      <c r="D395" s="29" t="s">
        <v>292</v>
      </c>
      <c r="E395" s="29" t="s">
        <v>1681</v>
      </c>
      <c r="F395" s="30">
        <v>94619</v>
      </c>
      <c r="G395" s="29" t="s">
        <v>58</v>
      </c>
    </row>
    <row r="396" spans="1:7">
      <c r="A396" s="29">
        <v>104</v>
      </c>
      <c r="B396" s="29" t="s">
        <v>172</v>
      </c>
      <c r="C396" s="29" t="s">
        <v>404</v>
      </c>
      <c r="D396" s="29" t="s">
        <v>297</v>
      </c>
      <c r="E396" s="29" t="s">
        <v>1681</v>
      </c>
      <c r="F396" s="30">
        <v>191736</v>
      </c>
      <c r="G396" s="29" t="s">
        <v>58</v>
      </c>
    </row>
    <row r="397" spans="1:7">
      <c r="A397" s="29">
        <v>111</v>
      </c>
      <c r="B397" s="29" t="s">
        <v>179</v>
      </c>
      <c r="C397" s="29" t="s">
        <v>346</v>
      </c>
      <c r="D397" s="29" t="s">
        <v>297</v>
      </c>
      <c r="E397" s="29" t="s">
        <v>1681</v>
      </c>
      <c r="F397" s="30">
        <v>95868</v>
      </c>
      <c r="G397" s="29" t="s">
        <v>58</v>
      </c>
    </row>
    <row r="398" spans="1:7">
      <c r="A398" s="29">
        <v>245</v>
      </c>
      <c r="B398" s="29" t="s">
        <v>143</v>
      </c>
      <c r="C398" s="29"/>
      <c r="D398" s="29" t="s">
        <v>297</v>
      </c>
      <c r="E398" s="29" t="s">
        <v>1681</v>
      </c>
      <c r="F398" s="30">
        <v>722601</v>
      </c>
      <c r="G398" s="29" t="s">
        <v>58</v>
      </c>
    </row>
    <row r="399" spans="1:7">
      <c r="A399" s="29">
        <v>116</v>
      </c>
      <c r="B399" s="29" t="s">
        <v>184</v>
      </c>
      <c r="C399" s="29" t="s">
        <v>316</v>
      </c>
      <c r="D399" s="29" t="s">
        <v>292</v>
      </c>
      <c r="E399" s="29" t="s">
        <v>1681</v>
      </c>
      <c r="F399" s="30">
        <v>60572</v>
      </c>
      <c r="G399" s="29" t="s">
        <v>58</v>
      </c>
    </row>
    <row r="400" spans="1:7">
      <c r="A400" s="29">
        <v>116</v>
      </c>
      <c r="B400" s="29" t="s">
        <v>184</v>
      </c>
      <c r="C400" s="29" t="s">
        <v>316</v>
      </c>
      <c r="D400" s="29" t="s">
        <v>297</v>
      </c>
      <c r="E400" s="29" t="s">
        <v>1681</v>
      </c>
      <c r="F400" s="30">
        <v>155099</v>
      </c>
      <c r="G400" s="29" t="s">
        <v>58</v>
      </c>
    </row>
    <row r="401" spans="1:7">
      <c r="A401" s="29">
        <v>126</v>
      </c>
      <c r="B401" s="29" t="s">
        <v>194</v>
      </c>
      <c r="C401" s="29" t="s">
        <v>311</v>
      </c>
      <c r="D401" s="29" t="s">
        <v>292</v>
      </c>
      <c r="E401" s="29" t="s">
        <v>1681</v>
      </c>
      <c r="F401" s="30">
        <v>94619</v>
      </c>
      <c r="G401" s="29" t="s">
        <v>58</v>
      </c>
    </row>
    <row r="402" spans="1:7">
      <c r="A402" s="29">
        <v>134</v>
      </c>
      <c r="B402" s="29" t="s">
        <v>202</v>
      </c>
      <c r="C402" s="29" t="s">
        <v>346</v>
      </c>
      <c r="D402" s="29" t="s">
        <v>292</v>
      </c>
      <c r="E402" s="29" t="s">
        <v>1681</v>
      </c>
      <c r="F402" s="30">
        <v>94619</v>
      </c>
      <c r="G402" s="29" t="s">
        <v>58</v>
      </c>
    </row>
    <row r="403" spans="1:7">
      <c r="A403" s="29">
        <v>134</v>
      </c>
      <c r="B403" s="29" t="s">
        <v>202</v>
      </c>
      <c r="C403" s="29" t="s">
        <v>346</v>
      </c>
      <c r="D403" s="29" t="s">
        <v>297</v>
      </c>
      <c r="E403" s="29" t="s">
        <v>1681</v>
      </c>
      <c r="F403" s="30">
        <v>95868</v>
      </c>
      <c r="G403" s="29" t="s">
        <v>58</v>
      </c>
    </row>
    <row r="404" spans="1:7">
      <c r="A404" s="29">
        <v>135</v>
      </c>
      <c r="B404" s="29" t="s">
        <v>203</v>
      </c>
      <c r="C404" s="29" t="s">
        <v>404</v>
      </c>
      <c r="D404" s="29" t="s">
        <v>292</v>
      </c>
      <c r="E404" s="29" t="s">
        <v>1681</v>
      </c>
      <c r="F404" s="30">
        <v>1267350</v>
      </c>
      <c r="G404" s="29" t="s">
        <v>58</v>
      </c>
    </row>
    <row r="405" spans="1:7">
      <c r="A405" s="29">
        <v>135</v>
      </c>
      <c r="B405" s="29" t="s">
        <v>203</v>
      </c>
      <c r="C405" s="29" t="s">
        <v>404</v>
      </c>
      <c r="D405" s="29" t="s">
        <v>297</v>
      </c>
      <c r="E405" s="29" t="s">
        <v>1681</v>
      </c>
      <c r="F405" s="30">
        <v>2660517</v>
      </c>
      <c r="G405" s="29" t="s">
        <v>58</v>
      </c>
    </row>
    <row r="406" spans="1:7">
      <c r="A406" s="29">
        <v>137</v>
      </c>
      <c r="B406" s="29" t="s">
        <v>205</v>
      </c>
      <c r="C406" s="29" t="s">
        <v>311</v>
      </c>
      <c r="D406" s="29" t="s">
        <v>297</v>
      </c>
      <c r="E406" s="29" t="s">
        <v>1681</v>
      </c>
      <c r="F406" s="30">
        <v>100000</v>
      </c>
      <c r="G406" s="29" t="s">
        <v>58</v>
      </c>
    </row>
    <row r="407" spans="1:7">
      <c r="A407" s="29">
        <v>138</v>
      </c>
      <c r="B407" s="29" t="s">
        <v>206</v>
      </c>
      <c r="C407" s="29" t="s">
        <v>316</v>
      </c>
      <c r="D407" s="29" t="s">
        <v>292</v>
      </c>
      <c r="E407" s="29" t="s">
        <v>1681</v>
      </c>
      <c r="F407" s="30">
        <v>94619</v>
      </c>
      <c r="G407" s="29" t="s">
        <v>58</v>
      </c>
    </row>
    <row r="408" spans="1:7">
      <c r="A408" s="29">
        <v>138</v>
      </c>
      <c r="B408" s="29" t="s">
        <v>206</v>
      </c>
      <c r="C408" s="29" t="s">
        <v>316</v>
      </c>
      <c r="D408" s="29" t="s">
        <v>297</v>
      </c>
      <c r="E408" s="29" t="s">
        <v>1681</v>
      </c>
      <c r="F408" s="30">
        <v>95868</v>
      </c>
      <c r="G408" s="29" t="s">
        <v>58</v>
      </c>
    </row>
    <row r="409" spans="1:7">
      <c r="A409" s="29">
        <v>143</v>
      </c>
      <c r="B409" s="29" t="s">
        <v>212</v>
      </c>
      <c r="C409" s="29" t="s">
        <v>316</v>
      </c>
      <c r="D409" s="29" t="s">
        <v>292</v>
      </c>
      <c r="E409" s="29" t="s">
        <v>1681</v>
      </c>
      <c r="F409" s="30">
        <v>94619</v>
      </c>
      <c r="G409" s="29" t="s">
        <v>58</v>
      </c>
    </row>
    <row r="410" spans="1:7">
      <c r="A410" s="29">
        <v>143</v>
      </c>
      <c r="B410" s="29" t="s">
        <v>212</v>
      </c>
      <c r="C410" s="29" t="s">
        <v>316</v>
      </c>
      <c r="D410" s="29" t="s">
        <v>297</v>
      </c>
      <c r="E410" s="29" t="s">
        <v>1681</v>
      </c>
      <c r="F410" s="30">
        <v>95868</v>
      </c>
      <c r="G410" s="29" t="s">
        <v>58</v>
      </c>
    </row>
    <row r="411" spans="1:7">
      <c r="A411" s="29">
        <v>998</v>
      </c>
      <c r="B411" s="29" t="s">
        <v>53</v>
      </c>
      <c r="C411" s="29"/>
      <c r="D411" s="29" t="s">
        <v>292</v>
      </c>
      <c r="E411" s="29" t="s">
        <v>1681</v>
      </c>
      <c r="F411" s="30">
        <v>189428</v>
      </c>
      <c r="G411" s="29" t="s">
        <v>58</v>
      </c>
    </row>
    <row r="412" spans="1:7">
      <c r="A412" s="29">
        <v>146</v>
      </c>
      <c r="B412" s="29" t="s">
        <v>215</v>
      </c>
      <c r="C412" s="29" t="s">
        <v>316</v>
      </c>
      <c r="D412" s="29" t="s">
        <v>292</v>
      </c>
      <c r="E412" s="29" t="s">
        <v>1681</v>
      </c>
      <c r="F412" s="30">
        <v>94619</v>
      </c>
      <c r="G412" s="29" t="s">
        <v>58</v>
      </c>
    </row>
    <row r="413" spans="1:7">
      <c r="A413" s="29">
        <v>146</v>
      </c>
      <c r="B413" s="29" t="s">
        <v>215</v>
      </c>
      <c r="C413" s="29" t="s">
        <v>316</v>
      </c>
      <c r="D413" s="29" t="s">
        <v>297</v>
      </c>
      <c r="E413" s="29" t="s">
        <v>1681</v>
      </c>
      <c r="F413" s="30">
        <v>95868</v>
      </c>
      <c r="G413" s="29" t="s">
        <v>58</v>
      </c>
    </row>
    <row r="414" spans="1:7">
      <c r="A414" s="29">
        <v>151</v>
      </c>
      <c r="B414" s="29" t="s">
        <v>220</v>
      </c>
      <c r="C414" s="29" t="s">
        <v>325</v>
      </c>
      <c r="D414" s="29" t="s">
        <v>292</v>
      </c>
      <c r="E414" s="29" t="s">
        <v>1681</v>
      </c>
      <c r="F414" s="30">
        <v>2222012</v>
      </c>
      <c r="G414" s="29" t="s">
        <v>58</v>
      </c>
    </row>
    <row r="415" spans="1:7">
      <c r="A415" s="29">
        <v>155</v>
      </c>
      <c r="B415" s="29" t="s">
        <v>224</v>
      </c>
      <c r="C415" s="29" t="s">
        <v>306</v>
      </c>
      <c r="D415" s="29" t="s">
        <v>292</v>
      </c>
      <c r="E415" s="29" t="s">
        <v>1681</v>
      </c>
      <c r="F415" s="30">
        <v>94619</v>
      </c>
      <c r="G415" s="29" t="s">
        <v>58</v>
      </c>
    </row>
    <row r="416" spans="1:7">
      <c r="A416" s="29">
        <v>155</v>
      </c>
      <c r="B416" s="29" t="s">
        <v>224</v>
      </c>
      <c r="C416" s="29" t="s">
        <v>306</v>
      </c>
      <c r="D416" s="29" t="s">
        <v>297</v>
      </c>
      <c r="E416" s="29" t="s">
        <v>1681</v>
      </c>
      <c r="F416" s="30">
        <v>95868</v>
      </c>
      <c r="G416" s="29" t="s">
        <v>58</v>
      </c>
    </row>
    <row r="417" spans="1:7">
      <c r="A417" s="29">
        <v>156</v>
      </c>
      <c r="B417" s="29" t="s">
        <v>225</v>
      </c>
      <c r="C417" s="29" t="s">
        <v>404</v>
      </c>
      <c r="D417" s="29" t="s">
        <v>292</v>
      </c>
      <c r="E417" s="29" t="s">
        <v>1681</v>
      </c>
      <c r="F417" s="30">
        <v>615963</v>
      </c>
      <c r="G417" s="29" t="s">
        <v>58</v>
      </c>
    </row>
    <row r="418" spans="1:7">
      <c r="A418" s="29">
        <v>156</v>
      </c>
      <c r="B418" s="29" t="s">
        <v>225</v>
      </c>
      <c r="C418" s="29" t="s">
        <v>404</v>
      </c>
      <c r="D418" s="29" t="s">
        <v>297</v>
      </c>
      <c r="E418" s="29" t="s">
        <v>1681</v>
      </c>
      <c r="F418" s="30">
        <v>1006821</v>
      </c>
      <c r="G418" s="29" t="s">
        <v>58</v>
      </c>
    </row>
    <row r="419" spans="1:7">
      <c r="A419" s="29">
        <v>159</v>
      </c>
      <c r="B419" s="29" t="s">
        <v>102</v>
      </c>
      <c r="C419" s="29" t="s">
        <v>311</v>
      </c>
      <c r="D419" s="29" t="s">
        <v>292</v>
      </c>
      <c r="E419" s="29" t="s">
        <v>1681</v>
      </c>
      <c r="F419" s="30">
        <v>32810</v>
      </c>
      <c r="G419" s="29" t="s">
        <v>58</v>
      </c>
    </row>
    <row r="420" spans="1:7">
      <c r="A420" s="29">
        <v>162</v>
      </c>
      <c r="B420" s="29" t="s">
        <v>105</v>
      </c>
      <c r="C420" s="29" t="s">
        <v>316</v>
      </c>
      <c r="D420" s="29" t="s">
        <v>297</v>
      </c>
      <c r="E420" s="29" t="s">
        <v>1681</v>
      </c>
      <c r="F420" s="30">
        <v>95868</v>
      </c>
      <c r="G420" s="29" t="s">
        <v>58</v>
      </c>
    </row>
    <row r="421" spans="1:7">
      <c r="A421" s="29">
        <v>163</v>
      </c>
      <c r="B421" s="29" t="s">
        <v>106</v>
      </c>
      <c r="C421" s="29" t="s">
        <v>325</v>
      </c>
      <c r="D421" s="29" t="s">
        <v>292</v>
      </c>
      <c r="E421" s="29" t="s">
        <v>1681</v>
      </c>
      <c r="F421" s="30">
        <v>291842</v>
      </c>
      <c r="G421" s="29" t="s">
        <v>58</v>
      </c>
    </row>
    <row r="422" spans="1:7">
      <c r="A422" s="29">
        <v>163</v>
      </c>
      <c r="B422" s="29" t="s">
        <v>106</v>
      </c>
      <c r="C422" s="29" t="s">
        <v>325</v>
      </c>
      <c r="D422" s="29" t="s">
        <v>297</v>
      </c>
      <c r="E422" s="29" t="s">
        <v>1681</v>
      </c>
      <c r="F422" s="30">
        <v>595624</v>
      </c>
      <c r="G422" s="29" t="s">
        <v>58</v>
      </c>
    </row>
    <row r="423" spans="1:7">
      <c r="A423" s="29">
        <v>164</v>
      </c>
      <c r="B423" s="29" t="s">
        <v>107</v>
      </c>
      <c r="C423" s="29" t="s">
        <v>311</v>
      </c>
      <c r="D423" s="29" t="s">
        <v>292</v>
      </c>
      <c r="E423" s="29" t="s">
        <v>1681</v>
      </c>
      <c r="F423" s="30">
        <v>94619</v>
      </c>
      <c r="G423" s="29" t="s">
        <v>58</v>
      </c>
    </row>
    <row r="424" spans="1:7">
      <c r="A424" s="29">
        <v>164</v>
      </c>
      <c r="B424" s="29" t="s">
        <v>107</v>
      </c>
      <c r="C424" s="29" t="s">
        <v>311</v>
      </c>
      <c r="D424" s="29" t="s">
        <v>297</v>
      </c>
      <c r="E424" s="29" t="s">
        <v>1681</v>
      </c>
      <c r="F424" s="30">
        <v>95868</v>
      </c>
      <c r="G424" s="29" t="s">
        <v>58</v>
      </c>
    </row>
    <row r="425" spans="1:7">
      <c r="A425" s="29">
        <v>998</v>
      </c>
      <c r="B425" s="29" t="s">
        <v>53</v>
      </c>
      <c r="C425" s="29"/>
      <c r="D425" s="29" t="s">
        <v>270</v>
      </c>
      <c r="E425" s="29" t="s">
        <v>1681</v>
      </c>
      <c r="F425" s="30">
        <v>3562825</v>
      </c>
      <c r="G425" s="29" t="s">
        <v>58</v>
      </c>
    </row>
    <row r="426" spans="1:7">
      <c r="E426" s="11" t="s">
        <v>450</v>
      </c>
      <c r="F426" s="28">
        <f>SUM(F345:F425)</f>
        <v>63045485</v>
      </c>
    </row>
    <row r="427" spans="1:7">
      <c r="E427" s="11" t="s">
        <v>451</v>
      </c>
      <c r="F427" s="28">
        <f>SUM(F351:F352)</f>
        <v>8355501</v>
      </c>
    </row>
    <row r="428" spans="1:7">
      <c r="E428" s="11" t="s">
        <v>452</v>
      </c>
      <c r="F428" s="28">
        <f>SUM(F389:F391)</f>
        <v>7095104</v>
      </c>
    </row>
    <row r="430" spans="1:7">
      <c r="A430" s="27">
        <v>1</v>
      </c>
      <c r="B430" s="27" t="s">
        <v>392</v>
      </c>
      <c r="C430" s="27" t="s">
        <v>393</v>
      </c>
      <c r="D430" s="27" t="s">
        <v>394</v>
      </c>
      <c r="E430" s="27" t="s">
        <v>1682</v>
      </c>
      <c r="F430" s="51">
        <v>22846</v>
      </c>
      <c r="G430" s="27"/>
    </row>
    <row r="431" spans="1:7">
      <c r="A431" s="27">
        <v>1</v>
      </c>
      <c r="B431" s="27" t="s">
        <v>392</v>
      </c>
      <c r="C431" s="27" t="s">
        <v>393</v>
      </c>
      <c r="D431" s="27" t="s">
        <v>396</v>
      </c>
      <c r="E431" s="27" t="s">
        <v>1682</v>
      </c>
      <c r="F431" s="51">
        <v>25000</v>
      </c>
      <c r="G431" s="27"/>
    </row>
    <row r="432" spans="1:7">
      <c r="A432" s="27">
        <v>1</v>
      </c>
      <c r="B432" s="27" t="s">
        <v>392</v>
      </c>
      <c r="C432" s="27" t="s">
        <v>393</v>
      </c>
      <c r="D432" s="27" t="s">
        <v>397</v>
      </c>
      <c r="E432" s="27" t="s">
        <v>1682</v>
      </c>
      <c r="F432" s="51">
        <v>2953</v>
      </c>
      <c r="G432" s="27"/>
    </row>
    <row r="433" spans="1:7">
      <c r="A433" s="27">
        <v>1</v>
      </c>
      <c r="B433" s="27" t="s">
        <v>392</v>
      </c>
      <c r="C433" s="27" t="s">
        <v>393</v>
      </c>
      <c r="D433" s="27" t="s">
        <v>398</v>
      </c>
      <c r="E433" s="27" t="s">
        <v>1682</v>
      </c>
      <c r="F433" s="51">
        <v>1012</v>
      </c>
      <c r="G433" s="27"/>
    </row>
    <row r="434" spans="1:7">
      <c r="A434" s="27">
        <v>1</v>
      </c>
      <c r="B434" s="27" t="s">
        <v>392</v>
      </c>
      <c r="C434" s="27" t="s">
        <v>393</v>
      </c>
      <c r="D434" s="27" t="s">
        <v>399</v>
      </c>
      <c r="E434" s="27" t="s">
        <v>1681</v>
      </c>
      <c r="F434" s="51">
        <v>1639323</v>
      </c>
      <c r="G434" s="27"/>
    </row>
    <row r="435" spans="1:7">
      <c r="A435" s="27">
        <v>1</v>
      </c>
      <c r="B435" s="27" t="s">
        <v>392</v>
      </c>
      <c r="C435" s="27" t="s">
        <v>393</v>
      </c>
      <c r="D435" s="27" t="s">
        <v>400</v>
      </c>
      <c r="E435" s="27" t="s">
        <v>1681</v>
      </c>
      <c r="F435" s="51">
        <v>38428</v>
      </c>
      <c r="G435" s="27"/>
    </row>
    <row r="436" spans="1:7">
      <c r="A436" s="27">
        <v>1</v>
      </c>
      <c r="B436" s="27" t="s">
        <v>392</v>
      </c>
      <c r="C436" s="27" t="s">
        <v>393</v>
      </c>
      <c r="D436" s="27" t="s">
        <v>401</v>
      </c>
      <c r="E436" s="27" t="s">
        <v>1681</v>
      </c>
      <c r="F436" s="51">
        <v>30186</v>
      </c>
      <c r="G436" s="27"/>
    </row>
    <row r="437" spans="1:7">
      <c r="A437" s="27">
        <v>1</v>
      </c>
      <c r="B437" s="27" t="s">
        <v>392</v>
      </c>
      <c r="C437" s="27" t="s">
        <v>393</v>
      </c>
      <c r="D437" s="27" t="s">
        <v>402</v>
      </c>
      <c r="E437" s="27" t="s">
        <v>1681</v>
      </c>
      <c r="F437" s="51">
        <v>43971</v>
      </c>
      <c r="G437" s="27"/>
    </row>
    <row r="438" spans="1:7">
      <c r="A438" s="27">
        <v>2</v>
      </c>
      <c r="B438" s="27" t="s">
        <v>403</v>
      </c>
      <c r="C438" s="27" t="s">
        <v>404</v>
      </c>
      <c r="D438" s="27" t="s">
        <v>405</v>
      </c>
      <c r="E438" s="27" t="s">
        <v>1682</v>
      </c>
      <c r="F438" s="51">
        <v>50000</v>
      </c>
      <c r="G438" s="27"/>
    </row>
    <row r="439" spans="1:7">
      <c r="A439" s="27">
        <v>2</v>
      </c>
      <c r="B439" s="27" t="s">
        <v>403</v>
      </c>
      <c r="C439" s="27" t="s">
        <v>404</v>
      </c>
      <c r="D439" s="27" t="s">
        <v>406</v>
      </c>
      <c r="E439" s="27" t="s">
        <v>1682</v>
      </c>
      <c r="F439" s="51">
        <v>41098</v>
      </c>
      <c r="G439" s="27"/>
    </row>
    <row r="440" spans="1:7">
      <c r="A440" s="27">
        <v>2</v>
      </c>
      <c r="B440" s="27" t="s">
        <v>403</v>
      </c>
      <c r="C440" s="27" t="s">
        <v>404</v>
      </c>
      <c r="D440" s="27" t="s">
        <v>407</v>
      </c>
      <c r="E440" s="27" t="s">
        <v>1682</v>
      </c>
      <c r="F440" s="51">
        <v>28900</v>
      </c>
      <c r="G440" s="27"/>
    </row>
    <row r="441" spans="1:7">
      <c r="A441" s="27">
        <v>2</v>
      </c>
      <c r="B441" s="27" t="s">
        <v>403</v>
      </c>
      <c r="C441" s="27" t="s">
        <v>404</v>
      </c>
      <c r="D441" s="27" t="s">
        <v>408</v>
      </c>
      <c r="E441" s="27" t="s">
        <v>1682</v>
      </c>
      <c r="F441" s="51">
        <v>576454</v>
      </c>
      <c r="G441" s="27"/>
    </row>
    <row r="442" spans="1:7">
      <c r="A442" s="27">
        <v>2</v>
      </c>
      <c r="B442" s="27" t="s">
        <v>403</v>
      </c>
      <c r="C442" s="27" t="s">
        <v>404</v>
      </c>
      <c r="D442" s="27" t="s">
        <v>409</v>
      </c>
      <c r="E442" s="27" t="s">
        <v>1682</v>
      </c>
      <c r="F442" s="51">
        <v>2767</v>
      </c>
      <c r="G442" s="27"/>
    </row>
    <row r="443" spans="1:7">
      <c r="A443" s="27">
        <v>2</v>
      </c>
      <c r="B443" s="27" t="s">
        <v>403</v>
      </c>
      <c r="C443" s="27" t="s">
        <v>404</v>
      </c>
      <c r="D443" s="27" t="s">
        <v>394</v>
      </c>
      <c r="E443" s="27" t="s">
        <v>1682</v>
      </c>
      <c r="F443" s="51">
        <v>271000</v>
      </c>
      <c r="G443" s="27"/>
    </row>
    <row r="444" spans="1:7">
      <c r="A444" s="27">
        <v>2</v>
      </c>
      <c r="B444" s="27" t="s">
        <v>403</v>
      </c>
      <c r="C444" s="27" t="s">
        <v>404</v>
      </c>
      <c r="D444" s="27" t="s">
        <v>410</v>
      </c>
      <c r="E444" s="27" t="s">
        <v>1682</v>
      </c>
      <c r="F444" s="51">
        <v>5000</v>
      </c>
      <c r="G444" s="27"/>
    </row>
    <row r="445" spans="1:7">
      <c r="A445" s="27">
        <v>2</v>
      </c>
      <c r="B445" s="27" t="s">
        <v>403</v>
      </c>
      <c r="C445" s="27" t="s">
        <v>404</v>
      </c>
      <c r="D445" s="27" t="s">
        <v>397</v>
      </c>
      <c r="E445" s="27" t="s">
        <v>1682</v>
      </c>
      <c r="F445" s="51">
        <v>512810</v>
      </c>
      <c r="G445" s="27"/>
    </row>
    <row r="446" spans="1:7">
      <c r="A446" s="27">
        <v>2</v>
      </c>
      <c r="B446" s="27" t="s">
        <v>403</v>
      </c>
      <c r="C446" s="27" t="s">
        <v>404</v>
      </c>
      <c r="D446" s="27" t="s">
        <v>411</v>
      </c>
      <c r="E446" s="27" t="s">
        <v>1682</v>
      </c>
      <c r="F446" s="51">
        <v>11000</v>
      </c>
      <c r="G446" s="27"/>
    </row>
    <row r="447" spans="1:7">
      <c r="A447" s="27">
        <v>2</v>
      </c>
      <c r="B447" s="27" t="s">
        <v>403</v>
      </c>
      <c r="C447" s="27" t="s">
        <v>404</v>
      </c>
      <c r="D447" s="27" t="s">
        <v>412</v>
      </c>
      <c r="E447" s="27" t="s">
        <v>1682</v>
      </c>
      <c r="F447" s="51">
        <v>120000</v>
      </c>
      <c r="G447" s="27"/>
    </row>
    <row r="448" spans="1:7">
      <c r="A448" s="27">
        <v>2</v>
      </c>
      <c r="B448" s="27" t="s">
        <v>403</v>
      </c>
      <c r="C448" s="27" t="s">
        <v>404</v>
      </c>
      <c r="D448" s="27" t="s">
        <v>413</v>
      </c>
      <c r="E448" s="27" t="s">
        <v>1682</v>
      </c>
      <c r="F448" s="51">
        <v>1000</v>
      </c>
      <c r="G448" s="27"/>
    </row>
    <row r="449" spans="1:7">
      <c r="A449" s="27">
        <v>2</v>
      </c>
      <c r="B449" s="27" t="s">
        <v>403</v>
      </c>
      <c r="C449" s="27" t="s">
        <v>404</v>
      </c>
      <c r="D449" s="27" t="s">
        <v>414</v>
      </c>
      <c r="E449" s="27" t="s">
        <v>1682</v>
      </c>
      <c r="F449" s="51">
        <v>6332</v>
      </c>
      <c r="G449" s="27"/>
    </row>
    <row r="450" spans="1:7">
      <c r="A450" s="27">
        <v>2</v>
      </c>
      <c r="B450" s="27" t="s">
        <v>403</v>
      </c>
      <c r="C450" s="27" t="s">
        <v>404</v>
      </c>
      <c r="D450" s="27" t="s">
        <v>398</v>
      </c>
      <c r="E450" s="27" t="s">
        <v>1682</v>
      </c>
      <c r="F450" s="51">
        <v>19061</v>
      </c>
      <c r="G450" s="27"/>
    </row>
    <row r="451" spans="1:7">
      <c r="A451" s="27">
        <v>2</v>
      </c>
      <c r="B451" s="27" t="s">
        <v>403</v>
      </c>
      <c r="C451" s="27" t="s">
        <v>404</v>
      </c>
      <c r="D451" s="27" t="s">
        <v>415</v>
      </c>
      <c r="E451" s="27" t="s">
        <v>1682</v>
      </c>
      <c r="F451" s="51">
        <v>23356</v>
      </c>
      <c r="G451" s="27"/>
    </row>
    <row r="452" spans="1:7">
      <c r="A452" s="27">
        <v>2</v>
      </c>
      <c r="B452" s="27" t="s">
        <v>403</v>
      </c>
      <c r="C452" s="27" t="s">
        <v>404</v>
      </c>
      <c r="D452" s="27" t="s">
        <v>291</v>
      </c>
      <c r="E452" s="27" t="s">
        <v>1681</v>
      </c>
      <c r="F452" s="51">
        <v>15737</v>
      </c>
      <c r="G452" s="27"/>
    </row>
    <row r="453" spans="1:7">
      <c r="A453" s="27">
        <v>2</v>
      </c>
      <c r="B453" s="27" t="s">
        <v>403</v>
      </c>
      <c r="C453" s="27" t="s">
        <v>404</v>
      </c>
      <c r="D453" s="27" t="s">
        <v>399</v>
      </c>
      <c r="E453" s="27" t="s">
        <v>1681</v>
      </c>
      <c r="F453" s="51">
        <v>11696706</v>
      </c>
      <c r="G453" s="27"/>
    </row>
    <row r="454" spans="1:7">
      <c r="A454" s="27">
        <v>2</v>
      </c>
      <c r="B454" s="27" t="s">
        <v>403</v>
      </c>
      <c r="C454" s="27" t="s">
        <v>404</v>
      </c>
      <c r="D454" s="27" t="s">
        <v>293</v>
      </c>
      <c r="E454" s="27" t="s">
        <v>1681</v>
      </c>
      <c r="F454" s="51">
        <v>116971</v>
      </c>
      <c r="G454" s="27"/>
    </row>
    <row r="455" spans="1:7">
      <c r="A455" s="27">
        <v>2</v>
      </c>
      <c r="B455" s="27" t="s">
        <v>403</v>
      </c>
      <c r="C455" s="27" t="s">
        <v>404</v>
      </c>
      <c r="D455" s="27" t="s">
        <v>294</v>
      </c>
      <c r="E455" s="27" t="s">
        <v>1681</v>
      </c>
      <c r="F455" s="51">
        <v>23189</v>
      </c>
      <c r="G455" s="27"/>
    </row>
    <row r="456" spans="1:7">
      <c r="A456" s="27">
        <v>2</v>
      </c>
      <c r="B456" s="27" t="s">
        <v>403</v>
      </c>
      <c r="C456" s="27" t="s">
        <v>404</v>
      </c>
      <c r="D456" s="27" t="s">
        <v>295</v>
      </c>
      <c r="E456" s="27" t="s">
        <v>1681</v>
      </c>
      <c r="F456" s="51">
        <v>4000</v>
      </c>
      <c r="G456" s="27"/>
    </row>
    <row r="457" spans="1:7">
      <c r="A457" s="27">
        <v>2</v>
      </c>
      <c r="B457" s="27" t="s">
        <v>403</v>
      </c>
      <c r="C457" s="27" t="s">
        <v>404</v>
      </c>
      <c r="D457" s="27" t="s">
        <v>296</v>
      </c>
      <c r="E457" s="27" t="s">
        <v>1681</v>
      </c>
      <c r="F457" s="51">
        <v>2982761</v>
      </c>
      <c r="G457" s="27"/>
    </row>
    <row r="458" spans="1:7">
      <c r="A458" s="27">
        <v>2</v>
      </c>
      <c r="B458" s="27" t="s">
        <v>403</v>
      </c>
      <c r="C458" s="27" t="s">
        <v>404</v>
      </c>
      <c r="D458" s="27" t="s">
        <v>400</v>
      </c>
      <c r="E458" s="27" t="s">
        <v>1681</v>
      </c>
      <c r="F458" s="51">
        <v>57554</v>
      </c>
      <c r="G458" s="27"/>
    </row>
    <row r="459" spans="1:7">
      <c r="A459" s="27">
        <v>2</v>
      </c>
      <c r="B459" s="27" t="s">
        <v>403</v>
      </c>
      <c r="C459" s="27" t="s">
        <v>404</v>
      </c>
      <c r="D459" s="27" t="s">
        <v>298</v>
      </c>
      <c r="E459" s="27" t="s">
        <v>1681</v>
      </c>
      <c r="F459" s="51">
        <v>240324</v>
      </c>
      <c r="G459" s="27"/>
    </row>
    <row r="460" spans="1:7">
      <c r="A460" s="27">
        <v>2</v>
      </c>
      <c r="B460" s="27" t="s">
        <v>403</v>
      </c>
      <c r="C460" s="27" t="s">
        <v>404</v>
      </c>
      <c r="D460" s="27" t="s">
        <v>401</v>
      </c>
      <c r="E460" s="27" t="s">
        <v>1681</v>
      </c>
      <c r="F460" s="51">
        <v>31227</v>
      </c>
      <c r="G460" s="27"/>
    </row>
    <row r="461" spans="1:7">
      <c r="A461" s="27">
        <v>2</v>
      </c>
      <c r="B461" s="27" t="s">
        <v>403</v>
      </c>
      <c r="C461" s="27" t="s">
        <v>404</v>
      </c>
      <c r="D461" s="27" t="s">
        <v>1347</v>
      </c>
      <c r="E461" s="27" t="s">
        <v>1681</v>
      </c>
      <c r="F461" s="51">
        <v>16712</v>
      </c>
      <c r="G461" s="27"/>
    </row>
    <row r="462" spans="1:7">
      <c r="A462" s="27">
        <v>2</v>
      </c>
      <c r="B462" s="27" t="s">
        <v>403</v>
      </c>
      <c r="C462" s="27" t="s">
        <v>404</v>
      </c>
      <c r="D462" s="27" t="s">
        <v>402</v>
      </c>
      <c r="E462" s="27" t="s">
        <v>1681</v>
      </c>
      <c r="F462" s="51">
        <v>229551</v>
      </c>
      <c r="G462" s="27"/>
    </row>
    <row r="463" spans="1:7">
      <c r="A463" s="27">
        <v>2</v>
      </c>
      <c r="B463" s="27" t="s">
        <v>403</v>
      </c>
      <c r="C463" s="27" t="s">
        <v>404</v>
      </c>
      <c r="D463" s="27" t="s">
        <v>299</v>
      </c>
      <c r="E463" s="27" t="s">
        <v>1681</v>
      </c>
      <c r="F463" s="51">
        <v>21896</v>
      </c>
      <c r="G463" s="27"/>
    </row>
    <row r="464" spans="1:7">
      <c r="A464" s="27">
        <v>2</v>
      </c>
      <c r="B464" s="27" t="s">
        <v>403</v>
      </c>
      <c r="C464" s="27" t="s">
        <v>404</v>
      </c>
      <c r="D464" s="27" t="s">
        <v>300</v>
      </c>
      <c r="E464" s="27" t="s">
        <v>1681</v>
      </c>
      <c r="F464" s="51">
        <v>16219</v>
      </c>
      <c r="G464" s="27"/>
    </row>
    <row r="465" spans="1:7">
      <c r="A465" s="27">
        <v>3</v>
      </c>
      <c r="B465" s="27" t="s">
        <v>301</v>
      </c>
      <c r="C465" s="27" t="s">
        <v>302</v>
      </c>
      <c r="D465" s="27" t="s">
        <v>408</v>
      </c>
      <c r="E465" s="27" t="s">
        <v>1682</v>
      </c>
      <c r="F465" s="51">
        <v>45124</v>
      </c>
      <c r="G465" s="27"/>
    </row>
    <row r="466" spans="1:7">
      <c r="A466" s="27">
        <v>3</v>
      </c>
      <c r="B466" s="27" t="s">
        <v>301</v>
      </c>
      <c r="C466" s="27" t="s">
        <v>302</v>
      </c>
      <c r="D466" s="27" t="s">
        <v>394</v>
      </c>
      <c r="E466" s="27" t="s">
        <v>1682</v>
      </c>
      <c r="F466" s="51">
        <v>84348</v>
      </c>
      <c r="G466" s="27"/>
    </row>
    <row r="467" spans="1:7">
      <c r="A467" s="27">
        <v>3</v>
      </c>
      <c r="B467" s="27" t="s">
        <v>301</v>
      </c>
      <c r="C467" s="27" t="s">
        <v>302</v>
      </c>
      <c r="D467" s="27" t="s">
        <v>396</v>
      </c>
      <c r="E467" s="27" t="s">
        <v>1682</v>
      </c>
      <c r="F467" s="51">
        <v>16400</v>
      </c>
      <c r="G467" s="27"/>
    </row>
    <row r="468" spans="1:7">
      <c r="A468" s="27">
        <v>3</v>
      </c>
      <c r="B468" s="27" t="s">
        <v>301</v>
      </c>
      <c r="C468" s="27" t="s">
        <v>302</v>
      </c>
      <c r="D468" s="27" t="s">
        <v>397</v>
      </c>
      <c r="E468" s="27" t="s">
        <v>1682</v>
      </c>
      <c r="F468" s="51">
        <v>61161</v>
      </c>
      <c r="G468" s="27"/>
    </row>
    <row r="469" spans="1:7">
      <c r="A469" s="27">
        <v>3</v>
      </c>
      <c r="B469" s="27" t="s">
        <v>301</v>
      </c>
      <c r="C469" s="27" t="s">
        <v>302</v>
      </c>
      <c r="D469" s="27" t="s">
        <v>411</v>
      </c>
      <c r="E469" s="27" t="s">
        <v>1682</v>
      </c>
      <c r="F469" s="51">
        <v>16771</v>
      </c>
      <c r="G469" s="27"/>
    </row>
    <row r="470" spans="1:7">
      <c r="A470" s="27">
        <v>3</v>
      </c>
      <c r="B470" s="27" t="s">
        <v>301</v>
      </c>
      <c r="C470" s="27" t="s">
        <v>302</v>
      </c>
      <c r="D470" s="27" t="s">
        <v>412</v>
      </c>
      <c r="E470" s="27" t="s">
        <v>1682</v>
      </c>
      <c r="F470" s="51">
        <v>18361</v>
      </c>
      <c r="G470" s="27"/>
    </row>
    <row r="471" spans="1:7">
      <c r="A471" s="27">
        <v>3</v>
      </c>
      <c r="B471" s="27" t="s">
        <v>301</v>
      </c>
      <c r="C471" s="27" t="s">
        <v>302</v>
      </c>
      <c r="D471" s="27" t="s">
        <v>398</v>
      </c>
      <c r="E471" s="27" t="s">
        <v>1682</v>
      </c>
      <c r="F471" s="51">
        <v>2463</v>
      </c>
      <c r="G471" s="27"/>
    </row>
    <row r="472" spans="1:7">
      <c r="A472" s="27">
        <v>3</v>
      </c>
      <c r="B472" s="27" t="s">
        <v>301</v>
      </c>
      <c r="C472" s="27" t="s">
        <v>302</v>
      </c>
      <c r="D472" s="27" t="s">
        <v>415</v>
      </c>
      <c r="E472" s="27" t="s">
        <v>1682</v>
      </c>
      <c r="F472" s="51">
        <v>3568</v>
      </c>
      <c r="G472" s="27"/>
    </row>
    <row r="473" spans="1:7">
      <c r="A473" s="27">
        <v>3</v>
      </c>
      <c r="B473" s="27" t="s">
        <v>301</v>
      </c>
      <c r="C473" s="27" t="s">
        <v>302</v>
      </c>
      <c r="D473" s="27" t="s">
        <v>291</v>
      </c>
      <c r="E473" s="27" t="s">
        <v>1681</v>
      </c>
      <c r="F473" s="51">
        <v>1100</v>
      </c>
      <c r="G473" s="27"/>
    </row>
    <row r="474" spans="1:7">
      <c r="A474" s="27">
        <v>3</v>
      </c>
      <c r="B474" s="27" t="s">
        <v>301</v>
      </c>
      <c r="C474" s="27" t="s">
        <v>302</v>
      </c>
      <c r="D474" s="27" t="s">
        <v>399</v>
      </c>
      <c r="E474" s="27" t="s">
        <v>1681</v>
      </c>
      <c r="F474" s="51">
        <v>3299652</v>
      </c>
      <c r="G474" s="27"/>
    </row>
    <row r="475" spans="1:7">
      <c r="A475" s="27">
        <v>3</v>
      </c>
      <c r="B475" s="27" t="s">
        <v>301</v>
      </c>
      <c r="C475" s="27" t="s">
        <v>302</v>
      </c>
      <c r="D475" s="27" t="s">
        <v>303</v>
      </c>
      <c r="E475" s="27" t="s">
        <v>1681</v>
      </c>
      <c r="F475" s="51">
        <v>17451</v>
      </c>
      <c r="G475" s="27"/>
    </row>
    <row r="476" spans="1:7">
      <c r="A476" s="27">
        <v>3</v>
      </c>
      <c r="B476" s="27" t="s">
        <v>301</v>
      </c>
      <c r="C476" s="27" t="s">
        <v>302</v>
      </c>
      <c r="D476" s="27" t="s">
        <v>304</v>
      </c>
      <c r="E476" s="27" t="s">
        <v>1681</v>
      </c>
      <c r="F476" s="51">
        <v>9500</v>
      </c>
      <c r="G476" s="27"/>
    </row>
    <row r="477" spans="1:7">
      <c r="A477" s="27">
        <v>3</v>
      </c>
      <c r="B477" s="27" t="s">
        <v>301</v>
      </c>
      <c r="C477" s="27" t="s">
        <v>302</v>
      </c>
      <c r="D477" s="27" t="s">
        <v>296</v>
      </c>
      <c r="E477" s="27" t="s">
        <v>1681</v>
      </c>
      <c r="F477" s="51">
        <v>156968</v>
      </c>
      <c r="G477" s="27"/>
    </row>
    <row r="478" spans="1:7">
      <c r="A478" s="27">
        <v>3</v>
      </c>
      <c r="B478" s="27" t="s">
        <v>301</v>
      </c>
      <c r="C478" s="27" t="s">
        <v>302</v>
      </c>
      <c r="D478" s="27" t="s">
        <v>400</v>
      </c>
      <c r="E478" s="27" t="s">
        <v>1681</v>
      </c>
      <c r="F478" s="51">
        <v>62988</v>
      </c>
      <c r="G478" s="27"/>
    </row>
    <row r="479" spans="1:7">
      <c r="A479" s="27">
        <v>3</v>
      </c>
      <c r="B479" s="27" t="s">
        <v>301</v>
      </c>
      <c r="C479" s="27" t="s">
        <v>302</v>
      </c>
      <c r="D479" s="27" t="s">
        <v>298</v>
      </c>
      <c r="E479" s="27" t="s">
        <v>1681</v>
      </c>
      <c r="F479" s="51">
        <v>28404</v>
      </c>
      <c r="G479" s="27"/>
    </row>
    <row r="480" spans="1:7">
      <c r="A480" s="27">
        <v>3</v>
      </c>
      <c r="B480" s="27" t="s">
        <v>301</v>
      </c>
      <c r="C480" s="27" t="s">
        <v>302</v>
      </c>
      <c r="D480" s="27" t="s">
        <v>401</v>
      </c>
      <c r="E480" s="27" t="s">
        <v>1681</v>
      </c>
      <c r="F480" s="51">
        <v>30269</v>
      </c>
      <c r="G480" s="27"/>
    </row>
    <row r="481" spans="1:7">
      <c r="A481" s="27">
        <v>3</v>
      </c>
      <c r="B481" s="27" t="s">
        <v>301</v>
      </c>
      <c r="C481" s="27" t="s">
        <v>302</v>
      </c>
      <c r="D481" s="27" t="s">
        <v>402</v>
      </c>
      <c r="E481" s="27" t="s">
        <v>1681</v>
      </c>
      <c r="F481" s="51">
        <v>129352</v>
      </c>
      <c r="G481" s="27"/>
    </row>
    <row r="482" spans="1:7">
      <c r="A482" s="27">
        <v>3</v>
      </c>
      <c r="B482" s="27" t="s">
        <v>301</v>
      </c>
      <c r="C482" s="27" t="s">
        <v>302</v>
      </c>
      <c r="D482" s="27" t="s">
        <v>300</v>
      </c>
      <c r="E482" s="27" t="s">
        <v>1681</v>
      </c>
      <c r="F482" s="51">
        <v>28000</v>
      </c>
      <c r="G482" s="27"/>
    </row>
    <row r="483" spans="1:7">
      <c r="A483" s="27">
        <v>4</v>
      </c>
      <c r="B483" s="27" t="s">
        <v>305</v>
      </c>
      <c r="C483" s="27" t="s">
        <v>306</v>
      </c>
      <c r="D483" s="27" t="s">
        <v>408</v>
      </c>
      <c r="E483" s="27" t="s">
        <v>1682</v>
      </c>
      <c r="F483" s="51">
        <v>29589</v>
      </c>
      <c r="G483" s="27"/>
    </row>
    <row r="484" spans="1:7">
      <c r="A484" s="27">
        <v>4</v>
      </c>
      <c r="B484" s="27" t="s">
        <v>305</v>
      </c>
      <c r="C484" s="27" t="s">
        <v>306</v>
      </c>
      <c r="D484" s="27" t="s">
        <v>394</v>
      </c>
      <c r="E484" s="27" t="s">
        <v>1682</v>
      </c>
      <c r="F484" s="51">
        <v>312311</v>
      </c>
      <c r="G484" s="27"/>
    </row>
    <row r="485" spans="1:7">
      <c r="A485" s="27">
        <v>4</v>
      </c>
      <c r="B485" s="27" t="s">
        <v>305</v>
      </c>
      <c r="C485" s="27" t="s">
        <v>306</v>
      </c>
      <c r="D485" s="27" t="s">
        <v>412</v>
      </c>
      <c r="E485" s="27" t="s">
        <v>1682</v>
      </c>
      <c r="F485" s="51">
        <v>35423</v>
      </c>
      <c r="G485" s="27"/>
    </row>
    <row r="486" spans="1:7">
      <c r="A486" s="27">
        <v>4</v>
      </c>
      <c r="B486" s="27" t="s">
        <v>305</v>
      </c>
      <c r="C486" s="27" t="s">
        <v>306</v>
      </c>
      <c r="D486" s="27" t="s">
        <v>398</v>
      </c>
      <c r="E486" s="27" t="s">
        <v>1682</v>
      </c>
      <c r="F486" s="51">
        <v>6953</v>
      </c>
      <c r="G486" s="27"/>
    </row>
    <row r="487" spans="1:7">
      <c r="A487" s="27">
        <v>4</v>
      </c>
      <c r="B487" s="27" t="s">
        <v>305</v>
      </c>
      <c r="C487" s="27" t="s">
        <v>306</v>
      </c>
      <c r="D487" s="27" t="s">
        <v>415</v>
      </c>
      <c r="E487" s="27" t="s">
        <v>1682</v>
      </c>
      <c r="F487" s="51">
        <v>6989</v>
      </c>
      <c r="G487" s="27"/>
    </row>
    <row r="488" spans="1:7">
      <c r="A488" s="27">
        <v>4</v>
      </c>
      <c r="B488" s="27" t="s">
        <v>305</v>
      </c>
      <c r="C488" s="27" t="s">
        <v>306</v>
      </c>
      <c r="D488" s="27" t="s">
        <v>291</v>
      </c>
      <c r="E488" s="27" t="s">
        <v>1681</v>
      </c>
      <c r="F488" s="51">
        <v>7845</v>
      </c>
      <c r="G488" s="27"/>
    </row>
    <row r="489" spans="1:7">
      <c r="A489" s="27">
        <v>4</v>
      </c>
      <c r="B489" s="27" t="s">
        <v>305</v>
      </c>
      <c r="C489" s="27" t="s">
        <v>306</v>
      </c>
      <c r="D489" s="27" t="s">
        <v>399</v>
      </c>
      <c r="E489" s="27" t="s">
        <v>1681</v>
      </c>
      <c r="F489" s="51">
        <v>578091</v>
      </c>
      <c r="G489" s="27"/>
    </row>
    <row r="490" spans="1:7">
      <c r="A490" s="27">
        <v>4</v>
      </c>
      <c r="B490" s="27" t="s">
        <v>305</v>
      </c>
      <c r="C490" s="27" t="s">
        <v>306</v>
      </c>
      <c r="D490" s="27" t="s">
        <v>293</v>
      </c>
      <c r="E490" s="27" t="s">
        <v>1681</v>
      </c>
      <c r="F490" s="51">
        <v>83479</v>
      </c>
      <c r="G490" s="27"/>
    </row>
    <row r="491" spans="1:7">
      <c r="A491" s="27">
        <v>4</v>
      </c>
      <c r="B491" s="27" t="s">
        <v>305</v>
      </c>
      <c r="C491" s="27" t="s">
        <v>306</v>
      </c>
      <c r="D491" s="27" t="s">
        <v>307</v>
      </c>
      <c r="E491" s="27" t="s">
        <v>1681</v>
      </c>
      <c r="F491" s="51">
        <v>24000</v>
      </c>
      <c r="G491" s="27"/>
    </row>
    <row r="492" spans="1:7">
      <c r="A492" s="27">
        <v>4</v>
      </c>
      <c r="B492" s="27" t="s">
        <v>305</v>
      </c>
      <c r="C492" s="27" t="s">
        <v>306</v>
      </c>
      <c r="D492" s="27" t="s">
        <v>295</v>
      </c>
      <c r="E492" s="27" t="s">
        <v>1681</v>
      </c>
      <c r="F492" s="51">
        <v>79975</v>
      </c>
      <c r="G492" s="27"/>
    </row>
    <row r="493" spans="1:7">
      <c r="A493" s="27">
        <v>4</v>
      </c>
      <c r="B493" s="27" t="s">
        <v>305</v>
      </c>
      <c r="C493" s="27" t="s">
        <v>306</v>
      </c>
      <c r="D493" s="27" t="s">
        <v>296</v>
      </c>
      <c r="E493" s="27" t="s">
        <v>1681</v>
      </c>
      <c r="F493" s="51">
        <v>1322360</v>
      </c>
      <c r="G493" s="27"/>
    </row>
    <row r="494" spans="1:7">
      <c r="A494" s="27">
        <v>4</v>
      </c>
      <c r="B494" s="27" t="s">
        <v>305</v>
      </c>
      <c r="C494" s="27" t="s">
        <v>306</v>
      </c>
      <c r="D494" s="27" t="s">
        <v>400</v>
      </c>
      <c r="E494" s="27" t="s">
        <v>1681</v>
      </c>
      <c r="F494" s="51">
        <v>114640</v>
      </c>
      <c r="G494" s="27"/>
    </row>
    <row r="495" spans="1:7">
      <c r="A495" s="27">
        <v>4</v>
      </c>
      <c r="B495" s="27" t="s">
        <v>305</v>
      </c>
      <c r="C495" s="27" t="s">
        <v>306</v>
      </c>
      <c r="D495" s="27" t="s">
        <v>298</v>
      </c>
      <c r="E495" s="27" t="s">
        <v>1681</v>
      </c>
      <c r="F495" s="51">
        <v>52828</v>
      </c>
      <c r="G495" s="27"/>
    </row>
    <row r="496" spans="1:7">
      <c r="A496" s="27">
        <v>4</v>
      </c>
      <c r="B496" s="27" t="s">
        <v>305</v>
      </c>
      <c r="C496" s="27" t="s">
        <v>306</v>
      </c>
      <c r="D496" s="27" t="s">
        <v>401</v>
      </c>
      <c r="E496" s="27" t="s">
        <v>1681</v>
      </c>
      <c r="F496" s="51">
        <v>14925</v>
      </c>
      <c r="G496" s="27"/>
    </row>
    <row r="497" spans="1:7">
      <c r="A497" s="27">
        <v>4</v>
      </c>
      <c r="B497" s="27" t="s">
        <v>305</v>
      </c>
      <c r="C497" s="27" t="s">
        <v>306</v>
      </c>
      <c r="D497" s="27" t="s">
        <v>402</v>
      </c>
      <c r="E497" s="27" t="s">
        <v>1681</v>
      </c>
      <c r="F497" s="51">
        <v>12979</v>
      </c>
      <c r="G497" s="27"/>
    </row>
    <row r="498" spans="1:7">
      <c r="A498" s="27">
        <v>5</v>
      </c>
      <c r="B498" s="27" t="s">
        <v>308</v>
      </c>
      <c r="C498" s="27" t="s">
        <v>393</v>
      </c>
      <c r="D498" s="27" t="s">
        <v>408</v>
      </c>
      <c r="E498" s="27" t="s">
        <v>1682</v>
      </c>
      <c r="F498" s="51">
        <v>9298</v>
      </c>
      <c r="G498" s="27"/>
    </row>
    <row r="499" spans="1:7">
      <c r="A499" s="27">
        <v>5</v>
      </c>
      <c r="B499" s="27" t="s">
        <v>308</v>
      </c>
      <c r="C499" s="27" t="s">
        <v>393</v>
      </c>
      <c r="D499" s="27" t="s">
        <v>396</v>
      </c>
      <c r="E499" s="27" t="s">
        <v>1682</v>
      </c>
      <c r="F499" s="51">
        <v>74394</v>
      </c>
      <c r="G499" s="27"/>
    </row>
    <row r="500" spans="1:7">
      <c r="A500" s="27">
        <v>5</v>
      </c>
      <c r="B500" s="27" t="s">
        <v>308</v>
      </c>
      <c r="C500" s="27" t="s">
        <v>393</v>
      </c>
      <c r="D500" s="27" t="s">
        <v>411</v>
      </c>
      <c r="E500" s="27" t="s">
        <v>1682</v>
      </c>
      <c r="F500" s="51">
        <v>439</v>
      </c>
      <c r="G500" s="27"/>
    </row>
    <row r="501" spans="1:7">
      <c r="A501" s="27">
        <v>5</v>
      </c>
      <c r="B501" s="27" t="s">
        <v>308</v>
      </c>
      <c r="C501" s="27" t="s">
        <v>393</v>
      </c>
      <c r="D501" s="27" t="s">
        <v>412</v>
      </c>
      <c r="E501" s="27" t="s">
        <v>1682</v>
      </c>
      <c r="F501" s="51">
        <v>4000</v>
      </c>
      <c r="G501" s="27"/>
    </row>
    <row r="502" spans="1:7">
      <c r="A502" s="27">
        <v>5</v>
      </c>
      <c r="B502" s="27" t="s">
        <v>308</v>
      </c>
      <c r="C502" s="27" t="s">
        <v>393</v>
      </c>
      <c r="D502" s="27" t="s">
        <v>291</v>
      </c>
      <c r="E502" s="27" t="s">
        <v>1681</v>
      </c>
      <c r="F502" s="51">
        <v>1357</v>
      </c>
      <c r="G502" s="27"/>
    </row>
    <row r="503" spans="1:7">
      <c r="A503" s="27">
        <v>5</v>
      </c>
      <c r="B503" s="27" t="s">
        <v>308</v>
      </c>
      <c r="C503" s="27" t="s">
        <v>393</v>
      </c>
      <c r="D503" s="27" t="s">
        <v>399</v>
      </c>
      <c r="E503" s="27" t="s">
        <v>1681</v>
      </c>
      <c r="F503" s="51">
        <v>1175025</v>
      </c>
      <c r="G503" s="27"/>
    </row>
    <row r="504" spans="1:7">
      <c r="A504" s="27">
        <v>5</v>
      </c>
      <c r="B504" s="27" t="s">
        <v>308</v>
      </c>
      <c r="C504" s="27" t="s">
        <v>393</v>
      </c>
      <c r="D504" s="27" t="s">
        <v>293</v>
      </c>
      <c r="E504" s="27" t="s">
        <v>1681</v>
      </c>
      <c r="F504" s="51">
        <v>10125</v>
      </c>
      <c r="G504" s="27"/>
    </row>
    <row r="505" spans="1:7">
      <c r="A505" s="27">
        <v>5</v>
      </c>
      <c r="B505" s="27" t="s">
        <v>308</v>
      </c>
      <c r="C505" s="27" t="s">
        <v>393</v>
      </c>
      <c r="D505" s="27" t="s">
        <v>296</v>
      </c>
      <c r="E505" s="27" t="s">
        <v>1681</v>
      </c>
      <c r="F505" s="51">
        <v>155186</v>
      </c>
      <c r="G505" s="27"/>
    </row>
    <row r="506" spans="1:7">
      <c r="A506" s="27">
        <v>5</v>
      </c>
      <c r="B506" s="27" t="s">
        <v>308</v>
      </c>
      <c r="C506" s="27" t="s">
        <v>393</v>
      </c>
      <c r="D506" s="27" t="s">
        <v>400</v>
      </c>
      <c r="E506" s="27" t="s">
        <v>1681</v>
      </c>
      <c r="F506" s="51">
        <v>48332</v>
      </c>
      <c r="G506" s="27"/>
    </row>
    <row r="507" spans="1:7">
      <c r="A507" s="27">
        <v>5</v>
      </c>
      <c r="B507" s="27" t="s">
        <v>308</v>
      </c>
      <c r="C507" s="27" t="s">
        <v>393</v>
      </c>
      <c r="D507" s="27" t="s">
        <v>401</v>
      </c>
      <c r="E507" s="27" t="s">
        <v>1681</v>
      </c>
      <c r="F507" s="51">
        <v>29908</v>
      </c>
      <c r="G507" s="27"/>
    </row>
    <row r="508" spans="1:7">
      <c r="A508" s="27">
        <v>5</v>
      </c>
      <c r="B508" s="27" t="s">
        <v>308</v>
      </c>
      <c r="C508" s="27" t="s">
        <v>393</v>
      </c>
      <c r="D508" s="27" t="s">
        <v>402</v>
      </c>
      <c r="E508" s="27" t="s">
        <v>1681</v>
      </c>
      <c r="F508" s="51">
        <v>37447</v>
      </c>
      <c r="G508" s="27"/>
    </row>
    <row r="509" spans="1:7">
      <c r="A509" s="27">
        <v>6</v>
      </c>
      <c r="B509" s="27" t="s">
        <v>309</v>
      </c>
      <c r="C509" s="27" t="s">
        <v>302</v>
      </c>
      <c r="D509" s="27" t="s">
        <v>399</v>
      </c>
      <c r="E509" s="27" t="s">
        <v>1681</v>
      </c>
      <c r="F509" s="51">
        <v>3130761</v>
      </c>
      <c r="G509" s="27"/>
    </row>
    <row r="510" spans="1:7">
      <c r="A510" s="27">
        <v>7</v>
      </c>
      <c r="B510" s="27" t="s">
        <v>310</v>
      </c>
      <c r="C510" s="27" t="s">
        <v>311</v>
      </c>
      <c r="D510" s="27" t="s">
        <v>408</v>
      </c>
      <c r="E510" s="27" t="s">
        <v>1682</v>
      </c>
      <c r="F510" s="51">
        <v>77981</v>
      </c>
      <c r="G510" s="27"/>
    </row>
    <row r="511" spans="1:7">
      <c r="A511" s="27">
        <v>7</v>
      </c>
      <c r="B511" s="27" t="s">
        <v>310</v>
      </c>
      <c r="C511" s="27" t="s">
        <v>311</v>
      </c>
      <c r="D511" s="27" t="s">
        <v>394</v>
      </c>
      <c r="E511" s="27" t="s">
        <v>1682</v>
      </c>
      <c r="F511" s="51">
        <v>388418</v>
      </c>
      <c r="G511" s="27"/>
    </row>
    <row r="512" spans="1:7">
      <c r="A512" s="27">
        <v>7</v>
      </c>
      <c r="B512" s="27" t="s">
        <v>310</v>
      </c>
      <c r="C512" s="27" t="s">
        <v>311</v>
      </c>
      <c r="D512" s="27" t="s">
        <v>397</v>
      </c>
      <c r="E512" s="27" t="s">
        <v>1682</v>
      </c>
      <c r="F512" s="51">
        <v>80000</v>
      </c>
      <c r="G512" s="27"/>
    </row>
    <row r="513" spans="1:7">
      <c r="A513" s="27">
        <v>7</v>
      </c>
      <c r="B513" s="27" t="s">
        <v>310</v>
      </c>
      <c r="C513" s="27" t="s">
        <v>311</v>
      </c>
      <c r="D513" s="27" t="s">
        <v>411</v>
      </c>
      <c r="E513" s="27" t="s">
        <v>1682</v>
      </c>
      <c r="F513" s="51">
        <v>3346</v>
      </c>
      <c r="G513" s="27"/>
    </row>
    <row r="514" spans="1:7">
      <c r="A514" s="27">
        <v>7</v>
      </c>
      <c r="B514" s="27" t="s">
        <v>310</v>
      </c>
      <c r="C514" s="27" t="s">
        <v>311</v>
      </c>
      <c r="D514" s="27" t="s">
        <v>412</v>
      </c>
      <c r="E514" s="27" t="s">
        <v>1682</v>
      </c>
      <c r="F514" s="51">
        <v>57415</v>
      </c>
      <c r="G514" s="27"/>
    </row>
    <row r="515" spans="1:7">
      <c r="A515" s="27">
        <v>7</v>
      </c>
      <c r="B515" s="27" t="s">
        <v>310</v>
      </c>
      <c r="C515" s="27" t="s">
        <v>311</v>
      </c>
      <c r="D515" s="27" t="s">
        <v>413</v>
      </c>
      <c r="E515" s="27" t="s">
        <v>1682</v>
      </c>
      <c r="F515" s="51">
        <v>26812</v>
      </c>
      <c r="G515" s="27"/>
    </row>
    <row r="516" spans="1:7">
      <c r="A516" s="27">
        <v>7</v>
      </c>
      <c r="B516" s="27" t="s">
        <v>310</v>
      </c>
      <c r="C516" s="27" t="s">
        <v>311</v>
      </c>
      <c r="D516" s="27" t="s">
        <v>398</v>
      </c>
      <c r="E516" s="27" t="s">
        <v>1682</v>
      </c>
      <c r="F516" s="51">
        <v>2000</v>
      </c>
      <c r="G516" s="27"/>
    </row>
    <row r="517" spans="1:7">
      <c r="A517" s="27">
        <v>7</v>
      </c>
      <c r="B517" s="27" t="s">
        <v>310</v>
      </c>
      <c r="C517" s="27" t="s">
        <v>311</v>
      </c>
      <c r="D517" s="27" t="s">
        <v>415</v>
      </c>
      <c r="E517" s="27" t="s">
        <v>1682</v>
      </c>
      <c r="F517" s="51">
        <v>12171</v>
      </c>
      <c r="G517" s="27"/>
    </row>
    <row r="518" spans="1:7">
      <c r="A518" s="27">
        <v>7</v>
      </c>
      <c r="B518" s="27" t="s">
        <v>310</v>
      </c>
      <c r="C518" s="27" t="s">
        <v>311</v>
      </c>
      <c r="D518" s="27" t="s">
        <v>291</v>
      </c>
      <c r="E518" s="27" t="s">
        <v>1681</v>
      </c>
      <c r="F518" s="51">
        <v>13048</v>
      </c>
      <c r="G518" s="27"/>
    </row>
    <row r="519" spans="1:7">
      <c r="A519" s="27">
        <v>7</v>
      </c>
      <c r="B519" s="27" t="s">
        <v>310</v>
      </c>
      <c r="C519" s="27" t="s">
        <v>311</v>
      </c>
      <c r="D519" s="27" t="s">
        <v>399</v>
      </c>
      <c r="E519" s="27" t="s">
        <v>1681</v>
      </c>
      <c r="F519" s="51">
        <v>4146547</v>
      </c>
      <c r="G519" s="27"/>
    </row>
    <row r="520" spans="1:7">
      <c r="A520" s="27">
        <v>7</v>
      </c>
      <c r="B520" s="27" t="s">
        <v>310</v>
      </c>
      <c r="C520" s="27" t="s">
        <v>311</v>
      </c>
      <c r="D520" s="27" t="s">
        <v>294</v>
      </c>
      <c r="E520" s="27" t="s">
        <v>1681</v>
      </c>
      <c r="F520" s="51">
        <v>19513</v>
      </c>
      <c r="G520" s="27"/>
    </row>
    <row r="521" spans="1:7">
      <c r="A521" s="27">
        <v>7</v>
      </c>
      <c r="B521" s="27" t="s">
        <v>310</v>
      </c>
      <c r="C521" s="27" t="s">
        <v>311</v>
      </c>
      <c r="D521" s="27" t="s">
        <v>295</v>
      </c>
      <c r="E521" s="27" t="s">
        <v>1681</v>
      </c>
      <c r="F521" s="51">
        <v>16000</v>
      </c>
      <c r="G521" s="27"/>
    </row>
    <row r="522" spans="1:7">
      <c r="A522" s="27">
        <v>7</v>
      </c>
      <c r="B522" s="27" t="s">
        <v>310</v>
      </c>
      <c r="C522" s="27" t="s">
        <v>311</v>
      </c>
      <c r="D522" s="27" t="s">
        <v>296</v>
      </c>
      <c r="E522" s="27" t="s">
        <v>1681</v>
      </c>
      <c r="F522" s="51">
        <v>792831</v>
      </c>
      <c r="G522" s="27"/>
    </row>
    <row r="523" spans="1:7">
      <c r="A523" s="27">
        <v>7</v>
      </c>
      <c r="B523" s="27" t="s">
        <v>310</v>
      </c>
      <c r="C523" s="27" t="s">
        <v>311</v>
      </c>
      <c r="D523" s="27" t="s">
        <v>400</v>
      </c>
      <c r="E523" s="27" t="s">
        <v>1681</v>
      </c>
      <c r="F523" s="51">
        <v>55475</v>
      </c>
      <c r="G523" s="27"/>
    </row>
    <row r="524" spans="1:7">
      <c r="A524" s="27">
        <v>7</v>
      </c>
      <c r="B524" s="27" t="s">
        <v>310</v>
      </c>
      <c r="C524" s="27" t="s">
        <v>311</v>
      </c>
      <c r="D524" s="27" t="s">
        <v>298</v>
      </c>
      <c r="E524" s="27" t="s">
        <v>1681</v>
      </c>
      <c r="F524" s="51">
        <v>108996</v>
      </c>
      <c r="G524" s="27"/>
    </row>
    <row r="525" spans="1:7">
      <c r="A525" s="27">
        <v>7</v>
      </c>
      <c r="B525" s="27" t="s">
        <v>310</v>
      </c>
      <c r="C525" s="27" t="s">
        <v>311</v>
      </c>
      <c r="D525" s="27" t="s">
        <v>401</v>
      </c>
      <c r="E525" s="27" t="s">
        <v>1681</v>
      </c>
      <c r="F525" s="51">
        <v>30000</v>
      </c>
      <c r="G525" s="27"/>
    </row>
    <row r="526" spans="1:7">
      <c r="A526" s="27">
        <v>7</v>
      </c>
      <c r="B526" s="27" t="s">
        <v>310</v>
      </c>
      <c r="C526" s="27" t="s">
        <v>311</v>
      </c>
      <c r="D526" s="27" t="s">
        <v>402</v>
      </c>
      <c r="E526" s="27" t="s">
        <v>1681</v>
      </c>
      <c r="F526" s="51">
        <v>124845</v>
      </c>
      <c r="G526" s="27"/>
    </row>
    <row r="527" spans="1:7">
      <c r="A527" s="27">
        <v>7</v>
      </c>
      <c r="B527" s="27" t="s">
        <v>310</v>
      </c>
      <c r="C527" s="27" t="s">
        <v>311</v>
      </c>
      <c r="D527" s="27" t="s">
        <v>299</v>
      </c>
      <c r="E527" s="27" t="s">
        <v>1681</v>
      </c>
      <c r="F527" s="51">
        <v>8608</v>
      </c>
      <c r="G527" s="27"/>
    </row>
    <row r="528" spans="1:7">
      <c r="A528" s="27">
        <v>7</v>
      </c>
      <c r="B528" s="27" t="s">
        <v>310</v>
      </c>
      <c r="C528" s="27" t="s">
        <v>311</v>
      </c>
      <c r="D528" s="27" t="s">
        <v>300</v>
      </c>
      <c r="E528" s="27" t="s">
        <v>1681</v>
      </c>
      <c r="F528" s="51">
        <v>14000</v>
      </c>
      <c r="G528" s="27"/>
    </row>
    <row r="529" spans="1:7">
      <c r="A529" s="27">
        <v>8</v>
      </c>
      <c r="B529" s="27" t="s">
        <v>312</v>
      </c>
      <c r="C529" s="27" t="s">
        <v>393</v>
      </c>
      <c r="D529" s="27" t="s">
        <v>408</v>
      </c>
      <c r="E529" s="27" t="s">
        <v>1682</v>
      </c>
      <c r="F529" s="51">
        <v>18267</v>
      </c>
      <c r="G529" s="27"/>
    </row>
    <row r="530" spans="1:7">
      <c r="A530" s="27">
        <v>8</v>
      </c>
      <c r="B530" s="27" t="s">
        <v>312</v>
      </c>
      <c r="C530" s="27" t="s">
        <v>393</v>
      </c>
      <c r="D530" s="27" t="s">
        <v>394</v>
      </c>
      <c r="E530" s="27" t="s">
        <v>1682</v>
      </c>
      <c r="F530" s="51">
        <v>64934</v>
      </c>
      <c r="G530" s="27"/>
    </row>
    <row r="531" spans="1:7">
      <c r="A531" s="27">
        <v>8</v>
      </c>
      <c r="B531" s="27" t="s">
        <v>312</v>
      </c>
      <c r="C531" s="27" t="s">
        <v>393</v>
      </c>
      <c r="D531" s="27" t="s">
        <v>397</v>
      </c>
      <c r="E531" s="27" t="s">
        <v>1682</v>
      </c>
      <c r="F531" s="51">
        <v>76230</v>
      </c>
      <c r="G531" s="27"/>
    </row>
    <row r="532" spans="1:7">
      <c r="A532" s="27">
        <v>8</v>
      </c>
      <c r="B532" s="27" t="s">
        <v>312</v>
      </c>
      <c r="C532" s="27" t="s">
        <v>393</v>
      </c>
      <c r="D532" s="27" t="s">
        <v>411</v>
      </c>
      <c r="E532" s="27" t="s">
        <v>1682</v>
      </c>
      <c r="F532" s="51">
        <v>2208</v>
      </c>
      <c r="G532" s="27"/>
    </row>
    <row r="533" spans="1:7">
      <c r="A533" s="27">
        <v>8</v>
      </c>
      <c r="B533" s="27" t="s">
        <v>312</v>
      </c>
      <c r="C533" s="27" t="s">
        <v>393</v>
      </c>
      <c r="D533" s="27" t="s">
        <v>412</v>
      </c>
      <c r="E533" s="27" t="s">
        <v>1682</v>
      </c>
      <c r="F533" s="51">
        <v>23807</v>
      </c>
      <c r="G533" s="27"/>
    </row>
    <row r="534" spans="1:7">
      <c r="A534" s="27">
        <v>8</v>
      </c>
      <c r="B534" s="27" t="s">
        <v>312</v>
      </c>
      <c r="C534" s="27" t="s">
        <v>393</v>
      </c>
      <c r="D534" s="27" t="s">
        <v>398</v>
      </c>
      <c r="E534" s="27" t="s">
        <v>1682</v>
      </c>
      <c r="F534" s="51">
        <v>2836</v>
      </c>
      <c r="G534" s="27"/>
    </row>
    <row r="535" spans="1:7">
      <c r="A535" s="27">
        <v>8</v>
      </c>
      <c r="B535" s="27" t="s">
        <v>312</v>
      </c>
      <c r="C535" s="27" t="s">
        <v>393</v>
      </c>
      <c r="D535" s="27" t="s">
        <v>415</v>
      </c>
      <c r="E535" s="27" t="s">
        <v>1682</v>
      </c>
      <c r="F535" s="51">
        <v>1914</v>
      </c>
      <c r="G535" s="27"/>
    </row>
    <row r="536" spans="1:7">
      <c r="A536" s="27">
        <v>8</v>
      </c>
      <c r="B536" s="27" t="s">
        <v>312</v>
      </c>
      <c r="C536" s="27" t="s">
        <v>393</v>
      </c>
      <c r="D536" s="27" t="s">
        <v>291</v>
      </c>
      <c r="E536" s="27" t="s">
        <v>1681</v>
      </c>
      <c r="F536" s="51">
        <v>2545</v>
      </c>
      <c r="G536" s="27"/>
    </row>
    <row r="537" spans="1:7">
      <c r="A537" s="27">
        <v>8</v>
      </c>
      <c r="B537" s="27" t="s">
        <v>312</v>
      </c>
      <c r="C537" s="27" t="s">
        <v>393</v>
      </c>
      <c r="D537" s="27" t="s">
        <v>399</v>
      </c>
      <c r="E537" s="27" t="s">
        <v>1681</v>
      </c>
      <c r="F537" s="51">
        <v>1534367</v>
      </c>
      <c r="G537" s="27"/>
    </row>
    <row r="538" spans="1:7">
      <c r="A538" s="27">
        <v>8</v>
      </c>
      <c r="B538" s="27" t="s">
        <v>312</v>
      </c>
      <c r="C538" s="27" t="s">
        <v>393</v>
      </c>
      <c r="D538" s="27" t="s">
        <v>295</v>
      </c>
      <c r="E538" s="27" t="s">
        <v>1681</v>
      </c>
      <c r="F538" s="51">
        <v>6000</v>
      </c>
      <c r="G538" s="27"/>
    </row>
    <row r="539" spans="1:7">
      <c r="A539" s="27">
        <v>8</v>
      </c>
      <c r="B539" s="27" t="s">
        <v>312</v>
      </c>
      <c r="C539" s="27" t="s">
        <v>393</v>
      </c>
      <c r="D539" s="27" t="s">
        <v>296</v>
      </c>
      <c r="E539" s="27" t="s">
        <v>1681</v>
      </c>
      <c r="F539" s="51">
        <v>220157</v>
      </c>
      <c r="G539" s="27"/>
    </row>
    <row r="540" spans="1:7">
      <c r="A540" s="27">
        <v>8</v>
      </c>
      <c r="B540" s="27" t="s">
        <v>312</v>
      </c>
      <c r="C540" s="27" t="s">
        <v>393</v>
      </c>
      <c r="D540" s="27" t="s">
        <v>400</v>
      </c>
      <c r="E540" s="27" t="s">
        <v>1681</v>
      </c>
      <c r="F540" s="51">
        <v>4694</v>
      </c>
      <c r="G540" s="27"/>
    </row>
    <row r="541" spans="1:7">
      <c r="A541" s="27">
        <v>8</v>
      </c>
      <c r="B541" s="27" t="s">
        <v>312</v>
      </c>
      <c r="C541" s="27" t="s">
        <v>393</v>
      </c>
      <c r="D541" s="27" t="s">
        <v>401</v>
      </c>
      <c r="E541" s="27" t="s">
        <v>1681</v>
      </c>
      <c r="F541" s="51">
        <v>29697</v>
      </c>
      <c r="G541" s="27"/>
    </row>
    <row r="542" spans="1:7">
      <c r="A542" s="27">
        <v>8</v>
      </c>
      <c r="B542" s="27" t="s">
        <v>312</v>
      </c>
      <c r="C542" s="27" t="s">
        <v>393</v>
      </c>
      <c r="D542" s="27" t="s">
        <v>402</v>
      </c>
      <c r="E542" s="27" t="s">
        <v>1681</v>
      </c>
      <c r="F542" s="51">
        <v>16112</v>
      </c>
      <c r="G542" s="27"/>
    </row>
    <row r="543" spans="1:7">
      <c r="A543" s="27">
        <v>9</v>
      </c>
      <c r="B543" s="27" t="s">
        <v>313</v>
      </c>
      <c r="C543" s="27" t="s">
        <v>311</v>
      </c>
      <c r="D543" s="27" t="s">
        <v>406</v>
      </c>
      <c r="E543" s="27" t="s">
        <v>1682</v>
      </c>
      <c r="F543" s="51">
        <v>21714</v>
      </c>
      <c r="G543" s="27"/>
    </row>
    <row r="544" spans="1:7">
      <c r="A544" s="27">
        <v>9</v>
      </c>
      <c r="B544" s="27" t="s">
        <v>313</v>
      </c>
      <c r="C544" s="27" t="s">
        <v>311</v>
      </c>
      <c r="D544" s="27" t="s">
        <v>408</v>
      </c>
      <c r="E544" s="27" t="s">
        <v>1682</v>
      </c>
      <c r="F544" s="51">
        <v>78313</v>
      </c>
      <c r="G544" s="27"/>
    </row>
    <row r="545" spans="1:7">
      <c r="A545" s="27">
        <v>9</v>
      </c>
      <c r="B545" s="27" t="s">
        <v>313</v>
      </c>
      <c r="C545" s="27" t="s">
        <v>311</v>
      </c>
      <c r="D545" s="27" t="s">
        <v>394</v>
      </c>
      <c r="E545" s="27" t="s">
        <v>1682</v>
      </c>
      <c r="F545" s="51">
        <v>417890</v>
      </c>
      <c r="G545" s="27"/>
    </row>
    <row r="546" spans="1:7">
      <c r="A546" s="27">
        <v>9</v>
      </c>
      <c r="B546" s="27" t="s">
        <v>313</v>
      </c>
      <c r="C546" s="27" t="s">
        <v>311</v>
      </c>
      <c r="D546" s="27" t="s">
        <v>397</v>
      </c>
      <c r="E546" s="27" t="s">
        <v>1682</v>
      </c>
      <c r="F546" s="51">
        <v>127971</v>
      </c>
      <c r="G546" s="27"/>
    </row>
    <row r="547" spans="1:7">
      <c r="A547" s="27">
        <v>9</v>
      </c>
      <c r="B547" s="27" t="s">
        <v>313</v>
      </c>
      <c r="C547" s="27" t="s">
        <v>311</v>
      </c>
      <c r="D547" s="27" t="s">
        <v>411</v>
      </c>
      <c r="E547" s="27" t="s">
        <v>1682</v>
      </c>
      <c r="F547" s="51">
        <v>3706</v>
      </c>
      <c r="G547" s="27"/>
    </row>
    <row r="548" spans="1:7">
      <c r="A548" s="27">
        <v>9</v>
      </c>
      <c r="B548" s="27" t="s">
        <v>313</v>
      </c>
      <c r="C548" s="27" t="s">
        <v>311</v>
      </c>
      <c r="D548" s="27" t="s">
        <v>412</v>
      </c>
      <c r="E548" s="27" t="s">
        <v>1682</v>
      </c>
      <c r="F548" s="51">
        <v>65318</v>
      </c>
      <c r="G548" s="27"/>
    </row>
    <row r="549" spans="1:7">
      <c r="A549" s="27">
        <v>9</v>
      </c>
      <c r="B549" s="27" t="s">
        <v>313</v>
      </c>
      <c r="C549" s="27" t="s">
        <v>311</v>
      </c>
      <c r="D549" s="27" t="s">
        <v>413</v>
      </c>
      <c r="E549" s="27" t="s">
        <v>1682</v>
      </c>
      <c r="F549" s="51">
        <v>15553</v>
      </c>
      <c r="G549" s="27"/>
    </row>
    <row r="550" spans="1:7">
      <c r="A550" s="27">
        <v>9</v>
      </c>
      <c r="B550" s="27" t="s">
        <v>313</v>
      </c>
      <c r="C550" s="27" t="s">
        <v>311</v>
      </c>
      <c r="D550" s="27" t="s">
        <v>398</v>
      </c>
      <c r="E550" s="27" t="s">
        <v>1682</v>
      </c>
      <c r="F550" s="51">
        <v>10224</v>
      </c>
      <c r="G550" s="27"/>
    </row>
    <row r="551" spans="1:7">
      <c r="A551" s="27">
        <v>9</v>
      </c>
      <c r="B551" s="27" t="s">
        <v>313</v>
      </c>
      <c r="C551" s="27" t="s">
        <v>311</v>
      </c>
      <c r="D551" s="27" t="s">
        <v>415</v>
      </c>
      <c r="E551" s="27" t="s">
        <v>1682</v>
      </c>
      <c r="F551" s="51">
        <v>12937</v>
      </c>
      <c r="G551" s="27"/>
    </row>
    <row r="552" spans="1:7">
      <c r="A552" s="27">
        <v>9</v>
      </c>
      <c r="B552" s="27" t="s">
        <v>313</v>
      </c>
      <c r="C552" s="27" t="s">
        <v>311</v>
      </c>
      <c r="D552" s="27" t="s">
        <v>291</v>
      </c>
      <c r="E552" s="27" t="s">
        <v>1681</v>
      </c>
      <c r="F552" s="51">
        <v>11726</v>
      </c>
      <c r="G552" s="27"/>
    </row>
    <row r="553" spans="1:7">
      <c r="A553" s="27">
        <v>9</v>
      </c>
      <c r="B553" s="27" t="s">
        <v>313</v>
      </c>
      <c r="C553" s="27" t="s">
        <v>311</v>
      </c>
      <c r="D553" s="27" t="s">
        <v>399</v>
      </c>
      <c r="E553" s="27" t="s">
        <v>1681</v>
      </c>
      <c r="F553" s="51">
        <v>7118191</v>
      </c>
      <c r="G553" s="27"/>
    </row>
    <row r="554" spans="1:7">
      <c r="A554" s="27">
        <v>9</v>
      </c>
      <c r="B554" s="27" t="s">
        <v>313</v>
      </c>
      <c r="C554" s="27" t="s">
        <v>311</v>
      </c>
      <c r="D554" s="27" t="s">
        <v>294</v>
      </c>
      <c r="E554" s="27" t="s">
        <v>1681</v>
      </c>
      <c r="F554" s="51">
        <v>8260</v>
      </c>
      <c r="G554" s="27"/>
    </row>
    <row r="555" spans="1:7">
      <c r="A555" s="27">
        <v>9</v>
      </c>
      <c r="B555" s="27" t="s">
        <v>313</v>
      </c>
      <c r="C555" s="27" t="s">
        <v>311</v>
      </c>
      <c r="D555" s="27" t="s">
        <v>296</v>
      </c>
      <c r="E555" s="27" t="s">
        <v>1681</v>
      </c>
      <c r="F555" s="51">
        <v>4219549</v>
      </c>
      <c r="G555" s="27"/>
    </row>
    <row r="556" spans="1:7">
      <c r="A556" s="27">
        <v>9</v>
      </c>
      <c r="B556" s="27" t="s">
        <v>313</v>
      </c>
      <c r="C556" s="27" t="s">
        <v>311</v>
      </c>
      <c r="D556" s="27" t="s">
        <v>400</v>
      </c>
      <c r="E556" s="27" t="s">
        <v>1681</v>
      </c>
      <c r="F556" s="51">
        <v>181763</v>
      </c>
      <c r="G556" s="27"/>
    </row>
    <row r="557" spans="1:7">
      <c r="A557" s="27">
        <v>9</v>
      </c>
      <c r="B557" s="27" t="s">
        <v>313</v>
      </c>
      <c r="C557" s="27" t="s">
        <v>311</v>
      </c>
      <c r="D557" s="27" t="s">
        <v>298</v>
      </c>
      <c r="E557" s="27" t="s">
        <v>1681</v>
      </c>
      <c r="F557" s="51">
        <v>250550</v>
      </c>
      <c r="G557" s="27"/>
    </row>
    <row r="558" spans="1:7">
      <c r="A558" s="27">
        <v>9</v>
      </c>
      <c r="B558" s="27" t="s">
        <v>313</v>
      </c>
      <c r="C558" s="27" t="s">
        <v>311</v>
      </c>
      <c r="D558" s="27" t="s">
        <v>401</v>
      </c>
      <c r="E558" s="27" t="s">
        <v>1681</v>
      </c>
      <c r="F558" s="51">
        <v>29991</v>
      </c>
      <c r="G558" s="27"/>
    </row>
    <row r="559" spans="1:7">
      <c r="A559" s="27">
        <v>9</v>
      </c>
      <c r="B559" s="27" t="s">
        <v>313</v>
      </c>
      <c r="C559" s="27" t="s">
        <v>311</v>
      </c>
      <c r="D559" s="27" t="s">
        <v>402</v>
      </c>
      <c r="E559" s="27" t="s">
        <v>1681</v>
      </c>
      <c r="F559" s="51">
        <v>152247</v>
      </c>
      <c r="G559" s="27"/>
    </row>
    <row r="560" spans="1:7">
      <c r="A560" s="27">
        <v>9</v>
      </c>
      <c r="B560" s="27" t="s">
        <v>313</v>
      </c>
      <c r="C560" s="27" t="s">
        <v>311</v>
      </c>
      <c r="D560" s="27" t="s">
        <v>299</v>
      </c>
      <c r="E560" s="27" t="s">
        <v>1681</v>
      </c>
      <c r="F560" s="51">
        <v>16534</v>
      </c>
      <c r="G560" s="27"/>
    </row>
    <row r="561" spans="1:7">
      <c r="A561" s="27">
        <v>10</v>
      </c>
      <c r="B561" s="27" t="s">
        <v>314</v>
      </c>
      <c r="C561" s="27" t="s">
        <v>393</v>
      </c>
      <c r="D561" s="27" t="s">
        <v>399</v>
      </c>
      <c r="E561" s="27" t="s">
        <v>1681</v>
      </c>
      <c r="F561" s="51">
        <v>1169896</v>
      </c>
      <c r="G561" s="27"/>
    </row>
    <row r="562" spans="1:7">
      <c r="A562" s="27">
        <v>11</v>
      </c>
      <c r="B562" s="27" t="s">
        <v>315</v>
      </c>
      <c r="C562" s="27" t="s">
        <v>316</v>
      </c>
      <c r="D562" s="27" t="s">
        <v>406</v>
      </c>
      <c r="E562" s="27" t="s">
        <v>1682</v>
      </c>
      <c r="F562" s="51">
        <v>17465</v>
      </c>
      <c r="G562" s="27"/>
    </row>
    <row r="563" spans="1:7">
      <c r="A563" s="27">
        <v>11</v>
      </c>
      <c r="B563" s="27" t="s">
        <v>315</v>
      </c>
      <c r="C563" s="27" t="s">
        <v>316</v>
      </c>
      <c r="D563" s="27" t="s">
        <v>408</v>
      </c>
      <c r="E563" s="27" t="s">
        <v>1682</v>
      </c>
      <c r="F563" s="51">
        <v>434967</v>
      </c>
      <c r="G563" s="27"/>
    </row>
    <row r="564" spans="1:7">
      <c r="A564" s="27">
        <v>11</v>
      </c>
      <c r="B564" s="27" t="s">
        <v>315</v>
      </c>
      <c r="C564" s="27" t="s">
        <v>316</v>
      </c>
      <c r="D564" s="27" t="s">
        <v>394</v>
      </c>
      <c r="E564" s="27" t="s">
        <v>1682</v>
      </c>
      <c r="F564" s="51">
        <v>427957</v>
      </c>
      <c r="G564" s="27"/>
    </row>
    <row r="565" spans="1:7">
      <c r="A565" s="27">
        <v>11</v>
      </c>
      <c r="B565" s="27" t="s">
        <v>315</v>
      </c>
      <c r="C565" s="27" t="s">
        <v>316</v>
      </c>
      <c r="D565" s="27" t="s">
        <v>397</v>
      </c>
      <c r="E565" s="27" t="s">
        <v>1682</v>
      </c>
      <c r="F565" s="51">
        <v>228213</v>
      </c>
      <c r="G565" s="27"/>
    </row>
    <row r="566" spans="1:7">
      <c r="A566" s="27">
        <v>11</v>
      </c>
      <c r="B566" s="27" t="s">
        <v>315</v>
      </c>
      <c r="C566" s="27" t="s">
        <v>316</v>
      </c>
      <c r="D566" s="27" t="s">
        <v>411</v>
      </c>
      <c r="E566" s="27" t="s">
        <v>1682</v>
      </c>
      <c r="F566" s="51">
        <v>3615</v>
      </c>
      <c r="G566" s="27"/>
    </row>
    <row r="567" spans="1:7">
      <c r="A567" s="27">
        <v>11</v>
      </c>
      <c r="B567" s="27" t="s">
        <v>315</v>
      </c>
      <c r="C567" s="27" t="s">
        <v>316</v>
      </c>
      <c r="D567" s="27" t="s">
        <v>412</v>
      </c>
      <c r="E567" s="27" t="s">
        <v>1682</v>
      </c>
      <c r="F567" s="51">
        <v>44106</v>
      </c>
      <c r="G567" s="27"/>
    </row>
    <row r="568" spans="1:7">
      <c r="A568" s="27">
        <v>11</v>
      </c>
      <c r="B568" s="27" t="s">
        <v>315</v>
      </c>
      <c r="C568" s="27" t="s">
        <v>316</v>
      </c>
      <c r="D568" s="27" t="s">
        <v>398</v>
      </c>
      <c r="E568" s="27" t="s">
        <v>1682</v>
      </c>
      <c r="F568" s="51">
        <v>220</v>
      </c>
      <c r="G568" s="27"/>
    </row>
    <row r="569" spans="1:7">
      <c r="A569" s="27">
        <v>11</v>
      </c>
      <c r="B569" s="27" t="s">
        <v>315</v>
      </c>
      <c r="C569" s="27" t="s">
        <v>316</v>
      </c>
      <c r="D569" s="27" t="s">
        <v>415</v>
      </c>
      <c r="E569" s="27" t="s">
        <v>1682</v>
      </c>
      <c r="F569" s="51">
        <v>1472</v>
      </c>
      <c r="G569" s="27"/>
    </row>
    <row r="570" spans="1:7">
      <c r="A570" s="27">
        <v>11</v>
      </c>
      <c r="B570" s="27" t="s">
        <v>315</v>
      </c>
      <c r="C570" s="27" t="s">
        <v>316</v>
      </c>
      <c r="D570" s="27" t="s">
        <v>291</v>
      </c>
      <c r="E570" s="27" t="s">
        <v>1681</v>
      </c>
      <c r="F570" s="51">
        <v>16882</v>
      </c>
      <c r="G570" s="27"/>
    </row>
    <row r="571" spans="1:7">
      <c r="A571" s="27">
        <v>11</v>
      </c>
      <c r="B571" s="27" t="s">
        <v>315</v>
      </c>
      <c r="C571" s="27" t="s">
        <v>316</v>
      </c>
      <c r="D571" s="27" t="s">
        <v>399</v>
      </c>
      <c r="E571" s="27" t="s">
        <v>1681</v>
      </c>
      <c r="F571" s="51">
        <v>2474704</v>
      </c>
      <c r="G571" s="27"/>
    </row>
    <row r="572" spans="1:7">
      <c r="A572" s="27">
        <v>11</v>
      </c>
      <c r="B572" s="27" t="s">
        <v>315</v>
      </c>
      <c r="C572" s="27" t="s">
        <v>316</v>
      </c>
      <c r="D572" s="27" t="s">
        <v>317</v>
      </c>
      <c r="E572" s="27" t="s">
        <v>1681</v>
      </c>
      <c r="F572" s="51">
        <v>86171</v>
      </c>
      <c r="G572" s="27"/>
    </row>
    <row r="573" spans="1:7">
      <c r="A573" s="27">
        <v>11</v>
      </c>
      <c r="B573" s="27" t="s">
        <v>315</v>
      </c>
      <c r="C573" s="27" t="s">
        <v>316</v>
      </c>
      <c r="D573" s="27" t="s">
        <v>293</v>
      </c>
      <c r="E573" s="27" t="s">
        <v>1681</v>
      </c>
      <c r="F573" s="51">
        <v>97888</v>
      </c>
      <c r="G573" s="27"/>
    </row>
    <row r="574" spans="1:7">
      <c r="A574" s="27">
        <v>11</v>
      </c>
      <c r="B574" s="27" t="s">
        <v>315</v>
      </c>
      <c r="C574" s="27" t="s">
        <v>316</v>
      </c>
      <c r="D574" s="27" t="s">
        <v>307</v>
      </c>
      <c r="E574" s="27" t="s">
        <v>1681</v>
      </c>
      <c r="F574" s="51">
        <v>62400</v>
      </c>
      <c r="G574" s="27"/>
    </row>
    <row r="575" spans="1:7">
      <c r="A575" s="27">
        <v>11</v>
      </c>
      <c r="B575" s="27" t="s">
        <v>315</v>
      </c>
      <c r="C575" s="27" t="s">
        <v>316</v>
      </c>
      <c r="D575" s="27" t="s">
        <v>294</v>
      </c>
      <c r="E575" s="27" t="s">
        <v>1681</v>
      </c>
      <c r="F575" s="51">
        <v>16162</v>
      </c>
      <c r="G575" s="27"/>
    </row>
    <row r="576" spans="1:7">
      <c r="A576" s="27">
        <v>11</v>
      </c>
      <c r="B576" s="27" t="s">
        <v>315</v>
      </c>
      <c r="C576" s="27" t="s">
        <v>316</v>
      </c>
      <c r="D576" s="27" t="s">
        <v>318</v>
      </c>
      <c r="E576" s="27" t="s">
        <v>1681</v>
      </c>
      <c r="F576" s="51">
        <v>501595</v>
      </c>
      <c r="G576" s="27"/>
    </row>
    <row r="577" spans="1:7">
      <c r="A577" s="27">
        <v>11</v>
      </c>
      <c r="B577" s="27" t="s">
        <v>315</v>
      </c>
      <c r="C577" s="27" t="s">
        <v>316</v>
      </c>
      <c r="D577" s="27" t="s">
        <v>319</v>
      </c>
      <c r="E577" s="27" t="s">
        <v>1681</v>
      </c>
      <c r="F577" s="51">
        <v>42032</v>
      </c>
      <c r="G577" s="27"/>
    </row>
    <row r="578" spans="1:7">
      <c r="A578" s="27">
        <v>11</v>
      </c>
      <c r="B578" s="27" t="s">
        <v>315</v>
      </c>
      <c r="C578" s="27" t="s">
        <v>316</v>
      </c>
      <c r="D578" s="27" t="s">
        <v>296</v>
      </c>
      <c r="E578" s="27" t="s">
        <v>1681</v>
      </c>
      <c r="F578" s="51">
        <v>177065</v>
      </c>
      <c r="G578" s="27"/>
    </row>
    <row r="579" spans="1:7">
      <c r="A579" s="27">
        <v>11</v>
      </c>
      <c r="B579" s="27" t="s">
        <v>315</v>
      </c>
      <c r="C579" s="27" t="s">
        <v>316</v>
      </c>
      <c r="D579" s="27" t="s">
        <v>400</v>
      </c>
      <c r="E579" s="27" t="s">
        <v>1681</v>
      </c>
      <c r="F579" s="51">
        <v>56404</v>
      </c>
      <c r="G579" s="27"/>
    </row>
    <row r="580" spans="1:7">
      <c r="A580" s="27">
        <v>11</v>
      </c>
      <c r="B580" s="27" t="s">
        <v>315</v>
      </c>
      <c r="C580" s="27" t="s">
        <v>316</v>
      </c>
      <c r="D580" s="27" t="s">
        <v>298</v>
      </c>
      <c r="E580" s="27" t="s">
        <v>1681</v>
      </c>
      <c r="F580" s="51">
        <v>258929</v>
      </c>
      <c r="G580" s="27"/>
    </row>
    <row r="581" spans="1:7">
      <c r="A581" s="27">
        <v>11</v>
      </c>
      <c r="B581" s="27" t="s">
        <v>315</v>
      </c>
      <c r="C581" s="27" t="s">
        <v>316</v>
      </c>
      <c r="D581" s="27" t="s">
        <v>401</v>
      </c>
      <c r="E581" s="27" t="s">
        <v>1681</v>
      </c>
      <c r="F581" s="51">
        <v>15447</v>
      </c>
      <c r="G581" s="27"/>
    </row>
    <row r="582" spans="1:7">
      <c r="A582" s="27">
        <v>11</v>
      </c>
      <c r="B582" s="27" t="s">
        <v>315</v>
      </c>
      <c r="C582" s="27" t="s">
        <v>316</v>
      </c>
      <c r="D582" s="27" t="s">
        <v>1347</v>
      </c>
      <c r="E582" s="27" t="s">
        <v>1681</v>
      </c>
      <c r="F582" s="51">
        <v>15617</v>
      </c>
      <c r="G582" s="27"/>
    </row>
    <row r="583" spans="1:7">
      <c r="A583" s="27">
        <v>11</v>
      </c>
      <c r="B583" s="27" t="s">
        <v>315</v>
      </c>
      <c r="C583" s="27" t="s">
        <v>316</v>
      </c>
      <c r="D583" s="27" t="s">
        <v>402</v>
      </c>
      <c r="E583" s="27" t="s">
        <v>1681</v>
      </c>
      <c r="F583" s="51">
        <v>100600</v>
      </c>
      <c r="G583" s="27"/>
    </row>
    <row r="584" spans="1:7">
      <c r="A584" s="27">
        <v>11</v>
      </c>
      <c r="B584" s="27" t="s">
        <v>315</v>
      </c>
      <c r="C584" s="27" t="s">
        <v>316</v>
      </c>
      <c r="D584" s="27" t="s">
        <v>320</v>
      </c>
      <c r="E584" s="27" t="s">
        <v>1681</v>
      </c>
      <c r="F584" s="51">
        <v>80215</v>
      </c>
      <c r="G584" s="27"/>
    </row>
    <row r="585" spans="1:7">
      <c r="A585" s="27">
        <v>11</v>
      </c>
      <c r="B585" s="27" t="s">
        <v>315</v>
      </c>
      <c r="C585" s="27" t="s">
        <v>316</v>
      </c>
      <c r="D585" s="27" t="s">
        <v>300</v>
      </c>
      <c r="E585" s="27" t="s">
        <v>1681</v>
      </c>
      <c r="F585" s="51">
        <v>15794</v>
      </c>
      <c r="G585" s="27"/>
    </row>
    <row r="586" spans="1:7">
      <c r="A586" s="27">
        <v>12</v>
      </c>
      <c r="B586" s="27" t="s">
        <v>321</v>
      </c>
      <c r="C586" s="27" t="s">
        <v>393</v>
      </c>
      <c r="D586" s="27" t="s">
        <v>408</v>
      </c>
      <c r="E586" s="27" t="s">
        <v>1682</v>
      </c>
      <c r="F586" s="51">
        <v>16435</v>
      </c>
      <c r="G586" s="27"/>
    </row>
    <row r="587" spans="1:7">
      <c r="A587" s="27">
        <v>12</v>
      </c>
      <c r="B587" s="27" t="s">
        <v>321</v>
      </c>
      <c r="C587" s="27" t="s">
        <v>393</v>
      </c>
      <c r="D587" s="27" t="s">
        <v>394</v>
      </c>
      <c r="E587" s="27" t="s">
        <v>1682</v>
      </c>
      <c r="F587" s="51">
        <v>108372</v>
      </c>
      <c r="G587" s="27"/>
    </row>
    <row r="588" spans="1:7">
      <c r="A588" s="27">
        <v>12</v>
      </c>
      <c r="B588" s="27" t="s">
        <v>321</v>
      </c>
      <c r="C588" s="27" t="s">
        <v>393</v>
      </c>
      <c r="D588" s="27" t="s">
        <v>397</v>
      </c>
      <c r="E588" s="27" t="s">
        <v>1682</v>
      </c>
      <c r="F588" s="51">
        <v>49889</v>
      </c>
      <c r="G588" s="27"/>
    </row>
    <row r="589" spans="1:7">
      <c r="A589" s="27">
        <v>12</v>
      </c>
      <c r="B589" s="27" t="s">
        <v>321</v>
      </c>
      <c r="C589" s="27" t="s">
        <v>393</v>
      </c>
      <c r="D589" s="27" t="s">
        <v>411</v>
      </c>
      <c r="E589" s="27" t="s">
        <v>1682</v>
      </c>
      <c r="F589" s="51">
        <v>1445</v>
      </c>
      <c r="G589" s="27"/>
    </row>
    <row r="590" spans="1:7">
      <c r="A590" s="27">
        <v>12</v>
      </c>
      <c r="B590" s="27" t="s">
        <v>321</v>
      </c>
      <c r="C590" s="27" t="s">
        <v>393</v>
      </c>
      <c r="D590" s="27" t="s">
        <v>412</v>
      </c>
      <c r="E590" s="27" t="s">
        <v>1682</v>
      </c>
      <c r="F590" s="51">
        <v>21796</v>
      </c>
      <c r="G590" s="27"/>
    </row>
    <row r="591" spans="1:7">
      <c r="A591" s="27">
        <v>12</v>
      </c>
      <c r="B591" s="27" t="s">
        <v>321</v>
      </c>
      <c r="C591" s="27" t="s">
        <v>393</v>
      </c>
      <c r="D591" s="27" t="s">
        <v>398</v>
      </c>
      <c r="E591" s="27" t="s">
        <v>1682</v>
      </c>
      <c r="F591" s="51">
        <v>3262</v>
      </c>
      <c r="G591" s="27"/>
    </row>
    <row r="592" spans="1:7">
      <c r="A592" s="27">
        <v>12</v>
      </c>
      <c r="B592" s="27" t="s">
        <v>321</v>
      </c>
      <c r="C592" s="27" t="s">
        <v>393</v>
      </c>
      <c r="D592" s="27" t="s">
        <v>415</v>
      </c>
      <c r="E592" s="27" t="s">
        <v>1682</v>
      </c>
      <c r="F592" s="51">
        <v>4446</v>
      </c>
      <c r="G592" s="27"/>
    </row>
    <row r="593" spans="1:7">
      <c r="A593" s="27">
        <v>12</v>
      </c>
      <c r="B593" s="27" t="s">
        <v>321</v>
      </c>
      <c r="C593" s="27" t="s">
        <v>393</v>
      </c>
      <c r="D593" s="27" t="s">
        <v>291</v>
      </c>
      <c r="E593" s="27" t="s">
        <v>1681</v>
      </c>
      <c r="F593" s="51">
        <v>2200</v>
      </c>
      <c r="G593" s="27"/>
    </row>
    <row r="594" spans="1:7">
      <c r="A594" s="27">
        <v>12</v>
      </c>
      <c r="B594" s="27" t="s">
        <v>321</v>
      </c>
      <c r="C594" s="27" t="s">
        <v>393</v>
      </c>
      <c r="D594" s="27" t="s">
        <v>399</v>
      </c>
      <c r="E594" s="27" t="s">
        <v>1681</v>
      </c>
      <c r="F594" s="51">
        <v>2418485</v>
      </c>
      <c r="G594" s="27"/>
    </row>
    <row r="595" spans="1:7">
      <c r="A595" s="27">
        <v>12</v>
      </c>
      <c r="B595" s="27" t="s">
        <v>321</v>
      </c>
      <c r="C595" s="27" t="s">
        <v>393</v>
      </c>
      <c r="D595" s="27" t="s">
        <v>307</v>
      </c>
      <c r="E595" s="27" t="s">
        <v>1681</v>
      </c>
      <c r="F595" s="51">
        <v>9600</v>
      </c>
      <c r="G595" s="27"/>
    </row>
    <row r="596" spans="1:7">
      <c r="A596" s="27">
        <v>12</v>
      </c>
      <c r="B596" s="27" t="s">
        <v>321</v>
      </c>
      <c r="C596" s="27" t="s">
        <v>393</v>
      </c>
      <c r="D596" s="27" t="s">
        <v>294</v>
      </c>
      <c r="E596" s="27" t="s">
        <v>1681</v>
      </c>
      <c r="F596" s="51">
        <v>230</v>
      </c>
      <c r="G596" s="27"/>
    </row>
    <row r="597" spans="1:7">
      <c r="A597" s="27">
        <v>12</v>
      </c>
      <c r="B597" s="27" t="s">
        <v>321</v>
      </c>
      <c r="C597" s="27" t="s">
        <v>393</v>
      </c>
      <c r="D597" s="27" t="s">
        <v>295</v>
      </c>
      <c r="E597" s="27" t="s">
        <v>1681</v>
      </c>
      <c r="F597" s="51">
        <v>31638</v>
      </c>
      <c r="G597" s="27"/>
    </row>
    <row r="598" spans="1:7">
      <c r="A598" s="27">
        <v>12</v>
      </c>
      <c r="B598" s="27" t="s">
        <v>321</v>
      </c>
      <c r="C598" s="27" t="s">
        <v>393</v>
      </c>
      <c r="D598" s="27" t="s">
        <v>296</v>
      </c>
      <c r="E598" s="27" t="s">
        <v>1681</v>
      </c>
      <c r="F598" s="51">
        <v>1012399</v>
      </c>
      <c r="G598" s="27"/>
    </row>
    <row r="599" spans="1:7">
      <c r="A599" s="27">
        <v>12</v>
      </c>
      <c r="B599" s="27" t="s">
        <v>321</v>
      </c>
      <c r="C599" s="27" t="s">
        <v>393</v>
      </c>
      <c r="D599" s="27" t="s">
        <v>400</v>
      </c>
      <c r="E599" s="27" t="s">
        <v>1681</v>
      </c>
      <c r="F599" s="51">
        <v>91254</v>
      </c>
      <c r="G599" s="27"/>
    </row>
    <row r="600" spans="1:7">
      <c r="A600" s="27">
        <v>12</v>
      </c>
      <c r="B600" s="27" t="s">
        <v>321</v>
      </c>
      <c r="C600" s="27" t="s">
        <v>393</v>
      </c>
      <c r="D600" s="27" t="s">
        <v>298</v>
      </c>
      <c r="E600" s="27" t="s">
        <v>1681</v>
      </c>
      <c r="F600" s="51">
        <v>105173</v>
      </c>
      <c r="G600" s="27"/>
    </row>
    <row r="601" spans="1:7">
      <c r="A601" s="27">
        <v>12</v>
      </c>
      <c r="B601" s="27" t="s">
        <v>321</v>
      </c>
      <c r="C601" s="27" t="s">
        <v>393</v>
      </c>
      <c r="D601" s="27" t="s">
        <v>401</v>
      </c>
      <c r="E601" s="27" t="s">
        <v>1681</v>
      </c>
      <c r="F601" s="51">
        <v>30308</v>
      </c>
      <c r="G601" s="27"/>
    </row>
    <row r="602" spans="1:7">
      <c r="A602" s="27">
        <v>12</v>
      </c>
      <c r="B602" s="27" t="s">
        <v>321</v>
      </c>
      <c r="C602" s="27" t="s">
        <v>393</v>
      </c>
      <c r="D602" s="27" t="s">
        <v>402</v>
      </c>
      <c r="E602" s="27" t="s">
        <v>1681</v>
      </c>
      <c r="F602" s="51">
        <v>94429</v>
      </c>
      <c r="G602" s="27"/>
    </row>
    <row r="603" spans="1:7">
      <c r="A603" s="27">
        <v>13</v>
      </c>
      <c r="B603" s="27" t="s">
        <v>322</v>
      </c>
      <c r="C603" s="27" t="s">
        <v>302</v>
      </c>
      <c r="D603" s="27" t="s">
        <v>408</v>
      </c>
      <c r="E603" s="27" t="s">
        <v>1682</v>
      </c>
      <c r="F603" s="51">
        <v>14851</v>
      </c>
      <c r="G603" s="27"/>
    </row>
    <row r="604" spans="1:7">
      <c r="A604" s="27">
        <v>13</v>
      </c>
      <c r="B604" s="27" t="s">
        <v>322</v>
      </c>
      <c r="C604" s="27" t="s">
        <v>302</v>
      </c>
      <c r="D604" s="27" t="s">
        <v>394</v>
      </c>
      <c r="E604" s="27" t="s">
        <v>1682</v>
      </c>
      <c r="F604" s="51">
        <v>48944</v>
      </c>
      <c r="G604" s="27"/>
    </row>
    <row r="605" spans="1:7">
      <c r="A605" s="27">
        <v>13</v>
      </c>
      <c r="B605" s="27" t="s">
        <v>322</v>
      </c>
      <c r="C605" s="27" t="s">
        <v>302</v>
      </c>
      <c r="D605" s="27" t="s">
        <v>397</v>
      </c>
      <c r="E605" s="27" t="s">
        <v>1682</v>
      </c>
      <c r="F605" s="51">
        <v>42356</v>
      </c>
      <c r="G605" s="27"/>
    </row>
    <row r="606" spans="1:7">
      <c r="A606" s="27">
        <v>13</v>
      </c>
      <c r="B606" s="27" t="s">
        <v>322</v>
      </c>
      <c r="C606" s="27" t="s">
        <v>302</v>
      </c>
      <c r="D606" s="27" t="s">
        <v>411</v>
      </c>
      <c r="E606" s="27" t="s">
        <v>1682</v>
      </c>
      <c r="F606" s="51">
        <v>1227</v>
      </c>
      <c r="G606" s="27"/>
    </row>
    <row r="607" spans="1:7">
      <c r="A607" s="27">
        <v>13</v>
      </c>
      <c r="B607" s="27" t="s">
        <v>322</v>
      </c>
      <c r="C607" s="27" t="s">
        <v>302</v>
      </c>
      <c r="D607" s="27" t="s">
        <v>412</v>
      </c>
      <c r="E607" s="27" t="s">
        <v>1682</v>
      </c>
      <c r="F607" s="51">
        <v>11610</v>
      </c>
      <c r="G607" s="27"/>
    </row>
    <row r="608" spans="1:7">
      <c r="A608" s="27">
        <v>13</v>
      </c>
      <c r="B608" s="27" t="s">
        <v>322</v>
      </c>
      <c r="C608" s="27" t="s">
        <v>302</v>
      </c>
      <c r="D608" s="27" t="s">
        <v>398</v>
      </c>
      <c r="E608" s="27" t="s">
        <v>1682</v>
      </c>
      <c r="F608" s="51">
        <v>1463</v>
      </c>
      <c r="G608" s="27"/>
    </row>
    <row r="609" spans="1:7">
      <c r="A609" s="27">
        <v>13</v>
      </c>
      <c r="B609" s="27" t="s">
        <v>322</v>
      </c>
      <c r="C609" s="27" t="s">
        <v>302</v>
      </c>
      <c r="D609" s="27" t="s">
        <v>415</v>
      </c>
      <c r="E609" s="27" t="s">
        <v>1682</v>
      </c>
      <c r="F609" s="51">
        <v>1111</v>
      </c>
      <c r="G609" s="27"/>
    </row>
    <row r="610" spans="1:7">
      <c r="A610" s="27">
        <v>13</v>
      </c>
      <c r="B610" s="27" t="s">
        <v>322</v>
      </c>
      <c r="C610" s="27" t="s">
        <v>302</v>
      </c>
      <c r="D610" s="27" t="s">
        <v>291</v>
      </c>
      <c r="E610" s="27" t="s">
        <v>1681</v>
      </c>
      <c r="F610" s="51">
        <v>1308</v>
      </c>
      <c r="G610" s="27"/>
    </row>
    <row r="611" spans="1:7">
      <c r="A611" s="27">
        <v>13</v>
      </c>
      <c r="B611" s="27" t="s">
        <v>322</v>
      </c>
      <c r="C611" s="27" t="s">
        <v>302</v>
      </c>
      <c r="D611" s="27" t="s">
        <v>399</v>
      </c>
      <c r="E611" s="27" t="s">
        <v>1681</v>
      </c>
      <c r="F611" s="51">
        <v>1022195</v>
      </c>
      <c r="G611" s="27"/>
    </row>
    <row r="612" spans="1:7">
      <c r="A612" s="27">
        <v>13</v>
      </c>
      <c r="B612" s="27" t="s">
        <v>322</v>
      </c>
      <c r="C612" s="27" t="s">
        <v>302</v>
      </c>
      <c r="D612" s="27" t="s">
        <v>296</v>
      </c>
      <c r="E612" s="27" t="s">
        <v>1681</v>
      </c>
      <c r="F612" s="51">
        <v>330015</v>
      </c>
      <c r="G612" s="27"/>
    </row>
    <row r="613" spans="1:7">
      <c r="A613" s="27">
        <v>13</v>
      </c>
      <c r="B613" s="27" t="s">
        <v>322</v>
      </c>
      <c r="C613" s="27" t="s">
        <v>302</v>
      </c>
      <c r="D613" s="27" t="s">
        <v>400</v>
      </c>
      <c r="E613" s="27" t="s">
        <v>1681</v>
      </c>
      <c r="F613" s="51">
        <v>15000</v>
      </c>
      <c r="G613" s="27"/>
    </row>
    <row r="614" spans="1:7">
      <c r="A614" s="27">
        <v>13</v>
      </c>
      <c r="B614" s="27" t="s">
        <v>322</v>
      </c>
      <c r="C614" s="27" t="s">
        <v>302</v>
      </c>
      <c r="D614" s="27" t="s">
        <v>298</v>
      </c>
      <c r="E614" s="27" t="s">
        <v>1681</v>
      </c>
      <c r="F614" s="51">
        <v>71629</v>
      </c>
      <c r="G614" s="27"/>
    </row>
    <row r="615" spans="1:7">
      <c r="A615" s="27">
        <v>13</v>
      </c>
      <c r="B615" s="27" t="s">
        <v>322</v>
      </c>
      <c r="C615" s="27" t="s">
        <v>302</v>
      </c>
      <c r="D615" s="27" t="s">
        <v>401</v>
      </c>
      <c r="E615" s="27" t="s">
        <v>1681</v>
      </c>
      <c r="F615" s="51">
        <v>23220</v>
      </c>
      <c r="G615" s="27"/>
    </row>
    <row r="616" spans="1:7">
      <c r="A616" s="27">
        <v>13</v>
      </c>
      <c r="B616" s="27" t="s">
        <v>322</v>
      </c>
      <c r="C616" s="27" t="s">
        <v>302</v>
      </c>
      <c r="D616" s="27" t="s">
        <v>402</v>
      </c>
      <c r="E616" s="27" t="s">
        <v>1681</v>
      </c>
      <c r="F616" s="51">
        <v>56764</v>
      </c>
      <c r="G616" s="27"/>
    </row>
    <row r="617" spans="1:7">
      <c r="A617" s="27">
        <v>14</v>
      </c>
      <c r="B617" s="27" t="s">
        <v>323</v>
      </c>
      <c r="C617" s="27" t="s">
        <v>311</v>
      </c>
      <c r="D617" s="27" t="s">
        <v>406</v>
      </c>
      <c r="E617" s="27" t="s">
        <v>1682</v>
      </c>
      <c r="F617" s="51">
        <v>27197</v>
      </c>
      <c r="G617" s="27"/>
    </row>
    <row r="618" spans="1:7">
      <c r="A618" s="27">
        <v>14</v>
      </c>
      <c r="B618" s="27" t="s">
        <v>323</v>
      </c>
      <c r="C618" s="27" t="s">
        <v>311</v>
      </c>
      <c r="D618" s="27" t="s">
        <v>408</v>
      </c>
      <c r="E618" s="27" t="s">
        <v>1682</v>
      </c>
      <c r="F618" s="51">
        <v>170302</v>
      </c>
      <c r="G618" s="27"/>
    </row>
    <row r="619" spans="1:7">
      <c r="A619" s="27">
        <v>14</v>
      </c>
      <c r="B619" s="27" t="s">
        <v>323</v>
      </c>
      <c r="C619" s="27" t="s">
        <v>311</v>
      </c>
      <c r="D619" s="27" t="s">
        <v>394</v>
      </c>
      <c r="E619" s="27" t="s">
        <v>1682</v>
      </c>
      <c r="F619" s="51">
        <v>528504</v>
      </c>
      <c r="G619" s="27"/>
    </row>
    <row r="620" spans="1:7">
      <c r="A620" s="27">
        <v>14</v>
      </c>
      <c r="B620" s="27" t="s">
        <v>323</v>
      </c>
      <c r="C620" s="27" t="s">
        <v>311</v>
      </c>
      <c r="D620" s="27" t="s">
        <v>396</v>
      </c>
      <c r="E620" s="27" t="s">
        <v>1682</v>
      </c>
      <c r="F620" s="51">
        <v>150000</v>
      </c>
      <c r="G620" s="27"/>
    </row>
    <row r="621" spans="1:7">
      <c r="A621" s="27">
        <v>14</v>
      </c>
      <c r="B621" s="27" t="s">
        <v>323</v>
      </c>
      <c r="C621" s="27" t="s">
        <v>311</v>
      </c>
      <c r="D621" s="27" t="s">
        <v>397</v>
      </c>
      <c r="E621" s="27" t="s">
        <v>1682</v>
      </c>
      <c r="F621" s="51">
        <v>189748</v>
      </c>
      <c r="G621" s="27"/>
    </row>
    <row r="622" spans="1:7">
      <c r="A622" s="27">
        <v>14</v>
      </c>
      <c r="B622" s="27" t="s">
        <v>323</v>
      </c>
      <c r="C622" s="27" t="s">
        <v>311</v>
      </c>
      <c r="D622" s="27" t="s">
        <v>411</v>
      </c>
      <c r="E622" s="27" t="s">
        <v>1682</v>
      </c>
      <c r="F622" s="51">
        <v>5496</v>
      </c>
      <c r="G622" s="27"/>
    </row>
    <row r="623" spans="1:7">
      <c r="A623" s="27">
        <v>14</v>
      </c>
      <c r="B623" s="27" t="s">
        <v>323</v>
      </c>
      <c r="C623" s="27" t="s">
        <v>311</v>
      </c>
      <c r="D623" s="27" t="s">
        <v>412</v>
      </c>
      <c r="E623" s="27" t="s">
        <v>1682</v>
      </c>
      <c r="F623" s="51">
        <v>83603</v>
      </c>
      <c r="G623" s="27"/>
    </row>
    <row r="624" spans="1:7">
      <c r="A624" s="27">
        <v>14</v>
      </c>
      <c r="B624" s="27" t="s">
        <v>323</v>
      </c>
      <c r="C624" s="27" t="s">
        <v>311</v>
      </c>
      <c r="D624" s="27" t="s">
        <v>413</v>
      </c>
      <c r="E624" s="27" t="s">
        <v>1682</v>
      </c>
      <c r="F624" s="51">
        <v>14812</v>
      </c>
      <c r="G624" s="27"/>
    </row>
    <row r="625" spans="1:7">
      <c r="A625" s="27">
        <v>14</v>
      </c>
      <c r="B625" s="27" t="s">
        <v>323</v>
      </c>
      <c r="C625" s="27" t="s">
        <v>311</v>
      </c>
      <c r="D625" s="27" t="s">
        <v>398</v>
      </c>
      <c r="E625" s="27" t="s">
        <v>1682</v>
      </c>
      <c r="F625" s="51">
        <v>12519</v>
      </c>
      <c r="G625" s="27"/>
    </row>
    <row r="626" spans="1:7">
      <c r="A626" s="27">
        <v>14</v>
      </c>
      <c r="B626" s="27" t="s">
        <v>323</v>
      </c>
      <c r="C626" s="27" t="s">
        <v>311</v>
      </c>
      <c r="D626" s="27" t="s">
        <v>415</v>
      </c>
      <c r="E626" s="27" t="s">
        <v>1682</v>
      </c>
      <c r="F626" s="51">
        <v>14334</v>
      </c>
      <c r="G626" s="27"/>
    </row>
    <row r="627" spans="1:7">
      <c r="A627" s="27">
        <v>14</v>
      </c>
      <c r="B627" s="27" t="s">
        <v>323</v>
      </c>
      <c r="C627" s="27" t="s">
        <v>311</v>
      </c>
      <c r="D627" s="27" t="s">
        <v>291</v>
      </c>
      <c r="E627" s="27" t="s">
        <v>1681</v>
      </c>
      <c r="F627" s="51">
        <v>9956</v>
      </c>
      <c r="G627" s="27"/>
    </row>
    <row r="628" spans="1:7">
      <c r="A628" s="27">
        <v>14</v>
      </c>
      <c r="B628" s="27" t="s">
        <v>323</v>
      </c>
      <c r="C628" s="27" t="s">
        <v>311</v>
      </c>
      <c r="D628" s="27" t="s">
        <v>399</v>
      </c>
      <c r="E628" s="27" t="s">
        <v>1681</v>
      </c>
      <c r="F628" s="51">
        <v>1325074</v>
      </c>
      <c r="G628" s="27"/>
    </row>
    <row r="629" spans="1:7">
      <c r="A629" s="27">
        <v>14</v>
      </c>
      <c r="B629" s="27" t="s">
        <v>323</v>
      </c>
      <c r="C629" s="27" t="s">
        <v>311</v>
      </c>
      <c r="D629" s="27" t="s">
        <v>317</v>
      </c>
      <c r="E629" s="27" t="s">
        <v>1681</v>
      </c>
      <c r="F629" s="51">
        <v>86171</v>
      </c>
      <c r="G629" s="27"/>
    </row>
    <row r="630" spans="1:7">
      <c r="A630" s="27">
        <v>14</v>
      </c>
      <c r="B630" s="27" t="s">
        <v>323</v>
      </c>
      <c r="C630" s="27" t="s">
        <v>311</v>
      </c>
      <c r="D630" s="27" t="s">
        <v>293</v>
      </c>
      <c r="E630" s="27" t="s">
        <v>1681</v>
      </c>
      <c r="F630" s="51">
        <v>122424</v>
      </c>
      <c r="G630" s="27"/>
    </row>
    <row r="631" spans="1:7">
      <c r="A631" s="27">
        <v>14</v>
      </c>
      <c r="B631" s="27" t="s">
        <v>323</v>
      </c>
      <c r="C631" s="27" t="s">
        <v>311</v>
      </c>
      <c r="D631" s="27" t="s">
        <v>307</v>
      </c>
      <c r="E631" s="27" t="s">
        <v>1681</v>
      </c>
      <c r="F631" s="51">
        <v>9600</v>
      </c>
      <c r="G631" s="27"/>
    </row>
    <row r="632" spans="1:7">
      <c r="A632" s="27">
        <v>14</v>
      </c>
      <c r="B632" s="27" t="s">
        <v>323</v>
      </c>
      <c r="C632" s="27" t="s">
        <v>311</v>
      </c>
      <c r="D632" s="27" t="s">
        <v>294</v>
      </c>
      <c r="E632" s="27" t="s">
        <v>1681</v>
      </c>
      <c r="F632" s="51">
        <v>20734</v>
      </c>
      <c r="G632" s="27"/>
    </row>
    <row r="633" spans="1:7">
      <c r="A633" s="27">
        <v>14</v>
      </c>
      <c r="B633" s="27" t="s">
        <v>323</v>
      </c>
      <c r="C633" s="27" t="s">
        <v>311</v>
      </c>
      <c r="D633" s="27" t="s">
        <v>295</v>
      </c>
      <c r="E633" s="27" t="s">
        <v>1681</v>
      </c>
      <c r="F633" s="51">
        <v>46337</v>
      </c>
      <c r="G633" s="27"/>
    </row>
    <row r="634" spans="1:7">
      <c r="A634" s="27">
        <v>14</v>
      </c>
      <c r="B634" s="27" t="s">
        <v>323</v>
      </c>
      <c r="C634" s="27" t="s">
        <v>311</v>
      </c>
      <c r="D634" s="27" t="s">
        <v>303</v>
      </c>
      <c r="E634" s="27" t="s">
        <v>1681</v>
      </c>
      <c r="F634" s="51">
        <v>14400</v>
      </c>
      <c r="G634" s="27"/>
    </row>
    <row r="635" spans="1:7">
      <c r="A635" s="27">
        <v>14</v>
      </c>
      <c r="B635" s="27" t="s">
        <v>323</v>
      </c>
      <c r="C635" s="27" t="s">
        <v>311</v>
      </c>
      <c r="D635" s="27" t="s">
        <v>296</v>
      </c>
      <c r="E635" s="27" t="s">
        <v>1681</v>
      </c>
      <c r="F635" s="51">
        <v>1074588</v>
      </c>
      <c r="G635" s="27"/>
    </row>
    <row r="636" spans="1:7">
      <c r="A636" s="27">
        <v>14</v>
      </c>
      <c r="B636" s="27" t="s">
        <v>323</v>
      </c>
      <c r="C636" s="27" t="s">
        <v>311</v>
      </c>
      <c r="D636" s="27" t="s">
        <v>400</v>
      </c>
      <c r="E636" s="27" t="s">
        <v>1681</v>
      </c>
      <c r="F636" s="51">
        <v>194880</v>
      </c>
      <c r="G636" s="27"/>
    </row>
    <row r="637" spans="1:7">
      <c r="A637" s="27">
        <v>14</v>
      </c>
      <c r="B637" s="27" t="s">
        <v>323</v>
      </c>
      <c r="C637" s="27" t="s">
        <v>311</v>
      </c>
      <c r="D637" s="27" t="s">
        <v>298</v>
      </c>
      <c r="E637" s="27" t="s">
        <v>1681</v>
      </c>
      <c r="F637" s="51">
        <v>88555</v>
      </c>
      <c r="G637" s="27"/>
    </row>
    <row r="638" spans="1:7">
      <c r="A638" s="27">
        <v>14</v>
      </c>
      <c r="B638" s="27" t="s">
        <v>323</v>
      </c>
      <c r="C638" s="27" t="s">
        <v>311</v>
      </c>
      <c r="D638" s="27" t="s">
        <v>401</v>
      </c>
      <c r="E638" s="27" t="s">
        <v>1681</v>
      </c>
      <c r="F638" s="51">
        <v>14860</v>
      </c>
      <c r="G638" s="27"/>
    </row>
    <row r="639" spans="1:7">
      <c r="A639" s="27">
        <v>14</v>
      </c>
      <c r="B639" s="27" t="s">
        <v>323</v>
      </c>
      <c r="C639" s="27" t="s">
        <v>311</v>
      </c>
      <c r="D639" s="27" t="s">
        <v>402</v>
      </c>
      <c r="E639" s="27" t="s">
        <v>1681</v>
      </c>
      <c r="F639" s="51">
        <v>162400</v>
      </c>
      <c r="G639" s="27"/>
    </row>
    <row r="640" spans="1:7">
      <c r="A640" s="27">
        <v>14</v>
      </c>
      <c r="B640" s="27" t="s">
        <v>323</v>
      </c>
      <c r="C640" s="27" t="s">
        <v>311</v>
      </c>
      <c r="D640" s="27" t="s">
        <v>299</v>
      </c>
      <c r="E640" s="27" t="s">
        <v>1681</v>
      </c>
      <c r="F640" s="51">
        <v>10394</v>
      </c>
      <c r="G640" s="27"/>
    </row>
    <row r="641" spans="1:7">
      <c r="A641" s="27">
        <v>14</v>
      </c>
      <c r="B641" s="27" t="s">
        <v>323</v>
      </c>
      <c r="C641" s="27" t="s">
        <v>311</v>
      </c>
      <c r="D641" s="27" t="s">
        <v>300</v>
      </c>
      <c r="E641" s="27" t="s">
        <v>1681</v>
      </c>
      <c r="F641" s="51">
        <v>37175</v>
      </c>
      <c r="G641" s="27"/>
    </row>
    <row r="642" spans="1:7">
      <c r="A642" s="27">
        <v>15</v>
      </c>
      <c r="B642" s="27" t="s">
        <v>324</v>
      </c>
      <c r="C642" s="27" t="s">
        <v>325</v>
      </c>
      <c r="D642" s="27" t="s">
        <v>405</v>
      </c>
      <c r="E642" s="27" t="s">
        <v>1682</v>
      </c>
      <c r="F642" s="51">
        <v>534000</v>
      </c>
      <c r="G642" s="27"/>
    </row>
    <row r="643" spans="1:7">
      <c r="A643" s="27">
        <v>15</v>
      </c>
      <c r="B643" s="27" t="s">
        <v>324</v>
      </c>
      <c r="C643" s="27" t="s">
        <v>325</v>
      </c>
      <c r="D643" s="27" t="s">
        <v>406</v>
      </c>
      <c r="E643" s="27" t="s">
        <v>1682</v>
      </c>
      <c r="F643" s="51">
        <v>728078</v>
      </c>
      <c r="G643" s="27"/>
    </row>
    <row r="644" spans="1:7">
      <c r="A644" s="27">
        <v>15</v>
      </c>
      <c r="B644" s="27" t="s">
        <v>324</v>
      </c>
      <c r="C644" s="27" t="s">
        <v>325</v>
      </c>
      <c r="D644" s="27" t="s">
        <v>326</v>
      </c>
      <c r="E644" s="27" t="s">
        <v>1682</v>
      </c>
      <c r="F644" s="51">
        <v>158935</v>
      </c>
      <c r="G644" s="27"/>
    </row>
    <row r="645" spans="1:7">
      <c r="A645" s="27">
        <v>15</v>
      </c>
      <c r="B645" s="27" t="s">
        <v>324</v>
      </c>
      <c r="C645" s="27" t="s">
        <v>325</v>
      </c>
      <c r="D645" s="27" t="s">
        <v>407</v>
      </c>
      <c r="E645" s="27" t="s">
        <v>1682</v>
      </c>
      <c r="F645" s="51">
        <v>27400</v>
      </c>
      <c r="G645" s="27"/>
    </row>
    <row r="646" spans="1:7">
      <c r="A646" s="27">
        <v>15</v>
      </c>
      <c r="B646" s="27" t="s">
        <v>324</v>
      </c>
      <c r="C646" s="27" t="s">
        <v>325</v>
      </c>
      <c r="D646" s="27" t="s">
        <v>408</v>
      </c>
      <c r="E646" s="27" t="s">
        <v>1682</v>
      </c>
      <c r="F646" s="51">
        <v>9182277</v>
      </c>
      <c r="G646" s="27"/>
    </row>
    <row r="647" spans="1:7">
      <c r="A647" s="27">
        <v>15</v>
      </c>
      <c r="B647" s="27" t="s">
        <v>324</v>
      </c>
      <c r="C647" s="27" t="s">
        <v>325</v>
      </c>
      <c r="D647" s="27" t="s">
        <v>394</v>
      </c>
      <c r="E647" s="27" t="s">
        <v>1682</v>
      </c>
      <c r="F647" s="51">
        <v>3836831</v>
      </c>
      <c r="G647" s="27"/>
    </row>
    <row r="648" spans="1:7">
      <c r="A648" s="27">
        <v>15</v>
      </c>
      <c r="B648" s="27" t="s">
        <v>324</v>
      </c>
      <c r="C648" s="27" t="s">
        <v>325</v>
      </c>
      <c r="D648" s="27" t="s">
        <v>328</v>
      </c>
      <c r="E648" s="27" t="s">
        <v>1682</v>
      </c>
      <c r="F648" s="51">
        <v>40000</v>
      </c>
      <c r="G648" s="27"/>
    </row>
    <row r="649" spans="1:7">
      <c r="A649" s="27">
        <v>15</v>
      </c>
      <c r="B649" s="27" t="s">
        <v>324</v>
      </c>
      <c r="C649" s="27" t="s">
        <v>325</v>
      </c>
      <c r="D649" s="27" t="s">
        <v>329</v>
      </c>
      <c r="E649" s="27" t="s">
        <v>1682</v>
      </c>
      <c r="F649" s="51">
        <v>937361</v>
      </c>
      <c r="G649" s="27"/>
    </row>
    <row r="650" spans="1:7">
      <c r="A650" s="27">
        <v>15</v>
      </c>
      <c r="B650" s="27" t="s">
        <v>324</v>
      </c>
      <c r="C650" s="27" t="s">
        <v>325</v>
      </c>
      <c r="D650" s="27" t="s">
        <v>396</v>
      </c>
      <c r="E650" s="27" t="s">
        <v>1682</v>
      </c>
      <c r="F650" s="51">
        <v>905000</v>
      </c>
      <c r="G650" s="27"/>
    </row>
    <row r="651" spans="1:7">
      <c r="A651" s="27">
        <v>15</v>
      </c>
      <c r="B651" s="27" t="s">
        <v>324</v>
      </c>
      <c r="C651" s="27" t="s">
        <v>325</v>
      </c>
      <c r="D651" s="27" t="s">
        <v>410</v>
      </c>
      <c r="E651" s="27" t="s">
        <v>1682</v>
      </c>
      <c r="F651" s="51">
        <v>8000</v>
      </c>
      <c r="G651" s="27"/>
    </row>
    <row r="652" spans="1:7">
      <c r="A652" s="27">
        <v>15</v>
      </c>
      <c r="B652" s="27" t="s">
        <v>324</v>
      </c>
      <c r="C652" s="27" t="s">
        <v>325</v>
      </c>
      <c r="D652" s="27" t="s">
        <v>330</v>
      </c>
      <c r="E652" s="27" t="s">
        <v>1682</v>
      </c>
      <c r="F652" s="51">
        <v>8684</v>
      </c>
      <c r="G652" s="27"/>
    </row>
    <row r="653" spans="1:7">
      <c r="A653" s="27">
        <v>15</v>
      </c>
      <c r="B653" s="27" t="s">
        <v>324</v>
      </c>
      <c r="C653" s="27" t="s">
        <v>325</v>
      </c>
      <c r="D653" s="27" t="s">
        <v>331</v>
      </c>
      <c r="E653" s="27" t="s">
        <v>1682</v>
      </c>
      <c r="F653" s="51">
        <v>84625</v>
      </c>
      <c r="G653" s="27"/>
    </row>
    <row r="654" spans="1:7">
      <c r="A654" s="27">
        <v>15</v>
      </c>
      <c r="B654" s="27" t="s">
        <v>324</v>
      </c>
      <c r="C654" s="27" t="s">
        <v>325</v>
      </c>
      <c r="D654" s="27" t="s">
        <v>397</v>
      </c>
      <c r="E654" s="27" t="s">
        <v>1682</v>
      </c>
      <c r="F654" s="51">
        <v>15057771</v>
      </c>
      <c r="G654" s="27"/>
    </row>
    <row r="655" spans="1:7">
      <c r="A655" s="27">
        <v>15</v>
      </c>
      <c r="B655" s="27" t="s">
        <v>324</v>
      </c>
      <c r="C655" s="27" t="s">
        <v>325</v>
      </c>
      <c r="D655" s="27" t="s">
        <v>332</v>
      </c>
      <c r="E655" s="27" t="s">
        <v>1682</v>
      </c>
      <c r="F655" s="51">
        <v>417229</v>
      </c>
      <c r="G655" s="27"/>
    </row>
    <row r="656" spans="1:7">
      <c r="A656" s="27">
        <v>15</v>
      </c>
      <c r="B656" s="27" t="s">
        <v>324</v>
      </c>
      <c r="C656" s="27" t="s">
        <v>325</v>
      </c>
      <c r="D656" s="27" t="s">
        <v>333</v>
      </c>
      <c r="E656" s="27" t="s">
        <v>1682</v>
      </c>
      <c r="F656" s="51">
        <v>24172</v>
      </c>
      <c r="G656" s="27"/>
    </row>
    <row r="657" spans="1:7">
      <c r="A657" s="27">
        <v>15</v>
      </c>
      <c r="B657" s="27" t="s">
        <v>324</v>
      </c>
      <c r="C657" s="27" t="s">
        <v>325</v>
      </c>
      <c r="D657" s="27" t="s">
        <v>411</v>
      </c>
      <c r="E657" s="27" t="s">
        <v>1682</v>
      </c>
      <c r="F657" s="51">
        <v>298464</v>
      </c>
      <c r="G657" s="27"/>
    </row>
    <row r="658" spans="1:7">
      <c r="A658" s="27">
        <v>15</v>
      </c>
      <c r="B658" s="27" t="s">
        <v>324</v>
      </c>
      <c r="C658" s="27" t="s">
        <v>325</v>
      </c>
      <c r="D658" s="27" t="s">
        <v>412</v>
      </c>
      <c r="E658" s="27" t="s">
        <v>1682</v>
      </c>
      <c r="F658" s="51">
        <v>2584382</v>
      </c>
      <c r="G658" s="27"/>
    </row>
    <row r="659" spans="1:7">
      <c r="A659" s="27">
        <v>15</v>
      </c>
      <c r="B659" s="27" t="s">
        <v>324</v>
      </c>
      <c r="C659" s="27" t="s">
        <v>325</v>
      </c>
      <c r="D659" s="27" t="s">
        <v>413</v>
      </c>
      <c r="E659" s="27" t="s">
        <v>1682</v>
      </c>
      <c r="F659" s="51">
        <v>290920</v>
      </c>
      <c r="G659" s="27"/>
    </row>
    <row r="660" spans="1:7">
      <c r="A660" s="27">
        <v>15</v>
      </c>
      <c r="B660" s="27" t="s">
        <v>324</v>
      </c>
      <c r="C660" s="27" t="s">
        <v>325</v>
      </c>
      <c r="D660" s="27" t="s">
        <v>414</v>
      </c>
      <c r="E660" s="27" t="s">
        <v>1682</v>
      </c>
      <c r="F660" s="51">
        <v>96362</v>
      </c>
      <c r="G660" s="27"/>
    </row>
    <row r="661" spans="1:7">
      <c r="A661" s="27">
        <v>15</v>
      </c>
      <c r="B661" s="27" t="s">
        <v>324</v>
      </c>
      <c r="C661" s="27" t="s">
        <v>325</v>
      </c>
      <c r="D661" s="27" t="s">
        <v>398</v>
      </c>
      <c r="E661" s="27" t="s">
        <v>1682</v>
      </c>
      <c r="F661" s="51">
        <v>348181</v>
      </c>
      <c r="G661" s="27"/>
    </row>
    <row r="662" spans="1:7">
      <c r="A662" s="27">
        <v>15</v>
      </c>
      <c r="B662" s="27" t="s">
        <v>324</v>
      </c>
      <c r="C662" s="27" t="s">
        <v>325</v>
      </c>
      <c r="D662" s="27" t="s">
        <v>415</v>
      </c>
      <c r="E662" s="27" t="s">
        <v>1682</v>
      </c>
      <c r="F662" s="51">
        <v>323268</v>
      </c>
      <c r="G662" s="27"/>
    </row>
    <row r="663" spans="1:7">
      <c r="A663" s="27">
        <v>15</v>
      </c>
      <c r="B663" s="27" t="s">
        <v>324</v>
      </c>
      <c r="C663" s="27" t="s">
        <v>325</v>
      </c>
      <c r="D663" s="27" t="s">
        <v>334</v>
      </c>
      <c r="E663" s="27" t="s">
        <v>1682</v>
      </c>
      <c r="F663" s="51">
        <v>160520</v>
      </c>
      <c r="G663" s="27"/>
    </row>
    <row r="664" spans="1:7">
      <c r="A664" s="27">
        <v>15</v>
      </c>
      <c r="B664" s="27" t="s">
        <v>324</v>
      </c>
      <c r="C664" s="27" t="s">
        <v>325</v>
      </c>
      <c r="D664" s="27" t="s">
        <v>335</v>
      </c>
      <c r="E664" s="27" t="s">
        <v>1681</v>
      </c>
      <c r="F664" s="51">
        <v>326024</v>
      </c>
      <c r="G664" s="27"/>
    </row>
    <row r="665" spans="1:7">
      <c r="A665" s="27">
        <v>15</v>
      </c>
      <c r="B665" s="27" t="s">
        <v>324</v>
      </c>
      <c r="C665" s="27" t="s">
        <v>325</v>
      </c>
      <c r="D665" s="27" t="s">
        <v>291</v>
      </c>
      <c r="E665" s="27" t="s">
        <v>1681</v>
      </c>
      <c r="F665" s="51">
        <v>179665</v>
      </c>
      <c r="G665" s="27"/>
    </row>
    <row r="666" spans="1:7">
      <c r="A666" s="27">
        <v>15</v>
      </c>
      <c r="B666" s="27" t="s">
        <v>324</v>
      </c>
      <c r="C666" s="27" t="s">
        <v>325</v>
      </c>
      <c r="D666" s="27" t="s">
        <v>399</v>
      </c>
      <c r="E666" s="27" t="s">
        <v>1681</v>
      </c>
      <c r="F666" s="51">
        <v>139801533</v>
      </c>
      <c r="G666" s="27"/>
    </row>
    <row r="667" spans="1:7">
      <c r="A667" s="27">
        <v>15</v>
      </c>
      <c r="B667" s="27" t="s">
        <v>324</v>
      </c>
      <c r="C667" s="27" t="s">
        <v>325</v>
      </c>
      <c r="D667" s="27" t="s">
        <v>336</v>
      </c>
      <c r="E667" s="27" t="s">
        <v>1681</v>
      </c>
      <c r="F667" s="51">
        <v>422762</v>
      </c>
      <c r="G667" s="27"/>
    </row>
    <row r="668" spans="1:7">
      <c r="A668" s="27">
        <v>15</v>
      </c>
      <c r="B668" s="27" t="s">
        <v>324</v>
      </c>
      <c r="C668" s="27" t="s">
        <v>325</v>
      </c>
      <c r="D668" s="27" t="s">
        <v>317</v>
      </c>
      <c r="E668" s="27" t="s">
        <v>1681</v>
      </c>
      <c r="F668" s="51">
        <v>344684</v>
      </c>
      <c r="G668" s="27"/>
    </row>
    <row r="669" spans="1:7">
      <c r="A669" s="27">
        <v>15</v>
      </c>
      <c r="B669" s="27" t="s">
        <v>324</v>
      </c>
      <c r="C669" s="27" t="s">
        <v>325</v>
      </c>
      <c r="D669" s="27" t="s">
        <v>293</v>
      </c>
      <c r="E669" s="27" t="s">
        <v>1681</v>
      </c>
      <c r="F669" s="51">
        <v>376025</v>
      </c>
      <c r="G669" s="27"/>
    </row>
    <row r="670" spans="1:7">
      <c r="A670" s="27">
        <v>15</v>
      </c>
      <c r="B670" s="27" t="s">
        <v>324</v>
      </c>
      <c r="C670" s="27" t="s">
        <v>325</v>
      </c>
      <c r="D670" s="27" t="s">
        <v>337</v>
      </c>
      <c r="E670" s="27" t="s">
        <v>1681</v>
      </c>
      <c r="F670" s="51">
        <v>50000</v>
      </c>
      <c r="G670" s="27"/>
    </row>
    <row r="671" spans="1:7">
      <c r="A671" s="27">
        <v>15</v>
      </c>
      <c r="B671" s="27" t="s">
        <v>324</v>
      </c>
      <c r="C671" s="27" t="s">
        <v>325</v>
      </c>
      <c r="D671" s="27" t="s">
        <v>294</v>
      </c>
      <c r="E671" s="27" t="s">
        <v>1681</v>
      </c>
      <c r="F671" s="51">
        <v>212423</v>
      </c>
      <c r="G671" s="27"/>
    </row>
    <row r="672" spans="1:7">
      <c r="A672" s="27">
        <v>15</v>
      </c>
      <c r="B672" s="27" t="s">
        <v>324</v>
      </c>
      <c r="C672" s="27" t="s">
        <v>325</v>
      </c>
      <c r="D672" s="27" t="s">
        <v>318</v>
      </c>
      <c r="E672" s="27" t="s">
        <v>1681</v>
      </c>
      <c r="F672" s="51">
        <v>1971399</v>
      </c>
      <c r="G672" s="27"/>
    </row>
    <row r="673" spans="1:7">
      <c r="A673" s="27">
        <v>15</v>
      </c>
      <c r="B673" s="27" t="s">
        <v>324</v>
      </c>
      <c r="C673" s="27" t="s">
        <v>325</v>
      </c>
      <c r="D673" s="27" t="s">
        <v>319</v>
      </c>
      <c r="E673" s="27" t="s">
        <v>1681</v>
      </c>
      <c r="F673" s="51">
        <v>363674</v>
      </c>
      <c r="G673" s="27"/>
    </row>
    <row r="674" spans="1:7">
      <c r="A674" s="27">
        <v>15</v>
      </c>
      <c r="B674" s="27" t="s">
        <v>324</v>
      </c>
      <c r="C674" s="27" t="s">
        <v>325</v>
      </c>
      <c r="D674" s="27" t="s">
        <v>296</v>
      </c>
      <c r="E674" s="27" t="s">
        <v>1681</v>
      </c>
      <c r="F674" s="51">
        <v>16520075</v>
      </c>
      <c r="G674" s="27"/>
    </row>
    <row r="675" spans="1:7">
      <c r="A675" s="27">
        <v>15</v>
      </c>
      <c r="B675" s="27" t="s">
        <v>324</v>
      </c>
      <c r="C675" s="27" t="s">
        <v>325</v>
      </c>
      <c r="D675" s="27" t="s">
        <v>400</v>
      </c>
      <c r="E675" s="27" t="s">
        <v>1681</v>
      </c>
      <c r="F675" s="51">
        <v>1467798</v>
      </c>
      <c r="G675" s="27"/>
    </row>
    <row r="676" spans="1:7">
      <c r="A676" s="27">
        <v>15</v>
      </c>
      <c r="B676" s="27" t="s">
        <v>324</v>
      </c>
      <c r="C676" s="27" t="s">
        <v>325</v>
      </c>
      <c r="D676" s="27" t="s">
        <v>298</v>
      </c>
      <c r="E676" s="27" t="s">
        <v>1681</v>
      </c>
      <c r="F676" s="51">
        <v>1939895</v>
      </c>
      <c r="G676" s="27"/>
    </row>
    <row r="677" spans="1:7">
      <c r="A677" s="27">
        <v>15</v>
      </c>
      <c r="B677" s="27" t="s">
        <v>324</v>
      </c>
      <c r="C677" s="27" t="s">
        <v>325</v>
      </c>
      <c r="D677" s="27" t="s">
        <v>401</v>
      </c>
      <c r="E677" s="27" t="s">
        <v>1681</v>
      </c>
      <c r="F677" s="51">
        <v>42337</v>
      </c>
      <c r="G677" s="27"/>
    </row>
    <row r="678" spans="1:7">
      <c r="A678" s="27">
        <v>15</v>
      </c>
      <c r="B678" s="27" t="s">
        <v>324</v>
      </c>
      <c r="C678" s="27" t="s">
        <v>325</v>
      </c>
      <c r="D678" s="27" t="s">
        <v>1347</v>
      </c>
      <c r="E678" s="27" t="s">
        <v>1681</v>
      </c>
      <c r="F678" s="51">
        <v>204394</v>
      </c>
      <c r="G678" s="27"/>
    </row>
    <row r="679" spans="1:7">
      <c r="A679" s="27">
        <v>15</v>
      </c>
      <c r="B679" s="27" t="s">
        <v>324</v>
      </c>
      <c r="C679" s="27" t="s">
        <v>325</v>
      </c>
      <c r="D679" s="27" t="s">
        <v>402</v>
      </c>
      <c r="E679" s="27" t="s">
        <v>1681</v>
      </c>
      <c r="F679" s="51">
        <v>2677945</v>
      </c>
      <c r="G679" s="27"/>
    </row>
    <row r="680" spans="1:7">
      <c r="A680" s="27">
        <v>15</v>
      </c>
      <c r="B680" s="27" t="s">
        <v>324</v>
      </c>
      <c r="C680" s="27" t="s">
        <v>325</v>
      </c>
      <c r="D680" s="27" t="s">
        <v>299</v>
      </c>
      <c r="E680" s="27" t="s">
        <v>1681</v>
      </c>
      <c r="F680" s="51">
        <v>455897</v>
      </c>
      <c r="G680" s="27"/>
    </row>
    <row r="681" spans="1:7">
      <c r="A681" s="27">
        <v>15</v>
      </c>
      <c r="B681" s="27" t="s">
        <v>324</v>
      </c>
      <c r="C681" s="27" t="s">
        <v>325</v>
      </c>
      <c r="D681" s="27" t="s">
        <v>320</v>
      </c>
      <c r="E681" s="27" t="s">
        <v>1681</v>
      </c>
      <c r="F681" s="51">
        <v>342760</v>
      </c>
      <c r="G681" s="27"/>
    </row>
    <row r="682" spans="1:7">
      <c r="A682" s="27">
        <v>15</v>
      </c>
      <c r="B682" s="27" t="s">
        <v>324</v>
      </c>
      <c r="C682" s="27" t="s">
        <v>325</v>
      </c>
      <c r="D682" s="27" t="s">
        <v>338</v>
      </c>
      <c r="E682" s="27" t="s">
        <v>1681</v>
      </c>
      <c r="F682" s="51">
        <v>14767</v>
      </c>
      <c r="G682" s="27"/>
    </row>
    <row r="683" spans="1:7">
      <c r="A683" s="27">
        <v>15</v>
      </c>
      <c r="B683" s="27" t="s">
        <v>324</v>
      </c>
      <c r="C683" s="27" t="s">
        <v>325</v>
      </c>
      <c r="D683" s="27" t="s">
        <v>300</v>
      </c>
      <c r="E683" s="27" t="s">
        <v>1681</v>
      </c>
      <c r="F683" s="51">
        <v>131707</v>
      </c>
      <c r="G683" s="27"/>
    </row>
    <row r="684" spans="1:7">
      <c r="A684" s="27">
        <v>16</v>
      </c>
      <c r="B684" s="27" t="s">
        <v>339</v>
      </c>
      <c r="C684" s="27" t="s">
        <v>393</v>
      </c>
      <c r="D684" s="27" t="s">
        <v>399</v>
      </c>
      <c r="E684" s="27" t="s">
        <v>1681</v>
      </c>
      <c r="F684" s="51">
        <v>93003</v>
      </c>
      <c r="G684" s="27"/>
    </row>
    <row r="685" spans="1:7">
      <c r="A685" s="27">
        <v>17</v>
      </c>
      <c r="B685" s="27" t="s">
        <v>340</v>
      </c>
      <c r="C685" s="27" t="s">
        <v>316</v>
      </c>
      <c r="D685" s="27" t="s">
        <v>406</v>
      </c>
      <c r="E685" s="27" t="s">
        <v>1682</v>
      </c>
      <c r="F685" s="51">
        <v>78064</v>
      </c>
      <c r="G685" s="27"/>
    </row>
    <row r="686" spans="1:7">
      <c r="A686" s="27">
        <v>17</v>
      </c>
      <c r="B686" s="27" t="s">
        <v>340</v>
      </c>
      <c r="C686" s="27" t="s">
        <v>316</v>
      </c>
      <c r="D686" s="27" t="s">
        <v>408</v>
      </c>
      <c r="E686" s="27" t="s">
        <v>1682</v>
      </c>
      <c r="F686" s="51">
        <v>795729</v>
      </c>
      <c r="G686" s="27"/>
    </row>
    <row r="687" spans="1:7">
      <c r="A687" s="27">
        <v>17</v>
      </c>
      <c r="B687" s="27" t="s">
        <v>340</v>
      </c>
      <c r="C687" s="27" t="s">
        <v>316</v>
      </c>
      <c r="D687" s="27" t="s">
        <v>394</v>
      </c>
      <c r="E687" s="27" t="s">
        <v>1682</v>
      </c>
      <c r="F687" s="51">
        <v>1219002</v>
      </c>
      <c r="G687" s="27"/>
    </row>
    <row r="688" spans="1:7">
      <c r="A688" s="27">
        <v>17</v>
      </c>
      <c r="B688" s="27" t="s">
        <v>340</v>
      </c>
      <c r="C688" s="27" t="s">
        <v>316</v>
      </c>
      <c r="D688" s="27" t="s">
        <v>396</v>
      </c>
      <c r="E688" s="27" t="s">
        <v>1682</v>
      </c>
      <c r="F688" s="51">
        <v>100000</v>
      </c>
      <c r="G688" s="27"/>
    </row>
    <row r="689" spans="1:7">
      <c r="A689" s="27">
        <v>17</v>
      </c>
      <c r="B689" s="27" t="s">
        <v>340</v>
      </c>
      <c r="C689" s="27" t="s">
        <v>316</v>
      </c>
      <c r="D689" s="27" t="s">
        <v>397</v>
      </c>
      <c r="E689" s="27" t="s">
        <v>1682</v>
      </c>
      <c r="F689" s="51">
        <v>809214</v>
      </c>
      <c r="G689" s="27"/>
    </row>
    <row r="690" spans="1:7">
      <c r="A690" s="27">
        <v>17</v>
      </c>
      <c r="B690" s="27" t="s">
        <v>340</v>
      </c>
      <c r="C690" s="27" t="s">
        <v>316</v>
      </c>
      <c r="D690" s="27" t="s">
        <v>333</v>
      </c>
      <c r="E690" s="27" t="s">
        <v>1682</v>
      </c>
      <c r="F690" s="51">
        <v>13249</v>
      </c>
      <c r="G690" s="27"/>
    </row>
    <row r="691" spans="1:7">
      <c r="A691" s="27">
        <v>17</v>
      </c>
      <c r="B691" s="27" t="s">
        <v>340</v>
      </c>
      <c r="C691" s="27" t="s">
        <v>316</v>
      </c>
      <c r="D691" s="27" t="s">
        <v>411</v>
      </c>
      <c r="E691" s="27" t="s">
        <v>1682</v>
      </c>
      <c r="F691" s="51">
        <v>19642</v>
      </c>
      <c r="G691" s="27"/>
    </row>
    <row r="692" spans="1:7">
      <c r="A692" s="27">
        <v>17</v>
      </c>
      <c r="B692" s="27" t="s">
        <v>340</v>
      </c>
      <c r="C692" s="27" t="s">
        <v>316</v>
      </c>
      <c r="D692" s="27" t="s">
        <v>412</v>
      </c>
      <c r="E692" s="27" t="s">
        <v>1682</v>
      </c>
      <c r="F692" s="51">
        <v>198500</v>
      </c>
      <c r="G692" s="27"/>
    </row>
    <row r="693" spans="1:7">
      <c r="A693" s="27">
        <v>17</v>
      </c>
      <c r="B693" s="27" t="s">
        <v>340</v>
      </c>
      <c r="C693" s="27" t="s">
        <v>316</v>
      </c>
      <c r="D693" s="27" t="s">
        <v>413</v>
      </c>
      <c r="E693" s="27" t="s">
        <v>1682</v>
      </c>
      <c r="F693" s="51">
        <v>27107</v>
      </c>
      <c r="G693" s="27"/>
    </row>
    <row r="694" spans="1:7">
      <c r="A694" s="27">
        <v>17</v>
      </c>
      <c r="B694" s="27" t="s">
        <v>340</v>
      </c>
      <c r="C694" s="27" t="s">
        <v>316</v>
      </c>
      <c r="D694" s="27" t="s">
        <v>398</v>
      </c>
      <c r="E694" s="27" t="s">
        <v>1682</v>
      </c>
      <c r="F694" s="51">
        <v>72366</v>
      </c>
      <c r="G694" s="27"/>
    </row>
    <row r="695" spans="1:7">
      <c r="A695" s="27">
        <v>17</v>
      </c>
      <c r="B695" s="27" t="s">
        <v>340</v>
      </c>
      <c r="C695" s="27" t="s">
        <v>316</v>
      </c>
      <c r="D695" s="27" t="s">
        <v>415</v>
      </c>
      <c r="E695" s="27" t="s">
        <v>1682</v>
      </c>
      <c r="F695" s="51">
        <v>86209</v>
      </c>
      <c r="G695" s="27"/>
    </row>
    <row r="696" spans="1:7">
      <c r="A696" s="27">
        <v>17</v>
      </c>
      <c r="B696" s="27" t="s">
        <v>340</v>
      </c>
      <c r="C696" s="27" t="s">
        <v>316</v>
      </c>
      <c r="D696" s="27" t="s">
        <v>334</v>
      </c>
      <c r="E696" s="27" t="s">
        <v>1682</v>
      </c>
      <c r="F696" s="51">
        <v>63581</v>
      </c>
      <c r="G696" s="27"/>
    </row>
    <row r="697" spans="1:7">
      <c r="A697" s="27">
        <v>17</v>
      </c>
      <c r="B697" s="27" t="s">
        <v>340</v>
      </c>
      <c r="C697" s="27" t="s">
        <v>316</v>
      </c>
      <c r="D697" s="27" t="s">
        <v>291</v>
      </c>
      <c r="E697" s="27" t="s">
        <v>1681</v>
      </c>
      <c r="F697" s="51">
        <v>39522</v>
      </c>
      <c r="G697" s="27"/>
    </row>
    <row r="698" spans="1:7">
      <c r="A698" s="27">
        <v>17</v>
      </c>
      <c r="B698" s="27" t="s">
        <v>340</v>
      </c>
      <c r="C698" s="27" t="s">
        <v>316</v>
      </c>
      <c r="D698" s="27" t="s">
        <v>399</v>
      </c>
      <c r="E698" s="27" t="s">
        <v>1681</v>
      </c>
      <c r="F698" s="51">
        <v>33010372</v>
      </c>
      <c r="G698" s="27"/>
    </row>
    <row r="699" spans="1:7">
      <c r="A699" s="27">
        <v>17</v>
      </c>
      <c r="B699" s="27" t="s">
        <v>340</v>
      </c>
      <c r="C699" s="27" t="s">
        <v>316</v>
      </c>
      <c r="D699" s="27" t="s">
        <v>336</v>
      </c>
      <c r="E699" s="27" t="s">
        <v>1681</v>
      </c>
      <c r="F699" s="51">
        <v>162777</v>
      </c>
      <c r="G699" s="27"/>
    </row>
    <row r="700" spans="1:7">
      <c r="A700" s="27">
        <v>17</v>
      </c>
      <c r="B700" s="27" t="s">
        <v>340</v>
      </c>
      <c r="C700" s="27" t="s">
        <v>316</v>
      </c>
      <c r="D700" s="27" t="s">
        <v>317</v>
      </c>
      <c r="E700" s="27" t="s">
        <v>1681</v>
      </c>
      <c r="F700" s="51">
        <v>172342</v>
      </c>
      <c r="G700" s="27"/>
    </row>
    <row r="701" spans="1:7">
      <c r="A701" s="27">
        <v>17</v>
      </c>
      <c r="B701" s="27" t="s">
        <v>340</v>
      </c>
      <c r="C701" s="27" t="s">
        <v>316</v>
      </c>
      <c r="D701" s="27" t="s">
        <v>293</v>
      </c>
      <c r="E701" s="27" t="s">
        <v>1681</v>
      </c>
      <c r="F701" s="51">
        <v>208000</v>
      </c>
      <c r="G701" s="27"/>
    </row>
    <row r="702" spans="1:7">
      <c r="A702" s="27">
        <v>17</v>
      </c>
      <c r="B702" s="27" t="s">
        <v>340</v>
      </c>
      <c r="C702" s="27" t="s">
        <v>316</v>
      </c>
      <c r="D702" s="27" t="s">
        <v>294</v>
      </c>
      <c r="E702" s="27" t="s">
        <v>1681</v>
      </c>
      <c r="F702" s="51">
        <v>190416</v>
      </c>
      <c r="G702" s="27"/>
    </row>
    <row r="703" spans="1:7">
      <c r="A703" s="27">
        <v>17</v>
      </c>
      <c r="B703" s="27" t="s">
        <v>340</v>
      </c>
      <c r="C703" s="27" t="s">
        <v>316</v>
      </c>
      <c r="D703" s="27" t="s">
        <v>295</v>
      </c>
      <c r="E703" s="27" t="s">
        <v>1681</v>
      </c>
      <c r="F703" s="51">
        <v>161276</v>
      </c>
      <c r="G703" s="27"/>
    </row>
    <row r="704" spans="1:7">
      <c r="A704" s="27">
        <v>17</v>
      </c>
      <c r="B704" s="27" t="s">
        <v>340</v>
      </c>
      <c r="C704" s="27" t="s">
        <v>316</v>
      </c>
      <c r="D704" s="27" t="s">
        <v>318</v>
      </c>
      <c r="E704" s="27" t="s">
        <v>1681</v>
      </c>
      <c r="F704" s="51">
        <v>766029</v>
      </c>
      <c r="G704" s="27"/>
    </row>
    <row r="705" spans="1:7">
      <c r="A705" s="27">
        <v>17</v>
      </c>
      <c r="B705" s="27" t="s">
        <v>340</v>
      </c>
      <c r="C705" s="27" t="s">
        <v>316</v>
      </c>
      <c r="D705" s="27" t="s">
        <v>319</v>
      </c>
      <c r="E705" s="27" t="s">
        <v>1681</v>
      </c>
      <c r="F705" s="51">
        <v>136537</v>
      </c>
      <c r="G705" s="27"/>
    </row>
    <row r="706" spans="1:7">
      <c r="A706" s="27">
        <v>17</v>
      </c>
      <c r="B706" s="27" t="s">
        <v>340</v>
      </c>
      <c r="C706" s="27" t="s">
        <v>316</v>
      </c>
      <c r="D706" s="27" t="s">
        <v>296</v>
      </c>
      <c r="E706" s="27" t="s">
        <v>1681</v>
      </c>
      <c r="F706" s="51">
        <v>1341681</v>
      </c>
      <c r="G706" s="27"/>
    </row>
    <row r="707" spans="1:7">
      <c r="A707" s="27">
        <v>17</v>
      </c>
      <c r="B707" s="27" t="s">
        <v>340</v>
      </c>
      <c r="C707" s="27" t="s">
        <v>316</v>
      </c>
      <c r="D707" s="27" t="s">
        <v>400</v>
      </c>
      <c r="E707" s="27" t="s">
        <v>1681</v>
      </c>
      <c r="F707" s="51">
        <v>385978</v>
      </c>
      <c r="G707" s="27"/>
    </row>
    <row r="708" spans="1:7">
      <c r="A708" s="27">
        <v>17</v>
      </c>
      <c r="B708" s="27" t="s">
        <v>340</v>
      </c>
      <c r="C708" s="27" t="s">
        <v>316</v>
      </c>
      <c r="D708" s="27" t="s">
        <v>298</v>
      </c>
      <c r="E708" s="27" t="s">
        <v>1681</v>
      </c>
      <c r="F708" s="51">
        <v>749353</v>
      </c>
      <c r="G708" s="27"/>
    </row>
    <row r="709" spans="1:7">
      <c r="A709" s="27">
        <v>17</v>
      </c>
      <c r="B709" s="27" t="s">
        <v>340</v>
      </c>
      <c r="C709" s="27" t="s">
        <v>316</v>
      </c>
      <c r="D709" s="27" t="s">
        <v>401</v>
      </c>
      <c r="E709" s="27" t="s">
        <v>1681</v>
      </c>
      <c r="F709" s="51">
        <v>34720</v>
      </c>
      <c r="G709" s="27"/>
    </row>
    <row r="710" spans="1:7">
      <c r="A710" s="27">
        <v>17</v>
      </c>
      <c r="B710" s="27" t="s">
        <v>340</v>
      </c>
      <c r="C710" s="27" t="s">
        <v>316</v>
      </c>
      <c r="D710" s="27" t="s">
        <v>1347</v>
      </c>
      <c r="E710" s="27" t="s">
        <v>1681</v>
      </c>
      <c r="F710" s="51">
        <v>19841</v>
      </c>
      <c r="G710" s="27"/>
    </row>
    <row r="711" spans="1:7">
      <c r="A711" s="27">
        <v>17</v>
      </c>
      <c r="B711" s="27" t="s">
        <v>340</v>
      </c>
      <c r="C711" s="27" t="s">
        <v>316</v>
      </c>
      <c r="D711" s="27" t="s">
        <v>402</v>
      </c>
      <c r="E711" s="27" t="s">
        <v>1681</v>
      </c>
      <c r="F711" s="51">
        <v>790967</v>
      </c>
      <c r="G711" s="27"/>
    </row>
    <row r="712" spans="1:7">
      <c r="A712" s="27">
        <v>17</v>
      </c>
      <c r="B712" s="27" t="s">
        <v>340</v>
      </c>
      <c r="C712" s="27" t="s">
        <v>316</v>
      </c>
      <c r="D712" s="27" t="s">
        <v>299</v>
      </c>
      <c r="E712" s="27" t="s">
        <v>1681</v>
      </c>
      <c r="F712" s="51">
        <v>203803</v>
      </c>
      <c r="G712" s="27"/>
    </row>
    <row r="713" spans="1:7">
      <c r="A713" s="27">
        <v>17</v>
      </c>
      <c r="B713" s="27" t="s">
        <v>340</v>
      </c>
      <c r="C713" s="27" t="s">
        <v>316</v>
      </c>
      <c r="D713" s="27" t="s">
        <v>338</v>
      </c>
      <c r="E713" s="27" t="s">
        <v>1681</v>
      </c>
      <c r="F713" s="51">
        <v>14767</v>
      </c>
      <c r="G713" s="27"/>
    </row>
    <row r="714" spans="1:7">
      <c r="A714" s="27">
        <v>17</v>
      </c>
      <c r="B714" s="27" t="s">
        <v>340</v>
      </c>
      <c r="C714" s="27" t="s">
        <v>316</v>
      </c>
      <c r="D714" s="27" t="s">
        <v>300</v>
      </c>
      <c r="E714" s="27" t="s">
        <v>1681</v>
      </c>
      <c r="F714" s="51">
        <v>46087</v>
      </c>
      <c r="G714" s="27"/>
    </row>
    <row r="715" spans="1:7">
      <c r="A715" s="27">
        <v>18</v>
      </c>
      <c r="B715" s="27" t="s">
        <v>341</v>
      </c>
      <c r="C715" s="27" t="s">
        <v>306</v>
      </c>
      <c r="D715" s="27" t="s">
        <v>408</v>
      </c>
      <c r="E715" s="27" t="s">
        <v>1682</v>
      </c>
      <c r="F715" s="51">
        <v>390870</v>
      </c>
      <c r="G715" s="27"/>
    </row>
    <row r="716" spans="1:7">
      <c r="A716" s="27">
        <v>18</v>
      </c>
      <c r="B716" s="27" t="s">
        <v>341</v>
      </c>
      <c r="C716" s="27" t="s">
        <v>306</v>
      </c>
      <c r="D716" s="27" t="s">
        <v>394</v>
      </c>
      <c r="E716" s="27" t="s">
        <v>1682</v>
      </c>
      <c r="F716" s="51">
        <v>331059</v>
      </c>
      <c r="G716" s="27"/>
    </row>
    <row r="717" spans="1:7">
      <c r="A717" s="27">
        <v>18</v>
      </c>
      <c r="B717" s="27" t="s">
        <v>341</v>
      </c>
      <c r="C717" s="27" t="s">
        <v>306</v>
      </c>
      <c r="D717" s="27" t="s">
        <v>397</v>
      </c>
      <c r="E717" s="27" t="s">
        <v>1682</v>
      </c>
      <c r="F717" s="51">
        <v>91406</v>
      </c>
      <c r="G717" s="27"/>
    </row>
    <row r="718" spans="1:7">
      <c r="A718" s="27">
        <v>18</v>
      </c>
      <c r="B718" s="27" t="s">
        <v>341</v>
      </c>
      <c r="C718" s="27" t="s">
        <v>306</v>
      </c>
      <c r="D718" s="27" t="s">
        <v>411</v>
      </c>
      <c r="E718" s="27" t="s">
        <v>1682</v>
      </c>
      <c r="F718" s="51">
        <v>2647</v>
      </c>
      <c r="G718" s="27"/>
    </row>
    <row r="719" spans="1:7">
      <c r="A719" s="27">
        <v>18</v>
      </c>
      <c r="B719" s="27" t="s">
        <v>341</v>
      </c>
      <c r="C719" s="27" t="s">
        <v>306</v>
      </c>
      <c r="D719" s="27" t="s">
        <v>412</v>
      </c>
      <c r="E719" s="27" t="s">
        <v>1682</v>
      </c>
      <c r="F719" s="51">
        <v>56753</v>
      </c>
      <c r="G719" s="27"/>
    </row>
    <row r="720" spans="1:7">
      <c r="A720" s="27">
        <v>18</v>
      </c>
      <c r="B720" s="27" t="s">
        <v>341</v>
      </c>
      <c r="C720" s="27" t="s">
        <v>306</v>
      </c>
      <c r="D720" s="27" t="s">
        <v>398</v>
      </c>
      <c r="E720" s="27" t="s">
        <v>1682</v>
      </c>
      <c r="F720" s="51">
        <v>9402</v>
      </c>
      <c r="G720" s="27"/>
    </row>
    <row r="721" spans="1:7">
      <c r="A721" s="27">
        <v>18</v>
      </c>
      <c r="B721" s="27" t="s">
        <v>341</v>
      </c>
      <c r="C721" s="27" t="s">
        <v>306</v>
      </c>
      <c r="D721" s="27" t="s">
        <v>415</v>
      </c>
      <c r="E721" s="27" t="s">
        <v>1682</v>
      </c>
      <c r="F721" s="51">
        <v>9549</v>
      </c>
      <c r="G721" s="27"/>
    </row>
    <row r="722" spans="1:7">
      <c r="A722" s="27">
        <v>18</v>
      </c>
      <c r="B722" s="27" t="s">
        <v>341</v>
      </c>
      <c r="C722" s="27" t="s">
        <v>306</v>
      </c>
      <c r="D722" s="27" t="s">
        <v>291</v>
      </c>
      <c r="E722" s="27" t="s">
        <v>1681</v>
      </c>
      <c r="F722" s="51">
        <v>8974</v>
      </c>
      <c r="G722" s="27"/>
    </row>
    <row r="723" spans="1:7">
      <c r="A723" s="27">
        <v>18</v>
      </c>
      <c r="B723" s="27" t="s">
        <v>341</v>
      </c>
      <c r="C723" s="27" t="s">
        <v>306</v>
      </c>
      <c r="D723" s="27" t="s">
        <v>399</v>
      </c>
      <c r="E723" s="27" t="s">
        <v>1681</v>
      </c>
      <c r="F723" s="51">
        <v>1071753</v>
      </c>
      <c r="G723" s="27"/>
    </row>
    <row r="724" spans="1:7">
      <c r="A724" s="27">
        <v>18</v>
      </c>
      <c r="B724" s="27" t="s">
        <v>341</v>
      </c>
      <c r="C724" s="27" t="s">
        <v>306</v>
      </c>
      <c r="D724" s="27" t="s">
        <v>294</v>
      </c>
      <c r="E724" s="27" t="s">
        <v>1681</v>
      </c>
      <c r="F724" s="51">
        <v>4358</v>
      </c>
      <c r="G724" s="27"/>
    </row>
    <row r="725" spans="1:7">
      <c r="A725" s="27">
        <v>18</v>
      </c>
      <c r="B725" s="27" t="s">
        <v>341</v>
      </c>
      <c r="C725" s="27" t="s">
        <v>306</v>
      </c>
      <c r="D725" s="27" t="s">
        <v>296</v>
      </c>
      <c r="E725" s="27" t="s">
        <v>1681</v>
      </c>
      <c r="F725" s="51">
        <v>382177</v>
      </c>
      <c r="G725" s="27"/>
    </row>
    <row r="726" spans="1:7">
      <c r="A726" s="27">
        <v>18</v>
      </c>
      <c r="B726" s="27" t="s">
        <v>341</v>
      </c>
      <c r="C726" s="27" t="s">
        <v>306</v>
      </c>
      <c r="D726" s="27" t="s">
        <v>400</v>
      </c>
      <c r="E726" s="27" t="s">
        <v>1681</v>
      </c>
      <c r="F726" s="51">
        <v>169205</v>
      </c>
      <c r="G726" s="27"/>
    </row>
    <row r="727" spans="1:7">
      <c r="A727" s="27">
        <v>18</v>
      </c>
      <c r="B727" s="27" t="s">
        <v>341</v>
      </c>
      <c r="C727" s="27" t="s">
        <v>306</v>
      </c>
      <c r="D727" s="27" t="s">
        <v>298</v>
      </c>
      <c r="E727" s="27" t="s">
        <v>1681</v>
      </c>
      <c r="F727" s="51">
        <v>27080</v>
      </c>
      <c r="G727" s="27"/>
    </row>
    <row r="728" spans="1:7">
      <c r="A728" s="27">
        <v>18</v>
      </c>
      <c r="B728" s="27" t="s">
        <v>341</v>
      </c>
      <c r="C728" s="27" t="s">
        <v>306</v>
      </c>
      <c r="D728" s="27" t="s">
        <v>401</v>
      </c>
      <c r="E728" s="27" t="s">
        <v>1681</v>
      </c>
      <c r="F728" s="51">
        <v>15000</v>
      </c>
      <c r="G728" s="27"/>
    </row>
    <row r="729" spans="1:7">
      <c r="A729" s="27">
        <v>18</v>
      </c>
      <c r="B729" s="27" t="s">
        <v>341</v>
      </c>
      <c r="C729" s="27" t="s">
        <v>306</v>
      </c>
      <c r="D729" s="27" t="s">
        <v>402</v>
      </c>
      <c r="E729" s="27" t="s">
        <v>1681</v>
      </c>
      <c r="F729" s="51">
        <v>73884</v>
      </c>
      <c r="G729" s="27"/>
    </row>
    <row r="730" spans="1:7">
      <c r="A730" s="27">
        <v>18</v>
      </c>
      <c r="B730" s="27" t="s">
        <v>341</v>
      </c>
      <c r="C730" s="27" t="s">
        <v>306</v>
      </c>
      <c r="D730" s="27" t="s">
        <v>299</v>
      </c>
      <c r="E730" s="27" t="s">
        <v>1681</v>
      </c>
      <c r="F730" s="51">
        <v>4395</v>
      </c>
      <c r="G730" s="27"/>
    </row>
    <row r="731" spans="1:7">
      <c r="A731" s="27">
        <v>19</v>
      </c>
      <c r="B731" s="27" t="s">
        <v>342</v>
      </c>
      <c r="C731" s="27" t="s">
        <v>302</v>
      </c>
      <c r="D731" s="27" t="s">
        <v>408</v>
      </c>
      <c r="E731" s="27" t="s">
        <v>1682</v>
      </c>
      <c r="F731" s="51">
        <v>63891</v>
      </c>
      <c r="G731" s="27"/>
    </row>
    <row r="732" spans="1:7">
      <c r="A732" s="27">
        <v>19</v>
      </c>
      <c r="B732" s="27" t="s">
        <v>342</v>
      </c>
      <c r="C732" s="27" t="s">
        <v>302</v>
      </c>
      <c r="D732" s="27" t="s">
        <v>394</v>
      </c>
      <c r="E732" s="27" t="s">
        <v>1682</v>
      </c>
      <c r="F732" s="51">
        <v>172503</v>
      </c>
      <c r="G732" s="27"/>
    </row>
    <row r="733" spans="1:7">
      <c r="A733" s="27">
        <v>19</v>
      </c>
      <c r="B733" s="27" t="s">
        <v>342</v>
      </c>
      <c r="C733" s="27" t="s">
        <v>302</v>
      </c>
      <c r="D733" s="27" t="s">
        <v>397</v>
      </c>
      <c r="E733" s="27" t="s">
        <v>1682</v>
      </c>
      <c r="F733" s="51">
        <v>215067</v>
      </c>
      <c r="G733" s="27"/>
    </row>
    <row r="734" spans="1:7">
      <c r="A734" s="27">
        <v>19</v>
      </c>
      <c r="B734" s="27" t="s">
        <v>342</v>
      </c>
      <c r="C734" s="27" t="s">
        <v>302</v>
      </c>
      <c r="D734" s="27" t="s">
        <v>411</v>
      </c>
      <c r="E734" s="27" t="s">
        <v>1682</v>
      </c>
      <c r="F734" s="51">
        <v>7418</v>
      </c>
      <c r="G734" s="27"/>
    </row>
    <row r="735" spans="1:7">
      <c r="A735" s="27">
        <v>19</v>
      </c>
      <c r="B735" s="27" t="s">
        <v>342</v>
      </c>
      <c r="C735" s="27" t="s">
        <v>302</v>
      </c>
      <c r="D735" s="27" t="s">
        <v>412</v>
      </c>
      <c r="E735" s="27" t="s">
        <v>1682</v>
      </c>
      <c r="F735" s="51">
        <v>53702</v>
      </c>
      <c r="G735" s="27"/>
    </row>
    <row r="736" spans="1:7">
      <c r="A736" s="27">
        <v>19</v>
      </c>
      <c r="B736" s="27" t="s">
        <v>342</v>
      </c>
      <c r="C736" s="27" t="s">
        <v>302</v>
      </c>
      <c r="D736" s="27" t="s">
        <v>398</v>
      </c>
      <c r="E736" s="27" t="s">
        <v>1682</v>
      </c>
      <c r="F736" s="51">
        <v>7343</v>
      </c>
      <c r="G736" s="27"/>
    </row>
    <row r="737" spans="1:7">
      <c r="A737" s="27">
        <v>19</v>
      </c>
      <c r="B737" s="27" t="s">
        <v>342</v>
      </c>
      <c r="C737" s="27" t="s">
        <v>302</v>
      </c>
      <c r="D737" s="27" t="s">
        <v>415</v>
      </c>
      <c r="E737" s="27" t="s">
        <v>1682</v>
      </c>
      <c r="F737" s="51">
        <v>1540</v>
      </c>
      <c r="G737" s="27"/>
    </row>
    <row r="738" spans="1:7">
      <c r="A738" s="27">
        <v>19</v>
      </c>
      <c r="B738" s="27" t="s">
        <v>342</v>
      </c>
      <c r="C738" s="27" t="s">
        <v>302</v>
      </c>
      <c r="D738" s="27" t="s">
        <v>291</v>
      </c>
      <c r="E738" s="27" t="s">
        <v>1681</v>
      </c>
      <c r="F738" s="51">
        <v>4129</v>
      </c>
      <c r="G738" s="27"/>
    </row>
    <row r="739" spans="1:7">
      <c r="A739" s="27">
        <v>19</v>
      </c>
      <c r="B739" s="27" t="s">
        <v>342</v>
      </c>
      <c r="C739" s="27" t="s">
        <v>302</v>
      </c>
      <c r="D739" s="27" t="s">
        <v>399</v>
      </c>
      <c r="E739" s="27" t="s">
        <v>1681</v>
      </c>
      <c r="F739" s="51">
        <v>5816609</v>
      </c>
      <c r="G739" s="27"/>
    </row>
    <row r="740" spans="1:7">
      <c r="A740" s="27">
        <v>19</v>
      </c>
      <c r="B740" s="27" t="s">
        <v>342</v>
      </c>
      <c r="C740" s="27" t="s">
        <v>302</v>
      </c>
      <c r="D740" s="27" t="s">
        <v>296</v>
      </c>
      <c r="E740" s="27" t="s">
        <v>1681</v>
      </c>
      <c r="F740" s="51">
        <v>958082</v>
      </c>
      <c r="G740" s="27"/>
    </row>
    <row r="741" spans="1:7">
      <c r="A741" s="27">
        <v>19</v>
      </c>
      <c r="B741" s="27" t="s">
        <v>342</v>
      </c>
      <c r="C741" s="27" t="s">
        <v>302</v>
      </c>
      <c r="D741" s="27" t="s">
        <v>400</v>
      </c>
      <c r="E741" s="27" t="s">
        <v>1681</v>
      </c>
      <c r="F741" s="51">
        <v>36900</v>
      </c>
      <c r="G741" s="27"/>
    </row>
    <row r="742" spans="1:7">
      <c r="A742" s="27">
        <v>19</v>
      </c>
      <c r="B742" s="27" t="s">
        <v>342</v>
      </c>
      <c r="C742" s="27" t="s">
        <v>302</v>
      </c>
      <c r="D742" s="27" t="s">
        <v>298</v>
      </c>
      <c r="E742" s="27" t="s">
        <v>1681</v>
      </c>
      <c r="F742" s="51">
        <v>186570</v>
      </c>
      <c r="G742" s="27"/>
    </row>
    <row r="743" spans="1:7">
      <c r="A743" s="27">
        <v>19</v>
      </c>
      <c r="B743" s="27" t="s">
        <v>342</v>
      </c>
      <c r="C743" s="27" t="s">
        <v>302</v>
      </c>
      <c r="D743" s="27" t="s">
        <v>401</v>
      </c>
      <c r="E743" s="27" t="s">
        <v>1681</v>
      </c>
      <c r="F743" s="51">
        <v>25497</v>
      </c>
      <c r="G743" s="27"/>
    </row>
    <row r="744" spans="1:7">
      <c r="A744" s="27">
        <v>19</v>
      </c>
      <c r="B744" s="27" t="s">
        <v>342</v>
      </c>
      <c r="C744" s="27" t="s">
        <v>302</v>
      </c>
      <c r="D744" s="27" t="s">
        <v>402</v>
      </c>
      <c r="E744" s="27" t="s">
        <v>1681</v>
      </c>
      <c r="F744" s="51">
        <v>243539</v>
      </c>
      <c r="G744" s="27"/>
    </row>
    <row r="745" spans="1:7">
      <c r="A745" s="27">
        <v>20</v>
      </c>
      <c r="B745" s="27" t="s">
        <v>343</v>
      </c>
      <c r="C745" s="27" t="s">
        <v>393</v>
      </c>
      <c r="D745" s="27" t="s">
        <v>399</v>
      </c>
      <c r="E745" s="27" t="s">
        <v>1681</v>
      </c>
      <c r="F745" s="51">
        <v>3355158</v>
      </c>
      <c r="G745" s="27"/>
    </row>
    <row r="746" spans="1:7">
      <c r="A746" s="27">
        <v>21</v>
      </c>
      <c r="B746" s="27" t="s">
        <v>344</v>
      </c>
      <c r="C746" s="27" t="s">
        <v>302</v>
      </c>
      <c r="D746" s="27" t="s">
        <v>408</v>
      </c>
      <c r="E746" s="27" t="s">
        <v>1682</v>
      </c>
      <c r="F746" s="51">
        <v>10505</v>
      </c>
      <c r="G746" s="27"/>
    </row>
    <row r="747" spans="1:7">
      <c r="A747" s="27">
        <v>21</v>
      </c>
      <c r="B747" s="27" t="s">
        <v>344</v>
      </c>
      <c r="C747" s="27" t="s">
        <v>302</v>
      </c>
      <c r="D747" s="27" t="s">
        <v>398</v>
      </c>
      <c r="E747" s="27" t="s">
        <v>1682</v>
      </c>
      <c r="F747" s="51">
        <v>460</v>
      </c>
      <c r="G747" s="27"/>
    </row>
    <row r="748" spans="1:7">
      <c r="A748" s="27">
        <v>21</v>
      </c>
      <c r="B748" s="27" t="s">
        <v>344</v>
      </c>
      <c r="C748" s="27" t="s">
        <v>302</v>
      </c>
      <c r="D748" s="27" t="s">
        <v>415</v>
      </c>
      <c r="E748" s="27" t="s">
        <v>1682</v>
      </c>
      <c r="F748" s="51">
        <v>415</v>
      </c>
      <c r="G748" s="27"/>
    </row>
    <row r="749" spans="1:7">
      <c r="A749" s="27">
        <v>21</v>
      </c>
      <c r="B749" s="27" t="s">
        <v>344</v>
      </c>
      <c r="C749" s="27" t="s">
        <v>302</v>
      </c>
      <c r="D749" s="27" t="s">
        <v>334</v>
      </c>
      <c r="E749" s="27" t="s">
        <v>1682</v>
      </c>
      <c r="F749" s="51">
        <v>1435</v>
      </c>
      <c r="G749" s="27"/>
    </row>
    <row r="750" spans="1:7">
      <c r="A750" s="27">
        <v>21</v>
      </c>
      <c r="B750" s="27" t="s">
        <v>344</v>
      </c>
      <c r="C750" s="27" t="s">
        <v>302</v>
      </c>
      <c r="D750" s="27" t="s">
        <v>399</v>
      </c>
      <c r="E750" s="27" t="s">
        <v>1681</v>
      </c>
      <c r="F750" s="51">
        <v>184083</v>
      </c>
      <c r="G750" s="27"/>
    </row>
    <row r="751" spans="1:7">
      <c r="A751" s="27">
        <v>21</v>
      </c>
      <c r="B751" s="27" t="s">
        <v>344</v>
      </c>
      <c r="C751" s="27" t="s">
        <v>302</v>
      </c>
      <c r="D751" s="27" t="s">
        <v>296</v>
      </c>
      <c r="E751" s="27" t="s">
        <v>1681</v>
      </c>
      <c r="F751" s="51">
        <v>43587</v>
      </c>
      <c r="G751" s="27"/>
    </row>
    <row r="752" spans="1:7">
      <c r="A752" s="27">
        <v>21</v>
      </c>
      <c r="B752" s="27" t="s">
        <v>344</v>
      </c>
      <c r="C752" s="27" t="s">
        <v>302</v>
      </c>
      <c r="D752" s="27" t="s">
        <v>400</v>
      </c>
      <c r="E752" s="27" t="s">
        <v>1681</v>
      </c>
      <c r="F752" s="51">
        <v>97362</v>
      </c>
      <c r="G752" s="27"/>
    </row>
    <row r="753" spans="1:7">
      <c r="A753" s="27">
        <v>21</v>
      </c>
      <c r="B753" s="27" t="s">
        <v>344</v>
      </c>
      <c r="C753" s="27" t="s">
        <v>302</v>
      </c>
      <c r="D753" s="27" t="s">
        <v>401</v>
      </c>
      <c r="E753" s="27" t="s">
        <v>1681</v>
      </c>
      <c r="F753" s="51">
        <v>15000</v>
      </c>
      <c r="G753" s="27"/>
    </row>
    <row r="754" spans="1:7">
      <c r="A754" s="27">
        <v>21</v>
      </c>
      <c r="B754" s="27" t="s">
        <v>344</v>
      </c>
      <c r="C754" s="27" t="s">
        <v>302</v>
      </c>
      <c r="D754" s="27" t="s">
        <v>402</v>
      </c>
      <c r="E754" s="27" t="s">
        <v>1681</v>
      </c>
      <c r="F754" s="51">
        <v>10732</v>
      </c>
      <c r="G754" s="27"/>
    </row>
    <row r="755" spans="1:7">
      <c r="A755" s="27">
        <v>21</v>
      </c>
      <c r="B755" s="27" t="s">
        <v>344</v>
      </c>
      <c r="C755" s="27" t="s">
        <v>302</v>
      </c>
      <c r="D755" s="27" t="s">
        <v>300</v>
      </c>
      <c r="E755" s="27" t="s">
        <v>1681</v>
      </c>
      <c r="F755" s="51">
        <v>26800</v>
      </c>
      <c r="G755" s="27"/>
    </row>
    <row r="756" spans="1:7">
      <c r="A756" s="27">
        <v>22</v>
      </c>
      <c r="B756" s="27" t="s">
        <v>345</v>
      </c>
      <c r="C756" s="27" t="s">
        <v>346</v>
      </c>
      <c r="D756" s="27" t="s">
        <v>408</v>
      </c>
      <c r="E756" s="27" t="s">
        <v>1682</v>
      </c>
      <c r="F756" s="51">
        <v>27733</v>
      </c>
      <c r="G756" s="27"/>
    </row>
    <row r="757" spans="1:7">
      <c r="A757" s="27">
        <v>22</v>
      </c>
      <c r="B757" s="27" t="s">
        <v>345</v>
      </c>
      <c r="C757" s="27" t="s">
        <v>346</v>
      </c>
      <c r="D757" s="27" t="s">
        <v>394</v>
      </c>
      <c r="E757" s="27" t="s">
        <v>1682</v>
      </c>
      <c r="F757" s="51">
        <v>93679</v>
      </c>
      <c r="G757" s="27"/>
    </row>
    <row r="758" spans="1:7">
      <c r="A758" s="27">
        <v>22</v>
      </c>
      <c r="B758" s="27" t="s">
        <v>345</v>
      </c>
      <c r="C758" s="27" t="s">
        <v>346</v>
      </c>
      <c r="D758" s="27" t="s">
        <v>397</v>
      </c>
      <c r="E758" s="27" t="s">
        <v>1682</v>
      </c>
      <c r="F758" s="51">
        <v>101142</v>
      </c>
      <c r="G758" s="27"/>
    </row>
    <row r="759" spans="1:7">
      <c r="A759" s="27">
        <v>22</v>
      </c>
      <c r="B759" s="27" t="s">
        <v>345</v>
      </c>
      <c r="C759" s="27" t="s">
        <v>346</v>
      </c>
      <c r="D759" s="27" t="s">
        <v>411</v>
      </c>
      <c r="E759" s="27" t="s">
        <v>1682</v>
      </c>
      <c r="F759" s="51">
        <v>319</v>
      </c>
      <c r="G759" s="27"/>
    </row>
    <row r="760" spans="1:7">
      <c r="A760" s="27">
        <v>22</v>
      </c>
      <c r="B760" s="27" t="s">
        <v>345</v>
      </c>
      <c r="C760" s="27" t="s">
        <v>346</v>
      </c>
      <c r="D760" s="27" t="s">
        <v>412</v>
      </c>
      <c r="E760" s="27" t="s">
        <v>1682</v>
      </c>
      <c r="F760" s="51">
        <v>7600</v>
      </c>
      <c r="G760" s="27"/>
    </row>
    <row r="761" spans="1:7">
      <c r="A761" s="27">
        <v>22</v>
      </c>
      <c r="B761" s="27" t="s">
        <v>345</v>
      </c>
      <c r="C761" s="27" t="s">
        <v>346</v>
      </c>
      <c r="D761" s="27" t="s">
        <v>398</v>
      </c>
      <c r="E761" s="27" t="s">
        <v>1682</v>
      </c>
      <c r="F761" s="51">
        <v>1200</v>
      </c>
      <c r="G761" s="27"/>
    </row>
    <row r="762" spans="1:7">
      <c r="A762" s="27">
        <v>22</v>
      </c>
      <c r="B762" s="27" t="s">
        <v>345</v>
      </c>
      <c r="C762" s="27" t="s">
        <v>346</v>
      </c>
      <c r="D762" s="27" t="s">
        <v>415</v>
      </c>
      <c r="E762" s="27" t="s">
        <v>1682</v>
      </c>
      <c r="F762" s="51">
        <v>400</v>
      </c>
      <c r="G762" s="27"/>
    </row>
    <row r="763" spans="1:7">
      <c r="A763" s="27">
        <v>22</v>
      </c>
      <c r="B763" s="27" t="s">
        <v>345</v>
      </c>
      <c r="C763" s="27" t="s">
        <v>346</v>
      </c>
      <c r="D763" s="27" t="s">
        <v>291</v>
      </c>
      <c r="E763" s="27" t="s">
        <v>1681</v>
      </c>
      <c r="F763" s="51">
        <v>3187</v>
      </c>
      <c r="G763" s="27"/>
    </row>
    <row r="764" spans="1:7">
      <c r="A764" s="27">
        <v>22</v>
      </c>
      <c r="B764" s="27" t="s">
        <v>345</v>
      </c>
      <c r="C764" s="27" t="s">
        <v>346</v>
      </c>
      <c r="D764" s="27" t="s">
        <v>399</v>
      </c>
      <c r="E764" s="27" t="s">
        <v>1681</v>
      </c>
      <c r="F764" s="51">
        <v>4201906</v>
      </c>
      <c r="G764" s="27"/>
    </row>
    <row r="765" spans="1:7">
      <c r="A765" s="27">
        <v>22</v>
      </c>
      <c r="B765" s="27" t="s">
        <v>345</v>
      </c>
      <c r="C765" s="27" t="s">
        <v>346</v>
      </c>
      <c r="D765" s="27" t="s">
        <v>303</v>
      </c>
      <c r="E765" s="27" t="s">
        <v>1681</v>
      </c>
      <c r="F765" s="51">
        <v>17451</v>
      </c>
      <c r="G765" s="27"/>
    </row>
    <row r="766" spans="1:7">
      <c r="A766" s="27">
        <v>22</v>
      </c>
      <c r="B766" s="27" t="s">
        <v>345</v>
      </c>
      <c r="C766" s="27" t="s">
        <v>346</v>
      </c>
      <c r="D766" s="27" t="s">
        <v>296</v>
      </c>
      <c r="E766" s="27" t="s">
        <v>1681</v>
      </c>
      <c r="F766" s="51">
        <v>531353</v>
      </c>
      <c r="G766" s="27"/>
    </row>
    <row r="767" spans="1:7">
      <c r="A767" s="27">
        <v>22</v>
      </c>
      <c r="B767" s="27" t="s">
        <v>345</v>
      </c>
      <c r="C767" s="27" t="s">
        <v>346</v>
      </c>
      <c r="D767" s="27" t="s">
        <v>400</v>
      </c>
      <c r="E767" s="27" t="s">
        <v>1681</v>
      </c>
      <c r="F767" s="51">
        <v>29169</v>
      </c>
      <c r="G767" s="27"/>
    </row>
    <row r="768" spans="1:7">
      <c r="A768" s="27">
        <v>22</v>
      </c>
      <c r="B768" s="27" t="s">
        <v>345</v>
      </c>
      <c r="C768" s="27" t="s">
        <v>346</v>
      </c>
      <c r="D768" s="27" t="s">
        <v>298</v>
      </c>
      <c r="E768" s="27" t="s">
        <v>1681</v>
      </c>
      <c r="F768" s="51">
        <v>49990</v>
      </c>
      <c r="G768" s="27"/>
    </row>
    <row r="769" spans="1:7">
      <c r="A769" s="27">
        <v>22</v>
      </c>
      <c r="B769" s="27" t="s">
        <v>345</v>
      </c>
      <c r="C769" s="27" t="s">
        <v>346</v>
      </c>
      <c r="D769" s="27" t="s">
        <v>401</v>
      </c>
      <c r="E769" s="27" t="s">
        <v>1681</v>
      </c>
      <c r="F769" s="51">
        <v>22519</v>
      </c>
      <c r="G769" s="27"/>
    </row>
    <row r="770" spans="1:7">
      <c r="A770" s="27">
        <v>22</v>
      </c>
      <c r="B770" s="27" t="s">
        <v>345</v>
      </c>
      <c r="C770" s="27" t="s">
        <v>346</v>
      </c>
      <c r="D770" s="27" t="s">
        <v>402</v>
      </c>
      <c r="E770" s="27" t="s">
        <v>1681</v>
      </c>
      <c r="F770" s="51">
        <v>228128</v>
      </c>
      <c r="G770" s="27"/>
    </row>
    <row r="771" spans="1:7">
      <c r="A771" s="27">
        <v>23</v>
      </c>
      <c r="B771" s="27" t="s">
        <v>347</v>
      </c>
      <c r="C771" s="27" t="s">
        <v>393</v>
      </c>
      <c r="D771" s="27" t="s">
        <v>408</v>
      </c>
      <c r="E771" s="27" t="s">
        <v>1682</v>
      </c>
      <c r="F771" s="51">
        <v>31241</v>
      </c>
      <c r="G771" s="27"/>
    </row>
    <row r="772" spans="1:7">
      <c r="A772" s="27">
        <v>23</v>
      </c>
      <c r="B772" s="27" t="s">
        <v>347</v>
      </c>
      <c r="C772" s="27" t="s">
        <v>393</v>
      </c>
      <c r="D772" s="27" t="s">
        <v>394</v>
      </c>
      <c r="E772" s="27" t="s">
        <v>1682</v>
      </c>
      <c r="F772" s="51">
        <v>141350</v>
      </c>
      <c r="G772" s="27"/>
    </row>
    <row r="773" spans="1:7">
      <c r="A773" s="27">
        <v>23</v>
      </c>
      <c r="B773" s="27" t="s">
        <v>347</v>
      </c>
      <c r="C773" s="27" t="s">
        <v>393</v>
      </c>
      <c r="D773" s="27" t="s">
        <v>397</v>
      </c>
      <c r="E773" s="27" t="s">
        <v>1682</v>
      </c>
      <c r="F773" s="51">
        <v>92212</v>
      </c>
      <c r="G773" s="27"/>
    </row>
    <row r="774" spans="1:7">
      <c r="A774" s="27">
        <v>23</v>
      </c>
      <c r="B774" s="27" t="s">
        <v>347</v>
      </c>
      <c r="C774" s="27" t="s">
        <v>393</v>
      </c>
      <c r="D774" s="27" t="s">
        <v>411</v>
      </c>
      <c r="E774" s="27" t="s">
        <v>1682</v>
      </c>
      <c r="F774" s="51">
        <v>14389</v>
      </c>
      <c r="G774" s="27"/>
    </row>
    <row r="775" spans="1:7">
      <c r="A775" s="27">
        <v>23</v>
      </c>
      <c r="B775" s="27" t="s">
        <v>347</v>
      </c>
      <c r="C775" s="27" t="s">
        <v>393</v>
      </c>
      <c r="D775" s="27" t="s">
        <v>412</v>
      </c>
      <c r="E775" s="27" t="s">
        <v>1682</v>
      </c>
      <c r="F775" s="51">
        <v>35000</v>
      </c>
      <c r="G775" s="27"/>
    </row>
    <row r="776" spans="1:7">
      <c r="A776" s="27">
        <v>23</v>
      </c>
      <c r="B776" s="27" t="s">
        <v>347</v>
      </c>
      <c r="C776" s="27" t="s">
        <v>393</v>
      </c>
      <c r="D776" s="27" t="s">
        <v>398</v>
      </c>
      <c r="E776" s="27" t="s">
        <v>1682</v>
      </c>
      <c r="F776" s="51">
        <v>5406</v>
      </c>
      <c r="G776" s="27"/>
    </row>
    <row r="777" spans="1:7">
      <c r="A777" s="27">
        <v>23</v>
      </c>
      <c r="B777" s="27" t="s">
        <v>347</v>
      </c>
      <c r="C777" s="27" t="s">
        <v>393</v>
      </c>
      <c r="D777" s="27" t="s">
        <v>415</v>
      </c>
      <c r="E777" s="27" t="s">
        <v>1682</v>
      </c>
      <c r="F777" s="51">
        <v>6233</v>
      </c>
      <c r="G777" s="27"/>
    </row>
    <row r="778" spans="1:7">
      <c r="A778" s="27">
        <v>23</v>
      </c>
      <c r="B778" s="27" t="s">
        <v>347</v>
      </c>
      <c r="C778" s="27" t="s">
        <v>393</v>
      </c>
      <c r="D778" s="27" t="s">
        <v>291</v>
      </c>
      <c r="E778" s="27" t="s">
        <v>1681</v>
      </c>
      <c r="F778" s="51">
        <v>3760</v>
      </c>
      <c r="G778" s="27"/>
    </row>
    <row r="779" spans="1:7">
      <c r="A779" s="27">
        <v>23</v>
      </c>
      <c r="B779" s="27" t="s">
        <v>347</v>
      </c>
      <c r="C779" s="27" t="s">
        <v>393</v>
      </c>
      <c r="D779" s="27" t="s">
        <v>399</v>
      </c>
      <c r="E779" s="27" t="s">
        <v>1681</v>
      </c>
      <c r="F779" s="51">
        <v>2452298</v>
      </c>
      <c r="G779" s="27"/>
    </row>
    <row r="780" spans="1:7">
      <c r="A780" s="27">
        <v>23</v>
      </c>
      <c r="B780" s="27" t="s">
        <v>347</v>
      </c>
      <c r="C780" s="27" t="s">
        <v>393</v>
      </c>
      <c r="D780" s="27" t="s">
        <v>307</v>
      </c>
      <c r="E780" s="27" t="s">
        <v>1681</v>
      </c>
      <c r="F780" s="51">
        <v>3600</v>
      </c>
      <c r="G780" s="27"/>
    </row>
    <row r="781" spans="1:7">
      <c r="A781" s="27">
        <v>23</v>
      </c>
      <c r="B781" s="27" t="s">
        <v>347</v>
      </c>
      <c r="C781" s="27" t="s">
        <v>393</v>
      </c>
      <c r="D781" s="27" t="s">
        <v>295</v>
      </c>
      <c r="E781" s="27" t="s">
        <v>1681</v>
      </c>
      <c r="F781" s="51">
        <v>82409</v>
      </c>
      <c r="G781" s="27"/>
    </row>
    <row r="782" spans="1:7">
      <c r="A782" s="27">
        <v>23</v>
      </c>
      <c r="B782" s="27" t="s">
        <v>347</v>
      </c>
      <c r="C782" s="27" t="s">
        <v>393</v>
      </c>
      <c r="D782" s="27" t="s">
        <v>296</v>
      </c>
      <c r="E782" s="27" t="s">
        <v>1681</v>
      </c>
      <c r="F782" s="51">
        <v>435229</v>
      </c>
      <c r="G782" s="27"/>
    </row>
    <row r="783" spans="1:7">
      <c r="A783" s="27">
        <v>23</v>
      </c>
      <c r="B783" s="27" t="s">
        <v>347</v>
      </c>
      <c r="C783" s="27" t="s">
        <v>393</v>
      </c>
      <c r="D783" s="27" t="s">
        <v>400</v>
      </c>
      <c r="E783" s="27" t="s">
        <v>1681</v>
      </c>
      <c r="F783" s="51">
        <v>14445</v>
      </c>
      <c r="G783" s="27"/>
    </row>
    <row r="784" spans="1:7">
      <c r="A784" s="27">
        <v>23</v>
      </c>
      <c r="B784" s="27" t="s">
        <v>347</v>
      </c>
      <c r="C784" s="27" t="s">
        <v>393</v>
      </c>
      <c r="D784" s="27" t="s">
        <v>298</v>
      </c>
      <c r="E784" s="27" t="s">
        <v>1681</v>
      </c>
      <c r="F784" s="51">
        <v>40103</v>
      </c>
      <c r="G784" s="27"/>
    </row>
    <row r="785" spans="1:7">
      <c r="A785" s="27">
        <v>23</v>
      </c>
      <c r="B785" s="27" t="s">
        <v>347</v>
      </c>
      <c r="C785" s="27" t="s">
        <v>393</v>
      </c>
      <c r="D785" s="27" t="s">
        <v>401</v>
      </c>
      <c r="E785" s="27" t="s">
        <v>1681</v>
      </c>
      <c r="F785" s="51">
        <v>29963</v>
      </c>
      <c r="G785" s="27"/>
    </row>
    <row r="786" spans="1:7">
      <c r="A786" s="27">
        <v>23</v>
      </c>
      <c r="B786" s="27" t="s">
        <v>347</v>
      </c>
      <c r="C786" s="27" t="s">
        <v>393</v>
      </c>
      <c r="D786" s="27" t="s">
        <v>402</v>
      </c>
      <c r="E786" s="27" t="s">
        <v>1681</v>
      </c>
      <c r="F786" s="51">
        <v>86807</v>
      </c>
      <c r="G786" s="27"/>
    </row>
    <row r="787" spans="1:7">
      <c r="A787" s="27">
        <v>23</v>
      </c>
      <c r="B787" s="27" t="s">
        <v>347</v>
      </c>
      <c r="C787" s="27" t="s">
        <v>393</v>
      </c>
      <c r="D787" s="27" t="s">
        <v>300</v>
      </c>
      <c r="E787" s="27" t="s">
        <v>1681</v>
      </c>
      <c r="F787" s="51">
        <v>12906</v>
      </c>
      <c r="G787" s="27"/>
    </row>
    <row r="788" spans="1:7">
      <c r="A788" s="27">
        <v>24</v>
      </c>
      <c r="B788" s="27" t="s">
        <v>348</v>
      </c>
      <c r="C788" s="27" t="s">
        <v>302</v>
      </c>
      <c r="D788" s="27" t="s">
        <v>408</v>
      </c>
      <c r="E788" s="27" t="s">
        <v>1682</v>
      </c>
      <c r="F788" s="51">
        <v>15909</v>
      </c>
      <c r="G788" s="27"/>
    </row>
    <row r="789" spans="1:7">
      <c r="A789" s="27">
        <v>24</v>
      </c>
      <c r="B789" s="27" t="s">
        <v>348</v>
      </c>
      <c r="C789" s="27" t="s">
        <v>302</v>
      </c>
      <c r="D789" s="27" t="s">
        <v>397</v>
      </c>
      <c r="E789" s="27" t="s">
        <v>1682</v>
      </c>
      <c r="F789" s="51">
        <v>18822</v>
      </c>
      <c r="G789" s="27"/>
    </row>
    <row r="790" spans="1:7">
      <c r="A790" s="27">
        <v>24</v>
      </c>
      <c r="B790" s="27" t="s">
        <v>348</v>
      </c>
      <c r="C790" s="27" t="s">
        <v>302</v>
      </c>
      <c r="D790" s="27" t="s">
        <v>411</v>
      </c>
      <c r="E790" s="27" t="s">
        <v>1682</v>
      </c>
      <c r="F790" s="51">
        <v>545</v>
      </c>
      <c r="G790" s="27"/>
    </row>
    <row r="791" spans="1:7">
      <c r="A791" s="27">
        <v>24</v>
      </c>
      <c r="B791" s="27" t="s">
        <v>348</v>
      </c>
      <c r="C791" s="27" t="s">
        <v>302</v>
      </c>
      <c r="D791" s="27" t="s">
        <v>398</v>
      </c>
      <c r="E791" s="27" t="s">
        <v>1682</v>
      </c>
      <c r="F791" s="51">
        <v>893</v>
      </c>
      <c r="G791" s="27"/>
    </row>
    <row r="792" spans="1:7">
      <c r="A792" s="27">
        <v>24</v>
      </c>
      <c r="B792" s="27" t="s">
        <v>348</v>
      </c>
      <c r="C792" s="27" t="s">
        <v>302</v>
      </c>
      <c r="D792" s="27" t="s">
        <v>415</v>
      </c>
      <c r="E792" s="27" t="s">
        <v>1682</v>
      </c>
      <c r="F792" s="51">
        <v>1548</v>
      </c>
      <c r="G792" s="27"/>
    </row>
    <row r="793" spans="1:7">
      <c r="A793" s="27">
        <v>24</v>
      </c>
      <c r="B793" s="27" t="s">
        <v>348</v>
      </c>
      <c r="C793" s="27" t="s">
        <v>302</v>
      </c>
      <c r="D793" s="27" t="s">
        <v>291</v>
      </c>
      <c r="E793" s="27" t="s">
        <v>1681</v>
      </c>
      <c r="F793" s="51">
        <v>1367</v>
      </c>
      <c r="G793" s="27"/>
    </row>
    <row r="794" spans="1:7">
      <c r="A794" s="27">
        <v>24</v>
      </c>
      <c r="B794" s="27" t="s">
        <v>348</v>
      </c>
      <c r="C794" s="27" t="s">
        <v>302</v>
      </c>
      <c r="D794" s="27" t="s">
        <v>399</v>
      </c>
      <c r="E794" s="27" t="s">
        <v>1681</v>
      </c>
      <c r="F794" s="51">
        <v>1631226</v>
      </c>
      <c r="G794" s="27"/>
    </row>
    <row r="795" spans="1:7">
      <c r="A795" s="27">
        <v>24</v>
      </c>
      <c r="B795" s="27" t="s">
        <v>348</v>
      </c>
      <c r="C795" s="27" t="s">
        <v>302</v>
      </c>
      <c r="D795" s="27" t="s">
        <v>296</v>
      </c>
      <c r="E795" s="27" t="s">
        <v>1681</v>
      </c>
      <c r="F795" s="51">
        <v>329447</v>
      </c>
      <c r="G795" s="27"/>
    </row>
    <row r="796" spans="1:7">
      <c r="A796" s="27">
        <v>24</v>
      </c>
      <c r="B796" s="27" t="s">
        <v>348</v>
      </c>
      <c r="C796" s="27" t="s">
        <v>302</v>
      </c>
      <c r="D796" s="27" t="s">
        <v>298</v>
      </c>
      <c r="E796" s="27" t="s">
        <v>1681</v>
      </c>
      <c r="F796" s="51">
        <v>43869</v>
      </c>
      <c r="G796" s="27"/>
    </row>
    <row r="797" spans="1:7">
      <c r="A797" s="27">
        <v>24</v>
      </c>
      <c r="B797" s="27" t="s">
        <v>348</v>
      </c>
      <c r="C797" s="27" t="s">
        <v>302</v>
      </c>
      <c r="D797" s="27" t="s">
        <v>401</v>
      </c>
      <c r="E797" s="27" t="s">
        <v>1681</v>
      </c>
      <c r="F797" s="51">
        <v>30129</v>
      </c>
      <c r="G797" s="27"/>
    </row>
    <row r="798" spans="1:7">
      <c r="A798" s="27">
        <v>24</v>
      </c>
      <c r="B798" s="27" t="s">
        <v>348</v>
      </c>
      <c r="C798" s="27" t="s">
        <v>302</v>
      </c>
      <c r="D798" s="27" t="s">
        <v>402</v>
      </c>
      <c r="E798" s="27" t="s">
        <v>1681</v>
      </c>
      <c r="F798" s="51">
        <v>55645</v>
      </c>
      <c r="G798" s="27"/>
    </row>
    <row r="799" spans="1:7">
      <c r="A799" s="27">
        <v>25</v>
      </c>
      <c r="B799" s="27" t="s">
        <v>349</v>
      </c>
      <c r="C799" s="27" t="s">
        <v>306</v>
      </c>
      <c r="D799" s="27" t="s">
        <v>406</v>
      </c>
      <c r="E799" s="27" t="s">
        <v>1682</v>
      </c>
      <c r="F799" s="51">
        <v>26541</v>
      </c>
      <c r="G799" s="27"/>
    </row>
    <row r="800" spans="1:7">
      <c r="A800" s="27">
        <v>25</v>
      </c>
      <c r="B800" s="27" t="s">
        <v>349</v>
      </c>
      <c r="C800" s="27" t="s">
        <v>306</v>
      </c>
      <c r="D800" s="27" t="s">
        <v>408</v>
      </c>
      <c r="E800" s="27" t="s">
        <v>1682</v>
      </c>
      <c r="F800" s="51">
        <v>100897</v>
      </c>
      <c r="G800" s="27"/>
    </row>
    <row r="801" spans="1:7">
      <c r="A801" s="27">
        <v>25</v>
      </c>
      <c r="B801" s="27" t="s">
        <v>349</v>
      </c>
      <c r="C801" s="27" t="s">
        <v>306</v>
      </c>
      <c r="D801" s="27" t="s">
        <v>394</v>
      </c>
      <c r="E801" s="27" t="s">
        <v>1682</v>
      </c>
      <c r="F801" s="51">
        <v>556552</v>
      </c>
      <c r="G801" s="27"/>
    </row>
    <row r="802" spans="1:7">
      <c r="A802" s="27">
        <v>25</v>
      </c>
      <c r="B802" s="27" t="s">
        <v>349</v>
      </c>
      <c r="C802" s="27" t="s">
        <v>306</v>
      </c>
      <c r="D802" s="27" t="s">
        <v>333</v>
      </c>
      <c r="E802" s="27" t="s">
        <v>1682</v>
      </c>
      <c r="F802" s="51">
        <v>13034</v>
      </c>
      <c r="G802" s="27"/>
    </row>
    <row r="803" spans="1:7">
      <c r="A803" s="27">
        <v>25</v>
      </c>
      <c r="B803" s="27" t="s">
        <v>349</v>
      </c>
      <c r="C803" s="27" t="s">
        <v>306</v>
      </c>
      <c r="D803" s="27" t="s">
        <v>412</v>
      </c>
      <c r="E803" s="27" t="s">
        <v>1682</v>
      </c>
      <c r="F803" s="51">
        <v>41855</v>
      </c>
      <c r="G803" s="27"/>
    </row>
    <row r="804" spans="1:7">
      <c r="A804" s="27">
        <v>25</v>
      </c>
      <c r="B804" s="27" t="s">
        <v>349</v>
      </c>
      <c r="C804" s="27" t="s">
        <v>306</v>
      </c>
      <c r="D804" s="27" t="s">
        <v>398</v>
      </c>
      <c r="E804" s="27" t="s">
        <v>1682</v>
      </c>
      <c r="F804" s="51">
        <v>19259</v>
      </c>
      <c r="G804" s="27"/>
    </row>
    <row r="805" spans="1:7">
      <c r="A805" s="27">
        <v>25</v>
      </c>
      <c r="B805" s="27" t="s">
        <v>349</v>
      </c>
      <c r="C805" s="27" t="s">
        <v>306</v>
      </c>
      <c r="D805" s="27" t="s">
        <v>415</v>
      </c>
      <c r="E805" s="27" t="s">
        <v>1682</v>
      </c>
      <c r="F805" s="51">
        <v>20355</v>
      </c>
      <c r="G805" s="27"/>
    </row>
    <row r="806" spans="1:7">
      <c r="A806" s="27">
        <v>25</v>
      </c>
      <c r="B806" s="27" t="s">
        <v>349</v>
      </c>
      <c r="C806" s="27" t="s">
        <v>306</v>
      </c>
      <c r="D806" s="27" t="s">
        <v>334</v>
      </c>
      <c r="E806" s="27" t="s">
        <v>1682</v>
      </c>
      <c r="F806" s="51">
        <v>3750</v>
      </c>
      <c r="G806" s="27"/>
    </row>
    <row r="807" spans="1:7">
      <c r="A807" s="27">
        <v>25</v>
      </c>
      <c r="B807" s="27" t="s">
        <v>349</v>
      </c>
      <c r="C807" s="27" t="s">
        <v>306</v>
      </c>
      <c r="D807" s="27" t="s">
        <v>291</v>
      </c>
      <c r="E807" s="27" t="s">
        <v>1681</v>
      </c>
      <c r="F807" s="51">
        <v>18011</v>
      </c>
      <c r="G807" s="27"/>
    </row>
    <row r="808" spans="1:7">
      <c r="A808" s="27">
        <v>25</v>
      </c>
      <c r="B808" s="27" t="s">
        <v>349</v>
      </c>
      <c r="C808" s="27" t="s">
        <v>306</v>
      </c>
      <c r="D808" s="27" t="s">
        <v>399</v>
      </c>
      <c r="E808" s="27" t="s">
        <v>1681</v>
      </c>
      <c r="F808" s="51">
        <v>7346279</v>
      </c>
      <c r="G808" s="27"/>
    </row>
    <row r="809" spans="1:7">
      <c r="A809" s="27">
        <v>25</v>
      </c>
      <c r="B809" s="27" t="s">
        <v>349</v>
      </c>
      <c r="C809" s="27" t="s">
        <v>306</v>
      </c>
      <c r="D809" s="27" t="s">
        <v>307</v>
      </c>
      <c r="E809" s="27" t="s">
        <v>1681</v>
      </c>
      <c r="F809" s="51">
        <v>9600</v>
      </c>
      <c r="G809" s="27"/>
    </row>
    <row r="810" spans="1:7">
      <c r="A810" s="27">
        <v>25</v>
      </c>
      <c r="B810" s="27" t="s">
        <v>349</v>
      </c>
      <c r="C810" s="27" t="s">
        <v>306</v>
      </c>
      <c r="D810" s="27" t="s">
        <v>294</v>
      </c>
      <c r="E810" s="27" t="s">
        <v>1681</v>
      </c>
      <c r="F810" s="51">
        <v>14511</v>
      </c>
      <c r="G810" s="27"/>
    </row>
    <row r="811" spans="1:7">
      <c r="A811" s="27">
        <v>25</v>
      </c>
      <c r="B811" s="27" t="s">
        <v>349</v>
      </c>
      <c r="C811" s="27" t="s">
        <v>306</v>
      </c>
      <c r="D811" s="27" t="s">
        <v>295</v>
      </c>
      <c r="E811" s="27" t="s">
        <v>1681</v>
      </c>
      <c r="F811" s="51">
        <v>56771</v>
      </c>
      <c r="G811" s="27"/>
    </row>
    <row r="812" spans="1:7">
      <c r="A812" s="27">
        <v>25</v>
      </c>
      <c r="B812" s="27" t="s">
        <v>349</v>
      </c>
      <c r="C812" s="27" t="s">
        <v>306</v>
      </c>
      <c r="D812" s="27" t="s">
        <v>303</v>
      </c>
      <c r="E812" s="27" t="s">
        <v>1681</v>
      </c>
      <c r="F812" s="51">
        <v>17451</v>
      </c>
      <c r="G812" s="27"/>
    </row>
    <row r="813" spans="1:7">
      <c r="A813" s="27">
        <v>25</v>
      </c>
      <c r="B813" s="27" t="s">
        <v>349</v>
      </c>
      <c r="C813" s="27" t="s">
        <v>306</v>
      </c>
      <c r="D813" s="27" t="s">
        <v>296</v>
      </c>
      <c r="E813" s="27" t="s">
        <v>1681</v>
      </c>
      <c r="F813" s="51">
        <v>1204668</v>
      </c>
      <c r="G813" s="27"/>
    </row>
    <row r="814" spans="1:7">
      <c r="A814" s="27">
        <v>25</v>
      </c>
      <c r="B814" s="27" t="s">
        <v>349</v>
      </c>
      <c r="C814" s="27" t="s">
        <v>306</v>
      </c>
      <c r="D814" s="27" t="s">
        <v>400</v>
      </c>
      <c r="E814" s="27" t="s">
        <v>1681</v>
      </c>
      <c r="F814" s="51">
        <v>191507</v>
      </c>
      <c r="G814" s="27"/>
    </row>
    <row r="815" spans="1:7">
      <c r="A815" s="27">
        <v>25</v>
      </c>
      <c r="B815" s="27" t="s">
        <v>349</v>
      </c>
      <c r="C815" s="27" t="s">
        <v>306</v>
      </c>
      <c r="D815" s="27" t="s">
        <v>298</v>
      </c>
      <c r="E815" s="27" t="s">
        <v>1681</v>
      </c>
      <c r="F815" s="51">
        <v>33181</v>
      </c>
      <c r="G815" s="27"/>
    </row>
    <row r="816" spans="1:7">
      <c r="A816" s="27">
        <v>25</v>
      </c>
      <c r="B816" s="27" t="s">
        <v>349</v>
      </c>
      <c r="C816" s="27" t="s">
        <v>306</v>
      </c>
      <c r="D816" s="27" t="s">
        <v>401</v>
      </c>
      <c r="E816" s="27" t="s">
        <v>1681</v>
      </c>
      <c r="F816" s="51">
        <v>29868</v>
      </c>
      <c r="G816" s="27"/>
    </row>
    <row r="817" spans="1:7">
      <c r="A817" s="27">
        <v>25</v>
      </c>
      <c r="B817" s="27" t="s">
        <v>349</v>
      </c>
      <c r="C817" s="27" t="s">
        <v>306</v>
      </c>
      <c r="D817" s="27" t="s">
        <v>402</v>
      </c>
      <c r="E817" s="27" t="s">
        <v>1681</v>
      </c>
      <c r="F817" s="51">
        <v>198440</v>
      </c>
      <c r="G817" s="27"/>
    </row>
    <row r="818" spans="1:7">
      <c r="A818" s="27">
        <v>25</v>
      </c>
      <c r="B818" s="27" t="s">
        <v>349</v>
      </c>
      <c r="C818" s="27" t="s">
        <v>306</v>
      </c>
      <c r="D818" s="27" t="s">
        <v>299</v>
      </c>
      <c r="E818" s="27" t="s">
        <v>1681</v>
      </c>
      <c r="F818" s="51">
        <v>22185</v>
      </c>
      <c r="G818" s="27"/>
    </row>
    <row r="819" spans="1:7">
      <c r="A819" s="27">
        <v>25</v>
      </c>
      <c r="B819" s="27" t="s">
        <v>349</v>
      </c>
      <c r="C819" s="27" t="s">
        <v>306</v>
      </c>
      <c r="D819" s="27" t="s">
        <v>300</v>
      </c>
      <c r="E819" s="27" t="s">
        <v>1681</v>
      </c>
      <c r="F819" s="51">
        <v>17464</v>
      </c>
      <c r="G819" s="27"/>
    </row>
    <row r="820" spans="1:7">
      <c r="A820" s="27">
        <v>26</v>
      </c>
      <c r="B820" s="27" t="s">
        <v>350</v>
      </c>
      <c r="C820" s="27" t="s">
        <v>302</v>
      </c>
      <c r="D820" s="27" t="s">
        <v>408</v>
      </c>
      <c r="E820" s="27" t="s">
        <v>1682</v>
      </c>
      <c r="F820" s="51">
        <v>6586</v>
      </c>
      <c r="G820" s="27"/>
    </row>
    <row r="821" spans="1:7">
      <c r="A821" s="27">
        <v>26</v>
      </c>
      <c r="B821" s="27" t="s">
        <v>350</v>
      </c>
      <c r="C821" s="27" t="s">
        <v>302</v>
      </c>
      <c r="D821" s="27" t="s">
        <v>397</v>
      </c>
      <c r="E821" s="27" t="s">
        <v>1682</v>
      </c>
      <c r="F821" s="51">
        <v>16329</v>
      </c>
      <c r="G821" s="27"/>
    </row>
    <row r="822" spans="1:7">
      <c r="A822" s="27">
        <v>26</v>
      </c>
      <c r="B822" s="27" t="s">
        <v>350</v>
      </c>
      <c r="C822" s="27" t="s">
        <v>302</v>
      </c>
      <c r="D822" s="27" t="s">
        <v>399</v>
      </c>
      <c r="E822" s="27" t="s">
        <v>1681</v>
      </c>
      <c r="F822" s="51">
        <v>569311</v>
      </c>
      <c r="G822" s="27"/>
    </row>
    <row r="823" spans="1:7">
      <c r="A823" s="27">
        <v>26</v>
      </c>
      <c r="B823" s="27" t="s">
        <v>350</v>
      </c>
      <c r="C823" s="27" t="s">
        <v>302</v>
      </c>
      <c r="D823" s="27" t="s">
        <v>295</v>
      </c>
      <c r="E823" s="27" t="s">
        <v>1681</v>
      </c>
      <c r="F823" s="51">
        <v>10000</v>
      </c>
      <c r="G823" s="27"/>
    </row>
    <row r="824" spans="1:7">
      <c r="A824" s="27">
        <v>26</v>
      </c>
      <c r="B824" s="27" t="s">
        <v>350</v>
      </c>
      <c r="C824" s="27" t="s">
        <v>302</v>
      </c>
      <c r="D824" s="27" t="s">
        <v>296</v>
      </c>
      <c r="E824" s="27" t="s">
        <v>1681</v>
      </c>
      <c r="F824" s="51">
        <v>119533</v>
      </c>
      <c r="G824" s="27"/>
    </row>
    <row r="825" spans="1:7">
      <c r="A825" s="27">
        <v>26</v>
      </c>
      <c r="B825" s="27" t="s">
        <v>350</v>
      </c>
      <c r="C825" s="27" t="s">
        <v>302</v>
      </c>
      <c r="D825" s="27" t="s">
        <v>400</v>
      </c>
      <c r="E825" s="27" t="s">
        <v>1681</v>
      </c>
      <c r="F825" s="51">
        <v>34982</v>
      </c>
      <c r="G825" s="27"/>
    </row>
    <row r="826" spans="1:7">
      <c r="A826" s="27">
        <v>26</v>
      </c>
      <c r="B826" s="27" t="s">
        <v>350</v>
      </c>
      <c r="C826" s="27" t="s">
        <v>302</v>
      </c>
      <c r="D826" s="27" t="s">
        <v>401</v>
      </c>
      <c r="E826" s="27" t="s">
        <v>1681</v>
      </c>
      <c r="F826" s="51">
        <v>15000</v>
      </c>
      <c r="G826" s="27"/>
    </row>
    <row r="827" spans="1:7">
      <c r="A827" s="27">
        <v>26</v>
      </c>
      <c r="B827" s="27" t="s">
        <v>350</v>
      </c>
      <c r="C827" s="27" t="s">
        <v>302</v>
      </c>
      <c r="D827" s="27" t="s">
        <v>402</v>
      </c>
      <c r="E827" s="27" t="s">
        <v>1681</v>
      </c>
      <c r="F827" s="51">
        <v>10363</v>
      </c>
      <c r="G827" s="27"/>
    </row>
    <row r="828" spans="1:7">
      <c r="A828" s="27">
        <v>27</v>
      </c>
      <c r="B828" s="27" t="s">
        <v>351</v>
      </c>
      <c r="C828" s="27" t="s">
        <v>311</v>
      </c>
      <c r="D828" s="27" t="s">
        <v>406</v>
      </c>
      <c r="E828" s="27" t="s">
        <v>1682</v>
      </c>
      <c r="F828" s="51">
        <v>5150</v>
      </c>
      <c r="G828" s="27"/>
    </row>
    <row r="829" spans="1:7">
      <c r="A829" s="27">
        <v>27</v>
      </c>
      <c r="B829" s="27" t="s">
        <v>351</v>
      </c>
      <c r="C829" s="27" t="s">
        <v>311</v>
      </c>
      <c r="D829" s="27" t="s">
        <v>408</v>
      </c>
      <c r="E829" s="27" t="s">
        <v>1682</v>
      </c>
      <c r="F829" s="51">
        <v>44450</v>
      </c>
      <c r="G829" s="27"/>
    </row>
    <row r="830" spans="1:7">
      <c r="A830" s="27">
        <v>27</v>
      </c>
      <c r="B830" s="27" t="s">
        <v>351</v>
      </c>
      <c r="C830" s="27" t="s">
        <v>311</v>
      </c>
      <c r="D830" s="27" t="s">
        <v>394</v>
      </c>
      <c r="E830" s="27" t="s">
        <v>1682</v>
      </c>
      <c r="F830" s="51">
        <v>298904</v>
      </c>
      <c r="G830" s="27"/>
    </row>
    <row r="831" spans="1:7">
      <c r="A831" s="27">
        <v>27</v>
      </c>
      <c r="B831" s="27" t="s">
        <v>351</v>
      </c>
      <c r="C831" s="27" t="s">
        <v>311</v>
      </c>
      <c r="D831" s="27" t="s">
        <v>397</v>
      </c>
      <c r="E831" s="27" t="s">
        <v>1682</v>
      </c>
      <c r="F831" s="51">
        <v>192019</v>
      </c>
      <c r="G831" s="27"/>
    </row>
    <row r="832" spans="1:7">
      <c r="A832" s="27">
        <v>27</v>
      </c>
      <c r="B832" s="27" t="s">
        <v>351</v>
      </c>
      <c r="C832" s="27" t="s">
        <v>311</v>
      </c>
      <c r="D832" s="27" t="s">
        <v>333</v>
      </c>
      <c r="E832" s="27" t="s">
        <v>1682</v>
      </c>
      <c r="F832" s="51">
        <v>6247</v>
      </c>
      <c r="G832" s="27"/>
    </row>
    <row r="833" spans="1:7">
      <c r="A833" s="27">
        <v>27</v>
      </c>
      <c r="B833" s="27" t="s">
        <v>351</v>
      </c>
      <c r="C833" s="27" t="s">
        <v>311</v>
      </c>
      <c r="D833" s="27" t="s">
        <v>411</v>
      </c>
      <c r="E833" s="27" t="s">
        <v>1682</v>
      </c>
      <c r="F833" s="51">
        <v>5589</v>
      </c>
      <c r="G833" s="27"/>
    </row>
    <row r="834" spans="1:7">
      <c r="A834" s="27">
        <v>27</v>
      </c>
      <c r="B834" s="27" t="s">
        <v>351</v>
      </c>
      <c r="C834" s="27" t="s">
        <v>311</v>
      </c>
      <c r="D834" s="27" t="s">
        <v>412</v>
      </c>
      <c r="E834" s="27" t="s">
        <v>1682</v>
      </c>
      <c r="F834" s="51">
        <v>12880</v>
      </c>
      <c r="G834" s="27"/>
    </row>
    <row r="835" spans="1:7">
      <c r="A835" s="27">
        <v>27</v>
      </c>
      <c r="B835" s="27" t="s">
        <v>351</v>
      </c>
      <c r="C835" s="27" t="s">
        <v>311</v>
      </c>
      <c r="D835" s="27" t="s">
        <v>398</v>
      </c>
      <c r="E835" s="27" t="s">
        <v>1682</v>
      </c>
      <c r="F835" s="51">
        <v>8746</v>
      </c>
      <c r="G835" s="27"/>
    </row>
    <row r="836" spans="1:7">
      <c r="A836" s="27">
        <v>27</v>
      </c>
      <c r="B836" s="27" t="s">
        <v>351</v>
      </c>
      <c r="C836" s="27" t="s">
        <v>311</v>
      </c>
      <c r="D836" s="27" t="s">
        <v>415</v>
      </c>
      <c r="E836" s="27" t="s">
        <v>1682</v>
      </c>
      <c r="F836" s="51">
        <v>15580</v>
      </c>
      <c r="G836" s="27"/>
    </row>
    <row r="837" spans="1:7">
      <c r="A837" s="27">
        <v>27</v>
      </c>
      <c r="B837" s="27" t="s">
        <v>351</v>
      </c>
      <c r="C837" s="27" t="s">
        <v>311</v>
      </c>
      <c r="D837" s="27" t="s">
        <v>334</v>
      </c>
      <c r="E837" s="27" t="s">
        <v>1682</v>
      </c>
      <c r="F837" s="51">
        <v>51</v>
      </c>
      <c r="G837" s="27"/>
    </row>
    <row r="838" spans="1:7">
      <c r="A838" s="27">
        <v>27</v>
      </c>
      <c r="B838" s="27" t="s">
        <v>351</v>
      </c>
      <c r="C838" s="27" t="s">
        <v>311</v>
      </c>
      <c r="D838" s="27" t="s">
        <v>291</v>
      </c>
      <c r="E838" s="27" t="s">
        <v>1681</v>
      </c>
      <c r="F838" s="51">
        <v>7971</v>
      </c>
      <c r="G838" s="27"/>
    </row>
    <row r="839" spans="1:7">
      <c r="A839" s="27">
        <v>27</v>
      </c>
      <c r="B839" s="27" t="s">
        <v>351</v>
      </c>
      <c r="C839" s="27" t="s">
        <v>311</v>
      </c>
      <c r="D839" s="27" t="s">
        <v>399</v>
      </c>
      <c r="E839" s="27" t="s">
        <v>1681</v>
      </c>
      <c r="F839" s="51">
        <v>5741066</v>
      </c>
      <c r="G839" s="27"/>
    </row>
    <row r="840" spans="1:7">
      <c r="A840" s="27">
        <v>27</v>
      </c>
      <c r="B840" s="27" t="s">
        <v>351</v>
      </c>
      <c r="C840" s="27" t="s">
        <v>311</v>
      </c>
      <c r="D840" s="27" t="s">
        <v>293</v>
      </c>
      <c r="E840" s="27" t="s">
        <v>1681</v>
      </c>
      <c r="F840" s="51">
        <v>169983</v>
      </c>
      <c r="G840" s="27"/>
    </row>
    <row r="841" spans="1:7">
      <c r="A841" s="27">
        <v>27</v>
      </c>
      <c r="B841" s="27" t="s">
        <v>351</v>
      </c>
      <c r="C841" s="27" t="s">
        <v>311</v>
      </c>
      <c r="D841" s="27" t="s">
        <v>296</v>
      </c>
      <c r="E841" s="27" t="s">
        <v>1681</v>
      </c>
      <c r="F841" s="51">
        <v>664483</v>
      </c>
      <c r="G841" s="27"/>
    </row>
    <row r="842" spans="1:7">
      <c r="A842" s="27">
        <v>27</v>
      </c>
      <c r="B842" s="27" t="s">
        <v>351</v>
      </c>
      <c r="C842" s="27" t="s">
        <v>311</v>
      </c>
      <c r="D842" s="27" t="s">
        <v>400</v>
      </c>
      <c r="E842" s="27" t="s">
        <v>1681</v>
      </c>
      <c r="F842" s="51">
        <v>29840</v>
      </c>
      <c r="G842" s="27"/>
    </row>
    <row r="843" spans="1:7">
      <c r="A843" s="27">
        <v>27</v>
      </c>
      <c r="B843" s="27" t="s">
        <v>351</v>
      </c>
      <c r="C843" s="27" t="s">
        <v>311</v>
      </c>
      <c r="D843" s="27" t="s">
        <v>298</v>
      </c>
      <c r="E843" s="27" t="s">
        <v>1681</v>
      </c>
      <c r="F843" s="51">
        <v>143722</v>
      </c>
      <c r="G843" s="27"/>
    </row>
    <row r="844" spans="1:7">
      <c r="A844" s="27">
        <v>27</v>
      </c>
      <c r="B844" s="27" t="s">
        <v>351</v>
      </c>
      <c r="C844" s="27" t="s">
        <v>311</v>
      </c>
      <c r="D844" s="27" t="s">
        <v>401</v>
      </c>
      <c r="E844" s="27" t="s">
        <v>1681</v>
      </c>
      <c r="F844" s="51">
        <v>29920</v>
      </c>
      <c r="G844" s="27"/>
    </row>
    <row r="845" spans="1:7">
      <c r="A845" s="27">
        <v>27</v>
      </c>
      <c r="B845" s="27" t="s">
        <v>351</v>
      </c>
      <c r="C845" s="27" t="s">
        <v>311</v>
      </c>
      <c r="D845" s="27" t="s">
        <v>402</v>
      </c>
      <c r="E845" s="27" t="s">
        <v>1681</v>
      </c>
      <c r="F845" s="51">
        <v>180546</v>
      </c>
      <c r="G845" s="27"/>
    </row>
    <row r="846" spans="1:7">
      <c r="A846" s="27">
        <v>27</v>
      </c>
      <c r="B846" s="27" t="s">
        <v>351</v>
      </c>
      <c r="C846" s="27" t="s">
        <v>311</v>
      </c>
      <c r="D846" s="27" t="s">
        <v>300</v>
      </c>
      <c r="E846" s="27" t="s">
        <v>1681</v>
      </c>
      <c r="F846" s="51">
        <v>14000</v>
      </c>
      <c r="G846" s="27"/>
    </row>
    <row r="847" spans="1:7">
      <c r="A847" s="27">
        <v>28</v>
      </c>
      <c r="B847" s="27" t="s">
        <v>352</v>
      </c>
      <c r="C847" s="27" t="s">
        <v>311</v>
      </c>
      <c r="D847" s="27" t="s">
        <v>406</v>
      </c>
      <c r="E847" s="27" t="s">
        <v>1682</v>
      </c>
      <c r="F847" s="51">
        <v>21766</v>
      </c>
      <c r="G847" s="27"/>
    </row>
    <row r="848" spans="1:7">
      <c r="A848" s="27">
        <v>28</v>
      </c>
      <c r="B848" s="27" t="s">
        <v>352</v>
      </c>
      <c r="C848" s="27" t="s">
        <v>311</v>
      </c>
      <c r="D848" s="27" t="s">
        <v>408</v>
      </c>
      <c r="E848" s="27" t="s">
        <v>1682</v>
      </c>
      <c r="F848" s="51">
        <v>77422</v>
      </c>
      <c r="G848" s="27"/>
    </row>
    <row r="849" spans="1:7">
      <c r="A849" s="27">
        <v>28</v>
      </c>
      <c r="B849" s="27" t="s">
        <v>352</v>
      </c>
      <c r="C849" s="27" t="s">
        <v>311</v>
      </c>
      <c r="D849" s="27" t="s">
        <v>394</v>
      </c>
      <c r="E849" s="27" t="s">
        <v>1682</v>
      </c>
      <c r="F849" s="51">
        <v>355285</v>
      </c>
      <c r="G849" s="27"/>
    </row>
    <row r="850" spans="1:7">
      <c r="A850" s="27">
        <v>28</v>
      </c>
      <c r="B850" s="27" t="s">
        <v>352</v>
      </c>
      <c r="C850" s="27" t="s">
        <v>311</v>
      </c>
      <c r="D850" s="27" t="s">
        <v>396</v>
      </c>
      <c r="E850" s="27" t="s">
        <v>1682</v>
      </c>
      <c r="F850" s="51">
        <v>32112</v>
      </c>
      <c r="G850" s="27"/>
    </row>
    <row r="851" spans="1:7">
      <c r="A851" s="27">
        <v>28</v>
      </c>
      <c r="B851" s="27" t="s">
        <v>352</v>
      </c>
      <c r="C851" s="27" t="s">
        <v>311</v>
      </c>
      <c r="D851" s="27" t="s">
        <v>397</v>
      </c>
      <c r="E851" s="27" t="s">
        <v>1682</v>
      </c>
      <c r="F851" s="51">
        <v>140000</v>
      </c>
      <c r="G851" s="27"/>
    </row>
    <row r="852" spans="1:7">
      <c r="A852" s="27">
        <v>28</v>
      </c>
      <c r="B852" s="27" t="s">
        <v>352</v>
      </c>
      <c r="C852" s="27" t="s">
        <v>311</v>
      </c>
      <c r="D852" s="27" t="s">
        <v>411</v>
      </c>
      <c r="E852" s="27" t="s">
        <v>1682</v>
      </c>
      <c r="F852" s="51">
        <v>34470</v>
      </c>
      <c r="G852" s="27"/>
    </row>
    <row r="853" spans="1:7">
      <c r="A853" s="27">
        <v>28</v>
      </c>
      <c r="B853" s="27" t="s">
        <v>352</v>
      </c>
      <c r="C853" s="27" t="s">
        <v>311</v>
      </c>
      <c r="D853" s="27" t="s">
        <v>412</v>
      </c>
      <c r="E853" s="27" t="s">
        <v>1682</v>
      </c>
      <c r="F853" s="51">
        <v>45000</v>
      </c>
      <c r="G853" s="27"/>
    </row>
    <row r="854" spans="1:7">
      <c r="A854" s="27">
        <v>28</v>
      </c>
      <c r="B854" s="27" t="s">
        <v>352</v>
      </c>
      <c r="C854" s="27" t="s">
        <v>311</v>
      </c>
      <c r="D854" s="27" t="s">
        <v>398</v>
      </c>
      <c r="E854" s="27" t="s">
        <v>1682</v>
      </c>
      <c r="F854" s="51">
        <v>7000</v>
      </c>
      <c r="G854" s="27"/>
    </row>
    <row r="855" spans="1:7">
      <c r="A855" s="27">
        <v>28</v>
      </c>
      <c r="B855" s="27" t="s">
        <v>352</v>
      </c>
      <c r="C855" s="27" t="s">
        <v>311</v>
      </c>
      <c r="D855" s="27" t="s">
        <v>415</v>
      </c>
      <c r="E855" s="27" t="s">
        <v>1682</v>
      </c>
      <c r="F855" s="51">
        <v>12500</v>
      </c>
      <c r="G855" s="27"/>
    </row>
    <row r="856" spans="1:7">
      <c r="A856" s="27">
        <v>28</v>
      </c>
      <c r="B856" s="27" t="s">
        <v>352</v>
      </c>
      <c r="C856" s="27" t="s">
        <v>311</v>
      </c>
      <c r="D856" s="27" t="s">
        <v>291</v>
      </c>
      <c r="E856" s="27" t="s">
        <v>1681</v>
      </c>
      <c r="F856" s="51">
        <v>6990</v>
      </c>
      <c r="G856" s="27"/>
    </row>
    <row r="857" spans="1:7">
      <c r="A857" s="27">
        <v>28</v>
      </c>
      <c r="B857" s="27" t="s">
        <v>352</v>
      </c>
      <c r="C857" s="27" t="s">
        <v>311</v>
      </c>
      <c r="D857" s="27" t="s">
        <v>399</v>
      </c>
      <c r="E857" s="27" t="s">
        <v>1681</v>
      </c>
      <c r="F857" s="51">
        <v>10734690</v>
      </c>
      <c r="G857" s="27"/>
    </row>
    <row r="858" spans="1:7">
      <c r="A858" s="27">
        <v>28</v>
      </c>
      <c r="B858" s="27" t="s">
        <v>352</v>
      </c>
      <c r="C858" s="27" t="s">
        <v>311</v>
      </c>
      <c r="D858" s="27" t="s">
        <v>304</v>
      </c>
      <c r="E858" s="27" t="s">
        <v>1681</v>
      </c>
      <c r="F858" s="51">
        <v>14000</v>
      </c>
      <c r="G858" s="27"/>
    </row>
    <row r="859" spans="1:7">
      <c r="A859" s="27">
        <v>28</v>
      </c>
      <c r="B859" s="27" t="s">
        <v>352</v>
      </c>
      <c r="C859" s="27" t="s">
        <v>311</v>
      </c>
      <c r="D859" s="27" t="s">
        <v>296</v>
      </c>
      <c r="E859" s="27" t="s">
        <v>1681</v>
      </c>
      <c r="F859" s="51">
        <v>6508908</v>
      </c>
      <c r="G859" s="27"/>
    </row>
    <row r="860" spans="1:7">
      <c r="A860" s="27">
        <v>28</v>
      </c>
      <c r="B860" s="27" t="s">
        <v>352</v>
      </c>
      <c r="C860" s="27" t="s">
        <v>311</v>
      </c>
      <c r="D860" s="27" t="s">
        <v>400</v>
      </c>
      <c r="E860" s="27" t="s">
        <v>1681</v>
      </c>
      <c r="F860" s="51">
        <v>307327</v>
      </c>
      <c r="G860" s="27"/>
    </row>
    <row r="861" spans="1:7">
      <c r="A861" s="27">
        <v>28</v>
      </c>
      <c r="B861" s="27" t="s">
        <v>352</v>
      </c>
      <c r="C861" s="27" t="s">
        <v>311</v>
      </c>
      <c r="D861" s="27" t="s">
        <v>298</v>
      </c>
      <c r="E861" s="27" t="s">
        <v>1681</v>
      </c>
      <c r="F861" s="51">
        <v>152284</v>
      </c>
      <c r="G861" s="27"/>
    </row>
    <row r="862" spans="1:7">
      <c r="A862" s="27">
        <v>28</v>
      </c>
      <c r="B862" s="27" t="s">
        <v>352</v>
      </c>
      <c r="C862" s="27" t="s">
        <v>311</v>
      </c>
      <c r="D862" s="27" t="s">
        <v>401</v>
      </c>
      <c r="E862" s="27" t="s">
        <v>1681</v>
      </c>
      <c r="F862" s="51">
        <v>31680</v>
      </c>
      <c r="G862" s="27"/>
    </row>
    <row r="863" spans="1:7">
      <c r="A863" s="27">
        <v>28</v>
      </c>
      <c r="B863" s="27" t="s">
        <v>352</v>
      </c>
      <c r="C863" s="27" t="s">
        <v>311</v>
      </c>
      <c r="D863" s="27" t="s">
        <v>402</v>
      </c>
      <c r="E863" s="27" t="s">
        <v>1681</v>
      </c>
      <c r="F863" s="51">
        <v>382725</v>
      </c>
      <c r="G863" s="27"/>
    </row>
    <row r="864" spans="1:7">
      <c r="A864" s="27">
        <v>28</v>
      </c>
      <c r="B864" s="27" t="s">
        <v>352</v>
      </c>
      <c r="C864" s="27" t="s">
        <v>311</v>
      </c>
      <c r="D864" s="27" t="s">
        <v>300</v>
      </c>
      <c r="E864" s="27" t="s">
        <v>1681</v>
      </c>
      <c r="F864" s="51">
        <v>18317</v>
      </c>
      <c r="G864" s="27"/>
    </row>
    <row r="865" spans="1:7">
      <c r="A865" s="27">
        <v>29</v>
      </c>
      <c r="B865" s="27" t="s">
        <v>353</v>
      </c>
      <c r="C865" s="27" t="s">
        <v>302</v>
      </c>
      <c r="D865" s="27" t="s">
        <v>408</v>
      </c>
      <c r="E865" s="27" t="s">
        <v>1682</v>
      </c>
      <c r="F865" s="51">
        <v>4360</v>
      </c>
      <c r="G865" s="27"/>
    </row>
    <row r="866" spans="1:7">
      <c r="A866" s="27">
        <v>29</v>
      </c>
      <c r="B866" s="27" t="s">
        <v>353</v>
      </c>
      <c r="C866" s="27" t="s">
        <v>302</v>
      </c>
      <c r="D866" s="27" t="s">
        <v>412</v>
      </c>
      <c r="E866" s="27" t="s">
        <v>1682</v>
      </c>
      <c r="F866" s="51">
        <v>324</v>
      </c>
      <c r="G866" s="27"/>
    </row>
    <row r="867" spans="1:7">
      <c r="A867" s="27">
        <v>29</v>
      </c>
      <c r="B867" s="27" t="s">
        <v>353</v>
      </c>
      <c r="C867" s="27" t="s">
        <v>302</v>
      </c>
      <c r="D867" s="27" t="s">
        <v>291</v>
      </c>
      <c r="E867" s="27" t="s">
        <v>1681</v>
      </c>
      <c r="F867" s="51">
        <v>780</v>
      </c>
      <c r="G867" s="27"/>
    </row>
    <row r="868" spans="1:7">
      <c r="A868" s="27">
        <v>29</v>
      </c>
      <c r="B868" s="27" t="s">
        <v>353</v>
      </c>
      <c r="C868" s="27" t="s">
        <v>302</v>
      </c>
      <c r="D868" s="27" t="s">
        <v>399</v>
      </c>
      <c r="E868" s="27" t="s">
        <v>1681</v>
      </c>
      <c r="F868" s="51">
        <v>337055</v>
      </c>
      <c r="G868" s="27"/>
    </row>
    <row r="869" spans="1:7">
      <c r="A869" s="27">
        <v>29</v>
      </c>
      <c r="B869" s="27" t="s">
        <v>353</v>
      </c>
      <c r="C869" s="27" t="s">
        <v>302</v>
      </c>
      <c r="D869" s="27" t="s">
        <v>296</v>
      </c>
      <c r="E869" s="27" t="s">
        <v>1681</v>
      </c>
      <c r="F869" s="51">
        <v>92729</v>
      </c>
      <c r="G869" s="27"/>
    </row>
    <row r="870" spans="1:7">
      <c r="A870" s="27">
        <v>29</v>
      </c>
      <c r="B870" s="27" t="s">
        <v>353</v>
      </c>
      <c r="C870" s="27" t="s">
        <v>302</v>
      </c>
      <c r="D870" s="27" t="s">
        <v>401</v>
      </c>
      <c r="E870" s="27" t="s">
        <v>1681</v>
      </c>
      <c r="F870" s="51">
        <v>30000</v>
      </c>
      <c r="G870" s="27"/>
    </row>
    <row r="871" spans="1:7">
      <c r="A871" s="27">
        <v>29</v>
      </c>
      <c r="B871" s="27" t="s">
        <v>353</v>
      </c>
      <c r="C871" s="27" t="s">
        <v>302</v>
      </c>
      <c r="D871" s="27" t="s">
        <v>402</v>
      </c>
      <c r="E871" s="27" t="s">
        <v>1681</v>
      </c>
      <c r="F871" s="51">
        <v>8972</v>
      </c>
      <c r="G871" s="27"/>
    </row>
    <row r="872" spans="1:7">
      <c r="A872" s="27">
        <v>30</v>
      </c>
      <c r="B872" s="27" t="s">
        <v>354</v>
      </c>
      <c r="C872" s="27" t="s">
        <v>393</v>
      </c>
      <c r="D872" s="27" t="s">
        <v>408</v>
      </c>
      <c r="E872" s="27" t="s">
        <v>1682</v>
      </c>
      <c r="F872" s="51">
        <v>15502</v>
      </c>
      <c r="G872" s="27"/>
    </row>
    <row r="873" spans="1:7">
      <c r="A873" s="27">
        <v>30</v>
      </c>
      <c r="B873" s="27" t="s">
        <v>354</v>
      </c>
      <c r="C873" s="27" t="s">
        <v>393</v>
      </c>
      <c r="D873" s="27" t="s">
        <v>394</v>
      </c>
      <c r="E873" s="27" t="s">
        <v>1682</v>
      </c>
      <c r="F873" s="51">
        <v>108969</v>
      </c>
      <c r="G873" s="27"/>
    </row>
    <row r="874" spans="1:7">
      <c r="A874" s="27">
        <v>30</v>
      </c>
      <c r="B874" s="27" t="s">
        <v>354</v>
      </c>
      <c r="C874" s="27" t="s">
        <v>393</v>
      </c>
      <c r="D874" s="27" t="s">
        <v>397</v>
      </c>
      <c r="E874" s="27" t="s">
        <v>1682</v>
      </c>
      <c r="F874" s="51">
        <v>13000</v>
      </c>
      <c r="G874" s="27"/>
    </row>
    <row r="875" spans="1:7">
      <c r="A875" s="27">
        <v>30</v>
      </c>
      <c r="B875" s="27" t="s">
        <v>354</v>
      </c>
      <c r="C875" s="27" t="s">
        <v>393</v>
      </c>
      <c r="D875" s="27" t="s">
        <v>412</v>
      </c>
      <c r="E875" s="27" t="s">
        <v>1682</v>
      </c>
      <c r="F875" s="51">
        <v>10000</v>
      </c>
      <c r="G875" s="27"/>
    </row>
    <row r="876" spans="1:7">
      <c r="A876" s="27">
        <v>30</v>
      </c>
      <c r="B876" s="27" t="s">
        <v>354</v>
      </c>
      <c r="C876" s="27" t="s">
        <v>393</v>
      </c>
      <c r="D876" s="27" t="s">
        <v>398</v>
      </c>
      <c r="E876" s="27" t="s">
        <v>1682</v>
      </c>
      <c r="F876" s="51">
        <v>500</v>
      </c>
      <c r="G876" s="27"/>
    </row>
    <row r="877" spans="1:7">
      <c r="A877" s="27">
        <v>30</v>
      </c>
      <c r="B877" s="27" t="s">
        <v>354</v>
      </c>
      <c r="C877" s="27" t="s">
        <v>393</v>
      </c>
      <c r="D877" s="27" t="s">
        <v>291</v>
      </c>
      <c r="E877" s="27" t="s">
        <v>1681</v>
      </c>
      <c r="F877" s="51">
        <v>2553</v>
      </c>
      <c r="G877" s="27"/>
    </row>
    <row r="878" spans="1:7">
      <c r="A878" s="27">
        <v>30</v>
      </c>
      <c r="B878" s="27" t="s">
        <v>354</v>
      </c>
      <c r="C878" s="27" t="s">
        <v>393</v>
      </c>
      <c r="D878" s="27" t="s">
        <v>399</v>
      </c>
      <c r="E878" s="27" t="s">
        <v>1681</v>
      </c>
      <c r="F878" s="51">
        <v>2079959</v>
      </c>
      <c r="G878" s="27"/>
    </row>
    <row r="879" spans="1:7">
      <c r="A879" s="27">
        <v>30</v>
      </c>
      <c r="B879" s="27" t="s">
        <v>354</v>
      </c>
      <c r="C879" s="27" t="s">
        <v>393</v>
      </c>
      <c r="D879" s="27" t="s">
        <v>296</v>
      </c>
      <c r="E879" s="27" t="s">
        <v>1681</v>
      </c>
      <c r="F879" s="51">
        <v>765405</v>
      </c>
      <c r="G879" s="27"/>
    </row>
    <row r="880" spans="1:7">
      <c r="A880" s="27">
        <v>30</v>
      </c>
      <c r="B880" s="27" t="s">
        <v>354</v>
      </c>
      <c r="C880" s="27" t="s">
        <v>393</v>
      </c>
      <c r="D880" s="27" t="s">
        <v>400</v>
      </c>
      <c r="E880" s="27" t="s">
        <v>1681</v>
      </c>
      <c r="F880" s="51">
        <v>72129</v>
      </c>
      <c r="G880" s="27"/>
    </row>
    <row r="881" spans="1:7">
      <c r="A881" s="27">
        <v>30</v>
      </c>
      <c r="B881" s="27" t="s">
        <v>354</v>
      </c>
      <c r="C881" s="27" t="s">
        <v>393</v>
      </c>
      <c r="D881" s="27" t="s">
        <v>298</v>
      </c>
      <c r="E881" s="27" t="s">
        <v>1681</v>
      </c>
      <c r="F881" s="51">
        <v>12406</v>
      </c>
      <c r="G881" s="27"/>
    </row>
    <row r="882" spans="1:7">
      <c r="A882" s="27">
        <v>30</v>
      </c>
      <c r="B882" s="27" t="s">
        <v>354</v>
      </c>
      <c r="C882" s="27" t="s">
        <v>393</v>
      </c>
      <c r="D882" s="27" t="s">
        <v>401</v>
      </c>
      <c r="E882" s="27" t="s">
        <v>1681</v>
      </c>
      <c r="F882" s="51">
        <v>30516</v>
      </c>
      <c r="G882" s="27"/>
    </row>
    <row r="883" spans="1:7">
      <c r="A883" s="27">
        <v>30</v>
      </c>
      <c r="B883" s="27" t="s">
        <v>354</v>
      </c>
      <c r="C883" s="27" t="s">
        <v>393</v>
      </c>
      <c r="D883" s="27" t="s">
        <v>402</v>
      </c>
      <c r="E883" s="27" t="s">
        <v>1681</v>
      </c>
      <c r="F883" s="51">
        <v>84373</v>
      </c>
      <c r="G883" s="27"/>
    </row>
    <row r="884" spans="1:7">
      <c r="A884" s="27">
        <v>31</v>
      </c>
      <c r="B884" s="27" t="s">
        <v>355</v>
      </c>
      <c r="C884" s="27" t="s">
        <v>393</v>
      </c>
      <c r="D884" s="27" t="s">
        <v>408</v>
      </c>
      <c r="E884" s="27" t="s">
        <v>1682</v>
      </c>
      <c r="F884" s="51">
        <v>3761</v>
      </c>
      <c r="G884" s="27"/>
    </row>
    <row r="885" spans="1:7">
      <c r="A885" s="27">
        <v>31</v>
      </c>
      <c r="B885" s="27" t="s">
        <v>355</v>
      </c>
      <c r="C885" s="27" t="s">
        <v>393</v>
      </c>
      <c r="D885" s="27" t="s">
        <v>397</v>
      </c>
      <c r="E885" s="27" t="s">
        <v>1682</v>
      </c>
      <c r="F885" s="51">
        <v>32564</v>
      </c>
      <c r="G885" s="27"/>
    </row>
    <row r="886" spans="1:7">
      <c r="A886" s="27">
        <v>31</v>
      </c>
      <c r="B886" s="27" t="s">
        <v>355</v>
      </c>
      <c r="C886" s="27" t="s">
        <v>393</v>
      </c>
      <c r="D886" s="27" t="s">
        <v>398</v>
      </c>
      <c r="E886" s="27" t="s">
        <v>1682</v>
      </c>
      <c r="F886" s="51">
        <v>687</v>
      </c>
      <c r="G886" s="27"/>
    </row>
    <row r="887" spans="1:7">
      <c r="A887" s="27">
        <v>31</v>
      </c>
      <c r="B887" s="27" t="s">
        <v>355</v>
      </c>
      <c r="C887" s="27" t="s">
        <v>393</v>
      </c>
      <c r="D887" s="27" t="s">
        <v>415</v>
      </c>
      <c r="E887" s="27" t="s">
        <v>1682</v>
      </c>
      <c r="F887" s="51">
        <v>360</v>
      </c>
      <c r="G887" s="27"/>
    </row>
    <row r="888" spans="1:7">
      <c r="A888" s="27">
        <v>31</v>
      </c>
      <c r="B888" s="27" t="s">
        <v>355</v>
      </c>
      <c r="C888" s="27" t="s">
        <v>393</v>
      </c>
      <c r="D888" s="27" t="s">
        <v>334</v>
      </c>
      <c r="E888" s="27" t="s">
        <v>1682</v>
      </c>
      <c r="F888" s="51">
        <v>5169</v>
      </c>
      <c r="G888" s="27"/>
    </row>
    <row r="889" spans="1:7">
      <c r="A889" s="27">
        <v>31</v>
      </c>
      <c r="B889" s="27" t="s">
        <v>355</v>
      </c>
      <c r="C889" s="27" t="s">
        <v>393</v>
      </c>
      <c r="D889" s="27" t="s">
        <v>399</v>
      </c>
      <c r="E889" s="27" t="s">
        <v>1681</v>
      </c>
      <c r="F889" s="51">
        <v>51244</v>
      </c>
      <c r="G889" s="27"/>
    </row>
    <row r="890" spans="1:7">
      <c r="A890" s="27">
        <v>31</v>
      </c>
      <c r="B890" s="27" t="s">
        <v>355</v>
      </c>
      <c r="C890" s="27" t="s">
        <v>393</v>
      </c>
      <c r="D890" s="27" t="s">
        <v>296</v>
      </c>
      <c r="E890" s="27" t="s">
        <v>1681</v>
      </c>
      <c r="F890" s="51">
        <v>84347</v>
      </c>
      <c r="G890" s="27"/>
    </row>
    <row r="891" spans="1:7">
      <c r="A891" s="27">
        <v>31</v>
      </c>
      <c r="B891" s="27" t="s">
        <v>355</v>
      </c>
      <c r="C891" s="27" t="s">
        <v>393</v>
      </c>
      <c r="D891" s="27" t="s">
        <v>401</v>
      </c>
      <c r="E891" s="27" t="s">
        <v>1681</v>
      </c>
      <c r="F891" s="51">
        <v>15000</v>
      </c>
      <c r="G891" s="27"/>
    </row>
    <row r="892" spans="1:7">
      <c r="A892" s="27">
        <v>31</v>
      </c>
      <c r="B892" s="27" t="s">
        <v>355</v>
      </c>
      <c r="C892" s="27" t="s">
        <v>393</v>
      </c>
      <c r="D892" s="27" t="s">
        <v>402</v>
      </c>
      <c r="E892" s="27" t="s">
        <v>1681</v>
      </c>
      <c r="F892" s="51">
        <v>833</v>
      </c>
      <c r="G892" s="27"/>
    </row>
    <row r="893" spans="1:7">
      <c r="A893" s="27">
        <v>32</v>
      </c>
      <c r="B893" s="27" t="s">
        <v>356</v>
      </c>
      <c r="C893" s="27" t="s">
        <v>302</v>
      </c>
      <c r="D893" s="27" t="s">
        <v>408</v>
      </c>
      <c r="E893" s="27" t="s">
        <v>1682</v>
      </c>
      <c r="F893" s="51">
        <v>138384</v>
      </c>
      <c r="G893" s="27"/>
    </row>
    <row r="894" spans="1:7">
      <c r="A894" s="27">
        <v>32</v>
      </c>
      <c r="B894" s="27" t="s">
        <v>356</v>
      </c>
      <c r="C894" s="27" t="s">
        <v>302</v>
      </c>
      <c r="D894" s="27" t="s">
        <v>394</v>
      </c>
      <c r="E894" s="27" t="s">
        <v>1682</v>
      </c>
      <c r="F894" s="51">
        <v>244265</v>
      </c>
      <c r="G894" s="27"/>
    </row>
    <row r="895" spans="1:7">
      <c r="A895" s="27">
        <v>32</v>
      </c>
      <c r="B895" s="27" t="s">
        <v>356</v>
      </c>
      <c r="C895" s="27" t="s">
        <v>302</v>
      </c>
      <c r="D895" s="27" t="s">
        <v>397</v>
      </c>
      <c r="E895" s="27" t="s">
        <v>1682</v>
      </c>
      <c r="F895" s="51">
        <v>74428</v>
      </c>
      <c r="G895" s="27"/>
    </row>
    <row r="896" spans="1:7">
      <c r="A896" s="27">
        <v>32</v>
      </c>
      <c r="B896" s="27" t="s">
        <v>356</v>
      </c>
      <c r="C896" s="27" t="s">
        <v>302</v>
      </c>
      <c r="D896" s="27" t="s">
        <v>411</v>
      </c>
      <c r="E896" s="27" t="s">
        <v>1682</v>
      </c>
      <c r="F896" s="51">
        <v>2156</v>
      </c>
      <c r="G896" s="27"/>
    </row>
    <row r="897" spans="1:7">
      <c r="A897" s="27">
        <v>32</v>
      </c>
      <c r="B897" s="27" t="s">
        <v>356</v>
      </c>
      <c r="C897" s="27" t="s">
        <v>302</v>
      </c>
      <c r="D897" s="27" t="s">
        <v>412</v>
      </c>
      <c r="E897" s="27" t="s">
        <v>1682</v>
      </c>
      <c r="F897" s="51">
        <v>38370</v>
      </c>
      <c r="G897" s="27"/>
    </row>
    <row r="898" spans="1:7">
      <c r="A898" s="27">
        <v>32</v>
      </c>
      <c r="B898" s="27" t="s">
        <v>356</v>
      </c>
      <c r="C898" s="27" t="s">
        <v>302</v>
      </c>
      <c r="D898" s="27" t="s">
        <v>398</v>
      </c>
      <c r="E898" s="27" t="s">
        <v>1682</v>
      </c>
      <c r="F898" s="51">
        <v>6108</v>
      </c>
      <c r="G898" s="27"/>
    </row>
    <row r="899" spans="1:7">
      <c r="A899" s="27">
        <v>32</v>
      </c>
      <c r="B899" s="27" t="s">
        <v>356</v>
      </c>
      <c r="C899" s="27" t="s">
        <v>302</v>
      </c>
      <c r="D899" s="27" t="s">
        <v>415</v>
      </c>
      <c r="E899" s="27" t="s">
        <v>1682</v>
      </c>
      <c r="F899" s="51">
        <v>11239</v>
      </c>
      <c r="G899" s="27"/>
    </row>
    <row r="900" spans="1:7">
      <c r="A900" s="27">
        <v>32</v>
      </c>
      <c r="B900" s="27" t="s">
        <v>356</v>
      </c>
      <c r="C900" s="27" t="s">
        <v>302</v>
      </c>
      <c r="D900" s="27" t="s">
        <v>291</v>
      </c>
      <c r="E900" s="27" t="s">
        <v>1681</v>
      </c>
      <c r="F900" s="51">
        <v>11230</v>
      </c>
      <c r="G900" s="27"/>
    </row>
    <row r="901" spans="1:7">
      <c r="A901" s="27">
        <v>32</v>
      </c>
      <c r="B901" s="27" t="s">
        <v>356</v>
      </c>
      <c r="C901" s="27" t="s">
        <v>302</v>
      </c>
      <c r="D901" s="27" t="s">
        <v>399</v>
      </c>
      <c r="E901" s="27" t="s">
        <v>1681</v>
      </c>
      <c r="F901" s="51">
        <v>7459659</v>
      </c>
      <c r="G901" s="27"/>
    </row>
    <row r="902" spans="1:7">
      <c r="A902" s="27">
        <v>32</v>
      </c>
      <c r="B902" s="27" t="s">
        <v>356</v>
      </c>
      <c r="C902" s="27" t="s">
        <v>302</v>
      </c>
      <c r="D902" s="27" t="s">
        <v>307</v>
      </c>
      <c r="E902" s="27" t="s">
        <v>1681</v>
      </c>
      <c r="F902" s="51">
        <v>7200</v>
      </c>
      <c r="G902" s="27"/>
    </row>
    <row r="903" spans="1:7">
      <c r="A903" s="27">
        <v>32</v>
      </c>
      <c r="B903" s="27" t="s">
        <v>356</v>
      </c>
      <c r="C903" s="27" t="s">
        <v>302</v>
      </c>
      <c r="D903" s="27" t="s">
        <v>296</v>
      </c>
      <c r="E903" s="27" t="s">
        <v>1681</v>
      </c>
      <c r="F903" s="51">
        <v>85776</v>
      </c>
      <c r="G903" s="27"/>
    </row>
    <row r="904" spans="1:7">
      <c r="A904" s="27">
        <v>32</v>
      </c>
      <c r="B904" s="27" t="s">
        <v>356</v>
      </c>
      <c r="C904" s="27" t="s">
        <v>302</v>
      </c>
      <c r="D904" s="27" t="s">
        <v>400</v>
      </c>
      <c r="E904" s="27" t="s">
        <v>1681</v>
      </c>
      <c r="F904" s="51">
        <v>83109</v>
      </c>
      <c r="G904" s="27"/>
    </row>
    <row r="905" spans="1:7">
      <c r="A905" s="27">
        <v>32</v>
      </c>
      <c r="B905" s="27" t="s">
        <v>356</v>
      </c>
      <c r="C905" s="27" t="s">
        <v>302</v>
      </c>
      <c r="D905" s="27" t="s">
        <v>298</v>
      </c>
      <c r="E905" s="27" t="s">
        <v>1681</v>
      </c>
      <c r="F905" s="51">
        <v>153566</v>
      </c>
      <c r="G905" s="27"/>
    </row>
    <row r="906" spans="1:7">
      <c r="A906" s="27">
        <v>32</v>
      </c>
      <c r="B906" s="27" t="s">
        <v>356</v>
      </c>
      <c r="C906" s="27" t="s">
        <v>302</v>
      </c>
      <c r="D906" s="27" t="s">
        <v>401</v>
      </c>
      <c r="E906" s="27" t="s">
        <v>1681</v>
      </c>
      <c r="F906" s="51">
        <v>31096</v>
      </c>
      <c r="G906" s="27"/>
    </row>
    <row r="907" spans="1:7">
      <c r="A907" s="27">
        <v>32</v>
      </c>
      <c r="B907" s="27" t="s">
        <v>356</v>
      </c>
      <c r="C907" s="27" t="s">
        <v>302</v>
      </c>
      <c r="D907" s="27" t="s">
        <v>402</v>
      </c>
      <c r="E907" s="27" t="s">
        <v>1681</v>
      </c>
      <c r="F907" s="51">
        <v>297370</v>
      </c>
      <c r="G907" s="27"/>
    </row>
    <row r="908" spans="1:7">
      <c r="A908" s="27">
        <v>32</v>
      </c>
      <c r="B908" s="27" t="s">
        <v>356</v>
      </c>
      <c r="C908" s="27" t="s">
        <v>302</v>
      </c>
      <c r="D908" s="27" t="s">
        <v>300</v>
      </c>
      <c r="E908" s="27" t="s">
        <v>1681</v>
      </c>
      <c r="F908" s="51">
        <v>14464</v>
      </c>
      <c r="G908" s="27"/>
    </row>
    <row r="909" spans="1:7">
      <c r="A909" s="27">
        <v>33</v>
      </c>
      <c r="B909" s="27" t="s">
        <v>357</v>
      </c>
      <c r="C909" s="27" t="s">
        <v>311</v>
      </c>
      <c r="D909" s="27" t="s">
        <v>408</v>
      </c>
      <c r="E909" s="27" t="s">
        <v>1682</v>
      </c>
      <c r="F909" s="51">
        <v>53170</v>
      </c>
      <c r="G909" s="27"/>
    </row>
    <row r="910" spans="1:7">
      <c r="A910" s="27">
        <v>33</v>
      </c>
      <c r="B910" s="27" t="s">
        <v>357</v>
      </c>
      <c r="C910" s="27" t="s">
        <v>311</v>
      </c>
      <c r="D910" s="27" t="s">
        <v>394</v>
      </c>
      <c r="E910" s="27" t="s">
        <v>1682</v>
      </c>
      <c r="F910" s="51">
        <v>160000</v>
      </c>
      <c r="G910" s="27"/>
    </row>
    <row r="911" spans="1:7">
      <c r="A911" s="27">
        <v>33</v>
      </c>
      <c r="B911" s="27" t="s">
        <v>357</v>
      </c>
      <c r="C911" s="27" t="s">
        <v>311</v>
      </c>
      <c r="D911" s="27" t="s">
        <v>397</v>
      </c>
      <c r="E911" s="27" t="s">
        <v>1682</v>
      </c>
      <c r="F911" s="51">
        <v>227189</v>
      </c>
      <c r="G911" s="27"/>
    </row>
    <row r="912" spans="1:7">
      <c r="A912" s="27">
        <v>33</v>
      </c>
      <c r="B912" s="27" t="s">
        <v>357</v>
      </c>
      <c r="C912" s="27" t="s">
        <v>311</v>
      </c>
      <c r="D912" s="27" t="s">
        <v>411</v>
      </c>
      <c r="E912" s="27" t="s">
        <v>1682</v>
      </c>
      <c r="F912" s="51">
        <v>4900</v>
      </c>
      <c r="G912" s="27"/>
    </row>
    <row r="913" spans="1:7">
      <c r="A913" s="27">
        <v>33</v>
      </c>
      <c r="B913" s="27" t="s">
        <v>357</v>
      </c>
      <c r="C913" s="27" t="s">
        <v>311</v>
      </c>
      <c r="D913" s="27" t="s">
        <v>412</v>
      </c>
      <c r="E913" s="27" t="s">
        <v>1682</v>
      </c>
      <c r="F913" s="51">
        <v>43000</v>
      </c>
      <c r="G913" s="27"/>
    </row>
    <row r="914" spans="1:7">
      <c r="A914" s="27">
        <v>33</v>
      </c>
      <c r="B914" s="27" t="s">
        <v>357</v>
      </c>
      <c r="C914" s="27" t="s">
        <v>311</v>
      </c>
      <c r="D914" s="27" t="s">
        <v>398</v>
      </c>
      <c r="E914" s="27" t="s">
        <v>1682</v>
      </c>
      <c r="F914" s="51">
        <v>9063</v>
      </c>
      <c r="G914" s="27"/>
    </row>
    <row r="915" spans="1:7">
      <c r="A915" s="27">
        <v>33</v>
      </c>
      <c r="B915" s="27" t="s">
        <v>357</v>
      </c>
      <c r="C915" s="27" t="s">
        <v>311</v>
      </c>
      <c r="D915" s="27" t="s">
        <v>415</v>
      </c>
      <c r="E915" s="27" t="s">
        <v>1682</v>
      </c>
      <c r="F915" s="51">
        <v>6700</v>
      </c>
      <c r="G915" s="27"/>
    </row>
    <row r="916" spans="1:7">
      <c r="A916" s="27">
        <v>33</v>
      </c>
      <c r="B916" s="27" t="s">
        <v>357</v>
      </c>
      <c r="C916" s="27" t="s">
        <v>311</v>
      </c>
      <c r="D916" s="27" t="s">
        <v>291</v>
      </c>
      <c r="E916" s="27" t="s">
        <v>1681</v>
      </c>
      <c r="F916" s="51">
        <v>6793</v>
      </c>
      <c r="G916" s="27"/>
    </row>
    <row r="917" spans="1:7">
      <c r="A917" s="27">
        <v>33</v>
      </c>
      <c r="B917" s="27" t="s">
        <v>357</v>
      </c>
      <c r="C917" s="27" t="s">
        <v>311</v>
      </c>
      <c r="D917" s="27" t="s">
        <v>399</v>
      </c>
      <c r="E917" s="27" t="s">
        <v>1681</v>
      </c>
      <c r="F917" s="51">
        <v>3195194</v>
      </c>
      <c r="G917" s="27"/>
    </row>
    <row r="918" spans="1:7">
      <c r="A918" s="27">
        <v>33</v>
      </c>
      <c r="B918" s="27" t="s">
        <v>357</v>
      </c>
      <c r="C918" s="27" t="s">
        <v>311</v>
      </c>
      <c r="D918" s="27" t="s">
        <v>307</v>
      </c>
      <c r="E918" s="27" t="s">
        <v>1681</v>
      </c>
      <c r="F918" s="51">
        <v>4800</v>
      </c>
      <c r="G918" s="27"/>
    </row>
    <row r="919" spans="1:7">
      <c r="A919" s="27">
        <v>33</v>
      </c>
      <c r="B919" s="27" t="s">
        <v>357</v>
      </c>
      <c r="C919" s="27" t="s">
        <v>311</v>
      </c>
      <c r="D919" s="27" t="s">
        <v>295</v>
      </c>
      <c r="E919" s="27" t="s">
        <v>1681</v>
      </c>
      <c r="F919" s="51">
        <v>18000</v>
      </c>
      <c r="G919" s="27"/>
    </row>
    <row r="920" spans="1:7">
      <c r="A920" s="27">
        <v>33</v>
      </c>
      <c r="B920" s="27" t="s">
        <v>357</v>
      </c>
      <c r="C920" s="27" t="s">
        <v>311</v>
      </c>
      <c r="D920" s="27" t="s">
        <v>296</v>
      </c>
      <c r="E920" s="27" t="s">
        <v>1681</v>
      </c>
      <c r="F920" s="51">
        <v>2270722</v>
      </c>
      <c r="G920" s="27"/>
    </row>
    <row r="921" spans="1:7">
      <c r="A921" s="27">
        <v>33</v>
      </c>
      <c r="B921" s="27" t="s">
        <v>357</v>
      </c>
      <c r="C921" s="27" t="s">
        <v>311</v>
      </c>
      <c r="D921" s="27" t="s">
        <v>400</v>
      </c>
      <c r="E921" s="27" t="s">
        <v>1681</v>
      </c>
      <c r="F921" s="51">
        <v>69325</v>
      </c>
      <c r="G921" s="27"/>
    </row>
    <row r="922" spans="1:7">
      <c r="A922" s="27">
        <v>33</v>
      </c>
      <c r="B922" s="27" t="s">
        <v>357</v>
      </c>
      <c r="C922" s="27" t="s">
        <v>311</v>
      </c>
      <c r="D922" s="27" t="s">
        <v>298</v>
      </c>
      <c r="E922" s="27" t="s">
        <v>1681</v>
      </c>
      <c r="F922" s="51">
        <v>86394</v>
      </c>
      <c r="G922" s="27"/>
    </row>
    <row r="923" spans="1:7">
      <c r="A923" s="27">
        <v>33</v>
      </c>
      <c r="B923" s="27" t="s">
        <v>357</v>
      </c>
      <c r="C923" s="27" t="s">
        <v>311</v>
      </c>
      <c r="D923" s="27" t="s">
        <v>401</v>
      </c>
      <c r="E923" s="27" t="s">
        <v>1681</v>
      </c>
      <c r="F923" s="51">
        <v>29772</v>
      </c>
      <c r="G923" s="27"/>
    </row>
    <row r="924" spans="1:7">
      <c r="A924" s="27">
        <v>33</v>
      </c>
      <c r="B924" s="27" t="s">
        <v>357</v>
      </c>
      <c r="C924" s="27" t="s">
        <v>311</v>
      </c>
      <c r="D924" s="27" t="s">
        <v>402</v>
      </c>
      <c r="E924" s="27" t="s">
        <v>1681</v>
      </c>
      <c r="F924" s="51">
        <v>131612</v>
      </c>
      <c r="G924" s="27"/>
    </row>
    <row r="925" spans="1:7">
      <c r="A925" s="27">
        <v>33</v>
      </c>
      <c r="B925" s="27" t="s">
        <v>357</v>
      </c>
      <c r="C925" s="27" t="s">
        <v>311</v>
      </c>
      <c r="D925" s="27" t="s">
        <v>300</v>
      </c>
      <c r="E925" s="27" t="s">
        <v>1681</v>
      </c>
      <c r="F925" s="51">
        <v>14000</v>
      </c>
      <c r="G925" s="27"/>
    </row>
    <row r="926" spans="1:7">
      <c r="A926" s="27">
        <v>34</v>
      </c>
      <c r="B926" s="27" t="s">
        <v>358</v>
      </c>
      <c r="C926" s="27" t="s">
        <v>404</v>
      </c>
      <c r="D926" s="27" t="s">
        <v>406</v>
      </c>
      <c r="E926" s="27" t="s">
        <v>1682</v>
      </c>
      <c r="F926" s="51">
        <v>109043</v>
      </c>
      <c r="G926" s="27"/>
    </row>
    <row r="927" spans="1:7">
      <c r="A927" s="27">
        <v>34</v>
      </c>
      <c r="B927" s="27" t="s">
        <v>358</v>
      </c>
      <c r="C927" s="27" t="s">
        <v>404</v>
      </c>
      <c r="D927" s="27" t="s">
        <v>326</v>
      </c>
      <c r="E927" s="27" t="s">
        <v>1682</v>
      </c>
      <c r="F927" s="51">
        <v>45433</v>
      </c>
      <c r="G927" s="27"/>
    </row>
    <row r="928" spans="1:7">
      <c r="A928" s="27">
        <v>34</v>
      </c>
      <c r="B928" s="27" t="s">
        <v>358</v>
      </c>
      <c r="C928" s="27" t="s">
        <v>404</v>
      </c>
      <c r="D928" s="27" t="s">
        <v>407</v>
      </c>
      <c r="E928" s="27" t="s">
        <v>1682</v>
      </c>
      <c r="F928" s="51">
        <v>28428</v>
      </c>
      <c r="G928" s="27"/>
    </row>
    <row r="929" spans="1:7">
      <c r="A929" s="27">
        <v>34</v>
      </c>
      <c r="B929" s="27" t="s">
        <v>358</v>
      </c>
      <c r="C929" s="27" t="s">
        <v>404</v>
      </c>
      <c r="D929" s="27" t="s">
        <v>408</v>
      </c>
      <c r="E929" s="27" t="s">
        <v>1682</v>
      </c>
      <c r="F929" s="51">
        <v>1354813</v>
      </c>
      <c r="G929" s="27"/>
    </row>
    <row r="930" spans="1:7">
      <c r="A930" s="27">
        <v>34</v>
      </c>
      <c r="B930" s="27" t="s">
        <v>358</v>
      </c>
      <c r="C930" s="27" t="s">
        <v>404</v>
      </c>
      <c r="D930" s="27" t="s">
        <v>409</v>
      </c>
      <c r="E930" s="27" t="s">
        <v>1682</v>
      </c>
      <c r="F930" s="51">
        <v>2000</v>
      </c>
      <c r="G930" s="27"/>
    </row>
    <row r="931" spans="1:7">
      <c r="A931" s="27">
        <v>34</v>
      </c>
      <c r="B931" s="27" t="s">
        <v>358</v>
      </c>
      <c r="C931" s="27" t="s">
        <v>404</v>
      </c>
      <c r="D931" s="27" t="s">
        <v>394</v>
      </c>
      <c r="E931" s="27" t="s">
        <v>1682</v>
      </c>
      <c r="F931" s="51">
        <v>1283885</v>
      </c>
      <c r="G931" s="27"/>
    </row>
    <row r="932" spans="1:7">
      <c r="A932" s="27">
        <v>34</v>
      </c>
      <c r="B932" s="27" t="s">
        <v>358</v>
      </c>
      <c r="C932" s="27" t="s">
        <v>404</v>
      </c>
      <c r="D932" s="27" t="s">
        <v>396</v>
      </c>
      <c r="E932" s="27" t="s">
        <v>1682</v>
      </c>
      <c r="F932" s="51">
        <v>45000</v>
      </c>
      <c r="G932" s="27"/>
    </row>
    <row r="933" spans="1:7">
      <c r="A933" s="27">
        <v>34</v>
      </c>
      <c r="B933" s="27" t="s">
        <v>358</v>
      </c>
      <c r="C933" s="27" t="s">
        <v>404</v>
      </c>
      <c r="D933" s="27" t="s">
        <v>410</v>
      </c>
      <c r="E933" s="27" t="s">
        <v>1682</v>
      </c>
      <c r="F933" s="51">
        <v>8000</v>
      </c>
      <c r="G933" s="27"/>
    </row>
    <row r="934" spans="1:7">
      <c r="A934" s="27">
        <v>34</v>
      </c>
      <c r="B934" s="27" t="s">
        <v>358</v>
      </c>
      <c r="C934" s="27" t="s">
        <v>404</v>
      </c>
      <c r="D934" s="27" t="s">
        <v>330</v>
      </c>
      <c r="E934" s="27" t="s">
        <v>1682</v>
      </c>
      <c r="F934" s="51">
        <v>1000</v>
      </c>
      <c r="G934" s="27"/>
    </row>
    <row r="935" spans="1:7">
      <c r="A935" s="27">
        <v>34</v>
      </c>
      <c r="B935" s="27" t="s">
        <v>358</v>
      </c>
      <c r="C935" s="27" t="s">
        <v>404</v>
      </c>
      <c r="D935" s="27" t="s">
        <v>397</v>
      </c>
      <c r="E935" s="27" t="s">
        <v>1682</v>
      </c>
      <c r="F935" s="51">
        <v>1095719</v>
      </c>
      <c r="G935" s="27"/>
    </row>
    <row r="936" spans="1:7">
      <c r="A936" s="27">
        <v>34</v>
      </c>
      <c r="B936" s="27" t="s">
        <v>358</v>
      </c>
      <c r="C936" s="27" t="s">
        <v>404</v>
      </c>
      <c r="D936" s="27" t="s">
        <v>332</v>
      </c>
      <c r="E936" s="27" t="s">
        <v>1682</v>
      </c>
      <c r="F936" s="51">
        <v>30000</v>
      </c>
      <c r="G936" s="27"/>
    </row>
    <row r="937" spans="1:7">
      <c r="A937" s="27">
        <v>34</v>
      </c>
      <c r="B937" s="27" t="s">
        <v>358</v>
      </c>
      <c r="C937" s="27" t="s">
        <v>404</v>
      </c>
      <c r="D937" s="27" t="s">
        <v>333</v>
      </c>
      <c r="E937" s="27" t="s">
        <v>1682</v>
      </c>
      <c r="F937" s="51">
        <v>16858</v>
      </c>
      <c r="G937" s="27"/>
    </row>
    <row r="938" spans="1:7">
      <c r="A938" s="27">
        <v>34</v>
      </c>
      <c r="B938" s="27" t="s">
        <v>358</v>
      </c>
      <c r="C938" s="27" t="s">
        <v>404</v>
      </c>
      <c r="D938" s="27" t="s">
        <v>411</v>
      </c>
      <c r="E938" s="27" t="s">
        <v>1682</v>
      </c>
      <c r="F938" s="51">
        <v>115000</v>
      </c>
      <c r="G938" s="27"/>
    </row>
    <row r="939" spans="1:7">
      <c r="A939" s="27">
        <v>34</v>
      </c>
      <c r="B939" s="27" t="s">
        <v>358</v>
      </c>
      <c r="C939" s="27" t="s">
        <v>404</v>
      </c>
      <c r="D939" s="27" t="s">
        <v>412</v>
      </c>
      <c r="E939" s="27" t="s">
        <v>1682</v>
      </c>
      <c r="F939" s="51">
        <v>320000</v>
      </c>
      <c r="G939" s="27"/>
    </row>
    <row r="940" spans="1:7">
      <c r="A940" s="27">
        <v>34</v>
      </c>
      <c r="B940" s="27" t="s">
        <v>358</v>
      </c>
      <c r="C940" s="27" t="s">
        <v>404</v>
      </c>
      <c r="D940" s="27" t="s">
        <v>413</v>
      </c>
      <c r="E940" s="27" t="s">
        <v>1682</v>
      </c>
      <c r="F940" s="51">
        <v>70000</v>
      </c>
      <c r="G940" s="27"/>
    </row>
    <row r="941" spans="1:7">
      <c r="A941" s="27">
        <v>34</v>
      </c>
      <c r="B941" s="27" t="s">
        <v>358</v>
      </c>
      <c r="C941" s="27" t="s">
        <v>404</v>
      </c>
      <c r="D941" s="27" t="s">
        <v>414</v>
      </c>
      <c r="E941" s="27" t="s">
        <v>1682</v>
      </c>
      <c r="F941" s="51">
        <v>35000</v>
      </c>
      <c r="G941" s="27"/>
    </row>
    <row r="942" spans="1:7">
      <c r="A942" s="27">
        <v>34</v>
      </c>
      <c r="B942" s="27" t="s">
        <v>358</v>
      </c>
      <c r="C942" s="27" t="s">
        <v>404</v>
      </c>
      <c r="D942" s="27" t="s">
        <v>398</v>
      </c>
      <c r="E942" s="27" t="s">
        <v>1682</v>
      </c>
      <c r="F942" s="51">
        <v>42013</v>
      </c>
      <c r="G942" s="27"/>
    </row>
    <row r="943" spans="1:7">
      <c r="A943" s="27">
        <v>34</v>
      </c>
      <c r="B943" s="27" t="s">
        <v>358</v>
      </c>
      <c r="C943" s="27" t="s">
        <v>404</v>
      </c>
      <c r="D943" s="27" t="s">
        <v>415</v>
      </c>
      <c r="E943" s="27" t="s">
        <v>1682</v>
      </c>
      <c r="F943" s="51">
        <v>67424</v>
      </c>
      <c r="G943" s="27"/>
    </row>
    <row r="944" spans="1:7">
      <c r="A944" s="27">
        <v>34</v>
      </c>
      <c r="B944" s="27" t="s">
        <v>358</v>
      </c>
      <c r="C944" s="27" t="s">
        <v>404</v>
      </c>
      <c r="D944" s="27" t="s">
        <v>335</v>
      </c>
      <c r="E944" s="27" t="s">
        <v>1681</v>
      </c>
      <c r="F944" s="51">
        <v>119305</v>
      </c>
      <c r="G944" s="27"/>
    </row>
    <row r="945" spans="1:7">
      <c r="A945" s="27">
        <v>34</v>
      </c>
      <c r="B945" s="27" t="s">
        <v>358</v>
      </c>
      <c r="C945" s="27" t="s">
        <v>404</v>
      </c>
      <c r="D945" s="27" t="s">
        <v>291</v>
      </c>
      <c r="E945" s="27" t="s">
        <v>1681</v>
      </c>
      <c r="F945" s="51">
        <v>43738</v>
      </c>
      <c r="G945" s="27"/>
    </row>
    <row r="946" spans="1:7">
      <c r="A946" s="27">
        <v>34</v>
      </c>
      <c r="B946" s="27" t="s">
        <v>358</v>
      </c>
      <c r="C946" s="27" t="s">
        <v>404</v>
      </c>
      <c r="D946" s="27" t="s">
        <v>399</v>
      </c>
      <c r="E946" s="27" t="s">
        <v>1681</v>
      </c>
      <c r="F946" s="51">
        <v>15007747</v>
      </c>
      <c r="G946" s="27"/>
    </row>
    <row r="947" spans="1:7">
      <c r="A947" s="27">
        <v>34</v>
      </c>
      <c r="B947" s="27" t="s">
        <v>358</v>
      </c>
      <c r="C947" s="27" t="s">
        <v>404</v>
      </c>
      <c r="D947" s="27" t="s">
        <v>336</v>
      </c>
      <c r="E947" s="27" t="s">
        <v>1681</v>
      </c>
      <c r="F947" s="51">
        <v>168782</v>
      </c>
      <c r="G947" s="27"/>
    </row>
    <row r="948" spans="1:7">
      <c r="A948" s="27">
        <v>34</v>
      </c>
      <c r="B948" s="27" t="s">
        <v>358</v>
      </c>
      <c r="C948" s="27" t="s">
        <v>404</v>
      </c>
      <c r="D948" s="27" t="s">
        <v>317</v>
      </c>
      <c r="E948" s="27" t="s">
        <v>1681</v>
      </c>
      <c r="F948" s="51">
        <v>172342</v>
      </c>
      <c r="G948" s="27"/>
    </row>
    <row r="949" spans="1:7">
      <c r="A949" s="27">
        <v>34</v>
      </c>
      <c r="B949" s="27" t="s">
        <v>358</v>
      </c>
      <c r="C949" s="27" t="s">
        <v>404</v>
      </c>
      <c r="D949" s="27" t="s">
        <v>293</v>
      </c>
      <c r="E949" s="27" t="s">
        <v>1681</v>
      </c>
      <c r="F949" s="51">
        <v>102427</v>
      </c>
      <c r="G949" s="27"/>
    </row>
    <row r="950" spans="1:7">
      <c r="A950" s="27">
        <v>34</v>
      </c>
      <c r="B950" s="27" t="s">
        <v>358</v>
      </c>
      <c r="C950" s="27" t="s">
        <v>404</v>
      </c>
      <c r="D950" s="27" t="s">
        <v>294</v>
      </c>
      <c r="E950" s="27" t="s">
        <v>1681</v>
      </c>
      <c r="F950" s="51">
        <v>147412</v>
      </c>
      <c r="G950" s="27"/>
    </row>
    <row r="951" spans="1:7">
      <c r="A951" s="27">
        <v>34</v>
      </c>
      <c r="B951" s="27" t="s">
        <v>358</v>
      </c>
      <c r="C951" s="27" t="s">
        <v>404</v>
      </c>
      <c r="D951" s="27" t="s">
        <v>303</v>
      </c>
      <c r="E951" s="27" t="s">
        <v>1681</v>
      </c>
      <c r="F951" s="51">
        <v>16200</v>
      </c>
      <c r="G951" s="27"/>
    </row>
    <row r="952" spans="1:7">
      <c r="A952" s="27">
        <v>34</v>
      </c>
      <c r="B952" s="27" t="s">
        <v>358</v>
      </c>
      <c r="C952" s="27" t="s">
        <v>404</v>
      </c>
      <c r="D952" s="27" t="s">
        <v>318</v>
      </c>
      <c r="E952" s="27" t="s">
        <v>1681</v>
      </c>
      <c r="F952" s="51">
        <v>1584125</v>
      </c>
      <c r="G952" s="27"/>
    </row>
    <row r="953" spans="1:7">
      <c r="A953" s="27">
        <v>34</v>
      </c>
      <c r="B953" s="27" t="s">
        <v>358</v>
      </c>
      <c r="C953" s="27" t="s">
        <v>404</v>
      </c>
      <c r="D953" s="27" t="s">
        <v>319</v>
      </c>
      <c r="E953" s="27" t="s">
        <v>1681</v>
      </c>
      <c r="F953" s="51">
        <v>145499</v>
      </c>
      <c r="G953" s="27"/>
    </row>
    <row r="954" spans="1:7">
      <c r="A954" s="27">
        <v>34</v>
      </c>
      <c r="B954" s="27" t="s">
        <v>358</v>
      </c>
      <c r="C954" s="27" t="s">
        <v>404</v>
      </c>
      <c r="D954" s="27" t="s">
        <v>296</v>
      </c>
      <c r="E954" s="27" t="s">
        <v>1681</v>
      </c>
      <c r="F954" s="51">
        <v>2299727</v>
      </c>
      <c r="G954" s="27"/>
    </row>
    <row r="955" spans="1:7">
      <c r="A955" s="27">
        <v>34</v>
      </c>
      <c r="B955" s="27" t="s">
        <v>358</v>
      </c>
      <c r="C955" s="27" t="s">
        <v>404</v>
      </c>
      <c r="D955" s="27" t="s">
        <v>400</v>
      </c>
      <c r="E955" s="27" t="s">
        <v>1681</v>
      </c>
      <c r="F955" s="51">
        <v>206104</v>
      </c>
      <c r="G955" s="27"/>
    </row>
    <row r="956" spans="1:7">
      <c r="A956" s="27">
        <v>34</v>
      </c>
      <c r="B956" s="27" t="s">
        <v>358</v>
      </c>
      <c r="C956" s="27" t="s">
        <v>404</v>
      </c>
      <c r="D956" s="27" t="s">
        <v>298</v>
      </c>
      <c r="E956" s="27" t="s">
        <v>1681</v>
      </c>
      <c r="F956" s="51">
        <v>403669</v>
      </c>
      <c r="G956" s="27"/>
    </row>
    <row r="957" spans="1:7">
      <c r="A957" s="27">
        <v>34</v>
      </c>
      <c r="B957" s="27" t="s">
        <v>358</v>
      </c>
      <c r="C957" s="27" t="s">
        <v>404</v>
      </c>
      <c r="D957" s="27" t="s">
        <v>401</v>
      </c>
      <c r="E957" s="27" t="s">
        <v>1681</v>
      </c>
      <c r="F957" s="51">
        <v>35163</v>
      </c>
      <c r="G957" s="27"/>
    </row>
    <row r="958" spans="1:7">
      <c r="A958" s="27">
        <v>34</v>
      </c>
      <c r="B958" s="27" t="s">
        <v>358</v>
      </c>
      <c r="C958" s="27" t="s">
        <v>404</v>
      </c>
      <c r="D958" s="27" t="s">
        <v>1347</v>
      </c>
      <c r="E958" s="27" t="s">
        <v>1681</v>
      </c>
      <c r="F958" s="51">
        <v>57541</v>
      </c>
      <c r="G958" s="27"/>
    </row>
    <row r="959" spans="1:7">
      <c r="A959" s="27">
        <v>34</v>
      </c>
      <c r="B959" s="27" t="s">
        <v>358</v>
      </c>
      <c r="C959" s="27" t="s">
        <v>404</v>
      </c>
      <c r="D959" s="27" t="s">
        <v>402</v>
      </c>
      <c r="E959" s="27" t="s">
        <v>1681</v>
      </c>
      <c r="F959" s="51">
        <v>580944</v>
      </c>
      <c r="G959" s="27"/>
    </row>
    <row r="960" spans="1:7">
      <c r="A960" s="27">
        <v>34</v>
      </c>
      <c r="B960" s="27" t="s">
        <v>358</v>
      </c>
      <c r="C960" s="27" t="s">
        <v>404</v>
      </c>
      <c r="D960" s="27" t="s">
        <v>299</v>
      </c>
      <c r="E960" s="27" t="s">
        <v>1681</v>
      </c>
      <c r="F960" s="51">
        <v>170916</v>
      </c>
      <c r="G960" s="27"/>
    </row>
    <row r="961" spans="1:7">
      <c r="A961" s="27">
        <v>34</v>
      </c>
      <c r="B961" s="27" t="s">
        <v>358</v>
      </c>
      <c r="C961" s="27" t="s">
        <v>404</v>
      </c>
      <c r="D961" s="27" t="s">
        <v>338</v>
      </c>
      <c r="E961" s="27" t="s">
        <v>1681</v>
      </c>
      <c r="F961" s="51">
        <v>14767</v>
      </c>
      <c r="G961" s="27"/>
    </row>
    <row r="962" spans="1:7">
      <c r="A962" s="27">
        <v>34</v>
      </c>
      <c r="B962" s="27" t="s">
        <v>358</v>
      </c>
      <c r="C962" s="27" t="s">
        <v>404</v>
      </c>
      <c r="D962" s="27" t="s">
        <v>300</v>
      </c>
      <c r="E962" s="27" t="s">
        <v>1681</v>
      </c>
      <c r="F962" s="51">
        <v>56546</v>
      </c>
      <c r="G962" s="27"/>
    </row>
    <row r="963" spans="1:7">
      <c r="A963" s="27">
        <v>35</v>
      </c>
      <c r="B963" s="27" t="s">
        <v>226</v>
      </c>
      <c r="C963" s="27" t="s">
        <v>227</v>
      </c>
      <c r="D963" s="27" t="s">
        <v>408</v>
      </c>
      <c r="E963" s="27" t="s">
        <v>1682</v>
      </c>
      <c r="F963" s="51">
        <v>38635</v>
      </c>
      <c r="G963" s="27"/>
    </row>
    <row r="964" spans="1:7">
      <c r="A964" s="27">
        <v>35</v>
      </c>
      <c r="B964" s="27" t="s">
        <v>226</v>
      </c>
      <c r="C964" s="27" t="s">
        <v>227</v>
      </c>
      <c r="D964" s="27" t="s">
        <v>394</v>
      </c>
      <c r="E964" s="27" t="s">
        <v>1682</v>
      </c>
      <c r="F964" s="51">
        <v>250000</v>
      </c>
      <c r="G964" s="27"/>
    </row>
    <row r="965" spans="1:7">
      <c r="A965" s="27">
        <v>35</v>
      </c>
      <c r="B965" s="27" t="s">
        <v>226</v>
      </c>
      <c r="C965" s="27" t="s">
        <v>227</v>
      </c>
      <c r="D965" s="27" t="s">
        <v>397</v>
      </c>
      <c r="E965" s="27" t="s">
        <v>1682</v>
      </c>
      <c r="F965" s="51">
        <v>55000</v>
      </c>
      <c r="G965" s="27"/>
    </row>
    <row r="966" spans="1:7">
      <c r="A966" s="27">
        <v>35</v>
      </c>
      <c r="B966" s="27" t="s">
        <v>226</v>
      </c>
      <c r="C966" s="27" t="s">
        <v>227</v>
      </c>
      <c r="D966" s="27" t="s">
        <v>411</v>
      </c>
      <c r="E966" s="27" t="s">
        <v>1682</v>
      </c>
      <c r="F966" s="51">
        <v>2142</v>
      </c>
      <c r="G966" s="27"/>
    </row>
    <row r="967" spans="1:7">
      <c r="A967" s="27">
        <v>35</v>
      </c>
      <c r="B967" s="27" t="s">
        <v>226</v>
      </c>
      <c r="C967" s="27" t="s">
        <v>227</v>
      </c>
      <c r="D967" s="27" t="s">
        <v>412</v>
      </c>
      <c r="E967" s="27" t="s">
        <v>1682</v>
      </c>
      <c r="F967" s="51">
        <v>58462</v>
      </c>
      <c r="G967" s="27"/>
    </row>
    <row r="968" spans="1:7">
      <c r="A968" s="27">
        <v>35</v>
      </c>
      <c r="B968" s="27" t="s">
        <v>226</v>
      </c>
      <c r="C968" s="27" t="s">
        <v>227</v>
      </c>
      <c r="D968" s="27" t="s">
        <v>398</v>
      </c>
      <c r="E968" s="27" t="s">
        <v>1682</v>
      </c>
      <c r="F968" s="51">
        <v>10424</v>
      </c>
      <c r="G968" s="27"/>
    </row>
    <row r="969" spans="1:7">
      <c r="A969" s="27">
        <v>35</v>
      </c>
      <c r="B969" s="27" t="s">
        <v>226</v>
      </c>
      <c r="C969" s="27" t="s">
        <v>227</v>
      </c>
      <c r="D969" s="27" t="s">
        <v>415</v>
      </c>
      <c r="E969" s="27" t="s">
        <v>1682</v>
      </c>
      <c r="F969" s="51">
        <v>4318</v>
      </c>
      <c r="G969" s="27"/>
    </row>
    <row r="970" spans="1:7">
      <c r="A970" s="27">
        <v>35</v>
      </c>
      <c r="B970" s="27" t="s">
        <v>226</v>
      </c>
      <c r="C970" s="27" t="s">
        <v>227</v>
      </c>
      <c r="D970" s="27" t="s">
        <v>291</v>
      </c>
      <c r="E970" s="27" t="s">
        <v>1681</v>
      </c>
      <c r="F970" s="51">
        <v>9808</v>
      </c>
      <c r="G970" s="27"/>
    </row>
    <row r="971" spans="1:7">
      <c r="A971" s="27">
        <v>35</v>
      </c>
      <c r="B971" s="27" t="s">
        <v>226</v>
      </c>
      <c r="C971" s="27" t="s">
        <v>227</v>
      </c>
      <c r="D971" s="27" t="s">
        <v>399</v>
      </c>
      <c r="E971" s="27" t="s">
        <v>1681</v>
      </c>
      <c r="F971" s="51">
        <v>840029</v>
      </c>
      <c r="G971" s="27"/>
    </row>
    <row r="972" spans="1:7">
      <c r="A972" s="27">
        <v>35</v>
      </c>
      <c r="B972" s="27" t="s">
        <v>226</v>
      </c>
      <c r="C972" s="27" t="s">
        <v>227</v>
      </c>
      <c r="D972" s="27" t="s">
        <v>296</v>
      </c>
      <c r="E972" s="27" t="s">
        <v>1681</v>
      </c>
      <c r="F972" s="51">
        <v>409275</v>
      </c>
      <c r="G972" s="27"/>
    </row>
    <row r="973" spans="1:7">
      <c r="A973" s="27">
        <v>35</v>
      </c>
      <c r="B973" s="27" t="s">
        <v>226</v>
      </c>
      <c r="C973" s="27" t="s">
        <v>227</v>
      </c>
      <c r="D973" s="27" t="s">
        <v>400</v>
      </c>
      <c r="E973" s="27" t="s">
        <v>1681</v>
      </c>
      <c r="F973" s="51">
        <v>933311</v>
      </c>
      <c r="G973" s="27"/>
    </row>
    <row r="974" spans="1:7">
      <c r="A974" s="27">
        <v>35</v>
      </c>
      <c r="B974" s="27" t="s">
        <v>226</v>
      </c>
      <c r="C974" s="27" t="s">
        <v>227</v>
      </c>
      <c r="D974" s="27" t="s">
        <v>298</v>
      </c>
      <c r="E974" s="27" t="s">
        <v>1681</v>
      </c>
      <c r="F974" s="51">
        <v>33710</v>
      </c>
      <c r="G974" s="27"/>
    </row>
    <row r="975" spans="1:7">
      <c r="A975" s="27">
        <v>35</v>
      </c>
      <c r="B975" s="27" t="s">
        <v>226</v>
      </c>
      <c r="C975" s="27" t="s">
        <v>227</v>
      </c>
      <c r="D975" s="27" t="s">
        <v>401</v>
      </c>
      <c r="E975" s="27" t="s">
        <v>1681</v>
      </c>
      <c r="F975" s="51">
        <v>14996</v>
      </c>
      <c r="G975" s="27"/>
    </row>
    <row r="976" spans="1:7">
      <c r="A976" s="27">
        <v>35</v>
      </c>
      <c r="B976" s="27" t="s">
        <v>226</v>
      </c>
      <c r="C976" s="27" t="s">
        <v>227</v>
      </c>
      <c r="D976" s="27" t="s">
        <v>402</v>
      </c>
      <c r="E976" s="27" t="s">
        <v>1681</v>
      </c>
      <c r="F976" s="51">
        <v>473</v>
      </c>
      <c r="G976" s="27"/>
    </row>
    <row r="977" spans="1:7">
      <c r="A977" s="27">
        <v>36</v>
      </c>
      <c r="B977" s="27" t="s">
        <v>228</v>
      </c>
      <c r="C977" s="27" t="s">
        <v>302</v>
      </c>
      <c r="D977" s="27" t="s">
        <v>408</v>
      </c>
      <c r="E977" s="27" t="s">
        <v>1682</v>
      </c>
      <c r="F977" s="51">
        <v>15966</v>
      </c>
      <c r="G977" s="27"/>
    </row>
    <row r="978" spans="1:7">
      <c r="A978" s="27">
        <v>36</v>
      </c>
      <c r="B978" s="27" t="s">
        <v>228</v>
      </c>
      <c r="C978" s="27" t="s">
        <v>302</v>
      </c>
      <c r="D978" s="27" t="s">
        <v>397</v>
      </c>
      <c r="E978" s="27" t="s">
        <v>1682</v>
      </c>
      <c r="F978" s="51">
        <v>103975</v>
      </c>
      <c r="G978" s="27"/>
    </row>
    <row r="979" spans="1:7">
      <c r="A979" s="27">
        <v>36</v>
      </c>
      <c r="B979" s="27" t="s">
        <v>228</v>
      </c>
      <c r="C979" s="27" t="s">
        <v>302</v>
      </c>
      <c r="D979" s="27" t="s">
        <v>291</v>
      </c>
      <c r="E979" s="27" t="s">
        <v>1681</v>
      </c>
      <c r="F979" s="51">
        <v>1802</v>
      </c>
      <c r="G979" s="27"/>
    </row>
    <row r="980" spans="1:7">
      <c r="A980" s="27">
        <v>36</v>
      </c>
      <c r="B980" s="27" t="s">
        <v>228</v>
      </c>
      <c r="C980" s="27" t="s">
        <v>302</v>
      </c>
      <c r="D980" s="27" t="s">
        <v>399</v>
      </c>
      <c r="E980" s="27" t="s">
        <v>1681</v>
      </c>
      <c r="F980" s="51">
        <v>1470095</v>
      </c>
      <c r="G980" s="27"/>
    </row>
    <row r="981" spans="1:7">
      <c r="A981" s="27">
        <v>36</v>
      </c>
      <c r="B981" s="27" t="s">
        <v>228</v>
      </c>
      <c r="C981" s="27" t="s">
        <v>302</v>
      </c>
      <c r="D981" s="27" t="s">
        <v>296</v>
      </c>
      <c r="E981" s="27" t="s">
        <v>1681</v>
      </c>
      <c r="F981" s="51">
        <v>4954</v>
      </c>
      <c r="G981" s="27"/>
    </row>
    <row r="982" spans="1:7">
      <c r="A982" s="27">
        <v>36</v>
      </c>
      <c r="B982" s="27" t="s">
        <v>228</v>
      </c>
      <c r="C982" s="27" t="s">
        <v>302</v>
      </c>
      <c r="D982" s="27" t="s">
        <v>400</v>
      </c>
      <c r="E982" s="27" t="s">
        <v>1681</v>
      </c>
      <c r="F982" s="51">
        <v>59245</v>
      </c>
      <c r="G982" s="27"/>
    </row>
    <row r="983" spans="1:7">
      <c r="A983" s="27">
        <v>36</v>
      </c>
      <c r="B983" s="27" t="s">
        <v>228</v>
      </c>
      <c r="C983" s="27" t="s">
        <v>302</v>
      </c>
      <c r="D983" s="27" t="s">
        <v>401</v>
      </c>
      <c r="E983" s="27" t="s">
        <v>1681</v>
      </c>
      <c r="F983" s="51">
        <v>30000</v>
      </c>
      <c r="G983" s="27"/>
    </row>
    <row r="984" spans="1:7">
      <c r="A984" s="27">
        <v>36</v>
      </c>
      <c r="B984" s="27" t="s">
        <v>228</v>
      </c>
      <c r="C984" s="27" t="s">
        <v>302</v>
      </c>
      <c r="D984" s="27" t="s">
        <v>402</v>
      </c>
      <c r="E984" s="27" t="s">
        <v>1681</v>
      </c>
      <c r="F984" s="51">
        <v>19325</v>
      </c>
      <c r="G984" s="27"/>
    </row>
    <row r="985" spans="1:7">
      <c r="A985" s="27">
        <v>37</v>
      </c>
      <c r="B985" s="27" t="s">
        <v>229</v>
      </c>
      <c r="C985" s="27" t="s">
        <v>404</v>
      </c>
      <c r="D985" s="27" t="s">
        <v>406</v>
      </c>
      <c r="E985" s="27" t="s">
        <v>1682</v>
      </c>
      <c r="F985" s="51">
        <v>21022</v>
      </c>
      <c r="G985" s="27"/>
    </row>
    <row r="986" spans="1:7">
      <c r="A986" s="27">
        <v>37</v>
      </c>
      <c r="B986" s="27" t="s">
        <v>229</v>
      </c>
      <c r="C986" s="27" t="s">
        <v>404</v>
      </c>
      <c r="D986" s="27" t="s">
        <v>408</v>
      </c>
      <c r="E986" s="27" t="s">
        <v>1682</v>
      </c>
      <c r="F986" s="51">
        <v>508154</v>
      </c>
      <c r="G986" s="27"/>
    </row>
    <row r="987" spans="1:7">
      <c r="A987" s="27">
        <v>37</v>
      </c>
      <c r="B987" s="27" t="s">
        <v>229</v>
      </c>
      <c r="C987" s="27" t="s">
        <v>404</v>
      </c>
      <c r="D987" s="27" t="s">
        <v>394</v>
      </c>
      <c r="E987" s="27" t="s">
        <v>1682</v>
      </c>
      <c r="F987" s="51">
        <v>230744</v>
      </c>
      <c r="G987" s="27"/>
    </row>
    <row r="988" spans="1:7">
      <c r="A988" s="27">
        <v>37</v>
      </c>
      <c r="B988" s="27" t="s">
        <v>229</v>
      </c>
      <c r="C988" s="27" t="s">
        <v>404</v>
      </c>
      <c r="D988" s="27" t="s">
        <v>396</v>
      </c>
      <c r="E988" s="27" t="s">
        <v>1682</v>
      </c>
      <c r="F988" s="51">
        <v>126472</v>
      </c>
      <c r="G988" s="27"/>
    </row>
    <row r="989" spans="1:7">
      <c r="A989" s="27">
        <v>37</v>
      </c>
      <c r="B989" s="27" t="s">
        <v>229</v>
      </c>
      <c r="C989" s="27" t="s">
        <v>404</v>
      </c>
      <c r="D989" s="27" t="s">
        <v>397</v>
      </c>
      <c r="E989" s="27" t="s">
        <v>1682</v>
      </c>
      <c r="F989" s="51">
        <v>232709</v>
      </c>
      <c r="G989" s="27"/>
    </row>
    <row r="990" spans="1:7">
      <c r="A990" s="27">
        <v>37</v>
      </c>
      <c r="B990" s="27" t="s">
        <v>229</v>
      </c>
      <c r="C990" s="27" t="s">
        <v>404</v>
      </c>
      <c r="D990" s="27" t="s">
        <v>411</v>
      </c>
      <c r="E990" s="27" t="s">
        <v>1682</v>
      </c>
      <c r="F990" s="51">
        <v>104240</v>
      </c>
      <c r="G990" s="27"/>
    </row>
    <row r="991" spans="1:7">
      <c r="A991" s="27">
        <v>37</v>
      </c>
      <c r="B991" s="27" t="s">
        <v>229</v>
      </c>
      <c r="C991" s="27" t="s">
        <v>404</v>
      </c>
      <c r="D991" s="27" t="s">
        <v>412</v>
      </c>
      <c r="E991" s="27" t="s">
        <v>1682</v>
      </c>
      <c r="F991" s="51">
        <v>71772</v>
      </c>
      <c r="G991" s="27"/>
    </row>
    <row r="992" spans="1:7">
      <c r="A992" s="27">
        <v>37</v>
      </c>
      <c r="B992" s="27" t="s">
        <v>229</v>
      </c>
      <c r="C992" s="27" t="s">
        <v>404</v>
      </c>
      <c r="D992" s="27" t="s">
        <v>413</v>
      </c>
      <c r="E992" s="27" t="s">
        <v>1682</v>
      </c>
      <c r="F992" s="51">
        <v>13924</v>
      </c>
      <c r="G992" s="27"/>
    </row>
    <row r="993" spans="1:7">
      <c r="A993" s="27">
        <v>37</v>
      </c>
      <c r="B993" s="27" t="s">
        <v>229</v>
      </c>
      <c r="C993" s="27" t="s">
        <v>404</v>
      </c>
      <c r="D993" s="27" t="s">
        <v>414</v>
      </c>
      <c r="E993" s="27" t="s">
        <v>1682</v>
      </c>
      <c r="F993" s="51">
        <v>7608</v>
      </c>
      <c r="G993" s="27"/>
    </row>
    <row r="994" spans="1:7">
      <c r="A994" s="27">
        <v>37</v>
      </c>
      <c r="B994" s="27" t="s">
        <v>229</v>
      </c>
      <c r="C994" s="27" t="s">
        <v>404</v>
      </c>
      <c r="D994" s="27" t="s">
        <v>398</v>
      </c>
      <c r="E994" s="27" t="s">
        <v>1682</v>
      </c>
      <c r="F994" s="51">
        <v>8777</v>
      </c>
      <c r="G994" s="27"/>
    </row>
    <row r="995" spans="1:7">
      <c r="A995" s="27">
        <v>37</v>
      </c>
      <c r="B995" s="27" t="s">
        <v>229</v>
      </c>
      <c r="C995" s="27" t="s">
        <v>404</v>
      </c>
      <c r="D995" s="27" t="s">
        <v>415</v>
      </c>
      <c r="E995" s="27" t="s">
        <v>1682</v>
      </c>
      <c r="F995" s="51">
        <v>10908</v>
      </c>
      <c r="G995" s="27"/>
    </row>
    <row r="996" spans="1:7">
      <c r="A996" s="27">
        <v>37</v>
      </c>
      <c r="B996" s="27" t="s">
        <v>229</v>
      </c>
      <c r="C996" s="27" t="s">
        <v>404</v>
      </c>
      <c r="D996" s="27" t="s">
        <v>335</v>
      </c>
      <c r="E996" s="27" t="s">
        <v>1681</v>
      </c>
      <c r="F996" s="51">
        <v>5504</v>
      </c>
      <c r="G996" s="27"/>
    </row>
    <row r="997" spans="1:7">
      <c r="A997" s="27">
        <v>37</v>
      </c>
      <c r="B997" s="27" t="s">
        <v>229</v>
      </c>
      <c r="C997" s="27" t="s">
        <v>404</v>
      </c>
      <c r="D997" s="27" t="s">
        <v>291</v>
      </c>
      <c r="E997" s="27" t="s">
        <v>1681</v>
      </c>
      <c r="F997" s="51">
        <v>7676</v>
      </c>
      <c r="G997" s="27"/>
    </row>
    <row r="998" spans="1:7">
      <c r="A998" s="27">
        <v>37</v>
      </c>
      <c r="B998" s="27" t="s">
        <v>229</v>
      </c>
      <c r="C998" s="27" t="s">
        <v>404</v>
      </c>
      <c r="D998" s="27" t="s">
        <v>399</v>
      </c>
      <c r="E998" s="27" t="s">
        <v>1681</v>
      </c>
      <c r="F998" s="51">
        <v>5526687</v>
      </c>
      <c r="G998" s="27"/>
    </row>
    <row r="999" spans="1:7">
      <c r="A999" s="27">
        <v>37</v>
      </c>
      <c r="B999" s="27" t="s">
        <v>229</v>
      </c>
      <c r="C999" s="27" t="s">
        <v>404</v>
      </c>
      <c r="D999" s="27" t="s">
        <v>294</v>
      </c>
      <c r="E999" s="27" t="s">
        <v>1681</v>
      </c>
      <c r="F999" s="51">
        <v>5864</v>
      </c>
      <c r="G999" s="27"/>
    </row>
    <row r="1000" spans="1:7">
      <c r="A1000" s="27">
        <v>37</v>
      </c>
      <c r="B1000" s="27" t="s">
        <v>229</v>
      </c>
      <c r="C1000" s="27" t="s">
        <v>404</v>
      </c>
      <c r="D1000" s="27" t="s">
        <v>296</v>
      </c>
      <c r="E1000" s="27" t="s">
        <v>1681</v>
      </c>
      <c r="F1000" s="51">
        <v>344671</v>
      </c>
      <c r="G1000" s="27"/>
    </row>
    <row r="1001" spans="1:7">
      <c r="A1001" s="27">
        <v>37</v>
      </c>
      <c r="B1001" s="27" t="s">
        <v>229</v>
      </c>
      <c r="C1001" s="27" t="s">
        <v>404</v>
      </c>
      <c r="D1001" s="27" t="s">
        <v>400</v>
      </c>
      <c r="E1001" s="27" t="s">
        <v>1681</v>
      </c>
      <c r="F1001" s="51">
        <v>190151</v>
      </c>
      <c r="G1001" s="27"/>
    </row>
    <row r="1002" spans="1:7">
      <c r="A1002" s="27">
        <v>37</v>
      </c>
      <c r="B1002" s="27" t="s">
        <v>229</v>
      </c>
      <c r="C1002" s="27" t="s">
        <v>404</v>
      </c>
      <c r="D1002" s="27" t="s">
        <v>298</v>
      </c>
      <c r="E1002" s="27" t="s">
        <v>1681</v>
      </c>
      <c r="F1002" s="51">
        <v>144794</v>
      </c>
      <c r="G1002" s="27"/>
    </row>
    <row r="1003" spans="1:7">
      <c r="A1003" s="27">
        <v>37</v>
      </c>
      <c r="B1003" s="27" t="s">
        <v>229</v>
      </c>
      <c r="C1003" s="27" t="s">
        <v>404</v>
      </c>
      <c r="D1003" s="27" t="s">
        <v>401</v>
      </c>
      <c r="E1003" s="27" t="s">
        <v>1681</v>
      </c>
      <c r="F1003" s="51">
        <v>30851</v>
      </c>
      <c r="G1003" s="27"/>
    </row>
    <row r="1004" spans="1:7">
      <c r="A1004" s="27">
        <v>37</v>
      </c>
      <c r="B1004" s="27" t="s">
        <v>229</v>
      </c>
      <c r="C1004" s="27" t="s">
        <v>404</v>
      </c>
      <c r="D1004" s="27" t="s">
        <v>1347</v>
      </c>
      <c r="E1004" s="27" t="s">
        <v>1681</v>
      </c>
      <c r="F1004" s="51">
        <v>8327</v>
      </c>
      <c r="G1004" s="27"/>
    </row>
    <row r="1005" spans="1:7">
      <c r="A1005" s="27">
        <v>37</v>
      </c>
      <c r="B1005" s="27" t="s">
        <v>229</v>
      </c>
      <c r="C1005" s="27" t="s">
        <v>404</v>
      </c>
      <c r="D1005" s="27" t="s">
        <v>402</v>
      </c>
      <c r="E1005" s="27" t="s">
        <v>1681</v>
      </c>
      <c r="F1005" s="51">
        <v>182884</v>
      </c>
      <c r="G1005" s="27"/>
    </row>
    <row r="1006" spans="1:7">
      <c r="A1006" s="27">
        <v>37</v>
      </c>
      <c r="B1006" s="27" t="s">
        <v>229</v>
      </c>
      <c r="C1006" s="27" t="s">
        <v>404</v>
      </c>
      <c r="D1006" s="27" t="s">
        <v>299</v>
      </c>
      <c r="E1006" s="27" t="s">
        <v>1681</v>
      </c>
      <c r="F1006" s="51">
        <v>20686</v>
      </c>
      <c r="G1006" s="27"/>
    </row>
    <row r="1007" spans="1:7">
      <c r="A1007" s="27">
        <v>38</v>
      </c>
      <c r="B1007" s="27" t="s">
        <v>230</v>
      </c>
      <c r="C1007" s="27" t="s">
        <v>393</v>
      </c>
      <c r="D1007" s="27" t="s">
        <v>399</v>
      </c>
      <c r="E1007" s="27" t="s">
        <v>1681</v>
      </c>
      <c r="F1007" s="51">
        <v>3198804</v>
      </c>
      <c r="G1007" s="27"/>
    </row>
    <row r="1008" spans="1:7">
      <c r="A1008" s="27">
        <v>38</v>
      </c>
      <c r="B1008" s="27" t="s">
        <v>230</v>
      </c>
      <c r="C1008" s="27" t="s">
        <v>393</v>
      </c>
      <c r="D1008" s="27" t="s">
        <v>300</v>
      </c>
      <c r="E1008" s="27" t="s">
        <v>1681</v>
      </c>
      <c r="F1008" s="51">
        <v>14000</v>
      </c>
      <c r="G1008" s="27"/>
    </row>
    <row r="1009" spans="1:7">
      <c r="A1009" s="27">
        <v>39</v>
      </c>
      <c r="B1009" s="27" t="s">
        <v>231</v>
      </c>
      <c r="C1009" s="27" t="s">
        <v>302</v>
      </c>
      <c r="D1009" s="27" t="s">
        <v>408</v>
      </c>
      <c r="E1009" s="27" t="s">
        <v>1682</v>
      </c>
      <c r="F1009" s="51">
        <v>3990</v>
      </c>
      <c r="G1009" s="27"/>
    </row>
    <row r="1010" spans="1:7">
      <c r="A1010" s="27">
        <v>39</v>
      </c>
      <c r="B1010" s="27" t="s">
        <v>231</v>
      </c>
      <c r="C1010" s="27" t="s">
        <v>302</v>
      </c>
      <c r="D1010" s="27" t="s">
        <v>394</v>
      </c>
      <c r="E1010" s="27" t="s">
        <v>1682</v>
      </c>
      <c r="F1010" s="51">
        <v>42071</v>
      </c>
      <c r="G1010" s="27"/>
    </row>
    <row r="1011" spans="1:7">
      <c r="A1011" s="27">
        <v>39</v>
      </c>
      <c r="B1011" s="27" t="s">
        <v>231</v>
      </c>
      <c r="C1011" s="27" t="s">
        <v>302</v>
      </c>
      <c r="D1011" s="27" t="s">
        <v>396</v>
      </c>
      <c r="E1011" s="27" t="s">
        <v>1682</v>
      </c>
      <c r="F1011" s="51">
        <v>36571</v>
      </c>
      <c r="G1011" s="27"/>
    </row>
    <row r="1012" spans="1:7">
      <c r="A1012" s="27">
        <v>39</v>
      </c>
      <c r="B1012" s="27" t="s">
        <v>231</v>
      </c>
      <c r="C1012" s="27" t="s">
        <v>302</v>
      </c>
      <c r="D1012" s="27" t="s">
        <v>397</v>
      </c>
      <c r="E1012" s="27" t="s">
        <v>1682</v>
      </c>
      <c r="F1012" s="51">
        <v>14116</v>
      </c>
      <c r="G1012" s="27"/>
    </row>
    <row r="1013" spans="1:7">
      <c r="A1013" s="27">
        <v>39</v>
      </c>
      <c r="B1013" s="27" t="s">
        <v>231</v>
      </c>
      <c r="C1013" s="27" t="s">
        <v>302</v>
      </c>
      <c r="D1013" s="27" t="s">
        <v>411</v>
      </c>
      <c r="E1013" s="27" t="s">
        <v>1682</v>
      </c>
      <c r="F1013" s="51">
        <v>409</v>
      </c>
      <c r="G1013" s="27"/>
    </row>
    <row r="1014" spans="1:7">
      <c r="A1014" s="27">
        <v>39</v>
      </c>
      <c r="B1014" s="27" t="s">
        <v>231</v>
      </c>
      <c r="C1014" s="27" t="s">
        <v>302</v>
      </c>
      <c r="D1014" s="27" t="s">
        <v>412</v>
      </c>
      <c r="E1014" s="27" t="s">
        <v>1682</v>
      </c>
      <c r="F1014" s="51">
        <v>4769</v>
      </c>
      <c r="G1014" s="27"/>
    </row>
    <row r="1015" spans="1:7">
      <c r="A1015" s="27">
        <v>39</v>
      </c>
      <c r="B1015" s="27" t="s">
        <v>231</v>
      </c>
      <c r="C1015" s="27" t="s">
        <v>302</v>
      </c>
      <c r="D1015" s="27" t="s">
        <v>398</v>
      </c>
      <c r="E1015" s="27" t="s">
        <v>1682</v>
      </c>
      <c r="F1015" s="51">
        <v>640</v>
      </c>
      <c r="G1015" s="27"/>
    </row>
    <row r="1016" spans="1:7">
      <c r="A1016" s="27">
        <v>39</v>
      </c>
      <c r="B1016" s="27" t="s">
        <v>231</v>
      </c>
      <c r="C1016" s="27" t="s">
        <v>302</v>
      </c>
      <c r="D1016" s="27" t="s">
        <v>415</v>
      </c>
      <c r="E1016" s="27" t="s">
        <v>1682</v>
      </c>
      <c r="F1016" s="51">
        <v>776</v>
      </c>
      <c r="G1016" s="27"/>
    </row>
    <row r="1017" spans="1:7">
      <c r="A1017" s="27">
        <v>39</v>
      </c>
      <c r="B1017" s="27" t="s">
        <v>231</v>
      </c>
      <c r="C1017" s="27" t="s">
        <v>302</v>
      </c>
      <c r="D1017" s="27" t="s">
        <v>399</v>
      </c>
      <c r="E1017" s="27" t="s">
        <v>1681</v>
      </c>
      <c r="F1017" s="51">
        <v>888167</v>
      </c>
      <c r="G1017" s="27"/>
    </row>
    <row r="1018" spans="1:7">
      <c r="A1018" s="27">
        <v>39</v>
      </c>
      <c r="B1018" s="27" t="s">
        <v>231</v>
      </c>
      <c r="C1018" s="27" t="s">
        <v>302</v>
      </c>
      <c r="D1018" s="27" t="s">
        <v>303</v>
      </c>
      <c r="E1018" s="27" t="s">
        <v>1681</v>
      </c>
      <c r="F1018" s="51">
        <v>17233</v>
      </c>
      <c r="G1018" s="27"/>
    </row>
    <row r="1019" spans="1:7">
      <c r="A1019" s="27">
        <v>39</v>
      </c>
      <c r="B1019" s="27" t="s">
        <v>231</v>
      </c>
      <c r="C1019" s="27" t="s">
        <v>302</v>
      </c>
      <c r="D1019" s="27" t="s">
        <v>296</v>
      </c>
      <c r="E1019" s="27" t="s">
        <v>1681</v>
      </c>
      <c r="F1019" s="51">
        <v>77979</v>
      </c>
      <c r="G1019" s="27"/>
    </row>
    <row r="1020" spans="1:7">
      <c r="A1020" s="27">
        <v>39</v>
      </c>
      <c r="B1020" s="27" t="s">
        <v>231</v>
      </c>
      <c r="C1020" s="27" t="s">
        <v>302</v>
      </c>
      <c r="D1020" s="27" t="s">
        <v>400</v>
      </c>
      <c r="E1020" s="27" t="s">
        <v>1681</v>
      </c>
      <c r="F1020" s="51">
        <v>27713</v>
      </c>
      <c r="G1020" s="27"/>
    </row>
    <row r="1021" spans="1:7">
      <c r="A1021" s="27">
        <v>39</v>
      </c>
      <c r="B1021" s="27" t="s">
        <v>231</v>
      </c>
      <c r="C1021" s="27" t="s">
        <v>302</v>
      </c>
      <c r="D1021" s="27" t="s">
        <v>401</v>
      </c>
      <c r="E1021" s="27" t="s">
        <v>1681</v>
      </c>
      <c r="F1021" s="51">
        <v>20919</v>
      </c>
      <c r="G1021" s="27"/>
    </row>
    <row r="1022" spans="1:7">
      <c r="A1022" s="27">
        <v>39</v>
      </c>
      <c r="B1022" s="27" t="s">
        <v>231</v>
      </c>
      <c r="C1022" s="27" t="s">
        <v>302</v>
      </c>
      <c r="D1022" s="27" t="s">
        <v>402</v>
      </c>
      <c r="E1022" s="27" t="s">
        <v>1681</v>
      </c>
      <c r="F1022" s="51">
        <v>39810</v>
      </c>
      <c r="G1022" s="27"/>
    </row>
    <row r="1023" spans="1:7">
      <c r="A1023" s="27">
        <v>40</v>
      </c>
      <c r="B1023" s="27" t="s">
        <v>232</v>
      </c>
      <c r="C1023" s="27" t="s">
        <v>311</v>
      </c>
      <c r="D1023" s="27" t="s">
        <v>408</v>
      </c>
      <c r="E1023" s="27" t="s">
        <v>1682</v>
      </c>
      <c r="F1023" s="51">
        <v>6215</v>
      </c>
      <c r="G1023" s="27"/>
    </row>
    <row r="1024" spans="1:7">
      <c r="A1024" s="27">
        <v>40</v>
      </c>
      <c r="B1024" s="27" t="s">
        <v>232</v>
      </c>
      <c r="C1024" s="27" t="s">
        <v>311</v>
      </c>
      <c r="D1024" s="27" t="s">
        <v>397</v>
      </c>
      <c r="E1024" s="27" t="s">
        <v>1682</v>
      </c>
      <c r="F1024" s="51">
        <v>12615</v>
      </c>
      <c r="G1024" s="27"/>
    </row>
    <row r="1025" spans="1:7">
      <c r="A1025" s="27">
        <v>40</v>
      </c>
      <c r="B1025" s="27" t="s">
        <v>232</v>
      </c>
      <c r="C1025" s="27" t="s">
        <v>311</v>
      </c>
      <c r="D1025" s="27" t="s">
        <v>412</v>
      </c>
      <c r="E1025" s="27" t="s">
        <v>1682</v>
      </c>
      <c r="F1025" s="51">
        <v>1500</v>
      </c>
      <c r="G1025" s="27"/>
    </row>
    <row r="1026" spans="1:7">
      <c r="A1026" s="27">
        <v>40</v>
      </c>
      <c r="B1026" s="27" t="s">
        <v>232</v>
      </c>
      <c r="C1026" s="27" t="s">
        <v>311</v>
      </c>
      <c r="D1026" s="27" t="s">
        <v>398</v>
      </c>
      <c r="E1026" s="27" t="s">
        <v>1682</v>
      </c>
      <c r="F1026" s="51">
        <v>1704</v>
      </c>
      <c r="G1026" s="27"/>
    </row>
    <row r="1027" spans="1:7">
      <c r="A1027" s="27">
        <v>40</v>
      </c>
      <c r="B1027" s="27" t="s">
        <v>232</v>
      </c>
      <c r="C1027" s="27" t="s">
        <v>311</v>
      </c>
      <c r="D1027" s="27" t="s">
        <v>415</v>
      </c>
      <c r="E1027" s="27" t="s">
        <v>1682</v>
      </c>
      <c r="F1027" s="51">
        <v>1775</v>
      </c>
      <c r="G1027" s="27"/>
    </row>
    <row r="1028" spans="1:7">
      <c r="A1028" s="27">
        <v>40</v>
      </c>
      <c r="B1028" s="27" t="s">
        <v>232</v>
      </c>
      <c r="C1028" s="27" t="s">
        <v>311</v>
      </c>
      <c r="D1028" s="27" t="s">
        <v>399</v>
      </c>
      <c r="E1028" s="27" t="s">
        <v>1681</v>
      </c>
      <c r="F1028" s="51">
        <v>599743</v>
      </c>
      <c r="G1028" s="27"/>
    </row>
    <row r="1029" spans="1:7">
      <c r="A1029" s="27">
        <v>40</v>
      </c>
      <c r="B1029" s="27" t="s">
        <v>232</v>
      </c>
      <c r="C1029" s="27" t="s">
        <v>311</v>
      </c>
      <c r="D1029" s="27" t="s">
        <v>295</v>
      </c>
      <c r="E1029" s="27" t="s">
        <v>1681</v>
      </c>
      <c r="F1029" s="51">
        <v>18000</v>
      </c>
      <c r="G1029" s="27"/>
    </row>
    <row r="1030" spans="1:7">
      <c r="A1030" s="27">
        <v>40</v>
      </c>
      <c r="B1030" s="27" t="s">
        <v>232</v>
      </c>
      <c r="C1030" s="27" t="s">
        <v>311</v>
      </c>
      <c r="D1030" s="27" t="s">
        <v>296</v>
      </c>
      <c r="E1030" s="27" t="s">
        <v>1681</v>
      </c>
      <c r="F1030" s="51">
        <v>381472</v>
      </c>
      <c r="G1030" s="27"/>
    </row>
    <row r="1031" spans="1:7">
      <c r="A1031" s="27">
        <v>40</v>
      </c>
      <c r="B1031" s="27" t="s">
        <v>232</v>
      </c>
      <c r="C1031" s="27" t="s">
        <v>311</v>
      </c>
      <c r="D1031" s="27" t="s">
        <v>400</v>
      </c>
      <c r="E1031" s="27" t="s">
        <v>1681</v>
      </c>
      <c r="F1031" s="51">
        <v>91497</v>
      </c>
      <c r="G1031" s="27"/>
    </row>
    <row r="1032" spans="1:7">
      <c r="A1032" s="27">
        <v>40</v>
      </c>
      <c r="B1032" s="27" t="s">
        <v>232</v>
      </c>
      <c r="C1032" s="27" t="s">
        <v>311</v>
      </c>
      <c r="D1032" s="27" t="s">
        <v>298</v>
      </c>
      <c r="E1032" s="27" t="s">
        <v>1681</v>
      </c>
      <c r="F1032" s="51">
        <v>22046</v>
      </c>
      <c r="G1032" s="27"/>
    </row>
    <row r="1033" spans="1:7">
      <c r="A1033" s="27">
        <v>40</v>
      </c>
      <c r="B1033" s="27" t="s">
        <v>232</v>
      </c>
      <c r="C1033" s="27" t="s">
        <v>311</v>
      </c>
      <c r="D1033" s="27" t="s">
        <v>401</v>
      </c>
      <c r="E1033" s="27" t="s">
        <v>1681</v>
      </c>
      <c r="F1033" s="51">
        <v>14966</v>
      </c>
      <c r="G1033" s="27"/>
    </row>
    <row r="1034" spans="1:7">
      <c r="A1034" s="27">
        <v>40</v>
      </c>
      <c r="B1034" s="27" t="s">
        <v>232</v>
      </c>
      <c r="C1034" s="27" t="s">
        <v>311</v>
      </c>
      <c r="D1034" s="27" t="s">
        <v>402</v>
      </c>
      <c r="E1034" s="27" t="s">
        <v>1681</v>
      </c>
      <c r="F1034" s="51">
        <v>25913</v>
      </c>
      <c r="G1034" s="27"/>
    </row>
    <row r="1035" spans="1:7">
      <c r="A1035" s="27">
        <v>40</v>
      </c>
      <c r="B1035" s="27" t="s">
        <v>232</v>
      </c>
      <c r="C1035" s="27" t="s">
        <v>311</v>
      </c>
      <c r="D1035" s="27" t="s">
        <v>300</v>
      </c>
      <c r="E1035" s="27" t="s">
        <v>1681</v>
      </c>
      <c r="F1035" s="51">
        <v>14000</v>
      </c>
      <c r="G1035" s="27"/>
    </row>
    <row r="1036" spans="1:7">
      <c r="A1036" s="27">
        <v>41</v>
      </c>
      <c r="B1036" s="27" t="s">
        <v>233</v>
      </c>
      <c r="C1036" s="27" t="s">
        <v>302</v>
      </c>
      <c r="D1036" s="27" t="s">
        <v>408</v>
      </c>
      <c r="E1036" s="27" t="s">
        <v>1682</v>
      </c>
      <c r="F1036" s="51">
        <v>36087</v>
      </c>
      <c r="G1036" s="27"/>
    </row>
    <row r="1037" spans="1:7">
      <c r="A1037" s="27">
        <v>41</v>
      </c>
      <c r="B1037" s="27" t="s">
        <v>233</v>
      </c>
      <c r="C1037" s="27" t="s">
        <v>302</v>
      </c>
      <c r="D1037" s="27" t="s">
        <v>394</v>
      </c>
      <c r="E1037" s="27" t="s">
        <v>1682</v>
      </c>
      <c r="F1037" s="51">
        <v>133523</v>
      </c>
      <c r="G1037" s="27"/>
    </row>
    <row r="1038" spans="1:7">
      <c r="A1038" s="27">
        <v>41</v>
      </c>
      <c r="B1038" s="27" t="s">
        <v>233</v>
      </c>
      <c r="C1038" s="27" t="s">
        <v>302</v>
      </c>
      <c r="D1038" s="27" t="s">
        <v>396</v>
      </c>
      <c r="E1038" s="27" t="s">
        <v>1682</v>
      </c>
      <c r="F1038" s="51">
        <v>42500</v>
      </c>
      <c r="G1038" s="27"/>
    </row>
    <row r="1039" spans="1:7">
      <c r="A1039" s="27">
        <v>41</v>
      </c>
      <c r="B1039" s="27" t="s">
        <v>233</v>
      </c>
      <c r="C1039" s="27" t="s">
        <v>302</v>
      </c>
      <c r="D1039" s="27" t="s">
        <v>397</v>
      </c>
      <c r="E1039" s="27" t="s">
        <v>1682</v>
      </c>
      <c r="F1039" s="51">
        <v>131014</v>
      </c>
      <c r="G1039" s="27"/>
    </row>
    <row r="1040" spans="1:7">
      <c r="A1040" s="27">
        <v>41</v>
      </c>
      <c r="B1040" s="27" t="s">
        <v>233</v>
      </c>
      <c r="C1040" s="27" t="s">
        <v>302</v>
      </c>
      <c r="D1040" s="27" t="s">
        <v>411</v>
      </c>
      <c r="E1040" s="27" t="s">
        <v>1682</v>
      </c>
      <c r="F1040" s="51">
        <v>1195</v>
      </c>
      <c r="G1040" s="27"/>
    </row>
    <row r="1041" spans="1:7">
      <c r="A1041" s="27">
        <v>41</v>
      </c>
      <c r="B1041" s="27" t="s">
        <v>233</v>
      </c>
      <c r="C1041" s="27" t="s">
        <v>302</v>
      </c>
      <c r="D1041" s="27" t="s">
        <v>412</v>
      </c>
      <c r="E1041" s="27" t="s">
        <v>1682</v>
      </c>
      <c r="F1041" s="51">
        <v>38517</v>
      </c>
      <c r="G1041" s="27"/>
    </row>
    <row r="1042" spans="1:7">
      <c r="A1042" s="27">
        <v>41</v>
      </c>
      <c r="B1042" s="27" t="s">
        <v>233</v>
      </c>
      <c r="C1042" s="27" t="s">
        <v>302</v>
      </c>
      <c r="D1042" s="27" t="s">
        <v>398</v>
      </c>
      <c r="E1042" s="27" t="s">
        <v>1682</v>
      </c>
      <c r="F1042" s="51">
        <v>5569</v>
      </c>
      <c r="G1042" s="27"/>
    </row>
    <row r="1043" spans="1:7">
      <c r="A1043" s="27">
        <v>41</v>
      </c>
      <c r="B1043" s="27" t="s">
        <v>233</v>
      </c>
      <c r="C1043" s="27" t="s">
        <v>302</v>
      </c>
      <c r="D1043" s="27" t="s">
        <v>415</v>
      </c>
      <c r="E1043" s="27" t="s">
        <v>1682</v>
      </c>
      <c r="F1043" s="51">
        <v>4548</v>
      </c>
      <c r="G1043" s="27"/>
    </row>
    <row r="1044" spans="1:7">
      <c r="A1044" s="27">
        <v>41</v>
      </c>
      <c r="B1044" s="27" t="s">
        <v>233</v>
      </c>
      <c r="C1044" s="27" t="s">
        <v>302</v>
      </c>
      <c r="D1044" s="27" t="s">
        <v>291</v>
      </c>
      <c r="E1044" s="27" t="s">
        <v>1681</v>
      </c>
      <c r="F1044" s="51">
        <v>3589</v>
      </c>
      <c r="G1044" s="27"/>
    </row>
    <row r="1045" spans="1:7">
      <c r="A1045" s="27">
        <v>41</v>
      </c>
      <c r="B1045" s="27" t="s">
        <v>233</v>
      </c>
      <c r="C1045" s="27" t="s">
        <v>302</v>
      </c>
      <c r="D1045" s="27" t="s">
        <v>399</v>
      </c>
      <c r="E1045" s="27" t="s">
        <v>1681</v>
      </c>
      <c r="F1045" s="51">
        <v>2939565</v>
      </c>
      <c r="G1045" s="27"/>
    </row>
    <row r="1046" spans="1:7">
      <c r="A1046" s="27">
        <v>41</v>
      </c>
      <c r="B1046" s="27" t="s">
        <v>233</v>
      </c>
      <c r="C1046" s="27" t="s">
        <v>302</v>
      </c>
      <c r="D1046" s="27" t="s">
        <v>304</v>
      </c>
      <c r="E1046" s="27" t="s">
        <v>1681</v>
      </c>
      <c r="F1046" s="51">
        <v>9500</v>
      </c>
      <c r="G1046" s="27"/>
    </row>
    <row r="1047" spans="1:7">
      <c r="A1047" s="27">
        <v>41</v>
      </c>
      <c r="B1047" s="27" t="s">
        <v>233</v>
      </c>
      <c r="C1047" s="27" t="s">
        <v>302</v>
      </c>
      <c r="D1047" s="27" t="s">
        <v>296</v>
      </c>
      <c r="E1047" s="27" t="s">
        <v>1681</v>
      </c>
      <c r="F1047" s="51">
        <v>840361</v>
      </c>
      <c r="G1047" s="27"/>
    </row>
    <row r="1048" spans="1:7">
      <c r="A1048" s="27">
        <v>41</v>
      </c>
      <c r="B1048" s="27" t="s">
        <v>233</v>
      </c>
      <c r="C1048" s="27" t="s">
        <v>302</v>
      </c>
      <c r="D1048" s="27" t="s">
        <v>400</v>
      </c>
      <c r="E1048" s="27" t="s">
        <v>1681</v>
      </c>
      <c r="F1048" s="51">
        <v>108970</v>
      </c>
      <c r="G1048" s="27"/>
    </row>
    <row r="1049" spans="1:7">
      <c r="A1049" s="27">
        <v>41</v>
      </c>
      <c r="B1049" s="27" t="s">
        <v>233</v>
      </c>
      <c r="C1049" s="27" t="s">
        <v>302</v>
      </c>
      <c r="D1049" s="27" t="s">
        <v>298</v>
      </c>
      <c r="E1049" s="27" t="s">
        <v>1681</v>
      </c>
      <c r="F1049" s="51">
        <v>138112</v>
      </c>
      <c r="G1049" s="27"/>
    </row>
    <row r="1050" spans="1:7">
      <c r="A1050" s="27">
        <v>41</v>
      </c>
      <c r="B1050" s="27" t="s">
        <v>233</v>
      </c>
      <c r="C1050" s="27" t="s">
        <v>302</v>
      </c>
      <c r="D1050" s="27" t="s">
        <v>401</v>
      </c>
      <c r="E1050" s="27" t="s">
        <v>1681</v>
      </c>
      <c r="F1050" s="51">
        <v>30698</v>
      </c>
      <c r="G1050" s="27"/>
    </row>
    <row r="1051" spans="1:7">
      <c r="A1051" s="27">
        <v>41</v>
      </c>
      <c r="B1051" s="27" t="s">
        <v>233</v>
      </c>
      <c r="C1051" s="27" t="s">
        <v>302</v>
      </c>
      <c r="D1051" s="27" t="s">
        <v>402</v>
      </c>
      <c r="E1051" s="27" t="s">
        <v>1681</v>
      </c>
      <c r="F1051" s="51">
        <v>138304</v>
      </c>
      <c r="G1051" s="27"/>
    </row>
    <row r="1052" spans="1:7">
      <c r="A1052" s="27">
        <v>41</v>
      </c>
      <c r="B1052" s="27" t="s">
        <v>233</v>
      </c>
      <c r="C1052" s="27" t="s">
        <v>302</v>
      </c>
      <c r="D1052" s="27" t="s">
        <v>300</v>
      </c>
      <c r="E1052" s="27" t="s">
        <v>1681</v>
      </c>
      <c r="F1052" s="51">
        <v>14000</v>
      </c>
      <c r="G1052" s="27"/>
    </row>
    <row r="1053" spans="1:7">
      <c r="A1053" s="27">
        <v>42</v>
      </c>
      <c r="B1053" s="27" t="s">
        <v>234</v>
      </c>
      <c r="C1053" s="27" t="s">
        <v>311</v>
      </c>
      <c r="D1053" s="27" t="s">
        <v>408</v>
      </c>
      <c r="E1053" s="27" t="s">
        <v>1682</v>
      </c>
      <c r="F1053" s="51">
        <v>48774</v>
      </c>
      <c r="G1053" s="27"/>
    </row>
    <row r="1054" spans="1:7">
      <c r="A1054" s="27">
        <v>42</v>
      </c>
      <c r="B1054" s="27" t="s">
        <v>234</v>
      </c>
      <c r="C1054" s="27" t="s">
        <v>311</v>
      </c>
      <c r="D1054" s="27" t="s">
        <v>394</v>
      </c>
      <c r="E1054" s="27" t="s">
        <v>1682</v>
      </c>
      <c r="F1054" s="51">
        <v>242637</v>
      </c>
      <c r="G1054" s="27"/>
    </row>
    <row r="1055" spans="1:7">
      <c r="A1055" s="27">
        <v>42</v>
      </c>
      <c r="B1055" s="27" t="s">
        <v>234</v>
      </c>
      <c r="C1055" s="27" t="s">
        <v>311</v>
      </c>
      <c r="D1055" s="27" t="s">
        <v>397</v>
      </c>
      <c r="E1055" s="27" t="s">
        <v>1682</v>
      </c>
      <c r="F1055" s="51">
        <v>47016</v>
      </c>
      <c r="G1055" s="27"/>
    </row>
    <row r="1056" spans="1:7">
      <c r="A1056" s="27">
        <v>42</v>
      </c>
      <c r="B1056" s="27" t="s">
        <v>234</v>
      </c>
      <c r="C1056" s="27" t="s">
        <v>311</v>
      </c>
      <c r="D1056" s="27" t="s">
        <v>411</v>
      </c>
      <c r="E1056" s="27" t="s">
        <v>1682</v>
      </c>
      <c r="F1056" s="51">
        <v>1362</v>
      </c>
      <c r="G1056" s="27"/>
    </row>
    <row r="1057" spans="1:7">
      <c r="A1057" s="27">
        <v>42</v>
      </c>
      <c r="B1057" s="27" t="s">
        <v>234</v>
      </c>
      <c r="C1057" s="27" t="s">
        <v>311</v>
      </c>
      <c r="D1057" s="27" t="s">
        <v>412</v>
      </c>
      <c r="E1057" s="27" t="s">
        <v>1682</v>
      </c>
      <c r="F1057" s="51">
        <v>29762</v>
      </c>
      <c r="G1057" s="27"/>
    </row>
    <row r="1058" spans="1:7">
      <c r="A1058" s="27">
        <v>42</v>
      </c>
      <c r="B1058" s="27" t="s">
        <v>234</v>
      </c>
      <c r="C1058" s="27" t="s">
        <v>311</v>
      </c>
      <c r="D1058" s="27" t="s">
        <v>398</v>
      </c>
      <c r="E1058" s="27" t="s">
        <v>1682</v>
      </c>
      <c r="F1058" s="51">
        <v>5318</v>
      </c>
      <c r="G1058" s="27"/>
    </row>
    <row r="1059" spans="1:7">
      <c r="A1059" s="27">
        <v>42</v>
      </c>
      <c r="B1059" s="27" t="s">
        <v>234</v>
      </c>
      <c r="C1059" s="27" t="s">
        <v>311</v>
      </c>
      <c r="D1059" s="27" t="s">
        <v>415</v>
      </c>
      <c r="E1059" s="27" t="s">
        <v>1682</v>
      </c>
      <c r="F1059" s="51">
        <v>10096</v>
      </c>
      <c r="G1059" s="27"/>
    </row>
    <row r="1060" spans="1:7">
      <c r="A1060" s="27">
        <v>42</v>
      </c>
      <c r="B1060" s="27" t="s">
        <v>234</v>
      </c>
      <c r="C1060" s="27" t="s">
        <v>311</v>
      </c>
      <c r="D1060" s="27" t="s">
        <v>291</v>
      </c>
      <c r="E1060" s="27" t="s">
        <v>1681</v>
      </c>
      <c r="F1060" s="51">
        <v>6110</v>
      </c>
      <c r="G1060" s="27"/>
    </row>
    <row r="1061" spans="1:7">
      <c r="A1061" s="27">
        <v>42</v>
      </c>
      <c r="B1061" s="27" t="s">
        <v>234</v>
      </c>
      <c r="C1061" s="27" t="s">
        <v>311</v>
      </c>
      <c r="D1061" s="27" t="s">
        <v>399</v>
      </c>
      <c r="E1061" s="27" t="s">
        <v>1681</v>
      </c>
      <c r="F1061" s="51">
        <v>5941760</v>
      </c>
      <c r="G1061" s="27"/>
    </row>
    <row r="1062" spans="1:7">
      <c r="A1062" s="27">
        <v>42</v>
      </c>
      <c r="B1062" s="27" t="s">
        <v>234</v>
      </c>
      <c r="C1062" s="27" t="s">
        <v>311</v>
      </c>
      <c r="D1062" s="27" t="s">
        <v>303</v>
      </c>
      <c r="E1062" s="27" t="s">
        <v>1681</v>
      </c>
      <c r="F1062" s="51">
        <v>16200</v>
      </c>
      <c r="G1062" s="27"/>
    </row>
    <row r="1063" spans="1:7">
      <c r="A1063" s="27">
        <v>42</v>
      </c>
      <c r="B1063" s="27" t="s">
        <v>234</v>
      </c>
      <c r="C1063" s="27" t="s">
        <v>311</v>
      </c>
      <c r="D1063" s="27" t="s">
        <v>296</v>
      </c>
      <c r="E1063" s="27" t="s">
        <v>1681</v>
      </c>
      <c r="F1063" s="51">
        <v>1328038</v>
      </c>
      <c r="G1063" s="27"/>
    </row>
    <row r="1064" spans="1:7">
      <c r="A1064" s="27">
        <v>42</v>
      </c>
      <c r="B1064" s="27" t="s">
        <v>234</v>
      </c>
      <c r="C1064" s="27" t="s">
        <v>311</v>
      </c>
      <c r="D1064" s="27" t="s">
        <v>400</v>
      </c>
      <c r="E1064" s="27" t="s">
        <v>1681</v>
      </c>
      <c r="F1064" s="51">
        <v>110019</v>
      </c>
      <c r="G1064" s="27"/>
    </row>
    <row r="1065" spans="1:7">
      <c r="A1065" s="27">
        <v>42</v>
      </c>
      <c r="B1065" s="27" t="s">
        <v>234</v>
      </c>
      <c r="C1065" s="27" t="s">
        <v>311</v>
      </c>
      <c r="D1065" s="27" t="s">
        <v>298</v>
      </c>
      <c r="E1065" s="27" t="s">
        <v>1681</v>
      </c>
      <c r="F1065" s="51">
        <v>129292</v>
      </c>
      <c r="G1065" s="27"/>
    </row>
    <row r="1066" spans="1:7">
      <c r="A1066" s="27">
        <v>42</v>
      </c>
      <c r="B1066" s="27" t="s">
        <v>234</v>
      </c>
      <c r="C1066" s="27" t="s">
        <v>311</v>
      </c>
      <c r="D1066" s="27" t="s">
        <v>401</v>
      </c>
      <c r="E1066" s="27" t="s">
        <v>1681</v>
      </c>
      <c r="F1066" s="51">
        <v>31053</v>
      </c>
      <c r="G1066" s="27"/>
    </row>
    <row r="1067" spans="1:7">
      <c r="A1067" s="27">
        <v>42</v>
      </c>
      <c r="B1067" s="27" t="s">
        <v>234</v>
      </c>
      <c r="C1067" s="27" t="s">
        <v>311</v>
      </c>
      <c r="D1067" s="27" t="s">
        <v>402</v>
      </c>
      <c r="E1067" s="27" t="s">
        <v>1681</v>
      </c>
      <c r="F1067" s="51">
        <v>206528</v>
      </c>
      <c r="G1067" s="27"/>
    </row>
    <row r="1068" spans="1:7">
      <c r="A1068" s="27">
        <v>42</v>
      </c>
      <c r="B1068" s="27" t="s">
        <v>234</v>
      </c>
      <c r="C1068" s="27" t="s">
        <v>311</v>
      </c>
      <c r="D1068" s="27" t="s">
        <v>300</v>
      </c>
      <c r="E1068" s="27" t="s">
        <v>1681</v>
      </c>
      <c r="F1068" s="51">
        <v>15909</v>
      </c>
      <c r="G1068" s="27"/>
    </row>
    <row r="1069" spans="1:7">
      <c r="A1069" s="27">
        <v>43</v>
      </c>
      <c r="B1069" s="27" t="s">
        <v>235</v>
      </c>
      <c r="C1069" s="27" t="s">
        <v>404</v>
      </c>
      <c r="D1069" s="27" t="s">
        <v>406</v>
      </c>
      <c r="E1069" s="27" t="s">
        <v>1682</v>
      </c>
      <c r="F1069" s="51">
        <v>70912</v>
      </c>
      <c r="G1069" s="27"/>
    </row>
    <row r="1070" spans="1:7">
      <c r="A1070" s="27">
        <v>43</v>
      </c>
      <c r="B1070" s="27" t="s">
        <v>235</v>
      </c>
      <c r="C1070" s="27" t="s">
        <v>404</v>
      </c>
      <c r="D1070" s="27" t="s">
        <v>326</v>
      </c>
      <c r="E1070" s="27" t="s">
        <v>1682</v>
      </c>
      <c r="F1070" s="51">
        <v>52650</v>
      </c>
      <c r="G1070" s="27"/>
    </row>
    <row r="1071" spans="1:7">
      <c r="A1071" s="27">
        <v>43</v>
      </c>
      <c r="B1071" s="27" t="s">
        <v>235</v>
      </c>
      <c r="C1071" s="27" t="s">
        <v>404</v>
      </c>
      <c r="D1071" s="27" t="s">
        <v>408</v>
      </c>
      <c r="E1071" s="27" t="s">
        <v>1682</v>
      </c>
      <c r="F1071" s="51">
        <v>1424548</v>
      </c>
      <c r="G1071" s="27"/>
    </row>
    <row r="1072" spans="1:7">
      <c r="A1072" s="27">
        <v>43</v>
      </c>
      <c r="B1072" s="27" t="s">
        <v>235</v>
      </c>
      <c r="C1072" s="27" t="s">
        <v>404</v>
      </c>
      <c r="D1072" s="27" t="s">
        <v>394</v>
      </c>
      <c r="E1072" s="27" t="s">
        <v>1682</v>
      </c>
      <c r="F1072" s="51">
        <v>999952</v>
      </c>
      <c r="G1072" s="27"/>
    </row>
    <row r="1073" spans="1:7">
      <c r="A1073" s="27">
        <v>43</v>
      </c>
      <c r="B1073" s="27" t="s">
        <v>235</v>
      </c>
      <c r="C1073" s="27" t="s">
        <v>404</v>
      </c>
      <c r="D1073" s="27" t="s">
        <v>396</v>
      </c>
      <c r="E1073" s="27" t="s">
        <v>1682</v>
      </c>
      <c r="F1073" s="51">
        <v>25000</v>
      </c>
      <c r="G1073" s="27"/>
    </row>
    <row r="1074" spans="1:7">
      <c r="A1074" s="27">
        <v>43</v>
      </c>
      <c r="B1074" s="27" t="s">
        <v>235</v>
      </c>
      <c r="C1074" s="27" t="s">
        <v>404</v>
      </c>
      <c r="D1074" s="27" t="s">
        <v>410</v>
      </c>
      <c r="E1074" s="27" t="s">
        <v>1682</v>
      </c>
      <c r="F1074" s="51">
        <v>19135</v>
      </c>
      <c r="G1074" s="27"/>
    </row>
    <row r="1075" spans="1:7">
      <c r="A1075" s="27">
        <v>43</v>
      </c>
      <c r="B1075" s="27" t="s">
        <v>235</v>
      </c>
      <c r="C1075" s="27" t="s">
        <v>404</v>
      </c>
      <c r="D1075" s="27" t="s">
        <v>397</v>
      </c>
      <c r="E1075" s="27" t="s">
        <v>1682</v>
      </c>
      <c r="F1075" s="51">
        <v>555228</v>
      </c>
      <c r="G1075" s="27"/>
    </row>
    <row r="1076" spans="1:7">
      <c r="A1076" s="27">
        <v>43</v>
      </c>
      <c r="B1076" s="27" t="s">
        <v>235</v>
      </c>
      <c r="C1076" s="27" t="s">
        <v>404</v>
      </c>
      <c r="D1076" s="27" t="s">
        <v>411</v>
      </c>
      <c r="E1076" s="27" t="s">
        <v>1682</v>
      </c>
      <c r="F1076" s="51">
        <v>35263</v>
      </c>
      <c r="G1076" s="27"/>
    </row>
    <row r="1077" spans="1:7">
      <c r="A1077" s="27">
        <v>43</v>
      </c>
      <c r="B1077" s="27" t="s">
        <v>235</v>
      </c>
      <c r="C1077" s="27" t="s">
        <v>404</v>
      </c>
      <c r="D1077" s="27" t="s">
        <v>412</v>
      </c>
      <c r="E1077" s="27" t="s">
        <v>1682</v>
      </c>
      <c r="F1077" s="51">
        <v>90263</v>
      </c>
      <c r="G1077" s="27"/>
    </row>
    <row r="1078" spans="1:7">
      <c r="A1078" s="27">
        <v>43</v>
      </c>
      <c r="B1078" s="27" t="s">
        <v>235</v>
      </c>
      <c r="C1078" s="27" t="s">
        <v>404</v>
      </c>
      <c r="D1078" s="27" t="s">
        <v>413</v>
      </c>
      <c r="E1078" s="27" t="s">
        <v>1682</v>
      </c>
      <c r="F1078" s="51">
        <v>14548</v>
      </c>
      <c r="G1078" s="27"/>
    </row>
    <row r="1079" spans="1:7">
      <c r="A1079" s="27">
        <v>43</v>
      </c>
      <c r="B1079" s="27" t="s">
        <v>235</v>
      </c>
      <c r="C1079" s="27" t="s">
        <v>404</v>
      </c>
      <c r="D1079" s="27" t="s">
        <v>398</v>
      </c>
      <c r="E1079" s="27" t="s">
        <v>1682</v>
      </c>
      <c r="F1079" s="51">
        <v>32876</v>
      </c>
      <c r="G1079" s="27"/>
    </row>
    <row r="1080" spans="1:7">
      <c r="A1080" s="27">
        <v>43</v>
      </c>
      <c r="B1080" s="27" t="s">
        <v>235</v>
      </c>
      <c r="C1080" s="27" t="s">
        <v>404</v>
      </c>
      <c r="D1080" s="27" t="s">
        <v>415</v>
      </c>
      <c r="E1080" s="27" t="s">
        <v>1682</v>
      </c>
      <c r="F1080" s="51">
        <v>30511</v>
      </c>
      <c r="G1080" s="27"/>
    </row>
    <row r="1081" spans="1:7">
      <c r="A1081" s="27">
        <v>43</v>
      </c>
      <c r="B1081" s="27" t="s">
        <v>235</v>
      </c>
      <c r="C1081" s="27" t="s">
        <v>404</v>
      </c>
      <c r="D1081" s="27" t="s">
        <v>335</v>
      </c>
      <c r="E1081" s="27" t="s">
        <v>1681</v>
      </c>
      <c r="F1081" s="51">
        <v>10522</v>
      </c>
      <c r="G1081" s="27"/>
    </row>
    <row r="1082" spans="1:7">
      <c r="A1082" s="27">
        <v>43</v>
      </c>
      <c r="B1082" s="27" t="s">
        <v>235</v>
      </c>
      <c r="C1082" s="27" t="s">
        <v>404</v>
      </c>
      <c r="D1082" s="27" t="s">
        <v>291</v>
      </c>
      <c r="E1082" s="27" t="s">
        <v>1681</v>
      </c>
      <c r="F1082" s="51">
        <v>40112</v>
      </c>
      <c r="G1082" s="27"/>
    </row>
    <row r="1083" spans="1:7">
      <c r="A1083" s="27">
        <v>43</v>
      </c>
      <c r="B1083" s="27" t="s">
        <v>235</v>
      </c>
      <c r="C1083" s="27" t="s">
        <v>404</v>
      </c>
      <c r="D1083" s="27" t="s">
        <v>399</v>
      </c>
      <c r="E1083" s="27" t="s">
        <v>1681</v>
      </c>
      <c r="F1083" s="51">
        <v>30195587</v>
      </c>
      <c r="G1083" s="27"/>
    </row>
    <row r="1084" spans="1:7">
      <c r="A1084" s="27">
        <v>43</v>
      </c>
      <c r="B1084" s="27" t="s">
        <v>235</v>
      </c>
      <c r="C1084" s="27" t="s">
        <v>404</v>
      </c>
      <c r="D1084" s="27" t="s">
        <v>336</v>
      </c>
      <c r="E1084" s="27" t="s">
        <v>1681</v>
      </c>
      <c r="F1084" s="51">
        <v>143021</v>
      </c>
      <c r="G1084" s="27"/>
    </row>
    <row r="1085" spans="1:7">
      <c r="A1085" s="27">
        <v>43</v>
      </c>
      <c r="B1085" s="27" t="s">
        <v>235</v>
      </c>
      <c r="C1085" s="27" t="s">
        <v>404</v>
      </c>
      <c r="D1085" s="27" t="s">
        <v>317</v>
      </c>
      <c r="E1085" s="27" t="s">
        <v>1681</v>
      </c>
      <c r="F1085" s="51">
        <v>172342</v>
      </c>
      <c r="G1085" s="27"/>
    </row>
    <row r="1086" spans="1:7">
      <c r="A1086" s="27">
        <v>43</v>
      </c>
      <c r="B1086" s="27" t="s">
        <v>235</v>
      </c>
      <c r="C1086" s="27" t="s">
        <v>404</v>
      </c>
      <c r="D1086" s="27" t="s">
        <v>307</v>
      </c>
      <c r="E1086" s="27" t="s">
        <v>1681</v>
      </c>
      <c r="F1086" s="51">
        <v>726430</v>
      </c>
      <c r="G1086" s="27"/>
    </row>
    <row r="1087" spans="1:7">
      <c r="A1087" s="27">
        <v>43</v>
      </c>
      <c r="B1087" s="27" t="s">
        <v>235</v>
      </c>
      <c r="C1087" s="27" t="s">
        <v>404</v>
      </c>
      <c r="D1087" s="27" t="s">
        <v>294</v>
      </c>
      <c r="E1087" s="27" t="s">
        <v>1681</v>
      </c>
      <c r="F1087" s="51">
        <v>44188</v>
      </c>
      <c r="G1087" s="27"/>
    </row>
    <row r="1088" spans="1:7">
      <c r="A1088" s="27">
        <v>43</v>
      </c>
      <c r="B1088" s="27" t="s">
        <v>235</v>
      </c>
      <c r="C1088" s="27" t="s">
        <v>404</v>
      </c>
      <c r="D1088" s="27" t="s">
        <v>303</v>
      </c>
      <c r="E1088" s="27" t="s">
        <v>1681</v>
      </c>
      <c r="F1088" s="51">
        <v>16200</v>
      </c>
      <c r="G1088" s="27"/>
    </row>
    <row r="1089" spans="1:7">
      <c r="A1089" s="27">
        <v>43</v>
      </c>
      <c r="B1089" s="27" t="s">
        <v>235</v>
      </c>
      <c r="C1089" s="27" t="s">
        <v>404</v>
      </c>
      <c r="D1089" s="27" t="s">
        <v>318</v>
      </c>
      <c r="E1089" s="27" t="s">
        <v>1681</v>
      </c>
      <c r="F1089" s="51">
        <v>766029</v>
      </c>
      <c r="G1089" s="27"/>
    </row>
    <row r="1090" spans="1:7">
      <c r="A1090" s="27">
        <v>43</v>
      </c>
      <c r="B1090" s="27" t="s">
        <v>235</v>
      </c>
      <c r="C1090" s="27" t="s">
        <v>404</v>
      </c>
      <c r="D1090" s="27" t="s">
        <v>319</v>
      </c>
      <c r="E1090" s="27" t="s">
        <v>1681</v>
      </c>
      <c r="F1090" s="51">
        <v>123276</v>
      </c>
      <c r="G1090" s="27"/>
    </row>
    <row r="1091" spans="1:7">
      <c r="A1091" s="27">
        <v>43</v>
      </c>
      <c r="B1091" s="27" t="s">
        <v>235</v>
      </c>
      <c r="C1091" s="27" t="s">
        <v>404</v>
      </c>
      <c r="D1091" s="27" t="s">
        <v>296</v>
      </c>
      <c r="E1091" s="27" t="s">
        <v>1681</v>
      </c>
      <c r="F1091" s="51">
        <v>7456033</v>
      </c>
      <c r="G1091" s="27"/>
    </row>
    <row r="1092" spans="1:7">
      <c r="A1092" s="27">
        <v>43</v>
      </c>
      <c r="B1092" s="27" t="s">
        <v>235</v>
      </c>
      <c r="C1092" s="27" t="s">
        <v>404</v>
      </c>
      <c r="D1092" s="27" t="s">
        <v>400</v>
      </c>
      <c r="E1092" s="27" t="s">
        <v>1681</v>
      </c>
      <c r="F1092" s="51">
        <v>32002</v>
      </c>
      <c r="G1092" s="27"/>
    </row>
    <row r="1093" spans="1:7">
      <c r="A1093" s="27">
        <v>43</v>
      </c>
      <c r="B1093" s="27" t="s">
        <v>235</v>
      </c>
      <c r="C1093" s="27" t="s">
        <v>404</v>
      </c>
      <c r="D1093" s="27" t="s">
        <v>298</v>
      </c>
      <c r="E1093" s="27" t="s">
        <v>1681</v>
      </c>
      <c r="F1093" s="51">
        <v>662866</v>
      </c>
      <c r="G1093" s="27"/>
    </row>
    <row r="1094" spans="1:7">
      <c r="A1094" s="27">
        <v>43</v>
      </c>
      <c r="B1094" s="27" t="s">
        <v>235</v>
      </c>
      <c r="C1094" s="27" t="s">
        <v>404</v>
      </c>
      <c r="D1094" s="27" t="s">
        <v>401</v>
      </c>
      <c r="E1094" s="27" t="s">
        <v>1681</v>
      </c>
      <c r="F1094" s="51">
        <v>33292</v>
      </c>
      <c r="G1094" s="27"/>
    </row>
    <row r="1095" spans="1:7">
      <c r="A1095" s="27">
        <v>43</v>
      </c>
      <c r="B1095" s="27" t="s">
        <v>235</v>
      </c>
      <c r="C1095" s="27" t="s">
        <v>404</v>
      </c>
      <c r="D1095" s="27" t="s">
        <v>1347</v>
      </c>
      <c r="E1095" s="27" t="s">
        <v>1681</v>
      </c>
      <c r="F1095" s="51">
        <v>43778</v>
      </c>
      <c r="G1095" s="27"/>
    </row>
    <row r="1096" spans="1:7">
      <c r="A1096" s="27">
        <v>43</v>
      </c>
      <c r="B1096" s="27" t="s">
        <v>235</v>
      </c>
      <c r="C1096" s="27" t="s">
        <v>404</v>
      </c>
      <c r="D1096" s="27" t="s">
        <v>402</v>
      </c>
      <c r="E1096" s="27" t="s">
        <v>1681</v>
      </c>
      <c r="F1096" s="51">
        <v>705989</v>
      </c>
      <c r="G1096" s="27"/>
    </row>
    <row r="1097" spans="1:7">
      <c r="A1097" s="27">
        <v>43</v>
      </c>
      <c r="B1097" s="27" t="s">
        <v>235</v>
      </c>
      <c r="C1097" s="27" t="s">
        <v>404</v>
      </c>
      <c r="D1097" s="27" t="s">
        <v>299</v>
      </c>
      <c r="E1097" s="27" t="s">
        <v>1681</v>
      </c>
      <c r="F1097" s="51">
        <v>75295</v>
      </c>
      <c r="G1097" s="27"/>
    </row>
    <row r="1098" spans="1:7">
      <c r="A1098" s="27">
        <v>43</v>
      </c>
      <c r="B1098" s="27" t="s">
        <v>235</v>
      </c>
      <c r="C1098" s="27" t="s">
        <v>404</v>
      </c>
      <c r="D1098" s="27" t="s">
        <v>338</v>
      </c>
      <c r="E1098" s="27" t="s">
        <v>1681</v>
      </c>
      <c r="F1098" s="51">
        <v>14767</v>
      </c>
      <c r="G1098" s="27"/>
    </row>
    <row r="1099" spans="1:7">
      <c r="A1099" s="27">
        <v>43</v>
      </c>
      <c r="B1099" s="27" t="s">
        <v>235</v>
      </c>
      <c r="C1099" s="27" t="s">
        <v>404</v>
      </c>
      <c r="D1099" s="27" t="s">
        <v>300</v>
      </c>
      <c r="E1099" s="27" t="s">
        <v>1681</v>
      </c>
      <c r="F1099" s="51">
        <v>43652</v>
      </c>
      <c r="G1099" s="27"/>
    </row>
    <row r="1100" spans="1:7">
      <c r="A1100" s="27">
        <v>44</v>
      </c>
      <c r="B1100" s="27" t="s">
        <v>236</v>
      </c>
      <c r="C1100" s="27" t="s">
        <v>316</v>
      </c>
      <c r="D1100" s="27" t="s">
        <v>406</v>
      </c>
      <c r="E1100" s="27" t="s">
        <v>1682</v>
      </c>
      <c r="F1100" s="51">
        <v>29681</v>
      </c>
      <c r="G1100" s="27"/>
    </row>
    <row r="1101" spans="1:7">
      <c r="A1101" s="27">
        <v>44</v>
      </c>
      <c r="B1101" s="27" t="s">
        <v>236</v>
      </c>
      <c r="C1101" s="27" t="s">
        <v>316</v>
      </c>
      <c r="D1101" s="27" t="s">
        <v>408</v>
      </c>
      <c r="E1101" s="27" t="s">
        <v>1682</v>
      </c>
      <c r="F1101" s="51">
        <v>325599</v>
      </c>
      <c r="G1101" s="27"/>
    </row>
    <row r="1102" spans="1:7">
      <c r="A1102" s="27">
        <v>44</v>
      </c>
      <c r="B1102" s="27" t="s">
        <v>236</v>
      </c>
      <c r="C1102" s="27" t="s">
        <v>316</v>
      </c>
      <c r="D1102" s="27" t="s">
        <v>394</v>
      </c>
      <c r="E1102" s="27" t="s">
        <v>1682</v>
      </c>
      <c r="F1102" s="51">
        <v>370475</v>
      </c>
      <c r="G1102" s="27"/>
    </row>
    <row r="1103" spans="1:7">
      <c r="A1103" s="27">
        <v>44</v>
      </c>
      <c r="B1103" s="27" t="s">
        <v>236</v>
      </c>
      <c r="C1103" s="27" t="s">
        <v>316</v>
      </c>
      <c r="D1103" s="27" t="s">
        <v>397</v>
      </c>
      <c r="E1103" s="27" t="s">
        <v>1682</v>
      </c>
      <c r="F1103" s="51">
        <v>201255</v>
      </c>
      <c r="G1103" s="27"/>
    </row>
    <row r="1104" spans="1:7">
      <c r="A1104" s="27">
        <v>44</v>
      </c>
      <c r="B1104" s="27" t="s">
        <v>236</v>
      </c>
      <c r="C1104" s="27" t="s">
        <v>316</v>
      </c>
      <c r="D1104" s="27" t="s">
        <v>333</v>
      </c>
      <c r="E1104" s="27" t="s">
        <v>1682</v>
      </c>
      <c r="F1104" s="51">
        <v>324</v>
      </c>
      <c r="G1104" s="27"/>
    </row>
    <row r="1105" spans="1:7">
      <c r="A1105" s="27">
        <v>44</v>
      </c>
      <c r="B1105" s="27" t="s">
        <v>236</v>
      </c>
      <c r="C1105" s="27" t="s">
        <v>316</v>
      </c>
      <c r="D1105" s="27" t="s">
        <v>411</v>
      </c>
      <c r="E1105" s="27" t="s">
        <v>1682</v>
      </c>
      <c r="F1105" s="51">
        <v>3500</v>
      </c>
      <c r="G1105" s="27"/>
    </row>
    <row r="1106" spans="1:7">
      <c r="A1106" s="27">
        <v>44</v>
      </c>
      <c r="B1106" s="27" t="s">
        <v>236</v>
      </c>
      <c r="C1106" s="27" t="s">
        <v>316</v>
      </c>
      <c r="D1106" s="27" t="s">
        <v>412</v>
      </c>
      <c r="E1106" s="27" t="s">
        <v>1682</v>
      </c>
      <c r="F1106" s="51">
        <v>48000</v>
      </c>
      <c r="G1106" s="27"/>
    </row>
    <row r="1107" spans="1:7">
      <c r="A1107" s="27">
        <v>44</v>
      </c>
      <c r="B1107" s="27" t="s">
        <v>236</v>
      </c>
      <c r="C1107" s="27" t="s">
        <v>316</v>
      </c>
      <c r="D1107" s="27" t="s">
        <v>398</v>
      </c>
      <c r="E1107" s="27" t="s">
        <v>1682</v>
      </c>
      <c r="F1107" s="51">
        <v>4000</v>
      </c>
      <c r="G1107" s="27"/>
    </row>
    <row r="1108" spans="1:7">
      <c r="A1108" s="27">
        <v>44</v>
      </c>
      <c r="B1108" s="27" t="s">
        <v>236</v>
      </c>
      <c r="C1108" s="27" t="s">
        <v>316</v>
      </c>
      <c r="D1108" s="27" t="s">
        <v>415</v>
      </c>
      <c r="E1108" s="27" t="s">
        <v>1682</v>
      </c>
      <c r="F1108" s="51">
        <v>20000</v>
      </c>
      <c r="G1108" s="27"/>
    </row>
    <row r="1109" spans="1:7">
      <c r="A1109" s="27">
        <v>44</v>
      </c>
      <c r="B1109" s="27" t="s">
        <v>236</v>
      </c>
      <c r="C1109" s="27" t="s">
        <v>316</v>
      </c>
      <c r="D1109" s="27" t="s">
        <v>291</v>
      </c>
      <c r="E1109" s="27" t="s">
        <v>1681</v>
      </c>
      <c r="F1109" s="51">
        <v>12787</v>
      </c>
      <c r="G1109" s="27"/>
    </row>
    <row r="1110" spans="1:7">
      <c r="A1110" s="27">
        <v>44</v>
      </c>
      <c r="B1110" s="27" t="s">
        <v>236</v>
      </c>
      <c r="C1110" s="27" t="s">
        <v>316</v>
      </c>
      <c r="D1110" s="27" t="s">
        <v>399</v>
      </c>
      <c r="E1110" s="27" t="s">
        <v>1681</v>
      </c>
      <c r="F1110" s="51">
        <v>16257553</v>
      </c>
      <c r="G1110" s="27"/>
    </row>
    <row r="1111" spans="1:7">
      <c r="A1111" s="27">
        <v>44</v>
      </c>
      <c r="B1111" s="27" t="s">
        <v>236</v>
      </c>
      <c r="C1111" s="27" t="s">
        <v>316</v>
      </c>
      <c r="D1111" s="27" t="s">
        <v>317</v>
      </c>
      <c r="E1111" s="27" t="s">
        <v>1681</v>
      </c>
      <c r="F1111" s="51">
        <v>86171</v>
      </c>
      <c r="G1111" s="27"/>
    </row>
    <row r="1112" spans="1:7">
      <c r="A1112" s="27">
        <v>44</v>
      </c>
      <c r="B1112" s="27" t="s">
        <v>236</v>
      </c>
      <c r="C1112" s="27" t="s">
        <v>316</v>
      </c>
      <c r="D1112" s="27" t="s">
        <v>307</v>
      </c>
      <c r="E1112" s="27" t="s">
        <v>1681</v>
      </c>
      <c r="F1112" s="51">
        <v>13200</v>
      </c>
      <c r="G1112" s="27"/>
    </row>
    <row r="1113" spans="1:7">
      <c r="A1113" s="27">
        <v>44</v>
      </c>
      <c r="B1113" s="27" t="s">
        <v>236</v>
      </c>
      <c r="C1113" s="27" t="s">
        <v>316</v>
      </c>
      <c r="D1113" s="27" t="s">
        <v>294</v>
      </c>
      <c r="E1113" s="27" t="s">
        <v>1681</v>
      </c>
      <c r="F1113" s="51">
        <v>26800</v>
      </c>
      <c r="G1113" s="27"/>
    </row>
    <row r="1114" spans="1:7">
      <c r="A1114" s="27">
        <v>44</v>
      </c>
      <c r="B1114" s="27" t="s">
        <v>236</v>
      </c>
      <c r="C1114" s="27" t="s">
        <v>316</v>
      </c>
      <c r="D1114" s="27" t="s">
        <v>295</v>
      </c>
      <c r="E1114" s="27" t="s">
        <v>1681</v>
      </c>
      <c r="F1114" s="51">
        <v>24337</v>
      </c>
      <c r="G1114" s="27"/>
    </row>
    <row r="1115" spans="1:7">
      <c r="A1115" s="27">
        <v>44</v>
      </c>
      <c r="B1115" s="27" t="s">
        <v>236</v>
      </c>
      <c r="C1115" s="27" t="s">
        <v>316</v>
      </c>
      <c r="D1115" s="27" t="s">
        <v>303</v>
      </c>
      <c r="E1115" s="27" t="s">
        <v>1681</v>
      </c>
      <c r="F1115" s="51">
        <v>17451</v>
      </c>
      <c r="G1115" s="27"/>
    </row>
    <row r="1116" spans="1:7">
      <c r="A1116" s="27">
        <v>44</v>
      </c>
      <c r="B1116" s="27" t="s">
        <v>236</v>
      </c>
      <c r="C1116" s="27" t="s">
        <v>316</v>
      </c>
      <c r="D1116" s="27" t="s">
        <v>296</v>
      </c>
      <c r="E1116" s="27" t="s">
        <v>1681</v>
      </c>
      <c r="F1116" s="51">
        <v>3317784</v>
      </c>
      <c r="G1116" s="27"/>
    </row>
    <row r="1117" spans="1:7">
      <c r="A1117" s="27">
        <v>44</v>
      </c>
      <c r="B1117" s="27" t="s">
        <v>236</v>
      </c>
      <c r="C1117" s="27" t="s">
        <v>316</v>
      </c>
      <c r="D1117" s="27" t="s">
        <v>400</v>
      </c>
      <c r="E1117" s="27" t="s">
        <v>1681</v>
      </c>
      <c r="F1117" s="51">
        <v>137755</v>
      </c>
      <c r="G1117" s="27"/>
    </row>
    <row r="1118" spans="1:7">
      <c r="A1118" s="27">
        <v>44</v>
      </c>
      <c r="B1118" s="27" t="s">
        <v>236</v>
      </c>
      <c r="C1118" s="27" t="s">
        <v>316</v>
      </c>
      <c r="D1118" s="27" t="s">
        <v>298</v>
      </c>
      <c r="E1118" s="27" t="s">
        <v>1681</v>
      </c>
      <c r="F1118" s="51">
        <v>312108</v>
      </c>
      <c r="G1118" s="27"/>
    </row>
    <row r="1119" spans="1:7">
      <c r="A1119" s="27">
        <v>44</v>
      </c>
      <c r="B1119" s="27" t="s">
        <v>236</v>
      </c>
      <c r="C1119" s="27" t="s">
        <v>316</v>
      </c>
      <c r="D1119" s="27" t="s">
        <v>401</v>
      </c>
      <c r="E1119" s="27" t="s">
        <v>1681</v>
      </c>
      <c r="F1119" s="51">
        <v>31808</v>
      </c>
      <c r="G1119" s="27"/>
    </row>
    <row r="1120" spans="1:7">
      <c r="A1120" s="27">
        <v>44</v>
      </c>
      <c r="B1120" s="27" t="s">
        <v>236</v>
      </c>
      <c r="C1120" s="27" t="s">
        <v>316</v>
      </c>
      <c r="D1120" s="27" t="s">
        <v>1347</v>
      </c>
      <c r="E1120" s="27" t="s">
        <v>1681</v>
      </c>
      <c r="F1120" s="51">
        <v>19783</v>
      </c>
      <c r="G1120" s="27"/>
    </row>
    <row r="1121" spans="1:7">
      <c r="A1121" s="27">
        <v>44</v>
      </c>
      <c r="B1121" s="27" t="s">
        <v>236</v>
      </c>
      <c r="C1121" s="27" t="s">
        <v>316</v>
      </c>
      <c r="D1121" s="27" t="s">
        <v>402</v>
      </c>
      <c r="E1121" s="27" t="s">
        <v>1681</v>
      </c>
      <c r="F1121" s="51">
        <v>466732</v>
      </c>
      <c r="G1121" s="27"/>
    </row>
    <row r="1122" spans="1:7">
      <c r="A1122" s="27">
        <v>44</v>
      </c>
      <c r="B1122" s="27" t="s">
        <v>236</v>
      </c>
      <c r="C1122" s="27" t="s">
        <v>316</v>
      </c>
      <c r="D1122" s="27" t="s">
        <v>299</v>
      </c>
      <c r="E1122" s="27" t="s">
        <v>1681</v>
      </c>
      <c r="F1122" s="51">
        <v>42507</v>
      </c>
      <c r="G1122" s="27"/>
    </row>
    <row r="1123" spans="1:7">
      <c r="A1123" s="27">
        <v>44</v>
      </c>
      <c r="B1123" s="27" t="s">
        <v>236</v>
      </c>
      <c r="C1123" s="27" t="s">
        <v>316</v>
      </c>
      <c r="D1123" s="27" t="s">
        <v>338</v>
      </c>
      <c r="E1123" s="27" t="s">
        <v>1681</v>
      </c>
      <c r="F1123" s="51">
        <v>14767</v>
      </c>
      <c r="G1123" s="27"/>
    </row>
    <row r="1124" spans="1:7">
      <c r="A1124" s="27">
        <v>44</v>
      </c>
      <c r="B1124" s="27" t="s">
        <v>236</v>
      </c>
      <c r="C1124" s="27" t="s">
        <v>316</v>
      </c>
      <c r="D1124" s="27" t="s">
        <v>300</v>
      </c>
      <c r="E1124" s="27" t="s">
        <v>1681</v>
      </c>
      <c r="F1124" s="51">
        <v>21334</v>
      </c>
      <c r="G1124" s="27"/>
    </row>
    <row r="1125" spans="1:7">
      <c r="A1125" s="27">
        <v>45</v>
      </c>
      <c r="B1125" s="27" t="s">
        <v>237</v>
      </c>
      <c r="C1125" s="27" t="s">
        <v>311</v>
      </c>
      <c r="D1125" s="27" t="s">
        <v>408</v>
      </c>
      <c r="E1125" s="27" t="s">
        <v>1682</v>
      </c>
      <c r="F1125" s="51">
        <v>55010</v>
      </c>
      <c r="G1125" s="27"/>
    </row>
    <row r="1126" spans="1:7">
      <c r="A1126" s="27">
        <v>45</v>
      </c>
      <c r="B1126" s="27" t="s">
        <v>237</v>
      </c>
      <c r="C1126" s="27" t="s">
        <v>311</v>
      </c>
      <c r="D1126" s="27" t="s">
        <v>394</v>
      </c>
      <c r="E1126" s="27" t="s">
        <v>1682</v>
      </c>
      <c r="F1126" s="51">
        <v>241560</v>
      </c>
      <c r="G1126" s="27"/>
    </row>
    <row r="1127" spans="1:7">
      <c r="A1127" s="27">
        <v>45</v>
      </c>
      <c r="B1127" s="27" t="s">
        <v>237</v>
      </c>
      <c r="C1127" s="27" t="s">
        <v>311</v>
      </c>
      <c r="D1127" s="27" t="s">
        <v>397</v>
      </c>
      <c r="E1127" s="27" t="s">
        <v>1682</v>
      </c>
      <c r="F1127" s="51">
        <v>149200</v>
      </c>
      <c r="G1127" s="27"/>
    </row>
    <row r="1128" spans="1:7">
      <c r="A1128" s="27">
        <v>45</v>
      </c>
      <c r="B1128" s="27" t="s">
        <v>237</v>
      </c>
      <c r="C1128" s="27" t="s">
        <v>311</v>
      </c>
      <c r="D1128" s="27" t="s">
        <v>412</v>
      </c>
      <c r="E1128" s="27" t="s">
        <v>1682</v>
      </c>
      <c r="F1128" s="51">
        <v>29560</v>
      </c>
      <c r="G1128" s="27"/>
    </row>
    <row r="1129" spans="1:7">
      <c r="A1129" s="27">
        <v>45</v>
      </c>
      <c r="B1129" s="27" t="s">
        <v>237</v>
      </c>
      <c r="C1129" s="27" t="s">
        <v>311</v>
      </c>
      <c r="D1129" s="27" t="s">
        <v>398</v>
      </c>
      <c r="E1129" s="27" t="s">
        <v>1682</v>
      </c>
      <c r="F1129" s="51">
        <v>14268</v>
      </c>
      <c r="G1129" s="27"/>
    </row>
    <row r="1130" spans="1:7">
      <c r="A1130" s="27">
        <v>45</v>
      </c>
      <c r="B1130" s="27" t="s">
        <v>237</v>
      </c>
      <c r="C1130" s="27" t="s">
        <v>311</v>
      </c>
      <c r="D1130" s="27" t="s">
        <v>415</v>
      </c>
      <c r="E1130" s="27" t="s">
        <v>1682</v>
      </c>
      <c r="F1130" s="51">
        <v>5600</v>
      </c>
      <c r="G1130" s="27"/>
    </row>
    <row r="1131" spans="1:7">
      <c r="A1131" s="27">
        <v>45</v>
      </c>
      <c r="B1131" s="27" t="s">
        <v>237</v>
      </c>
      <c r="C1131" s="27" t="s">
        <v>311</v>
      </c>
      <c r="D1131" s="27" t="s">
        <v>291</v>
      </c>
      <c r="E1131" s="27" t="s">
        <v>1681</v>
      </c>
      <c r="F1131" s="51">
        <v>7507</v>
      </c>
      <c r="G1131" s="27"/>
    </row>
    <row r="1132" spans="1:7">
      <c r="A1132" s="27">
        <v>45</v>
      </c>
      <c r="B1132" s="27" t="s">
        <v>237</v>
      </c>
      <c r="C1132" s="27" t="s">
        <v>311</v>
      </c>
      <c r="D1132" s="27" t="s">
        <v>399</v>
      </c>
      <c r="E1132" s="27" t="s">
        <v>1681</v>
      </c>
      <c r="F1132" s="51">
        <v>6316850</v>
      </c>
      <c r="G1132" s="27"/>
    </row>
    <row r="1133" spans="1:7">
      <c r="A1133" s="27">
        <v>45</v>
      </c>
      <c r="B1133" s="27" t="s">
        <v>237</v>
      </c>
      <c r="C1133" s="27" t="s">
        <v>311</v>
      </c>
      <c r="D1133" s="27" t="s">
        <v>307</v>
      </c>
      <c r="E1133" s="27" t="s">
        <v>1681</v>
      </c>
      <c r="F1133" s="51">
        <v>31669</v>
      </c>
      <c r="G1133" s="27"/>
    </row>
    <row r="1134" spans="1:7">
      <c r="A1134" s="27">
        <v>45</v>
      </c>
      <c r="B1134" s="27" t="s">
        <v>237</v>
      </c>
      <c r="C1134" s="27" t="s">
        <v>311</v>
      </c>
      <c r="D1134" s="27" t="s">
        <v>295</v>
      </c>
      <c r="E1134" s="27" t="s">
        <v>1681</v>
      </c>
      <c r="F1134" s="51">
        <v>16000</v>
      </c>
      <c r="G1134" s="27"/>
    </row>
    <row r="1135" spans="1:7">
      <c r="A1135" s="27">
        <v>45</v>
      </c>
      <c r="B1135" s="27" t="s">
        <v>237</v>
      </c>
      <c r="C1135" s="27" t="s">
        <v>311</v>
      </c>
      <c r="D1135" s="27" t="s">
        <v>296</v>
      </c>
      <c r="E1135" s="27" t="s">
        <v>1681</v>
      </c>
      <c r="F1135" s="51">
        <v>3469451</v>
      </c>
      <c r="G1135" s="27"/>
    </row>
    <row r="1136" spans="1:7">
      <c r="A1136" s="27">
        <v>45</v>
      </c>
      <c r="B1136" s="27" t="s">
        <v>237</v>
      </c>
      <c r="C1136" s="27" t="s">
        <v>311</v>
      </c>
      <c r="D1136" s="27" t="s">
        <v>400</v>
      </c>
      <c r="E1136" s="27" t="s">
        <v>1681</v>
      </c>
      <c r="F1136" s="51">
        <v>478383</v>
      </c>
      <c r="G1136" s="27"/>
    </row>
    <row r="1137" spans="1:7">
      <c r="A1137" s="27">
        <v>45</v>
      </c>
      <c r="B1137" s="27" t="s">
        <v>237</v>
      </c>
      <c r="C1137" s="27" t="s">
        <v>311</v>
      </c>
      <c r="D1137" s="27" t="s">
        <v>298</v>
      </c>
      <c r="E1137" s="27" t="s">
        <v>1681</v>
      </c>
      <c r="F1137" s="51">
        <v>9945</v>
      </c>
      <c r="G1137" s="27"/>
    </row>
    <row r="1138" spans="1:7">
      <c r="A1138" s="27">
        <v>45</v>
      </c>
      <c r="B1138" s="27" t="s">
        <v>237</v>
      </c>
      <c r="C1138" s="27" t="s">
        <v>311</v>
      </c>
      <c r="D1138" s="27" t="s">
        <v>401</v>
      </c>
      <c r="E1138" s="27" t="s">
        <v>1681</v>
      </c>
      <c r="F1138" s="51">
        <v>31307</v>
      </c>
      <c r="G1138" s="27"/>
    </row>
    <row r="1139" spans="1:7">
      <c r="A1139" s="27">
        <v>45</v>
      </c>
      <c r="B1139" s="27" t="s">
        <v>237</v>
      </c>
      <c r="C1139" s="27" t="s">
        <v>311</v>
      </c>
      <c r="D1139" s="27" t="s">
        <v>402</v>
      </c>
      <c r="E1139" s="27" t="s">
        <v>1681</v>
      </c>
      <c r="F1139" s="51">
        <v>146730</v>
      </c>
      <c r="G1139" s="27"/>
    </row>
    <row r="1140" spans="1:7">
      <c r="A1140" s="27">
        <v>45</v>
      </c>
      <c r="B1140" s="27" t="s">
        <v>237</v>
      </c>
      <c r="C1140" s="27" t="s">
        <v>311</v>
      </c>
      <c r="D1140" s="27" t="s">
        <v>300</v>
      </c>
      <c r="E1140" s="27" t="s">
        <v>1681</v>
      </c>
      <c r="F1140" s="51">
        <v>20338</v>
      </c>
      <c r="G1140" s="27"/>
    </row>
    <row r="1141" spans="1:7">
      <c r="A1141" s="27">
        <v>46</v>
      </c>
      <c r="B1141" s="27" t="s">
        <v>238</v>
      </c>
      <c r="C1141" s="27" t="s">
        <v>227</v>
      </c>
      <c r="D1141" s="27" t="s">
        <v>394</v>
      </c>
      <c r="E1141" s="27" t="s">
        <v>1682</v>
      </c>
      <c r="F1141" s="51">
        <v>84295</v>
      </c>
      <c r="G1141" s="27"/>
    </row>
    <row r="1142" spans="1:7">
      <c r="A1142" s="27">
        <v>46</v>
      </c>
      <c r="B1142" s="27" t="s">
        <v>238</v>
      </c>
      <c r="C1142" s="27" t="s">
        <v>227</v>
      </c>
      <c r="D1142" s="27" t="s">
        <v>333</v>
      </c>
      <c r="E1142" s="27" t="s">
        <v>1682</v>
      </c>
      <c r="F1142" s="51">
        <v>2734</v>
      </c>
      <c r="G1142" s="27"/>
    </row>
    <row r="1143" spans="1:7">
      <c r="A1143" s="27">
        <v>46</v>
      </c>
      <c r="B1143" s="27" t="s">
        <v>238</v>
      </c>
      <c r="C1143" s="27" t="s">
        <v>227</v>
      </c>
      <c r="D1143" s="27" t="s">
        <v>398</v>
      </c>
      <c r="E1143" s="27" t="s">
        <v>1682</v>
      </c>
      <c r="F1143" s="51">
        <v>3591</v>
      </c>
      <c r="G1143" s="27"/>
    </row>
    <row r="1144" spans="1:7">
      <c r="A1144" s="27">
        <v>46</v>
      </c>
      <c r="B1144" s="27" t="s">
        <v>238</v>
      </c>
      <c r="C1144" s="27" t="s">
        <v>227</v>
      </c>
      <c r="D1144" s="27" t="s">
        <v>415</v>
      </c>
      <c r="E1144" s="27" t="s">
        <v>1682</v>
      </c>
      <c r="F1144" s="51">
        <v>1915</v>
      </c>
      <c r="G1144" s="27"/>
    </row>
    <row r="1145" spans="1:7">
      <c r="A1145" s="27">
        <v>46</v>
      </c>
      <c r="B1145" s="27" t="s">
        <v>238</v>
      </c>
      <c r="C1145" s="27" t="s">
        <v>227</v>
      </c>
      <c r="D1145" s="27" t="s">
        <v>334</v>
      </c>
      <c r="E1145" s="27" t="s">
        <v>1682</v>
      </c>
      <c r="F1145" s="51">
        <v>7361</v>
      </c>
      <c r="G1145" s="27"/>
    </row>
    <row r="1146" spans="1:7">
      <c r="A1146" s="27">
        <v>46</v>
      </c>
      <c r="B1146" s="27" t="s">
        <v>238</v>
      </c>
      <c r="C1146" s="27" t="s">
        <v>227</v>
      </c>
      <c r="D1146" s="27" t="s">
        <v>399</v>
      </c>
      <c r="E1146" s="27" t="s">
        <v>1681</v>
      </c>
      <c r="F1146" s="51">
        <v>298507</v>
      </c>
      <c r="G1146" s="27"/>
    </row>
    <row r="1147" spans="1:7">
      <c r="A1147" s="27">
        <v>46</v>
      </c>
      <c r="B1147" s="27" t="s">
        <v>238</v>
      </c>
      <c r="C1147" s="27" t="s">
        <v>227</v>
      </c>
      <c r="D1147" s="27" t="s">
        <v>295</v>
      </c>
      <c r="E1147" s="27" t="s">
        <v>1681</v>
      </c>
      <c r="F1147" s="51">
        <v>12000</v>
      </c>
      <c r="G1147" s="27"/>
    </row>
    <row r="1148" spans="1:7">
      <c r="A1148" s="27">
        <v>46</v>
      </c>
      <c r="B1148" s="27" t="s">
        <v>238</v>
      </c>
      <c r="C1148" s="27" t="s">
        <v>227</v>
      </c>
      <c r="D1148" s="27" t="s">
        <v>296</v>
      </c>
      <c r="E1148" s="27" t="s">
        <v>1681</v>
      </c>
      <c r="F1148" s="51">
        <v>293694</v>
      </c>
      <c r="G1148" s="27"/>
    </row>
    <row r="1149" spans="1:7">
      <c r="A1149" s="27">
        <v>46</v>
      </c>
      <c r="B1149" s="27" t="s">
        <v>238</v>
      </c>
      <c r="C1149" s="27" t="s">
        <v>227</v>
      </c>
      <c r="D1149" s="27" t="s">
        <v>400</v>
      </c>
      <c r="E1149" s="27" t="s">
        <v>1681</v>
      </c>
      <c r="F1149" s="51">
        <v>27247</v>
      </c>
      <c r="G1149" s="27"/>
    </row>
    <row r="1150" spans="1:7">
      <c r="A1150" s="27">
        <v>46</v>
      </c>
      <c r="B1150" s="27" t="s">
        <v>238</v>
      </c>
      <c r="C1150" s="27" t="s">
        <v>227</v>
      </c>
      <c r="D1150" s="27" t="s">
        <v>401</v>
      </c>
      <c r="E1150" s="27" t="s">
        <v>1681</v>
      </c>
      <c r="F1150" s="51">
        <v>15000</v>
      </c>
      <c r="G1150" s="27"/>
    </row>
    <row r="1151" spans="1:7">
      <c r="A1151" s="27">
        <v>46</v>
      </c>
      <c r="B1151" s="27" t="s">
        <v>238</v>
      </c>
      <c r="C1151" s="27" t="s">
        <v>227</v>
      </c>
      <c r="D1151" s="27" t="s">
        <v>402</v>
      </c>
      <c r="E1151" s="27" t="s">
        <v>1681</v>
      </c>
      <c r="F1151" s="51">
        <v>833</v>
      </c>
      <c r="G1151" s="27"/>
    </row>
    <row r="1152" spans="1:7">
      <c r="A1152" s="27">
        <v>47</v>
      </c>
      <c r="B1152" s="27" t="s">
        <v>239</v>
      </c>
      <c r="C1152" s="27" t="s">
        <v>346</v>
      </c>
      <c r="D1152" s="27" t="s">
        <v>408</v>
      </c>
      <c r="E1152" s="27" t="s">
        <v>1682</v>
      </c>
      <c r="F1152" s="51">
        <v>87051</v>
      </c>
      <c r="G1152" s="27"/>
    </row>
    <row r="1153" spans="1:7">
      <c r="A1153" s="27">
        <v>47</v>
      </c>
      <c r="B1153" s="27" t="s">
        <v>239</v>
      </c>
      <c r="C1153" s="27" t="s">
        <v>346</v>
      </c>
      <c r="D1153" s="27" t="s">
        <v>394</v>
      </c>
      <c r="E1153" s="27" t="s">
        <v>1682</v>
      </c>
      <c r="F1153" s="51">
        <v>172741</v>
      </c>
      <c r="G1153" s="27"/>
    </row>
    <row r="1154" spans="1:7">
      <c r="A1154" s="27">
        <v>47</v>
      </c>
      <c r="B1154" s="27" t="s">
        <v>239</v>
      </c>
      <c r="C1154" s="27" t="s">
        <v>346</v>
      </c>
      <c r="D1154" s="27" t="s">
        <v>397</v>
      </c>
      <c r="E1154" s="27" t="s">
        <v>1682</v>
      </c>
      <c r="F1154" s="51">
        <v>121418</v>
      </c>
      <c r="G1154" s="27"/>
    </row>
    <row r="1155" spans="1:7">
      <c r="A1155" s="27">
        <v>47</v>
      </c>
      <c r="B1155" s="27" t="s">
        <v>239</v>
      </c>
      <c r="C1155" s="27" t="s">
        <v>346</v>
      </c>
      <c r="D1155" s="27" t="s">
        <v>411</v>
      </c>
      <c r="E1155" s="27" t="s">
        <v>1682</v>
      </c>
      <c r="F1155" s="51">
        <v>3517</v>
      </c>
      <c r="G1155" s="27"/>
    </row>
    <row r="1156" spans="1:7">
      <c r="A1156" s="27">
        <v>47</v>
      </c>
      <c r="B1156" s="27" t="s">
        <v>239</v>
      </c>
      <c r="C1156" s="27" t="s">
        <v>346</v>
      </c>
      <c r="D1156" s="27" t="s">
        <v>412</v>
      </c>
      <c r="E1156" s="27" t="s">
        <v>1682</v>
      </c>
      <c r="F1156" s="51">
        <v>37199</v>
      </c>
      <c r="G1156" s="27"/>
    </row>
    <row r="1157" spans="1:7">
      <c r="A1157" s="27">
        <v>47</v>
      </c>
      <c r="B1157" s="27" t="s">
        <v>239</v>
      </c>
      <c r="C1157" s="27" t="s">
        <v>346</v>
      </c>
      <c r="D1157" s="27" t="s">
        <v>398</v>
      </c>
      <c r="E1157" s="27" t="s">
        <v>1682</v>
      </c>
      <c r="F1157" s="51">
        <v>5825</v>
      </c>
      <c r="G1157" s="27"/>
    </row>
    <row r="1158" spans="1:7">
      <c r="A1158" s="27">
        <v>47</v>
      </c>
      <c r="B1158" s="27" t="s">
        <v>239</v>
      </c>
      <c r="C1158" s="27" t="s">
        <v>346</v>
      </c>
      <c r="D1158" s="27" t="s">
        <v>415</v>
      </c>
      <c r="E1158" s="27" t="s">
        <v>1682</v>
      </c>
      <c r="F1158" s="51">
        <v>7042</v>
      </c>
      <c r="G1158" s="27"/>
    </row>
    <row r="1159" spans="1:7">
      <c r="A1159" s="27">
        <v>47</v>
      </c>
      <c r="B1159" s="27" t="s">
        <v>239</v>
      </c>
      <c r="C1159" s="27" t="s">
        <v>346</v>
      </c>
      <c r="D1159" s="27" t="s">
        <v>291</v>
      </c>
      <c r="E1159" s="27" t="s">
        <v>1681</v>
      </c>
      <c r="F1159" s="51">
        <v>7138</v>
      </c>
      <c r="G1159" s="27"/>
    </row>
    <row r="1160" spans="1:7">
      <c r="A1160" s="27">
        <v>47</v>
      </c>
      <c r="B1160" s="27" t="s">
        <v>239</v>
      </c>
      <c r="C1160" s="27" t="s">
        <v>346</v>
      </c>
      <c r="D1160" s="27" t="s">
        <v>399</v>
      </c>
      <c r="E1160" s="27" t="s">
        <v>1681</v>
      </c>
      <c r="F1160" s="51">
        <v>4203708</v>
      </c>
      <c r="G1160" s="27"/>
    </row>
    <row r="1161" spans="1:7">
      <c r="A1161" s="27">
        <v>47</v>
      </c>
      <c r="B1161" s="27" t="s">
        <v>239</v>
      </c>
      <c r="C1161" s="27" t="s">
        <v>346</v>
      </c>
      <c r="D1161" s="27" t="s">
        <v>307</v>
      </c>
      <c r="E1161" s="27" t="s">
        <v>1681</v>
      </c>
      <c r="F1161" s="51">
        <v>1200</v>
      </c>
      <c r="G1161" s="27"/>
    </row>
    <row r="1162" spans="1:7">
      <c r="A1162" s="27">
        <v>47</v>
      </c>
      <c r="B1162" s="27" t="s">
        <v>239</v>
      </c>
      <c r="C1162" s="27" t="s">
        <v>346</v>
      </c>
      <c r="D1162" s="27" t="s">
        <v>295</v>
      </c>
      <c r="E1162" s="27" t="s">
        <v>1681</v>
      </c>
      <c r="F1162" s="51">
        <v>67975</v>
      </c>
      <c r="G1162" s="27"/>
    </row>
    <row r="1163" spans="1:7">
      <c r="A1163" s="27">
        <v>47</v>
      </c>
      <c r="B1163" s="27" t="s">
        <v>239</v>
      </c>
      <c r="C1163" s="27" t="s">
        <v>346</v>
      </c>
      <c r="D1163" s="27" t="s">
        <v>296</v>
      </c>
      <c r="E1163" s="27" t="s">
        <v>1681</v>
      </c>
      <c r="F1163" s="51">
        <v>606180</v>
      </c>
      <c r="G1163" s="27"/>
    </row>
    <row r="1164" spans="1:7">
      <c r="A1164" s="27">
        <v>47</v>
      </c>
      <c r="B1164" s="27" t="s">
        <v>239</v>
      </c>
      <c r="C1164" s="27" t="s">
        <v>346</v>
      </c>
      <c r="D1164" s="27" t="s">
        <v>400</v>
      </c>
      <c r="E1164" s="27" t="s">
        <v>1681</v>
      </c>
      <c r="F1164" s="51">
        <v>200843</v>
      </c>
      <c r="G1164" s="27"/>
    </row>
    <row r="1165" spans="1:7">
      <c r="A1165" s="27">
        <v>47</v>
      </c>
      <c r="B1165" s="27" t="s">
        <v>239</v>
      </c>
      <c r="C1165" s="27" t="s">
        <v>346</v>
      </c>
      <c r="D1165" s="27" t="s">
        <v>298</v>
      </c>
      <c r="E1165" s="27" t="s">
        <v>1681</v>
      </c>
      <c r="F1165" s="51">
        <v>186118</v>
      </c>
      <c r="G1165" s="27"/>
    </row>
    <row r="1166" spans="1:7">
      <c r="A1166" s="27">
        <v>47</v>
      </c>
      <c r="B1166" s="27" t="s">
        <v>239</v>
      </c>
      <c r="C1166" s="27" t="s">
        <v>346</v>
      </c>
      <c r="D1166" s="27" t="s">
        <v>401</v>
      </c>
      <c r="E1166" s="27" t="s">
        <v>1681</v>
      </c>
      <c r="F1166" s="51">
        <v>30386</v>
      </c>
      <c r="G1166" s="27"/>
    </row>
    <row r="1167" spans="1:7">
      <c r="A1167" s="27">
        <v>47</v>
      </c>
      <c r="B1167" s="27" t="s">
        <v>239</v>
      </c>
      <c r="C1167" s="27" t="s">
        <v>346</v>
      </c>
      <c r="D1167" s="27" t="s">
        <v>402</v>
      </c>
      <c r="E1167" s="27" t="s">
        <v>1681</v>
      </c>
      <c r="F1167" s="51">
        <v>173951</v>
      </c>
      <c r="G1167" s="27"/>
    </row>
    <row r="1168" spans="1:7">
      <c r="A1168" s="27">
        <v>48</v>
      </c>
      <c r="B1168" s="27" t="s">
        <v>240</v>
      </c>
      <c r="C1168" s="27" t="s">
        <v>393</v>
      </c>
      <c r="D1168" s="27" t="s">
        <v>408</v>
      </c>
      <c r="E1168" s="27" t="s">
        <v>1682</v>
      </c>
      <c r="F1168" s="51">
        <v>64959</v>
      </c>
      <c r="G1168" s="27"/>
    </row>
    <row r="1169" spans="1:7">
      <c r="A1169" s="27">
        <v>48</v>
      </c>
      <c r="B1169" s="27" t="s">
        <v>240</v>
      </c>
      <c r="C1169" s="27" t="s">
        <v>393</v>
      </c>
      <c r="D1169" s="27" t="s">
        <v>394</v>
      </c>
      <c r="E1169" s="27" t="s">
        <v>1682</v>
      </c>
      <c r="F1169" s="51">
        <v>93000</v>
      </c>
      <c r="G1169" s="27"/>
    </row>
    <row r="1170" spans="1:7">
      <c r="A1170" s="27">
        <v>48</v>
      </c>
      <c r="B1170" s="27" t="s">
        <v>240</v>
      </c>
      <c r="C1170" s="27" t="s">
        <v>393</v>
      </c>
      <c r="D1170" s="27" t="s">
        <v>397</v>
      </c>
      <c r="E1170" s="27" t="s">
        <v>1682</v>
      </c>
      <c r="F1170" s="51">
        <v>121089</v>
      </c>
      <c r="G1170" s="27"/>
    </row>
    <row r="1171" spans="1:7">
      <c r="A1171" s="27">
        <v>48</v>
      </c>
      <c r="B1171" s="27" t="s">
        <v>240</v>
      </c>
      <c r="C1171" s="27" t="s">
        <v>393</v>
      </c>
      <c r="D1171" s="27" t="s">
        <v>411</v>
      </c>
      <c r="E1171" s="27" t="s">
        <v>1682</v>
      </c>
      <c r="F1171" s="51">
        <v>4361</v>
      </c>
      <c r="G1171" s="27"/>
    </row>
    <row r="1172" spans="1:7">
      <c r="A1172" s="27">
        <v>48</v>
      </c>
      <c r="B1172" s="27" t="s">
        <v>240</v>
      </c>
      <c r="C1172" s="27" t="s">
        <v>393</v>
      </c>
      <c r="D1172" s="27" t="s">
        <v>412</v>
      </c>
      <c r="E1172" s="27" t="s">
        <v>1682</v>
      </c>
      <c r="F1172" s="51">
        <v>56465</v>
      </c>
      <c r="G1172" s="27"/>
    </row>
    <row r="1173" spans="1:7">
      <c r="A1173" s="27">
        <v>48</v>
      </c>
      <c r="B1173" s="27" t="s">
        <v>240</v>
      </c>
      <c r="C1173" s="27" t="s">
        <v>393</v>
      </c>
      <c r="D1173" s="27" t="s">
        <v>398</v>
      </c>
      <c r="E1173" s="27" t="s">
        <v>1682</v>
      </c>
      <c r="F1173" s="51">
        <v>5500</v>
      </c>
      <c r="G1173" s="27"/>
    </row>
    <row r="1174" spans="1:7">
      <c r="A1174" s="27">
        <v>48</v>
      </c>
      <c r="B1174" s="27" t="s">
        <v>240</v>
      </c>
      <c r="C1174" s="27" t="s">
        <v>393</v>
      </c>
      <c r="D1174" s="27" t="s">
        <v>415</v>
      </c>
      <c r="E1174" s="27" t="s">
        <v>1682</v>
      </c>
      <c r="F1174" s="51">
        <v>11892</v>
      </c>
      <c r="G1174" s="27"/>
    </row>
    <row r="1175" spans="1:7">
      <c r="A1175" s="27">
        <v>48</v>
      </c>
      <c r="B1175" s="27" t="s">
        <v>240</v>
      </c>
      <c r="C1175" s="27" t="s">
        <v>393</v>
      </c>
      <c r="D1175" s="27" t="s">
        <v>291</v>
      </c>
      <c r="E1175" s="27" t="s">
        <v>1681</v>
      </c>
      <c r="F1175" s="51">
        <v>9424</v>
      </c>
      <c r="G1175" s="27"/>
    </row>
    <row r="1176" spans="1:7">
      <c r="A1176" s="27">
        <v>48</v>
      </c>
      <c r="B1176" s="27" t="s">
        <v>240</v>
      </c>
      <c r="C1176" s="27" t="s">
        <v>393</v>
      </c>
      <c r="D1176" s="27" t="s">
        <v>399</v>
      </c>
      <c r="E1176" s="27" t="s">
        <v>1681</v>
      </c>
      <c r="F1176" s="51">
        <v>7571910</v>
      </c>
      <c r="G1176" s="27"/>
    </row>
    <row r="1177" spans="1:7">
      <c r="A1177" s="27">
        <v>48</v>
      </c>
      <c r="B1177" s="27" t="s">
        <v>240</v>
      </c>
      <c r="C1177" s="27" t="s">
        <v>393</v>
      </c>
      <c r="D1177" s="27" t="s">
        <v>293</v>
      </c>
      <c r="E1177" s="27" t="s">
        <v>1681</v>
      </c>
      <c r="F1177" s="51">
        <v>55831</v>
      </c>
      <c r="G1177" s="27"/>
    </row>
    <row r="1178" spans="1:7">
      <c r="A1178" s="27">
        <v>48</v>
      </c>
      <c r="B1178" s="27" t="s">
        <v>240</v>
      </c>
      <c r="C1178" s="27" t="s">
        <v>393</v>
      </c>
      <c r="D1178" s="27" t="s">
        <v>307</v>
      </c>
      <c r="E1178" s="27" t="s">
        <v>1681</v>
      </c>
      <c r="F1178" s="51">
        <v>1200</v>
      </c>
      <c r="G1178" s="27"/>
    </row>
    <row r="1179" spans="1:7">
      <c r="A1179" s="27">
        <v>48</v>
      </c>
      <c r="B1179" s="27" t="s">
        <v>240</v>
      </c>
      <c r="C1179" s="27" t="s">
        <v>393</v>
      </c>
      <c r="D1179" s="27" t="s">
        <v>296</v>
      </c>
      <c r="E1179" s="27" t="s">
        <v>1681</v>
      </c>
      <c r="F1179" s="51">
        <v>7665245</v>
      </c>
      <c r="G1179" s="27"/>
    </row>
    <row r="1180" spans="1:7">
      <c r="A1180" s="27">
        <v>48</v>
      </c>
      <c r="B1180" s="27" t="s">
        <v>240</v>
      </c>
      <c r="C1180" s="27" t="s">
        <v>393</v>
      </c>
      <c r="D1180" s="27" t="s">
        <v>400</v>
      </c>
      <c r="E1180" s="27" t="s">
        <v>1681</v>
      </c>
      <c r="F1180" s="51">
        <v>56637</v>
      </c>
      <c r="G1180" s="27"/>
    </row>
    <row r="1181" spans="1:7">
      <c r="A1181" s="27">
        <v>48</v>
      </c>
      <c r="B1181" s="27" t="s">
        <v>240</v>
      </c>
      <c r="C1181" s="27" t="s">
        <v>393</v>
      </c>
      <c r="D1181" s="27" t="s">
        <v>298</v>
      </c>
      <c r="E1181" s="27" t="s">
        <v>1681</v>
      </c>
      <c r="F1181" s="51">
        <v>136562</v>
      </c>
      <c r="G1181" s="27"/>
    </row>
    <row r="1182" spans="1:7">
      <c r="A1182" s="27">
        <v>48</v>
      </c>
      <c r="B1182" s="27" t="s">
        <v>240</v>
      </c>
      <c r="C1182" s="27" t="s">
        <v>393</v>
      </c>
      <c r="D1182" s="27" t="s">
        <v>401</v>
      </c>
      <c r="E1182" s="27" t="s">
        <v>1681</v>
      </c>
      <c r="F1182" s="51">
        <v>31096</v>
      </c>
      <c r="G1182" s="27"/>
    </row>
    <row r="1183" spans="1:7">
      <c r="A1183" s="27">
        <v>48</v>
      </c>
      <c r="B1183" s="27" t="s">
        <v>240</v>
      </c>
      <c r="C1183" s="27" t="s">
        <v>393</v>
      </c>
      <c r="D1183" s="27" t="s">
        <v>402</v>
      </c>
      <c r="E1183" s="27" t="s">
        <v>1681</v>
      </c>
      <c r="F1183" s="51">
        <v>291941</v>
      </c>
      <c r="G1183" s="27"/>
    </row>
    <row r="1184" spans="1:7">
      <c r="A1184" s="27">
        <v>48</v>
      </c>
      <c r="B1184" s="27" t="s">
        <v>240</v>
      </c>
      <c r="C1184" s="27" t="s">
        <v>393</v>
      </c>
      <c r="D1184" s="27" t="s">
        <v>300</v>
      </c>
      <c r="E1184" s="27" t="s">
        <v>1681</v>
      </c>
      <c r="F1184" s="51">
        <v>14000</v>
      </c>
      <c r="G1184" s="27"/>
    </row>
    <row r="1185" spans="1:7">
      <c r="A1185" s="27">
        <v>49</v>
      </c>
      <c r="B1185" s="27" t="s">
        <v>241</v>
      </c>
      <c r="C1185" s="27" t="s">
        <v>346</v>
      </c>
      <c r="D1185" s="27" t="s">
        <v>405</v>
      </c>
      <c r="E1185" s="27" t="s">
        <v>1682</v>
      </c>
      <c r="F1185" s="51">
        <v>146000</v>
      </c>
      <c r="G1185" s="27"/>
    </row>
    <row r="1186" spans="1:7">
      <c r="A1186" s="27">
        <v>49</v>
      </c>
      <c r="B1186" s="27" t="s">
        <v>241</v>
      </c>
      <c r="C1186" s="27" t="s">
        <v>346</v>
      </c>
      <c r="D1186" s="27" t="s">
        <v>406</v>
      </c>
      <c r="E1186" s="27" t="s">
        <v>1682</v>
      </c>
      <c r="F1186" s="51">
        <v>46495</v>
      </c>
      <c r="G1186" s="27"/>
    </row>
    <row r="1187" spans="1:7">
      <c r="A1187" s="27">
        <v>49</v>
      </c>
      <c r="B1187" s="27" t="s">
        <v>241</v>
      </c>
      <c r="C1187" s="27" t="s">
        <v>346</v>
      </c>
      <c r="D1187" s="27" t="s">
        <v>408</v>
      </c>
      <c r="E1187" s="27" t="s">
        <v>1682</v>
      </c>
      <c r="F1187" s="51">
        <v>525694</v>
      </c>
      <c r="G1187" s="27"/>
    </row>
    <row r="1188" spans="1:7">
      <c r="A1188" s="27">
        <v>49</v>
      </c>
      <c r="B1188" s="27" t="s">
        <v>241</v>
      </c>
      <c r="C1188" s="27" t="s">
        <v>346</v>
      </c>
      <c r="D1188" s="27" t="s">
        <v>394</v>
      </c>
      <c r="E1188" s="27" t="s">
        <v>1682</v>
      </c>
      <c r="F1188" s="51">
        <v>774395</v>
      </c>
      <c r="G1188" s="27"/>
    </row>
    <row r="1189" spans="1:7">
      <c r="A1189" s="27">
        <v>49</v>
      </c>
      <c r="B1189" s="27" t="s">
        <v>241</v>
      </c>
      <c r="C1189" s="27" t="s">
        <v>346</v>
      </c>
      <c r="D1189" s="27" t="s">
        <v>397</v>
      </c>
      <c r="E1189" s="27" t="s">
        <v>1682</v>
      </c>
      <c r="F1189" s="51">
        <v>260000</v>
      </c>
      <c r="G1189" s="27"/>
    </row>
    <row r="1190" spans="1:7">
      <c r="A1190" s="27">
        <v>49</v>
      </c>
      <c r="B1190" s="27" t="s">
        <v>241</v>
      </c>
      <c r="C1190" s="27" t="s">
        <v>346</v>
      </c>
      <c r="D1190" s="27" t="s">
        <v>333</v>
      </c>
      <c r="E1190" s="27" t="s">
        <v>1682</v>
      </c>
      <c r="F1190" s="51">
        <v>3023</v>
      </c>
      <c r="G1190" s="27"/>
    </row>
    <row r="1191" spans="1:7">
      <c r="A1191" s="27">
        <v>49</v>
      </c>
      <c r="B1191" s="27" t="s">
        <v>241</v>
      </c>
      <c r="C1191" s="27" t="s">
        <v>346</v>
      </c>
      <c r="D1191" s="27" t="s">
        <v>411</v>
      </c>
      <c r="E1191" s="27" t="s">
        <v>1682</v>
      </c>
      <c r="F1191" s="51">
        <v>5000</v>
      </c>
      <c r="G1191" s="27"/>
    </row>
    <row r="1192" spans="1:7">
      <c r="A1192" s="27">
        <v>49</v>
      </c>
      <c r="B1192" s="27" t="s">
        <v>241</v>
      </c>
      <c r="C1192" s="27" t="s">
        <v>346</v>
      </c>
      <c r="D1192" s="27" t="s">
        <v>412</v>
      </c>
      <c r="E1192" s="27" t="s">
        <v>1682</v>
      </c>
      <c r="F1192" s="51">
        <v>135000</v>
      </c>
      <c r="G1192" s="27"/>
    </row>
    <row r="1193" spans="1:7">
      <c r="A1193" s="27">
        <v>49</v>
      </c>
      <c r="B1193" s="27" t="s">
        <v>241</v>
      </c>
      <c r="C1193" s="27" t="s">
        <v>346</v>
      </c>
      <c r="D1193" s="27" t="s">
        <v>398</v>
      </c>
      <c r="E1193" s="27" t="s">
        <v>1682</v>
      </c>
      <c r="F1193" s="51">
        <v>20000</v>
      </c>
      <c r="G1193" s="27"/>
    </row>
    <row r="1194" spans="1:7">
      <c r="A1194" s="27">
        <v>49</v>
      </c>
      <c r="B1194" s="27" t="s">
        <v>241</v>
      </c>
      <c r="C1194" s="27" t="s">
        <v>346</v>
      </c>
      <c r="D1194" s="27" t="s">
        <v>415</v>
      </c>
      <c r="E1194" s="27" t="s">
        <v>1682</v>
      </c>
      <c r="F1194" s="51">
        <v>40000</v>
      </c>
      <c r="G1194" s="27"/>
    </row>
    <row r="1195" spans="1:7">
      <c r="A1195" s="27">
        <v>49</v>
      </c>
      <c r="B1195" s="27" t="s">
        <v>241</v>
      </c>
      <c r="C1195" s="27" t="s">
        <v>346</v>
      </c>
      <c r="D1195" s="27" t="s">
        <v>291</v>
      </c>
      <c r="E1195" s="27" t="s">
        <v>1681</v>
      </c>
      <c r="F1195" s="51">
        <v>34051</v>
      </c>
      <c r="G1195" s="27"/>
    </row>
    <row r="1196" spans="1:7">
      <c r="A1196" s="27">
        <v>49</v>
      </c>
      <c r="B1196" s="27" t="s">
        <v>241</v>
      </c>
      <c r="C1196" s="27" t="s">
        <v>346</v>
      </c>
      <c r="D1196" s="27" t="s">
        <v>399</v>
      </c>
      <c r="E1196" s="27" t="s">
        <v>1681</v>
      </c>
      <c r="F1196" s="51">
        <v>22783324</v>
      </c>
      <c r="G1196" s="27"/>
    </row>
    <row r="1197" spans="1:7">
      <c r="A1197" s="27">
        <v>49</v>
      </c>
      <c r="B1197" s="27" t="s">
        <v>241</v>
      </c>
      <c r="C1197" s="27" t="s">
        <v>346</v>
      </c>
      <c r="D1197" s="27" t="s">
        <v>317</v>
      </c>
      <c r="E1197" s="27" t="s">
        <v>1681</v>
      </c>
      <c r="F1197" s="51">
        <v>86171</v>
      </c>
      <c r="G1197" s="27"/>
    </row>
    <row r="1198" spans="1:7">
      <c r="A1198" s="27">
        <v>49</v>
      </c>
      <c r="B1198" s="27" t="s">
        <v>241</v>
      </c>
      <c r="C1198" s="27" t="s">
        <v>346</v>
      </c>
      <c r="D1198" s="27" t="s">
        <v>307</v>
      </c>
      <c r="E1198" s="27" t="s">
        <v>1681</v>
      </c>
      <c r="F1198" s="51">
        <v>10800</v>
      </c>
      <c r="G1198" s="27"/>
    </row>
    <row r="1199" spans="1:7">
      <c r="A1199" s="27">
        <v>49</v>
      </c>
      <c r="B1199" s="27" t="s">
        <v>241</v>
      </c>
      <c r="C1199" s="27" t="s">
        <v>346</v>
      </c>
      <c r="D1199" s="27" t="s">
        <v>294</v>
      </c>
      <c r="E1199" s="27" t="s">
        <v>1681</v>
      </c>
      <c r="F1199" s="51">
        <v>53610</v>
      </c>
      <c r="G1199" s="27"/>
    </row>
    <row r="1200" spans="1:7">
      <c r="A1200" s="27">
        <v>49</v>
      </c>
      <c r="B1200" s="27" t="s">
        <v>241</v>
      </c>
      <c r="C1200" s="27" t="s">
        <v>346</v>
      </c>
      <c r="D1200" s="27" t="s">
        <v>295</v>
      </c>
      <c r="E1200" s="27" t="s">
        <v>1681</v>
      </c>
      <c r="F1200" s="51">
        <v>130312</v>
      </c>
      <c r="G1200" s="27"/>
    </row>
    <row r="1201" spans="1:7">
      <c r="A1201" s="27">
        <v>49</v>
      </c>
      <c r="B1201" s="27" t="s">
        <v>241</v>
      </c>
      <c r="C1201" s="27" t="s">
        <v>346</v>
      </c>
      <c r="D1201" s="27" t="s">
        <v>296</v>
      </c>
      <c r="E1201" s="27" t="s">
        <v>1681</v>
      </c>
      <c r="F1201" s="51">
        <v>7794039</v>
      </c>
      <c r="G1201" s="27"/>
    </row>
    <row r="1202" spans="1:7">
      <c r="A1202" s="27">
        <v>49</v>
      </c>
      <c r="B1202" s="27" t="s">
        <v>241</v>
      </c>
      <c r="C1202" s="27" t="s">
        <v>346</v>
      </c>
      <c r="D1202" s="27" t="s">
        <v>400</v>
      </c>
      <c r="E1202" s="27" t="s">
        <v>1681</v>
      </c>
      <c r="F1202" s="51">
        <v>308514</v>
      </c>
      <c r="G1202" s="27"/>
    </row>
    <row r="1203" spans="1:7">
      <c r="A1203" s="27">
        <v>49</v>
      </c>
      <c r="B1203" s="27" t="s">
        <v>241</v>
      </c>
      <c r="C1203" s="27" t="s">
        <v>346</v>
      </c>
      <c r="D1203" s="27" t="s">
        <v>298</v>
      </c>
      <c r="E1203" s="27" t="s">
        <v>1681</v>
      </c>
      <c r="F1203" s="51">
        <v>417509</v>
      </c>
      <c r="G1203" s="27"/>
    </row>
    <row r="1204" spans="1:7">
      <c r="A1204" s="27">
        <v>49</v>
      </c>
      <c r="B1204" s="27" t="s">
        <v>241</v>
      </c>
      <c r="C1204" s="27" t="s">
        <v>346</v>
      </c>
      <c r="D1204" s="27" t="s">
        <v>401</v>
      </c>
      <c r="E1204" s="27" t="s">
        <v>1681</v>
      </c>
      <c r="F1204" s="51">
        <v>33530</v>
      </c>
      <c r="G1204" s="27"/>
    </row>
    <row r="1205" spans="1:7">
      <c r="A1205" s="27">
        <v>49</v>
      </c>
      <c r="B1205" s="27" t="s">
        <v>241</v>
      </c>
      <c r="C1205" s="27" t="s">
        <v>346</v>
      </c>
      <c r="D1205" s="27" t="s">
        <v>1347</v>
      </c>
      <c r="E1205" s="27" t="s">
        <v>1681</v>
      </c>
      <c r="F1205" s="51">
        <v>4021</v>
      </c>
      <c r="G1205" s="27"/>
    </row>
    <row r="1206" spans="1:7">
      <c r="A1206" s="27">
        <v>49</v>
      </c>
      <c r="B1206" s="27" t="s">
        <v>241</v>
      </c>
      <c r="C1206" s="27" t="s">
        <v>346</v>
      </c>
      <c r="D1206" s="27" t="s">
        <v>402</v>
      </c>
      <c r="E1206" s="27" t="s">
        <v>1681</v>
      </c>
      <c r="F1206" s="51">
        <v>557780</v>
      </c>
      <c r="G1206" s="27"/>
    </row>
    <row r="1207" spans="1:7">
      <c r="A1207" s="27">
        <v>49</v>
      </c>
      <c r="B1207" s="27" t="s">
        <v>241</v>
      </c>
      <c r="C1207" s="27" t="s">
        <v>346</v>
      </c>
      <c r="D1207" s="27" t="s">
        <v>299</v>
      </c>
      <c r="E1207" s="27" t="s">
        <v>1681</v>
      </c>
      <c r="F1207" s="51">
        <v>153985</v>
      </c>
      <c r="G1207" s="27"/>
    </row>
    <row r="1208" spans="1:7">
      <c r="A1208" s="27">
        <v>49</v>
      </c>
      <c r="B1208" s="27" t="s">
        <v>241</v>
      </c>
      <c r="C1208" s="27" t="s">
        <v>346</v>
      </c>
      <c r="D1208" s="27" t="s">
        <v>300</v>
      </c>
      <c r="E1208" s="27" t="s">
        <v>1681</v>
      </c>
      <c r="F1208" s="51">
        <v>32513</v>
      </c>
      <c r="G1208" s="27"/>
    </row>
    <row r="1209" spans="1:7">
      <c r="A1209" s="27">
        <v>50</v>
      </c>
      <c r="B1209" s="27" t="s">
        <v>242</v>
      </c>
      <c r="C1209" s="27" t="s">
        <v>393</v>
      </c>
      <c r="D1209" s="27" t="s">
        <v>408</v>
      </c>
      <c r="E1209" s="27" t="s">
        <v>1682</v>
      </c>
      <c r="F1209" s="51">
        <v>13858</v>
      </c>
      <c r="G1209" s="27"/>
    </row>
    <row r="1210" spans="1:7">
      <c r="A1210" s="27">
        <v>50</v>
      </c>
      <c r="B1210" s="27" t="s">
        <v>242</v>
      </c>
      <c r="C1210" s="27" t="s">
        <v>393</v>
      </c>
      <c r="D1210" s="27" t="s">
        <v>397</v>
      </c>
      <c r="E1210" s="27" t="s">
        <v>1682</v>
      </c>
      <c r="F1210" s="51">
        <v>59192</v>
      </c>
      <c r="G1210" s="27"/>
    </row>
    <row r="1211" spans="1:7">
      <c r="A1211" s="27">
        <v>50</v>
      </c>
      <c r="B1211" s="27" t="s">
        <v>242</v>
      </c>
      <c r="C1211" s="27" t="s">
        <v>393</v>
      </c>
      <c r="D1211" s="27" t="s">
        <v>291</v>
      </c>
      <c r="E1211" s="27" t="s">
        <v>1681</v>
      </c>
      <c r="F1211" s="51">
        <v>1679</v>
      </c>
      <c r="G1211" s="27"/>
    </row>
    <row r="1212" spans="1:7">
      <c r="A1212" s="27">
        <v>50</v>
      </c>
      <c r="B1212" s="27" t="s">
        <v>242</v>
      </c>
      <c r="C1212" s="27" t="s">
        <v>393</v>
      </c>
      <c r="D1212" s="27" t="s">
        <v>399</v>
      </c>
      <c r="E1212" s="27" t="s">
        <v>1681</v>
      </c>
      <c r="F1212" s="51">
        <v>201442</v>
      </c>
      <c r="G1212" s="27"/>
    </row>
    <row r="1213" spans="1:7">
      <c r="A1213" s="27">
        <v>50</v>
      </c>
      <c r="B1213" s="27" t="s">
        <v>242</v>
      </c>
      <c r="C1213" s="27" t="s">
        <v>393</v>
      </c>
      <c r="D1213" s="27" t="s">
        <v>296</v>
      </c>
      <c r="E1213" s="27" t="s">
        <v>1681</v>
      </c>
      <c r="F1213" s="51">
        <v>136379</v>
      </c>
      <c r="G1213" s="27"/>
    </row>
    <row r="1214" spans="1:7">
      <c r="A1214" s="27">
        <v>50</v>
      </c>
      <c r="B1214" s="27" t="s">
        <v>242</v>
      </c>
      <c r="C1214" s="27" t="s">
        <v>393</v>
      </c>
      <c r="D1214" s="27" t="s">
        <v>400</v>
      </c>
      <c r="E1214" s="27" t="s">
        <v>1681</v>
      </c>
      <c r="F1214" s="51">
        <v>26847</v>
      </c>
      <c r="G1214" s="27"/>
    </row>
    <row r="1215" spans="1:7">
      <c r="A1215" s="27">
        <v>50</v>
      </c>
      <c r="B1215" s="27" t="s">
        <v>242</v>
      </c>
      <c r="C1215" s="27" t="s">
        <v>393</v>
      </c>
      <c r="D1215" s="27" t="s">
        <v>401</v>
      </c>
      <c r="E1215" s="27" t="s">
        <v>1681</v>
      </c>
      <c r="F1215" s="51">
        <v>15000</v>
      </c>
      <c r="G1215" s="27"/>
    </row>
    <row r="1216" spans="1:7">
      <c r="A1216" s="27">
        <v>50</v>
      </c>
      <c r="B1216" s="27" t="s">
        <v>242</v>
      </c>
      <c r="C1216" s="27" t="s">
        <v>393</v>
      </c>
      <c r="D1216" s="27" t="s">
        <v>402</v>
      </c>
      <c r="E1216" s="27" t="s">
        <v>1681</v>
      </c>
      <c r="F1216" s="51">
        <v>3233</v>
      </c>
      <c r="G1216" s="27"/>
    </row>
    <row r="1217" spans="1:7">
      <c r="A1217" s="27">
        <v>50</v>
      </c>
      <c r="B1217" s="27" t="s">
        <v>242</v>
      </c>
      <c r="C1217" s="27" t="s">
        <v>393</v>
      </c>
      <c r="D1217" s="27" t="s">
        <v>300</v>
      </c>
      <c r="E1217" s="27" t="s">
        <v>1681</v>
      </c>
      <c r="F1217" s="51">
        <v>16981</v>
      </c>
      <c r="G1217" s="27"/>
    </row>
    <row r="1218" spans="1:7">
      <c r="A1218" s="27">
        <v>51</v>
      </c>
      <c r="B1218" s="27" t="s">
        <v>243</v>
      </c>
      <c r="C1218" s="27" t="s">
        <v>306</v>
      </c>
      <c r="D1218" s="27" t="s">
        <v>406</v>
      </c>
      <c r="E1218" s="27" t="s">
        <v>1682</v>
      </c>
      <c r="F1218" s="51">
        <v>49597</v>
      </c>
      <c r="G1218" s="27"/>
    </row>
    <row r="1219" spans="1:7">
      <c r="A1219" s="27">
        <v>51</v>
      </c>
      <c r="B1219" s="27" t="s">
        <v>243</v>
      </c>
      <c r="C1219" s="27" t="s">
        <v>306</v>
      </c>
      <c r="D1219" s="27" t="s">
        <v>408</v>
      </c>
      <c r="E1219" s="27" t="s">
        <v>1682</v>
      </c>
      <c r="F1219" s="51">
        <v>145005</v>
      </c>
      <c r="G1219" s="27"/>
    </row>
    <row r="1220" spans="1:7">
      <c r="A1220" s="27">
        <v>51</v>
      </c>
      <c r="B1220" s="27" t="s">
        <v>243</v>
      </c>
      <c r="C1220" s="27" t="s">
        <v>306</v>
      </c>
      <c r="D1220" s="27" t="s">
        <v>394</v>
      </c>
      <c r="E1220" s="27" t="s">
        <v>1682</v>
      </c>
      <c r="F1220" s="51">
        <v>1290828</v>
      </c>
      <c r="G1220" s="27"/>
    </row>
    <row r="1221" spans="1:7">
      <c r="A1221" s="27">
        <v>51</v>
      </c>
      <c r="B1221" s="27" t="s">
        <v>243</v>
      </c>
      <c r="C1221" s="27" t="s">
        <v>306</v>
      </c>
      <c r="D1221" s="27" t="s">
        <v>396</v>
      </c>
      <c r="E1221" s="27" t="s">
        <v>1682</v>
      </c>
      <c r="F1221" s="51">
        <v>40000</v>
      </c>
      <c r="G1221" s="27"/>
    </row>
    <row r="1222" spans="1:7">
      <c r="A1222" s="27">
        <v>51</v>
      </c>
      <c r="B1222" s="27" t="s">
        <v>243</v>
      </c>
      <c r="C1222" s="27" t="s">
        <v>306</v>
      </c>
      <c r="D1222" s="27" t="s">
        <v>397</v>
      </c>
      <c r="E1222" s="27" t="s">
        <v>1682</v>
      </c>
      <c r="F1222" s="51">
        <v>311380</v>
      </c>
      <c r="G1222" s="27"/>
    </row>
    <row r="1223" spans="1:7">
      <c r="A1223" s="27">
        <v>51</v>
      </c>
      <c r="B1223" s="27" t="s">
        <v>243</v>
      </c>
      <c r="C1223" s="27" t="s">
        <v>306</v>
      </c>
      <c r="D1223" s="27" t="s">
        <v>333</v>
      </c>
      <c r="E1223" s="27" t="s">
        <v>1682</v>
      </c>
      <c r="F1223" s="51">
        <v>9812</v>
      </c>
      <c r="G1223" s="27"/>
    </row>
    <row r="1224" spans="1:7">
      <c r="A1224" s="27">
        <v>51</v>
      </c>
      <c r="B1224" s="27" t="s">
        <v>243</v>
      </c>
      <c r="C1224" s="27" t="s">
        <v>306</v>
      </c>
      <c r="D1224" s="27" t="s">
        <v>411</v>
      </c>
      <c r="E1224" s="27" t="s">
        <v>1682</v>
      </c>
      <c r="F1224" s="51">
        <v>2800</v>
      </c>
      <c r="G1224" s="27"/>
    </row>
    <row r="1225" spans="1:7">
      <c r="A1225" s="27">
        <v>51</v>
      </c>
      <c r="B1225" s="27" t="s">
        <v>243</v>
      </c>
      <c r="C1225" s="27" t="s">
        <v>306</v>
      </c>
      <c r="D1225" s="27" t="s">
        <v>412</v>
      </c>
      <c r="E1225" s="27" t="s">
        <v>1682</v>
      </c>
      <c r="F1225" s="51">
        <v>128000</v>
      </c>
      <c r="G1225" s="27"/>
    </row>
    <row r="1226" spans="1:7">
      <c r="A1226" s="27">
        <v>51</v>
      </c>
      <c r="B1226" s="27" t="s">
        <v>243</v>
      </c>
      <c r="C1226" s="27" t="s">
        <v>306</v>
      </c>
      <c r="D1226" s="27" t="s">
        <v>398</v>
      </c>
      <c r="E1226" s="27" t="s">
        <v>1682</v>
      </c>
      <c r="F1226" s="51">
        <v>40015</v>
      </c>
      <c r="G1226" s="27"/>
    </row>
    <row r="1227" spans="1:7">
      <c r="A1227" s="27">
        <v>51</v>
      </c>
      <c r="B1227" s="27" t="s">
        <v>243</v>
      </c>
      <c r="C1227" s="27" t="s">
        <v>306</v>
      </c>
      <c r="D1227" s="27" t="s">
        <v>415</v>
      </c>
      <c r="E1227" s="27" t="s">
        <v>1682</v>
      </c>
      <c r="F1227" s="51">
        <v>19770</v>
      </c>
      <c r="G1227" s="27"/>
    </row>
    <row r="1228" spans="1:7">
      <c r="A1228" s="27">
        <v>51</v>
      </c>
      <c r="B1228" s="27" t="s">
        <v>243</v>
      </c>
      <c r="C1228" s="27" t="s">
        <v>306</v>
      </c>
      <c r="D1228" s="27" t="s">
        <v>334</v>
      </c>
      <c r="E1228" s="27" t="s">
        <v>1682</v>
      </c>
      <c r="F1228" s="51">
        <v>16690</v>
      </c>
      <c r="G1228" s="27"/>
    </row>
    <row r="1229" spans="1:7">
      <c r="A1229" s="27">
        <v>51</v>
      </c>
      <c r="B1229" s="27" t="s">
        <v>243</v>
      </c>
      <c r="C1229" s="27" t="s">
        <v>306</v>
      </c>
      <c r="D1229" s="27" t="s">
        <v>291</v>
      </c>
      <c r="E1229" s="27" t="s">
        <v>1681</v>
      </c>
      <c r="F1229" s="51">
        <v>22367</v>
      </c>
      <c r="G1229" s="27"/>
    </row>
    <row r="1230" spans="1:7">
      <c r="A1230" s="27">
        <v>51</v>
      </c>
      <c r="B1230" s="27" t="s">
        <v>243</v>
      </c>
      <c r="C1230" s="27" t="s">
        <v>306</v>
      </c>
      <c r="D1230" s="27" t="s">
        <v>399</v>
      </c>
      <c r="E1230" s="27" t="s">
        <v>1681</v>
      </c>
      <c r="F1230" s="51">
        <v>2041483</v>
      </c>
      <c r="G1230" s="27"/>
    </row>
    <row r="1231" spans="1:7">
      <c r="A1231" s="27">
        <v>51</v>
      </c>
      <c r="B1231" s="27" t="s">
        <v>243</v>
      </c>
      <c r="C1231" s="27" t="s">
        <v>306</v>
      </c>
      <c r="D1231" s="27" t="s">
        <v>293</v>
      </c>
      <c r="E1231" s="27" t="s">
        <v>1681</v>
      </c>
      <c r="F1231" s="51">
        <v>54673</v>
      </c>
      <c r="G1231" s="27"/>
    </row>
    <row r="1232" spans="1:7">
      <c r="A1232" s="27">
        <v>51</v>
      </c>
      <c r="B1232" s="27" t="s">
        <v>243</v>
      </c>
      <c r="C1232" s="27" t="s">
        <v>306</v>
      </c>
      <c r="D1232" s="27" t="s">
        <v>307</v>
      </c>
      <c r="E1232" s="27" t="s">
        <v>1681</v>
      </c>
      <c r="F1232" s="51">
        <v>62400</v>
      </c>
      <c r="G1232" s="27"/>
    </row>
    <row r="1233" spans="1:7">
      <c r="A1233" s="27">
        <v>51</v>
      </c>
      <c r="B1233" s="27" t="s">
        <v>243</v>
      </c>
      <c r="C1233" s="27" t="s">
        <v>306</v>
      </c>
      <c r="D1233" s="27" t="s">
        <v>294</v>
      </c>
      <c r="E1233" s="27" t="s">
        <v>1681</v>
      </c>
      <c r="F1233" s="51">
        <v>64977</v>
      </c>
      <c r="G1233" s="27"/>
    </row>
    <row r="1234" spans="1:7">
      <c r="A1234" s="27">
        <v>51</v>
      </c>
      <c r="B1234" s="27" t="s">
        <v>243</v>
      </c>
      <c r="C1234" s="27" t="s">
        <v>306</v>
      </c>
      <c r="D1234" s="27" t="s">
        <v>295</v>
      </c>
      <c r="E1234" s="27" t="s">
        <v>1681</v>
      </c>
      <c r="F1234" s="51">
        <v>162047</v>
      </c>
      <c r="G1234" s="27"/>
    </row>
    <row r="1235" spans="1:7">
      <c r="A1235" s="27">
        <v>51</v>
      </c>
      <c r="B1235" s="27" t="s">
        <v>243</v>
      </c>
      <c r="C1235" s="27" t="s">
        <v>306</v>
      </c>
      <c r="D1235" s="27" t="s">
        <v>296</v>
      </c>
      <c r="E1235" s="27" t="s">
        <v>1681</v>
      </c>
      <c r="F1235" s="51">
        <v>1235586</v>
      </c>
      <c r="G1235" s="27"/>
    </row>
    <row r="1236" spans="1:7">
      <c r="A1236" s="27">
        <v>51</v>
      </c>
      <c r="B1236" s="27" t="s">
        <v>243</v>
      </c>
      <c r="C1236" s="27" t="s">
        <v>306</v>
      </c>
      <c r="D1236" s="27" t="s">
        <v>400</v>
      </c>
      <c r="E1236" s="27" t="s">
        <v>1681</v>
      </c>
      <c r="F1236" s="51">
        <v>708677</v>
      </c>
      <c r="G1236" s="27"/>
    </row>
    <row r="1237" spans="1:7">
      <c r="A1237" s="27">
        <v>51</v>
      </c>
      <c r="B1237" s="27" t="s">
        <v>243</v>
      </c>
      <c r="C1237" s="27" t="s">
        <v>306</v>
      </c>
      <c r="D1237" s="27" t="s">
        <v>298</v>
      </c>
      <c r="E1237" s="27" t="s">
        <v>1681</v>
      </c>
      <c r="F1237" s="51">
        <v>9251</v>
      </c>
      <c r="G1237" s="27"/>
    </row>
    <row r="1238" spans="1:7">
      <c r="A1238" s="27">
        <v>51</v>
      </c>
      <c r="B1238" s="27" t="s">
        <v>243</v>
      </c>
      <c r="C1238" s="27" t="s">
        <v>306</v>
      </c>
      <c r="D1238" s="27" t="s">
        <v>401</v>
      </c>
      <c r="E1238" s="27" t="s">
        <v>1681</v>
      </c>
      <c r="F1238" s="51">
        <v>14865</v>
      </c>
      <c r="G1238" s="27"/>
    </row>
    <row r="1239" spans="1:7">
      <c r="A1239" s="27">
        <v>51</v>
      </c>
      <c r="B1239" s="27" t="s">
        <v>243</v>
      </c>
      <c r="C1239" s="27" t="s">
        <v>306</v>
      </c>
      <c r="D1239" s="27" t="s">
        <v>402</v>
      </c>
      <c r="E1239" s="27" t="s">
        <v>1681</v>
      </c>
      <c r="F1239" s="51">
        <v>32051</v>
      </c>
      <c r="G1239" s="27"/>
    </row>
    <row r="1240" spans="1:7">
      <c r="A1240" s="27">
        <v>51</v>
      </c>
      <c r="B1240" s="27" t="s">
        <v>243</v>
      </c>
      <c r="C1240" s="27" t="s">
        <v>306</v>
      </c>
      <c r="D1240" s="27" t="s">
        <v>299</v>
      </c>
      <c r="E1240" s="27" t="s">
        <v>1681</v>
      </c>
      <c r="F1240" s="51">
        <v>9463</v>
      </c>
      <c r="G1240" s="27"/>
    </row>
    <row r="1241" spans="1:7">
      <c r="A1241" s="27">
        <v>51</v>
      </c>
      <c r="B1241" s="27" t="s">
        <v>243</v>
      </c>
      <c r="C1241" s="27" t="s">
        <v>306</v>
      </c>
      <c r="D1241" s="27" t="s">
        <v>300</v>
      </c>
      <c r="E1241" s="27" t="s">
        <v>1681</v>
      </c>
      <c r="F1241" s="51">
        <v>27387</v>
      </c>
      <c r="G1241" s="27"/>
    </row>
    <row r="1242" spans="1:7">
      <c r="A1242" s="27">
        <v>52</v>
      </c>
      <c r="B1242" s="27" t="s">
        <v>244</v>
      </c>
      <c r="C1242" s="27" t="s">
        <v>306</v>
      </c>
      <c r="D1242" s="27" t="s">
        <v>406</v>
      </c>
      <c r="E1242" s="27" t="s">
        <v>1682</v>
      </c>
      <c r="F1242" s="51">
        <v>22635</v>
      </c>
      <c r="G1242" s="27"/>
    </row>
    <row r="1243" spans="1:7">
      <c r="A1243" s="27">
        <v>52</v>
      </c>
      <c r="B1243" s="27" t="s">
        <v>244</v>
      </c>
      <c r="C1243" s="27" t="s">
        <v>306</v>
      </c>
      <c r="D1243" s="27" t="s">
        <v>408</v>
      </c>
      <c r="E1243" s="27" t="s">
        <v>1682</v>
      </c>
      <c r="F1243" s="51">
        <v>113313</v>
      </c>
      <c r="G1243" s="27"/>
    </row>
    <row r="1244" spans="1:7">
      <c r="A1244" s="27">
        <v>52</v>
      </c>
      <c r="B1244" s="27" t="s">
        <v>244</v>
      </c>
      <c r="C1244" s="27" t="s">
        <v>306</v>
      </c>
      <c r="D1244" s="27" t="s">
        <v>394</v>
      </c>
      <c r="E1244" s="27" t="s">
        <v>1682</v>
      </c>
      <c r="F1244" s="51">
        <v>461481</v>
      </c>
      <c r="G1244" s="27"/>
    </row>
    <row r="1245" spans="1:7">
      <c r="A1245" s="27">
        <v>52</v>
      </c>
      <c r="B1245" s="27" t="s">
        <v>244</v>
      </c>
      <c r="C1245" s="27" t="s">
        <v>306</v>
      </c>
      <c r="D1245" s="27" t="s">
        <v>397</v>
      </c>
      <c r="E1245" s="27" t="s">
        <v>1682</v>
      </c>
      <c r="F1245" s="51">
        <v>83596</v>
      </c>
      <c r="G1245" s="27"/>
    </row>
    <row r="1246" spans="1:7">
      <c r="A1246" s="27">
        <v>52</v>
      </c>
      <c r="B1246" s="27" t="s">
        <v>244</v>
      </c>
      <c r="C1246" s="27" t="s">
        <v>306</v>
      </c>
      <c r="D1246" s="27" t="s">
        <v>411</v>
      </c>
      <c r="E1246" s="27" t="s">
        <v>1682</v>
      </c>
      <c r="F1246" s="51">
        <v>2335</v>
      </c>
      <c r="G1246" s="27"/>
    </row>
    <row r="1247" spans="1:7">
      <c r="A1247" s="27">
        <v>52</v>
      </c>
      <c r="B1247" s="27" t="s">
        <v>244</v>
      </c>
      <c r="C1247" s="27" t="s">
        <v>306</v>
      </c>
      <c r="D1247" s="27" t="s">
        <v>412</v>
      </c>
      <c r="E1247" s="27" t="s">
        <v>1682</v>
      </c>
      <c r="F1247" s="51">
        <v>50000</v>
      </c>
      <c r="G1247" s="27"/>
    </row>
    <row r="1248" spans="1:7">
      <c r="A1248" s="27">
        <v>52</v>
      </c>
      <c r="B1248" s="27" t="s">
        <v>244</v>
      </c>
      <c r="C1248" s="27" t="s">
        <v>306</v>
      </c>
      <c r="D1248" s="27" t="s">
        <v>398</v>
      </c>
      <c r="E1248" s="27" t="s">
        <v>1682</v>
      </c>
      <c r="F1248" s="51">
        <v>8455</v>
      </c>
      <c r="G1248" s="27"/>
    </row>
    <row r="1249" spans="1:7">
      <c r="A1249" s="27">
        <v>52</v>
      </c>
      <c r="B1249" s="27" t="s">
        <v>244</v>
      </c>
      <c r="C1249" s="27" t="s">
        <v>306</v>
      </c>
      <c r="D1249" s="27" t="s">
        <v>415</v>
      </c>
      <c r="E1249" s="27" t="s">
        <v>1682</v>
      </c>
      <c r="F1249" s="51">
        <v>9000</v>
      </c>
      <c r="G1249" s="27"/>
    </row>
    <row r="1250" spans="1:7">
      <c r="A1250" s="27">
        <v>52</v>
      </c>
      <c r="B1250" s="27" t="s">
        <v>244</v>
      </c>
      <c r="C1250" s="27" t="s">
        <v>306</v>
      </c>
      <c r="D1250" s="27" t="s">
        <v>291</v>
      </c>
      <c r="E1250" s="27" t="s">
        <v>1681</v>
      </c>
      <c r="F1250" s="51">
        <v>20017</v>
      </c>
      <c r="G1250" s="27"/>
    </row>
    <row r="1251" spans="1:7">
      <c r="A1251" s="27">
        <v>52</v>
      </c>
      <c r="B1251" s="27" t="s">
        <v>244</v>
      </c>
      <c r="C1251" s="27" t="s">
        <v>306</v>
      </c>
      <c r="D1251" s="27" t="s">
        <v>399</v>
      </c>
      <c r="E1251" s="27" t="s">
        <v>1681</v>
      </c>
      <c r="F1251" s="51">
        <v>809151</v>
      </c>
      <c r="G1251" s="27"/>
    </row>
    <row r="1252" spans="1:7">
      <c r="A1252" s="27">
        <v>52</v>
      </c>
      <c r="B1252" s="27" t="s">
        <v>244</v>
      </c>
      <c r="C1252" s="27" t="s">
        <v>306</v>
      </c>
      <c r="D1252" s="27" t="s">
        <v>293</v>
      </c>
      <c r="E1252" s="27" t="s">
        <v>1681</v>
      </c>
      <c r="F1252" s="51">
        <v>270000</v>
      </c>
      <c r="G1252" s="27"/>
    </row>
    <row r="1253" spans="1:7">
      <c r="A1253" s="27">
        <v>52</v>
      </c>
      <c r="B1253" s="27" t="s">
        <v>244</v>
      </c>
      <c r="C1253" s="27" t="s">
        <v>306</v>
      </c>
      <c r="D1253" s="27" t="s">
        <v>307</v>
      </c>
      <c r="E1253" s="27" t="s">
        <v>1681</v>
      </c>
      <c r="F1253" s="51">
        <v>45600</v>
      </c>
      <c r="G1253" s="27"/>
    </row>
    <row r="1254" spans="1:7">
      <c r="A1254" s="27">
        <v>52</v>
      </c>
      <c r="B1254" s="27" t="s">
        <v>244</v>
      </c>
      <c r="C1254" s="27" t="s">
        <v>306</v>
      </c>
      <c r="D1254" s="27" t="s">
        <v>295</v>
      </c>
      <c r="E1254" s="27" t="s">
        <v>1681</v>
      </c>
      <c r="F1254" s="51">
        <v>202721</v>
      </c>
      <c r="G1254" s="27"/>
    </row>
    <row r="1255" spans="1:7">
      <c r="A1255" s="27">
        <v>52</v>
      </c>
      <c r="B1255" s="27" t="s">
        <v>244</v>
      </c>
      <c r="C1255" s="27" t="s">
        <v>306</v>
      </c>
      <c r="D1255" s="27" t="s">
        <v>296</v>
      </c>
      <c r="E1255" s="27" t="s">
        <v>1681</v>
      </c>
      <c r="F1255" s="51">
        <v>2485629</v>
      </c>
      <c r="G1255" s="27"/>
    </row>
    <row r="1256" spans="1:7">
      <c r="A1256" s="27">
        <v>52</v>
      </c>
      <c r="B1256" s="27" t="s">
        <v>244</v>
      </c>
      <c r="C1256" s="27" t="s">
        <v>306</v>
      </c>
      <c r="D1256" s="27" t="s">
        <v>400</v>
      </c>
      <c r="E1256" s="27" t="s">
        <v>1681</v>
      </c>
      <c r="F1256" s="51">
        <v>141427</v>
      </c>
      <c r="G1256" s="27"/>
    </row>
    <row r="1257" spans="1:7">
      <c r="A1257" s="27">
        <v>52</v>
      </c>
      <c r="B1257" s="27" t="s">
        <v>244</v>
      </c>
      <c r="C1257" s="27" t="s">
        <v>306</v>
      </c>
      <c r="D1257" s="27" t="s">
        <v>298</v>
      </c>
      <c r="E1257" s="27" t="s">
        <v>1681</v>
      </c>
      <c r="F1257" s="51">
        <v>75805</v>
      </c>
      <c r="G1257" s="27"/>
    </row>
    <row r="1258" spans="1:7">
      <c r="A1258" s="27">
        <v>52</v>
      </c>
      <c r="B1258" s="27" t="s">
        <v>244</v>
      </c>
      <c r="C1258" s="27" t="s">
        <v>306</v>
      </c>
      <c r="D1258" s="27" t="s">
        <v>401</v>
      </c>
      <c r="E1258" s="27" t="s">
        <v>1681</v>
      </c>
      <c r="F1258" s="51">
        <v>14821</v>
      </c>
      <c r="G1258" s="27"/>
    </row>
    <row r="1259" spans="1:7">
      <c r="A1259" s="27">
        <v>52</v>
      </c>
      <c r="B1259" s="27" t="s">
        <v>244</v>
      </c>
      <c r="C1259" s="27" t="s">
        <v>306</v>
      </c>
      <c r="D1259" s="27" t="s">
        <v>402</v>
      </c>
      <c r="E1259" s="27" t="s">
        <v>1681</v>
      </c>
      <c r="F1259" s="51">
        <v>31394</v>
      </c>
      <c r="G1259" s="27"/>
    </row>
    <row r="1260" spans="1:7">
      <c r="A1260" s="27">
        <v>52</v>
      </c>
      <c r="B1260" s="27" t="s">
        <v>244</v>
      </c>
      <c r="C1260" s="27" t="s">
        <v>306</v>
      </c>
      <c r="D1260" s="27" t="s">
        <v>300</v>
      </c>
      <c r="E1260" s="27" t="s">
        <v>1681</v>
      </c>
      <c r="F1260" s="51">
        <v>14000</v>
      </c>
      <c r="G1260" s="27"/>
    </row>
    <row r="1261" spans="1:7">
      <c r="A1261" s="27">
        <v>53</v>
      </c>
      <c r="B1261" s="27" t="s">
        <v>245</v>
      </c>
      <c r="C1261" s="27" t="s">
        <v>302</v>
      </c>
      <c r="D1261" s="27" t="s">
        <v>408</v>
      </c>
      <c r="E1261" s="27" t="s">
        <v>1682</v>
      </c>
      <c r="F1261" s="51">
        <v>7218</v>
      </c>
      <c r="G1261" s="27"/>
    </row>
    <row r="1262" spans="1:7">
      <c r="A1262" s="27">
        <v>53</v>
      </c>
      <c r="B1262" s="27" t="s">
        <v>245</v>
      </c>
      <c r="C1262" s="27" t="s">
        <v>302</v>
      </c>
      <c r="D1262" s="27" t="s">
        <v>394</v>
      </c>
      <c r="E1262" s="27" t="s">
        <v>1682</v>
      </c>
      <c r="F1262" s="51">
        <v>39797</v>
      </c>
      <c r="G1262" s="27"/>
    </row>
    <row r="1263" spans="1:7">
      <c r="A1263" s="27">
        <v>53</v>
      </c>
      <c r="B1263" s="27" t="s">
        <v>245</v>
      </c>
      <c r="C1263" s="27" t="s">
        <v>302</v>
      </c>
      <c r="D1263" s="27" t="s">
        <v>397</v>
      </c>
      <c r="E1263" s="27" t="s">
        <v>1682</v>
      </c>
      <c r="F1263" s="51">
        <v>10798</v>
      </c>
      <c r="G1263" s="27"/>
    </row>
    <row r="1264" spans="1:7">
      <c r="A1264" s="27">
        <v>53</v>
      </c>
      <c r="B1264" s="27" t="s">
        <v>245</v>
      </c>
      <c r="C1264" s="27" t="s">
        <v>302</v>
      </c>
      <c r="D1264" s="27" t="s">
        <v>411</v>
      </c>
      <c r="E1264" s="27" t="s">
        <v>1682</v>
      </c>
      <c r="F1264" s="51">
        <v>313</v>
      </c>
      <c r="G1264" s="27"/>
    </row>
    <row r="1265" spans="1:7">
      <c r="A1265" s="27">
        <v>53</v>
      </c>
      <c r="B1265" s="27" t="s">
        <v>245</v>
      </c>
      <c r="C1265" s="27" t="s">
        <v>302</v>
      </c>
      <c r="D1265" s="27" t="s">
        <v>412</v>
      </c>
      <c r="E1265" s="27" t="s">
        <v>1682</v>
      </c>
      <c r="F1265" s="51">
        <v>4469</v>
      </c>
      <c r="G1265" s="27"/>
    </row>
    <row r="1266" spans="1:7">
      <c r="A1266" s="27">
        <v>53</v>
      </c>
      <c r="B1266" s="27" t="s">
        <v>245</v>
      </c>
      <c r="C1266" s="27" t="s">
        <v>302</v>
      </c>
      <c r="D1266" s="27" t="s">
        <v>398</v>
      </c>
      <c r="E1266" s="27" t="s">
        <v>1682</v>
      </c>
      <c r="F1266" s="51">
        <v>694</v>
      </c>
      <c r="G1266" s="27"/>
    </row>
    <row r="1267" spans="1:7">
      <c r="A1267" s="27">
        <v>53</v>
      </c>
      <c r="B1267" s="27" t="s">
        <v>245</v>
      </c>
      <c r="C1267" s="27" t="s">
        <v>302</v>
      </c>
      <c r="D1267" s="27" t="s">
        <v>291</v>
      </c>
      <c r="E1267" s="27" t="s">
        <v>1681</v>
      </c>
      <c r="F1267" s="51">
        <v>775</v>
      </c>
      <c r="G1267" s="27"/>
    </row>
    <row r="1268" spans="1:7">
      <c r="A1268" s="27">
        <v>53</v>
      </c>
      <c r="B1268" s="27" t="s">
        <v>245</v>
      </c>
      <c r="C1268" s="27" t="s">
        <v>302</v>
      </c>
      <c r="D1268" s="27" t="s">
        <v>399</v>
      </c>
      <c r="E1268" s="27" t="s">
        <v>1681</v>
      </c>
      <c r="F1268" s="51">
        <v>678591</v>
      </c>
      <c r="G1268" s="27"/>
    </row>
    <row r="1269" spans="1:7">
      <c r="A1269" s="27">
        <v>53</v>
      </c>
      <c r="B1269" s="27" t="s">
        <v>245</v>
      </c>
      <c r="C1269" s="27" t="s">
        <v>302</v>
      </c>
      <c r="D1269" s="27" t="s">
        <v>296</v>
      </c>
      <c r="E1269" s="27" t="s">
        <v>1681</v>
      </c>
      <c r="F1269" s="51">
        <v>210852</v>
      </c>
      <c r="G1269" s="27"/>
    </row>
    <row r="1270" spans="1:7">
      <c r="A1270" s="27">
        <v>53</v>
      </c>
      <c r="B1270" s="27" t="s">
        <v>245</v>
      </c>
      <c r="C1270" s="27" t="s">
        <v>302</v>
      </c>
      <c r="D1270" s="27" t="s">
        <v>400</v>
      </c>
      <c r="E1270" s="27" t="s">
        <v>1681</v>
      </c>
      <c r="F1270" s="51">
        <v>19826</v>
      </c>
      <c r="G1270" s="27"/>
    </row>
    <row r="1271" spans="1:7">
      <c r="A1271" s="27">
        <v>53</v>
      </c>
      <c r="B1271" s="27" t="s">
        <v>245</v>
      </c>
      <c r="C1271" s="27" t="s">
        <v>302</v>
      </c>
      <c r="D1271" s="27" t="s">
        <v>298</v>
      </c>
      <c r="E1271" s="27" t="s">
        <v>1681</v>
      </c>
      <c r="F1271" s="51">
        <v>19696</v>
      </c>
      <c r="G1271" s="27"/>
    </row>
    <row r="1272" spans="1:7">
      <c r="A1272" s="27">
        <v>53</v>
      </c>
      <c r="B1272" s="27" t="s">
        <v>245</v>
      </c>
      <c r="C1272" s="27" t="s">
        <v>302</v>
      </c>
      <c r="D1272" s="27" t="s">
        <v>401</v>
      </c>
      <c r="E1272" s="27" t="s">
        <v>1681</v>
      </c>
      <c r="F1272" s="51">
        <v>22519</v>
      </c>
      <c r="G1272" s="27"/>
    </row>
    <row r="1273" spans="1:7">
      <c r="A1273" s="27">
        <v>53</v>
      </c>
      <c r="B1273" s="27" t="s">
        <v>245</v>
      </c>
      <c r="C1273" s="27" t="s">
        <v>302</v>
      </c>
      <c r="D1273" s="27" t="s">
        <v>402</v>
      </c>
      <c r="E1273" s="27" t="s">
        <v>1681</v>
      </c>
      <c r="F1273" s="51">
        <v>37741</v>
      </c>
      <c r="G1273" s="27"/>
    </row>
    <row r="1274" spans="1:7">
      <c r="A1274" s="27">
        <v>54</v>
      </c>
      <c r="B1274" s="27" t="s">
        <v>246</v>
      </c>
      <c r="C1274" s="27" t="s">
        <v>306</v>
      </c>
      <c r="D1274" s="27" t="s">
        <v>406</v>
      </c>
      <c r="E1274" s="27" t="s">
        <v>1682</v>
      </c>
      <c r="F1274" s="51">
        <v>39063</v>
      </c>
      <c r="G1274" s="27"/>
    </row>
    <row r="1275" spans="1:7">
      <c r="A1275" s="27">
        <v>54</v>
      </c>
      <c r="B1275" s="27" t="s">
        <v>246</v>
      </c>
      <c r="C1275" s="27" t="s">
        <v>306</v>
      </c>
      <c r="D1275" s="27" t="s">
        <v>408</v>
      </c>
      <c r="E1275" s="27" t="s">
        <v>1682</v>
      </c>
      <c r="F1275" s="51">
        <v>131190</v>
      </c>
      <c r="G1275" s="27"/>
    </row>
    <row r="1276" spans="1:7">
      <c r="A1276" s="27">
        <v>54</v>
      </c>
      <c r="B1276" s="27" t="s">
        <v>246</v>
      </c>
      <c r="C1276" s="27" t="s">
        <v>306</v>
      </c>
      <c r="D1276" s="27" t="s">
        <v>394</v>
      </c>
      <c r="E1276" s="27" t="s">
        <v>1682</v>
      </c>
      <c r="F1276" s="51">
        <v>673069</v>
      </c>
      <c r="G1276" s="27"/>
    </row>
    <row r="1277" spans="1:7">
      <c r="A1277" s="27">
        <v>54</v>
      </c>
      <c r="B1277" s="27" t="s">
        <v>246</v>
      </c>
      <c r="C1277" s="27" t="s">
        <v>306</v>
      </c>
      <c r="D1277" s="27" t="s">
        <v>397</v>
      </c>
      <c r="E1277" s="27" t="s">
        <v>1682</v>
      </c>
      <c r="F1277" s="51">
        <v>184501</v>
      </c>
      <c r="G1277" s="27"/>
    </row>
    <row r="1278" spans="1:7">
      <c r="A1278" s="27">
        <v>54</v>
      </c>
      <c r="B1278" s="27" t="s">
        <v>246</v>
      </c>
      <c r="C1278" s="27" t="s">
        <v>306</v>
      </c>
      <c r="D1278" s="27" t="s">
        <v>333</v>
      </c>
      <c r="E1278" s="27" t="s">
        <v>1682</v>
      </c>
      <c r="F1278" s="51">
        <v>6383</v>
      </c>
      <c r="G1278" s="27"/>
    </row>
    <row r="1279" spans="1:7">
      <c r="A1279" s="27">
        <v>54</v>
      </c>
      <c r="B1279" s="27" t="s">
        <v>246</v>
      </c>
      <c r="C1279" s="27" t="s">
        <v>306</v>
      </c>
      <c r="D1279" s="27" t="s">
        <v>411</v>
      </c>
      <c r="E1279" s="27" t="s">
        <v>1682</v>
      </c>
      <c r="F1279" s="51">
        <v>5344</v>
      </c>
      <c r="G1279" s="27"/>
    </row>
    <row r="1280" spans="1:7">
      <c r="A1280" s="27">
        <v>54</v>
      </c>
      <c r="B1280" s="27" t="s">
        <v>246</v>
      </c>
      <c r="C1280" s="27" t="s">
        <v>306</v>
      </c>
      <c r="D1280" s="27" t="s">
        <v>412</v>
      </c>
      <c r="E1280" s="27" t="s">
        <v>1682</v>
      </c>
      <c r="F1280" s="51">
        <v>109986</v>
      </c>
      <c r="G1280" s="27"/>
    </row>
    <row r="1281" spans="1:7">
      <c r="A1281" s="27">
        <v>54</v>
      </c>
      <c r="B1281" s="27" t="s">
        <v>246</v>
      </c>
      <c r="C1281" s="27" t="s">
        <v>306</v>
      </c>
      <c r="D1281" s="27" t="s">
        <v>413</v>
      </c>
      <c r="E1281" s="27" t="s">
        <v>1682</v>
      </c>
      <c r="F1281" s="51">
        <v>20145</v>
      </c>
      <c r="G1281" s="27"/>
    </row>
    <row r="1282" spans="1:7">
      <c r="A1282" s="27">
        <v>54</v>
      </c>
      <c r="B1282" s="27" t="s">
        <v>246</v>
      </c>
      <c r="C1282" s="27" t="s">
        <v>306</v>
      </c>
      <c r="D1282" s="27" t="s">
        <v>398</v>
      </c>
      <c r="E1282" s="27" t="s">
        <v>1682</v>
      </c>
      <c r="F1282" s="51">
        <v>17620</v>
      </c>
      <c r="G1282" s="27"/>
    </row>
    <row r="1283" spans="1:7">
      <c r="A1283" s="27">
        <v>54</v>
      </c>
      <c r="B1283" s="27" t="s">
        <v>246</v>
      </c>
      <c r="C1283" s="27" t="s">
        <v>306</v>
      </c>
      <c r="D1283" s="27" t="s">
        <v>415</v>
      </c>
      <c r="E1283" s="27" t="s">
        <v>1682</v>
      </c>
      <c r="F1283" s="51">
        <v>25464</v>
      </c>
      <c r="G1283" s="27"/>
    </row>
    <row r="1284" spans="1:7">
      <c r="A1284" s="27">
        <v>54</v>
      </c>
      <c r="B1284" s="27" t="s">
        <v>246</v>
      </c>
      <c r="C1284" s="27" t="s">
        <v>306</v>
      </c>
      <c r="D1284" s="27" t="s">
        <v>291</v>
      </c>
      <c r="E1284" s="27" t="s">
        <v>1681</v>
      </c>
      <c r="F1284" s="51">
        <v>22891</v>
      </c>
      <c r="G1284" s="27"/>
    </row>
    <row r="1285" spans="1:7">
      <c r="A1285" s="27">
        <v>54</v>
      </c>
      <c r="B1285" s="27" t="s">
        <v>246</v>
      </c>
      <c r="C1285" s="27" t="s">
        <v>306</v>
      </c>
      <c r="D1285" s="27" t="s">
        <v>399</v>
      </c>
      <c r="E1285" s="27" t="s">
        <v>1681</v>
      </c>
      <c r="F1285" s="51">
        <v>3689619</v>
      </c>
      <c r="G1285" s="27"/>
    </row>
    <row r="1286" spans="1:7">
      <c r="A1286" s="27">
        <v>54</v>
      </c>
      <c r="B1286" s="27" t="s">
        <v>246</v>
      </c>
      <c r="C1286" s="27" t="s">
        <v>306</v>
      </c>
      <c r="D1286" s="27" t="s">
        <v>307</v>
      </c>
      <c r="E1286" s="27" t="s">
        <v>1681</v>
      </c>
      <c r="F1286" s="51">
        <v>231838</v>
      </c>
      <c r="G1286" s="27"/>
    </row>
    <row r="1287" spans="1:7">
      <c r="A1287" s="27">
        <v>54</v>
      </c>
      <c r="B1287" s="27" t="s">
        <v>246</v>
      </c>
      <c r="C1287" s="27" t="s">
        <v>306</v>
      </c>
      <c r="D1287" s="27" t="s">
        <v>295</v>
      </c>
      <c r="E1287" s="27" t="s">
        <v>1681</v>
      </c>
      <c r="F1287" s="51">
        <v>62072</v>
      </c>
      <c r="G1287" s="27"/>
    </row>
    <row r="1288" spans="1:7">
      <c r="A1288" s="27">
        <v>54</v>
      </c>
      <c r="B1288" s="27" t="s">
        <v>246</v>
      </c>
      <c r="C1288" s="27" t="s">
        <v>306</v>
      </c>
      <c r="D1288" s="27" t="s">
        <v>296</v>
      </c>
      <c r="E1288" s="27" t="s">
        <v>1681</v>
      </c>
      <c r="F1288" s="51">
        <v>796859</v>
      </c>
      <c r="G1288" s="27"/>
    </row>
    <row r="1289" spans="1:7">
      <c r="A1289" s="27">
        <v>54</v>
      </c>
      <c r="B1289" s="27" t="s">
        <v>246</v>
      </c>
      <c r="C1289" s="27" t="s">
        <v>306</v>
      </c>
      <c r="D1289" s="27" t="s">
        <v>400</v>
      </c>
      <c r="E1289" s="27" t="s">
        <v>1681</v>
      </c>
      <c r="F1289" s="51">
        <v>733138</v>
      </c>
      <c r="G1289" s="27"/>
    </row>
    <row r="1290" spans="1:7">
      <c r="A1290" s="27">
        <v>54</v>
      </c>
      <c r="B1290" s="27" t="s">
        <v>246</v>
      </c>
      <c r="C1290" s="27" t="s">
        <v>306</v>
      </c>
      <c r="D1290" s="27" t="s">
        <v>298</v>
      </c>
      <c r="E1290" s="27" t="s">
        <v>1681</v>
      </c>
      <c r="F1290" s="51">
        <v>79798</v>
      </c>
      <c r="G1290" s="27"/>
    </row>
    <row r="1291" spans="1:7">
      <c r="A1291" s="27">
        <v>54</v>
      </c>
      <c r="B1291" s="27" t="s">
        <v>246</v>
      </c>
      <c r="C1291" s="27" t="s">
        <v>306</v>
      </c>
      <c r="D1291" s="27" t="s">
        <v>401</v>
      </c>
      <c r="E1291" s="27" t="s">
        <v>1681</v>
      </c>
      <c r="F1291" s="51">
        <v>14498</v>
      </c>
      <c r="G1291" s="27"/>
    </row>
    <row r="1292" spans="1:7">
      <c r="A1292" s="27">
        <v>54</v>
      </c>
      <c r="B1292" s="27" t="s">
        <v>246</v>
      </c>
      <c r="C1292" s="27" t="s">
        <v>306</v>
      </c>
      <c r="D1292" s="27" t="s">
        <v>402</v>
      </c>
      <c r="E1292" s="27" t="s">
        <v>1681</v>
      </c>
      <c r="F1292" s="51">
        <v>158920</v>
      </c>
      <c r="G1292" s="27"/>
    </row>
    <row r="1293" spans="1:7">
      <c r="A1293" s="27">
        <v>54</v>
      </c>
      <c r="B1293" s="27" t="s">
        <v>246</v>
      </c>
      <c r="C1293" s="27" t="s">
        <v>306</v>
      </c>
      <c r="D1293" s="27" t="s">
        <v>320</v>
      </c>
      <c r="E1293" s="27" t="s">
        <v>1681</v>
      </c>
      <c r="F1293" s="51">
        <v>45627</v>
      </c>
      <c r="G1293" s="27"/>
    </row>
    <row r="1294" spans="1:7">
      <c r="A1294" s="27">
        <v>54</v>
      </c>
      <c r="B1294" s="27" t="s">
        <v>246</v>
      </c>
      <c r="C1294" s="27" t="s">
        <v>306</v>
      </c>
      <c r="D1294" s="27" t="s">
        <v>300</v>
      </c>
      <c r="E1294" s="27" t="s">
        <v>1681</v>
      </c>
      <c r="F1294" s="51">
        <v>19627</v>
      </c>
      <c r="G1294" s="27"/>
    </row>
    <row r="1295" spans="1:7">
      <c r="A1295" s="27">
        <v>55</v>
      </c>
      <c r="B1295" s="27" t="s">
        <v>247</v>
      </c>
      <c r="C1295" s="27" t="s">
        <v>302</v>
      </c>
      <c r="D1295" s="27" t="s">
        <v>399</v>
      </c>
      <c r="E1295" s="27" t="s">
        <v>1681</v>
      </c>
      <c r="F1295" s="51">
        <v>149436</v>
      </c>
      <c r="G1295" s="27"/>
    </row>
    <row r="1296" spans="1:7">
      <c r="A1296" s="27">
        <v>56</v>
      </c>
      <c r="B1296" s="27" t="s">
        <v>248</v>
      </c>
      <c r="C1296" s="27" t="s">
        <v>306</v>
      </c>
      <c r="D1296" s="27" t="s">
        <v>408</v>
      </c>
      <c r="E1296" s="27" t="s">
        <v>1682</v>
      </c>
      <c r="F1296" s="51">
        <v>4433</v>
      </c>
      <c r="G1296" s="27"/>
    </row>
    <row r="1297" spans="1:7">
      <c r="A1297" s="27">
        <v>56</v>
      </c>
      <c r="B1297" s="27" t="s">
        <v>248</v>
      </c>
      <c r="C1297" s="27" t="s">
        <v>306</v>
      </c>
      <c r="D1297" s="27" t="s">
        <v>394</v>
      </c>
      <c r="E1297" s="27" t="s">
        <v>1682</v>
      </c>
      <c r="F1297" s="51">
        <v>218292</v>
      </c>
      <c r="G1297" s="27"/>
    </row>
    <row r="1298" spans="1:7">
      <c r="A1298" s="27">
        <v>56</v>
      </c>
      <c r="B1298" s="27" t="s">
        <v>248</v>
      </c>
      <c r="C1298" s="27" t="s">
        <v>306</v>
      </c>
      <c r="D1298" s="27" t="s">
        <v>412</v>
      </c>
      <c r="E1298" s="27" t="s">
        <v>1682</v>
      </c>
      <c r="F1298" s="51">
        <v>22283</v>
      </c>
      <c r="G1298" s="27"/>
    </row>
    <row r="1299" spans="1:7">
      <c r="A1299" s="27">
        <v>56</v>
      </c>
      <c r="B1299" s="27" t="s">
        <v>248</v>
      </c>
      <c r="C1299" s="27" t="s">
        <v>306</v>
      </c>
      <c r="D1299" s="27" t="s">
        <v>398</v>
      </c>
      <c r="E1299" s="27" t="s">
        <v>1682</v>
      </c>
      <c r="F1299" s="51">
        <v>4329</v>
      </c>
      <c r="G1299" s="27"/>
    </row>
    <row r="1300" spans="1:7">
      <c r="A1300" s="27">
        <v>56</v>
      </c>
      <c r="B1300" s="27" t="s">
        <v>248</v>
      </c>
      <c r="C1300" s="27" t="s">
        <v>306</v>
      </c>
      <c r="D1300" s="27" t="s">
        <v>415</v>
      </c>
      <c r="E1300" s="27" t="s">
        <v>1682</v>
      </c>
      <c r="F1300" s="51">
        <v>8629</v>
      </c>
      <c r="G1300" s="27"/>
    </row>
    <row r="1301" spans="1:7">
      <c r="A1301" s="27">
        <v>56</v>
      </c>
      <c r="B1301" s="27" t="s">
        <v>248</v>
      </c>
      <c r="C1301" s="27" t="s">
        <v>306</v>
      </c>
      <c r="D1301" s="27" t="s">
        <v>291</v>
      </c>
      <c r="E1301" s="27" t="s">
        <v>1681</v>
      </c>
      <c r="F1301" s="51">
        <v>527</v>
      </c>
      <c r="G1301" s="27"/>
    </row>
    <row r="1302" spans="1:7">
      <c r="A1302" s="27">
        <v>56</v>
      </c>
      <c r="B1302" s="27" t="s">
        <v>248</v>
      </c>
      <c r="C1302" s="27" t="s">
        <v>306</v>
      </c>
      <c r="D1302" s="27" t="s">
        <v>399</v>
      </c>
      <c r="E1302" s="27" t="s">
        <v>1681</v>
      </c>
      <c r="F1302" s="51">
        <v>3741479</v>
      </c>
      <c r="G1302" s="27"/>
    </row>
    <row r="1303" spans="1:7">
      <c r="A1303" s="27">
        <v>56</v>
      </c>
      <c r="B1303" s="27" t="s">
        <v>248</v>
      </c>
      <c r="C1303" s="27" t="s">
        <v>306</v>
      </c>
      <c r="D1303" s="27" t="s">
        <v>293</v>
      </c>
      <c r="E1303" s="27" t="s">
        <v>1681</v>
      </c>
      <c r="F1303" s="51">
        <v>90914</v>
      </c>
      <c r="G1303" s="27"/>
    </row>
    <row r="1304" spans="1:7">
      <c r="A1304" s="27">
        <v>56</v>
      </c>
      <c r="B1304" s="27" t="s">
        <v>248</v>
      </c>
      <c r="C1304" s="27" t="s">
        <v>306</v>
      </c>
      <c r="D1304" s="27" t="s">
        <v>307</v>
      </c>
      <c r="E1304" s="27" t="s">
        <v>1681</v>
      </c>
      <c r="F1304" s="51">
        <v>12750</v>
      </c>
      <c r="G1304" s="27"/>
    </row>
    <row r="1305" spans="1:7">
      <c r="A1305" s="27">
        <v>56</v>
      </c>
      <c r="B1305" s="27" t="s">
        <v>248</v>
      </c>
      <c r="C1305" s="27" t="s">
        <v>306</v>
      </c>
      <c r="D1305" s="27" t="s">
        <v>295</v>
      </c>
      <c r="E1305" s="27" t="s">
        <v>1681</v>
      </c>
      <c r="F1305" s="51">
        <v>73011</v>
      </c>
      <c r="G1305" s="27"/>
    </row>
    <row r="1306" spans="1:7">
      <c r="A1306" s="27">
        <v>56</v>
      </c>
      <c r="B1306" s="27" t="s">
        <v>248</v>
      </c>
      <c r="C1306" s="27" t="s">
        <v>306</v>
      </c>
      <c r="D1306" s="27" t="s">
        <v>304</v>
      </c>
      <c r="E1306" s="27" t="s">
        <v>1681</v>
      </c>
      <c r="F1306" s="51">
        <v>14000</v>
      </c>
      <c r="G1306" s="27"/>
    </row>
    <row r="1307" spans="1:7">
      <c r="A1307" s="27">
        <v>56</v>
      </c>
      <c r="B1307" s="27" t="s">
        <v>248</v>
      </c>
      <c r="C1307" s="27" t="s">
        <v>306</v>
      </c>
      <c r="D1307" s="27" t="s">
        <v>296</v>
      </c>
      <c r="E1307" s="27" t="s">
        <v>1681</v>
      </c>
      <c r="F1307" s="51">
        <v>1567076</v>
      </c>
      <c r="G1307" s="27"/>
    </row>
    <row r="1308" spans="1:7">
      <c r="A1308" s="27">
        <v>56</v>
      </c>
      <c r="B1308" s="27" t="s">
        <v>248</v>
      </c>
      <c r="C1308" s="27" t="s">
        <v>306</v>
      </c>
      <c r="D1308" s="27" t="s">
        <v>400</v>
      </c>
      <c r="E1308" s="27" t="s">
        <v>1681</v>
      </c>
      <c r="F1308" s="51">
        <v>7479</v>
      </c>
      <c r="G1308" s="27"/>
    </row>
    <row r="1309" spans="1:7">
      <c r="A1309" s="27">
        <v>56</v>
      </c>
      <c r="B1309" s="27" t="s">
        <v>248</v>
      </c>
      <c r="C1309" s="27" t="s">
        <v>306</v>
      </c>
      <c r="D1309" s="27" t="s">
        <v>298</v>
      </c>
      <c r="E1309" s="27" t="s">
        <v>1681</v>
      </c>
      <c r="F1309" s="51">
        <v>11532</v>
      </c>
      <c r="G1309" s="27"/>
    </row>
    <row r="1310" spans="1:7">
      <c r="A1310" s="27">
        <v>56</v>
      </c>
      <c r="B1310" s="27" t="s">
        <v>248</v>
      </c>
      <c r="C1310" s="27" t="s">
        <v>306</v>
      </c>
      <c r="D1310" s="27" t="s">
        <v>401</v>
      </c>
      <c r="E1310" s="27" t="s">
        <v>1681</v>
      </c>
      <c r="F1310" s="51">
        <v>29771</v>
      </c>
      <c r="G1310" s="27"/>
    </row>
    <row r="1311" spans="1:7">
      <c r="A1311" s="27">
        <v>56</v>
      </c>
      <c r="B1311" s="27" t="s">
        <v>248</v>
      </c>
      <c r="C1311" s="27" t="s">
        <v>306</v>
      </c>
      <c r="D1311" s="27" t="s">
        <v>402</v>
      </c>
      <c r="E1311" s="27" t="s">
        <v>1681</v>
      </c>
      <c r="F1311" s="51">
        <v>103847</v>
      </c>
      <c r="G1311" s="27"/>
    </row>
    <row r="1312" spans="1:7">
      <c r="A1312" s="27">
        <v>56</v>
      </c>
      <c r="B1312" s="27" t="s">
        <v>248</v>
      </c>
      <c r="C1312" s="27" t="s">
        <v>306</v>
      </c>
      <c r="D1312" s="27" t="s">
        <v>300</v>
      </c>
      <c r="E1312" s="27" t="s">
        <v>1681</v>
      </c>
      <c r="F1312" s="51">
        <v>14000</v>
      </c>
      <c r="G1312" s="27"/>
    </row>
    <row r="1313" spans="1:7">
      <c r="A1313" s="27">
        <v>57</v>
      </c>
      <c r="B1313" s="27" t="s">
        <v>249</v>
      </c>
      <c r="C1313" s="27" t="s">
        <v>306</v>
      </c>
      <c r="D1313" s="27" t="s">
        <v>406</v>
      </c>
      <c r="E1313" s="27" t="s">
        <v>1682</v>
      </c>
      <c r="F1313" s="51">
        <v>54860</v>
      </c>
      <c r="G1313" s="27"/>
    </row>
    <row r="1314" spans="1:7">
      <c r="A1314" s="27">
        <v>57</v>
      </c>
      <c r="B1314" s="27" t="s">
        <v>249</v>
      </c>
      <c r="C1314" s="27" t="s">
        <v>306</v>
      </c>
      <c r="D1314" s="27" t="s">
        <v>326</v>
      </c>
      <c r="E1314" s="27" t="s">
        <v>1682</v>
      </c>
      <c r="F1314" s="51">
        <v>72417</v>
      </c>
      <c r="G1314" s="27"/>
    </row>
    <row r="1315" spans="1:7">
      <c r="A1315" s="27">
        <v>57</v>
      </c>
      <c r="B1315" s="27" t="s">
        <v>249</v>
      </c>
      <c r="C1315" s="27" t="s">
        <v>306</v>
      </c>
      <c r="D1315" s="27" t="s">
        <v>408</v>
      </c>
      <c r="E1315" s="27" t="s">
        <v>1682</v>
      </c>
      <c r="F1315" s="51">
        <v>314060</v>
      </c>
      <c r="G1315" s="27"/>
    </row>
    <row r="1316" spans="1:7">
      <c r="A1316" s="27">
        <v>57</v>
      </c>
      <c r="B1316" s="27" t="s">
        <v>249</v>
      </c>
      <c r="C1316" s="27" t="s">
        <v>306</v>
      </c>
      <c r="D1316" s="27" t="s">
        <v>394</v>
      </c>
      <c r="E1316" s="27" t="s">
        <v>1682</v>
      </c>
      <c r="F1316" s="51">
        <v>861043</v>
      </c>
      <c r="G1316" s="27"/>
    </row>
    <row r="1317" spans="1:7">
      <c r="A1317" s="27">
        <v>57</v>
      </c>
      <c r="B1317" s="27" t="s">
        <v>249</v>
      </c>
      <c r="C1317" s="27" t="s">
        <v>306</v>
      </c>
      <c r="D1317" s="27" t="s">
        <v>397</v>
      </c>
      <c r="E1317" s="27" t="s">
        <v>1682</v>
      </c>
      <c r="F1317" s="51">
        <v>230000</v>
      </c>
      <c r="G1317" s="27"/>
    </row>
    <row r="1318" spans="1:7">
      <c r="A1318" s="27">
        <v>57</v>
      </c>
      <c r="B1318" s="27" t="s">
        <v>249</v>
      </c>
      <c r="C1318" s="27" t="s">
        <v>306</v>
      </c>
      <c r="D1318" s="27" t="s">
        <v>411</v>
      </c>
      <c r="E1318" s="27" t="s">
        <v>1682</v>
      </c>
      <c r="F1318" s="51">
        <v>8495</v>
      </c>
      <c r="G1318" s="27"/>
    </row>
    <row r="1319" spans="1:7">
      <c r="A1319" s="27">
        <v>57</v>
      </c>
      <c r="B1319" s="27" t="s">
        <v>249</v>
      </c>
      <c r="C1319" s="27" t="s">
        <v>306</v>
      </c>
      <c r="D1319" s="27" t="s">
        <v>412</v>
      </c>
      <c r="E1319" s="27" t="s">
        <v>1682</v>
      </c>
      <c r="F1319" s="51">
        <v>175000</v>
      </c>
      <c r="G1319" s="27"/>
    </row>
    <row r="1320" spans="1:7">
      <c r="A1320" s="27">
        <v>57</v>
      </c>
      <c r="B1320" s="27" t="s">
        <v>249</v>
      </c>
      <c r="C1320" s="27" t="s">
        <v>306</v>
      </c>
      <c r="D1320" s="27" t="s">
        <v>413</v>
      </c>
      <c r="E1320" s="27" t="s">
        <v>1682</v>
      </c>
      <c r="F1320" s="51">
        <v>80579</v>
      </c>
      <c r="G1320" s="27"/>
    </row>
    <row r="1321" spans="1:7">
      <c r="A1321" s="27">
        <v>57</v>
      </c>
      <c r="B1321" s="27" t="s">
        <v>249</v>
      </c>
      <c r="C1321" s="27" t="s">
        <v>306</v>
      </c>
      <c r="D1321" s="27" t="s">
        <v>398</v>
      </c>
      <c r="E1321" s="27" t="s">
        <v>1682</v>
      </c>
      <c r="F1321" s="51">
        <v>34974</v>
      </c>
      <c r="G1321" s="27"/>
    </row>
    <row r="1322" spans="1:7">
      <c r="A1322" s="27">
        <v>57</v>
      </c>
      <c r="B1322" s="27" t="s">
        <v>249</v>
      </c>
      <c r="C1322" s="27" t="s">
        <v>306</v>
      </c>
      <c r="D1322" s="27" t="s">
        <v>415</v>
      </c>
      <c r="E1322" s="27" t="s">
        <v>1682</v>
      </c>
      <c r="F1322" s="51">
        <v>11811</v>
      </c>
      <c r="G1322" s="27"/>
    </row>
    <row r="1323" spans="1:7">
      <c r="A1323" s="27">
        <v>57</v>
      </c>
      <c r="B1323" s="27" t="s">
        <v>249</v>
      </c>
      <c r="C1323" s="27" t="s">
        <v>306</v>
      </c>
      <c r="D1323" s="27" t="s">
        <v>335</v>
      </c>
      <c r="E1323" s="27" t="s">
        <v>1681</v>
      </c>
      <c r="F1323" s="51">
        <v>41765</v>
      </c>
      <c r="G1323" s="27"/>
    </row>
    <row r="1324" spans="1:7">
      <c r="A1324" s="27">
        <v>57</v>
      </c>
      <c r="B1324" s="27" t="s">
        <v>249</v>
      </c>
      <c r="C1324" s="27" t="s">
        <v>306</v>
      </c>
      <c r="D1324" s="27" t="s">
        <v>291</v>
      </c>
      <c r="E1324" s="27" t="s">
        <v>1681</v>
      </c>
      <c r="F1324" s="51">
        <v>29821</v>
      </c>
      <c r="G1324" s="27"/>
    </row>
    <row r="1325" spans="1:7">
      <c r="A1325" s="27">
        <v>57</v>
      </c>
      <c r="B1325" s="27" t="s">
        <v>249</v>
      </c>
      <c r="C1325" s="27" t="s">
        <v>306</v>
      </c>
      <c r="D1325" s="27" t="s">
        <v>399</v>
      </c>
      <c r="E1325" s="27" t="s">
        <v>1681</v>
      </c>
      <c r="F1325" s="51">
        <v>1770462</v>
      </c>
      <c r="G1325" s="27"/>
    </row>
    <row r="1326" spans="1:7">
      <c r="A1326" s="27">
        <v>57</v>
      </c>
      <c r="B1326" s="27" t="s">
        <v>249</v>
      </c>
      <c r="C1326" s="27" t="s">
        <v>306</v>
      </c>
      <c r="D1326" s="27" t="s">
        <v>294</v>
      </c>
      <c r="E1326" s="27" t="s">
        <v>1681</v>
      </c>
      <c r="F1326" s="51">
        <v>4528</v>
      </c>
      <c r="G1326" s="27"/>
    </row>
    <row r="1327" spans="1:7">
      <c r="A1327" s="27">
        <v>57</v>
      </c>
      <c r="B1327" s="27" t="s">
        <v>249</v>
      </c>
      <c r="C1327" s="27" t="s">
        <v>306</v>
      </c>
      <c r="D1327" s="27" t="s">
        <v>304</v>
      </c>
      <c r="E1327" s="27" t="s">
        <v>1681</v>
      </c>
      <c r="F1327" s="51">
        <v>23700</v>
      </c>
      <c r="G1327" s="27"/>
    </row>
    <row r="1328" spans="1:7">
      <c r="A1328" s="27">
        <v>57</v>
      </c>
      <c r="B1328" s="27" t="s">
        <v>249</v>
      </c>
      <c r="C1328" s="27" t="s">
        <v>306</v>
      </c>
      <c r="D1328" s="27" t="s">
        <v>296</v>
      </c>
      <c r="E1328" s="27" t="s">
        <v>1681</v>
      </c>
      <c r="F1328" s="51">
        <v>811813</v>
      </c>
      <c r="G1328" s="27"/>
    </row>
    <row r="1329" spans="1:7">
      <c r="A1329" s="27">
        <v>57</v>
      </c>
      <c r="B1329" s="27" t="s">
        <v>249</v>
      </c>
      <c r="C1329" s="27" t="s">
        <v>306</v>
      </c>
      <c r="D1329" s="27" t="s">
        <v>400</v>
      </c>
      <c r="E1329" s="27" t="s">
        <v>1681</v>
      </c>
      <c r="F1329" s="51">
        <v>1389533</v>
      </c>
      <c r="G1329" s="27"/>
    </row>
    <row r="1330" spans="1:7">
      <c r="A1330" s="27">
        <v>57</v>
      </c>
      <c r="B1330" s="27" t="s">
        <v>249</v>
      </c>
      <c r="C1330" s="27" t="s">
        <v>306</v>
      </c>
      <c r="D1330" s="27" t="s">
        <v>298</v>
      </c>
      <c r="E1330" s="27" t="s">
        <v>1681</v>
      </c>
      <c r="F1330" s="51">
        <v>146749</v>
      </c>
      <c r="G1330" s="27"/>
    </row>
    <row r="1331" spans="1:7">
      <c r="A1331" s="27">
        <v>57</v>
      </c>
      <c r="B1331" s="27" t="s">
        <v>249</v>
      </c>
      <c r="C1331" s="27" t="s">
        <v>306</v>
      </c>
      <c r="D1331" s="27" t="s">
        <v>401</v>
      </c>
      <c r="E1331" s="27" t="s">
        <v>1681</v>
      </c>
      <c r="F1331" s="51">
        <v>15000</v>
      </c>
      <c r="G1331" s="27"/>
    </row>
    <row r="1332" spans="1:7">
      <c r="A1332" s="27">
        <v>57</v>
      </c>
      <c r="B1332" s="27" t="s">
        <v>249</v>
      </c>
      <c r="C1332" s="27" t="s">
        <v>306</v>
      </c>
      <c r="D1332" s="27" t="s">
        <v>1347</v>
      </c>
      <c r="E1332" s="27" t="s">
        <v>1681</v>
      </c>
      <c r="F1332" s="51">
        <v>3231</v>
      </c>
      <c r="G1332" s="27"/>
    </row>
    <row r="1333" spans="1:7">
      <c r="A1333" s="27">
        <v>57</v>
      </c>
      <c r="B1333" s="27" t="s">
        <v>249</v>
      </c>
      <c r="C1333" s="27" t="s">
        <v>306</v>
      </c>
      <c r="D1333" s="27" t="s">
        <v>402</v>
      </c>
      <c r="E1333" s="27" t="s">
        <v>1681</v>
      </c>
      <c r="F1333" s="51">
        <v>833</v>
      </c>
      <c r="G1333" s="27"/>
    </row>
    <row r="1334" spans="1:7">
      <c r="A1334" s="27">
        <v>58</v>
      </c>
      <c r="B1334" s="27" t="s">
        <v>250</v>
      </c>
      <c r="C1334" s="27" t="s">
        <v>346</v>
      </c>
      <c r="D1334" s="27" t="s">
        <v>406</v>
      </c>
      <c r="E1334" s="27" t="s">
        <v>1682</v>
      </c>
      <c r="F1334" s="51">
        <v>29200</v>
      </c>
      <c r="G1334" s="27"/>
    </row>
    <row r="1335" spans="1:7">
      <c r="A1335" s="27">
        <v>58</v>
      </c>
      <c r="B1335" s="27" t="s">
        <v>250</v>
      </c>
      <c r="C1335" s="27" t="s">
        <v>346</v>
      </c>
      <c r="D1335" s="27" t="s">
        <v>408</v>
      </c>
      <c r="E1335" s="27" t="s">
        <v>1682</v>
      </c>
      <c r="F1335" s="51">
        <v>374564</v>
      </c>
      <c r="G1335" s="27"/>
    </row>
    <row r="1336" spans="1:7">
      <c r="A1336" s="27">
        <v>58</v>
      </c>
      <c r="B1336" s="27" t="s">
        <v>250</v>
      </c>
      <c r="C1336" s="27" t="s">
        <v>346</v>
      </c>
      <c r="D1336" s="27" t="s">
        <v>394</v>
      </c>
      <c r="E1336" s="27" t="s">
        <v>1682</v>
      </c>
      <c r="F1336" s="51">
        <v>298549</v>
      </c>
      <c r="G1336" s="27"/>
    </row>
    <row r="1337" spans="1:7">
      <c r="A1337" s="27">
        <v>58</v>
      </c>
      <c r="B1337" s="27" t="s">
        <v>250</v>
      </c>
      <c r="C1337" s="27" t="s">
        <v>346</v>
      </c>
      <c r="D1337" s="27" t="s">
        <v>396</v>
      </c>
      <c r="E1337" s="27" t="s">
        <v>1682</v>
      </c>
      <c r="F1337" s="51">
        <v>86344</v>
      </c>
      <c r="G1337" s="27"/>
    </row>
    <row r="1338" spans="1:7">
      <c r="A1338" s="27">
        <v>58</v>
      </c>
      <c r="B1338" s="27" t="s">
        <v>250</v>
      </c>
      <c r="C1338" s="27" t="s">
        <v>346</v>
      </c>
      <c r="D1338" s="27" t="s">
        <v>397</v>
      </c>
      <c r="E1338" s="27" t="s">
        <v>1682</v>
      </c>
      <c r="F1338" s="51">
        <v>544723</v>
      </c>
      <c r="G1338" s="27"/>
    </row>
    <row r="1339" spans="1:7">
      <c r="A1339" s="27">
        <v>58</v>
      </c>
      <c r="B1339" s="27" t="s">
        <v>250</v>
      </c>
      <c r="C1339" s="27" t="s">
        <v>346</v>
      </c>
      <c r="D1339" s="27" t="s">
        <v>411</v>
      </c>
      <c r="E1339" s="27" t="s">
        <v>1682</v>
      </c>
      <c r="F1339" s="51">
        <v>11432</v>
      </c>
      <c r="G1339" s="27"/>
    </row>
    <row r="1340" spans="1:7">
      <c r="A1340" s="27">
        <v>58</v>
      </c>
      <c r="B1340" s="27" t="s">
        <v>250</v>
      </c>
      <c r="C1340" s="27" t="s">
        <v>346</v>
      </c>
      <c r="D1340" s="27" t="s">
        <v>412</v>
      </c>
      <c r="E1340" s="27" t="s">
        <v>1682</v>
      </c>
      <c r="F1340" s="51">
        <v>69300</v>
      </c>
      <c r="G1340" s="27"/>
    </row>
    <row r="1341" spans="1:7">
      <c r="A1341" s="27">
        <v>58</v>
      </c>
      <c r="B1341" s="27" t="s">
        <v>250</v>
      </c>
      <c r="C1341" s="27" t="s">
        <v>346</v>
      </c>
      <c r="D1341" s="27" t="s">
        <v>398</v>
      </c>
      <c r="E1341" s="27" t="s">
        <v>1682</v>
      </c>
      <c r="F1341" s="51">
        <v>13221</v>
      </c>
      <c r="G1341" s="27"/>
    </row>
    <row r="1342" spans="1:7">
      <c r="A1342" s="27">
        <v>58</v>
      </c>
      <c r="B1342" s="27" t="s">
        <v>250</v>
      </c>
      <c r="C1342" s="27" t="s">
        <v>346</v>
      </c>
      <c r="D1342" s="27" t="s">
        <v>415</v>
      </c>
      <c r="E1342" s="27" t="s">
        <v>1682</v>
      </c>
      <c r="F1342" s="51">
        <v>15066</v>
      </c>
      <c r="G1342" s="27"/>
    </row>
    <row r="1343" spans="1:7">
      <c r="A1343" s="27">
        <v>58</v>
      </c>
      <c r="B1343" s="27" t="s">
        <v>250</v>
      </c>
      <c r="C1343" s="27" t="s">
        <v>346</v>
      </c>
      <c r="D1343" s="27" t="s">
        <v>334</v>
      </c>
      <c r="E1343" s="27" t="s">
        <v>1682</v>
      </c>
      <c r="F1343" s="51">
        <v>47975</v>
      </c>
      <c r="G1343" s="27"/>
    </row>
    <row r="1344" spans="1:7">
      <c r="A1344" s="27">
        <v>58</v>
      </c>
      <c r="B1344" s="27" t="s">
        <v>250</v>
      </c>
      <c r="C1344" s="27" t="s">
        <v>346</v>
      </c>
      <c r="D1344" s="27" t="s">
        <v>291</v>
      </c>
      <c r="E1344" s="27" t="s">
        <v>1681</v>
      </c>
      <c r="F1344" s="51">
        <v>7619</v>
      </c>
      <c r="G1344" s="27"/>
    </row>
    <row r="1345" spans="1:7">
      <c r="A1345" s="27">
        <v>58</v>
      </c>
      <c r="B1345" s="27" t="s">
        <v>250</v>
      </c>
      <c r="C1345" s="27" t="s">
        <v>346</v>
      </c>
      <c r="D1345" s="27" t="s">
        <v>399</v>
      </c>
      <c r="E1345" s="27" t="s">
        <v>1681</v>
      </c>
      <c r="F1345" s="51">
        <v>9206643</v>
      </c>
      <c r="G1345" s="27"/>
    </row>
    <row r="1346" spans="1:7">
      <c r="A1346" s="27">
        <v>58</v>
      </c>
      <c r="B1346" s="27" t="s">
        <v>250</v>
      </c>
      <c r="C1346" s="27" t="s">
        <v>346</v>
      </c>
      <c r="D1346" s="27" t="s">
        <v>294</v>
      </c>
      <c r="E1346" s="27" t="s">
        <v>1681</v>
      </c>
      <c r="F1346" s="51">
        <v>23017</v>
      </c>
      <c r="G1346" s="27"/>
    </row>
    <row r="1347" spans="1:7">
      <c r="A1347" s="27">
        <v>58</v>
      </c>
      <c r="B1347" s="27" t="s">
        <v>250</v>
      </c>
      <c r="C1347" s="27" t="s">
        <v>346</v>
      </c>
      <c r="D1347" s="27" t="s">
        <v>296</v>
      </c>
      <c r="E1347" s="27" t="s">
        <v>1681</v>
      </c>
      <c r="F1347" s="51">
        <v>1573961</v>
      </c>
      <c r="G1347" s="27"/>
    </row>
    <row r="1348" spans="1:7">
      <c r="A1348" s="27">
        <v>58</v>
      </c>
      <c r="B1348" s="27" t="s">
        <v>250</v>
      </c>
      <c r="C1348" s="27" t="s">
        <v>346</v>
      </c>
      <c r="D1348" s="27" t="s">
        <v>400</v>
      </c>
      <c r="E1348" s="27" t="s">
        <v>1681</v>
      </c>
      <c r="F1348" s="51">
        <v>88648</v>
      </c>
      <c r="G1348" s="27"/>
    </row>
    <row r="1349" spans="1:7">
      <c r="A1349" s="27">
        <v>58</v>
      </c>
      <c r="B1349" s="27" t="s">
        <v>250</v>
      </c>
      <c r="C1349" s="27" t="s">
        <v>346</v>
      </c>
      <c r="D1349" s="27" t="s">
        <v>298</v>
      </c>
      <c r="E1349" s="27" t="s">
        <v>1681</v>
      </c>
      <c r="F1349" s="51">
        <v>226621</v>
      </c>
      <c r="G1349" s="27"/>
    </row>
    <row r="1350" spans="1:7">
      <c r="A1350" s="27">
        <v>58</v>
      </c>
      <c r="B1350" s="27" t="s">
        <v>250</v>
      </c>
      <c r="C1350" s="27" t="s">
        <v>346</v>
      </c>
      <c r="D1350" s="27" t="s">
        <v>401</v>
      </c>
      <c r="E1350" s="27" t="s">
        <v>1681</v>
      </c>
      <c r="F1350" s="51">
        <v>31064</v>
      </c>
      <c r="G1350" s="27"/>
    </row>
    <row r="1351" spans="1:7">
      <c r="A1351" s="27">
        <v>58</v>
      </c>
      <c r="B1351" s="27" t="s">
        <v>250</v>
      </c>
      <c r="C1351" s="27" t="s">
        <v>346</v>
      </c>
      <c r="D1351" s="27" t="s">
        <v>1347</v>
      </c>
      <c r="E1351" s="27" t="s">
        <v>1681</v>
      </c>
      <c r="F1351" s="51">
        <v>3121</v>
      </c>
      <c r="G1351" s="27"/>
    </row>
    <row r="1352" spans="1:7">
      <c r="A1352" s="27">
        <v>58</v>
      </c>
      <c r="B1352" s="27" t="s">
        <v>250</v>
      </c>
      <c r="C1352" s="27" t="s">
        <v>346</v>
      </c>
      <c r="D1352" s="27" t="s">
        <v>402</v>
      </c>
      <c r="E1352" s="27" t="s">
        <v>1681</v>
      </c>
      <c r="F1352" s="51">
        <v>343970</v>
      </c>
      <c r="G1352" s="27"/>
    </row>
    <row r="1353" spans="1:7">
      <c r="A1353" s="27">
        <v>58</v>
      </c>
      <c r="B1353" s="27" t="s">
        <v>250</v>
      </c>
      <c r="C1353" s="27" t="s">
        <v>346</v>
      </c>
      <c r="D1353" s="27" t="s">
        <v>299</v>
      </c>
      <c r="E1353" s="27" t="s">
        <v>1681</v>
      </c>
      <c r="F1353" s="51">
        <v>20384</v>
      </c>
      <c r="G1353" s="27"/>
    </row>
    <row r="1354" spans="1:7">
      <c r="A1354" s="27">
        <v>58</v>
      </c>
      <c r="B1354" s="27" t="s">
        <v>250</v>
      </c>
      <c r="C1354" s="27" t="s">
        <v>346</v>
      </c>
      <c r="D1354" s="27" t="s">
        <v>338</v>
      </c>
      <c r="E1354" s="27" t="s">
        <v>1681</v>
      </c>
      <c r="F1354" s="51">
        <v>14767</v>
      </c>
      <c r="G1354" s="27"/>
    </row>
    <row r="1355" spans="1:7">
      <c r="A1355" s="27">
        <v>58</v>
      </c>
      <c r="B1355" s="27" t="s">
        <v>250</v>
      </c>
      <c r="C1355" s="27" t="s">
        <v>346</v>
      </c>
      <c r="D1355" s="27" t="s">
        <v>300</v>
      </c>
      <c r="E1355" s="27" t="s">
        <v>1681</v>
      </c>
      <c r="F1355" s="51">
        <v>14000</v>
      </c>
      <c r="G1355" s="27"/>
    </row>
    <row r="1356" spans="1:7">
      <c r="A1356" s="27">
        <v>59</v>
      </c>
      <c r="B1356" s="27" t="s">
        <v>251</v>
      </c>
      <c r="C1356" s="27" t="s">
        <v>316</v>
      </c>
      <c r="D1356" s="27" t="s">
        <v>406</v>
      </c>
      <c r="E1356" s="27" t="s">
        <v>1682</v>
      </c>
      <c r="F1356" s="51">
        <v>58958</v>
      </c>
      <c r="G1356" s="27"/>
    </row>
    <row r="1357" spans="1:7">
      <c r="A1357" s="27">
        <v>59</v>
      </c>
      <c r="B1357" s="27" t="s">
        <v>251</v>
      </c>
      <c r="C1357" s="27" t="s">
        <v>316</v>
      </c>
      <c r="D1357" s="27" t="s">
        <v>326</v>
      </c>
      <c r="E1357" s="27" t="s">
        <v>1682</v>
      </c>
      <c r="F1357" s="51">
        <v>105300</v>
      </c>
      <c r="G1357" s="27"/>
    </row>
    <row r="1358" spans="1:7">
      <c r="A1358" s="27">
        <v>59</v>
      </c>
      <c r="B1358" s="27" t="s">
        <v>251</v>
      </c>
      <c r="C1358" s="27" t="s">
        <v>316</v>
      </c>
      <c r="D1358" s="27" t="s">
        <v>408</v>
      </c>
      <c r="E1358" s="27" t="s">
        <v>1682</v>
      </c>
      <c r="F1358" s="51">
        <v>490960</v>
      </c>
      <c r="G1358" s="27"/>
    </row>
    <row r="1359" spans="1:7">
      <c r="A1359" s="27">
        <v>59</v>
      </c>
      <c r="B1359" s="27" t="s">
        <v>251</v>
      </c>
      <c r="C1359" s="27" t="s">
        <v>316</v>
      </c>
      <c r="D1359" s="27" t="s">
        <v>394</v>
      </c>
      <c r="E1359" s="27" t="s">
        <v>1682</v>
      </c>
      <c r="F1359" s="51">
        <v>863390</v>
      </c>
      <c r="G1359" s="27"/>
    </row>
    <row r="1360" spans="1:7">
      <c r="A1360" s="27">
        <v>59</v>
      </c>
      <c r="B1360" s="27" t="s">
        <v>251</v>
      </c>
      <c r="C1360" s="27" t="s">
        <v>316</v>
      </c>
      <c r="D1360" s="27" t="s">
        <v>397</v>
      </c>
      <c r="E1360" s="27" t="s">
        <v>1682</v>
      </c>
      <c r="F1360" s="51">
        <v>612294</v>
      </c>
      <c r="G1360" s="27"/>
    </row>
    <row r="1361" spans="1:7">
      <c r="A1361" s="27">
        <v>59</v>
      </c>
      <c r="B1361" s="27" t="s">
        <v>251</v>
      </c>
      <c r="C1361" s="27" t="s">
        <v>316</v>
      </c>
      <c r="D1361" s="27" t="s">
        <v>333</v>
      </c>
      <c r="E1361" s="27" t="s">
        <v>1682</v>
      </c>
      <c r="F1361" s="51">
        <v>5657</v>
      </c>
      <c r="G1361" s="27"/>
    </row>
    <row r="1362" spans="1:7">
      <c r="A1362" s="27">
        <v>59</v>
      </c>
      <c r="B1362" s="27" t="s">
        <v>251</v>
      </c>
      <c r="C1362" s="27" t="s">
        <v>316</v>
      </c>
      <c r="D1362" s="27" t="s">
        <v>411</v>
      </c>
      <c r="E1362" s="27" t="s">
        <v>1682</v>
      </c>
      <c r="F1362" s="51">
        <v>137411</v>
      </c>
      <c r="G1362" s="27"/>
    </row>
    <row r="1363" spans="1:7">
      <c r="A1363" s="27">
        <v>59</v>
      </c>
      <c r="B1363" s="27" t="s">
        <v>251</v>
      </c>
      <c r="C1363" s="27" t="s">
        <v>316</v>
      </c>
      <c r="D1363" s="27" t="s">
        <v>412</v>
      </c>
      <c r="E1363" s="27" t="s">
        <v>1682</v>
      </c>
      <c r="F1363" s="51">
        <v>125000</v>
      </c>
      <c r="G1363" s="27"/>
    </row>
    <row r="1364" spans="1:7">
      <c r="A1364" s="27">
        <v>59</v>
      </c>
      <c r="B1364" s="27" t="s">
        <v>251</v>
      </c>
      <c r="C1364" s="27" t="s">
        <v>316</v>
      </c>
      <c r="D1364" s="27" t="s">
        <v>413</v>
      </c>
      <c r="E1364" s="27" t="s">
        <v>1682</v>
      </c>
      <c r="F1364" s="51">
        <v>10000</v>
      </c>
      <c r="G1364" s="27"/>
    </row>
    <row r="1365" spans="1:7">
      <c r="A1365" s="27">
        <v>59</v>
      </c>
      <c r="B1365" s="27" t="s">
        <v>251</v>
      </c>
      <c r="C1365" s="27" t="s">
        <v>316</v>
      </c>
      <c r="D1365" s="27" t="s">
        <v>398</v>
      </c>
      <c r="E1365" s="27" t="s">
        <v>1682</v>
      </c>
      <c r="F1365" s="51">
        <v>27205</v>
      </c>
      <c r="G1365" s="27"/>
    </row>
    <row r="1366" spans="1:7">
      <c r="A1366" s="27">
        <v>59</v>
      </c>
      <c r="B1366" s="27" t="s">
        <v>251</v>
      </c>
      <c r="C1366" s="27" t="s">
        <v>316</v>
      </c>
      <c r="D1366" s="27" t="s">
        <v>415</v>
      </c>
      <c r="E1366" s="27" t="s">
        <v>1682</v>
      </c>
      <c r="F1366" s="51">
        <v>17000</v>
      </c>
      <c r="G1366" s="27"/>
    </row>
    <row r="1367" spans="1:7">
      <c r="A1367" s="27">
        <v>59</v>
      </c>
      <c r="B1367" s="27" t="s">
        <v>251</v>
      </c>
      <c r="C1367" s="27" t="s">
        <v>316</v>
      </c>
      <c r="D1367" s="27" t="s">
        <v>334</v>
      </c>
      <c r="E1367" s="27" t="s">
        <v>1682</v>
      </c>
      <c r="F1367" s="51">
        <v>15974</v>
      </c>
      <c r="G1367" s="27"/>
    </row>
    <row r="1368" spans="1:7">
      <c r="A1368" s="27">
        <v>59</v>
      </c>
      <c r="B1368" s="27" t="s">
        <v>251</v>
      </c>
      <c r="C1368" s="27" t="s">
        <v>316</v>
      </c>
      <c r="D1368" s="27" t="s">
        <v>335</v>
      </c>
      <c r="E1368" s="27" t="s">
        <v>1681</v>
      </c>
      <c r="F1368" s="51">
        <v>3561</v>
      </c>
      <c r="G1368" s="27"/>
    </row>
    <row r="1369" spans="1:7">
      <c r="A1369" s="27">
        <v>59</v>
      </c>
      <c r="B1369" s="27" t="s">
        <v>251</v>
      </c>
      <c r="C1369" s="27" t="s">
        <v>316</v>
      </c>
      <c r="D1369" s="27" t="s">
        <v>291</v>
      </c>
      <c r="E1369" s="27" t="s">
        <v>1681</v>
      </c>
      <c r="F1369" s="51">
        <v>26425</v>
      </c>
      <c r="G1369" s="27"/>
    </row>
    <row r="1370" spans="1:7">
      <c r="A1370" s="27">
        <v>59</v>
      </c>
      <c r="B1370" s="27" t="s">
        <v>251</v>
      </c>
      <c r="C1370" s="27" t="s">
        <v>316</v>
      </c>
      <c r="D1370" s="27" t="s">
        <v>399</v>
      </c>
      <c r="E1370" s="27" t="s">
        <v>1681</v>
      </c>
      <c r="F1370" s="51">
        <v>22252001</v>
      </c>
      <c r="G1370" s="27"/>
    </row>
    <row r="1371" spans="1:7">
      <c r="A1371" s="27">
        <v>59</v>
      </c>
      <c r="B1371" s="27" t="s">
        <v>251</v>
      </c>
      <c r="C1371" s="27" t="s">
        <v>316</v>
      </c>
      <c r="D1371" s="27" t="s">
        <v>317</v>
      </c>
      <c r="E1371" s="27" t="s">
        <v>1681</v>
      </c>
      <c r="F1371" s="51">
        <v>86171</v>
      </c>
      <c r="G1371" s="27"/>
    </row>
    <row r="1372" spans="1:7">
      <c r="A1372" s="27">
        <v>59</v>
      </c>
      <c r="B1372" s="27" t="s">
        <v>251</v>
      </c>
      <c r="C1372" s="27" t="s">
        <v>316</v>
      </c>
      <c r="D1372" s="27" t="s">
        <v>307</v>
      </c>
      <c r="E1372" s="27" t="s">
        <v>1681</v>
      </c>
      <c r="F1372" s="51">
        <v>91200</v>
      </c>
      <c r="G1372" s="27"/>
    </row>
    <row r="1373" spans="1:7">
      <c r="A1373" s="27">
        <v>59</v>
      </c>
      <c r="B1373" s="27" t="s">
        <v>251</v>
      </c>
      <c r="C1373" s="27" t="s">
        <v>316</v>
      </c>
      <c r="D1373" s="27" t="s">
        <v>294</v>
      </c>
      <c r="E1373" s="27" t="s">
        <v>1681</v>
      </c>
      <c r="F1373" s="51">
        <v>25911</v>
      </c>
      <c r="G1373" s="27"/>
    </row>
    <row r="1374" spans="1:7">
      <c r="A1374" s="27">
        <v>59</v>
      </c>
      <c r="B1374" s="27" t="s">
        <v>251</v>
      </c>
      <c r="C1374" s="27" t="s">
        <v>316</v>
      </c>
      <c r="D1374" s="27" t="s">
        <v>295</v>
      </c>
      <c r="E1374" s="27" t="s">
        <v>1681</v>
      </c>
      <c r="F1374" s="51">
        <v>26000</v>
      </c>
      <c r="G1374" s="27"/>
    </row>
    <row r="1375" spans="1:7">
      <c r="A1375" s="27">
        <v>59</v>
      </c>
      <c r="B1375" s="27" t="s">
        <v>251</v>
      </c>
      <c r="C1375" s="27" t="s">
        <v>316</v>
      </c>
      <c r="D1375" s="27" t="s">
        <v>303</v>
      </c>
      <c r="E1375" s="27" t="s">
        <v>1681</v>
      </c>
      <c r="F1375" s="51">
        <v>17451</v>
      </c>
      <c r="G1375" s="27"/>
    </row>
    <row r="1376" spans="1:7">
      <c r="A1376" s="27">
        <v>59</v>
      </c>
      <c r="B1376" s="27" t="s">
        <v>251</v>
      </c>
      <c r="C1376" s="27" t="s">
        <v>316</v>
      </c>
      <c r="D1376" s="27" t="s">
        <v>304</v>
      </c>
      <c r="E1376" s="27" t="s">
        <v>1681</v>
      </c>
      <c r="F1376" s="51">
        <v>15000</v>
      </c>
      <c r="G1376" s="27"/>
    </row>
    <row r="1377" spans="1:7">
      <c r="A1377" s="27">
        <v>59</v>
      </c>
      <c r="B1377" s="27" t="s">
        <v>251</v>
      </c>
      <c r="C1377" s="27" t="s">
        <v>316</v>
      </c>
      <c r="D1377" s="27" t="s">
        <v>296</v>
      </c>
      <c r="E1377" s="27" t="s">
        <v>1681</v>
      </c>
      <c r="F1377" s="51">
        <v>683201</v>
      </c>
      <c r="G1377" s="27"/>
    </row>
    <row r="1378" spans="1:7">
      <c r="A1378" s="27">
        <v>59</v>
      </c>
      <c r="B1378" s="27" t="s">
        <v>251</v>
      </c>
      <c r="C1378" s="27" t="s">
        <v>316</v>
      </c>
      <c r="D1378" s="27" t="s">
        <v>400</v>
      </c>
      <c r="E1378" s="27" t="s">
        <v>1681</v>
      </c>
      <c r="F1378" s="51">
        <v>356089</v>
      </c>
      <c r="G1378" s="27"/>
    </row>
    <row r="1379" spans="1:7">
      <c r="A1379" s="27">
        <v>59</v>
      </c>
      <c r="B1379" s="27" t="s">
        <v>251</v>
      </c>
      <c r="C1379" s="27" t="s">
        <v>316</v>
      </c>
      <c r="D1379" s="27" t="s">
        <v>298</v>
      </c>
      <c r="E1379" s="27" t="s">
        <v>1681</v>
      </c>
      <c r="F1379" s="51">
        <v>253066</v>
      </c>
      <c r="G1379" s="27"/>
    </row>
    <row r="1380" spans="1:7">
      <c r="A1380" s="27">
        <v>59</v>
      </c>
      <c r="B1380" s="27" t="s">
        <v>251</v>
      </c>
      <c r="C1380" s="27" t="s">
        <v>316</v>
      </c>
      <c r="D1380" s="27" t="s">
        <v>401</v>
      </c>
      <c r="E1380" s="27" t="s">
        <v>1681</v>
      </c>
      <c r="F1380" s="51">
        <v>32842</v>
      </c>
      <c r="G1380" s="27"/>
    </row>
    <row r="1381" spans="1:7">
      <c r="A1381" s="27">
        <v>59</v>
      </c>
      <c r="B1381" s="27" t="s">
        <v>251</v>
      </c>
      <c r="C1381" s="27" t="s">
        <v>316</v>
      </c>
      <c r="D1381" s="27" t="s">
        <v>1347</v>
      </c>
      <c r="E1381" s="27" t="s">
        <v>1681</v>
      </c>
      <c r="F1381" s="51">
        <v>14233</v>
      </c>
      <c r="G1381" s="27"/>
    </row>
    <row r="1382" spans="1:7">
      <c r="A1382" s="27">
        <v>59</v>
      </c>
      <c r="B1382" s="27" t="s">
        <v>251</v>
      </c>
      <c r="C1382" s="27" t="s">
        <v>316</v>
      </c>
      <c r="D1382" s="27" t="s">
        <v>402</v>
      </c>
      <c r="E1382" s="27" t="s">
        <v>1681</v>
      </c>
      <c r="F1382" s="51">
        <v>552164</v>
      </c>
      <c r="G1382" s="27"/>
    </row>
    <row r="1383" spans="1:7">
      <c r="A1383" s="27">
        <v>59</v>
      </c>
      <c r="B1383" s="27" t="s">
        <v>251</v>
      </c>
      <c r="C1383" s="27" t="s">
        <v>316</v>
      </c>
      <c r="D1383" s="27" t="s">
        <v>299</v>
      </c>
      <c r="E1383" s="27" t="s">
        <v>1681</v>
      </c>
      <c r="F1383" s="51">
        <v>61251</v>
      </c>
      <c r="G1383" s="27"/>
    </row>
    <row r="1384" spans="1:7">
      <c r="A1384" s="27">
        <v>59</v>
      </c>
      <c r="B1384" s="27" t="s">
        <v>251</v>
      </c>
      <c r="C1384" s="27" t="s">
        <v>316</v>
      </c>
      <c r="D1384" s="27" t="s">
        <v>300</v>
      </c>
      <c r="E1384" s="27" t="s">
        <v>1681</v>
      </c>
      <c r="F1384" s="51">
        <v>29846</v>
      </c>
      <c r="G1384" s="27"/>
    </row>
    <row r="1385" spans="1:7">
      <c r="A1385" s="27">
        <v>60</v>
      </c>
      <c r="B1385" s="27" t="s">
        <v>252</v>
      </c>
      <c r="C1385" s="27" t="s">
        <v>306</v>
      </c>
      <c r="D1385" s="27" t="s">
        <v>408</v>
      </c>
      <c r="E1385" s="27" t="s">
        <v>1682</v>
      </c>
      <c r="F1385" s="51">
        <v>53149</v>
      </c>
      <c r="G1385" s="27"/>
    </row>
    <row r="1386" spans="1:7">
      <c r="A1386" s="27">
        <v>60</v>
      </c>
      <c r="B1386" s="27" t="s">
        <v>252</v>
      </c>
      <c r="C1386" s="27" t="s">
        <v>306</v>
      </c>
      <c r="D1386" s="27" t="s">
        <v>394</v>
      </c>
      <c r="E1386" s="27" t="s">
        <v>1682</v>
      </c>
      <c r="F1386" s="51">
        <v>369000</v>
      </c>
      <c r="G1386" s="27"/>
    </row>
    <row r="1387" spans="1:7">
      <c r="A1387" s="27">
        <v>60</v>
      </c>
      <c r="B1387" s="27" t="s">
        <v>252</v>
      </c>
      <c r="C1387" s="27" t="s">
        <v>306</v>
      </c>
      <c r="D1387" s="27" t="s">
        <v>397</v>
      </c>
      <c r="E1387" s="27" t="s">
        <v>1682</v>
      </c>
      <c r="F1387" s="51">
        <v>200000</v>
      </c>
      <c r="G1387" s="27"/>
    </row>
    <row r="1388" spans="1:7">
      <c r="A1388" s="27">
        <v>60</v>
      </c>
      <c r="B1388" s="27" t="s">
        <v>252</v>
      </c>
      <c r="C1388" s="27" t="s">
        <v>306</v>
      </c>
      <c r="D1388" s="27" t="s">
        <v>333</v>
      </c>
      <c r="E1388" s="27" t="s">
        <v>1682</v>
      </c>
      <c r="F1388" s="51">
        <v>1586</v>
      </c>
      <c r="G1388" s="27"/>
    </row>
    <row r="1389" spans="1:7">
      <c r="A1389" s="27">
        <v>60</v>
      </c>
      <c r="B1389" s="27" t="s">
        <v>252</v>
      </c>
      <c r="C1389" s="27" t="s">
        <v>306</v>
      </c>
      <c r="D1389" s="27" t="s">
        <v>411</v>
      </c>
      <c r="E1389" s="27" t="s">
        <v>1682</v>
      </c>
      <c r="F1389" s="51">
        <v>5942</v>
      </c>
      <c r="G1389" s="27"/>
    </row>
    <row r="1390" spans="1:7">
      <c r="A1390" s="27">
        <v>60</v>
      </c>
      <c r="B1390" s="27" t="s">
        <v>252</v>
      </c>
      <c r="C1390" s="27" t="s">
        <v>306</v>
      </c>
      <c r="D1390" s="27" t="s">
        <v>412</v>
      </c>
      <c r="E1390" s="27" t="s">
        <v>1682</v>
      </c>
      <c r="F1390" s="51">
        <v>84000</v>
      </c>
      <c r="G1390" s="27"/>
    </row>
    <row r="1391" spans="1:7">
      <c r="A1391" s="27">
        <v>60</v>
      </c>
      <c r="B1391" s="27" t="s">
        <v>252</v>
      </c>
      <c r="C1391" s="27" t="s">
        <v>306</v>
      </c>
      <c r="D1391" s="27" t="s">
        <v>398</v>
      </c>
      <c r="E1391" s="27" t="s">
        <v>1682</v>
      </c>
      <c r="F1391" s="51">
        <v>12000</v>
      </c>
      <c r="G1391" s="27"/>
    </row>
    <row r="1392" spans="1:7">
      <c r="A1392" s="27">
        <v>60</v>
      </c>
      <c r="B1392" s="27" t="s">
        <v>252</v>
      </c>
      <c r="C1392" s="27" t="s">
        <v>306</v>
      </c>
      <c r="D1392" s="27" t="s">
        <v>415</v>
      </c>
      <c r="E1392" s="27" t="s">
        <v>1682</v>
      </c>
      <c r="F1392" s="51">
        <v>12683</v>
      </c>
      <c r="G1392" s="27"/>
    </row>
    <row r="1393" spans="1:7">
      <c r="A1393" s="27">
        <v>60</v>
      </c>
      <c r="B1393" s="27" t="s">
        <v>252</v>
      </c>
      <c r="C1393" s="27" t="s">
        <v>306</v>
      </c>
      <c r="D1393" s="27" t="s">
        <v>291</v>
      </c>
      <c r="E1393" s="27" t="s">
        <v>1681</v>
      </c>
      <c r="F1393" s="51">
        <v>8305</v>
      </c>
      <c r="G1393" s="27"/>
    </row>
    <row r="1394" spans="1:7">
      <c r="A1394" s="27">
        <v>60</v>
      </c>
      <c r="B1394" s="27" t="s">
        <v>252</v>
      </c>
      <c r="C1394" s="27" t="s">
        <v>306</v>
      </c>
      <c r="D1394" s="27" t="s">
        <v>399</v>
      </c>
      <c r="E1394" s="27" t="s">
        <v>1681</v>
      </c>
      <c r="F1394" s="51">
        <v>2720310</v>
      </c>
      <c r="G1394" s="27"/>
    </row>
    <row r="1395" spans="1:7">
      <c r="A1395" s="27">
        <v>60</v>
      </c>
      <c r="B1395" s="27" t="s">
        <v>252</v>
      </c>
      <c r="C1395" s="27" t="s">
        <v>306</v>
      </c>
      <c r="D1395" s="27" t="s">
        <v>296</v>
      </c>
      <c r="E1395" s="27" t="s">
        <v>1681</v>
      </c>
      <c r="F1395" s="51">
        <v>1251916</v>
      </c>
      <c r="G1395" s="27"/>
    </row>
    <row r="1396" spans="1:7">
      <c r="A1396" s="27">
        <v>60</v>
      </c>
      <c r="B1396" s="27" t="s">
        <v>252</v>
      </c>
      <c r="C1396" s="27" t="s">
        <v>306</v>
      </c>
      <c r="D1396" s="27" t="s">
        <v>400</v>
      </c>
      <c r="E1396" s="27" t="s">
        <v>1681</v>
      </c>
      <c r="F1396" s="51">
        <v>187236</v>
      </c>
      <c r="G1396" s="27"/>
    </row>
    <row r="1397" spans="1:7">
      <c r="A1397" s="27">
        <v>60</v>
      </c>
      <c r="B1397" s="27" t="s">
        <v>252</v>
      </c>
      <c r="C1397" s="27" t="s">
        <v>306</v>
      </c>
      <c r="D1397" s="27" t="s">
        <v>298</v>
      </c>
      <c r="E1397" s="27" t="s">
        <v>1681</v>
      </c>
      <c r="F1397" s="51">
        <v>182962</v>
      </c>
      <c r="G1397" s="27"/>
    </row>
    <row r="1398" spans="1:7">
      <c r="A1398" s="27">
        <v>60</v>
      </c>
      <c r="B1398" s="27" t="s">
        <v>252</v>
      </c>
      <c r="C1398" s="27" t="s">
        <v>306</v>
      </c>
      <c r="D1398" s="27" t="s">
        <v>401</v>
      </c>
      <c r="E1398" s="27" t="s">
        <v>1681</v>
      </c>
      <c r="F1398" s="51">
        <v>14914</v>
      </c>
      <c r="G1398" s="27"/>
    </row>
    <row r="1399" spans="1:7">
      <c r="A1399" s="27">
        <v>60</v>
      </c>
      <c r="B1399" s="27" t="s">
        <v>252</v>
      </c>
      <c r="C1399" s="27" t="s">
        <v>306</v>
      </c>
      <c r="D1399" s="27" t="s">
        <v>402</v>
      </c>
      <c r="E1399" s="27" t="s">
        <v>1681</v>
      </c>
      <c r="F1399" s="51">
        <v>93484</v>
      </c>
      <c r="G1399" s="27"/>
    </row>
    <row r="1400" spans="1:7">
      <c r="A1400" s="27">
        <v>60</v>
      </c>
      <c r="B1400" s="27" t="s">
        <v>252</v>
      </c>
      <c r="C1400" s="27" t="s">
        <v>306</v>
      </c>
      <c r="D1400" s="27" t="s">
        <v>300</v>
      </c>
      <c r="E1400" s="27" t="s">
        <v>1681</v>
      </c>
      <c r="F1400" s="51">
        <v>24128</v>
      </c>
      <c r="G1400" s="27"/>
    </row>
    <row r="1401" spans="1:7">
      <c r="A1401" s="27">
        <v>61</v>
      </c>
      <c r="B1401" s="27" t="s">
        <v>253</v>
      </c>
      <c r="C1401" s="27" t="s">
        <v>393</v>
      </c>
      <c r="D1401" s="27" t="s">
        <v>399</v>
      </c>
      <c r="E1401" s="27" t="s">
        <v>1681</v>
      </c>
      <c r="F1401" s="51">
        <v>587661</v>
      </c>
      <c r="G1401" s="27"/>
    </row>
    <row r="1402" spans="1:7">
      <c r="A1402" s="27">
        <v>62</v>
      </c>
      <c r="B1402" s="27" t="s">
        <v>254</v>
      </c>
      <c r="C1402" s="27" t="s">
        <v>316</v>
      </c>
      <c r="D1402" s="27" t="s">
        <v>406</v>
      </c>
      <c r="E1402" s="27" t="s">
        <v>1682</v>
      </c>
      <c r="F1402" s="51">
        <v>49696</v>
      </c>
      <c r="G1402" s="27"/>
    </row>
    <row r="1403" spans="1:7">
      <c r="A1403" s="27">
        <v>62</v>
      </c>
      <c r="B1403" s="27" t="s">
        <v>254</v>
      </c>
      <c r="C1403" s="27" t="s">
        <v>316</v>
      </c>
      <c r="D1403" s="27" t="s">
        <v>408</v>
      </c>
      <c r="E1403" s="27" t="s">
        <v>1682</v>
      </c>
      <c r="F1403" s="51">
        <v>703706</v>
      </c>
      <c r="G1403" s="27"/>
    </row>
    <row r="1404" spans="1:7">
      <c r="A1404" s="27">
        <v>62</v>
      </c>
      <c r="B1404" s="27" t="s">
        <v>254</v>
      </c>
      <c r="C1404" s="27" t="s">
        <v>316</v>
      </c>
      <c r="D1404" s="27" t="s">
        <v>394</v>
      </c>
      <c r="E1404" s="27" t="s">
        <v>1682</v>
      </c>
      <c r="F1404" s="51">
        <v>612000</v>
      </c>
      <c r="G1404" s="27"/>
    </row>
    <row r="1405" spans="1:7">
      <c r="A1405" s="27">
        <v>62</v>
      </c>
      <c r="B1405" s="27" t="s">
        <v>254</v>
      </c>
      <c r="C1405" s="27" t="s">
        <v>316</v>
      </c>
      <c r="D1405" s="27" t="s">
        <v>396</v>
      </c>
      <c r="E1405" s="27" t="s">
        <v>1682</v>
      </c>
      <c r="F1405" s="51">
        <v>177599</v>
      </c>
      <c r="G1405" s="27"/>
    </row>
    <row r="1406" spans="1:7">
      <c r="A1406" s="27">
        <v>62</v>
      </c>
      <c r="B1406" s="27" t="s">
        <v>254</v>
      </c>
      <c r="C1406" s="27" t="s">
        <v>316</v>
      </c>
      <c r="D1406" s="27" t="s">
        <v>397</v>
      </c>
      <c r="E1406" s="27" t="s">
        <v>1682</v>
      </c>
      <c r="F1406" s="51">
        <v>460000</v>
      </c>
      <c r="G1406" s="27"/>
    </row>
    <row r="1407" spans="1:7">
      <c r="A1407" s="27">
        <v>62</v>
      </c>
      <c r="B1407" s="27" t="s">
        <v>254</v>
      </c>
      <c r="C1407" s="27" t="s">
        <v>316</v>
      </c>
      <c r="D1407" s="27" t="s">
        <v>411</v>
      </c>
      <c r="E1407" s="27" t="s">
        <v>1682</v>
      </c>
      <c r="F1407" s="51">
        <v>15514</v>
      </c>
      <c r="G1407" s="27"/>
    </row>
    <row r="1408" spans="1:7">
      <c r="A1408" s="27">
        <v>62</v>
      </c>
      <c r="B1408" s="27" t="s">
        <v>254</v>
      </c>
      <c r="C1408" s="27" t="s">
        <v>316</v>
      </c>
      <c r="D1408" s="27" t="s">
        <v>412</v>
      </c>
      <c r="E1408" s="27" t="s">
        <v>1682</v>
      </c>
      <c r="F1408" s="51">
        <v>175866</v>
      </c>
      <c r="G1408" s="27"/>
    </row>
    <row r="1409" spans="1:7">
      <c r="A1409" s="27">
        <v>62</v>
      </c>
      <c r="B1409" s="27" t="s">
        <v>254</v>
      </c>
      <c r="C1409" s="27" t="s">
        <v>316</v>
      </c>
      <c r="D1409" s="27" t="s">
        <v>413</v>
      </c>
      <c r="E1409" s="27" t="s">
        <v>1682</v>
      </c>
      <c r="F1409" s="51">
        <v>21034</v>
      </c>
      <c r="G1409" s="27"/>
    </row>
    <row r="1410" spans="1:7">
      <c r="A1410" s="27">
        <v>62</v>
      </c>
      <c r="B1410" s="27" t="s">
        <v>254</v>
      </c>
      <c r="C1410" s="27" t="s">
        <v>316</v>
      </c>
      <c r="D1410" s="27" t="s">
        <v>398</v>
      </c>
      <c r="E1410" s="27" t="s">
        <v>1682</v>
      </c>
      <c r="F1410" s="51">
        <v>29347</v>
      </c>
      <c r="G1410" s="27"/>
    </row>
    <row r="1411" spans="1:7">
      <c r="A1411" s="27">
        <v>62</v>
      </c>
      <c r="B1411" s="27" t="s">
        <v>254</v>
      </c>
      <c r="C1411" s="27" t="s">
        <v>316</v>
      </c>
      <c r="D1411" s="27" t="s">
        <v>415</v>
      </c>
      <c r="E1411" s="27" t="s">
        <v>1682</v>
      </c>
      <c r="F1411" s="51">
        <v>53384</v>
      </c>
      <c r="G1411" s="27"/>
    </row>
    <row r="1412" spans="1:7">
      <c r="A1412" s="27">
        <v>62</v>
      </c>
      <c r="B1412" s="27" t="s">
        <v>254</v>
      </c>
      <c r="C1412" s="27" t="s">
        <v>316</v>
      </c>
      <c r="D1412" s="27" t="s">
        <v>291</v>
      </c>
      <c r="E1412" s="27" t="s">
        <v>1681</v>
      </c>
      <c r="F1412" s="51">
        <v>26580</v>
      </c>
      <c r="G1412" s="27"/>
    </row>
    <row r="1413" spans="1:7">
      <c r="A1413" s="27">
        <v>62</v>
      </c>
      <c r="B1413" s="27" t="s">
        <v>254</v>
      </c>
      <c r="C1413" s="27" t="s">
        <v>316</v>
      </c>
      <c r="D1413" s="27" t="s">
        <v>399</v>
      </c>
      <c r="E1413" s="27" t="s">
        <v>1681</v>
      </c>
      <c r="F1413" s="51">
        <v>16782537</v>
      </c>
      <c r="G1413" s="27"/>
    </row>
    <row r="1414" spans="1:7">
      <c r="A1414" s="27">
        <v>62</v>
      </c>
      <c r="B1414" s="27" t="s">
        <v>254</v>
      </c>
      <c r="C1414" s="27" t="s">
        <v>316</v>
      </c>
      <c r="D1414" s="27" t="s">
        <v>317</v>
      </c>
      <c r="E1414" s="27" t="s">
        <v>1681</v>
      </c>
      <c r="F1414" s="51">
        <v>86171</v>
      </c>
      <c r="G1414" s="27"/>
    </row>
    <row r="1415" spans="1:7">
      <c r="A1415" s="27">
        <v>62</v>
      </c>
      <c r="B1415" s="27" t="s">
        <v>254</v>
      </c>
      <c r="C1415" s="27" t="s">
        <v>316</v>
      </c>
      <c r="D1415" s="27" t="s">
        <v>307</v>
      </c>
      <c r="E1415" s="27" t="s">
        <v>1681</v>
      </c>
      <c r="F1415" s="51">
        <v>33600</v>
      </c>
      <c r="G1415" s="27"/>
    </row>
    <row r="1416" spans="1:7">
      <c r="A1416" s="27">
        <v>62</v>
      </c>
      <c r="B1416" s="27" t="s">
        <v>254</v>
      </c>
      <c r="C1416" s="27" t="s">
        <v>316</v>
      </c>
      <c r="D1416" s="27" t="s">
        <v>294</v>
      </c>
      <c r="E1416" s="27" t="s">
        <v>1681</v>
      </c>
      <c r="F1416" s="51">
        <v>141383</v>
      </c>
      <c r="G1416" s="27"/>
    </row>
    <row r="1417" spans="1:7">
      <c r="A1417" s="27">
        <v>62</v>
      </c>
      <c r="B1417" s="27" t="s">
        <v>254</v>
      </c>
      <c r="C1417" s="27" t="s">
        <v>316</v>
      </c>
      <c r="D1417" s="27" t="s">
        <v>295</v>
      </c>
      <c r="E1417" s="27" t="s">
        <v>1681</v>
      </c>
      <c r="F1417" s="51">
        <v>100578</v>
      </c>
      <c r="G1417" s="27"/>
    </row>
    <row r="1418" spans="1:7">
      <c r="A1418" s="27">
        <v>62</v>
      </c>
      <c r="B1418" s="27" t="s">
        <v>254</v>
      </c>
      <c r="C1418" s="27" t="s">
        <v>316</v>
      </c>
      <c r="D1418" s="27" t="s">
        <v>296</v>
      </c>
      <c r="E1418" s="27" t="s">
        <v>1681</v>
      </c>
      <c r="F1418" s="51">
        <v>19294271</v>
      </c>
      <c r="G1418" s="27"/>
    </row>
    <row r="1419" spans="1:7">
      <c r="A1419" s="27">
        <v>62</v>
      </c>
      <c r="B1419" s="27" t="s">
        <v>254</v>
      </c>
      <c r="C1419" s="27" t="s">
        <v>316</v>
      </c>
      <c r="D1419" s="27" t="s">
        <v>400</v>
      </c>
      <c r="E1419" s="27" t="s">
        <v>1681</v>
      </c>
      <c r="F1419" s="51">
        <v>190291</v>
      </c>
      <c r="G1419" s="27"/>
    </row>
    <row r="1420" spans="1:7">
      <c r="A1420" s="27">
        <v>62</v>
      </c>
      <c r="B1420" s="27" t="s">
        <v>254</v>
      </c>
      <c r="C1420" s="27" t="s">
        <v>316</v>
      </c>
      <c r="D1420" s="27" t="s">
        <v>298</v>
      </c>
      <c r="E1420" s="27" t="s">
        <v>1681</v>
      </c>
      <c r="F1420" s="51">
        <v>530256</v>
      </c>
      <c r="G1420" s="27"/>
    </row>
    <row r="1421" spans="1:7">
      <c r="A1421" s="27">
        <v>62</v>
      </c>
      <c r="B1421" s="27" t="s">
        <v>254</v>
      </c>
      <c r="C1421" s="27" t="s">
        <v>316</v>
      </c>
      <c r="D1421" s="27" t="s">
        <v>401</v>
      </c>
      <c r="E1421" s="27" t="s">
        <v>1681</v>
      </c>
      <c r="F1421" s="51">
        <v>30565</v>
      </c>
      <c r="G1421" s="27"/>
    </row>
    <row r="1422" spans="1:7">
      <c r="A1422" s="27">
        <v>62</v>
      </c>
      <c r="B1422" s="27" t="s">
        <v>254</v>
      </c>
      <c r="C1422" s="27" t="s">
        <v>316</v>
      </c>
      <c r="D1422" s="27" t="s">
        <v>1347</v>
      </c>
      <c r="E1422" s="27" t="s">
        <v>1681</v>
      </c>
      <c r="F1422" s="51">
        <v>23014</v>
      </c>
      <c r="G1422" s="27"/>
    </row>
    <row r="1423" spans="1:7">
      <c r="A1423" s="27">
        <v>62</v>
      </c>
      <c r="B1423" s="27" t="s">
        <v>254</v>
      </c>
      <c r="C1423" s="27" t="s">
        <v>316</v>
      </c>
      <c r="D1423" s="27" t="s">
        <v>402</v>
      </c>
      <c r="E1423" s="27" t="s">
        <v>1681</v>
      </c>
      <c r="F1423" s="51">
        <v>879451</v>
      </c>
      <c r="G1423" s="27"/>
    </row>
    <row r="1424" spans="1:7">
      <c r="A1424" s="27">
        <v>62</v>
      </c>
      <c r="B1424" s="27" t="s">
        <v>254</v>
      </c>
      <c r="C1424" s="27" t="s">
        <v>316</v>
      </c>
      <c r="D1424" s="27" t="s">
        <v>299</v>
      </c>
      <c r="E1424" s="27" t="s">
        <v>1681</v>
      </c>
      <c r="F1424" s="51">
        <v>145104</v>
      </c>
      <c r="G1424" s="27"/>
    </row>
    <row r="1425" spans="1:7">
      <c r="A1425" s="27">
        <v>62</v>
      </c>
      <c r="B1425" s="27" t="s">
        <v>254</v>
      </c>
      <c r="C1425" s="27" t="s">
        <v>316</v>
      </c>
      <c r="D1425" s="27" t="s">
        <v>300</v>
      </c>
      <c r="E1425" s="27" t="s">
        <v>1681</v>
      </c>
      <c r="F1425" s="51">
        <v>35154</v>
      </c>
      <c r="G1425" s="27"/>
    </row>
    <row r="1426" spans="1:7">
      <c r="A1426" s="27">
        <v>63</v>
      </c>
      <c r="B1426" s="27" t="s">
        <v>255</v>
      </c>
      <c r="C1426" s="27" t="s">
        <v>302</v>
      </c>
      <c r="D1426" s="27" t="s">
        <v>408</v>
      </c>
      <c r="E1426" s="27" t="s">
        <v>1682</v>
      </c>
      <c r="F1426" s="51">
        <v>10569</v>
      </c>
      <c r="G1426" s="27"/>
    </row>
    <row r="1427" spans="1:7">
      <c r="A1427" s="27">
        <v>63</v>
      </c>
      <c r="B1427" s="27" t="s">
        <v>255</v>
      </c>
      <c r="C1427" s="27" t="s">
        <v>302</v>
      </c>
      <c r="D1427" s="27" t="s">
        <v>398</v>
      </c>
      <c r="E1427" s="27" t="s">
        <v>1682</v>
      </c>
      <c r="F1427" s="51">
        <v>388</v>
      </c>
      <c r="G1427" s="27"/>
    </row>
    <row r="1428" spans="1:7">
      <c r="A1428" s="27">
        <v>63</v>
      </c>
      <c r="B1428" s="27" t="s">
        <v>255</v>
      </c>
      <c r="C1428" s="27" t="s">
        <v>302</v>
      </c>
      <c r="D1428" s="27" t="s">
        <v>415</v>
      </c>
      <c r="E1428" s="27" t="s">
        <v>1682</v>
      </c>
      <c r="F1428" s="51">
        <v>1084</v>
      </c>
      <c r="G1428" s="27"/>
    </row>
    <row r="1429" spans="1:7">
      <c r="A1429" s="27">
        <v>63</v>
      </c>
      <c r="B1429" s="27" t="s">
        <v>255</v>
      </c>
      <c r="C1429" s="27" t="s">
        <v>302</v>
      </c>
      <c r="D1429" s="27" t="s">
        <v>291</v>
      </c>
      <c r="E1429" s="27" t="s">
        <v>1681</v>
      </c>
      <c r="F1429" s="51">
        <v>976</v>
      </c>
      <c r="G1429" s="27"/>
    </row>
    <row r="1430" spans="1:7">
      <c r="A1430" s="27">
        <v>63</v>
      </c>
      <c r="B1430" s="27" t="s">
        <v>255</v>
      </c>
      <c r="C1430" s="27" t="s">
        <v>302</v>
      </c>
      <c r="D1430" s="27" t="s">
        <v>399</v>
      </c>
      <c r="E1430" s="27" t="s">
        <v>1681</v>
      </c>
      <c r="F1430" s="51">
        <v>1186589</v>
      </c>
      <c r="G1430" s="27"/>
    </row>
    <row r="1431" spans="1:7">
      <c r="A1431" s="27">
        <v>63</v>
      </c>
      <c r="B1431" s="27" t="s">
        <v>255</v>
      </c>
      <c r="C1431" s="27" t="s">
        <v>302</v>
      </c>
      <c r="D1431" s="27" t="s">
        <v>296</v>
      </c>
      <c r="E1431" s="27" t="s">
        <v>1681</v>
      </c>
      <c r="F1431" s="51">
        <v>175930</v>
      </c>
      <c r="G1431" s="27"/>
    </row>
    <row r="1432" spans="1:7">
      <c r="A1432" s="27">
        <v>63</v>
      </c>
      <c r="B1432" s="27" t="s">
        <v>255</v>
      </c>
      <c r="C1432" s="27" t="s">
        <v>302</v>
      </c>
      <c r="D1432" s="27" t="s">
        <v>401</v>
      </c>
      <c r="E1432" s="27" t="s">
        <v>1681</v>
      </c>
      <c r="F1432" s="51">
        <v>30093</v>
      </c>
      <c r="G1432" s="27"/>
    </row>
    <row r="1433" spans="1:7">
      <c r="A1433" s="27">
        <v>63</v>
      </c>
      <c r="B1433" s="27" t="s">
        <v>255</v>
      </c>
      <c r="C1433" s="27" t="s">
        <v>302</v>
      </c>
      <c r="D1433" s="27" t="s">
        <v>402</v>
      </c>
      <c r="E1433" s="27" t="s">
        <v>1681</v>
      </c>
      <c r="F1433" s="51">
        <v>41067</v>
      </c>
      <c r="G1433" s="27"/>
    </row>
    <row r="1434" spans="1:7">
      <c r="A1434" s="27">
        <v>64</v>
      </c>
      <c r="B1434" s="27" t="s">
        <v>256</v>
      </c>
      <c r="C1434" s="27" t="s">
        <v>325</v>
      </c>
      <c r="D1434" s="27" t="s">
        <v>406</v>
      </c>
      <c r="E1434" s="27" t="s">
        <v>1682</v>
      </c>
      <c r="F1434" s="51">
        <v>1036334</v>
      </c>
      <c r="G1434" s="27"/>
    </row>
    <row r="1435" spans="1:7">
      <c r="A1435" s="27">
        <v>64</v>
      </c>
      <c r="B1435" s="27" t="s">
        <v>256</v>
      </c>
      <c r="C1435" s="27" t="s">
        <v>325</v>
      </c>
      <c r="D1435" s="27" t="s">
        <v>326</v>
      </c>
      <c r="E1435" s="27" t="s">
        <v>1682</v>
      </c>
      <c r="F1435" s="51">
        <v>884500</v>
      </c>
      <c r="G1435" s="27"/>
    </row>
    <row r="1436" spans="1:7">
      <c r="A1436" s="27">
        <v>64</v>
      </c>
      <c r="B1436" s="27" t="s">
        <v>256</v>
      </c>
      <c r="C1436" s="27" t="s">
        <v>325</v>
      </c>
      <c r="D1436" s="27" t="s">
        <v>407</v>
      </c>
      <c r="E1436" s="27" t="s">
        <v>1682</v>
      </c>
      <c r="F1436" s="51">
        <v>36587</v>
      </c>
      <c r="G1436" s="27"/>
    </row>
    <row r="1437" spans="1:7">
      <c r="A1437" s="27">
        <v>64</v>
      </c>
      <c r="B1437" s="27" t="s">
        <v>256</v>
      </c>
      <c r="C1437" s="27" t="s">
        <v>325</v>
      </c>
      <c r="D1437" s="27" t="s">
        <v>408</v>
      </c>
      <c r="E1437" s="27" t="s">
        <v>1682</v>
      </c>
      <c r="F1437" s="51">
        <v>11545243</v>
      </c>
      <c r="G1437" s="27"/>
    </row>
    <row r="1438" spans="1:7">
      <c r="A1438" s="27">
        <v>64</v>
      </c>
      <c r="B1438" s="27" t="s">
        <v>256</v>
      </c>
      <c r="C1438" s="27" t="s">
        <v>325</v>
      </c>
      <c r="D1438" s="27" t="s">
        <v>394</v>
      </c>
      <c r="E1438" s="27" t="s">
        <v>1682</v>
      </c>
      <c r="F1438" s="51">
        <v>5461208</v>
      </c>
      <c r="G1438" s="27"/>
    </row>
    <row r="1439" spans="1:7">
      <c r="A1439" s="27">
        <v>64</v>
      </c>
      <c r="B1439" s="27" t="s">
        <v>256</v>
      </c>
      <c r="C1439" s="27" t="s">
        <v>325</v>
      </c>
      <c r="D1439" s="27" t="s">
        <v>329</v>
      </c>
      <c r="E1439" s="27" t="s">
        <v>1682</v>
      </c>
      <c r="F1439" s="51">
        <v>2005835</v>
      </c>
      <c r="G1439" s="27"/>
    </row>
    <row r="1440" spans="1:7">
      <c r="A1440" s="27">
        <v>64</v>
      </c>
      <c r="B1440" s="27" t="s">
        <v>256</v>
      </c>
      <c r="C1440" s="27" t="s">
        <v>325</v>
      </c>
      <c r="D1440" s="27" t="s">
        <v>330</v>
      </c>
      <c r="E1440" s="27" t="s">
        <v>1682</v>
      </c>
      <c r="F1440" s="51">
        <v>7684</v>
      </c>
      <c r="G1440" s="27"/>
    </row>
    <row r="1441" spans="1:7">
      <c r="A1441" s="27">
        <v>64</v>
      </c>
      <c r="B1441" s="27" t="s">
        <v>256</v>
      </c>
      <c r="C1441" s="27" t="s">
        <v>325</v>
      </c>
      <c r="D1441" s="27" t="s">
        <v>397</v>
      </c>
      <c r="E1441" s="27" t="s">
        <v>1682</v>
      </c>
      <c r="F1441" s="51">
        <v>23000839</v>
      </c>
      <c r="G1441" s="27"/>
    </row>
    <row r="1442" spans="1:7">
      <c r="A1442" s="27">
        <v>64</v>
      </c>
      <c r="B1442" s="27" t="s">
        <v>256</v>
      </c>
      <c r="C1442" s="27" t="s">
        <v>325</v>
      </c>
      <c r="D1442" s="27" t="s">
        <v>332</v>
      </c>
      <c r="E1442" s="27" t="s">
        <v>1682</v>
      </c>
      <c r="F1442" s="51">
        <v>1037598</v>
      </c>
      <c r="G1442" s="27"/>
    </row>
    <row r="1443" spans="1:7">
      <c r="A1443" s="27">
        <v>64</v>
      </c>
      <c r="B1443" s="27" t="s">
        <v>256</v>
      </c>
      <c r="C1443" s="27" t="s">
        <v>325</v>
      </c>
      <c r="D1443" s="27" t="s">
        <v>411</v>
      </c>
      <c r="E1443" s="27" t="s">
        <v>1682</v>
      </c>
      <c r="F1443" s="51">
        <v>559204</v>
      </c>
      <c r="G1443" s="27"/>
    </row>
    <row r="1444" spans="1:7">
      <c r="A1444" s="27">
        <v>64</v>
      </c>
      <c r="B1444" s="27" t="s">
        <v>256</v>
      </c>
      <c r="C1444" s="27" t="s">
        <v>325</v>
      </c>
      <c r="D1444" s="27" t="s">
        <v>412</v>
      </c>
      <c r="E1444" s="27" t="s">
        <v>1682</v>
      </c>
      <c r="F1444" s="51">
        <v>3493992</v>
      </c>
      <c r="G1444" s="27"/>
    </row>
    <row r="1445" spans="1:7">
      <c r="A1445" s="27">
        <v>64</v>
      </c>
      <c r="B1445" s="27" t="s">
        <v>256</v>
      </c>
      <c r="C1445" s="27" t="s">
        <v>325</v>
      </c>
      <c r="D1445" s="27" t="s">
        <v>413</v>
      </c>
      <c r="E1445" s="27" t="s">
        <v>1682</v>
      </c>
      <c r="F1445" s="51">
        <v>458104</v>
      </c>
      <c r="G1445" s="27"/>
    </row>
    <row r="1446" spans="1:7">
      <c r="A1446" s="27">
        <v>64</v>
      </c>
      <c r="B1446" s="27" t="s">
        <v>256</v>
      </c>
      <c r="C1446" s="27" t="s">
        <v>325</v>
      </c>
      <c r="D1446" s="27" t="s">
        <v>414</v>
      </c>
      <c r="E1446" s="27" t="s">
        <v>1682</v>
      </c>
      <c r="F1446" s="51">
        <v>169710</v>
      </c>
      <c r="G1446" s="27"/>
    </row>
    <row r="1447" spans="1:7">
      <c r="A1447" s="27">
        <v>64</v>
      </c>
      <c r="B1447" s="27" t="s">
        <v>256</v>
      </c>
      <c r="C1447" s="27" t="s">
        <v>325</v>
      </c>
      <c r="D1447" s="27" t="s">
        <v>398</v>
      </c>
      <c r="E1447" s="27" t="s">
        <v>1682</v>
      </c>
      <c r="F1447" s="51">
        <v>447425</v>
      </c>
      <c r="G1447" s="27"/>
    </row>
    <row r="1448" spans="1:7">
      <c r="A1448" s="27">
        <v>64</v>
      </c>
      <c r="B1448" s="27" t="s">
        <v>256</v>
      </c>
      <c r="C1448" s="27" t="s">
        <v>325</v>
      </c>
      <c r="D1448" s="27" t="s">
        <v>415</v>
      </c>
      <c r="E1448" s="27" t="s">
        <v>1682</v>
      </c>
      <c r="F1448" s="51">
        <v>296701</v>
      </c>
      <c r="G1448" s="27"/>
    </row>
    <row r="1449" spans="1:7">
      <c r="A1449" s="27">
        <v>64</v>
      </c>
      <c r="B1449" s="27" t="s">
        <v>256</v>
      </c>
      <c r="C1449" s="27" t="s">
        <v>325</v>
      </c>
      <c r="D1449" s="27" t="s">
        <v>334</v>
      </c>
      <c r="E1449" s="27" t="s">
        <v>1682</v>
      </c>
      <c r="F1449" s="51">
        <v>359696</v>
      </c>
      <c r="G1449" s="27"/>
    </row>
    <row r="1450" spans="1:7">
      <c r="A1450" s="27">
        <v>64</v>
      </c>
      <c r="B1450" s="27" t="s">
        <v>256</v>
      </c>
      <c r="C1450" s="27" t="s">
        <v>325</v>
      </c>
      <c r="D1450" s="27" t="s">
        <v>335</v>
      </c>
      <c r="E1450" s="27" t="s">
        <v>1681</v>
      </c>
      <c r="F1450" s="51">
        <v>471068</v>
      </c>
      <c r="G1450" s="27"/>
    </row>
    <row r="1451" spans="1:7">
      <c r="A1451" s="27">
        <v>64</v>
      </c>
      <c r="B1451" s="27" t="s">
        <v>256</v>
      </c>
      <c r="C1451" s="27" t="s">
        <v>325</v>
      </c>
      <c r="D1451" s="27" t="s">
        <v>291</v>
      </c>
      <c r="E1451" s="27" t="s">
        <v>1681</v>
      </c>
      <c r="F1451" s="51">
        <v>181176</v>
      </c>
      <c r="G1451" s="27"/>
    </row>
    <row r="1452" spans="1:7">
      <c r="A1452" s="27">
        <v>64</v>
      </c>
      <c r="B1452" s="27" t="s">
        <v>256</v>
      </c>
      <c r="C1452" s="27" t="s">
        <v>325</v>
      </c>
      <c r="D1452" s="27" t="s">
        <v>399</v>
      </c>
      <c r="E1452" s="27" t="s">
        <v>1681</v>
      </c>
      <c r="F1452" s="51">
        <v>161884316</v>
      </c>
      <c r="G1452" s="27"/>
    </row>
    <row r="1453" spans="1:7">
      <c r="A1453" s="27">
        <v>64</v>
      </c>
      <c r="B1453" s="27" t="s">
        <v>256</v>
      </c>
      <c r="C1453" s="27" t="s">
        <v>325</v>
      </c>
      <c r="D1453" s="27" t="s">
        <v>336</v>
      </c>
      <c r="E1453" s="27" t="s">
        <v>1681</v>
      </c>
      <c r="F1453" s="51">
        <v>465272</v>
      </c>
      <c r="G1453" s="27"/>
    </row>
    <row r="1454" spans="1:7">
      <c r="A1454" s="27">
        <v>64</v>
      </c>
      <c r="B1454" s="27" t="s">
        <v>256</v>
      </c>
      <c r="C1454" s="27" t="s">
        <v>325</v>
      </c>
      <c r="D1454" s="27" t="s">
        <v>317</v>
      </c>
      <c r="E1454" s="27" t="s">
        <v>1681</v>
      </c>
      <c r="F1454" s="51">
        <v>430855</v>
      </c>
      <c r="G1454" s="27"/>
    </row>
    <row r="1455" spans="1:7">
      <c r="A1455" s="27">
        <v>64</v>
      </c>
      <c r="B1455" s="27" t="s">
        <v>256</v>
      </c>
      <c r="C1455" s="27" t="s">
        <v>325</v>
      </c>
      <c r="D1455" s="27" t="s">
        <v>337</v>
      </c>
      <c r="E1455" s="27" t="s">
        <v>1681</v>
      </c>
      <c r="F1455" s="51">
        <v>155000</v>
      </c>
      <c r="G1455" s="27"/>
    </row>
    <row r="1456" spans="1:7">
      <c r="A1456" s="27">
        <v>64</v>
      </c>
      <c r="B1456" s="27" t="s">
        <v>256</v>
      </c>
      <c r="C1456" s="27" t="s">
        <v>325</v>
      </c>
      <c r="D1456" s="27" t="s">
        <v>307</v>
      </c>
      <c r="E1456" s="27" t="s">
        <v>1681</v>
      </c>
      <c r="F1456" s="51">
        <v>1399835</v>
      </c>
      <c r="G1456" s="27"/>
    </row>
    <row r="1457" spans="1:7">
      <c r="A1457" s="27">
        <v>64</v>
      </c>
      <c r="B1457" s="27" t="s">
        <v>256</v>
      </c>
      <c r="C1457" s="27" t="s">
        <v>325</v>
      </c>
      <c r="D1457" s="27" t="s">
        <v>294</v>
      </c>
      <c r="E1457" s="27" t="s">
        <v>1681</v>
      </c>
      <c r="F1457" s="51">
        <v>64285</v>
      </c>
      <c r="G1457" s="27"/>
    </row>
    <row r="1458" spans="1:7">
      <c r="A1458" s="27">
        <v>64</v>
      </c>
      <c r="B1458" s="27" t="s">
        <v>256</v>
      </c>
      <c r="C1458" s="27" t="s">
        <v>325</v>
      </c>
      <c r="D1458" s="27" t="s">
        <v>295</v>
      </c>
      <c r="E1458" s="27" t="s">
        <v>1681</v>
      </c>
      <c r="F1458" s="51">
        <v>60072</v>
      </c>
      <c r="G1458" s="27"/>
    </row>
    <row r="1459" spans="1:7">
      <c r="A1459" s="27">
        <v>64</v>
      </c>
      <c r="B1459" s="27" t="s">
        <v>256</v>
      </c>
      <c r="C1459" s="27" t="s">
        <v>325</v>
      </c>
      <c r="D1459" s="27" t="s">
        <v>303</v>
      </c>
      <c r="E1459" s="27" t="s">
        <v>1681</v>
      </c>
      <c r="F1459" s="51">
        <v>14400</v>
      </c>
      <c r="G1459" s="27"/>
    </row>
    <row r="1460" spans="1:7">
      <c r="A1460" s="27">
        <v>64</v>
      </c>
      <c r="B1460" s="27" t="s">
        <v>256</v>
      </c>
      <c r="C1460" s="27" t="s">
        <v>325</v>
      </c>
      <c r="D1460" s="27" t="s">
        <v>318</v>
      </c>
      <c r="E1460" s="27" t="s">
        <v>1681</v>
      </c>
      <c r="F1460" s="51">
        <v>2078125</v>
      </c>
      <c r="G1460" s="27"/>
    </row>
    <row r="1461" spans="1:7">
      <c r="A1461" s="27">
        <v>64</v>
      </c>
      <c r="B1461" s="27" t="s">
        <v>256</v>
      </c>
      <c r="C1461" s="27" t="s">
        <v>325</v>
      </c>
      <c r="D1461" s="27" t="s">
        <v>319</v>
      </c>
      <c r="E1461" s="27" t="s">
        <v>1681</v>
      </c>
      <c r="F1461" s="51">
        <v>371809</v>
      </c>
      <c r="G1461" s="27"/>
    </row>
    <row r="1462" spans="1:7">
      <c r="A1462" s="27">
        <v>64</v>
      </c>
      <c r="B1462" s="27" t="s">
        <v>256</v>
      </c>
      <c r="C1462" s="27" t="s">
        <v>325</v>
      </c>
      <c r="D1462" s="27" t="s">
        <v>296</v>
      </c>
      <c r="E1462" s="27" t="s">
        <v>1681</v>
      </c>
      <c r="F1462" s="51">
        <v>15189345</v>
      </c>
      <c r="G1462" s="27"/>
    </row>
    <row r="1463" spans="1:7">
      <c r="A1463" s="27">
        <v>64</v>
      </c>
      <c r="B1463" s="27" t="s">
        <v>256</v>
      </c>
      <c r="C1463" s="27" t="s">
        <v>325</v>
      </c>
      <c r="D1463" s="27" t="s">
        <v>400</v>
      </c>
      <c r="E1463" s="27" t="s">
        <v>1681</v>
      </c>
      <c r="F1463" s="51">
        <v>551935</v>
      </c>
      <c r="G1463" s="27"/>
    </row>
    <row r="1464" spans="1:7">
      <c r="A1464" s="27">
        <v>64</v>
      </c>
      <c r="B1464" s="27" t="s">
        <v>256</v>
      </c>
      <c r="C1464" s="27" t="s">
        <v>325</v>
      </c>
      <c r="D1464" s="27" t="s">
        <v>298</v>
      </c>
      <c r="E1464" s="27" t="s">
        <v>1681</v>
      </c>
      <c r="F1464" s="51">
        <v>3249124</v>
      </c>
      <c r="G1464" s="27"/>
    </row>
    <row r="1465" spans="1:7">
      <c r="A1465" s="27">
        <v>64</v>
      </c>
      <c r="B1465" s="27" t="s">
        <v>256</v>
      </c>
      <c r="C1465" s="27" t="s">
        <v>325</v>
      </c>
      <c r="D1465" s="27" t="s">
        <v>401</v>
      </c>
      <c r="E1465" s="27" t="s">
        <v>1681</v>
      </c>
      <c r="F1465" s="51">
        <v>41388</v>
      </c>
      <c r="G1465" s="27"/>
    </row>
    <row r="1466" spans="1:7">
      <c r="A1466" s="27">
        <v>64</v>
      </c>
      <c r="B1466" s="27" t="s">
        <v>256</v>
      </c>
      <c r="C1466" s="27" t="s">
        <v>325</v>
      </c>
      <c r="D1466" s="27" t="s">
        <v>1347</v>
      </c>
      <c r="E1466" s="27" t="s">
        <v>1681</v>
      </c>
      <c r="F1466" s="51">
        <v>184997</v>
      </c>
      <c r="G1466" s="27"/>
    </row>
    <row r="1467" spans="1:7">
      <c r="A1467" s="27">
        <v>64</v>
      </c>
      <c r="B1467" s="27" t="s">
        <v>256</v>
      </c>
      <c r="C1467" s="27" t="s">
        <v>325</v>
      </c>
      <c r="D1467" s="27" t="s">
        <v>402</v>
      </c>
      <c r="E1467" s="27" t="s">
        <v>1681</v>
      </c>
      <c r="F1467" s="51">
        <v>1994375</v>
      </c>
      <c r="G1467" s="27"/>
    </row>
    <row r="1468" spans="1:7">
      <c r="A1468" s="27">
        <v>64</v>
      </c>
      <c r="B1468" s="27" t="s">
        <v>256</v>
      </c>
      <c r="C1468" s="27" t="s">
        <v>325</v>
      </c>
      <c r="D1468" s="27" t="s">
        <v>338</v>
      </c>
      <c r="E1468" s="27" t="s">
        <v>1681</v>
      </c>
      <c r="F1468" s="51">
        <v>14775</v>
      </c>
      <c r="G1468" s="27"/>
    </row>
    <row r="1469" spans="1:7">
      <c r="A1469" s="27">
        <v>64</v>
      </c>
      <c r="B1469" s="27" t="s">
        <v>256</v>
      </c>
      <c r="C1469" s="27" t="s">
        <v>325</v>
      </c>
      <c r="D1469" s="27" t="s">
        <v>300</v>
      </c>
      <c r="E1469" s="27" t="s">
        <v>1681</v>
      </c>
      <c r="F1469" s="51">
        <v>147354</v>
      </c>
      <c r="G1469" s="27"/>
    </row>
    <row r="1470" spans="1:7">
      <c r="A1470" s="27">
        <v>65</v>
      </c>
      <c r="B1470" s="27" t="s">
        <v>257</v>
      </c>
      <c r="C1470" s="27" t="s">
        <v>302</v>
      </c>
      <c r="D1470" s="27" t="s">
        <v>408</v>
      </c>
      <c r="E1470" s="27" t="s">
        <v>1682</v>
      </c>
      <c r="F1470" s="51">
        <v>1831</v>
      </c>
      <c r="G1470" s="27"/>
    </row>
    <row r="1471" spans="1:7">
      <c r="A1471" s="27">
        <v>65</v>
      </c>
      <c r="B1471" s="27" t="s">
        <v>257</v>
      </c>
      <c r="C1471" s="27" t="s">
        <v>302</v>
      </c>
      <c r="D1471" s="27" t="s">
        <v>399</v>
      </c>
      <c r="E1471" s="27" t="s">
        <v>1681</v>
      </c>
      <c r="F1471" s="51">
        <v>1187670</v>
      </c>
      <c r="G1471" s="27"/>
    </row>
    <row r="1472" spans="1:7">
      <c r="A1472" s="27">
        <v>65</v>
      </c>
      <c r="B1472" s="27" t="s">
        <v>257</v>
      </c>
      <c r="C1472" s="27" t="s">
        <v>302</v>
      </c>
      <c r="D1472" s="27" t="s">
        <v>296</v>
      </c>
      <c r="E1472" s="27" t="s">
        <v>1681</v>
      </c>
      <c r="F1472" s="51">
        <v>92844</v>
      </c>
      <c r="G1472" s="27"/>
    </row>
    <row r="1473" spans="1:7">
      <c r="A1473" s="27">
        <v>65</v>
      </c>
      <c r="B1473" s="27" t="s">
        <v>257</v>
      </c>
      <c r="C1473" s="27" t="s">
        <v>302</v>
      </c>
      <c r="D1473" s="27" t="s">
        <v>298</v>
      </c>
      <c r="E1473" s="27" t="s">
        <v>1681</v>
      </c>
      <c r="F1473" s="51">
        <v>17345</v>
      </c>
      <c r="G1473" s="27"/>
    </row>
    <row r="1474" spans="1:7">
      <c r="A1474" s="27">
        <v>65</v>
      </c>
      <c r="B1474" s="27" t="s">
        <v>257</v>
      </c>
      <c r="C1474" s="27" t="s">
        <v>302</v>
      </c>
      <c r="D1474" s="27" t="s">
        <v>401</v>
      </c>
      <c r="E1474" s="27" t="s">
        <v>1681</v>
      </c>
      <c r="F1474" s="51">
        <v>23346</v>
      </c>
      <c r="G1474" s="27"/>
    </row>
    <row r="1475" spans="1:7">
      <c r="A1475" s="27">
        <v>65</v>
      </c>
      <c r="B1475" s="27" t="s">
        <v>257</v>
      </c>
      <c r="C1475" s="27" t="s">
        <v>302</v>
      </c>
      <c r="D1475" s="27" t="s">
        <v>402</v>
      </c>
      <c r="E1475" s="27" t="s">
        <v>1681</v>
      </c>
      <c r="F1475" s="51">
        <v>50971</v>
      </c>
      <c r="G1475" s="27"/>
    </row>
    <row r="1476" spans="1:7">
      <c r="A1476" s="27">
        <v>66</v>
      </c>
      <c r="B1476" s="27" t="s">
        <v>258</v>
      </c>
      <c r="C1476" s="27" t="s">
        <v>393</v>
      </c>
      <c r="D1476" s="27" t="s">
        <v>399</v>
      </c>
      <c r="E1476" s="27" t="s">
        <v>1681</v>
      </c>
      <c r="F1476" s="51">
        <v>2311647</v>
      </c>
      <c r="G1476" s="27"/>
    </row>
    <row r="1477" spans="1:7">
      <c r="A1477" s="27">
        <v>67</v>
      </c>
      <c r="B1477" s="27" t="s">
        <v>259</v>
      </c>
      <c r="C1477" s="27" t="s">
        <v>393</v>
      </c>
      <c r="D1477" s="27" t="s">
        <v>408</v>
      </c>
      <c r="E1477" s="27" t="s">
        <v>1682</v>
      </c>
      <c r="F1477" s="51">
        <v>19658</v>
      </c>
      <c r="G1477" s="27"/>
    </row>
    <row r="1478" spans="1:7">
      <c r="A1478" s="27">
        <v>67</v>
      </c>
      <c r="B1478" s="27" t="s">
        <v>259</v>
      </c>
      <c r="C1478" s="27" t="s">
        <v>393</v>
      </c>
      <c r="D1478" s="27" t="s">
        <v>394</v>
      </c>
      <c r="E1478" s="27" t="s">
        <v>1682</v>
      </c>
      <c r="F1478" s="51">
        <v>87271</v>
      </c>
      <c r="G1478" s="27"/>
    </row>
    <row r="1479" spans="1:7">
      <c r="A1479" s="27">
        <v>67</v>
      </c>
      <c r="B1479" s="27" t="s">
        <v>259</v>
      </c>
      <c r="C1479" s="27" t="s">
        <v>393</v>
      </c>
      <c r="D1479" s="27" t="s">
        <v>396</v>
      </c>
      <c r="E1479" s="27" t="s">
        <v>1682</v>
      </c>
      <c r="F1479" s="51">
        <v>93400</v>
      </c>
      <c r="G1479" s="27"/>
    </row>
    <row r="1480" spans="1:7">
      <c r="A1480" s="27">
        <v>67</v>
      </c>
      <c r="B1480" s="27" t="s">
        <v>259</v>
      </c>
      <c r="C1480" s="27" t="s">
        <v>393</v>
      </c>
      <c r="D1480" s="27" t="s">
        <v>397</v>
      </c>
      <c r="E1480" s="27" t="s">
        <v>1682</v>
      </c>
      <c r="F1480" s="51">
        <v>60000</v>
      </c>
      <c r="G1480" s="27"/>
    </row>
    <row r="1481" spans="1:7">
      <c r="A1481" s="27">
        <v>67</v>
      </c>
      <c r="B1481" s="27" t="s">
        <v>259</v>
      </c>
      <c r="C1481" s="27" t="s">
        <v>393</v>
      </c>
      <c r="D1481" s="27" t="s">
        <v>411</v>
      </c>
      <c r="E1481" s="27" t="s">
        <v>1682</v>
      </c>
      <c r="F1481" s="51">
        <v>2399</v>
      </c>
      <c r="G1481" s="27"/>
    </row>
    <row r="1482" spans="1:7">
      <c r="A1482" s="27">
        <v>67</v>
      </c>
      <c r="B1482" s="27" t="s">
        <v>259</v>
      </c>
      <c r="C1482" s="27" t="s">
        <v>393</v>
      </c>
      <c r="D1482" s="27" t="s">
        <v>412</v>
      </c>
      <c r="E1482" s="27" t="s">
        <v>1682</v>
      </c>
      <c r="F1482" s="51">
        <v>10000</v>
      </c>
      <c r="G1482" s="27"/>
    </row>
    <row r="1483" spans="1:7">
      <c r="A1483" s="27">
        <v>67</v>
      </c>
      <c r="B1483" s="27" t="s">
        <v>259</v>
      </c>
      <c r="C1483" s="27" t="s">
        <v>393</v>
      </c>
      <c r="D1483" s="27" t="s">
        <v>398</v>
      </c>
      <c r="E1483" s="27" t="s">
        <v>1682</v>
      </c>
      <c r="F1483" s="51">
        <v>3929</v>
      </c>
      <c r="G1483" s="27"/>
    </row>
    <row r="1484" spans="1:7">
      <c r="A1484" s="27">
        <v>67</v>
      </c>
      <c r="B1484" s="27" t="s">
        <v>259</v>
      </c>
      <c r="C1484" s="27" t="s">
        <v>393</v>
      </c>
      <c r="D1484" s="27" t="s">
        <v>415</v>
      </c>
      <c r="E1484" s="27" t="s">
        <v>1682</v>
      </c>
      <c r="F1484" s="51">
        <v>6886</v>
      </c>
      <c r="G1484" s="27"/>
    </row>
    <row r="1485" spans="1:7">
      <c r="A1485" s="27">
        <v>67</v>
      </c>
      <c r="B1485" s="27" t="s">
        <v>259</v>
      </c>
      <c r="C1485" s="27" t="s">
        <v>393</v>
      </c>
      <c r="D1485" s="27" t="s">
        <v>291</v>
      </c>
      <c r="E1485" s="27" t="s">
        <v>1681</v>
      </c>
      <c r="F1485" s="51">
        <v>3523</v>
      </c>
      <c r="G1485" s="27"/>
    </row>
    <row r="1486" spans="1:7">
      <c r="A1486" s="27">
        <v>67</v>
      </c>
      <c r="B1486" s="27" t="s">
        <v>259</v>
      </c>
      <c r="C1486" s="27" t="s">
        <v>393</v>
      </c>
      <c r="D1486" s="27" t="s">
        <v>399</v>
      </c>
      <c r="E1486" s="27" t="s">
        <v>1681</v>
      </c>
      <c r="F1486" s="51">
        <v>5256485</v>
      </c>
      <c r="G1486" s="27"/>
    </row>
    <row r="1487" spans="1:7">
      <c r="A1487" s="27">
        <v>67</v>
      </c>
      <c r="B1487" s="27" t="s">
        <v>259</v>
      </c>
      <c r="C1487" s="27" t="s">
        <v>393</v>
      </c>
      <c r="D1487" s="27" t="s">
        <v>317</v>
      </c>
      <c r="E1487" s="27" t="s">
        <v>1681</v>
      </c>
      <c r="F1487" s="51">
        <v>86171</v>
      </c>
      <c r="G1487" s="27"/>
    </row>
    <row r="1488" spans="1:7">
      <c r="A1488" s="27">
        <v>67</v>
      </c>
      <c r="B1488" s="27" t="s">
        <v>259</v>
      </c>
      <c r="C1488" s="27" t="s">
        <v>393</v>
      </c>
      <c r="D1488" s="27" t="s">
        <v>296</v>
      </c>
      <c r="E1488" s="27" t="s">
        <v>1681</v>
      </c>
      <c r="F1488" s="51">
        <v>148476</v>
      </c>
      <c r="G1488" s="27"/>
    </row>
    <row r="1489" spans="1:7">
      <c r="A1489" s="27">
        <v>67</v>
      </c>
      <c r="B1489" s="27" t="s">
        <v>259</v>
      </c>
      <c r="C1489" s="27" t="s">
        <v>393</v>
      </c>
      <c r="D1489" s="27" t="s">
        <v>401</v>
      </c>
      <c r="E1489" s="27" t="s">
        <v>1681</v>
      </c>
      <c r="F1489" s="51">
        <v>30534</v>
      </c>
      <c r="G1489" s="27"/>
    </row>
    <row r="1490" spans="1:7">
      <c r="A1490" s="27">
        <v>67</v>
      </c>
      <c r="B1490" s="27" t="s">
        <v>259</v>
      </c>
      <c r="C1490" s="27" t="s">
        <v>393</v>
      </c>
      <c r="D1490" s="27" t="s">
        <v>402</v>
      </c>
      <c r="E1490" s="27" t="s">
        <v>1681</v>
      </c>
      <c r="F1490" s="51">
        <v>82578</v>
      </c>
      <c r="G1490" s="27"/>
    </row>
    <row r="1491" spans="1:7">
      <c r="A1491" s="27">
        <v>67</v>
      </c>
      <c r="B1491" s="27" t="s">
        <v>259</v>
      </c>
      <c r="C1491" s="27" t="s">
        <v>393</v>
      </c>
      <c r="D1491" s="27" t="s">
        <v>300</v>
      </c>
      <c r="E1491" s="27" t="s">
        <v>1681</v>
      </c>
      <c r="F1491" s="51">
        <v>34993</v>
      </c>
      <c r="G1491" s="27"/>
    </row>
    <row r="1492" spans="1:7">
      <c r="A1492" s="27">
        <v>68</v>
      </c>
      <c r="B1492" s="27" t="s">
        <v>260</v>
      </c>
      <c r="C1492" s="27" t="s">
        <v>302</v>
      </c>
      <c r="D1492" s="27" t="s">
        <v>408</v>
      </c>
      <c r="E1492" s="27" t="s">
        <v>1682</v>
      </c>
      <c r="F1492" s="51">
        <v>7206</v>
      </c>
      <c r="G1492" s="27"/>
    </row>
    <row r="1493" spans="1:7">
      <c r="A1493" s="27">
        <v>68</v>
      </c>
      <c r="B1493" s="27" t="s">
        <v>260</v>
      </c>
      <c r="C1493" s="27" t="s">
        <v>302</v>
      </c>
      <c r="D1493" s="27" t="s">
        <v>397</v>
      </c>
      <c r="E1493" s="27" t="s">
        <v>1682</v>
      </c>
      <c r="F1493" s="51">
        <v>49876</v>
      </c>
      <c r="G1493" s="27"/>
    </row>
    <row r="1494" spans="1:7">
      <c r="A1494" s="27">
        <v>68</v>
      </c>
      <c r="B1494" s="27" t="s">
        <v>260</v>
      </c>
      <c r="C1494" s="27" t="s">
        <v>302</v>
      </c>
      <c r="D1494" s="27" t="s">
        <v>398</v>
      </c>
      <c r="E1494" s="27" t="s">
        <v>1682</v>
      </c>
      <c r="F1494" s="51">
        <v>2856</v>
      </c>
      <c r="G1494" s="27"/>
    </row>
    <row r="1495" spans="1:7">
      <c r="A1495" s="27">
        <v>68</v>
      </c>
      <c r="B1495" s="27" t="s">
        <v>260</v>
      </c>
      <c r="C1495" s="27" t="s">
        <v>302</v>
      </c>
      <c r="D1495" s="27" t="s">
        <v>415</v>
      </c>
      <c r="E1495" s="27" t="s">
        <v>1682</v>
      </c>
      <c r="F1495" s="51">
        <v>2662</v>
      </c>
      <c r="G1495" s="27"/>
    </row>
    <row r="1496" spans="1:7">
      <c r="A1496" s="27">
        <v>68</v>
      </c>
      <c r="B1496" s="27" t="s">
        <v>260</v>
      </c>
      <c r="C1496" s="27" t="s">
        <v>302</v>
      </c>
      <c r="D1496" s="27" t="s">
        <v>334</v>
      </c>
      <c r="E1496" s="27" t="s">
        <v>1682</v>
      </c>
      <c r="F1496" s="51">
        <v>13128</v>
      </c>
      <c r="G1496" s="27"/>
    </row>
    <row r="1497" spans="1:7">
      <c r="A1497" s="27">
        <v>68</v>
      </c>
      <c r="B1497" s="27" t="s">
        <v>260</v>
      </c>
      <c r="C1497" s="27" t="s">
        <v>302</v>
      </c>
      <c r="D1497" s="27" t="s">
        <v>291</v>
      </c>
      <c r="E1497" s="27" t="s">
        <v>1681</v>
      </c>
      <c r="F1497" s="51">
        <v>998</v>
      </c>
      <c r="G1497" s="27"/>
    </row>
    <row r="1498" spans="1:7">
      <c r="A1498" s="27">
        <v>68</v>
      </c>
      <c r="B1498" s="27" t="s">
        <v>260</v>
      </c>
      <c r="C1498" s="27" t="s">
        <v>302</v>
      </c>
      <c r="D1498" s="27" t="s">
        <v>399</v>
      </c>
      <c r="E1498" s="27" t="s">
        <v>1681</v>
      </c>
      <c r="F1498" s="51">
        <v>114878</v>
      </c>
      <c r="G1498" s="27"/>
    </row>
    <row r="1499" spans="1:7">
      <c r="A1499" s="27">
        <v>68</v>
      </c>
      <c r="B1499" s="27" t="s">
        <v>260</v>
      </c>
      <c r="C1499" s="27" t="s">
        <v>302</v>
      </c>
      <c r="D1499" s="27" t="s">
        <v>296</v>
      </c>
      <c r="E1499" s="27" t="s">
        <v>1681</v>
      </c>
      <c r="F1499" s="51">
        <v>1355824</v>
      </c>
      <c r="G1499" s="27"/>
    </row>
    <row r="1500" spans="1:7">
      <c r="A1500" s="27">
        <v>68</v>
      </c>
      <c r="B1500" s="27" t="s">
        <v>260</v>
      </c>
      <c r="C1500" s="27" t="s">
        <v>302</v>
      </c>
      <c r="D1500" s="27" t="s">
        <v>400</v>
      </c>
      <c r="E1500" s="27" t="s">
        <v>1681</v>
      </c>
      <c r="F1500" s="51">
        <v>43022</v>
      </c>
      <c r="G1500" s="27"/>
    </row>
    <row r="1501" spans="1:7">
      <c r="A1501" s="27">
        <v>68</v>
      </c>
      <c r="B1501" s="27" t="s">
        <v>260</v>
      </c>
      <c r="C1501" s="27" t="s">
        <v>302</v>
      </c>
      <c r="D1501" s="27" t="s">
        <v>401</v>
      </c>
      <c r="E1501" s="27" t="s">
        <v>1681</v>
      </c>
      <c r="F1501" s="51">
        <v>15000</v>
      </c>
      <c r="G1501" s="27"/>
    </row>
    <row r="1502" spans="1:7">
      <c r="A1502" s="27">
        <v>68</v>
      </c>
      <c r="B1502" s="27" t="s">
        <v>260</v>
      </c>
      <c r="C1502" s="27" t="s">
        <v>302</v>
      </c>
      <c r="D1502" s="27" t="s">
        <v>402</v>
      </c>
      <c r="E1502" s="27" t="s">
        <v>1681</v>
      </c>
      <c r="F1502" s="51">
        <v>18444</v>
      </c>
      <c r="G1502" s="27"/>
    </row>
    <row r="1503" spans="1:7">
      <c r="A1503" s="27">
        <v>69</v>
      </c>
      <c r="B1503" s="27" t="s">
        <v>261</v>
      </c>
      <c r="C1503" s="27" t="s">
        <v>316</v>
      </c>
      <c r="D1503" s="27" t="s">
        <v>405</v>
      </c>
      <c r="E1503" s="27" t="s">
        <v>1682</v>
      </c>
      <c r="F1503" s="51">
        <v>71250</v>
      </c>
      <c r="G1503" s="27"/>
    </row>
    <row r="1504" spans="1:7">
      <c r="A1504" s="27">
        <v>69</v>
      </c>
      <c r="B1504" s="27" t="s">
        <v>261</v>
      </c>
      <c r="C1504" s="27" t="s">
        <v>316</v>
      </c>
      <c r="D1504" s="27" t="s">
        <v>406</v>
      </c>
      <c r="E1504" s="27" t="s">
        <v>1682</v>
      </c>
      <c r="F1504" s="51">
        <v>30489</v>
      </c>
      <c r="G1504" s="27"/>
    </row>
    <row r="1505" spans="1:7">
      <c r="A1505" s="27">
        <v>69</v>
      </c>
      <c r="B1505" s="27" t="s">
        <v>261</v>
      </c>
      <c r="C1505" s="27" t="s">
        <v>316</v>
      </c>
      <c r="D1505" s="27" t="s">
        <v>326</v>
      </c>
      <c r="E1505" s="27" t="s">
        <v>1682</v>
      </c>
      <c r="F1505" s="51">
        <v>52650</v>
      </c>
      <c r="G1505" s="27"/>
    </row>
    <row r="1506" spans="1:7">
      <c r="A1506" s="27">
        <v>69</v>
      </c>
      <c r="B1506" s="27" t="s">
        <v>261</v>
      </c>
      <c r="C1506" s="27" t="s">
        <v>316</v>
      </c>
      <c r="D1506" s="27" t="s">
        <v>407</v>
      </c>
      <c r="E1506" s="27" t="s">
        <v>1682</v>
      </c>
      <c r="F1506" s="51">
        <v>37854</v>
      </c>
      <c r="G1506" s="27"/>
    </row>
    <row r="1507" spans="1:7">
      <c r="A1507" s="27">
        <v>69</v>
      </c>
      <c r="B1507" s="27" t="s">
        <v>261</v>
      </c>
      <c r="C1507" s="27" t="s">
        <v>316</v>
      </c>
      <c r="D1507" s="27" t="s">
        <v>408</v>
      </c>
      <c r="E1507" s="27" t="s">
        <v>1682</v>
      </c>
      <c r="F1507" s="51">
        <v>897029</v>
      </c>
      <c r="G1507" s="27"/>
    </row>
    <row r="1508" spans="1:7">
      <c r="A1508" s="27">
        <v>69</v>
      </c>
      <c r="B1508" s="27" t="s">
        <v>261</v>
      </c>
      <c r="C1508" s="27" t="s">
        <v>316</v>
      </c>
      <c r="D1508" s="27" t="s">
        <v>394</v>
      </c>
      <c r="E1508" s="27" t="s">
        <v>1682</v>
      </c>
      <c r="F1508" s="51">
        <v>333071</v>
      </c>
      <c r="G1508" s="27"/>
    </row>
    <row r="1509" spans="1:7">
      <c r="A1509" s="27">
        <v>69</v>
      </c>
      <c r="B1509" s="27" t="s">
        <v>261</v>
      </c>
      <c r="C1509" s="27" t="s">
        <v>316</v>
      </c>
      <c r="D1509" s="27" t="s">
        <v>396</v>
      </c>
      <c r="E1509" s="27" t="s">
        <v>1682</v>
      </c>
      <c r="F1509" s="51">
        <v>253468</v>
      </c>
      <c r="G1509" s="27"/>
    </row>
    <row r="1510" spans="1:7">
      <c r="A1510" s="27">
        <v>69</v>
      </c>
      <c r="B1510" s="27" t="s">
        <v>261</v>
      </c>
      <c r="C1510" s="27" t="s">
        <v>316</v>
      </c>
      <c r="D1510" s="27" t="s">
        <v>397</v>
      </c>
      <c r="E1510" s="27" t="s">
        <v>1682</v>
      </c>
      <c r="F1510" s="51">
        <v>209048</v>
      </c>
      <c r="G1510" s="27"/>
    </row>
    <row r="1511" spans="1:7">
      <c r="A1511" s="27">
        <v>69</v>
      </c>
      <c r="B1511" s="27" t="s">
        <v>261</v>
      </c>
      <c r="C1511" s="27" t="s">
        <v>316</v>
      </c>
      <c r="D1511" s="27" t="s">
        <v>333</v>
      </c>
      <c r="E1511" s="27" t="s">
        <v>1682</v>
      </c>
      <c r="F1511" s="51">
        <v>12534</v>
      </c>
      <c r="G1511" s="27"/>
    </row>
    <row r="1512" spans="1:7">
      <c r="A1512" s="27">
        <v>69</v>
      </c>
      <c r="B1512" s="27" t="s">
        <v>261</v>
      </c>
      <c r="C1512" s="27" t="s">
        <v>316</v>
      </c>
      <c r="D1512" s="27" t="s">
        <v>411</v>
      </c>
      <c r="E1512" s="27" t="s">
        <v>1682</v>
      </c>
      <c r="F1512" s="51">
        <v>69168</v>
      </c>
      <c r="G1512" s="27"/>
    </row>
    <row r="1513" spans="1:7">
      <c r="A1513" s="27">
        <v>69</v>
      </c>
      <c r="B1513" s="27" t="s">
        <v>261</v>
      </c>
      <c r="C1513" s="27" t="s">
        <v>316</v>
      </c>
      <c r="D1513" s="27" t="s">
        <v>412</v>
      </c>
      <c r="E1513" s="27" t="s">
        <v>1682</v>
      </c>
      <c r="F1513" s="51">
        <v>53000</v>
      </c>
      <c r="G1513" s="27"/>
    </row>
    <row r="1514" spans="1:7">
      <c r="A1514" s="27">
        <v>69</v>
      </c>
      <c r="B1514" s="27" t="s">
        <v>261</v>
      </c>
      <c r="C1514" s="27" t="s">
        <v>316</v>
      </c>
      <c r="D1514" s="27" t="s">
        <v>398</v>
      </c>
      <c r="E1514" s="27" t="s">
        <v>1682</v>
      </c>
      <c r="F1514" s="51">
        <v>9356</v>
      </c>
      <c r="G1514" s="27"/>
    </row>
    <row r="1515" spans="1:7">
      <c r="A1515" s="27">
        <v>69</v>
      </c>
      <c r="B1515" s="27" t="s">
        <v>261</v>
      </c>
      <c r="C1515" s="27" t="s">
        <v>316</v>
      </c>
      <c r="D1515" s="27" t="s">
        <v>415</v>
      </c>
      <c r="E1515" s="27" t="s">
        <v>1682</v>
      </c>
      <c r="F1515" s="51">
        <v>21110</v>
      </c>
      <c r="G1515" s="27"/>
    </row>
    <row r="1516" spans="1:7">
      <c r="A1516" s="27">
        <v>69</v>
      </c>
      <c r="B1516" s="27" t="s">
        <v>261</v>
      </c>
      <c r="C1516" s="27" t="s">
        <v>316</v>
      </c>
      <c r="D1516" s="27" t="s">
        <v>334</v>
      </c>
      <c r="E1516" s="27" t="s">
        <v>1682</v>
      </c>
      <c r="F1516" s="51">
        <v>6351</v>
      </c>
      <c r="G1516" s="27"/>
    </row>
    <row r="1517" spans="1:7">
      <c r="A1517" s="27">
        <v>69</v>
      </c>
      <c r="B1517" s="27" t="s">
        <v>261</v>
      </c>
      <c r="C1517" s="27" t="s">
        <v>316</v>
      </c>
      <c r="D1517" s="27" t="s">
        <v>291</v>
      </c>
      <c r="E1517" s="27" t="s">
        <v>1681</v>
      </c>
      <c r="F1517" s="51">
        <v>16070</v>
      </c>
      <c r="G1517" s="27"/>
    </row>
    <row r="1518" spans="1:7">
      <c r="A1518" s="27">
        <v>69</v>
      </c>
      <c r="B1518" s="27" t="s">
        <v>261</v>
      </c>
      <c r="C1518" s="27" t="s">
        <v>316</v>
      </c>
      <c r="D1518" s="27" t="s">
        <v>399</v>
      </c>
      <c r="E1518" s="27" t="s">
        <v>1681</v>
      </c>
      <c r="F1518" s="51">
        <v>12931005</v>
      </c>
      <c r="G1518" s="27"/>
    </row>
    <row r="1519" spans="1:7">
      <c r="A1519" s="27">
        <v>69</v>
      </c>
      <c r="B1519" s="27" t="s">
        <v>261</v>
      </c>
      <c r="C1519" s="27" t="s">
        <v>316</v>
      </c>
      <c r="D1519" s="27" t="s">
        <v>317</v>
      </c>
      <c r="E1519" s="27" t="s">
        <v>1681</v>
      </c>
      <c r="F1519" s="51">
        <v>86171</v>
      </c>
      <c r="G1519" s="27"/>
    </row>
    <row r="1520" spans="1:7">
      <c r="A1520" s="27">
        <v>69</v>
      </c>
      <c r="B1520" s="27" t="s">
        <v>261</v>
      </c>
      <c r="C1520" s="27" t="s">
        <v>316</v>
      </c>
      <c r="D1520" s="27" t="s">
        <v>294</v>
      </c>
      <c r="E1520" s="27" t="s">
        <v>1681</v>
      </c>
      <c r="F1520" s="51">
        <v>26764</v>
      </c>
      <c r="G1520" s="27"/>
    </row>
    <row r="1521" spans="1:7">
      <c r="A1521" s="27">
        <v>69</v>
      </c>
      <c r="B1521" s="27" t="s">
        <v>261</v>
      </c>
      <c r="C1521" s="27" t="s">
        <v>316</v>
      </c>
      <c r="D1521" s="27" t="s">
        <v>303</v>
      </c>
      <c r="E1521" s="27" t="s">
        <v>1681</v>
      </c>
      <c r="F1521" s="51">
        <v>16200</v>
      </c>
      <c r="G1521" s="27"/>
    </row>
    <row r="1522" spans="1:7">
      <c r="A1522" s="27">
        <v>69</v>
      </c>
      <c r="B1522" s="27" t="s">
        <v>261</v>
      </c>
      <c r="C1522" s="27" t="s">
        <v>316</v>
      </c>
      <c r="D1522" s="27" t="s">
        <v>304</v>
      </c>
      <c r="E1522" s="27" t="s">
        <v>1681</v>
      </c>
      <c r="F1522" s="51">
        <v>14000</v>
      </c>
      <c r="G1522" s="27"/>
    </row>
    <row r="1523" spans="1:7">
      <c r="A1523" s="27">
        <v>69</v>
      </c>
      <c r="B1523" s="27" t="s">
        <v>261</v>
      </c>
      <c r="C1523" s="27" t="s">
        <v>316</v>
      </c>
      <c r="D1523" s="27" t="s">
        <v>296</v>
      </c>
      <c r="E1523" s="27" t="s">
        <v>1681</v>
      </c>
      <c r="F1523" s="51">
        <v>2467964</v>
      </c>
      <c r="G1523" s="27"/>
    </row>
    <row r="1524" spans="1:7">
      <c r="A1524" s="27">
        <v>69</v>
      </c>
      <c r="B1524" s="27" t="s">
        <v>261</v>
      </c>
      <c r="C1524" s="27" t="s">
        <v>316</v>
      </c>
      <c r="D1524" s="27" t="s">
        <v>400</v>
      </c>
      <c r="E1524" s="27" t="s">
        <v>1681</v>
      </c>
      <c r="F1524" s="51">
        <v>314613</v>
      </c>
      <c r="G1524" s="27"/>
    </row>
    <row r="1525" spans="1:7">
      <c r="A1525" s="27">
        <v>69</v>
      </c>
      <c r="B1525" s="27" t="s">
        <v>261</v>
      </c>
      <c r="C1525" s="27" t="s">
        <v>316</v>
      </c>
      <c r="D1525" s="27" t="s">
        <v>298</v>
      </c>
      <c r="E1525" s="27" t="s">
        <v>1681</v>
      </c>
      <c r="F1525" s="51">
        <v>372802</v>
      </c>
      <c r="G1525" s="27"/>
    </row>
    <row r="1526" spans="1:7">
      <c r="A1526" s="27">
        <v>69</v>
      </c>
      <c r="B1526" s="27" t="s">
        <v>261</v>
      </c>
      <c r="C1526" s="27" t="s">
        <v>316</v>
      </c>
      <c r="D1526" s="27" t="s">
        <v>401</v>
      </c>
      <c r="E1526" s="27" t="s">
        <v>1681</v>
      </c>
      <c r="F1526" s="51">
        <v>31517</v>
      </c>
      <c r="G1526" s="27"/>
    </row>
    <row r="1527" spans="1:7">
      <c r="A1527" s="27">
        <v>69</v>
      </c>
      <c r="B1527" s="27" t="s">
        <v>261</v>
      </c>
      <c r="C1527" s="27" t="s">
        <v>316</v>
      </c>
      <c r="D1527" s="27" t="s">
        <v>1347</v>
      </c>
      <c r="E1527" s="27" t="s">
        <v>1681</v>
      </c>
      <c r="F1527" s="51">
        <v>11832</v>
      </c>
      <c r="G1527" s="27"/>
    </row>
    <row r="1528" spans="1:7">
      <c r="A1528" s="27">
        <v>69</v>
      </c>
      <c r="B1528" s="27" t="s">
        <v>261</v>
      </c>
      <c r="C1528" s="27" t="s">
        <v>316</v>
      </c>
      <c r="D1528" s="27" t="s">
        <v>402</v>
      </c>
      <c r="E1528" s="27" t="s">
        <v>1681</v>
      </c>
      <c r="F1528" s="51">
        <v>359264</v>
      </c>
      <c r="G1528" s="27"/>
    </row>
    <row r="1529" spans="1:7">
      <c r="A1529" s="27">
        <v>69</v>
      </c>
      <c r="B1529" s="27" t="s">
        <v>261</v>
      </c>
      <c r="C1529" s="27" t="s">
        <v>316</v>
      </c>
      <c r="D1529" s="27" t="s">
        <v>299</v>
      </c>
      <c r="E1529" s="27" t="s">
        <v>1681</v>
      </c>
      <c r="F1529" s="51">
        <v>20837</v>
      </c>
      <c r="G1529" s="27"/>
    </row>
    <row r="1530" spans="1:7">
      <c r="A1530" s="27">
        <v>69</v>
      </c>
      <c r="B1530" s="27" t="s">
        <v>261</v>
      </c>
      <c r="C1530" s="27" t="s">
        <v>316</v>
      </c>
      <c r="D1530" s="27" t="s">
        <v>320</v>
      </c>
      <c r="E1530" s="27" t="s">
        <v>1681</v>
      </c>
      <c r="F1530" s="51">
        <v>73592</v>
      </c>
      <c r="G1530" s="27"/>
    </row>
    <row r="1531" spans="1:7">
      <c r="A1531" s="27">
        <v>70</v>
      </c>
      <c r="B1531" s="27" t="s">
        <v>262</v>
      </c>
      <c r="C1531" s="27" t="s">
        <v>393</v>
      </c>
      <c r="D1531" s="27" t="s">
        <v>399</v>
      </c>
      <c r="E1531" s="27" t="s">
        <v>1681</v>
      </c>
      <c r="F1531" s="51">
        <v>1978765</v>
      </c>
      <c r="G1531" s="27"/>
    </row>
    <row r="1532" spans="1:7">
      <c r="A1532" s="27">
        <v>70</v>
      </c>
      <c r="B1532" s="27" t="s">
        <v>262</v>
      </c>
      <c r="C1532" s="27" t="s">
        <v>393</v>
      </c>
      <c r="D1532" s="27" t="s">
        <v>300</v>
      </c>
      <c r="E1532" s="27" t="s">
        <v>1681</v>
      </c>
      <c r="F1532" s="51">
        <v>14000</v>
      </c>
      <c r="G1532" s="27"/>
    </row>
    <row r="1533" spans="1:7">
      <c r="A1533" s="27">
        <v>71</v>
      </c>
      <c r="B1533" s="27" t="s">
        <v>263</v>
      </c>
      <c r="C1533" s="27" t="s">
        <v>302</v>
      </c>
      <c r="D1533" s="27" t="s">
        <v>406</v>
      </c>
      <c r="E1533" s="27" t="s">
        <v>1682</v>
      </c>
      <c r="F1533" s="51">
        <v>53428</v>
      </c>
      <c r="G1533" s="27"/>
    </row>
    <row r="1534" spans="1:7">
      <c r="A1534" s="27">
        <v>71</v>
      </c>
      <c r="B1534" s="27" t="s">
        <v>263</v>
      </c>
      <c r="C1534" s="27" t="s">
        <v>302</v>
      </c>
      <c r="D1534" s="27" t="s">
        <v>408</v>
      </c>
      <c r="E1534" s="27" t="s">
        <v>1682</v>
      </c>
      <c r="F1534" s="51">
        <v>52838</v>
      </c>
      <c r="G1534" s="27"/>
    </row>
    <row r="1535" spans="1:7">
      <c r="A1535" s="27">
        <v>71</v>
      </c>
      <c r="B1535" s="27" t="s">
        <v>263</v>
      </c>
      <c r="C1535" s="27" t="s">
        <v>302</v>
      </c>
      <c r="D1535" s="27" t="s">
        <v>394</v>
      </c>
      <c r="E1535" s="27" t="s">
        <v>1682</v>
      </c>
      <c r="F1535" s="51">
        <v>177558</v>
      </c>
      <c r="G1535" s="27"/>
    </row>
    <row r="1536" spans="1:7">
      <c r="A1536" s="27">
        <v>71</v>
      </c>
      <c r="B1536" s="27" t="s">
        <v>263</v>
      </c>
      <c r="C1536" s="27" t="s">
        <v>302</v>
      </c>
      <c r="D1536" s="27" t="s">
        <v>396</v>
      </c>
      <c r="E1536" s="27" t="s">
        <v>1682</v>
      </c>
      <c r="F1536" s="51">
        <v>168750</v>
      </c>
      <c r="G1536" s="27"/>
    </row>
    <row r="1537" spans="1:7">
      <c r="A1537" s="27">
        <v>71</v>
      </c>
      <c r="B1537" s="27" t="s">
        <v>263</v>
      </c>
      <c r="C1537" s="27" t="s">
        <v>302</v>
      </c>
      <c r="D1537" s="27" t="s">
        <v>397</v>
      </c>
      <c r="E1537" s="27" t="s">
        <v>1682</v>
      </c>
      <c r="F1537" s="51">
        <v>87519</v>
      </c>
      <c r="G1537" s="27"/>
    </row>
    <row r="1538" spans="1:7">
      <c r="A1538" s="27">
        <v>71</v>
      </c>
      <c r="B1538" s="27" t="s">
        <v>263</v>
      </c>
      <c r="C1538" s="27" t="s">
        <v>302</v>
      </c>
      <c r="D1538" s="27" t="s">
        <v>411</v>
      </c>
      <c r="E1538" s="27" t="s">
        <v>1682</v>
      </c>
      <c r="F1538" s="51">
        <v>122535</v>
      </c>
      <c r="G1538" s="27"/>
    </row>
    <row r="1539" spans="1:7">
      <c r="A1539" s="27">
        <v>71</v>
      </c>
      <c r="B1539" s="27" t="s">
        <v>263</v>
      </c>
      <c r="C1539" s="27" t="s">
        <v>302</v>
      </c>
      <c r="D1539" s="27" t="s">
        <v>412</v>
      </c>
      <c r="E1539" s="27" t="s">
        <v>1682</v>
      </c>
      <c r="F1539" s="51">
        <v>34602</v>
      </c>
      <c r="G1539" s="27"/>
    </row>
    <row r="1540" spans="1:7">
      <c r="A1540" s="27">
        <v>71</v>
      </c>
      <c r="B1540" s="27" t="s">
        <v>263</v>
      </c>
      <c r="C1540" s="27" t="s">
        <v>302</v>
      </c>
      <c r="D1540" s="27" t="s">
        <v>398</v>
      </c>
      <c r="E1540" s="27" t="s">
        <v>1682</v>
      </c>
      <c r="F1540" s="51">
        <v>4943</v>
      </c>
      <c r="G1540" s="27"/>
    </row>
    <row r="1541" spans="1:7">
      <c r="A1541" s="27">
        <v>71</v>
      </c>
      <c r="B1541" s="27" t="s">
        <v>263</v>
      </c>
      <c r="C1541" s="27" t="s">
        <v>302</v>
      </c>
      <c r="D1541" s="27" t="s">
        <v>415</v>
      </c>
      <c r="E1541" s="27" t="s">
        <v>1682</v>
      </c>
      <c r="F1541" s="51">
        <v>7259</v>
      </c>
      <c r="G1541" s="27"/>
    </row>
    <row r="1542" spans="1:7">
      <c r="A1542" s="27">
        <v>71</v>
      </c>
      <c r="B1542" s="27" t="s">
        <v>263</v>
      </c>
      <c r="C1542" s="27" t="s">
        <v>302</v>
      </c>
      <c r="D1542" s="27" t="s">
        <v>291</v>
      </c>
      <c r="E1542" s="27" t="s">
        <v>1681</v>
      </c>
      <c r="F1542" s="51">
        <v>4573</v>
      </c>
      <c r="G1542" s="27"/>
    </row>
    <row r="1543" spans="1:7">
      <c r="A1543" s="27">
        <v>71</v>
      </c>
      <c r="B1543" s="27" t="s">
        <v>263</v>
      </c>
      <c r="C1543" s="27" t="s">
        <v>302</v>
      </c>
      <c r="D1543" s="27" t="s">
        <v>399</v>
      </c>
      <c r="E1543" s="27" t="s">
        <v>1681</v>
      </c>
      <c r="F1543" s="51">
        <v>4493226</v>
      </c>
      <c r="G1543" s="27"/>
    </row>
    <row r="1544" spans="1:7">
      <c r="A1544" s="27">
        <v>71</v>
      </c>
      <c r="B1544" s="27" t="s">
        <v>263</v>
      </c>
      <c r="C1544" s="27" t="s">
        <v>302</v>
      </c>
      <c r="D1544" s="27" t="s">
        <v>296</v>
      </c>
      <c r="E1544" s="27" t="s">
        <v>1681</v>
      </c>
      <c r="F1544" s="51">
        <v>868671</v>
      </c>
      <c r="G1544" s="27"/>
    </row>
    <row r="1545" spans="1:7">
      <c r="A1545" s="27">
        <v>71</v>
      </c>
      <c r="B1545" s="27" t="s">
        <v>263</v>
      </c>
      <c r="C1545" s="27" t="s">
        <v>302</v>
      </c>
      <c r="D1545" s="27" t="s">
        <v>400</v>
      </c>
      <c r="E1545" s="27" t="s">
        <v>1681</v>
      </c>
      <c r="F1545" s="51">
        <v>41594</v>
      </c>
      <c r="G1545" s="27"/>
    </row>
    <row r="1546" spans="1:7">
      <c r="A1546" s="27">
        <v>71</v>
      </c>
      <c r="B1546" s="27" t="s">
        <v>263</v>
      </c>
      <c r="C1546" s="27" t="s">
        <v>302</v>
      </c>
      <c r="D1546" s="27" t="s">
        <v>298</v>
      </c>
      <c r="E1546" s="27" t="s">
        <v>1681</v>
      </c>
      <c r="F1546" s="51">
        <v>18864</v>
      </c>
      <c r="G1546" s="27"/>
    </row>
    <row r="1547" spans="1:7">
      <c r="A1547" s="27">
        <v>71</v>
      </c>
      <c r="B1547" s="27" t="s">
        <v>263</v>
      </c>
      <c r="C1547" s="27" t="s">
        <v>302</v>
      </c>
      <c r="D1547" s="27" t="s">
        <v>401</v>
      </c>
      <c r="E1547" s="27" t="s">
        <v>1681</v>
      </c>
      <c r="F1547" s="51">
        <v>30700</v>
      </c>
      <c r="G1547" s="27"/>
    </row>
    <row r="1548" spans="1:7">
      <c r="A1548" s="27">
        <v>71</v>
      </c>
      <c r="B1548" s="27" t="s">
        <v>263</v>
      </c>
      <c r="C1548" s="27" t="s">
        <v>302</v>
      </c>
      <c r="D1548" s="27" t="s">
        <v>402</v>
      </c>
      <c r="E1548" s="27" t="s">
        <v>1681</v>
      </c>
      <c r="F1548" s="51">
        <v>190153</v>
      </c>
      <c r="G1548" s="27"/>
    </row>
    <row r="1549" spans="1:7">
      <c r="A1549" s="27">
        <v>71</v>
      </c>
      <c r="B1549" s="27" t="s">
        <v>263</v>
      </c>
      <c r="C1549" s="27" t="s">
        <v>302</v>
      </c>
      <c r="D1549" s="27" t="s">
        <v>320</v>
      </c>
      <c r="E1549" s="27" t="s">
        <v>1681</v>
      </c>
      <c r="F1549" s="51">
        <v>69912</v>
      </c>
      <c r="G1549" s="27"/>
    </row>
    <row r="1550" spans="1:7">
      <c r="A1550" s="27">
        <v>72</v>
      </c>
      <c r="B1550" s="27" t="s">
        <v>264</v>
      </c>
      <c r="C1550" s="27" t="s">
        <v>311</v>
      </c>
      <c r="D1550" s="27" t="s">
        <v>408</v>
      </c>
      <c r="E1550" s="27" t="s">
        <v>1682</v>
      </c>
      <c r="F1550" s="51">
        <v>23754</v>
      </c>
      <c r="G1550" s="27"/>
    </row>
    <row r="1551" spans="1:7">
      <c r="A1551" s="27">
        <v>72</v>
      </c>
      <c r="B1551" s="27" t="s">
        <v>264</v>
      </c>
      <c r="C1551" s="27" t="s">
        <v>311</v>
      </c>
      <c r="D1551" s="27" t="s">
        <v>394</v>
      </c>
      <c r="E1551" s="27" t="s">
        <v>1682</v>
      </c>
      <c r="F1551" s="51">
        <v>225000</v>
      </c>
      <c r="G1551" s="27"/>
    </row>
    <row r="1552" spans="1:7">
      <c r="A1552" s="27">
        <v>72</v>
      </c>
      <c r="B1552" s="27" t="s">
        <v>264</v>
      </c>
      <c r="C1552" s="27" t="s">
        <v>311</v>
      </c>
      <c r="D1552" s="27" t="s">
        <v>396</v>
      </c>
      <c r="E1552" s="27" t="s">
        <v>1682</v>
      </c>
      <c r="F1552" s="51">
        <v>73042</v>
      </c>
      <c r="G1552" s="27"/>
    </row>
    <row r="1553" spans="1:7">
      <c r="A1553" s="27">
        <v>72</v>
      </c>
      <c r="B1553" s="27" t="s">
        <v>264</v>
      </c>
      <c r="C1553" s="27" t="s">
        <v>311</v>
      </c>
      <c r="D1553" s="27" t="s">
        <v>412</v>
      </c>
      <c r="E1553" s="27" t="s">
        <v>1682</v>
      </c>
      <c r="F1553" s="51">
        <v>30000</v>
      </c>
      <c r="G1553" s="27"/>
    </row>
    <row r="1554" spans="1:7">
      <c r="A1554" s="27">
        <v>72</v>
      </c>
      <c r="B1554" s="27" t="s">
        <v>264</v>
      </c>
      <c r="C1554" s="27" t="s">
        <v>311</v>
      </c>
      <c r="D1554" s="27" t="s">
        <v>398</v>
      </c>
      <c r="E1554" s="27" t="s">
        <v>1682</v>
      </c>
      <c r="F1554" s="51">
        <v>6507</v>
      </c>
      <c r="G1554" s="27"/>
    </row>
    <row r="1555" spans="1:7">
      <c r="A1555" s="27">
        <v>72</v>
      </c>
      <c r="B1555" s="27" t="s">
        <v>264</v>
      </c>
      <c r="C1555" s="27" t="s">
        <v>311</v>
      </c>
      <c r="D1555" s="27" t="s">
        <v>415</v>
      </c>
      <c r="E1555" s="27" t="s">
        <v>1682</v>
      </c>
      <c r="F1555" s="51">
        <v>10000</v>
      </c>
      <c r="G1555" s="27"/>
    </row>
    <row r="1556" spans="1:7">
      <c r="A1556" s="27">
        <v>72</v>
      </c>
      <c r="B1556" s="27" t="s">
        <v>264</v>
      </c>
      <c r="C1556" s="27" t="s">
        <v>311</v>
      </c>
      <c r="D1556" s="27" t="s">
        <v>399</v>
      </c>
      <c r="E1556" s="27" t="s">
        <v>1681</v>
      </c>
      <c r="F1556" s="51">
        <v>10201725</v>
      </c>
      <c r="G1556" s="27"/>
    </row>
    <row r="1557" spans="1:7">
      <c r="A1557" s="27">
        <v>72</v>
      </c>
      <c r="B1557" s="27" t="s">
        <v>264</v>
      </c>
      <c r="C1557" s="27" t="s">
        <v>311</v>
      </c>
      <c r="D1557" s="27" t="s">
        <v>307</v>
      </c>
      <c r="E1557" s="27" t="s">
        <v>1681</v>
      </c>
      <c r="F1557" s="51">
        <v>32400</v>
      </c>
      <c r="G1557" s="27"/>
    </row>
    <row r="1558" spans="1:7">
      <c r="A1558" s="27">
        <v>72</v>
      </c>
      <c r="B1558" s="27" t="s">
        <v>264</v>
      </c>
      <c r="C1558" s="27" t="s">
        <v>311</v>
      </c>
      <c r="D1558" s="27" t="s">
        <v>295</v>
      </c>
      <c r="E1558" s="27" t="s">
        <v>1681</v>
      </c>
      <c r="F1558" s="51">
        <v>4000</v>
      </c>
      <c r="G1558" s="27"/>
    </row>
    <row r="1559" spans="1:7">
      <c r="A1559" s="27">
        <v>72</v>
      </c>
      <c r="B1559" s="27" t="s">
        <v>264</v>
      </c>
      <c r="C1559" s="27" t="s">
        <v>311</v>
      </c>
      <c r="D1559" s="27" t="s">
        <v>296</v>
      </c>
      <c r="E1559" s="27" t="s">
        <v>1681</v>
      </c>
      <c r="F1559" s="51">
        <v>5403036</v>
      </c>
      <c r="G1559" s="27"/>
    </row>
    <row r="1560" spans="1:7">
      <c r="A1560" s="27">
        <v>72</v>
      </c>
      <c r="B1560" s="27" t="s">
        <v>264</v>
      </c>
      <c r="C1560" s="27" t="s">
        <v>311</v>
      </c>
      <c r="D1560" s="27" t="s">
        <v>400</v>
      </c>
      <c r="E1560" s="27" t="s">
        <v>1681</v>
      </c>
      <c r="F1560" s="51">
        <v>238729</v>
      </c>
      <c r="G1560" s="27"/>
    </row>
    <row r="1561" spans="1:7">
      <c r="A1561" s="27">
        <v>72</v>
      </c>
      <c r="B1561" s="27" t="s">
        <v>264</v>
      </c>
      <c r="C1561" s="27" t="s">
        <v>311</v>
      </c>
      <c r="D1561" s="27" t="s">
        <v>298</v>
      </c>
      <c r="E1561" s="27" t="s">
        <v>1681</v>
      </c>
      <c r="F1561" s="51">
        <v>213354</v>
      </c>
      <c r="G1561" s="27"/>
    </row>
    <row r="1562" spans="1:7">
      <c r="A1562" s="27">
        <v>72</v>
      </c>
      <c r="B1562" s="27" t="s">
        <v>264</v>
      </c>
      <c r="C1562" s="27" t="s">
        <v>311</v>
      </c>
      <c r="D1562" s="27" t="s">
        <v>401</v>
      </c>
      <c r="E1562" s="27" t="s">
        <v>1681</v>
      </c>
      <c r="F1562" s="51">
        <v>31331</v>
      </c>
      <c r="G1562" s="27"/>
    </row>
    <row r="1563" spans="1:7">
      <c r="A1563" s="27">
        <v>72</v>
      </c>
      <c r="B1563" s="27" t="s">
        <v>264</v>
      </c>
      <c r="C1563" s="27" t="s">
        <v>311</v>
      </c>
      <c r="D1563" s="27" t="s">
        <v>402</v>
      </c>
      <c r="E1563" s="27" t="s">
        <v>1681</v>
      </c>
      <c r="F1563" s="51">
        <v>326942</v>
      </c>
      <c r="G1563" s="27"/>
    </row>
    <row r="1564" spans="1:7">
      <c r="A1564" s="27">
        <v>72</v>
      </c>
      <c r="B1564" s="27" t="s">
        <v>264</v>
      </c>
      <c r="C1564" s="27" t="s">
        <v>311</v>
      </c>
      <c r="D1564" s="27" t="s">
        <v>320</v>
      </c>
      <c r="E1564" s="27" t="s">
        <v>1681</v>
      </c>
      <c r="F1564" s="51">
        <v>227841</v>
      </c>
      <c r="G1564" s="27"/>
    </row>
    <row r="1565" spans="1:7">
      <c r="A1565" s="27">
        <v>72</v>
      </c>
      <c r="B1565" s="27" t="s">
        <v>264</v>
      </c>
      <c r="C1565" s="27" t="s">
        <v>311</v>
      </c>
      <c r="D1565" s="27" t="s">
        <v>300</v>
      </c>
      <c r="E1565" s="27" t="s">
        <v>1681</v>
      </c>
      <c r="F1565" s="51">
        <v>18061</v>
      </c>
      <c r="G1565" s="27"/>
    </row>
    <row r="1566" spans="1:7">
      <c r="A1566" s="27">
        <v>73</v>
      </c>
      <c r="B1566" s="27" t="s">
        <v>265</v>
      </c>
      <c r="C1566" s="27" t="s">
        <v>302</v>
      </c>
      <c r="D1566" s="27" t="s">
        <v>408</v>
      </c>
      <c r="E1566" s="27" t="s">
        <v>1682</v>
      </c>
      <c r="F1566" s="51">
        <v>32951</v>
      </c>
      <c r="G1566" s="27"/>
    </row>
    <row r="1567" spans="1:7">
      <c r="A1567" s="27">
        <v>73</v>
      </c>
      <c r="B1567" s="27" t="s">
        <v>265</v>
      </c>
      <c r="C1567" s="27" t="s">
        <v>302</v>
      </c>
      <c r="D1567" s="27" t="s">
        <v>394</v>
      </c>
      <c r="E1567" s="27" t="s">
        <v>1682</v>
      </c>
      <c r="F1567" s="51">
        <v>86531</v>
      </c>
      <c r="G1567" s="27"/>
    </row>
    <row r="1568" spans="1:7">
      <c r="A1568" s="27">
        <v>73</v>
      </c>
      <c r="B1568" s="27" t="s">
        <v>265</v>
      </c>
      <c r="C1568" s="27" t="s">
        <v>302</v>
      </c>
      <c r="D1568" s="27" t="s">
        <v>396</v>
      </c>
      <c r="E1568" s="27" t="s">
        <v>1682</v>
      </c>
      <c r="F1568" s="51">
        <v>59825</v>
      </c>
      <c r="G1568" s="27"/>
    </row>
    <row r="1569" spans="1:7">
      <c r="A1569" s="27">
        <v>73</v>
      </c>
      <c r="B1569" s="27" t="s">
        <v>265</v>
      </c>
      <c r="C1569" s="27" t="s">
        <v>302</v>
      </c>
      <c r="D1569" s="27" t="s">
        <v>397</v>
      </c>
      <c r="E1569" s="27" t="s">
        <v>1682</v>
      </c>
      <c r="F1569" s="51">
        <v>31876</v>
      </c>
      <c r="G1569" s="27"/>
    </row>
    <row r="1570" spans="1:7">
      <c r="A1570" s="27">
        <v>73</v>
      </c>
      <c r="B1570" s="27" t="s">
        <v>265</v>
      </c>
      <c r="C1570" s="27" t="s">
        <v>302</v>
      </c>
      <c r="D1570" s="27" t="s">
        <v>411</v>
      </c>
      <c r="E1570" s="27" t="s">
        <v>1682</v>
      </c>
      <c r="F1570" s="51">
        <v>923</v>
      </c>
      <c r="G1570" s="27"/>
    </row>
    <row r="1571" spans="1:7">
      <c r="A1571" s="27">
        <v>73</v>
      </c>
      <c r="B1571" s="27" t="s">
        <v>265</v>
      </c>
      <c r="C1571" s="27" t="s">
        <v>302</v>
      </c>
      <c r="D1571" s="27" t="s">
        <v>412</v>
      </c>
      <c r="E1571" s="27" t="s">
        <v>1682</v>
      </c>
      <c r="F1571" s="51">
        <v>11624</v>
      </c>
      <c r="G1571" s="27"/>
    </row>
    <row r="1572" spans="1:7">
      <c r="A1572" s="27">
        <v>73</v>
      </c>
      <c r="B1572" s="27" t="s">
        <v>265</v>
      </c>
      <c r="C1572" s="27" t="s">
        <v>302</v>
      </c>
      <c r="D1572" s="27" t="s">
        <v>398</v>
      </c>
      <c r="E1572" s="27" t="s">
        <v>1682</v>
      </c>
      <c r="F1572" s="51">
        <v>2082</v>
      </c>
      <c r="G1572" s="27"/>
    </row>
    <row r="1573" spans="1:7">
      <c r="A1573" s="27">
        <v>73</v>
      </c>
      <c r="B1573" s="27" t="s">
        <v>265</v>
      </c>
      <c r="C1573" s="27" t="s">
        <v>302</v>
      </c>
      <c r="D1573" s="27" t="s">
        <v>415</v>
      </c>
      <c r="E1573" s="27" t="s">
        <v>1682</v>
      </c>
      <c r="F1573" s="51">
        <v>3347</v>
      </c>
      <c r="G1573" s="27"/>
    </row>
    <row r="1574" spans="1:7">
      <c r="A1574" s="27">
        <v>73</v>
      </c>
      <c r="B1574" s="27" t="s">
        <v>265</v>
      </c>
      <c r="C1574" s="27" t="s">
        <v>302</v>
      </c>
      <c r="D1574" s="27" t="s">
        <v>291</v>
      </c>
      <c r="E1574" s="27" t="s">
        <v>1681</v>
      </c>
      <c r="F1574" s="51">
        <v>3226</v>
      </c>
      <c r="G1574" s="27"/>
    </row>
    <row r="1575" spans="1:7">
      <c r="A1575" s="27">
        <v>73</v>
      </c>
      <c r="B1575" s="27" t="s">
        <v>265</v>
      </c>
      <c r="C1575" s="27" t="s">
        <v>302</v>
      </c>
      <c r="D1575" s="27" t="s">
        <v>399</v>
      </c>
      <c r="E1575" s="27" t="s">
        <v>1681</v>
      </c>
      <c r="F1575" s="51">
        <v>3352797</v>
      </c>
      <c r="G1575" s="27"/>
    </row>
    <row r="1576" spans="1:7">
      <c r="A1576" s="27">
        <v>73</v>
      </c>
      <c r="B1576" s="27" t="s">
        <v>265</v>
      </c>
      <c r="C1576" s="27" t="s">
        <v>302</v>
      </c>
      <c r="D1576" s="27" t="s">
        <v>296</v>
      </c>
      <c r="E1576" s="27" t="s">
        <v>1681</v>
      </c>
      <c r="F1576" s="51">
        <v>3192683</v>
      </c>
      <c r="G1576" s="27"/>
    </row>
    <row r="1577" spans="1:7">
      <c r="A1577" s="27">
        <v>73</v>
      </c>
      <c r="B1577" s="27" t="s">
        <v>265</v>
      </c>
      <c r="C1577" s="27" t="s">
        <v>302</v>
      </c>
      <c r="D1577" s="27" t="s">
        <v>400</v>
      </c>
      <c r="E1577" s="27" t="s">
        <v>1681</v>
      </c>
      <c r="F1577" s="51">
        <v>3448</v>
      </c>
      <c r="G1577" s="27"/>
    </row>
    <row r="1578" spans="1:7">
      <c r="A1578" s="27">
        <v>73</v>
      </c>
      <c r="B1578" s="27" t="s">
        <v>265</v>
      </c>
      <c r="C1578" s="27" t="s">
        <v>302</v>
      </c>
      <c r="D1578" s="27" t="s">
        <v>401</v>
      </c>
      <c r="E1578" s="27" t="s">
        <v>1681</v>
      </c>
      <c r="F1578" s="51">
        <v>24847</v>
      </c>
      <c r="G1578" s="27"/>
    </row>
    <row r="1579" spans="1:7">
      <c r="A1579" s="27">
        <v>73</v>
      </c>
      <c r="B1579" s="27" t="s">
        <v>265</v>
      </c>
      <c r="C1579" s="27" t="s">
        <v>302</v>
      </c>
      <c r="D1579" s="27" t="s">
        <v>402</v>
      </c>
      <c r="E1579" s="27" t="s">
        <v>1681</v>
      </c>
      <c r="F1579" s="51">
        <v>146081</v>
      </c>
      <c r="G1579" s="27"/>
    </row>
    <row r="1580" spans="1:7">
      <c r="A1580" s="27">
        <v>74</v>
      </c>
      <c r="B1580" s="27" t="s">
        <v>266</v>
      </c>
      <c r="C1580" s="27" t="s">
        <v>302</v>
      </c>
      <c r="D1580" s="27" t="s">
        <v>394</v>
      </c>
      <c r="E1580" s="27" t="s">
        <v>1682</v>
      </c>
      <c r="F1580" s="51">
        <v>168325</v>
      </c>
      <c r="G1580" s="27"/>
    </row>
    <row r="1581" spans="1:7">
      <c r="A1581" s="27">
        <v>74</v>
      </c>
      <c r="B1581" s="27" t="s">
        <v>266</v>
      </c>
      <c r="C1581" s="27" t="s">
        <v>302</v>
      </c>
      <c r="D1581" s="27" t="s">
        <v>397</v>
      </c>
      <c r="E1581" s="27" t="s">
        <v>1682</v>
      </c>
      <c r="F1581" s="51">
        <v>74324</v>
      </c>
      <c r="G1581" s="27"/>
    </row>
    <row r="1582" spans="1:7">
      <c r="A1582" s="27">
        <v>74</v>
      </c>
      <c r="B1582" s="27" t="s">
        <v>266</v>
      </c>
      <c r="C1582" s="27" t="s">
        <v>302</v>
      </c>
      <c r="D1582" s="27" t="s">
        <v>411</v>
      </c>
      <c r="E1582" s="27" t="s">
        <v>1682</v>
      </c>
      <c r="F1582" s="51">
        <v>1805</v>
      </c>
      <c r="G1582" s="27"/>
    </row>
    <row r="1583" spans="1:7">
      <c r="A1583" s="27">
        <v>74</v>
      </c>
      <c r="B1583" s="27" t="s">
        <v>266</v>
      </c>
      <c r="C1583" s="27" t="s">
        <v>302</v>
      </c>
      <c r="D1583" s="27" t="s">
        <v>412</v>
      </c>
      <c r="E1583" s="27" t="s">
        <v>1682</v>
      </c>
      <c r="F1583" s="51">
        <v>4945</v>
      </c>
      <c r="G1583" s="27"/>
    </row>
    <row r="1584" spans="1:7">
      <c r="A1584" s="27">
        <v>74</v>
      </c>
      <c r="B1584" s="27" t="s">
        <v>266</v>
      </c>
      <c r="C1584" s="27" t="s">
        <v>302</v>
      </c>
      <c r="D1584" s="27" t="s">
        <v>398</v>
      </c>
      <c r="E1584" s="27" t="s">
        <v>1682</v>
      </c>
      <c r="F1584" s="51">
        <v>5120</v>
      </c>
      <c r="G1584" s="27"/>
    </row>
    <row r="1585" spans="1:7">
      <c r="A1585" s="27">
        <v>74</v>
      </c>
      <c r="B1585" s="27" t="s">
        <v>266</v>
      </c>
      <c r="C1585" s="27" t="s">
        <v>302</v>
      </c>
      <c r="D1585" s="27" t="s">
        <v>415</v>
      </c>
      <c r="E1585" s="27" t="s">
        <v>1682</v>
      </c>
      <c r="F1585" s="51">
        <v>6303</v>
      </c>
      <c r="G1585" s="27"/>
    </row>
    <row r="1586" spans="1:7">
      <c r="A1586" s="27">
        <v>74</v>
      </c>
      <c r="B1586" s="27" t="s">
        <v>266</v>
      </c>
      <c r="C1586" s="27" t="s">
        <v>302</v>
      </c>
      <c r="D1586" s="27" t="s">
        <v>399</v>
      </c>
      <c r="E1586" s="27" t="s">
        <v>1681</v>
      </c>
      <c r="F1586" s="51">
        <v>1087070</v>
      </c>
      <c r="G1586" s="27"/>
    </row>
    <row r="1587" spans="1:7">
      <c r="A1587" s="27">
        <v>74</v>
      </c>
      <c r="B1587" s="27" t="s">
        <v>266</v>
      </c>
      <c r="C1587" s="27" t="s">
        <v>302</v>
      </c>
      <c r="D1587" s="27" t="s">
        <v>307</v>
      </c>
      <c r="E1587" s="27" t="s">
        <v>1681</v>
      </c>
      <c r="F1587" s="51">
        <v>1200</v>
      </c>
      <c r="G1587" s="27"/>
    </row>
    <row r="1588" spans="1:7">
      <c r="A1588" s="27">
        <v>74</v>
      </c>
      <c r="B1588" s="27" t="s">
        <v>266</v>
      </c>
      <c r="C1588" s="27" t="s">
        <v>302</v>
      </c>
      <c r="D1588" s="27" t="s">
        <v>296</v>
      </c>
      <c r="E1588" s="27" t="s">
        <v>1681</v>
      </c>
      <c r="F1588" s="51">
        <v>146983</v>
      </c>
      <c r="G1588" s="27"/>
    </row>
    <row r="1589" spans="1:7">
      <c r="A1589" s="27">
        <v>74</v>
      </c>
      <c r="B1589" s="27" t="s">
        <v>266</v>
      </c>
      <c r="C1589" s="27" t="s">
        <v>302</v>
      </c>
      <c r="D1589" s="27" t="s">
        <v>400</v>
      </c>
      <c r="E1589" s="27" t="s">
        <v>1681</v>
      </c>
      <c r="F1589" s="51">
        <v>44206</v>
      </c>
      <c r="G1589" s="27"/>
    </row>
    <row r="1590" spans="1:7">
      <c r="A1590" s="27">
        <v>74</v>
      </c>
      <c r="B1590" s="27" t="s">
        <v>266</v>
      </c>
      <c r="C1590" s="27" t="s">
        <v>302</v>
      </c>
      <c r="D1590" s="27" t="s">
        <v>298</v>
      </c>
      <c r="E1590" s="27" t="s">
        <v>1681</v>
      </c>
      <c r="F1590" s="51">
        <v>6655</v>
      </c>
      <c r="G1590" s="27"/>
    </row>
    <row r="1591" spans="1:7">
      <c r="A1591" s="27">
        <v>74</v>
      </c>
      <c r="B1591" s="27" t="s">
        <v>266</v>
      </c>
      <c r="C1591" s="27" t="s">
        <v>302</v>
      </c>
      <c r="D1591" s="27" t="s">
        <v>401</v>
      </c>
      <c r="E1591" s="27" t="s">
        <v>1681</v>
      </c>
      <c r="F1591" s="51">
        <v>14989</v>
      </c>
      <c r="G1591" s="27"/>
    </row>
    <row r="1592" spans="1:7">
      <c r="A1592" s="27">
        <v>74</v>
      </c>
      <c r="B1592" s="27" t="s">
        <v>266</v>
      </c>
      <c r="C1592" s="27" t="s">
        <v>302</v>
      </c>
      <c r="D1592" s="27" t="s">
        <v>402</v>
      </c>
      <c r="E1592" s="27" t="s">
        <v>1681</v>
      </c>
      <c r="F1592" s="51">
        <v>59460</v>
      </c>
      <c r="G1592" s="27"/>
    </row>
    <row r="1593" spans="1:7">
      <c r="A1593" s="27">
        <v>74</v>
      </c>
      <c r="B1593" s="27" t="s">
        <v>266</v>
      </c>
      <c r="C1593" s="27" t="s">
        <v>302</v>
      </c>
      <c r="D1593" s="27" t="s">
        <v>299</v>
      </c>
      <c r="E1593" s="27" t="s">
        <v>1681</v>
      </c>
      <c r="F1593" s="51">
        <v>153</v>
      </c>
      <c r="G1593" s="27"/>
    </row>
    <row r="1594" spans="1:7">
      <c r="A1594" s="27">
        <v>75</v>
      </c>
      <c r="B1594" s="27" t="s">
        <v>267</v>
      </c>
      <c r="C1594" s="27" t="s">
        <v>393</v>
      </c>
      <c r="D1594" s="27" t="s">
        <v>408</v>
      </c>
      <c r="E1594" s="27" t="s">
        <v>1682</v>
      </c>
      <c r="F1594" s="51">
        <v>4740</v>
      </c>
      <c r="G1594" s="27"/>
    </row>
    <row r="1595" spans="1:7">
      <c r="A1595" s="27">
        <v>75</v>
      </c>
      <c r="B1595" s="27" t="s">
        <v>267</v>
      </c>
      <c r="C1595" s="27" t="s">
        <v>393</v>
      </c>
      <c r="D1595" s="27" t="s">
        <v>399</v>
      </c>
      <c r="E1595" s="27" t="s">
        <v>1681</v>
      </c>
      <c r="F1595" s="51">
        <v>85258</v>
      </c>
      <c r="G1595" s="27"/>
    </row>
    <row r="1596" spans="1:7">
      <c r="A1596" s="27">
        <v>76</v>
      </c>
      <c r="B1596" s="27" t="s">
        <v>268</v>
      </c>
      <c r="C1596" s="27" t="s">
        <v>306</v>
      </c>
      <c r="D1596" s="27" t="s">
        <v>406</v>
      </c>
      <c r="E1596" s="27" t="s">
        <v>1682</v>
      </c>
      <c r="F1596" s="51">
        <v>18512</v>
      </c>
      <c r="G1596" s="27"/>
    </row>
    <row r="1597" spans="1:7">
      <c r="A1597" s="27">
        <v>76</v>
      </c>
      <c r="B1597" s="27" t="s">
        <v>268</v>
      </c>
      <c r="C1597" s="27" t="s">
        <v>306</v>
      </c>
      <c r="D1597" s="27" t="s">
        <v>408</v>
      </c>
      <c r="E1597" s="27" t="s">
        <v>1682</v>
      </c>
      <c r="F1597" s="51">
        <v>46542</v>
      </c>
      <c r="G1597" s="27"/>
    </row>
    <row r="1598" spans="1:7">
      <c r="A1598" s="27">
        <v>76</v>
      </c>
      <c r="B1598" s="27" t="s">
        <v>268</v>
      </c>
      <c r="C1598" s="27" t="s">
        <v>306</v>
      </c>
      <c r="D1598" s="27" t="s">
        <v>394</v>
      </c>
      <c r="E1598" s="27" t="s">
        <v>1682</v>
      </c>
      <c r="F1598" s="51">
        <v>537149</v>
      </c>
      <c r="G1598" s="27"/>
    </row>
    <row r="1599" spans="1:7">
      <c r="A1599" s="27">
        <v>76</v>
      </c>
      <c r="B1599" s="27" t="s">
        <v>268</v>
      </c>
      <c r="C1599" s="27" t="s">
        <v>306</v>
      </c>
      <c r="D1599" s="27" t="s">
        <v>397</v>
      </c>
      <c r="E1599" s="27" t="s">
        <v>1682</v>
      </c>
      <c r="F1599" s="51">
        <v>59828</v>
      </c>
      <c r="G1599" s="27"/>
    </row>
    <row r="1600" spans="1:7">
      <c r="A1600" s="27">
        <v>76</v>
      </c>
      <c r="B1600" s="27" t="s">
        <v>268</v>
      </c>
      <c r="C1600" s="27" t="s">
        <v>306</v>
      </c>
      <c r="D1600" s="27" t="s">
        <v>411</v>
      </c>
      <c r="E1600" s="27" t="s">
        <v>1682</v>
      </c>
      <c r="F1600" s="51">
        <v>1733</v>
      </c>
      <c r="G1600" s="27"/>
    </row>
    <row r="1601" spans="1:7">
      <c r="A1601" s="27">
        <v>76</v>
      </c>
      <c r="B1601" s="27" t="s">
        <v>268</v>
      </c>
      <c r="C1601" s="27" t="s">
        <v>306</v>
      </c>
      <c r="D1601" s="27" t="s">
        <v>412</v>
      </c>
      <c r="E1601" s="27" t="s">
        <v>1682</v>
      </c>
      <c r="F1601" s="51">
        <v>53702</v>
      </c>
      <c r="G1601" s="27"/>
    </row>
    <row r="1602" spans="1:7">
      <c r="A1602" s="27">
        <v>76</v>
      </c>
      <c r="B1602" s="27" t="s">
        <v>268</v>
      </c>
      <c r="C1602" s="27" t="s">
        <v>306</v>
      </c>
      <c r="D1602" s="27" t="s">
        <v>398</v>
      </c>
      <c r="E1602" s="27" t="s">
        <v>1682</v>
      </c>
      <c r="F1602" s="51">
        <v>10134</v>
      </c>
      <c r="G1602" s="27"/>
    </row>
    <row r="1603" spans="1:7">
      <c r="A1603" s="27">
        <v>76</v>
      </c>
      <c r="B1603" s="27" t="s">
        <v>268</v>
      </c>
      <c r="C1603" s="27" t="s">
        <v>306</v>
      </c>
      <c r="D1603" s="27" t="s">
        <v>415</v>
      </c>
      <c r="E1603" s="27" t="s">
        <v>1682</v>
      </c>
      <c r="F1603" s="51">
        <v>9650</v>
      </c>
      <c r="G1603" s="27"/>
    </row>
    <row r="1604" spans="1:7">
      <c r="A1604" s="27">
        <v>76</v>
      </c>
      <c r="B1604" s="27" t="s">
        <v>268</v>
      </c>
      <c r="C1604" s="27" t="s">
        <v>306</v>
      </c>
      <c r="D1604" s="27" t="s">
        <v>291</v>
      </c>
      <c r="E1604" s="27" t="s">
        <v>1681</v>
      </c>
      <c r="F1604" s="51">
        <v>12413</v>
      </c>
      <c r="G1604" s="27"/>
    </row>
    <row r="1605" spans="1:7">
      <c r="A1605" s="27">
        <v>76</v>
      </c>
      <c r="B1605" s="27" t="s">
        <v>268</v>
      </c>
      <c r="C1605" s="27" t="s">
        <v>306</v>
      </c>
      <c r="D1605" s="27" t="s">
        <v>399</v>
      </c>
      <c r="E1605" s="27" t="s">
        <v>1681</v>
      </c>
      <c r="F1605" s="51">
        <v>919354</v>
      </c>
      <c r="G1605" s="27"/>
    </row>
    <row r="1606" spans="1:7">
      <c r="A1606" s="27">
        <v>76</v>
      </c>
      <c r="B1606" s="27" t="s">
        <v>268</v>
      </c>
      <c r="C1606" s="27" t="s">
        <v>306</v>
      </c>
      <c r="D1606" s="27" t="s">
        <v>307</v>
      </c>
      <c r="E1606" s="27" t="s">
        <v>1681</v>
      </c>
      <c r="F1606" s="51">
        <v>33600</v>
      </c>
      <c r="G1606" s="27"/>
    </row>
    <row r="1607" spans="1:7">
      <c r="A1607" s="27">
        <v>76</v>
      </c>
      <c r="B1607" s="27" t="s">
        <v>268</v>
      </c>
      <c r="C1607" s="27" t="s">
        <v>306</v>
      </c>
      <c r="D1607" s="27" t="s">
        <v>294</v>
      </c>
      <c r="E1607" s="27" t="s">
        <v>1681</v>
      </c>
      <c r="F1607" s="51">
        <v>11220</v>
      </c>
      <c r="G1607" s="27"/>
    </row>
    <row r="1608" spans="1:7">
      <c r="A1608" s="27">
        <v>76</v>
      </c>
      <c r="B1608" s="27" t="s">
        <v>268</v>
      </c>
      <c r="C1608" s="27" t="s">
        <v>306</v>
      </c>
      <c r="D1608" s="27" t="s">
        <v>304</v>
      </c>
      <c r="E1608" s="27" t="s">
        <v>1681</v>
      </c>
      <c r="F1608" s="51">
        <v>14000</v>
      </c>
      <c r="G1608" s="27"/>
    </row>
    <row r="1609" spans="1:7">
      <c r="A1609" s="27">
        <v>76</v>
      </c>
      <c r="B1609" s="27" t="s">
        <v>268</v>
      </c>
      <c r="C1609" s="27" t="s">
        <v>306</v>
      </c>
      <c r="D1609" s="27" t="s">
        <v>296</v>
      </c>
      <c r="E1609" s="27" t="s">
        <v>1681</v>
      </c>
      <c r="F1609" s="51">
        <v>6947316</v>
      </c>
      <c r="G1609" s="27"/>
    </row>
    <row r="1610" spans="1:7">
      <c r="A1610" s="27">
        <v>76</v>
      </c>
      <c r="B1610" s="27" t="s">
        <v>268</v>
      </c>
      <c r="C1610" s="27" t="s">
        <v>306</v>
      </c>
      <c r="D1610" s="27" t="s">
        <v>400</v>
      </c>
      <c r="E1610" s="27" t="s">
        <v>1681</v>
      </c>
      <c r="F1610" s="51">
        <v>371633</v>
      </c>
      <c r="G1610" s="27"/>
    </row>
    <row r="1611" spans="1:7">
      <c r="A1611" s="27">
        <v>76</v>
      </c>
      <c r="B1611" s="27" t="s">
        <v>268</v>
      </c>
      <c r="C1611" s="27" t="s">
        <v>306</v>
      </c>
      <c r="D1611" s="27" t="s">
        <v>298</v>
      </c>
      <c r="E1611" s="27" t="s">
        <v>1681</v>
      </c>
      <c r="F1611" s="51">
        <v>36886</v>
      </c>
      <c r="G1611" s="27"/>
    </row>
    <row r="1612" spans="1:7">
      <c r="A1612" s="27">
        <v>76</v>
      </c>
      <c r="B1612" s="27" t="s">
        <v>268</v>
      </c>
      <c r="C1612" s="27" t="s">
        <v>306</v>
      </c>
      <c r="D1612" s="27" t="s">
        <v>401</v>
      </c>
      <c r="E1612" s="27" t="s">
        <v>1681</v>
      </c>
      <c r="F1612" s="51">
        <v>14865</v>
      </c>
      <c r="G1612" s="27"/>
    </row>
    <row r="1613" spans="1:7">
      <c r="A1613" s="27">
        <v>76</v>
      </c>
      <c r="B1613" s="27" t="s">
        <v>268</v>
      </c>
      <c r="C1613" s="27" t="s">
        <v>306</v>
      </c>
      <c r="D1613" s="27" t="s">
        <v>402</v>
      </c>
      <c r="E1613" s="27" t="s">
        <v>1681</v>
      </c>
      <c r="F1613" s="51">
        <v>42502</v>
      </c>
      <c r="G1613" s="27"/>
    </row>
    <row r="1614" spans="1:7">
      <c r="A1614" s="27">
        <v>76</v>
      </c>
      <c r="B1614" s="27" t="s">
        <v>268</v>
      </c>
      <c r="C1614" s="27" t="s">
        <v>306</v>
      </c>
      <c r="D1614" s="27" t="s">
        <v>299</v>
      </c>
      <c r="E1614" s="27" t="s">
        <v>1681</v>
      </c>
      <c r="F1614" s="51">
        <v>3419</v>
      </c>
      <c r="G1614" s="27"/>
    </row>
    <row r="1615" spans="1:7">
      <c r="A1615" s="27">
        <v>76</v>
      </c>
      <c r="B1615" s="27" t="s">
        <v>268</v>
      </c>
      <c r="C1615" s="27" t="s">
        <v>306</v>
      </c>
      <c r="D1615" s="27" t="s">
        <v>300</v>
      </c>
      <c r="E1615" s="27" t="s">
        <v>1681</v>
      </c>
      <c r="F1615" s="51">
        <v>27189</v>
      </c>
      <c r="G1615" s="27"/>
    </row>
    <row r="1616" spans="1:7">
      <c r="A1616" s="27">
        <v>77</v>
      </c>
      <c r="B1616" s="27" t="s">
        <v>269</v>
      </c>
      <c r="C1616" s="27" t="s">
        <v>316</v>
      </c>
      <c r="D1616" s="27" t="s">
        <v>406</v>
      </c>
      <c r="E1616" s="27" t="s">
        <v>1682</v>
      </c>
      <c r="F1616" s="51">
        <v>63394</v>
      </c>
      <c r="G1616" s="27"/>
    </row>
    <row r="1617" spans="1:7">
      <c r="A1617" s="27">
        <v>77</v>
      </c>
      <c r="B1617" s="27" t="s">
        <v>269</v>
      </c>
      <c r="C1617" s="27" t="s">
        <v>316</v>
      </c>
      <c r="D1617" s="27" t="s">
        <v>408</v>
      </c>
      <c r="E1617" s="27" t="s">
        <v>1682</v>
      </c>
      <c r="F1617" s="51">
        <v>938051</v>
      </c>
      <c r="G1617" s="27"/>
    </row>
    <row r="1618" spans="1:7">
      <c r="A1618" s="27">
        <v>77</v>
      </c>
      <c r="B1618" s="27" t="s">
        <v>269</v>
      </c>
      <c r="C1618" s="27" t="s">
        <v>316</v>
      </c>
      <c r="D1618" s="27" t="s">
        <v>409</v>
      </c>
      <c r="E1618" s="27" t="s">
        <v>1682</v>
      </c>
      <c r="F1618" s="51">
        <v>11000</v>
      </c>
      <c r="G1618" s="27"/>
    </row>
    <row r="1619" spans="1:7">
      <c r="A1619" s="27">
        <v>77</v>
      </c>
      <c r="B1619" s="27" t="s">
        <v>269</v>
      </c>
      <c r="C1619" s="27" t="s">
        <v>316</v>
      </c>
      <c r="D1619" s="27" t="s">
        <v>394</v>
      </c>
      <c r="E1619" s="27" t="s">
        <v>1682</v>
      </c>
      <c r="F1619" s="51">
        <v>1064764</v>
      </c>
      <c r="G1619" s="27"/>
    </row>
    <row r="1620" spans="1:7">
      <c r="A1620" s="27">
        <v>77</v>
      </c>
      <c r="B1620" s="27" t="s">
        <v>269</v>
      </c>
      <c r="C1620" s="27" t="s">
        <v>316</v>
      </c>
      <c r="D1620" s="27" t="s">
        <v>397</v>
      </c>
      <c r="E1620" s="27" t="s">
        <v>1682</v>
      </c>
      <c r="F1620" s="51">
        <v>578058</v>
      </c>
      <c r="G1620" s="27"/>
    </row>
    <row r="1621" spans="1:7">
      <c r="A1621" s="27">
        <v>77</v>
      </c>
      <c r="B1621" s="27" t="s">
        <v>269</v>
      </c>
      <c r="C1621" s="27" t="s">
        <v>316</v>
      </c>
      <c r="D1621" s="27" t="s">
        <v>333</v>
      </c>
      <c r="E1621" s="27" t="s">
        <v>1682</v>
      </c>
      <c r="F1621" s="51">
        <v>30753</v>
      </c>
      <c r="G1621" s="27"/>
    </row>
    <row r="1622" spans="1:7">
      <c r="A1622" s="27">
        <v>77</v>
      </c>
      <c r="B1622" s="27" t="s">
        <v>269</v>
      </c>
      <c r="C1622" s="27" t="s">
        <v>316</v>
      </c>
      <c r="D1622" s="27" t="s">
        <v>411</v>
      </c>
      <c r="E1622" s="27" t="s">
        <v>1682</v>
      </c>
      <c r="F1622" s="51">
        <v>5500</v>
      </c>
      <c r="G1622" s="27"/>
    </row>
    <row r="1623" spans="1:7">
      <c r="A1623" s="27">
        <v>77</v>
      </c>
      <c r="B1623" s="27" t="s">
        <v>269</v>
      </c>
      <c r="C1623" s="27" t="s">
        <v>316</v>
      </c>
      <c r="D1623" s="27" t="s">
        <v>412</v>
      </c>
      <c r="E1623" s="27" t="s">
        <v>1682</v>
      </c>
      <c r="F1623" s="51">
        <v>120500</v>
      </c>
      <c r="G1623" s="27"/>
    </row>
    <row r="1624" spans="1:7">
      <c r="A1624" s="27">
        <v>77</v>
      </c>
      <c r="B1624" s="27" t="s">
        <v>269</v>
      </c>
      <c r="C1624" s="27" t="s">
        <v>316</v>
      </c>
      <c r="D1624" s="27" t="s">
        <v>413</v>
      </c>
      <c r="E1624" s="27" t="s">
        <v>1682</v>
      </c>
      <c r="F1624" s="51">
        <v>10000</v>
      </c>
      <c r="G1624" s="27"/>
    </row>
    <row r="1625" spans="1:7">
      <c r="A1625" s="27">
        <v>77</v>
      </c>
      <c r="B1625" s="27" t="s">
        <v>269</v>
      </c>
      <c r="C1625" s="27" t="s">
        <v>316</v>
      </c>
      <c r="D1625" s="27" t="s">
        <v>398</v>
      </c>
      <c r="E1625" s="27" t="s">
        <v>1682</v>
      </c>
      <c r="F1625" s="51">
        <v>73630</v>
      </c>
      <c r="G1625" s="27"/>
    </row>
    <row r="1626" spans="1:7">
      <c r="A1626" s="27">
        <v>77</v>
      </c>
      <c r="B1626" s="27" t="s">
        <v>269</v>
      </c>
      <c r="C1626" s="27" t="s">
        <v>316</v>
      </c>
      <c r="D1626" s="27" t="s">
        <v>415</v>
      </c>
      <c r="E1626" s="27" t="s">
        <v>1682</v>
      </c>
      <c r="F1626" s="51">
        <v>49333</v>
      </c>
      <c r="G1626" s="27"/>
    </row>
    <row r="1627" spans="1:7">
      <c r="A1627" s="27">
        <v>77</v>
      </c>
      <c r="B1627" s="27" t="s">
        <v>269</v>
      </c>
      <c r="C1627" s="27" t="s">
        <v>316</v>
      </c>
      <c r="D1627" s="27" t="s">
        <v>291</v>
      </c>
      <c r="E1627" s="27" t="s">
        <v>1681</v>
      </c>
      <c r="F1627" s="51">
        <v>38624</v>
      </c>
      <c r="G1627" s="27"/>
    </row>
    <row r="1628" spans="1:7">
      <c r="A1628" s="27">
        <v>77</v>
      </c>
      <c r="B1628" s="27" t="s">
        <v>269</v>
      </c>
      <c r="C1628" s="27" t="s">
        <v>316</v>
      </c>
      <c r="D1628" s="27" t="s">
        <v>399</v>
      </c>
      <c r="E1628" s="27" t="s">
        <v>1681</v>
      </c>
      <c r="F1628" s="51">
        <v>24502729</v>
      </c>
      <c r="G1628" s="27"/>
    </row>
    <row r="1629" spans="1:7">
      <c r="A1629" s="27">
        <v>77</v>
      </c>
      <c r="B1629" s="27" t="s">
        <v>269</v>
      </c>
      <c r="C1629" s="27" t="s">
        <v>316</v>
      </c>
      <c r="D1629" s="27" t="s">
        <v>307</v>
      </c>
      <c r="E1629" s="27" t="s">
        <v>1681</v>
      </c>
      <c r="F1629" s="51">
        <v>282765</v>
      </c>
      <c r="G1629" s="27"/>
    </row>
    <row r="1630" spans="1:7">
      <c r="A1630" s="27">
        <v>77</v>
      </c>
      <c r="B1630" s="27" t="s">
        <v>269</v>
      </c>
      <c r="C1630" s="27" t="s">
        <v>316</v>
      </c>
      <c r="D1630" s="27" t="s">
        <v>294</v>
      </c>
      <c r="E1630" s="27" t="s">
        <v>1681</v>
      </c>
      <c r="F1630" s="51">
        <v>99696</v>
      </c>
      <c r="G1630" s="27"/>
    </row>
    <row r="1631" spans="1:7">
      <c r="A1631" s="27">
        <v>77</v>
      </c>
      <c r="B1631" s="27" t="s">
        <v>269</v>
      </c>
      <c r="C1631" s="27" t="s">
        <v>316</v>
      </c>
      <c r="D1631" s="27" t="s">
        <v>295</v>
      </c>
      <c r="E1631" s="27" t="s">
        <v>1681</v>
      </c>
      <c r="F1631" s="51">
        <v>8000</v>
      </c>
      <c r="G1631" s="27"/>
    </row>
    <row r="1632" spans="1:7">
      <c r="A1632" s="27">
        <v>77</v>
      </c>
      <c r="B1632" s="27" t="s">
        <v>269</v>
      </c>
      <c r="C1632" s="27" t="s">
        <v>316</v>
      </c>
      <c r="D1632" s="27" t="s">
        <v>296</v>
      </c>
      <c r="E1632" s="27" t="s">
        <v>1681</v>
      </c>
      <c r="F1632" s="51">
        <v>812143</v>
      </c>
      <c r="G1632" s="27"/>
    </row>
    <row r="1633" spans="1:7">
      <c r="A1633" s="27">
        <v>77</v>
      </c>
      <c r="B1633" s="27" t="s">
        <v>269</v>
      </c>
      <c r="C1633" s="27" t="s">
        <v>316</v>
      </c>
      <c r="D1633" s="27" t="s">
        <v>400</v>
      </c>
      <c r="E1633" s="27" t="s">
        <v>1681</v>
      </c>
      <c r="F1633" s="51">
        <v>147659</v>
      </c>
      <c r="G1633" s="27"/>
    </row>
    <row r="1634" spans="1:7">
      <c r="A1634" s="27">
        <v>77</v>
      </c>
      <c r="B1634" s="27" t="s">
        <v>269</v>
      </c>
      <c r="C1634" s="27" t="s">
        <v>316</v>
      </c>
      <c r="D1634" s="27" t="s">
        <v>298</v>
      </c>
      <c r="E1634" s="27" t="s">
        <v>1681</v>
      </c>
      <c r="F1634" s="51">
        <v>704600</v>
      </c>
      <c r="G1634" s="27"/>
    </row>
    <row r="1635" spans="1:7">
      <c r="A1635" s="27">
        <v>77</v>
      </c>
      <c r="B1635" s="27" t="s">
        <v>269</v>
      </c>
      <c r="C1635" s="27" t="s">
        <v>316</v>
      </c>
      <c r="D1635" s="27" t="s">
        <v>401</v>
      </c>
      <c r="E1635" s="27" t="s">
        <v>1681</v>
      </c>
      <c r="F1635" s="51">
        <v>33728</v>
      </c>
      <c r="G1635" s="27"/>
    </row>
    <row r="1636" spans="1:7">
      <c r="A1636" s="27">
        <v>77</v>
      </c>
      <c r="B1636" s="27" t="s">
        <v>269</v>
      </c>
      <c r="C1636" s="27" t="s">
        <v>316</v>
      </c>
      <c r="D1636" s="27" t="s">
        <v>1347</v>
      </c>
      <c r="E1636" s="27" t="s">
        <v>1681</v>
      </c>
      <c r="F1636" s="51">
        <v>21700</v>
      </c>
      <c r="G1636" s="27"/>
    </row>
    <row r="1637" spans="1:7">
      <c r="A1637" s="27">
        <v>77</v>
      </c>
      <c r="B1637" s="27" t="s">
        <v>269</v>
      </c>
      <c r="C1637" s="27" t="s">
        <v>316</v>
      </c>
      <c r="D1637" s="27" t="s">
        <v>402</v>
      </c>
      <c r="E1637" s="27" t="s">
        <v>1681</v>
      </c>
      <c r="F1637" s="51">
        <v>578909</v>
      </c>
      <c r="G1637" s="27"/>
    </row>
    <row r="1638" spans="1:7">
      <c r="A1638" s="27">
        <v>77</v>
      </c>
      <c r="B1638" s="27" t="s">
        <v>269</v>
      </c>
      <c r="C1638" s="27" t="s">
        <v>316</v>
      </c>
      <c r="D1638" s="27" t="s">
        <v>299</v>
      </c>
      <c r="E1638" s="27" t="s">
        <v>1681</v>
      </c>
      <c r="F1638" s="51">
        <v>122925</v>
      </c>
      <c r="G1638" s="27"/>
    </row>
    <row r="1639" spans="1:7">
      <c r="A1639" s="27">
        <v>77</v>
      </c>
      <c r="B1639" s="27" t="s">
        <v>269</v>
      </c>
      <c r="C1639" s="27" t="s">
        <v>316</v>
      </c>
      <c r="D1639" s="27" t="s">
        <v>300</v>
      </c>
      <c r="E1639" s="27" t="s">
        <v>1681</v>
      </c>
      <c r="F1639" s="51">
        <v>35437</v>
      </c>
      <c r="G1639" s="27"/>
    </row>
    <row r="1640" spans="1:7">
      <c r="A1640" s="27">
        <v>78</v>
      </c>
      <c r="B1640" s="27" t="s">
        <v>271</v>
      </c>
      <c r="C1640" s="27" t="s">
        <v>393</v>
      </c>
      <c r="D1640" s="27" t="s">
        <v>408</v>
      </c>
      <c r="E1640" s="27" t="s">
        <v>1682</v>
      </c>
      <c r="F1640" s="51">
        <v>112273</v>
      </c>
      <c r="G1640" s="27"/>
    </row>
    <row r="1641" spans="1:7">
      <c r="A1641" s="27">
        <v>78</v>
      </c>
      <c r="B1641" s="27" t="s">
        <v>271</v>
      </c>
      <c r="C1641" s="27" t="s">
        <v>393</v>
      </c>
      <c r="D1641" s="27" t="s">
        <v>394</v>
      </c>
      <c r="E1641" s="27" t="s">
        <v>1682</v>
      </c>
      <c r="F1641" s="51">
        <v>187212</v>
      </c>
      <c r="G1641" s="27"/>
    </row>
    <row r="1642" spans="1:7">
      <c r="A1642" s="27">
        <v>78</v>
      </c>
      <c r="B1642" s="27" t="s">
        <v>271</v>
      </c>
      <c r="C1642" s="27" t="s">
        <v>393</v>
      </c>
      <c r="D1642" s="27" t="s">
        <v>397</v>
      </c>
      <c r="E1642" s="27" t="s">
        <v>1682</v>
      </c>
      <c r="F1642" s="51">
        <v>148729</v>
      </c>
      <c r="G1642" s="27"/>
    </row>
    <row r="1643" spans="1:7">
      <c r="A1643" s="27">
        <v>78</v>
      </c>
      <c r="B1643" s="27" t="s">
        <v>271</v>
      </c>
      <c r="C1643" s="27" t="s">
        <v>393</v>
      </c>
      <c r="D1643" s="27" t="s">
        <v>411</v>
      </c>
      <c r="E1643" s="27" t="s">
        <v>1682</v>
      </c>
      <c r="F1643" s="51">
        <v>54654</v>
      </c>
      <c r="G1643" s="27"/>
    </row>
    <row r="1644" spans="1:7">
      <c r="A1644" s="27">
        <v>78</v>
      </c>
      <c r="B1644" s="27" t="s">
        <v>271</v>
      </c>
      <c r="C1644" s="27" t="s">
        <v>393</v>
      </c>
      <c r="D1644" s="27" t="s">
        <v>412</v>
      </c>
      <c r="E1644" s="27" t="s">
        <v>1682</v>
      </c>
      <c r="F1644" s="51">
        <v>45035</v>
      </c>
      <c r="G1644" s="27"/>
    </row>
    <row r="1645" spans="1:7">
      <c r="A1645" s="27">
        <v>78</v>
      </c>
      <c r="B1645" s="27" t="s">
        <v>271</v>
      </c>
      <c r="C1645" s="27" t="s">
        <v>393</v>
      </c>
      <c r="D1645" s="27" t="s">
        <v>398</v>
      </c>
      <c r="E1645" s="27" t="s">
        <v>1682</v>
      </c>
      <c r="F1645" s="51">
        <v>3271</v>
      </c>
      <c r="G1645" s="27"/>
    </row>
    <row r="1646" spans="1:7">
      <c r="A1646" s="27">
        <v>78</v>
      </c>
      <c r="B1646" s="27" t="s">
        <v>271</v>
      </c>
      <c r="C1646" s="27" t="s">
        <v>393</v>
      </c>
      <c r="D1646" s="27" t="s">
        <v>415</v>
      </c>
      <c r="E1646" s="27" t="s">
        <v>1682</v>
      </c>
      <c r="F1646" s="51">
        <v>7136</v>
      </c>
      <c r="G1646" s="27"/>
    </row>
    <row r="1647" spans="1:7">
      <c r="A1647" s="27">
        <v>78</v>
      </c>
      <c r="B1647" s="27" t="s">
        <v>271</v>
      </c>
      <c r="C1647" s="27" t="s">
        <v>393</v>
      </c>
      <c r="D1647" s="27" t="s">
        <v>291</v>
      </c>
      <c r="E1647" s="27" t="s">
        <v>1681</v>
      </c>
      <c r="F1647" s="51">
        <v>5842</v>
      </c>
      <c r="G1647" s="27"/>
    </row>
    <row r="1648" spans="1:7">
      <c r="A1648" s="27">
        <v>78</v>
      </c>
      <c r="B1648" s="27" t="s">
        <v>271</v>
      </c>
      <c r="C1648" s="27" t="s">
        <v>393</v>
      </c>
      <c r="D1648" s="27" t="s">
        <v>399</v>
      </c>
      <c r="E1648" s="27" t="s">
        <v>1681</v>
      </c>
      <c r="F1648" s="51">
        <v>8509487</v>
      </c>
      <c r="G1648" s="27"/>
    </row>
    <row r="1649" spans="1:7">
      <c r="A1649" s="27">
        <v>78</v>
      </c>
      <c r="B1649" s="27" t="s">
        <v>271</v>
      </c>
      <c r="C1649" s="27" t="s">
        <v>393</v>
      </c>
      <c r="D1649" s="27" t="s">
        <v>294</v>
      </c>
      <c r="E1649" s="27" t="s">
        <v>1681</v>
      </c>
      <c r="F1649" s="51">
        <v>11714</v>
      </c>
      <c r="G1649" s="27"/>
    </row>
    <row r="1650" spans="1:7">
      <c r="A1650" s="27">
        <v>78</v>
      </c>
      <c r="B1650" s="27" t="s">
        <v>271</v>
      </c>
      <c r="C1650" s="27" t="s">
        <v>393</v>
      </c>
      <c r="D1650" s="27" t="s">
        <v>296</v>
      </c>
      <c r="E1650" s="27" t="s">
        <v>1681</v>
      </c>
      <c r="F1650" s="51">
        <v>691858</v>
      </c>
      <c r="G1650" s="27"/>
    </row>
    <row r="1651" spans="1:7">
      <c r="A1651" s="27">
        <v>78</v>
      </c>
      <c r="B1651" s="27" t="s">
        <v>271</v>
      </c>
      <c r="C1651" s="27" t="s">
        <v>393</v>
      </c>
      <c r="D1651" s="27" t="s">
        <v>400</v>
      </c>
      <c r="E1651" s="27" t="s">
        <v>1681</v>
      </c>
      <c r="F1651" s="51">
        <v>28522</v>
      </c>
      <c r="G1651" s="27"/>
    </row>
    <row r="1652" spans="1:7">
      <c r="A1652" s="27">
        <v>78</v>
      </c>
      <c r="B1652" s="27" t="s">
        <v>271</v>
      </c>
      <c r="C1652" s="27" t="s">
        <v>393</v>
      </c>
      <c r="D1652" s="27" t="s">
        <v>298</v>
      </c>
      <c r="E1652" s="27" t="s">
        <v>1681</v>
      </c>
      <c r="F1652" s="51">
        <v>26684</v>
      </c>
      <c r="G1652" s="27"/>
    </row>
    <row r="1653" spans="1:7">
      <c r="A1653" s="27">
        <v>78</v>
      </c>
      <c r="B1653" s="27" t="s">
        <v>271</v>
      </c>
      <c r="C1653" s="27" t="s">
        <v>393</v>
      </c>
      <c r="D1653" s="27" t="s">
        <v>401</v>
      </c>
      <c r="E1653" s="27" t="s">
        <v>1681</v>
      </c>
      <c r="F1653" s="51">
        <v>30553</v>
      </c>
      <c r="G1653" s="27"/>
    </row>
    <row r="1654" spans="1:7">
      <c r="A1654" s="27">
        <v>78</v>
      </c>
      <c r="B1654" s="27" t="s">
        <v>271</v>
      </c>
      <c r="C1654" s="27" t="s">
        <v>393</v>
      </c>
      <c r="D1654" s="27" t="s">
        <v>1347</v>
      </c>
      <c r="E1654" s="27" t="s">
        <v>1681</v>
      </c>
      <c r="F1654" s="51">
        <v>3134</v>
      </c>
      <c r="G1654" s="27"/>
    </row>
    <row r="1655" spans="1:7">
      <c r="A1655" s="27">
        <v>78</v>
      </c>
      <c r="B1655" s="27" t="s">
        <v>271</v>
      </c>
      <c r="C1655" s="27" t="s">
        <v>393</v>
      </c>
      <c r="D1655" s="27" t="s">
        <v>402</v>
      </c>
      <c r="E1655" s="27" t="s">
        <v>1681</v>
      </c>
      <c r="F1655" s="51">
        <v>255593</v>
      </c>
      <c r="G1655" s="27"/>
    </row>
    <row r="1656" spans="1:7">
      <c r="A1656" s="27">
        <v>78</v>
      </c>
      <c r="B1656" s="27" t="s">
        <v>271</v>
      </c>
      <c r="C1656" s="27" t="s">
        <v>393</v>
      </c>
      <c r="D1656" s="27" t="s">
        <v>300</v>
      </c>
      <c r="E1656" s="27" t="s">
        <v>1681</v>
      </c>
      <c r="F1656" s="51">
        <v>16130</v>
      </c>
      <c r="G1656" s="27"/>
    </row>
    <row r="1657" spans="1:7">
      <c r="A1657" s="27">
        <v>79</v>
      </c>
      <c r="B1657" s="27" t="s">
        <v>272</v>
      </c>
      <c r="C1657" s="27" t="s">
        <v>393</v>
      </c>
      <c r="D1657" s="27" t="s">
        <v>408</v>
      </c>
      <c r="E1657" s="27" t="s">
        <v>1682</v>
      </c>
      <c r="F1657" s="51">
        <v>8046</v>
      </c>
      <c r="G1657" s="27"/>
    </row>
    <row r="1658" spans="1:7">
      <c r="A1658" s="27">
        <v>79</v>
      </c>
      <c r="B1658" s="27" t="s">
        <v>272</v>
      </c>
      <c r="C1658" s="27" t="s">
        <v>393</v>
      </c>
      <c r="D1658" s="27" t="s">
        <v>394</v>
      </c>
      <c r="E1658" s="27" t="s">
        <v>1682</v>
      </c>
      <c r="F1658" s="51">
        <v>103615</v>
      </c>
      <c r="G1658" s="27"/>
    </row>
    <row r="1659" spans="1:7">
      <c r="A1659" s="27">
        <v>79</v>
      </c>
      <c r="B1659" s="27" t="s">
        <v>272</v>
      </c>
      <c r="C1659" s="27" t="s">
        <v>393</v>
      </c>
      <c r="D1659" s="27" t="s">
        <v>412</v>
      </c>
      <c r="E1659" s="27" t="s">
        <v>1682</v>
      </c>
      <c r="F1659" s="51">
        <v>8236</v>
      </c>
      <c r="G1659" s="27"/>
    </row>
    <row r="1660" spans="1:7">
      <c r="A1660" s="27">
        <v>79</v>
      </c>
      <c r="B1660" s="27" t="s">
        <v>272</v>
      </c>
      <c r="C1660" s="27" t="s">
        <v>393</v>
      </c>
      <c r="D1660" s="27" t="s">
        <v>398</v>
      </c>
      <c r="E1660" s="27" t="s">
        <v>1682</v>
      </c>
      <c r="F1660" s="51">
        <v>1330</v>
      </c>
      <c r="G1660" s="27"/>
    </row>
    <row r="1661" spans="1:7">
      <c r="A1661" s="27">
        <v>79</v>
      </c>
      <c r="B1661" s="27" t="s">
        <v>272</v>
      </c>
      <c r="C1661" s="27" t="s">
        <v>393</v>
      </c>
      <c r="D1661" s="27" t="s">
        <v>415</v>
      </c>
      <c r="E1661" s="27" t="s">
        <v>1682</v>
      </c>
      <c r="F1661" s="51">
        <v>2828</v>
      </c>
      <c r="G1661" s="27"/>
    </row>
    <row r="1662" spans="1:7">
      <c r="A1662" s="27">
        <v>79</v>
      </c>
      <c r="B1662" s="27" t="s">
        <v>272</v>
      </c>
      <c r="C1662" s="27" t="s">
        <v>393</v>
      </c>
      <c r="D1662" s="27" t="s">
        <v>399</v>
      </c>
      <c r="E1662" s="27" t="s">
        <v>1681</v>
      </c>
      <c r="F1662" s="51">
        <v>2654220</v>
      </c>
      <c r="G1662" s="27"/>
    </row>
    <row r="1663" spans="1:7">
      <c r="A1663" s="27">
        <v>79</v>
      </c>
      <c r="B1663" s="27" t="s">
        <v>272</v>
      </c>
      <c r="C1663" s="27" t="s">
        <v>393</v>
      </c>
      <c r="D1663" s="27" t="s">
        <v>296</v>
      </c>
      <c r="E1663" s="27" t="s">
        <v>1681</v>
      </c>
      <c r="F1663" s="51">
        <v>1942079</v>
      </c>
      <c r="G1663" s="27"/>
    </row>
    <row r="1664" spans="1:7">
      <c r="A1664" s="27">
        <v>79</v>
      </c>
      <c r="B1664" s="27" t="s">
        <v>272</v>
      </c>
      <c r="C1664" s="27" t="s">
        <v>393</v>
      </c>
      <c r="D1664" s="27" t="s">
        <v>400</v>
      </c>
      <c r="E1664" s="27" t="s">
        <v>1681</v>
      </c>
      <c r="F1664" s="51">
        <v>17644</v>
      </c>
      <c r="G1664" s="27"/>
    </row>
    <row r="1665" spans="1:7">
      <c r="A1665" s="27">
        <v>79</v>
      </c>
      <c r="B1665" s="27" t="s">
        <v>272</v>
      </c>
      <c r="C1665" s="27" t="s">
        <v>393</v>
      </c>
      <c r="D1665" s="27" t="s">
        <v>401</v>
      </c>
      <c r="E1665" s="27" t="s">
        <v>1681</v>
      </c>
      <c r="F1665" s="51">
        <v>30205</v>
      </c>
      <c r="G1665" s="27"/>
    </row>
    <row r="1666" spans="1:7">
      <c r="A1666" s="27">
        <v>79</v>
      </c>
      <c r="B1666" s="27" t="s">
        <v>272</v>
      </c>
      <c r="C1666" s="27" t="s">
        <v>393</v>
      </c>
      <c r="D1666" s="27" t="s">
        <v>402</v>
      </c>
      <c r="E1666" s="27" t="s">
        <v>1681</v>
      </c>
      <c r="F1666" s="51">
        <v>42463</v>
      </c>
      <c r="G1666" s="27"/>
    </row>
    <row r="1667" spans="1:7">
      <c r="A1667" s="27">
        <v>80</v>
      </c>
      <c r="B1667" s="27" t="s">
        <v>273</v>
      </c>
      <c r="C1667" s="27" t="s">
        <v>404</v>
      </c>
      <c r="D1667" s="27" t="s">
        <v>405</v>
      </c>
      <c r="E1667" s="27" t="s">
        <v>1682</v>
      </c>
      <c r="F1667" s="51">
        <v>264000</v>
      </c>
      <c r="G1667" s="27"/>
    </row>
    <row r="1668" spans="1:7">
      <c r="A1668" s="27">
        <v>80</v>
      </c>
      <c r="B1668" s="27" t="s">
        <v>273</v>
      </c>
      <c r="C1668" s="27" t="s">
        <v>404</v>
      </c>
      <c r="D1668" s="27" t="s">
        <v>406</v>
      </c>
      <c r="E1668" s="27" t="s">
        <v>1682</v>
      </c>
      <c r="F1668" s="51">
        <v>148819</v>
      </c>
      <c r="G1668" s="27"/>
    </row>
    <row r="1669" spans="1:7">
      <c r="A1669" s="27">
        <v>80</v>
      </c>
      <c r="B1669" s="27" t="s">
        <v>273</v>
      </c>
      <c r="C1669" s="27" t="s">
        <v>404</v>
      </c>
      <c r="D1669" s="27" t="s">
        <v>326</v>
      </c>
      <c r="E1669" s="27" t="s">
        <v>1682</v>
      </c>
      <c r="F1669" s="51">
        <v>53635</v>
      </c>
      <c r="G1669" s="27"/>
    </row>
    <row r="1670" spans="1:7">
      <c r="A1670" s="27">
        <v>80</v>
      </c>
      <c r="B1670" s="27" t="s">
        <v>273</v>
      </c>
      <c r="C1670" s="27" t="s">
        <v>404</v>
      </c>
      <c r="D1670" s="27" t="s">
        <v>408</v>
      </c>
      <c r="E1670" s="27" t="s">
        <v>1682</v>
      </c>
      <c r="F1670" s="51">
        <v>1398833</v>
      </c>
      <c r="G1670" s="27"/>
    </row>
    <row r="1671" spans="1:7">
      <c r="A1671" s="27">
        <v>80</v>
      </c>
      <c r="B1671" s="27" t="s">
        <v>273</v>
      </c>
      <c r="C1671" s="27" t="s">
        <v>404</v>
      </c>
      <c r="D1671" s="27" t="s">
        <v>394</v>
      </c>
      <c r="E1671" s="27" t="s">
        <v>1682</v>
      </c>
      <c r="F1671" s="51">
        <v>1283775</v>
      </c>
      <c r="G1671" s="27"/>
    </row>
    <row r="1672" spans="1:7">
      <c r="A1672" s="27">
        <v>80</v>
      </c>
      <c r="B1672" s="27" t="s">
        <v>273</v>
      </c>
      <c r="C1672" s="27" t="s">
        <v>404</v>
      </c>
      <c r="D1672" s="27" t="s">
        <v>410</v>
      </c>
      <c r="E1672" s="27" t="s">
        <v>1682</v>
      </c>
      <c r="F1672" s="51">
        <v>24135</v>
      </c>
      <c r="G1672" s="27"/>
    </row>
    <row r="1673" spans="1:7">
      <c r="A1673" s="27">
        <v>80</v>
      </c>
      <c r="B1673" s="27" t="s">
        <v>273</v>
      </c>
      <c r="C1673" s="27" t="s">
        <v>404</v>
      </c>
      <c r="D1673" s="27" t="s">
        <v>330</v>
      </c>
      <c r="E1673" s="27" t="s">
        <v>1682</v>
      </c>
      <c r="F1673" s="51">
        <v>10684</v>
      </c>
      <c r="G1673" s="27"/>
    </row>
    <row r="1674" spans="1:7">
      <c r="A1674" s="27">
        <v>80</v>
      </c>
      <c r="B1674" s="27" t="s">
        <v>273</v>
      </c>
      <c r="C1674" s="27" t="s">
        <v>404</v>
      </c>
      <c r="D1674" s="27" t="s">
        <v>397</v>
      </c>
      <c r="E1674" s="27" t="s">
        <v>1682</v>
      </c>
      <c r="F1674" s="51">
        <v>2181700</v>
      </c>
      <c r="G1674" s="27"/>
    </row>
    <row r="1675" spans="1:7">
      <c r="A1675" s="27">
        <v>80</v>
      </c>
      <c r="B1675" s="27" t="s">
        <v>273</v>
      </c>
      <c r="C1675" s="27" t="s">
        <v>404</v>
      </c>
      <c r="D1675" s="27" t="s">
        <v>332</v>
      </c>
      <c r="E1675" s="27" t="s">
        <v>1682</v>
      </c>
      <c r="F1675" s="51">
        <v>102954</v>
      </c>
      <c r="G1675" s="27"/>
    </row>
    <row r="1676" spans="1:7">
      <c r="A1676" s="27">
        <v>80</v>
      </c>
      <c r="B1676" s="27" t="s">
        <v>273</v>
      </c>
      <c r="C1676" s="27" t="s">
        <v>404</v>
      </c>
      <c r="D1676" s="27" t="s">
        <v>333</v>
      </c>
      <c r="E1676" s="27" t="s">
        <v>1682</v>
      </c>
      <c r="F1676" s="51">
        <v>2912</v>
      </c>
      <c r="G1676" s="27"/>
    </row>
    <row r="1677" spans="1:7">
      <c r="A1677" s="27">
        <v>80</v>
      </c>
      <c r="B1677" s="27" t="s">
        <v>273</v>
      </c>
      <c r="C1677" s="27" t="s">
        <v>404</v>
      </c>
      <c r="D1677" s="27" t="s">
        <v>411</v>
      </c>
      <c r="E1677" s="27" t="s">
        <v>1682</v>
      </c>
      <c r="F1677" s="51">
        <v>64141</v>
      </c>
      <c r="G1677" s="27"/>
    </row>
    <row r="1678" spans="1:7">
      <c r="A1678" s="27">
        <v>80</v>
      </c>
      <c r="B1678" s="27" t="s">
        <v>273</v>
      </c>
      <c r="C1678" s="27" t="s">
        <v>404</v>
      </c>
      <c r="D1678" s="27" t="s">
        <v>412</v>
      </c>
      <c r="E1678" s="27" t="s">
        <v>1682</v>
      </c>
      <c r="F1678" s="51">
        <v>493300</v>
      </c>
      <c r="G1678" s="27"/>
    </row>
    <row r="1679" spans="1:7">
      <c r="A1679" s="27">
        <v>80</v>
      </c>
      <c r="B1679" s="27" t="s">
        <v>273</v>
      </c>
      <c r="C1679" s="27" t="s">
        <v>404</v>
      </c>
      <c r="D1679" s="27" t="s">
        <v>413</v>
      </c>
      <c r="E1679" s="27" t="s">
        <v>1682</v>
      </c>
      <c r="F1679" s="51">
        <v>76200</v>
      </c>
      <c r="G1679" s="27"/>
    </row>
    <row r="1680" spans="1:7">
      <c r="A1680" s="27">
        <v>80</v>
      </c>
      <c r="B1680" s="27" t="s">
        <v>273</v>
      </c>
      <c r="C1680" s="27" t="s">
        <v>404</v>
      </c>
      <c r="D1680" s="27" t="s">
        <v>398</v>
      </c>
      <c r="E1680" s="27" t="s">
        <v>1682</v>
      </c>
      <c r="F1680" s="51">
        <v>75713</v>
      </c>
      <c r="G1680" s="27"/>
    </row>
    <row r="1681" spans="1:7">
      <c r="A1681" s="27">
        <v>80</v>
      </c>
      <c r="B1681" s="27" t="s">
        <v>273</v>
      </c>
      <c r="C1681" s="27" t="s">
        <v>404</v>
      </c>
      <c r="D1681" s="27" t="s">
        <v>415</v>
      </c>
      <c r="E1681" s="27" t="s">
        <v>1682</v>
      </c>
      <c r="F1681" s="51">
        <v>80535</v>
      </c>
      <c r="G1681" s="27"/>
    </row>
    <row r="1682" spans="1:7">
      <c r="A1682" s="27">
        <v>80</v>
      </c>
      <c r="B1682" s="27" t="s">
        <v>273</v>
      </c>
      <c r="C1682" s="27" t="s">
        <v>404</v>
      </c>
      <c r="D1682" s="27" t="s">
        <v>335</v>
      </c>
      <c r="E1682" s="27" t="s">
        <v>1681</v>
      </c>
      <c r="F1682" s="51">
        <v>73817</v>
      </c>
      <c r="G1682" s="27"/>
    </row>
    <row r="1683" spans="1:7">
      <c r="A1683" s="27">
        <v>80</v>
      </c>
      <c r="B1683" s="27" t="s">
        <v>273</v>
      </c>
      <c r="C1683" s="27" t="s">
        <v>404</v>
      </c>
      <c r="D1683" s="27" t="s">
        <v>291</v>
      </c>
      <c r="E1683" s="27" t="s">
        <v>1681</v>
      </c>
      <c r="F1683" s="51">
        <v>47054</v>
      </c>
      <c r="G1683" s="27"/>
    </row>
    <row r="1684" spans="1:7">
      <c r="A1684" s="27">
        <v>80</v>
      </c>
      <c r="B1684" s="27" t="s">
        <v>273</v>
      </c>
      <c r="C1684" s="27" t="s">
        <v>404</v>
      </c>
      <c r="D1684" s="27" t="s">
        <v>399</v>
      </c>
      <c r="E1684" s="27" t="s">
        <v>1681</v>
      </c>
      <c r="F1684" s="51">
        <v>42915524</v>
      </c>
      <c r="G1684" s="27"/>
    </row>
    <row r="1685" spans="1:7">
      <c r="A1685" s="27">
        <v>80</v>
      </c>
      <c r="B1685" s="27" t="s">
        <v>273</v>
      </c>
      <c r="C1685" s="27" t="s">
        <v>404</v>
      </c>
      <c r="D1685" s="27" t="s">
        <v>336</v>
      </c>
      <c r="E1685" s="27" t="s">
        <v>1681</v>
      </c>
      <c r="F1685" s="51">
        <v>164676</v>
      </c>
      <c r="G1685" s="27"/>
    </row>
    <row r="1686" spans="1:7">
      <c r="A1686" s="27">
        <v>80</v>
      </c>
      <c r="B1686" s="27" t="s">
        <v>273</v>
      </c>
      <c r="C1686" s="27" t="s">
        <v>404</v>
      </c>
      <c r="D1686" s="27" t="s">
        <v>317</v>
      </c>
      <c r="E1686" s="27" t="s">
        <v>1681</v>
      </c>
      <c r="F1686" s="51">
        <v>172342</v>
      </c>
      <c r="G1686" s="27"/>
    </row>
    <row r="1687" spans="1:7">
      <c r="A1687" s="27">
        <v>80</v>
      </c>
      <c r="B1687" s="27" t="s">
        <v>273</v>
      </c>
      <c r="C1687" s="27" t="s">
        <v>404</v>
      </c>
      <c r="D1687" s="27" t="s">
        <v>307</v>
      </c>
      <c r="E1687" s="27" t="s">
        <v>1681</v>
      </c>
      <c r="F1687" s="51">
        <v>6000</v>
      </c>
      <c r="G1687" s="27"/>
    </row>
    <row r="1688" spans="1:7">
      <c r="A1688" s="27">
        <v>80</v>
      </c>
      <c r="B1688" s="27" t="s">
        <v>273</v>
      </c>
      <c r="C1688" s="27" t="s">
        <v>404</v>
      </c>
      <c r="D1688" s="27" t="s">
        <v>294</v>
      </c>
      <c r="E1688" s="27" t="s">
        <v>1681</v>
      </c>
      <c r="F1688" s="51">
        <v>96177</v>
      </c>
      <c r="G1688" s="27"/>
    </row>
    <row r="1689" spans="1:7">
      <c r="A1689" s="27">
        <v>80</v>
      </c>
      <c r="B1689" s="27" t="s">
        <v>273</v>
      </c>
      <c r="C1689" s="27" t="s">
        <v>404</v>
      </c>
      <c r="D1689" s="27" t="s">
        <v>318</v>
      </c>
      <c r="E1689" s="27" t="s">
        <v>1681</v>
      </c>
      <c r="F1689" s="51">
        <v>766029</v>
      </c>
      <c r="G1689" s="27"/>
    </row>
    <row r="1690" spans="1:7">
      <c r="A1690" s="27">
        <v>80</v>
      </c>
      <c r="B1690" s="27" t="s">
        <v>273</v>
      </c>
      <c r="C1690" s="27" t="s">
        <v>404</v>
      </c>
      <c r="D1690" s="27" t="s">
        <v>319</v>
      </c>
      <c r="E1690" s="27" t="s">
        <v>1681</v>
      </c>
      <c r="F1690" s="51">
        <v>143581</v>
      </c>
      <c r="G1690" s="27"/>
    </row>
    <row r="1691" spans="1:7">
      <c r="A1691" s="27">
        <v>80</v>
      </c>
      <c r="B1691" s="27" t="s">
        <v>273</v>
      </c>
      <c r="C1691" s="27" t="s">
        <v>404</v>
      </c>
      <c r="D1691" s="27" t="s">
        <v>296</v>
      </c>
      <c r="E1691" s="27" t="s">
        <v>1681</v>
      </c>
      <c r="F1691" s="51">
        <v>6657278</v>
      </c>
      <c r="G1691" s="27"/>
    </row>
    <row r="1692" spans="1:7">
      <c r="A1692" s="27">
        <v>80</v>
      </c>
      <c r="B1692" s="27" t="s">
        <v>273</v>
      </c>
      <c r="C1692" s="27" t="s">
        <v>404</v>
      </c>
      <c r="D1692" s="27" t="s">
        <v>400</v>
      </c>
      <c r="E1692" s="27" t="s">
        <v>1681</v>
      </c>
      <c r="F1692" s="51">
        <v>387193</v>
      </c>
      <c r="G1692" s="27"/>
    </row>
    <row r="1693" spans="1:7">
      <c r="A1693" s="27">
        <v>80</v>
      </c>
      <c r="B1693" s="27" t="s">
        <v>273</v>
      </c>
      <c r="C1693" s="27" t="s">
        <v>404</v>
      </c>
      <c r="D1693" s="27" t="s">
        <v>298</v>
      </c>
      <c r="E1693" s="27" t="s">
        <v>1681</v>
      </c>
      <c r="F1693" s="51">
        <v>744724</v>
      </c>
      <c r="G1693" s="27"/>
    </row>
    <row r="1694" spans="1:7">
      <c r="A1694" s="27">
        <v>80</v>
      </c>
      <c r="B1694" s="27" t="s">
        <v>273</v>
      </c>
      <c r="C1694" s="27" t="s">
        <v>404</v>
      </c>
      <c r="D1694" s="27" t="s">
        <v>401</v>
      </c>
      <c r="E1694" s="27" t="s">
        <v>1681</v>
      </c>
      <c r="F1694" s="51">
        <v>32975</v>
      </c>
      <c r="G1694" s="27"/>
    </row>
    <row r="1695" spans="1:7">
      <c r="A1695" s="27">
        <v>80</v>
      </c>
      <c r="B1695" s="27" t="s">
        <v>273</v>
      </c>
      <c r="C1695" s="27" t="s">
        <v>404</v>
      </c>
      <c r="D1695" s="27" t="s">
        <v>1347</v>
      </c>
      <c r="E1695" s="27" t="s">
        <v>1681</v>
      </c>
      <c r="F1695" s="51">
        <v>5622</v>
      </c>
      <c r="G1695" s="27"/>
    </row>
    <row r="1696" spans="1:7">
      <c r="A1696" s="27">
        <v>80</v>
      </c>
      <c r="B1696" s="27" t="s">
        <v>273</v>
      </c>
      <c r="C1696" s="27" t="s">
        <v>404</v>
      </c>
      <c r="D1696" s="27" t="s">
        <v>402</v>
      </c>
      <c r="E1696" s="27" t="s">
        <v>1681</v>
      </c>
      <c r="F1696" s="51">
        <v>902094</v>
      </c>
      <c r="G1696" s="27"/>
    </row>
    <row r="1697" spans="1:7">
      <c r="A1697" s="27">
        <v>80</v>
      </c>
      <c r="B1697" s="27" t="s">
        <v>273</v>
      </c>
      <c r="C1697" s="27" t="s">
        <v>404</v>
      </c>
      <c r="D1697" s="27" t="s">
        <v>299</v>
      </c>
      <c r="E1697" s="27" t="s">
        <v>1681</v>
      </c>
      <c r="F1697" s="51">
        <v>244410</v>
      </c>
      <c r="G1697" s="27"/>
    </row>
    <row r="1698" spans="1:7">
      <c r="A1698" s="27">
        <v>80</v>
      </c>
      <c r="B1698" s="27" t="s">
        <v>273</v>
      </c>
      <c r="C1698" s="27" t="s">
        <v>404</v>
      </c>
      <c r="D1698" s="27" t="s">
        <v>338</v>
      </c>
      <c r="E1698" s="27" t="s">
        <v>1681</v>
      </c>
      <c r="F1698" s="51">
        <v>14767</v>
      </c>
      <c r="G1698" s="27"/>
    </row>
    <row r="1699" spans="1:7">
      <c r="A1699" s="27">
        <v>80</v>
      </c>
      <c r="B1699" s="27" t="s">
        <v>273</v>
      </c>
      <c r="C1699" s="27" t="s">
        <v>404</v>
      </c>
      <c r="D1699" s="27" t="s">
        <v>300</v>
      </c>
      <c r="E1699" s="27" t="s">
        <v>1681</v>
      </c>
      <c r="F1699" s="51">
        <v>46352</v>
      </c>
      <c r="G1699" s="27"/>
    </row>
    <row r="1700" spans="1:7">
      <c r="A1700" s="27">
        <v>81</v>
      </c>
      <c r="B1700" s="27" t="s">
        <v>274</v>
      </c>
      <c r="C1700" s="27" t="s">
        <v>306</v>
      </c>
      <c r="D1700" s="27" t="s">
        <v>399</v>
      </c>
      <c r="E1700" s="27" t="s">
        <v>1681</v>
      </c>
      <c r="F1700" s="51">
        <v>377264</v>
      </c>
      <c r="G1700" s="27"/>
    </row>
    <row r="1701" spans="1:7">
      <c r="A1701" s="27">
        <v>82</v>
      </c>
      <c r="B1701" s="27" t="s">
        <v>275</v>
      </c>
      <c r="C1701" s="27" t="s">
        <v>393</v>
      </c>
      <c r="D1701" s="27" t="s">
        <v>399</v>
      </c>
      <c r="E1701" s="27" t="s">
        <v>1681</v>
      </c>
      <c r="F1701" s="51">
        <v>1658006</v>
      </c>
      <c r="G1701" s="27"/>
    </row>
    <row r="1702" spans="1:7">
      <c r="A1702" s="27">
        <v>83</v>
      </c>
      <c r="B1702" s="27" t="s">
        <v>276</v>
      </c>
      <c r="C1702" s="27" t="s">
        <v>316</v>
      </c>
      <c r="D1702" s="27" t="s">
        <v>405</v>
      </c>
      <c r="E1702" s="27" t="s">
        <v>1682</v>
      </c>
      <c r="F1702" s="51">
        <v>124533</v>
      </c>
      <c r="G1702" s="27"/>
    </row>
    <row r="1703" spans="1:7">
      <c r="A1703" s="27">
        <v>83</v>
      </c>
      <c r="B1703" s="27" t="s">
        <v>276</v>
      </c>
      <c r="C1703" s="27" t="s">
        <v>316</v>
      </c>
      <c r="D1703" s="27" t="s">
        <v>406</v>
      </c>
      <c r="E1703" s="27" t="s">
        <v>1682</v>
      </c>
      <c r="F1703" s="51">
        <v>81831</v>
      </c>
      <c r="G1703" s="27"/>
    </row>
    <row r="1704" spans="1:7">
      <c r="A1704" s="27">
        <v>83</v>
      </c>
      <c r="B1704" s="27" t="s">
        <v>276</v>
      </c>
      <c r="C1704" s="27" t="s">
        <v>316</v>
      </c>
      <c r="D1704" s="27" t="s">
        <v>326</v>
      </c>
      <c r="E1704" s="27" t="s">
        <v>1682</v>
      </c>
      <c r="F1704" s="51">
        <v>52650</v>
      </c>
      <c r="G1704" s="27"/>
    </row>
    <row r="1705" spans="1:7">
      <c r="A1705" s="27">
        <v>83</v>
      </c>
      <c r="B1705" s="27" t="s">
        <v>276</v>
      </c>
      <c r="C1705" s="27" t="s">
        <v>316</v>
      </c>
      <c r="D1705" s="27" t="s">
        <v>408</v>
      </c>
      <c r="E1705" s="27" t="s">
        <v>1682</v>
      </c>
      <c r="F1705" s="51">
        <v>679721</v>
      </c>
      <c r="G1705" s="27"/>
    </row>
    <row r="1706" spans="1:7">
      <c r="A1706" s="27">
        <v>83</v>
      </c>
      <c r="B1706" s="27" t="s">
        <v>276</v>
      </c>
      <c r="C1706" s="27" t="s">
        <v>316</v>
      </c>
      <c r="D1706" s="27" t="s">
        <v>394</v>
      </c>
      <c r="E1706" s="27" t="s">
        <v>1682</v>
      </c>
      <c r="F1706" s="51">
        <v>1076000</v>
      </c>
      <c r="G1706" s="27"/>
    </row>
    <row r="1707" spans="1:7">
      <c r="A1707" s="27">
        <v>83</v>
      </c>
      <c r="B1707" s="27" t="s">
        <v>276</v>
      </c>
      <c r="C1707" s="27" t="s">
        <v>316</v>
      </c>
      <c r="D1707" s="27" t="s">
        <v>277</v>
      </c>
      <c r="E1707" s="27" t="s">
        <v>1682</v>
      </c>
      <c r="F1707" s="51">
        <v>50000</v>
      </c>
      <c r="G1707" s="27"/>
    </row>
    <row r="1708" spans="1:7">
      <c r="A1708" s="27">
        <v>83</v>
      </c>
      <c r="B1708" s="27" t="s">
        <v>276</v>
      </c>
      <c r="C1708" s="27" t="s">
        <v>316</v>
      </c>
      <c r="D1708" s="27" t="s">
        <v>397</v>
      </c>
      <c r="E1708" s="27" t="s">
        <v>1682</v>
      </c>
      <c r="F1708" s="51">
        <v>1395681</v>
      </c>
      <c r="G1708" s="27"/>
    </row>
    <row r="1709" spans="1:7">
      <c r="A1709" s="27">
        <v>83</v>
      </c>
      <c r="B1709" s="27" t="s">
        <v>276</v>
      </c>
      <c r="C1709" s="27" t="s">
        <v>316</v>
      </c>
      <c r="D1709" s="27" t="s">
        <v>333</v>
      </c>
      <c r="E1709" s="27" t="s">
        <v>1682</v>
      </c>
      <c r="F1709" s="51">
        <v>5339</v>
      </c>
      <c r="G1709" s="27"/>
    </row>
    <row r="1710" spans="1:7">
      <c r="A1710" s="27">
        <v>83</v>
      </c>
      <c r="B1710" s="27" t="s">
        <v>276</v>
      </c>
      <c r="C1710" s="27" t="s">
        <v>316</v>
      </c>
      <c r="D1710" s="27" t="s">
        <v>411</v>
      </c>
      <c r="E1710" s="27" t="s">
        <v>1682</v>
      </c>
      <c r="F1710" s="51">
        <v>35000</v>
      </c>
      <c r="G1710" s="27"/>
    </row>
    <row r="1711" spans="1:7">
      <c r="A1711" s="27">
        <v>83</v>
      </c>
      <c r="B1711" s="27" t="s">
        <v>276</v>
      </c>
      <c r="C1711" s="27" t="s">
        <v>316</v>
      </c>
      <c r="D1711" s="27" t="s">
        <v>412</v>
      </c>
      <c r="E1711" s="27" t="s">
        <v>1682</v>
      </c>
      <c r="F1711" s="51">
        <v>230660</v>
      </c>
      <c r="G1711" s="27"/>
    </row>
    <row r="1712" spans="1:7">
      <c r="A1712" s="27">
        <v>83</v>
      </c>
      <c r="B1712" s="27" t="s">
        <v>276</v>
      </c>
      <c r="C1712" s="27" t="s">
        <v>316</v>
      </c>
      <c r="D1712" s="27" t="s">
        <v>413</v>
      </c>
      <c r="E1712" s="27" t="s">
        <v>1682</v>
      </c>
      <c r="F1712" s="51">
        <v>12072</v>
      </c>
      <c r="G1712" s="27"/>
    </row>
    <row r="1713" spans="1:7">
      <c r="A1713" s="27">
        <v>83</v>
      </c>
      <c r="B1713" s="27" t="s">
        <v>276</v>
      </c>
      <c r="C1713" s="27" t="s">
        <v>316</v>
      </c>
      <c r="D1713" s="27" t="s">
        <v>398</v>
      </c>
      <c r="E1713" s="27" t="s">
        <v>1682</v>
      </c>
      <c r="F1713" s="51">
        <v>46069</v>
      </c>
      <c r="G1713" s="27"/>
    </row>
    <row r="1714" spans="1:7">
      <c r="A1714" s="27">
        <v>83</v>
      </c>
      <c r="B1714" s="27" t="s">
        <v>276</v>
      </c>
      <c r="C1714" s="27" t="s">
        <v>316</v>
      </c>
      <c r="D1714" s="27" t="s">
        <v>415</v>
      </c>
      <c r="E1714" s="27" t="s">
        <v>1682</v>
      </c>
      <c r="F1714" s="51">
        <v>51984</v>
      </c>
      <c r="G1714" s="27"/>
    </row>
    <row r="1715" spans="1:7">
      <c r="A1715" s="27">
        <v>83</v>
      </c>
      <c r="B1715" s="27" t="s">
        <v>276</v>
      </c>
      <c r="C1715" s="27" t="s">
        <v>316</v>
      </c>
      <c r="D1715" s="27" t="s">
        <v>334</v>
      </c>
      <c r="E1715" s="27" t="s">
        <v>1682</v>
      </c>
      <c r="F1715" s="51">
        <v>12000</v>
      </c>
      <c r="G1715" s="27"/>
    </row>
    <row r="1716" spans="1:7">
      <c r="A1716" s="27">
        <v>83</v>
      </c>
      <c r="B1716" s="27" t="s">
        <v>276</v>
      </c>
      <c r="C1716" s="27" t="s">
        <v>316</v>
      </c>
      <c r="D1716" s="27" t="s">
        <v>291</v>
      </c>
      <c r="E1716" s="27" t="s">
        <v>1681</v>
      </c>
      <c r="F1716" s="51">
        <v>23063</v>
      </c>
      <c r="G1716" s="27"/>
    </row>
    <row r="1717" spans="1:7">
      <c r="A1717" s="27">
        <v>83</v>
      </c>
      <c r="B1717" s="27" t="s">
        <v>276</v>
      </c>
      <c r="C1717" s="27" t="s">
        <v>316</v>
      </c>
      <c r="D1717" s="27" t="s">
        <v>399</v>
      </c>
      <c r="E1717" s="27" t="s">
        <v>1681</v>
      </c>
      <c r="F1717" s="51">
        <v>12133052</v>
      </c>
      <c r="G1717" s="27"/>
    </row>
    <row r="1718" spans="1:7">
      <c r="A1718" s="27">
        <v>83</v>
      </c>
      <c r="B1718" s="27" t="s">
        <v>276</v>
      </c>
      <c r="C1718" s="27" t="s">
        <v>316</v>
      </c>
      <c r="D1718" s="27" t="s">
        <v>317</v>
      </c>
      <c r="E1718" s="27" t="s">
        <v>1681</v>
      </c>
      <c r="F1718" s="51">
        <v>172342</v>
      </c>
      <c r="G1718" s="27"/>
    </row>
    <row r="1719" spans="1:7">
      <c r="A1719" s="27">
        <v>83</v>
      </c>
      <c r="B1719" s="27" t="s">
        <v>276</v>
      </c>
      <c r="C1719" s="27" t="s">
        <v>316</v>
      </c>
      <c r="D1719" s="27" t="s">
        <v>293</v>
      </c>
      <c r="E1719" s="27" t="s">
        <v>1681</v>
      </c>
      <c r="F1719" s="51">
        <v>90084</v>
      </c>
      <c r="G1719" s="27"/>
    </row>
    <row r="1720" spans="1:7">
      <c r="A1720" s="27">
        <v>83</v>
      </c>
      <c r="B1720" s="27" t="s">
        <v>276</v>
      </c>
      <c r="C1720" s="27" t="s">
        <v>316</v>
      </c>
      <c r="D1720" s="27" t="s">
        <v>307</v>
      </c>
      <c r="E1720" s="27" t="s">
        <v>1681</v>
      </c>
      <c r="F1720" s="51">
        <v>174000</v>
      </c>
      <c r="G1720" s="27"/>
    </row>
    <row r="1721" spans="1:7">
      <c r="A1721" s="27">
        <v>83</v>
      </c>
      <c r="B1721" s="27" t="s">
        <v>276</v>
      </c>
      <c r="C1721" s="27" t="s">
        <v>316</v>
      </c>
      <c r="D1721" s="27" t="s">
        <v>294</v>
      </c>
      <c r="E1721" s="27" t="s">
        <v>1681</v>
      </c>
      <c r="F1721" s="51">
        <v>114522</v>
      </c>
      <c r="G1721" s="27"/>
    </row>
    <row r="1722" spans="1:7">
      <c r="A1722" s="27">
        <v>83</v>
      </c>
      <c r="B1722" s="27" t="s">
        <v>276</v>
      </c>
      <c r="C1722" s="27" t="s">
        <v>316</v>
      </c>
      <c r="D1722" s="27" t="s">
        <v>303</v>
      </c>
      <c r="E1722" s="27" t="s">
        <v>1681</v>
      </c>
      <c r="F1722" s="51">
        <v>16200</v>
      </c>
      <c r="G1722" s="27"/>
    </row>
    <row r="1723" spans="1:7">
      <c r="A1723" s="27">
        <v>83</v>
      </c>
      <c r="B1723" s="27" t="s">
        <v>276</v>
      </c>
      <c r="C1723" s="27" t="s">
        <v>316</v>
      </c>
      <c r="D1723" s="27" t="s">
        <v>296</v>
      </c>
      <c r="E1723" s="27" t="s">
        <v>1681</v>
      </c>
      <c r="F1723" s="51">
        <v>5140926</v>
      </c>
      <c r="G1723" s="27"/>
    </row>
    <row r="1724" spans="1:7">
      <c r="A1724" s="27">
        <v>83</v>
      </c>
      <c r="B1724" s="27" t="s">
        <v>276</v>
      </c>
      <c r="C1724" s="27" t="s">
        <v>316</v>
      </c>
      <c r="D1724" s="27" t="s">
        <v>400</v>
      </c>
      <c r="E1724" s="27" t="s">
        <v>1681</v>
      </c>
      <c r="F1724" s="51">
        <v>422027</v>
      </c>
      <c r="G1724" s="27"/>
    </row>
    <row r="1725" spans="1:7">
      <c r="A1725" s="27">
        <v>83</v>
      </c>
      <c r="B1725" s="27" t="s">
        <v>276</v>
      </c>
      <c r="C1725" s="27" t="s">
        <v>316</v>
      </c>
      <c r="D1725" s="27" t="s">
        <v>298</v>
      </c>
      <c r="E1725" s="27" t="s">
        <v>1681</v>
      </c>
      <c r="F1725" s="51">
        <v>293232</v>
      </c>
      <c r="G1725" s="27"/>
    </row>
    <row r="1726" spans="1:7">
      <c r="A1726" s="27">
        <v>83</v>
      </c>
      <c r="B1726" s="27" t="s">
        <v>276</v>
      </c>
      <c r="C1726" s="27" t="s">
        <v>316</v>
      </c>
      <c r="D1726" s="27" t="s">
        <v>401</v>
      </c>
      <c r="E1726" s="27" t="s">
        <v>1681</v>
      </c>
      <c r="F1726" s="51">
        <v>32017</v>
      </c>
      <c r="G1726" s="27"/>
    </row>
    <row r="1727" spans="1:7">
      <c r="A1727" s="27">
        <v>83</v>
      </c>
      <c r="B1727" s="27" t="s">
        <v>276</v>
      </c>
      <c r="C1727" s="27" t="s">
        <v>316</v>
      </c>
      <c r="D1727" s="27" t="s">
        <v>1347</v>
      </c>
      <c r="E1727" s="27" t="s">
        <v>1681</v>
      </c>
      <c r="F1727" s="51">
        <v>36680</v>
      </c>
      <c r="G1727" s="27"/>
    </row>
    <row r="1728" spans="1:7">
      <c r="A1728" s="27">
        <v>83</v>
      </c>
      <c r="B1728" s="27" t="s">
        <v>276</v>
      </c>
      <c r="C1728" s="27" t="s">
        <v>316</v>
      </c>
      <c r="D1728" s="27" t="s">
        <v>402</v>
      </c>
      <c r="E1728" s="27" t="s">
        <v>1681</v>
      </c>
      <c r="F1728" s="51">
        <v>792649</v>
      </c>
      <c r="G1728" s="27"/>
    </row>
    <row r="1729" spans="1:7">
      <c r="A1729" s="27">
        <v>83</v>
      </c>
      <c r="B1729" s="27" t="s">
        <v>276</v>
      </c>
      <c r="C1729" s="27" t="s">
        <v>316</v>
      </c>
      <c r="D1729" s="27" t="s">
        <v>299</v>
      </c>
      <c r="E1729" s="27" t="s">
        <v>1681</v>
      </c>
      <c r="F1729" s="51">
        <v>145133</v>
      </c>
      <c r="G1729" s="27"/>
    </row>
    <row r="1730" spans="1:7">
      <c r="A1730" s="27">
        <v>83</v>
      </c>
      <c r="B1730" s="27" t="s">
        <v>276</v>
      </c>
      <c r="C1730" s="27" t="s">
        <v>316</v>
      </c>
      <c r="D1730" s="27" t="s">
        <v>320</v>
      </c>
      <c r="E1730" s="27" t="s">
        <v>1681</v>
      </c>
      <c r="F1730" s="51">
        <v>72856</v>
      </c>
      <c r="G1730" s="27"/>
    </row>
    <row r="1731" spans="1:7">
      <c r="A1731" s="27">
        <v>83</v>
      </c>
      <c r="B1731" s="27" t="s">
        <v>276</v>
      </c>
      <c r="C1731" s="27" t="s">
        <v>316</v>
      </c>
      <c r="D1731" s="27" t="s">
        <v>338</v>
      </c>
      <c r="E1731" s="27" t="s">
        <v>1681</v>
      </c>
      <c r="F1731" s="51">
        <v>14767</v>
      </c>
      <c r="G1731" s="27"/>
    </row>
    <row r="1732" spans="1:7">
      <c r="A1732" s="27">
        <v>83</v>
      </c>
      <c r="B1732" s="27" t="s">
        <v>276</v>
      </c>
      <c r="C1732" s="27" t="s">
        <v>316</v>
      </c>
      <c r="D1732" s="27" t="s">
        <v>300</v>
      </c>
      <c r="E1732" s="27" t="s">
        <v>1681</v>
      </c>
      <c r="F1732" s="51">
        <v>30018</v>
      </c>
      <c r="G1732" s="27"/>
    </row>
    <row r="1733" spans="1:7">
      <c r="A1733" s="27">
        <v>84</v>
      </c>
      <c r="B1733" s="27" t="s">
        <v>278</v>
      </c>
      <c r="C1733" s="27" t="s">
        <v>311</v>
      </c>
      <c r="D1733" s="27" t="s">
        <v>406</v>
      </c>
      <c r="E1733" s="27" t="s">
        <v>1682</v>
      </c>
      <c r="F1733" s="51">
        <v>62504</v>
      </c>
      <c r="G1733" s="27"/>
    </row>
    <row r="1734" spans="1:7">
      <c r="A1734" s="27">
        <v>84</v>
      </c>
      <c r="B1734" s="27" t="s">
        <v>278</v>
      </c>
      <c r="C1734" s="27" t="s">
        <v>311</v>
      </c>
      <c r="D1734" s="27" t="s">
        <v>408</v>
      </c>
      <c r="E1734" s="27" t="s">
        <v>1682</v>
      </c>
      <c r="F1734" s="51">
        <v>359886</v>
      </c>
      <c r="G1734" s="27"/>
    </row>
    <row r="1735" spans="1:7">
      <c r="A1735" s="27">
        <v>84</v>
      </c>
      <c r="B1735" s="27" t="s">
        <v>278</v>
      </c>
      <c r="C1735" s="27" t="s">
        <v>311</v>
      </c>
      <c r="D1735" s="27" t="s">
        <v>394</v>
      </c>
      <c r="E1735" s="27" t="s">
        <v>1682</v>
      </c>
      <c r="F1735" s="51">
        <v>1202676</v>
      </c>
      <c r="G1735" s="27"/>
    </row>
    <row r="1736" spans="1:7">
      <c r="A1736" s="27">
        <v>84</v>
      </c>
      <c r="B1736" s="27" t="s">
        <v>278</v>
      </c>
      <c r="C1736" s="27" t="s">
        <v>311</v>
      </c>
      <c r="D1736" s="27" t="s">
        <v>396</v>
      </c>
      <c r="E1736" s="27" t="s">
        <v>1682</v>
      </c>
      <c r="F1736" s="51">
        <v>20877</v>
      </c>
      <c r="G1736" s="27"/>
    </row>
    <row r="1737" spans="1:7">
      <c r="A1737" s="27">
        <v>84</v>
      </c>
      <c r="B1737" s="27" t="s">
        <v>278</v>
      </c>
      <c r="C1737" s="27" t="s">
        <v>311</v>
      </c>
      <c r="D1737" s="27" t="s">
        <v>397</v>
      </c>
      <c r="E1737" s="27" t="s">
        <v>1682</v>
      </c>
      <c r="F1737" s="51">
        <v>517753</v>
      </c>
      <c r="G1737" s="27"/>
    </row>
    <row r="1738" spans="1:7">
      <c r="A1738" s="27">
        <v>84</v>
      </c>
      <c r="B1738" s="27" t="s">
        <v>278</v>
      </c>
      <c r="C1738" s="27" t="s">
        <v>311</v>
      </c>
      <c r="D1738" s="27" t="s">
        <v>333</v>
      </c>
      <c r="E1738" s="27" t="s">
        <v>1682</v>
      </c>
      <c r="F1738" s="51">
        <v>10929</v>
      </c>
      <c r="G1738" s="27"/>
    </row>
    <row r="1739" spans="1:7">
      <c r="A1739" s="27">
        <v>84</v>
      </c>
      <c r="B1739" s="27" t="s">
        <v>278</v>
      </c>
      <c r="C1739" s="27" t="s">
        <v>311</v>
      </c>
      <c r="D1739" s="27" t="s">
        <v>411</v>
      </c>
      <c r="E1739" s="27" t="s">
        <v>1682</v>
      </c>
      <c r="F1739" s="51">
        <v>10088</v>
      </c>
      <c r="G1739" s="27"/>
    </row>
    <row r="1740" spans="1:7">
      <c r="A1740" s="27">
        <v>84</v>
      </c>
      <c r="B1740" s="27" t="s">
        <v>278</v>
      </c>
      <c r="C1740" s="27" t="s">
        <v>311</v>
      </c>
      <c r="D1740" s="27" t="s">
        <v>412</v>
      </c>
      <c r="E1740" s="27" t="s">
        <v>1682</v>
      </c>
      <c r="F1740" s="51">
        <v>176000</v>
      </c>
      <c r="G1740" s="27"/>
    </row>
    <row r="1741" spans="1:7">
      <c r="A1741" s="27">
        <v>84</v>
      </c>
      <c r="B1741" s="27" t="s">
        <v>278</v>
      </c>
      <c r="C1741" s="27" t="s">
        <v>311</v>
      </c>
      <c r="D1741" s="27" t="s">
        <v>413</v>
      </c>
      <c r="E1741" s="27" t="s">
        <v>1682</v>
      </c>
      <c r="F1741" s="51">
        <v>20811</v>
      </c>
      <c r="G1741" s="27"/>
    </row>
    <row r="1742" spans="1:7">
      <c r="A1742" s="27">
        <v>84</v>
      </c>
      <c r="B1742" s="27" t="s">
        <v>278</v>
      </c>
      <c r="C1742" s="27" t="s">
        <v>311</v>
      </c>
      <c r="D1742" s="27" t="s">
        <v>398</v>
      </c>
      <c r="E1742" s="27" t="s">
        <v>1682</v>
      </c>
      <c r="F1742" s="51">
        <v>24241</v>
      </c>
      <c r="G1742" s="27"/>
    </row>
    <row r="1743" spans="1:7">
      <c r="A1743" s="27">
        <v>84</v>
      </c>
      <c r="B1743" s="27" t="s">
        <v>278</v>
      </c>
      <c r="C1743" s="27" t="s">
        <v>311</v>
      </c>
      <c r="D1743" s="27" t="s">
        <v>415</v>
      </c>
      <c r="E1743" s="27" t="s">
        <v>1682</v>
      </c>
      <c r="F1743" s="51">
        <v>36823</v>
      </c>
      <c r="G1743" s="27"/>
    </row>
    <row r="1744" spans="1:7">
      <c r="A1744" s="27">
        <v>84</v>
      </c>
      <c r="B1744" s="27" t="s">
        <v>278</v>
      </c>
      <c r="C1744" s="27" t="s">
        <v>311</v>
      </c>
      <c r="D1744" s="27" t="s">
        <v>334</v>
      </c>
      <c r="E1744" s="27" t="s">
        <v>1682</v>
      </c>
      <c r="F1744" s="51">
        <v>10320</v>
      </c>
      <c r="G1744" s="27"/>
    </row>
    <row r="1745" spans="1:7">
      <c r="A1745" s="27">
        <v>84</v>
      </c>
      <c r="B1745" s="27" t="s">
        <v>278</v>
      </c>
      <c r="C1745" s="27" t="s">
        <v>311</v>
      </c>
      <c r="D1745" s="27" t="s">
        <v>291</v>
      </c>
      <c r="E1745" s="27" t="s">
        <v>1681</v>
      </c>
      <c r="F1745" s="51">
        <v>27335</v>
      </c>
      <c r="G1745" s="27"/>
    </row>
    <row r="1746" spans="1:7">
      <c r="A1746" s="27">
        <v>84</v>
      </c>
      <c r="B1746" s="27" t="s">
        <v>278</v>
      </c>
      <c r="C1746" s="27" t="s">
        <v>311</v>
      </c>
      <c r="D1746" s="27" t="s">
        <v>399</v>
      </c>
      <c r="E1746" s="27" t="s">
        <v>1681</v>
      </c>
      <c r="F1746" s="51">
        <v>9422670</v>
      </c>
      <c r="G1746" s="27"/>
    </row>
    <row r="1747" spans="1:7">
      <c r="A1747" s="27">
        <v>84</v>
      </c>
      <c r="B1747" s="27" t="s">
        <v>278</v>
      </c>
      <c r="C1747" s="27" t="s">
        <v>311</v>
      </c>
      <c r="D1747" s="27" t="s">
        <v>317</v>
      </c>
      <c r="E1747" s="27" t="s">
        <v>1681</v>
      </c>
      <c r="F1747" s="51">
        <v>86171</v>
      </c>
      <c r="G1747" s="27"/>
    </row>
    <row r="1748" spans="1:7">
      <c r="A1748" s="27">
        <v>84</v>
      </c>
      <c r="B1748" s="27" t="s">
        <v>278</v>
      </c>
      <c r="C1748" s="27" t="s">
        <v>311</v>
      </c>
      <c r="D1748" s="27" t="s">
        <v>293</v>
      </c>
      <c r="E1748" s="27" t="s">
        <v>1681</v>
      </c>
      <c r="F1748" s="51">
        <v>172179</v>
      </c>
      <c r="G1748" s="27"/>
    </row>
    <row r="1749" spans="1:7">
      <c r="A1749" s="27">
        <v>84</v>
      </c>
      <c r="B1749" s="27" t="s">
        <v>278</v>
      </c>
      <c r="C1749" s="27" t="s">
        <v>311</v>
      </c>
      <c r="D1749" s="27" t="s">
        <v>307</v>
      </c>
      <c r="E1749" s="27" t="s">
        <v>1681</v>
      </c>
      <c r="F1749" s="51">
        <v>21427</v>
      </c>
      <c r="G1749" s="27"/>
    </row>
    <row r="1750" spans="1:7">
      <c r="A1750" s="27">
        <v>84</v>
      </c>
      <c r="B1750" s="27" t="s">
        <v>278</v>
      </c>
      <c r="C1750" s="27" t="s">
        <v>311</v>
      </c>
      <c r="D1750" s="27" t="s">
        <v>294</v>
      </c>
      <c r="E1750" s="27" t="s">
        <v>1681</v>
      </c>
      <c r="F1750" s="51">
        <v>114824</v>
      </c>
      <c r="G1750" s="27"/>
    </row>
    <row r="1751" spans="1:7">
      <c r="A1751" s="27">
        <v>84</v>
      </c>
      <c r="B1751" s="27" t="s">
        <v>278</v>
      </c>
      <c r="C1751" s="27" t="s">
        <v>311</v>
      </c>
      <c r="D1751" s="27" t="s">
        <v>295</v>
      </c>
      <c r="E1751" s="27" t="s">
        <v>1681</v>
      </c>
      <c r="F1751" s="51">
        <v>52000</v>
      </c>
      <c r="G1751" s="27"/>
    </row>
    <row r="1752" spans="1:7">
      <c r="A1752" s="27">
        <v>84</v>
      </c>
      <c r="B1752" s="27" t="s">
        <v>278</v>
      </c>
      <c r="C1752" s="27" t="s">
        <v>311</v>
      </c>
      <c r="D1752" s="27" t="s">
        <v>296</v>
      </c>
      <c r="E1752" s="27" t="s">
        <v>1681</v>
      </c>
      <c r="F1752" s="51">
        <v>2067241</v>
      </c>
      <c r="G1752" s="27"/>
    </row>
    <row r="1753" spans="1:7">
      <c r="A1753" s="27">
        <v>84</v>
      </c>
      <c r="B1753" s="27" t="s">
        <v>278</v>
      </c>
      <c r="C1753" s="27" t="s">
        <v>311</v>
      </c>
      <c r="D1753" s="27" t="s">
        <v>400</v>
      </c>
      <c r="E1753" s="27" t="s">
        <v>1681</v>
      </c>
      <c r="F1753" s="51">
        <v>89947</v>
      </c>
      <c r="G1753" s="27"/>
    </row>
    <row r="1754" spans="1:7">
      <c r="A1754" s="27">
        <v>84</v>
      </c>
      <c r="B1754" s="27" t="s">
        <v>278</v>
      </c>
      <c r="C1754" s="27" t="s">
        <v>311</v>
      </c>
      <c r="D1754" s="27" t="s">
        <v>298</v>
      </c>
      <c r="E1754" s="27" t="s">
        <v>1681</v>
      </c>
      <c r="F1754" s="51">
        <v>202784</v>
      </c>
      <c r="G1754" s="27"/>
    </row>
    <row r="1755" spans="1:7">
      <c r="A1755" s="27">
        <v>84</v>
      </c>
      <c r="B1755" s="27" t="s">
        <v>278</v>
      </c>
      <c r="C1755" s="27" t="s">
        <v>311</v>
      </c>
      <c r="D1755" s="27" t="s">
        <v>401</v>
      </c>
      <c r="E1755" s="27" t="s">
        <v>1681</v>
      </c>
      <c r="F1755" s="51">
        <v>14875</v>
      </c>
      <c r="G1755" s="27"/>
    </row>
    <row r="1756" spans="1:7">
      <c r="A1756" s="27">
        <v>84</v>
      </c>
      <c r="B1756" s="27" t="s">
        <v>278</v>
      </c>
      <c r="C1756" s="27" t="s">
        <v>311</v>
      </c>
      <c r="D1756" s="27" t="s">
        <v>402</v>
      </c>
      <c r="E1756" s="27" t="s">
        <v>1681</v>
      </c>
      <c r="F1756" s="51">
        <v>244942</v>
      </c>
      <c r="G1756" s="27"/>
    </row>
    <row r="1757" spans="1:7">
      <c r="A1757" s="27">
        <v>84</v>
      </c>
      <c r="B1757" s="27" t="s">
        <v>278</v>
      </c>
      <c r="C1757" s="27" t="s">
        <v>311</v>
      </c>
      <c r="D1757" s="27" t="s">
        <v>299</v>
      </c>
      <c r="E1757" s="27" t="s">
        <v>1681</v>
      </c>
      <c r="F1757" s="51">
        <v>52358</v>
      </c>
      <c r="G1757" s="27"/>
    </row>
    <row r="1758" spans="1:7">
      <c r="A1758" s="27">
        <v>84</v>
      </c>
      <c r="B1758" s="27" t="s">
        <v>278</v>
      </c>
      <c r="C1758" s="27" t="s">
        <v>311</v>
      </c>
      <c r="D1758" s="27" t="s">
        <v>300</v>
      </c>
      <c r="E1758" s="27" t="s">
        <v>1681</v>
      </c>
      <c r="F1758" s="51">
        <v>35201</v>
      </c>
      <c r="G1758" s="27"/>
    </row>
    <row r="1759" spans="1:7">
      <c r="A1759" s="27">
        <v>85</v>
      </c>
      <c r="B1759" s="27" t="s">
        <v>279</v>
      </c>
      <c r="C1759" s="27" t="s">
        <v>306</v>
      </c>
      <c r="D1759" s="27" t="s">
        <v>406</v>
      </c>
      <c r="E1759" s="27" t="s">
        <v>1682</v>
      </c>
      <c r="F1759" s="51">
        <v>23677</v>
      </c>
      <c r="G1759" s="27"/>
    </row>
    <row r="1760" spans="1:7">
      <c r="A1760" s="27">
        <v>85</v>
      </c>
      <c r="B1760" s="27" t="s">
        <v>279</v>
      </c>
      <c r="C1760" s="27" t="s">
        <v>306</v>
      </c>
      <c r="D1760" s="27" t="s">
        <v>408</v>
      </c>
      <c r="E1760" s="27" t="s">
        <v>1682</v>
      </c>
      <c r="F1760" s="51">
        <v>59449</v>
      </c>
      <c r="G1760" s="27"/>
    </row>
    <row r="1761" spans="1:7">
      <c r="A1761" s="27">
        <v>85</v>
      </c>
      <c r="B1761" s="27" t="s">
        <v>279</v>
      </c>
      <c r="C1761" s="27" t="s">
        <v>306</v>
      </c>
      <c r="D1761" s="27" t="s">
        <v>394</v>
      </c>
      <c r="E1761" s="27" t="s">
        <v>1682</v>
      </c>
      <c r="F1761" s="51">
        <v>492955</v>
      </c>
      <c r="G1761" s="27"/>
    </row>
    <row r="1762" spans="1:7">
      <c r="A1762" s="27">
        <v>85</v>
      </c>
      <c r="B1762" s="27" t="s">
        <v>279</v>
      </c>
      <c r="C1762" s="27" t="s">
        <v>306</v>
      </c>
      <c r="D1762" s="27" t="s">
        <v>410</v>
      </c>
      <c r="E1762" s="27" t="s">
        <v>1682</v>
      </c>
      <c r="F1762" s="51">
        <v>1000</v>
      </c>
      <c r="G1762" s="27"/>
    </row>
    <row r="1763" spans="1:7">
      <c r="A1763" s="27">
        <v>85</v>
      </c>
      <c r="B1763" s="27" t="s">
        <v>279</v>
      </c>
      <c r="C1763" s="27" t="s">
        <v>306</v>
      </c>
      <c r="D1763" s="27" t="s">
        <v>397</v>
      </c>
      <c r="E1763" s="27" t="s">
        <v>1682</v>
      </c>
      <c r="F1763" s="51">
        <v>112851</v>
      </c>
      <c r="G1763" s="27"/>
    </row>
    <row r="1764" spans="1:7">
      <c r="A1764" s="27">
        <v>85</v>
      </c>
      <c r="B1764" s="27" t="s">
        <v>279</v>
      </c>
      <c r="C1764" s="27" t="s">
        <v>306</v>
      </c>
      <c r="D1764" s="27" t="s">
        <v>333</v>
      </c>
      <c r="E1764" s="27" t="s">
        <v>1682</v>
      </c>
      <c r="F1764" s="51">
        <v>545</v>
      </c>
      <c r="G1764" s="27"/>
    </row>
    <row r="1765" spans="1:7">
      <c r="A1765" s="27">
        <v>85</v>
      </c>
      <c r="B1765" s="27" t="s">
        <v>279</v>
      </c>
      <c r="C1765" s="27" t="s">
        <v>306</v>
      </c>
      <c r="D1765" s="27" t="s">
        <v>411</v>
      </c>
      <c r="E1765" s="27" t="s">
        <v>1682</v>
      </c>
      <c r="F1765" s="51">
        <v>2000</v>
      </c>
      <c r="G1765" s="27"/>
    </row>
    <row r="1766" spans="1:7">
      <c r="A1766" s="27">
        <v>85</v>
      </c>
      <c r="B1766" s="27" t="s">
        <v>279</v>
      </c>
      <c r="C1766" s="27" t="s">
        <v>306</v>
      </c>
      <c r="D1766" s="27" t="s">
        <v>412</v>
      </c>
      <c r="E1766" s="27" t="s">
        <v>1682</v>
      </c>
      <c r="F1766" s="51">
        <v>60900</v>
      </c>
      <c r="G1766" s="27"/>
    </row>
    <row r="1767" spans="1:7">
      <c r="A1767" s="27">
        <v>85</v>
      </c>
      <c r="B1767" s="27" t="s">
        <v>279</v>
      </c>
      <c r="C1767" s="27" t="s">
        <v>306</v>
      </c>
      <c r="D1767" s="27" t="s">
        <v>398</v>
      </c>
      <c r="E1767" s="27" t="s">
        <v>1682</v>
      </c>
      <c r="F1767" s="51">
        <v>12806</v>
      </c>
      <c r="G1767" s="27"/>
    </row>
    <row r="1768" spans="1:7">
      <c r="A1768" s="27">
        <v>85</v>
      </c>
      <c r="B1768" s="27" t="s">
        <v>279</v>
      </c>
      <c r="C1768" s="27" t="s">
        <v>306</v>
      </c>
      <c r="D1768" s="27" t="s">
        <v>415</v>
      </c>
      <c r="E1768" s="27" t="s">
        <v>1682</v>
      </c>
      <c r="F1768" s="51">
        <v>15889</v>
      </c>
      <c r="G1768" s="27"/>
    </row>
    <row r="1769" spans="1:7">
      <c r="A1769" s="27">
        <v>85</v>
      </c>
      <c r="B1769" s="27" t="s">
        <v>279</v>
      </c>
      <c r="C1769" s="27" t="s">
        <v>306</v>
      </c>
      <c r="D1769" s="27" t="s">
        <v>291</v>
      </c>
      <c r="E1769" s="27" t="s">
        <v>1681</v>
      </c>
      <c r="F1769" s="51">
        <v>15350</v>
      </c>
      <c r="G1769" s="27"/>
    </row>
    <row r="1770" spans="1:7">
      <c r="A1770" s="27">
        <v>85</v>
      </c>
      <c r="B1770" s="27" t="s">
        <v>279</v>
      </c>
      <c r="C1770" s="27" t="s">
        <v>306</v>
      </c>
      <c r="D1770" s="27" t="s">
        <v>399</v>
      </c>
      <c r="E1770" s="27" t="s">
        <v>1681</v>
      </c>
      <c r="F1770" s="51">
        <v>5477677</v>
      </c>
      <c r="G1770" s="27"/>
    </row>
    <row r="1771" spans="1:7">
      <c r="A1771" s="27">
        <v>85</v>
      </c>
      <c r="B1771" s="27" t="s">
        <v>279</v>
      </c>
      <c r="C1771" s="27" t="s">
        <v>306</v>
      </c>
      <c r="D1771" s="27" t="s">
        <v>307</v>
      </c>
      <c r="E1771" s="27" t="s">
        <v>1681</v>
      </c>
      <c r="F1771" s="51">
        <v>37200</v>
      </c>
      <c r="G1771" s="27"/>
    </row>
    <row r="1772" spans="1:7">
      <c r="A1772" s="27">
        <v>85</v>
      </c>
      <c r="B1772" s="27" t="s">
        <v>279</v>
      </c>
      <c r="C1772" s="27" t="s">
        <v>306</v>
      </c>
      <c r="D1772" s="27" t="s">
        <v>294</v>
      </c>
      <c r="E1772" s="27" t="s">
        <v>1681</v>
      </c>
      <c r="F1772" s="51">
        <v>5040</v>
      </c>
      <c r="G1772" s="27"/>
    </row>
    <row r="1773" spans="1:7">
      <c r="A1773" s="27">
        <v>85</v>
      </c>
      <c r="B1773" s="27" t="s">
        <v>279</v>
      </c>
      <c r="C1773" s="27" t="s">
        <v>306</v>
      </c>
      <c r="D1773" s="27" t="s">
        <v>295</v>
      </c>
      <c r="E1773" s="27" t="s">
        <v>1681</v>
      </c>
      <c r="F1773" s="51">
        <v>28000</v>
      </c>
      <c r="G1773" s="27"/>
    </row>
    <row r="1774" spans="1:7">
      <c r="A1774" s="27">
        <v>85</v>
      </c>
      <c r="B1774" s="27" t="s">
        <v>279</v>
      </c>
      <c r="C1774" s="27" t="s">
        <v>306</v>
      </c>
      <c r="D1774" s="27" t="s">
        <v>296</v>
      </c>
      <c r="E1774" s="27" t="s">
        <v>1681</v>
      </c>
      <c r="F1774" s="51">
        <v>4254572</v>
      </c>
      <c r="G1774" s="27"/>
    </row>
    <row r="1775" spans="1:7">
      <c r="A1775" s="27">
        <v>85</v>
      </c>
      <c r="B1775" s="27" t="s">
        <v>279</v>
      </c>
      <c r="C1775" s="27" t="s">
        <v>306</v>
      </c>
      <c r="D1775" s="27" t="s">
        <v>400</v>
      </c>
      <c r="E1775" s="27" t="s">
        <v>1681</v>
      </c>
      <c r="F1775" s="51">
        <v>40960</v>
      </c>
      <c r="G1775" s="27"/>
    </row>
    <row r="1776" spans="1:7">
      <c r="A1776" s="27">
        <v>85</v>
      </c>
      <c r="B1776" s="27" t="s">
        <v>279</v>
      </c>
      <c r="C1776" s="27" t="s">
        <v>306</v>
      </c>
      <c r="D1776" s="27" t="s">
        <v>298</v>
      </c>
      <c r="E1776" s="27" t="s">
        <v>1681</v>
      </c>
      <c r="F1776" s="51">
        <v>88573</v>
      </c>
      <c r="G1776" s="27"/>
    </row>
    <row r="1777" spans="1:7">
      <c r="A1777" s="27">
        <v>85</v>
      </c>
      <c r="B1777" s="27" t="s">
        <v>279</v>
      </c>
      <c r="C1777" s="27" t="s">
        <v>306</v>
      </c>
      <c r="D1777" s="27" t="s">
        <v>401</v>
      </c>
      <c r="E1777" s="27" t="s">
        <v>1681</v>
      </c>
      <c r="F1777" s="51">
        <v>29784</v>
      </c>
      <c r="G1777" s="27"/>
    </row>
    <row r="1778" spans="1:7">
      <c r="A1778" s="27">
        <v>85</v>
      </c>
      <c r="B1778" s="27" t="s">
        <v>279</v>
      </c>
      <c r="C1778" s="27" t="s">
        <v>306</v>
      </c>
      <c r="D1778" s="27" t="s">
        <v>402</v>
      </c>
      <c r="E1778" s="27" t="s">
        <v>1681</v>
      </c>
      <c r="F1778" s="51">
        <v>140562</v>
      </c>
      <c r="G1778" s="27"/>
    </row>
    <row r="1779" spans="1:7">
      <c r="A1779" s="27">
        <v>85</v>
      </c>
      <c r="B1779" s="27" t="s">
        <v>279</v>
      </c>
      <c r="C1779" s="27" t="s">
        <v>306</v>
      </c>
      <c r="D1779" s="27" t="s">
        <v>299</v>
      </c>
      <c r="E1779" s="27" t="s">
        <v>1681</v>
      </c>
      <c r="F1779" s="51">
        <v>11488</v>
      </c>
      <c r="G1779" s="27"/>
    </row>
    <row r="1780" spans="1:7">
      <c r="A1780" s="27">
        <v>85</v>
      </c>
      <c r="B1780" s="27" t="s">
        <v>279</v>
      </c>
      <c r="C1780" s="27" t="s">
        <v>306</v>
      </c>
      <c r="D1780" s="27" t="s">
        <v>300</v>
      </c>
      <c r="E1780" s="27" t="s">
        <v>1681</v>
      </c>
      <c r="F1780" s="51">
        <v>14000</v>
      </c>
      <c r="G1780" s="27"/>
    </row>
    <row r="1781" spans="1:7">
      <c r="A1781" s="27">
        <v>86</v>
      </c>
      <c r="B1781" s="27" t="s">
        <v>280</v>
      </c>
      <c r="C1781" s="27" t="s">
        <v>346</v>
      </c>
      <c r="D1781" s="27" t="s">
        <v>406</v>
      </c>
      <c r="E1781" s="27" t="s">
        <v>1682</v>
      </c>
      <c r="F1781" s="51">
        <v>31074</v>
      </c>
      <c r="G1781" s="27"/>
    </row>
    <row r="1782" spans="1:7">
      <c r="A1782" s="27">
        <v>86</v>
      </c>
      <c r="B1782" s="27" t="s">
        <v>280</v>
      </c>
      <c r="C1782" s="27" t="s">
        <v>346</v>
      </c>
      <c r="D1782" s="27" t="s">
        <v>408</v>
      </c>
      <c r="E1782" s="27" t="s">
        <v>1682</v>
      </c>
      <c r="F1782" s="51">
        <v>140931</v>
      </c>
      <c r="G1782" s="27"/>
    </row>
    <row r="1783" spans="1:7">
      <c r="A1783" s="27">
        <v>86</v>
      </c>
      <c r="B1783" s="27" t="s">
        <v>280</v>
      </c>
      <c r="C1783" s="27" t="s">
        <v>346</v>
      </c>
      <c r="D1783" s="27" t="s">
        <v>394</v>
      </c>
      <c r="E1783" s="27" t="s">
        <v>1682</v>
      </c>
      <c r="F1783" s="51">
        <v>400000</v>
      </c>
      <c r="G1783" s="27"/>
    </row>
    <row r="1784" spans="1:7">
      <c r="A1784" s="27">
        <v>86</v>
      </c>
      <c r="B1784" s="27" t="s">
        <v>280</v>
      </c>
      <c r="C1784" s="27" t="s">
        <v>346</v>
      </c>
      <c r="D1784" s="27" t="s">
        <v>396</v>
      </c>
      <c r="E1784" s="27" t="s">
        <v>1682</v>
      </c>
      <c r="F1784" s="51">
        <v>179044</v>
      </c>
      <c r="G1784" s="27"/>
    </row>
    <row r="1785" spans="1:7">
      <c r="A1785" s="27">
        <v>86</v>
      </c>
      <c r="B1785" s="27" t="s">
        <v>280</v>
      </c>
      <c r="C1785" s="27" t="s">
        <v>346</v>
      </c>
      <c r="D1785" s="27" t="s">
        <v>397</v>
      </c>
      <c r="E1785" s="27" t="s">
        <v>1682</v>
      </c>
      <c r="F1785" s="51">
        <v>315288</v>
      </c>
      <c r="G1785" s="27"/>
    </row>
    <row r="1786" spans="1:7">
      <c r="A1786" s="27">
        <v>86</v>
      </c>
      <c r="B1786" s="27" t="s">
        <v>280</v>
      </c>
      <c r="C1786" s="27" t="s">
        <v>346</v>
      </c>
      <c r="D1786" s="27" t="s">
        <v>411</v>
      </c>
      <c r="E1786" s="27" t="s">
        <v>1682</v>
      </c>
      <c r="F1786" s="51">
        <v>9269</v>
      </c>
      <c r="G1786" s="27"/>
    </row>
    <row r="1787" spans="1:7">
      <c r="A1787" s="27">
        <v>86</v>
      </c>
      <c r="B1787" s="27" t="s">
        <v>280</v>
      </c>
      <c r="C1787" s="27" t="s">
        <v>346</v>
      </c>
      <c r="D1787" s="27" t="s">
        <v>412</v>
      </c>
      <c r="E1787" s="27" t="s">
        <v>1682</v>
      </c>
      <c r="F1787" s="51">
        <v>100000</v>
      </c>
      <c r="G1787" s="27"/>
    </row>
    <row r="1788" spans="1:7">
      <c r="A1788" s="27">
        <v>86</v>
      </c>
      <c r="B1788" s="27" t="s">
        <v>280</v>
      </c>
      <c r="C1788" s="27" t="s">
        <v>346</v>
      </c>
      <c r="D1788" s="27" t="s">
        <v>413</v>
      </c>
      <c r="E1788" s="27" t="s">
        <v>1682</v>
      </c>
      <c r="F1788" s="51">
        <v>30511</v>
      </c>
      <c r="G1788" s="27"/>
    </row>
    <row r="1789" spans="1:7">
      <c r="A1789" s="27">
        <v>86</v>
      </c>
      <c r="B1789" s="27" t="s">
        <v>280</v>
      </c>
      <c r="C1789" s="27" t="s">
        <v>346</v>
      </c>
      <c r="D1789" s="27" t="s">
        <v>398</v>
      </c>
      <c r="E1789" s="27" t="s">
        <v>1682</v>
      </c>
      <c r="F1789" s="51">
        <v>14412</v>
      </c>
      <c r="G1789" s="27"/>
    </row>
    <row r="1790" spans="1:7">
      <c r="A1790" s="27">
        <v>86</v>
      </c>
      <c r="B1790" s="27" t="s">
        <v>280</v>
      </c>
      <c r="C1790" s="27" t="s">
        <v>346</v>
      </c>
      <c r="D1790" s="27" t="s">
        <v>415</v>
      </c>
      <c r="E1790" s="27" t="s">
        <v>1682</v>
      </c>
      <c r="F1790" s="51">
        <v>17307</v>
      </c>
      <c r="G1790" s="27"/>
    </row>
    <row r="1791" spans="1:7">
      <c r="A1791" s="27">
        <v>86</v>
      </c>
      <c r="B1791" s="27" t="s">
        <v>280</v>
      </c>
      <c r="C1791" s="27" t="s">
        <v>346</v>
      </c>
      <c r="D1791" s="27" t="s">
        <v>291</v>
      </c>
      <c r="E1791" s="27" t="s">
        <v>1681</v>
      </c>
      <c r="F1791" s="51">
        <v>12809</v>
      </c>
      <c r="G1791" s="27"/>
    </row>
    <row r="1792" spans="1:7">
      <c r="A1792" s="27">
        <v>86</v>
      </c>
      <c r="B1792" s="27" t="s">
        <v>280</v>
      </c>
      <c r="C1792" s="27" t="s">
        <v>346</v>
      </c>
      <c r="D1792" s="27" t="s">
        <v>399</v>
      </c>
      <c r="E1792" s="27" t="s">
        <v>1681</v>
      </c>
      <c r="F1792" s="51">
        <v>10352980</v>
      </c>
      <c r="G1792" s="27"/>
    </row>
    <row r="1793" spans="1:7">
      <c r="A1793" s="27">
        <v>86</v>
      </c>
      <c r="B1793" s="27" t="s">
        <v>280</v>
      </c>
      <c r="C1793" s="27" t="s">
        <v>346</v>
      </c>
      <c r="D1793" s="27" t="s">
        <v>307</v>
      </c>
      <c r="E1793" s="27" t="s">
        <v>1681</v>
      </c>
      <c r="F1793" s="51">
        <v>61200</v>
      </c>
      <c r="G1793" s="27"/>
    </row>
    <row r="1794" spans="1:7">
      <c r="A1794" s="27">
        <v>86</v>
      </c>
      <c r="B1794" s="27" t="s">
        <v>280</v>
      </c>
      <c r="C1794" s="27" t="s">
        <v>346</v>
      </c>
      <c r="D1794" s="27" t="s">
        <v>294</v>
      </c>
      <c r="E1794" s="27" t="s">
        <v>1681</v>
      </c>
      <c r="F1794" s="51">
        <v>18434</v>
      </c>
      <c r="G1794" s="27"/>
    </row>
    <row r="1795" spans="1:7">
      <c r="A1795" s="27">
        <v>86</v>
      </c>
      <c r="B1795" s="27" t="s">
        <v>280</v>
      </c>
      <c r="C1795" s="27" t="s">
        <v>346</v>
      </c>
      <c r="D1795" s="27" t="s">
        <v>295</v>
      </c>
      <c r="E1795" s="27" t="s">
        <v>1681</v>
      </c>
      <c r="F1795" s="51">
        <v>14000</v>
      </c>
      <c r="G1795" s="27"/>
    </row>
    <row r="1796" spans="1:7">
      <c r="A1796" s="27">
        <v>86</v>
      </c>
      <c r="B1796" s="27" t="s">
        <v>280</v>
      </c>
      <c r="C1796" s="27" t="s">
        <v>346</v>
      </c>
      <c r="D1796" s="27" t="s">
        <v>296</v>
      </c>
      <c r="E1796" s="27" t="s">
        <v>1681</v>
      </c>
      <c r="F1796" s="51">
        <v>899760</v>
      </c>
      <c r="G1796" s="27"/>
    </row>
    <row r="1797" spans="1:7">
      <c r="A1797" s="27">
        <v>86</v>
      </c>
      <c r="B1797" s="27" t="s">
        <v>280</v>
      </c>
      <c r="C1797" s="27" t="s">
        <v>346</v>
      </c>
      <c r="D1797" s="27" t="s">
        <v>400</v>
      </c>
      <c r="E1797" s="27" t="s">
        <v>1681</v>
      </c>
      <c r="F1797" s="51">
        <v>128167</v>
      </c>
      <c r="G1797" s="27"/>
    </row>
    <row r="1798" spans="1:7">
      <c r="A1798" s="27">
        <v>86</v>
      </c>
      <c r="B1798" s="27" t="s">
        <v>280</v>
      </c>
      <c r="C1798" s="27" t="s">
        <v>346</v>
      </c>
      <c r="D1798" s="27" t="s">
        <v>298</v>
      </c>
      <c r="E1798" s="27" t="s">
        <v>1681</v>
      </c>
      <c r="F1798" s="51">
        <v>141419</v>
      </c>
      <c r="G1798" s="27"/>
    </row>
    <row r="1799" spans="1:7">
      <c r="A1799" s="27">
        <v>86</v>
      </c>
      <c r="B1799" s="27" t="s">
        <v>280</v>
      </c>
      <c r="C1799" s="27" t="s">
        <v>346</v>
      </c>
      <c r="D1799" s="27" t="s">
        <v>401</v>
      </c>
      <c r="E1799" s="27" t="s">
        <v>1681</v>
      </c>
      <c r="F1799" s="51">
        <v>31148</v>
      </c>
      <c r="G1799" s="27"/>
    </row>
    <row r="1800" spans="1:7">
      <c r="A1800" s="27">
        <v>86</v>
      </c>
      <c r="B1800" s="27" t="s">
        <v>280</v>
      </c>
      <c r="C1800" s="27" t="s">
        <v>346</v>
      </c>
      <c r="D1800" s="27" t="s">
        <v>402</v>
      </c>
      <c r="E1800" s="27" t="s">
        <v>1681</v>
      </c>
      <c r="F1800" s="51">
        <v>358141</v>
      </c>
      <c r="G1800" s="27"/>
    </row>
    <row r="1801" spans="1:7">
      <c r="A1801" s="27">
        <v>86</v>
      </c>
      <c r="B1801" s="27" t="s">
        <v>280</v>
      </c>
      <c r="C1801" s="27" t="s">
        <v>346</v>
      </c>
      <c r="D1801" s="27" t="s">
        <v>299</v>
      </c>
      <c r="E1801" s="27" t="s">
        <v>1681</v>
      </c>
      <c r="F1801" s="51">
        <v>13289</v>
      </c>
      <c r="G1801" s="27"/>
    </row>
    <row r="1802" spans="1:7">
      <c r="A1802" s="27">
        <v>86</v>
      </c>
      <c r="B1802" s="27" t="s">
        <v>280</v>
      </c>
      <c r="C1802" s="27" t="s">
        <v>346</v>
      </c>
      <c r="D1802" s="27" t="s">
        <v>300</v>
      </c>
      <c r="E1802" s="27" t="s">
        <v>1681</v>
      </c>
      <c r="F1802" s="51">
        <v>17873</v>
      </c>
      <c r="G1802" s="27"/>
    </row>
    <row r="1803" spans="1:7">
      <c r="A1803" s="27">
        <v>87</v>
      </c>
      <c r="B1803" s="27" t="s">
        <v>281</v>
      </c>
      <c r="C1803" s="27" t="s">
        <v>302</v>
      </c>
      <c r="D1803" s="27" t="s">
        <v>399</v>
      </c>
      <c r="E1803" s="27" t="s">
        <v>1681</v>
      </c>
      <c r="F1803" s="51">
        <v>584152</v>
      </c>
      <c r="G1803" s="27"/>
    </row>
    <row r="1804" spans="1:7">
      <c r="A1804" s="27">
        <v>88</v>
      </c>
      <c r="B1804" s="27" t="s">
        <v>282</v>
      </c>
      <c r="C1804" s="27" t="s">
        <v>316</v>
      </c>
      <c r="D1804" s="27" t="s">
        <v>406</v>
      </c>
      <c r="E1804" s="27" t="s">
        <v>1682</v>
      </c>
      <c r="F1804" s="51">
        <v>55585</v>
      </c>
      <c r="G1804" s="27"/>
    </row>
    <row r="1805" spans="1:7">
      <c r="A1805" s="27">
        <v>88</v>
      </c>
      <c r="B1805" s="27" t="s">
        <v>282</v>
      </c>
      <c r="C1805" s="27" t="s">
        <v>316</v>
      </c>
      <c r="D1805" s="27" t="s">
        <v>408</v>
      </c>
      <c r="E1805" s="27" t="s">
        <v>1682</v>
      </c>
      <c r="F1805" s="51">
        <v>488278</v>
      </c>
      <c r="G1805" s="27"/>
    </row>
    <row r="1806" spans="1:7">
      <c r="A1806" s="27">
        <v>88</v>
      </c>
      <c r="B1806" s="27" t="s">
        <v>282</v>
      </c>
      <c r="C1806" s="27" t="s">
        <v>316</v>
      </c>
      <c r="D1806" s="27" t="s">
        <v>394</v>
      </c>
      <c r="E1806" s="27" t="s">
        <v>1682</v>
      </c>
      <c r="F1806" s="51">
        <v>770434</v>
      </c>
      <c r="G1806" s="27"/>
    </row>
    <row r="1807" spans="1:7">
      <c r="A1807" s="27">
        <v>88</v>
      </c>
      <c r="B1807" s="27" t="s">
        <v>282</v>
      </c>
      <c r="C1807" s="27" t="s">
        <v>316</v>
      </c>
      <c r="D1807" s="27" t="s">
        <v>397</v>
      </c>
      <c r="E1807" s="27" t="s">
        <v>1682</v>
      </c>
      <c r="F1807" s="51">
        <v>526457</v>
      </c>
      <c r="G1807" s="27"/>
    </row>
    <row r="1808" spans="1:7">
      <c r="A1808" s="27">
        <v>88</v>
      </c>
      <c r="B1808" s="27" t="s">
        <v>282</v>
      </c>
      <c r="C1808" s="27" t="s">
        <v>316</v>
      </c>
      <c r="D1808" s="27" t="s">
        <v>411</v>
      </c>
      <c r="E1808" s="27" t="s">
        <v>1682</v>
      </c>
      <c r="F1808" s="51">
        <v>15248</v>
      </c>
      <c r="G1808" s="27"/>
    </row>
    <row r="1809" spans="1:7">
      <c r="A1809" s="27">
        <v>88</v>
      </c>
      <c r="B1809" s="27" t="s">
        <v>282</v>
      </c>
      <c r="C1809" s="27" t="s">
        <v>316</v>
      </c>
      <c r="D1809" s="27" t="s">
        <v>412</v>
      </c>
      <c r="E1809" s="27" t="s">
        <v>1682</v>
      </c>
      <c r="F1809" s="51">
        <v>180174</v>
      </c>
      <c r="G1809" s="27"/>
    </row>
    <row r="1810" spans="1:7">
      <c r="A1810" s="27">
        <v>88</v>
      </c>
      <c r="B1810" s="27" t="s">
        <v>282</v>
      </c>
      <c r="C1810" s="27" t="s">
        <v>316</v>
      </c>
      <c r="D1810" s="27" t="s">
        <v>413</v>
      </c>
      <c r="E1810" s="27" t="s">
        <v>1682</v>
      </c>
      <c r="F1810" s="51">
        <v>27699</v>
      </c>
      <c r="G1810" s="27"/>
    </row>
    <row r="1811" spans="1:7">
      <c r="A1811" s="27">
        <v>88</v>
      </c>
      <c r="B1811" s="27" t="s">
        <v>282</v>
      </c>
      <c r="C1811" s="27" t="s">
        <v>316</v>
      </c>
      <c r="D1811" s="27" t="s">
        <v>398</v>
      </c>
      <c r="E1811" s="27" t="s">
        <v>1682</v>
      </c>
      <c r="F1811" s="51">
        <v>23774</v>
      </c>
      <c r="G1811" s="27"/>
    </row>
    <row r="1812" spans="1:7">
      <c r="A1812" s="27">
        <v>88</v>
      </c>
      <c r="B1812" s="27" t="s">
        <v>282</v>
      </c>
      <c r="C1812" s="27" t="s">
        <v>316</v>
      </c>
      <c r="D1812" s="27" t="s">
        <v>415</v>
      </c>
      <c r="E1812" s="27" t="s">
        <v>1682</v>
      </c>
      <c r="F1812" s="51">
        <v>40084</v>
      </c>
      <c r="G1812" s="27"/>
    </row>
    <row r="1813" spans="1:7">
      <c r="A1813" s="27">
        <v>88</v>
      </c>
      <c r="B1813" s="27" t="s">
        <v>282</v>
      </c>
      <c r="C1813" s="27" t="s">
        <v>316</v>
      </c>
      <c r="D1813" s="27" t="s">
        <v>291</v>
      </c>
      <c r="E1813" s="27" t="s">
        <v>1681</v>
      </c>
      <c r="F1813" s="51">
        <v>21278</v>
      </c>
      <c r="G1813" s="27"/>
    </row>
    <row r="1814" spans="1:7">
      <c r="A1814" s="27">
        <v>88</v>
      </c>
      <c r="B1814" s="27" t="s">
        <v>282</v>
      </c>
      <c r="C1814" s="27" t="s">
        <v>316</v>
      </c>
      <c r="D1814" s="27" t="s">
        <v>399</v>
      </c>
      <c r="E1814" s="27" t="s">
        <v>1681</v>
      </c>
      <c r="F1814" s="51">
        <v>24718679</v>
      </c>
      <c r="G1814" s="27"/>
    </row>
    <row r="1815" spans="1:7">
      <c r="A1815" s="27">
        <v>88</v>
      </c>
      <c r="B1815" s="27" t="s">
        <v>282</v>
      </c>
      <c r="C1815" s="27" t="s">
        <v>316</v>
      </c>
      <c r="D1815" s="27" t="s">
        <v>307</v>
      </c>
      <c r="E1815" s="27" t="s">
        <v>1681</v>
      </c>
      <c r="F1815" s="51">
        <v>31185</v>
      </c>
      <c r="G1815" s="27"/>
    </row>
    <row r="1816" spans="1:7">
      <c r="A1816" s="27">
        <v>88</v>
      </c>
      <c r="B1816" s="27" t="s">
        <v>282</v>
      </c>
      <c r="C1816" s="27" t="s">
        <v>316</v>
      </c>
      <c r="D1816" s="27" t="s">
        <v>294</v>
      </c>
      <c r="E1816" s="27" t="s">
        <v>1681</v>
      </c>
      <c r="F1816" s="51">
        <v>23879</v>
      </c>
      <c r="G1816" s="27"/>
    </row>
    <row r="1817" spans="1:7">
      <c r="A1817" s="27">
        <v>88</v>
      </c>
      <c r="B1817" s="27" t="s">
        <v>282</v>
      </c>
      <c r="C1817" s="27" t="s">
        <v>316</v>
      </c>
      <c r="D1817" s="27" t="s">
        <v>296</v>
      </c>
      <c r="E1817" s="27" t="s">
        <v>1681</v>
      </c>
      <c r="F1817" s="51">
        <v>1180730</v>
      </c>
      <c r="G1817" s="27"/>
    </row>
    <row r="1818" spans="1:7">
      <c r="A1818" s="27">
        <v>88</v>
      </c>
      <c r="B1818" s="27" t="s">
        <v>282</v>
      </c>
      <c r="C1818" s="27" t="s">
        <v>316</v>
      </c>
      <c r="D1818" s="27" t="s">
        <v>400</v>
      </c>
      <c r="E1818" s="27" t="s">
        <v>1681</v>
      </c>
      <c r="F1818" s="51">
        <v>301241</v>
      </c>
      <c r="G1818" s="27"/>
    </row>
    <row r="1819" spans="1:7">
      <c r="A1819" s="27">
        <v>88</v>
      </c>
      <c r="B1819" s="27" t="s">
        <v>282</v>
      </c>
      <c r="C1819" s="27" t="s">
        <v>316</v>
      </c>
      <c r="D1819" s="27" t="s">
        <v>298</v>
      </c>
      <c r="E1819" s="27" t="s">
        <v>1681</v>
      </c>
      <c r="F1819" s="51">
        <v>350872</v>
      </c>
      <c r="G1819" s="27"/>
    </row>
    <row r="1820" spans="1:7">
      <c r="A1820" s="27">
        <v>88</v>
      </c>
      <c r="B1820" s="27" t="s">
        <v>282</v>
      </c>
      <c r="C1820" s="27" t="s">
        <v>316</v>
      </c>
      <c r="D1820" s="27" t="s">
        <v>401</v>
      </c>
      <c r="E1820" s="27" t="s">
        <v>1681</v>
      </c>
      <c r="F1820" s="51">
        <v>32904</v>
      </c>
      <c r="G1820" s="27"/>
    </row>
    <row r="1821" spans="1:7">
      <c r="A1821" s="27">
        <v>88</v>
      </c>
      <c r="B1821" s="27" t="s">
        <v>282</v>
      </c>
      <c r="C1821" s="27" t="s">
        <v>316</v>
      </c>
      <c r="D1821" s="27" t="s">
        <v>1347</v>
      </c>
      <c r="E1821" s="27" t="s">
        <v>1681</v>
      </c>
      <c r="F1821" s="51">
        <v>11045</v>
      </c>
      <c r="G1821" s="27"/>
    </row>
    <row r="1822" spans="1:7">
      <c r="A1822" s="27">
        <v>88</v>
      </c>
      <c r="B1822" s="27" t="s">
        <v>282</v>
      </c>
      <c r="C1822" s="27" t="s">
        <v>316</v>
      </c>
      <c r="D1822" s="27" t="s">
        <v>402</v>
      </c>
      <c r="E1822" s="27" t="s">
        <v>1681</v>
      </c>
      <c r="F1822" s="51">
        <v>465962</v>
      </c>
      <c r="G1822" s="27"/>
    </row>
    <row r="1823" spans="1:7">
      <c r="A1823" s="27">
        <v>88</v>
      </c>
      <c r="B1823" s="27" t="s">
        <v>282</v>
      </c>
      <c r="C1823" s="27" t="s">
        <v>316</v>
      </c>
      <c r="D1823" s="27" t="s">
        <v>299</v>
      </c>
      <c r="E1823" s="27" t="s">
        <v>1681</v>
      </c>
      <c r="F1823" s="51">
        <v>63768</v>
      </c>
      <c r="G1823" s="27"/>
    </row>
    <row r="1824" spans="1:7">
      <c r="A1824" s="27">
        <v>88</v>
      </c>
      <c r="B1824" s="27" t="s">
        <v>282</v>
      </c>
      <c r="C1824" s="27" t="s">
        <v>316</v>
      </c>
      <c r="D1824" s="27" t="s">
        <v>300</v>
      </c>
      <c r="E1824" s="27" t="s">
        <v>1681</v>
      </c>
      <c r="F1824" s="51">
        <v>25460</v>
      </c>
      <c r="G1824" s="27"/>
    </row>
    <row r="1825" spans="1:7">
      <c r="A1825" s="27">
        <v>89</v>
      </c>
      <c r="B1825" s="27" t="s">
        <v>283</v>
      </c>
      <c r="C1825" s="27" t="s">
        <v>325</v>
      </c>
      <c r="D1825" s="27" t="s">
        <v>405</v>
      </c>
      <c r="E1825" s="27" t="s">
        <v>1682</v>
      </c>
      <c r="F1825" s="51">
        <v>381000</v>
      </c>
      <c r="G1825" s="27"/>
    </row>
    <row r="1826" spans="1:7">
      <c r="A1826" s="27">
        <v>89</v>
      </c>
      <c r="B1826" s="27" t="s">
        <v>283</v>
      </c>
      <c r="C1826" s="27" t="s">
        <v>325</v>
      </c>
      <c r="D1826" s="27" t="s">
        <v>406</v>
      </c>
      <c r="E1826" s="27" t="s">
        <v>1682</v>
      </c>
      <c r="F1826" s="51">
        <v>274868</v>
      </c>
      <c r="G1826" s="27"/>
    </row>
    <row r="1827" spans="1:7">
      <c r="A1827" s="27">
        <v>89</v>
      </c>
      <c r="B1827" s="27" t="s">
        <v>283</v>
      </c>
      <c r="C1827" s="27" t="s">
        <v>325</v>
      </c>
      <c r="D1827" s="27" t="s">
        <v>326</v>
      </c>
      <c r="E1827" s="27" t="s">
        <v>1682</v>
      </c>
      <c r="F1827" s="51">
        <v>43635</v>
      </c>
      <c r="G1827" s="27"/>
    </row>
    <row r="1828" spans="1:7">
      <c r="A1828" s="27">
        <v>89</v>
      </c>
      <c r="B1828" s="27" t="s">
        <v>283</v>
      </c>
      <c r="C1828" s="27" t="s">
        <v>325</v>
      </c>
      <c r="D1828" s="27" t="s">
        <v>408</v>
      </c>
      <c r="E1828" s="27" t="s">
        <v>1682</v>
      </c>
      <c r="F1828" s="51">
        <v>2679556</v>
      </c>
      <c r="G1828" s="27"/>
    </row>
    <row r="1829" spans="1:7">
      <c r="A1829" s="27">
        <v>89</v>
      </c>
      <c r="B1829" s="27" t="s">
        <v>283</v>
      </c>
      <c r="C1829" s="27" t="s">
        <v>325</v>
      </c>
      <c r="D1829" s="27" t="s">
        <v>409</v>
      </c>
      <c r="E1829" s="27" t="s">
        <v>1682</v>
      </c>
      <c r="F1829" s="51">
        <v>2500</v>
      </c>
      <c r="G1829" s="27"/>
    </row>
    <row r="1830" spans="1:7">
      <c r="A1830" s="27">
        <v>89</v>
      </c>
      <c r="B1830" s="27" t="s">
        <v>283</v>
      </c>
      <c r="C1830" s="27" t="s">
        <v>325</v>
      </c>
      <c r="D1830" s="27" t="s">
        <v>394</v>
      </c>
      <c r="E1830" s="27" t="s">
        <v>1682</v>
      </c>
      <c r="F1830" s="51">
        <v>2676693</v>
      </c>
      <c r="G1830" s="27"/>
    </row>
    <row r="1831" spans="1:7">
      <c r="A1831" s="27">
        <v>89</v>
      </c>
      <c r="B1831" s="27" t="s">
        <v>283</v>
      </c>
      <c r="C1831" s="27" t="s">
        <v>325</v>
      </c>
      <c r="D1831" s="27" t="s">
        <v>396</v>
      </c>
      <c r="E1831" s="27" t="s">
        <v>1682</v>
      </c>
      <c r="F1831" s="51">
        <v>1341091</v>
      </c>
      <c r="G1831" s="27"/>
    </row>
    <row r="1832" spans="1:7">
      <c r="A1832" s="27">
        <v>89</v>
      </c>
      <c r="B1832" s="27" t="s">
        <v>283</v>
      </c>
      <c r="C1832" s="27" t="s">
        <v>325</v>
      </c>
      <c r="D1832" s="27" t="s">
        <v>410</v>
      </c>
      <c r="E1832" s="27" t="s">
        <v>1682</v>
      </c>
      <c r="F1832" s="51">
        <v>36897</v>
      </c>
      <c r="G1832" s="27"/>
    </row>
    <row r="1833" spans="1:7">
      <c r="A1833" s="27">
        <v>89</v>
      </c>
      <c r="B1833" s="27" t="s">
        <v>283</v>
      </c>
      <c r="C1833" s="27" t="s">
        <v>325</v>
      </c>
      <c r="D1833" s="27" t="s">
        <v>330</v>
      </c>
      <c r="E1833" s="27" t="s">
        <v>1682</v>
      </c>
      <c r="F1833" s="51">
        <v>5494</v>
      </c>
      <c r="G1833" s="27"/>
    </row>
    <row r="1834" spans="1:7">
      <c r="A1834" s="27">
        <v>89</v>
      </c>
      <c r="B1834" s="27" t="s">
        <v>283</v>
      </c>
      <c r="C1834" s="27" t="s">
        <v>325</v>
      </c>
      <c r="D1834" s="27" t="s">
        <v>397</v>
      </c>
      <c r="E1834" s="27" t="s">
        <v>1682</v>
      </c>
      <c r="F1834" s="51">
        <v>4045730</v>
      </c>
      <c r="G1834" s="27"/>
    </row>
    <row r="1835" spans="1:7">
      <c r="A1835" s="27">
        <v>89</v>
      </c>
      <c r="B1835" s="27" t="s">
        <v>283</v>
      </c>
      <c r="C1835" s="27" t="s">
        <v>325</v>
      </c>
      <c r="D1835" s="27" t="s">
        <v>332</v>
      </c>
      <c r="E1835" s="27" t="s">
        <v>1682</v>
      </c>
      <c r="F1835" s="51">
        <v>116463</v>
      </c>
      <c r="G1835" s="27"/>
    </row>
    <row r="1836" spans="1:7">
      <c r="A1836" s="27">
        <v>89</v>
      </c>
      <c r="B1836" s="27" t="s">
        <v>283</v>
      </c>
      <c r="C1836" s="27" t="s">
        <v>325</v>
      </c>
      <c r="D1836" s="27" t="s">
        <v>333</v>
      </c>
      <c r="E1836" s="27" t="s">
        <v>1682</v>
      </c>
      <c r="F1836" s="51">
        <v>42970</v>
      </c>
      <c r="G1836" s="27"/>
    </row>
    <row r="1837" spans="1:7">
      <c r="A1837" s="27">
        <v>89</v>
      </c>
      <c r="B1837" s="27" t="s">
        <v>283</v>
      </c>
      <c r="C1837" s="27" t="s">
        <v>325</v>
      </c>
      <c r="D1837" s="27" t="s">
        <v>411</v>
      </c>
      <c r="E1837" s="27" t="s">
        <v>1682</v>
      </c>
      <c r="F1837" s="51">
        <v>261611</v>
      </c>
      <c r="G1837" s="27"/>
    </row>
    <row r="1838" spans="1:7">
      <c r="A1838" s="27">
        <v>89</v>
      </c>
      <c r="B1838" s="27" t="s">
        <v>283</v>
      </c>
      <c r="C1838" s="27" t="s">
        <v>325</v>
      </c>
      <c r="D1838" s="27" t="s">
        <v>412</v>
      </c>
      <c r="E1838" s="27" t="s">
        <v>1682</v>
      </c>
      <c r="F1838" s="51">
        <v>720316</v>
      </c>
      <c r="G1838" s="27"/>
    </row>
    <row r="1839" spans="1:7">
      <c r="A1839" s="27">
        <v>89</v>
      </c>
      <c r="B1839" s="27" t="s">
        <v>283</v>
      </c>
      <c r="C1839" s="27" t="s">
        <v>325</v>
      </c>
      <c r="D1839" s="27" t="s">
        <v>413</v>
      </c>
      <c r="E1839" s="27" t="s">
        <v>1682</v>
      </c>
      <c r="F1839" s="51">
        <v>78320</v>
      </c>
      <c r="G1839" s="27"/>
    </row>
    <row r="1840" spans="1:7">
      <c r="A1840" s="27">
        <v>89</v>
      </c>
      <c r="B1840" s="27" t="s">
        <v>283</v>
      </c>
      <c r="C1840" s="27" t="s">
        <v>325</v>
      </c>
      <c r="D1840" s="27" t="s">
        <v>414</v>
      </c>
      <c r="E1840" s="27" t="s">
        <v>1682</v>
      </c>
      <c r="F1840" s="51">
        <v>61260</v>
      </c>
      <c r="G1840" s="27"/>
    </row>
    <row r="1841" spans="1:7">
      <c r="A1841" s="27">
        <v>89</v>
      </c>
      <c r="B1841" s="27" t="s">
        <v>283</v>
      </c>
      <c r="C1841" s="27" t="s">
        <v>325</v>
      </c>
      <c r="D1841" s="27" t="s">
        <v>398</v>
      </c>
      <c r="E1841" s="27" t="s">
        <v>1682</v>
      </c>
      <c r="F1841" s="51">
        <v>109897</v>
      </c>
      <c r="G1841" s="27"/>
    </row>
    <row r="1842" spans="1:7">
      <c r="A1842" s="27">
        <v>89</v>
      </c>
      <c r="B1842" s="27" t="s">
        <v>283</v>
      </c>
      <c r="C1842" s="27" t="s">
        <v>325</v>
      </c>
      <c r="D1842" s="27" t="s">
        <v>415</v>
      </c>
      <c r="E1842" s="27" t="s">
        <v>1682</v>
      </c>
      <c r="F1842" s="51">
        <v>171538</v>
      </c>
      <c r="G1842" s="27"/>
    </row>
    <row r="1843" spans="1:7">
      <c r="A1843" s="27">
        <v>89</v>
      </c>
      <c r="B1843" s="27" t="s">
        <v>283</v>
      </c>
      <c r="C1843" s="27" t="s">
        <v>325</v>
      </c>
      <c r="D1843" s="27" t="s">
        <v>335</v>
      </c>
      <c r="E1843" s="27" t="s">
        <v>1681</v>
      </c>
      <c r="F1843" s="51">
        <v>157670</v>
      </c>
      <c r="G1843" s="27"/>
    </row>
    <row r="1844" spans="1:7">
      <c r="A1844" s="27">
        <v>89</v>
      </c>
      <c r="B1844" s="27" t="s">
        <v>283</v>
      </c>
      <c r="C1844" s="27" t="s">
        <v>325</v>
      </c>
      <c r="D1844" s="27" t="s">
        <v>291</v>
      </c>
      <c r="E1844" s="27" t="s">
        <v>1681</v>
      </c>
      <c r="F1844" s="51">
        <v>58574</v>
      </c>
      <c r="G1844" s="27"/>
    </row>
    <row r="1845" spans="1:7">
      <c r="A1845" s="27">
        <v>89</v>
      </c>
      <c r="B1845" s="27" t="s">
        <v>283</v>
      </c>
      <c r="C1845" s="27" t="s">
        <v>325</v>
      </c>
      <c r="D1845" s="27" t="s">
        <v>399</v>
      </c>
      <c r="E1845" s="27" t="s">
        <v>1681</v>
      </c>
      <c r="F1845" s="51">
        <v>58361513</v>
      </c>
      <c r="G1845" s="27"/>
    </row>
    <row r="1846" spans="1:7">
      <c r="A1846" s="27">
        <v>89</v>
      </c>
      <c r="B1846" s="27" t="s">
        <v>283</v>
      </c>
      <c r="C1846" s="27" t="s">
        <v>325</v>
      </c>
      <c r="D1846" s="27" t="s">
        <v>336</v>
      </c>
      <c r="E1846" s="27" t="s">
        <v>1681</v>
      </c>
      <c r="F1846" s="51">
        <v>187462</v>
      </c>
      <c r="G1846" s="27"/>
    </row>
    <row r="1847" spans="1:7">
      <c r="A1847" s="27">
        <v>89</v>
      </c>
      <c r="B1847" s="27" t="s">
        <v>283</v>
      </c>
      <c r="C1847" s="27" t="s">
        <v>325</v>
      </c>
      <c r="D1847" s="27" t="s">
        <v>317</v>
      </c>
      <c r="E1847" s="27" t="s">
        <v>1681</v>
      </c>
      <c r="F1847" s="51">
        <v>172342</v>
      </c>
      <c r="G1847" s="27"/>
    </row>
    <row r="1848" spans="1:7">
      <c r="A1848" s="27">
        <v>89</v>
      </c>
      <c r="B1848" s="27" t="s">
        <v>283</v>
      </c>
      <c r="C1848" s="27" t="s">
        <v>325</v>
      </c>
      <c r="D1848" s="27" t="s">
        <v>307</v>
      </c>
      <c r="E1848" s="27" t="s">
        <v>1681</v>
      </c>
      <c r="F1848" s="51">
        <v>55690</v>
      </c>
      <c r="G1848" s="27"/>
    </row>
    <row r="1849" spans="1:7">
      <c r="A1849" s="27">
        <v>89</v>
      </c>
      <c r="B1849" s="27" t="s">
        <v>283</v>
      </c>
      <c r="C1849" s="27" t="s">
        <v>325</v>
      </c>
      <c r="D1849" s="27" t="s">
        <v>294</v>
      </c>
      <c r="E1849" s="27" t="s">
        <v>1681</v>
      </c>
      <c r="F1849" s="51">
        <v>122728</v>
      </c>
      <c r="G1849" s="27"/>
    </row>
    <row r="1850" spans="1:7">
      <c r="A1850" s="27">
        <v>89</v>
      </c>
      <c r="B1850" s="27" t="s">
        <v>283</v>
      </c>
      <c r="C1850" s="27" t="s">
        <v>325</v>
      </c>
      <c r="D1850" s="27" t="s">
        <v>295</v>
      </c>
      <c r="E1850" s="27" t="s">
        <v>1681</v>
      </c>
      <c r="F1850" s="51">
        <v>24000</v>
      </c>
      <c r="G1850" s="27"/>
    </row>
    <row r="1851" spans="1:7">
      <c r="A1851" s="27">
        <v>89</v>
      </c>
      <c r="B1851" s="27" t="s">
        <v>283</v>
      </c>
      <c r="C1851" s="27" t="s">
        <v>325</v>
      </c>
      <c r="D1851" s="27" t="s">
        <v>318</v>
      </c>
      <c r="E1851" s="27" t="s">
        <v>1681</v>
      </c>
      <c r="F1851" s="51">
        <v>1542770</v>
      </c>
      <c r="G1851" s="27"/>
    </row>
    <row r="1852" spans="1:7">
      <c r="A1852" s="27">
        <v>89</v>
      </c>
      <c r="B1852" s="27" t="s">
        <v>283</v>
      </c>
      <c r="C1852" s="27" t="s">
        <v>325</v>
      </c>
      <c r="D1852" s="27" t="s">
        <v>304</v>
      </c>
      <c r="E1852" s="27" t="s">
        <v>1681</v>
      </c>
      <c r="F1852" s="51">
        <v>23700</v>
      </c>
      <c r="G1852" s="27"/>
    </row>
    <row r="1853" spans="1:7">
      <c r="A1853" s="27">
        <v>89</v>
      </c>
      <c r="B1853" s="27" t="s">
        <v>283</v>
      </c>
      <c r="C1853" s="27" t="s">
        <v>325</v>
      </c>
      <c r="D1853" s="27" t="s">
        <v>319</v>
      </c>
      <c r="E1853" s="27" t="s">
        <v>1681</v>
      </c>
      <c r="F1853" s="51">
        <v>163914</v>
      </c>
      <c r="G1853" s="27"/>
    </row>
    <row r="1854" spans="1:7">
      <c r="A1854" s="27">
        <v>89</v>
      </c>
      <c r="B1854" s="27" t="s">
        <v>283</v>
      </c>
      <c r="C1854" s="27" t="s">
        <v>325</v>
      </c>
      <c r="D1854" s="27" t="s">
        <v>296</v>
      </c>
      <c r="E1854" s="27" t="s">
        <v>1681</v>
      </c>
      <c r="F1854" s="51">
        <v>7967481</v>
      </c>
      <c r="G1854" s="27"/>
    </row>
    <row r="1855" spans="1:7">
      <c r="A1855" s="27">
        <v>89</v>
      </c>
      <c r="B1855" s="27" t="s">
        <v>283</v>
      </c>
      <c r="C1855" s="27" t="s">
        <v>325</v>
      </c>
      <c r="D1855" s="27" t="s">
        <v>400</v>
      </c>
      <c r="E1855" s="27" t="s">
        <v>1681</v>
      </c>
      <c r="F1855" s="51">
        <v>305450</v>
      </c>
      <c r="G1855" s="27"/>
    </row>
    <row r="1856" spans="1:7">
      <c r="A1856" s="27">
        <v>89</v>
      </c>
      <c r="B1856" s="27" t="s">
        <v>283</v>
      </c>
      <c r="C1856" s="27" t="s">
        <v>325</v>
      </c>
      <c r="D1856" s="27" t="s">
        <v>298</v>
      </c>
      <c r="E1856" s="27" t="s">
        <v>1681</v>
      </c>
      <c r="F1856" s="51">
        <v>957529</v>
      </c>
      <c r="G1856" s="27"/>
    </row>
    <row r="1857" spans="1:7">
      <c r="A1857" s="27">
        <v>89</v>
      </c>
      <c r="B1857" s="27" t="s">
        <v>283</v>
      </c>
      <c r="C1857" s="27" t="s">
        <v>325</v>
      </c>
      <c r="D1857" s="27" t="s">
        <v>401</v>
      </c>
      <c r="E1857" s="27" t="s">
        <v>1681</v>
      </c>
      <c r="F1857" s="51">
        <v>35518</v>
      </c>
      <c r="G1857" s="27"/>
    </row>
    <row r="1858" spans="1:7">
      <c r="A1858" s="27">
        <v>89</v>
      </c>
      <c r="B1858" s="27" t="s">
        <v>283</v>
      </c>
      <c r="C1858" s="27" t="s">
        <v>325</v>
      </c>
      <c r="D1858" s="27" t="s">
        <v>1347</v>
      </c>
      <c r="E1858" s="27" t="s">
        <v>1681</v>
      </c>
      <c r="F1858" s="51">
        <v>68257</v>
      </c>
      <c r="G1858" s="27"/>
    </row>
    <row r="1859" spans="1:7">
      <c r="A1859" s="27">
        <v>89</v>
      </c>
      <c r="B1859" s="27" t="s">
        <v>283</v>
      </c>
      <c r="C1859" s="27" t="s">
        <v>325</v>
      </c>
      <c r="D1859" s="27" t="s">
        <v>402</v>
      </c>
      <c r="E1859" s="27" t="s">
        <v>1681</v>
      </c>
      <c r="F1859" s="51">
        <v>1972424</v>
      </c>
      <c r="G1859" s="27"/>
    </row>
    <row r="1860" spans="1:7">
      <c r="A1860" s="27">
        <v>89</v>
      </c>
      <c r="B1860" s="27" t="s">
        <v>283</v>
      </c>
      <c r="C1860" s="27" t="s">
        <v>325</v>
      </c>
      <c r="D1860" s="27" t="s">
        <v>299</v>
      </c>
      <c r="E1860" s="27" t="s">
        <v>1681</v>
      </c>
      <c r="F1860" s="51">
        <v>589670</v>
      </c>
      <c r="G1860" s="27"/>
    </row>
    <row r="1861" spans="1:7">
      <c r="A1861" s="27">
        <v>89</v>
      </c>
      <c r="B1861" s="27" t="s">
        <v>283</v>
      </c>
      <c r="C1861" s="27" t="s">
        <v>325</v>
      </c>
      <c r="D1861" s="27" t="s">
        <v>338</v>
      </c>
      <c r="E1861" s="27" t="s">
        <v>1681</v>
      </c>
      <c r="F1861" s="51">
        <v>14767</v>
      </c>
      <c r="G1861" s="27"/>
    </row>
    <row r="1862" spans="1:7">
      <c r="A1862" s="27">
        <v>89</v>
      </c>
      <c r="B1862" s="27" t="s">
        <v>283</v>
      </c>
      <c r="C1862" s="27" t="s">
        <v>325</v>
      </c>
      <c r="D1862" s="27" t="s">
        <v>300</v>
      </c>
      <c r="E1862" s="27" t="s">
        <v>1681</v>
      </c>
      <c r="F1862" s="51">
        <v>67479</v>
      </c>
      <c r="G1862" s="27"/>
    </row>
    <row r="1863" spans="1:7">
      <c r="A1863" s="27">
        <v>90</v>
      </c>
      <c r="B1863" s="27" t="s">
        <v>284</v>
      </c>
      <c r="C1863" s="27" t="s">
        <v>227</v>
      </c>
      <c r="D1863" s="27" t="s">
        <v>406</v>
      </c>
      <c r="E1863" s="27" t="s">
        <v>1682</v>
      </c>
      <c r="F1863" s="51">
        <v>22800</v>
      </c>
      <c r="G1863" s="27"/>
    </row>
    <row r="1864" spans="1:7">
      <c r="A1864" s="27">
        <v>90</v>
      </c>
      <c r="B1864" s="27" t="s">
        <v>284</v>
      </c>
      <c r="C1864" s="27" t="s">
        <v>227</v>
      </c>
      <c r="D1864" s="27" t="s">
        <v>408</v>
      </c>
      <c r="E1864" s="27" t="s">
        <v>1682</v>
      </c>
      <c r="F1864" s="51">
        <v>20636</v>
      </c>
      <c r="G1864" s="27"/>
    </row>
    <row r="1865" spans="1:7">
      <c r="A1865" s="27">
        <v>90</v>
      </c>
      <c r="B1865" s="27" t="s">
        <v>284</v>
      </c>
      <c r="C1865" s="27" t="s">
        <v>227</v>
      </c>
      <c r="D1865" s="27" t="s">
        <v>394</v>
      </c>
      <c r="E1865" s="27" t="s">
        <v>1682</v>
      </c>
      <c r="F1865" s="51">
        <v>404462</v>
      </c>
      <c r="G1865" s="27"/>
    </row>
    <row r="1866" spans="1:7">
      <c r="A1866" s="27">
        <v>90</v>
      </c>
      <c r="B1866" s="27" t="s">
        <v>284</v>
      </c>
      <c r="C1866" s="27" t="s">
        <v>227</v>
      </c>
      <c r="D1866" s="27" t="s">
        <v>397</v>
      </c>
      <c r="E1866" s="27" t="s">
        <v>1682</v>
      </c>
      <c r="F1866" s="51">
        <v>48194</v>
      </c>
      <c r="G1866" s="27"/>
    </row>
    <row r="1867" spans="1:7">
      <c r="A1867" s="27">
        <v>90</v>
      </c>
      <c r="B1867" s="27" t="s">
        <v>284</v>
      </c>
      <c r="C1867" s="27" t="s">
        <v>227</v>
      </c>
      <c r="D1867" s="27" t="s">
        <v>411</v>
      </c>
      <c r="E1867" s="27" t="s">
        <v>1682</v>
      </c>
      <c r="F1867" s="51">
        <v>2792</v>
      </c>
      <c r="G1867" s="27"/>
    </row>
    <row r="1868" spans="1:7">
      <c r="A1868" s="27">
        <v>90</v>
      </c>
      <c r="B1868" s="27" t="s">
        <v>284</v>
      </c>
      <c r="C1868" s="27" t="s">
        <v>227</v>
      </c>
      <c r="D1868" s="27" t="s">
        <v>412</v>
      </c>
      <c r="E1868" s="27" t="s">
        <v>1682</v>
      </c>
      <c r="F1868" s="51">
        <v>36492</v>
      </c>
      <c r="G1868" s="27"/>
    </row>
    <row r="1869" spans="1:7">
      <c r="A1869" s="27">
        <v>90</v>
      </c>
      <c r="B1869" s="27" t="s">
        <v>284</v>
      </c>
      <c r="C1869" s="27" t="s">
        <v>227</v>
      </c>
      <c r="D1869" s="27" t="s">
        <v>398</v>
      </c>
      <c r="E1869" s="27" t="s">
        <v>1682</v>
      </c>
      <c r="F1869" s="51">
        <v>6410</v>
      </c>
      <c r="G1869" s="27"/>
    </row>
    <row r="1870" spans="1:7">
      <c r="A1870" s="27">
        <v>90</v>
      </c>
      <c r="B1870" s="27" t="s">
        <v>284</v>
      </c>
      <c r="C1870" s="27" t="s">
        <v>227</v>
      </c>
      <c r="D1870" s="27" t="s">
        <v>415</v>
      </c>
      <c r="E1870" s="27" t="s">
        <v>1682</v>
      </c>
      <c r="F1870" s="51">
        <v>2759</v>
      </c>
      <c r="G1870" s="27"/>
    </row>
    <row r="1871" spans="1:7">
      <c r="A1871" s="27">
        <v>90</v>
      </c>
      <c r="B1871" s="27" t="s">
        <v>284</v>
      </c>
      <c r="C1871" s="27" t="s">
        <v>227</v>
      </c>
      <c r="D1871" s="27" t="s">
        <v>399</v>
      </c>
      <c r="E1871" s="27" t="s">
        <v>1681</v>
      </c>
      <c r="F1871" s="51">
        <v>722028</v>
      </c>
      <c r="G1871" s="27"/>
    </row>
    <row r="1872" spans="1:7">
      <c r="A1872" s="27">
        <v>90</v>
      </c>
      <c r="B1872" s="27" t="s">
        <v>284</v>
      </c>
      <c r="C1872" s="27" t="s">
        <v>227</v>
      </c>
      <c r="D1872" s="27" t="s">
        <v>293</v>
      </c>
      <c r="E1872" s="27" t="s">
        <v>1681</v>
      </c>
      <c r="F1872" s="51">
        <v>112322</v>
      </c>
      <c r="G1872" s="27"/>
    </row>
    <row r="1873" spans="1:7">
      <c r="A1873" s="27">
        <v>90</v>
      </c>
      <c r="B1873" s="27" t="s">
        <v>284</v>
      </c>
      <c r="C1873" s="27" t="s">
        <v>227</v>
      </c>
      <c r="D1873" s="27" t="s">
        <v>307</v>
      </c>
      <c r="E1873" s="27" t="s">
        <v>1681</v>
      </c>
      <c r="F1873" s="51">
        <v>720</v>
      </c>
      <c r="G1873" s="27"/>
    </row>
    <row r="1874" spans="1:7">
      <c r="A1874" s="27">
        <v>90</v>
      </c>
      <c r="B1874" s="27" t="s">
        <v>284</v>
      </c>
      <c r="C1874" s="27" t="s">
        <v>227</v>
      </c>
      <c r="D1874" s="27" t="s">
        <v>294</v>
      </c>
      <c r="E1874" s="27" t="s">
        <v>1681</v>
      </c>
      <c r="F1874" s="51">
        <v>9373</v>
      </c>
      <c r="G1874" s="27"/>
    </row>
    <row r="1875" spans="1:7">
      <c r="A1875" s="27">
        <v>90</v>
      </c>
      <c r="B1875" s="27" t="s">
        <v>284</v>
      </c>
      <c r="C1875" s="27" t="s">
        <v>227</v>
      </c>
      <c r="D1875" s="27" t="s">
        <v>304</v>
      </c>
      <c r="E1875" s="27" t="s">
        <v>1681</v>
      </c>
      <c r="F1875" s="51">
        <v>14000</v>
      </c>
      <c r="G1875" s="27"/>
    </row>
    <row r="1876" spans="1:7">
      <c r="A1876" s="27">
        <v>90</v>
      </c>
      <c r="B1876" s="27" t="s">
        <v>284</v>
      </c>
      <c r="C1876" s="27" t="s">
        <v>227</v>
      </c>
      <c r="D1876" s="27" t="s">
        <v>296</v>
      </c>
      <c r="E1876" s="27" t="s">
        <v>1681</v>
      </c>
      <c r="F1876" s="51">
        <v>488169</v>
      </c>
      <c r="G1876" s="27"/>
    </row>
    <row r="1877" spans="1:7">
      <c r="A1877" s="27">
        <v>90</v>
      </c>
      <c r="B1877" s="27" t="s">
        <v>284</v>
      </c>
      <c r="C1877" s="27" t="s">
        <v>227</v>
      </c>
      <c r="D1877" s="27" t="s">
        <v>400</v>
      </c>
      <c r="E1877" s="27" t="s">
        <v>1681</v>
      </c>
      <c r="F1877" s="51">
        <v>444130</v>
      </c>
      <c r="G1877" s="27"/>
    </row>
    <row r="1878" spans="1:7">
      <c r="A1878" s="27">
        <v>90</v>
      </c>
      <c r="B1878" s="27" t="s">
        <v>284</v>
      </c>
      <c r="C1878" s="27" t="s">
        <v>227</v>
      </c>
      <c r="D1878" s="27" t="s">
        <v>298</v>
      </c>
      <c r="E1878" s="27" t="s">
        <v>1681</v>
      </c>
      <c r="F1878" s="51">
        <v>72271</v>
      </c>
      <c r="G1878" s="27"/>
    </row>
    <row r="1879" spans="1:7">
      <c r="A1879" s="27">
        <v>90</v>
      </c>
      <c r="B1879" s="27" t="s">
        <v>284</v>
      </c>
      <c r="C1879" s="27" t="s">
        <v>227</v>
      </c>
      <c r="D1879" s="27" t="s">
        <v>401</v>
      </c>
      <c r="E1879" s="27" t="s">
        <v>1681</v>
      </c>
      <c r="F1879" s="51">
        <v>14985</v>
      </c>
      <c r="G1879" s="27"/>
    </row>
    <row r="1880" spans="1:7">
      <c r="A1880" s="27">
        <v>90</v>
      </c>
      <c r="B1880" s="27" t="s">
        <v>284</v>
      </c>
      <c r="C1880" s="27" t="s">
        <v>227</v>
      </c>
      <c r="D1880" s="27" t="s">
        <v>402</v>
      </c>
      <c r="E1880" s="27" t="s">
        <v>1681</v>
      </c>
      <c r="F1880" s="51">
        <v>833</v>
      </c>
      <c r="G1880" s="27"/>
    </row>
    <row r="1881" spans="1:7">
      <c r="A1881" s="27">
        <v>90</v>
      </c>
      <c r="B1881" s="27" t="s">
        <v>284</v>
      </c>
      <c r="C1881" s="27" t="s">
        <v>227</v>
      </c>
      <c r="D1881" s="27" t="s">
        <v>300</v>
      </c>
      <c r="E1881" s="27" t="s">
        <v>1681</v>
      </c>
      <c r="F1881" s="51">
        <v>14374</v>
      </c>
      <c r="G1881" s="27"/>
    </row>
    <row r="1882" spans="1:7">
      <c r="A1882" s="27">
        <v>91</v>
      </c>
      <c r="B1882" s="27" t="s">
        <v>285</v>
      </c>
      <c r="C1882" s="27" t="s">
        <v>306</v>
      </c>
      <c r="D1882" s="27" t="s">
        <v>406</v>
      </c>
      <c r="E1882" s="27" t="s">
        <v>1682</v>
      </c>
      <c r="F1882" s="51">
        <v>32533</v>
      </c>
      <c r="G1882" s="27"/>
    </row>
    <row r="1883" spans="1:7">
      <c r="A1883" s="27">
        <v>91</v>
      </c>
      <c r="B1883" s="27" t="s">
        <v>285</v>
      </c>
      <c r="C1883" s="27" t="s">
        <v>306</v>
      </c>
      <c r="D1883" s="27" t="s">
        <v>326</v>
      </c>
      <c r="E1883" s="27" t="s">
        <v>1682</v>
      </c>
      <c r="F1883" s="51">
        <v>52650</v>
      </c>
      <c r="G1883" s="27"/>
    </row>
    <row r="1884" spans="1:7">
      <c r="A1884" s="27">
        <v>91</v>
      </c>
      <c r="B1884" s="27" t="s">
        <v>285</v>
      </c>
      <c r="C1884" s="27" t="s">
        <v>306</v>
      </c>
      <c r="D1884" s="27" t="s">
        <v>408</v>
      </c>
      <c r="E1884" s="27" t="s">
        <v>1682</v>
      </c>
      <c r="F1884" s="51">
        <v>53712</v>
      </c>
      <c r="G1884" s="27"/>
    </row>
    <row r="1885" spans="1:7">
      <c r="A1885" s="27">
        <v>91</v>
      </c>
      <c r="B1885" s="27" t="s">
        <v>285</v>
      </c>
      <c r="C1885" s="27" t="s">
        <v>306</v>
      </c>
      <c r="D1885" s="27" t="s">
        <v>394</v>
      </c>
      <c r="E1885" s="27" t="s">
        <v>1682</v>
      </c>
      <c r="F1885" s="51">
        <v>308358</v>
      </c>
      <c r="G1885" s="27"/>
    </row>
    <row r="1886" spans="1:7">
      <c r="A1886" s="27">
        <v>91</v>
      </c>
      <c r="B1886" s="27" t="s">
        <v>285</v>
      </c>
      <c r="C1886" s="27" t="s">
        <v>306</v>
      </c>
      <c r="D1886" s="27" t="s">
        <v>412</v>
      </c>
      <c r="E1886" s="27" t="s">
        <v>1682</v>
      </c>
      <c r="F1886" s="51">
        <v>10000</v>
      </c>
      <c r="G1886" s="27"/>
    </row>
    <row r="1887" spans="1:7">
      <c r="A1887" s="27">
        <v>91</v>
      </c>
      <c r="B1887" s="27" t="s">
        <v>285</v>
      </c>
      <c r="C1887" s="27" t="s">
        <v>306</v>
      </c>
      <c r="D1887" s="27" t="s">
        <v>415</v>
      </c>
      <c r="E1887" s="27" t="s">
        <v>1682</v>
      </c>
      <c r="F1887" s="51">
        <v>499</v>
      </c>
      <c r="G1887" s="27"/>
    </row>
    <row r="1888" spans="1:7">
      <c r="A1888" s="27">
        <v>91</v>
      </c>
      <c r="B1888" s="27" t="s">
        <v>285</v>
      </c>
      <c r="C1888" s="27" t="s">
        <v>306</v>
      </c>
      <c r="D1888" s="27" t="s">
        <v>334</v>
      </c>
      <c r="E1888" s="27" t="s">
        <v>1682</v>
      </c>
      <c r="F1888" s="51">
        <v>8007</v>
      </c>
      <c r="G1888" s="27"/>
    </row>
    <row r="1889" spans="1:7">
      <c r="A1889" s="27">
        <v>91</v>
      </c>
      <c r="B1889" s="27" t="s">
        <v>285</v>
      </c>
      <c r="C1889" s="27" t="s">
        <v>306</v>
      </c>
      <c r="D1889" s="27" t="s">
        <v>291</v>
      </c>
      <c r="E1889" s="27" t="s">
        <v>1681</v>
      </c>
      <c r="F1889" s="51">
        <v>8079</v>
      </c>
      <c r="G1889" s="27"/>
    </row>
    <row r="1890" spans="1:7">
      <c r="A1890" s="27">
        <v>91</v>
      </c>
      <c r="B1890" s="27" t="s">
        <v>285</v>
      </c>
      <c r="C1890" s="27" t="s">
        <v>306</v>
      </c>
      <c r="D1890" s="27" t="s">
        <v>399</v>
      </c>
      <c r="E1890" s="27" t="s">
        <v>1681</v>
      </c>
      <c r="F1890" s="51">
        <v>3915523</v>
      </c>
      <c r="G1890" s="27"/>
    </row>
    <row r="1891" spans="1:7">
      <c r="A1891" s="27">
        <v>91</v>
      </c>
      <c r="B1891" s="27" t="s">
        <v>285</v>
      </c>
      <c r="C1891" s="27" t="s">
        <v>306</v>
      </c>
      <c r="D1891" s="27" t="s">
        <v>293</v>
      </c>
      <c r="E1891" s="27" t="s">
        <v>1681</v>
      </c>
      <c r="F1891" s="51">
        <v>45452</v>
      </c>
      <c r="G1891" s="27"/>
    </row>
    <row r="1892" spans="1:7">
      <c r="A1892" s="27">
        <v>91</v>
      </c>
      <c r="B1892" s="27" t="s">
        <v>285</v>
      </c>
      <c r="C1892" s="27" t="s">
        <v>306</v>
      </c>
      <c r="D1892" s="27" t="s">
        <v>303</v>
      </c>
      <c r="E1892" s="27" t="s">
        <v>1681</v>
      </c>
      <c r="F1892" s="51">
        <v>17100</v>
      </c>
      <c r="G1892" s="27"/>
    </row>
    <row r="1893" spans="1:7">
      <c r="A1893" s="27">
        <v>91</v>
      </c>
      <c r="B1893" s="27" t="s">
        <v>285</v>
      </c>
      <c r="C1893" s="27" t="s">
        <v>306</v>
      </c>
      <c r="D1893" s="27" t="s">
        <v>296</v>
      </c>
      <c r="E1893" s="27" t="s">
        <v>1681</v>
      </c>
      <c r="F1893" s="51">
        <v>948832</v>
      </c>
      <c r="G1893" s="27"/>
    </row>
    <row r="1894" spans="1:7">
      <c r="A1894" s="27">
        <v>91</v>
      </c>
      <c r="B1894" s="27" t="s">
        <v>285</v>
      </c>
      <c r="C1894" s="27" t="s">
        <v>306</v>
      </c>
      <c r="D1894" s="27" t="s">
        <v>400</v>
      </c>
      <c r="E1894" s="27" t="s">
        <v>1681</v>
      </c>
      <c r="F1894" s="51">
        <v>94035</v>
      </c>
      <c r="G1894" s="27"/>
    </row>
    <row r="1895" spans="1:7">
      <c r="A1895" s="27">
        <v>91</v>
      </c>
      <c r="B1895" s="27" t="s">
        <v>285</v>
      </c>
      <c r="C1895" s="27" t="s">
        <v>306</v>
      </c>
      <c r="D1895" s="27" t="s">
        <v>298</v>
      </c>
      <c r="E1895" s="27" t="s">
        <v>1681</v>
      </c>
      <c r="F1895" s="51">
        <v>52559</v>
      </c>
      <c r="G1895" s="27"/>
    </row>
    <row r="1896" spans="1:7">
      <c r="A1896" s="27">
        <v>91</v>
      </c>
      <c r="B1896" s="27" t="s">
        <v>285</v>
      </c>
      <c r="C1896" s="27" t="s">
        <v>306</v>
      </c>
      <c r="D1896" s="27" t="s">
        <v>401</v>
      </c>
      <c r="E1896" s="27" t="s">
        <v>1681</v>
      </c>
      <c r="F1896" s="51">
        <v>15000</v>
      </c>
      <c r="G1896" s="27"/>
    </row>
    <row r="1897" spans="1:7">
      <c r="A1897" s="27">
        <v>91</v>
      </c>
      <c r="B1897" s="27" t="s">
        <v>285</v>
      </c>
      <c r="C1897" s="27" t="s">
        <v>306</v>
      </c>
      <c r="D1897" s="27" t="s">
        <v>402</v>
      </c>
      <c r="E1897" s="27" t="s">
        <v>1681</v>
      </c>
      <c r="F1897" s="51">
        <v>67048</v>
      </c>
      <c r="G1897" s="27"/>
    </row>
    <row r="1898" spans="1:7">
      <c r="A1898" s="27">
        <v>92</v>
      </c>
      <c r="B1898" s="27" t="s">
        <v>286</v>
      </c>
      <c r="C1898" s="27" t="s">
        <v>393</v>
      </c>
      <c r="D1898" s="27" t="s">
        <v>408</v>
      </c>
      <c r="E1898" s="27" t="s">
        <v>1682</v>
      </c>
      <c r="F1898" s="51">
        <v>9981</v>
      </c>
      <c r="G1898" s="27"/>
    </row>
    <row r="1899" spans="1:7">
      <c r="A1899" s="27">
        <v>92</v>
      </c>
      <c r="B1899" s="27" t="s">
        <v>286</v>
      </c>
      <c r="C1899" s="27" t="s">
        <v>393</v>
      </c>
      <c r="D1899" s="27" t="s">
        <v>394</v>
      </c>
      <c r="E1899" s="27" t="s">
        <v>1682</v>
      </c>
      <c r="F1899" s="51">
        <v>67306</v>
      </c>
      <c r="G1899" s="27"/>
    </row>
    <row r="1900" spans="1:7">
      <c r="A1900" s="27">
        <v>92</v>
      </c>
      <c r="B1900" s="27" t="s">
        <v>286</v>
      </c>
      <c r="C1900" s="27" t="s">
        <v>393</v>
      </c>
      <c r="D1900" s="27" t="s">
        <v>399</v>
      </c>
      <c r="E1900" s="27" t="s">
        <v>1681</v>
      </c>
      <c r="F1900" s="51">
        <v>2624416</v>
      </c>
      <c r="G1900" s="27"/>
    </row>
    <row r="1901" spans="1:7">
      <c r="A1901" s="27">
        <v>92</v>
      </c>
      <c r="B1901" s="27" t="s">
        <v>286</v>
      </c>
      <c r="C1901" s="27" t="s">
        <v>393</v>
      </c>
      <c r="D1901" s="27" t="s">
        <v>296</v>
      </c>
      <c r="E1901" s="27" t="s">
        <v>1681</v>
      </c>
      <c r="F1901" s="51">
        <v>102975</v>
      </c>
      <c r="G1901" s="27"/>
    </row>
    <row r="1902" spans="1:7">
      <c r="A1902" s="27">
        <v>92</v>
      </c>
      <c r="B1902" s="27" t="s">
        <v>286</v>
      </c>
      <c r="C1902" s="27" t="s">
        <v>393</v>
      </c>
      <c r="D1902" s="27" t="s">
        <v>400</v>
      </c>
      <c r="E1902" s="27" t="s">
        <v>1681</v>
      </c>
      <c r="F1902" s="51">
        <v>87481</v>
      </c>
      <c r="G1902" s="27"/>
    </row>
    <row r="1903" spans="1:7">
      <c r="A1903" s="27">
        <v>92</v>
      </c>
      <c r="B1903" s="27" t="s">
        <v>286</v>
      </c>
      <c r="C1903" s="27" t="s">
        <v>393</v>
      </c>
      <c r="D1903" s="27" t="s">
        <v>298</v>
      </c>
      <c r="E1903" s="27" t="s">
        <v>1681</v>
      </c>
      <c r="F1903" s="51">
        <v>41970</v>
      </c>
      <c r="G1903" s="27"/>
    </row>
    <row r="1904" spans="1:7">
      <c r="A1904" s="27">
        <v>92</v>
      </c>
      <c r="B1904" s="27" t="s">
        <v>286</v>
      </c>
      <c r="C1904" s="27" t="s">
        <v>393</v>
      </c>
      <c r="D1904" s="27" t="s">
        <v>401</v>
      </c>
      <c r="E1904" s="27" t="s">
        <v>1681</v>
      </c>
      <c r="F1904" s="51">
        <v>30623</v>
      </c>
      <c r="G1904" s="27"/>
    </row>
    <row r="1905" spans="1:7">
      <c r="A1905" s="27">
        <v>92</v>
      </c>
      <c r="B1905" s="27" t="s">
        <v>286</v>
      </c>
      <c r="C1905" s="27" t="s">
        <v>393</v>
      </c>
      <c r="D1905" s="27" t="s">
        <v>402</v>
      </c>
      <c r="E1905" s="27" t="s">
        <v>1681</v>
      </c>
      <c r="F1905" s="51">
        <v>91868</v>
      </c>
      <c r="G1905" s="27"/>
    </row>
    <row r="1906" spans="1:7">
      <c r="A1906" s="27">
        <v>93</v>
      </c>
      <c r="B1906" s="27" t="s">
        <v>287</v>
      </c>
      <c r="C1906" s="27" t="s">
        <v>325</v>
      </c>
      <c r="D1906" s="27" t="s">
        <v>406</v>
      </c>
      <c r="E1906" s="27" t="s">
        <v>1682</v>
      </c>
      <c r="F1906" s="51">
        <v>752400</v>
      </c>
      <c r="G1906" s="27"/>
    </row>
    <row r="1907" spans="1:7">
      <c r="A1907" s="27">
        <v>93</v>
      </c>
      <c r="B1907" s="27" t="s">
        <v>287</v>
      </c>
      <c r="C1907" s="27" t="s">
        <v>325</v>
      </c>
      <c r="D1907" s="27" t="s">
        <v>326</v>
      </c>
      <c r="E1907" s="27" t="s">
        <v>1682</v>
      </c>
      <c r="F1907" s="51">
        <v>319840</v>
      </c>
      <c r="G1907" s="27"/>
    </row>
    <row r="1908" spans="1:7">
      <c r="A1908" s="27">
        <v>93</v>
      </c>
      <c r="B1908" s="27" t="s">
        <v>287</v>
      </c>
      <c r="C1908" s="27" t="s">
        <v>325</v>
      </c>
      <c r="D1908" s="27" t="s">
        <v>407</v>
      </c>
      <c r="E1908" s="27" t="s">
        <v>1682</v>
      </c>
      <c r="F1908" s="51">
        <v>28878</v>
      </c>
      <c r="G1908" s="27"/>
    </row>
    <row r="1909" spans="1:7">
      <c r="A1909" s="27">
        <v>93</v>
      </c>
      <c r="B1909" s="27" t="s">
        <v>287</v>
      </c>
      <c r="C1909" s="27" t="s">
        <v>325</v>
      </c>
      <c r="D1909" s="27" t="s">
        <v>408</v>
      </c>
      <c r="E1909" s="27" t="s">
        <v>1682</v>
      </c>
      <c r="F1909" s="51">
        <v>6844063</v>
      </c>
      <c r="G1909" s="27"/>
    </row>
    <row r="1910" spans="1:7">
      <c r="A1910" s="27">
        <v>93</v>
      </c>
      <c r="B1910" s="27" t="s">
        <v>287</v>
      </c>
      <c r="C1910" s="27" t="s">
        <v>325</v>
      </c>
      <c r="D1910" s="27" t="s">
        <v>394</v>
      </c>
      <c r="E1910" s="27" t="s">
        <v>1682</v>
      </c>
      <c r="F1910" s="51">
        <v>3333611</v>
      </c>
      <c r="G1910" s="27"/>
    </row>
    <row r="1911" spans="1:7">
      <c r="A1911" s="27">
        <v>93</v>
      </c>
      <c r="B1911" s="27" t="s">
        <v>287</v>
      </c>
      <c r="C1911" s="27" t="s">
        <v>325</v>
      </c>
      <c r="D1911" s="27" t="s">
        <v>328</v>
      </c>
      <c r="E1911" s="27" t="s">
        <v>1682</v>
      </c>
      <c r="F1911" s="51">
        <v>93624</v>
      </c>
      <c r="G1911" s="27"/>
    </row>
    <row r="1912" spans="1:7">
      <c r="A1912" s="27">
        <v>93</v>
      </c>
      <c r="B1912" s="27" t="s">
        <v>287</v>
      </c>
      <c r="C1912" s="27" t="s">
        <v>325</v>
      </c>
      <c r="D1912" s="27" t="s">
        <v>329</v>
      </c>
      <c r="E1912" s="27" t="s">
        <v>1682</v>
      </c>
      <c r="F1912" s="51">
        <v>1776665</v>
      </c>
      <c r="G1912" s="27"/>
    </row>
    <row r="1913" spans="1:7">
      <c r="A1913" s="27">
        <v>93</v>
      </c>
      <c r="B1913" s="27" t="s">
        <v>287</v>
      </c>
      <c r="C1913" s="27" t="s">
        <v>325</v>
      </c>
      <c r="D1913" s="27" t="s">
        <v>288</v>
      </c>
      <c r="E1913" s="27" t="s">
        <v>1682</v>
      </c>
      <c r="F1913" s="51">
        <v>380000</v>
      </c>
      <c r="G1913" s="27"/>
    </row>
    <row r="1914" spans="1:7">
      <c r="A1914" s="27">
        <v>93</v>
      </c>
      <c r="B1914" s="27" t="s">
        <v>287</v>
      </c>
      <c r="C1914" s="27" t="s">
        <v>325</v>
      </c>
      <c r="D1914" s="27" t="s">
        <v>396</v>
      </c>
      <c r="E1914" s="27" t="s">
        <v>1682</v>
      </c>
      <c r="F1914" s="51">
        <v>445000</v>
      </c>
      <c r="G1914" s="27"/>
    </row>
    <row r="1915" spans="1:7">
      <c r="A1915" s="27">
        <v>93</v>
      </c>
      <c r="B1915" s="27" t="s">
        <v>287</v>
      </c>
      <c r="C1915" s="27" t="s">
        <v>325</v>
      </c>
      <c r="D1915" s="27" t="s">
        <v>410</v>
      </c>
      <c r="E1915" s="27" t="s">
        <v>1682</v>
      </c>
      <c r="F1915" s="51">
        <v>64676</v>
      </c>
      <c r="G1915" s="27"/>
    </row>
    <row r="1916" spans="1:7">
      <c r="A1916" s="27">
        <v>93</v>
      </c>
      <c r="B1916" s="27" t="s">
        <v>287</v>
      </c>
      <c r="C1916" s="27" t="s">
        <v>325</v>
      </c>
      <c r="D1916" s="27" t="s">
        <v>330</v>
      </c>
      <c r="E1916" s="27" t="s">
        <v>1682</v>
      </c>
      <c r="F1916" s="51">
        <v>3250</v>
      </c>
      <c r="G1916" s="27"/>
    </row>
    <row r="1917" spans="1:7">
      <c r="A1917" s="27">
        <v>93</v>
      </c>
      <c r="B1917" s="27" t="s">
        <v>287</v>
      </c>
      <c r="C1917" s="27" t="s">
        <v>325</v>
      </c>
      <c r="D1917" s="27" t="s">
        <v>331</v>
      </c>
      <c r="E1917" s="27" t="s">
        <v>1682</v>
      </c>
      <c r="F1917" s="51">
        <v>41097</v>
      </c>
      <c r="G1917" s="27"/>
    </row>
    <row r="1918" spans="1:7">
      <c r="A1918" s="27">
        <v>93</v>
      </c>
      <c r="B1918" s="27" t="s">
        <v>287</v>
      </c>
      <c r="C1918" s="27" t="s">
        <v>325</v>
      </c>
      <c r="D1918" s="27" t="s">
        <v>397</v>
      </c>
      <c r="E1918" s="27" t="s">
        <v>1682</v>
      </c>
      <c r="F1918" s="51">
        <v>16198346</v>
      </c>
      <c r="G1918" s="27"/>
    </row>
    <row r="1919" spans="1:7">
      <c r="A1919" s="27">
        <v>93</v>
      </c>
      <c r="B1919" s="27" t="s">
        <v>287</v>
      </c>
      <c r="C1919" s="27" t="s">
        <v>325</v>
      </c>
      <c r="D1919" s="27" t="s">
        <v>332</v>
      </c>
      <c r="E1919" s="27" t="s">
        <v>1682</v>
      </c>
      <c r="F1919" s="51">
        <v>420058</v>
      </c>
      <c r="G1919" s="27"/>
    </row>
    <row r="1920" spans="1:7">
      <c r="A1920" s="27">
        <v>93</v>
      </c>
      <c r="B1920" s="27" t="s">
        <v>287</v>
      </c>
      <c r="C1920" s="27" t="s">
        <v>325</v>
      </c>
      <c r="D1920" s="27" t="s">
        <v>333</v>
      </c>
      <c r="E1920" s="27" t="s">
        <v>1682</v>
      </c>
      <c r="F1920" s="51">
        <v>97584</v>
      </c>
      <c r="G1920" s="27"/>
    </row>
    <row r="1921" spans="1:7">
      <c r="A1921" s="27">
        <v>93</v>
      </c>
      <c r="B1921" s="27" t="s">
        <v>287</v>
      </c>
      <c r="C1921" s="27" t="s">
        <v>325</v>
      </c>
      <c r="D1921" s="27" t="s">
        <v>411</v>
      </c>
      <c r="E1921" s="27" t="s">
        <v>1682</v>
      </c>
      <c r="F1921" s="51">
        <v>292296</v>
      </c>
      <c r="G1921" s="27"/>
    </row>
    <row r="1922" spans="1:7">
      <c r="A1922" s="27">
        <v>93</v>
      </c>
      <c r="B1922" s="27" t="s">
        <v>287</v>
      </c>
      <c r="C1922" s="27" t="s">
        <v>325</v>
      </c>
      <c r="D1922" s="27" t="s">
        <v>412</v>
      </c>
      <c r="E1922" s="27" t="s">
        <v>1682</v>
      </c>
      <c r="F1922" s="51">
        <v>1977626</v>
      </c>
      <c r="G1922" s="27"/>
    </row>
    <row r="1923" spans="1:7">
      <c r="A1923" s="27">
        <v>93</v>
      </c>
      <c r="B1923" s="27" t="s">
        <v>287</v>
      </c>
      <c r="C1923" s="27" t="s">
        <v>325</v>
      </c>
      <c r="D1923" s="27" t="s">
        <v>413</v>
      </c>
      <c r="E1923" s="27" t="s">
        <v>1682</v>
      </c>
      <c r="F1923" s="51">
        <v>188514</v>
      </c>
      <c r="G1923" s="27"/>
    </row>
    <row r="1924" spans="1:7">
      <c r="A1924" s="27">
        <v>93</v>
      </c>
      <c r="B1924" s="27" t="s">
        <v>287</v>
      </c>
      <c r="C1924" s="27" t="s">
        <v>325</v>
      </c>
      <c r="D1924" s="27" t="s">
        <v>414</v>
      </c>
      <c r="E1924" s="27" t="s">
        <v>1682</v>
      </c>
      <c r="F1924" s="51">
        <v>35360</v>
      </c>
      <c r="G1924" s="27"/>
    </row>
    <row r="1925" spans="1:7">
      <c r="A1925" s="27">
        <v>93</v>
      </c>
      <c r="B1925" s="27" t="s">
        <v>287</v>
      </c>
      <c r="C1925" s="27" t="s">
        <v>325</v>
      </c>
      <c r="D1925" s="27" t="s">
        <v>398</v>
      </c>
      <c r="E1925" s="27" t="s">
        <v>1682</v>
      </c>
      <c r="F1925" s="51">
        <v>278350</v>
      </c>
      <c r="G1925" s="27"/>
    </row>
    <row r="1926" spans="1:7">
      <c r="A1926" s="27">
        <v>93</v>
      </c>
      <c r="B1926" s="27" t="s">
        <v>287</v>
      </c>
      <c r="C1926" s="27" t="s">
        <v>325</v>
      </c>
      <c r="D1926" s="27" t="s">
        <v>415</v>
      </c>
      <c r="E1926" s="27" t="s">
        <v>1682</v>
      </c>
      <c r="F1926" s="51">
        <v>353081</v>
      </c>
      <c r="G1926" s="27"/>
    </row>
    <row r="1927" spans="1:7">
      <c r="A1927" s="27">
        <v>93</v>
      </c>
      <c r="B1927" s="27" t="s">
        <v>287</v>
      </c>
      <c r="C1927" s="27" t="s">
        <v>325</v>
      </c>
      <c r="D1927" s="27" t="s">
        <v>334</v>
      </c>
      <c r="E1927" s="27" t="s">
        <v>1682</v>
      </c>
      <c r="F1927" s="51">
        <v>322527</v>
      </c>
      <c r="G1927" s="27"/>
    </row>
    <row r="1928" spans="1:7">
      <c r="A1928" s="27">
        <v>93</v>
      </c>
      <c r="B1928" s="27" t="s">
        <v>287</v>
      </c>
      <c r="C1928" s="27" t="s">
        <v>325</v>
      </c>
      <c r="D1928" s="27" t="s">
        <v>335</v>
      </c>
      <c r="E1928" s="27" t="s">
        <v>1681</v>
      </c>
      <c r="F1928" s="51">
        <v>229868</v>
      </c>
      <c r="G1928" s="27"/>
    </row>
    <row r="1929" spans="1:7">
      <c r="A1929" s="27">
        <v>93</v>
      </c>
      <c r="B1929" s="27" t="s">
        <v>287</v>
      </c>
      <c r="C1929" s="27" t="s">
        <v>325</v>
      </c>
      <c r="D1929" s="27" t="s">
        <v>291</v>
      </c>
      <c r="E1929" s="27" t="s">
        <v>1681</v>
      </c>
      <c r="F1929" s="51">
        <v>108819</v>
      </c>
      <c r="G1929" s="27"/>
    </row>
    <row r="1930" spans="1:7">
      <c r="A1930" s="27">
        <v>93</v>
      </c>
      <c r="B1930" s="27" t="s">
        <v>287</v>
      </c>
      <c r="C1930" s="27" t="s">
        <v>325</v>
      </c>
      <c r="D1930" s="27" t="s">
        <v>399</v>
      </c>
      <c r="E1930" s="27" t="s">
        <v>1681</v>
      </c>
      <c r="F1930" s="51">
        <v>122197561</v>
      </c>
      <c r="G1930" s="27"/>
    </row>
    <row r="1931" spans="1:7">
      <c r="A1931" s="27">
        <v>93</v>
      </c>
      <c r="B1931" s="27" t="s">
        <v>287</v>
      </c>
      <c r="C1931" s="27" t="s">
        <v>325</v>
      </c>
      <c r="D1931" s="27" t="s">
        <v>336</v>
      </c>
      <c r="E1931" s="27" t="s">
        <v>1681</v>
      </c>
      <c r="F1931" s="51">
        <v>353597</v>
      </c>
      <c r="G1931" s="27"/>
    </row>
    <row r="1932" spans="1:7">
      <c r="A1932" s="27">
        <v>93</v>
      </c>
      <c r="B1932" s="27" t="s">
        <v>287</v>
      </c>
      <c r="C1932" s="27" t="s">
        <v>325</v>
      </c>
      <c r="D1932" s="27" t="s">
        <v>317</v>
      </c>
      <c r="E1932" s="27" t="s">
        <v>1681</v>
      </c>
      <c r="F1932" s="51">
        <v>258513</v>
      </c>
      <c r="G1932" s="27"/>
    </row>
    <row r="1933" spans="1:7">
      <c r="A1933" s="27">
        <v>93</v>
      </c>
      <c r="B1933" s="27" t="s">
        <v>287</v>
      </c>
      <c r="C1933" s="27" t="s">
        <v>325</v>
      </c>
      <c r="D1933" s="27" t="s">
        <v>293</v>
      </c>
      <c r="E1933" s="27" t="s">
        <v>1681</v>
      </c>
      <c r="F1933" s="51">
        <v>625068</v>
      </c>
      <c r="G1933" s="27"/>
    </row>
    <row r="1934" spans="1:7">
      <c r="A1934" s="27">
        <v>93</v>
      </c>
      <c r="B1934" s="27" t="s">
        <v>287</v>
      </c>
      <c r="C1934" s="27" t="s">
        <v>325</v>
      </c>
      <c r="D1934" s="27" t="s">
        <v>337</v>
      </c>
      <c r="E1934" s="27" t="s">
        <v>1681</v>
      </c>
      <c r="F1934" s="51">
        <v>95000</v>
      </c>
      <c r="G1934" s="27"/>
    </row>
    <row r="1935" spans="1:7">
      <c r="A1935" s="27">
        <v>93</v>
      </c>
      <c r="B1935" s="27" t="s">
        <v>287</v>
      </c>
      <c r="C1935" s="27" t="s">
        <v>325</v>
      </c>
      <c r="D1935" s="27" t="s">
        <v>307</v>
      </c>
      <c r="E1935" s="27" t="s">
        <v>1681</v>
      </c>
      <c r="F1935" s="51">
        <v>10215401</v>
      </c>
      <c r="G1935" s="27"/>
    </row>
    <row r="1936" spans="1:7">
      <c r="A1936" s="27">
        <v>93</v>
      </c>
      <c r="B1936" s="27" t="s">
        <v>287</v>
      </c>
      <c r="C1936" s="27" t="s">
        <v>325</v>
      </c>
      <c r="D1936" s="27" t="s">
        <v>294</v>
      </c>
      <c r="E1936" s="27" t="s">
        <v>1681</v>
      </c>
      <c r="F1936" s="51">
        <v>80565</v>
      </c>
      <c r="G1936" s="27"/>
    </row>
    <row r="1937" spans="1:7">
      <c r="A1937" s="27">
        <v>93</v>
      </c>
      <c r="B1937" s="27" t="s">
        <v>287</v>
      </c>
      <c r="C1937" s="27" t="s">
        <v>325</v>
      </c>
      <c r="D1937" s="27" t="s">
        <v>295</v>
      </c>
      <c r="E1937" s="27" t="s">
        <v>1681</v>
      </c>
      <c r="F1937" s="51">
        <v>70072</v>
      </c>
      <c r="G1937" s="27"/>
    </row>
    <row r="1938" spans="1:7">
      <c r="A1938" s="27">
        <v>93</v>
      </c>
      <c r="B1938" s="27" t="s">
        <v>287</v>
      </c>
      <c r="C1938" s="27" t="s">
        <v>325</v>
      </c>
      <c r="D1938" s="27" t="s">
        <v>303</v>
      </c>
      <c r="E1938" s="27" t="s">
        <v>1681</v>
      </c>
      <c r="F1938" s="51">
        <v>16200</v>
      </c>
      <c r="G1938" s="27"/>
    </row>
    <row r="1939" spans="1:7">
      <c r="A1939" s="27">
        <v>93</v>
      </c>
      <c r="B1939" s="27" t="s">
        <v>287</v>
      </c>
      <c r="C1939" s="27" t="s">
        <v>325</v>
      </c>
      <c r="D1939" s="27" t="s">
        <v>318</v>
      </c>
      <c r="E1939" s="27" t="s">
        <v>1681</v>
      </c>
      <c r="F1939" s="51">
        <v>1971399</v>
      </c>
      <c r="G1939" s="27"/>
    </row>
    <row r="1940" spans="1:7">
      <c r="A1940" s="27">
        <v>93</v>
      </c>
      <c r="B1940" s="27" t="s">
        <v>287</v>
      </c>
      <c r="C1940" s="27" t="s">
        <v>325</v>
      </c>
      <c r="D1940" s="27" t="s">
        <v>319</v>
      </c>
      <c r="E1940" s="27" t="s">
        <v>1681</v>
      </c>
      <c r="F1940" s="51">
        <v>303608</v>
      </c>
      <c r="G1940" s="27"/>
    </row>
    <row r="1941" spans="1:7">
      <c r="A1941" s="27">
        <v>93</v>
      </c>
      <c r="B1941" s="27" t="s">
        <v>287</v>
      </c>
      <c r="C1941" s="27" t="s">
        <v>325</v>
      </c>
      <c r="D1941" s="27" t="s">
        <v>296</v>
      </c>
      <c r="E1941" s="27" t="s">
        <v>1681</v>
      </c>
      <c r="F1941" s="51">
        <v>65920435</v>
      </c>
      <c r="G1941" s="27"/>
    </row>
    <row r="1942" spans="1:7">
      <c r="A1942" s="27">
        <v>93</v>
      </c>
      <c r="B1942" s="27" t="s">
        <v>287</v>
      </c>
      <c r="C1942" s="27" t="s">
        <v>325</v>
      </c>
      <c r="D1942" s="27" t="s">
        <v>400</v>
      </c>
      <c r="E1942" s="27" t="s">
        <v>1681</v>
      </c>
      <c r="F1942" s="51">
        <v>80003</v>
      </c>
      <c r="G1942" s="27"/>
    </row>
    <row r="1943" spans="1:7">
      <c r="A1943" s="27">
        <v>93</v>
      </c>
      <c r="B1943" s="27" t="s">
        <v>287</v>
      </c>
      <c r="C1943" s="27" t="s">
        <v>325</v>
      </c>
      <c r="D1943" s="27" t="s">
        <v>298</v>
      </c>
      <c r="E1943" s="27" t="s">
        <v>1681</v>
      </c>
      <c r="F1943" s="51">
        <v>2067786</v>
      </c>
      <c r="G1943" s="27"/>
    </row>
    <row r="1944" spans="1:7">
      <c r="A1944" s="27">
        <v>93</v>
      </c>
      <c r="B1944" s="27" t="s">
        <v>287</v>
      </c>
      <c r="C1944" s="27" t="s">
        <v>325</v>
      </c>
      <c r="D1944" s="27" t="s">
        <v>401</v>
      </c>
      <c r="E1944" s="27" t="s">
        <v>1681</v>
      </c>
      <c r="F1944" s="51">
        <v>44387</v>
      </c>
      <c r="G1944" s="27"/>
    </row>
    <row r="1945" spans="1:7">
      <c r="A1945" s="27">
        <v>93</v>
      </c>
      <c r="B1945" s="27" t="s">
        <v>287</v>
      </c>
      <c r="C1945" s="27" t="s">
        <v>325</v>
      </c>
      <c r="D1945" s="27" t="s">
        <v>1347</v>
      </c>
      <c r="E1945" s="27" t="s">
        <v>1681</v>
      </c>
      <c r="F1945" s="51">
        <v>217689</v>
      </c>
      <c r="G1945" s="27"/>
    </row>
    <row r="1946" spans="1:7">
      <c r="A1946" s="27">
        <v>93</v>
      </c>
      <c r="B1946" s="27" t="s">
        <v>287</v>
      </c>
      <c r="C1946" s="27" t="s">
        <v>325</v>
      </c>
      <c r="D1946" s="27" t="s">
        <v>402</v>
      </c>
      <c r="E1946" s="27" t="s">
        <v>1681</v>
      </c>
      <c r="F1946" s="51">
        <v>3899350</v>
      </c>
      <c r="G1946" s="27"/>
    </row>
    <row r="1947" spans="1:7">
      <c r="A1947" s="27">
        <v>93</v>
      </c>
      <c r="B1947" s="27" t="s">
        <v>287</v>
      </c>
      <c r="C1947" s="27" t="s">
        <v>325</v>
      </c>
      <c r="D1947" s="27" t="s">
        <v>299</v>
      </c>
      <c r="E1947" s="27" t="s">
        <v>1681</v>
      </c>
      <c r="F1947" s="51">
        <v>247171</v>
      </c>
      <c r="G1947" s="27"/>
    </row>
    <row r="1948" spans="1:7">
      <c r="A1948" s="27">
        <v>93</v>
      </c>
      <c r="B1948" s="27" t="s">
        <v>287</v>
      </c>
      <c r="C1948" s="27" t="s">
        <v>325</v>
      </c>
      <c r="D1948" s="27" t="s">
        <v>320</v>
      </c>
      <c r="E1948" s="27" t="s">
        <v>1681</v>
      </c>
      <c r="F1948" s="51">
        <v>298791</v>
      </c>
      <c r="G1948" s="27"/>
    </row>
    <row r="1949" spans="1:7">
      <c r="A1949" s="27">
        <v>93</v>
      </c>
      <c r="B1949" s="27" t="s">
        <v>287</v>
      </c>
      <c r="C1949" s="27" t="s">
        <v>325</v>
      </c>
      <c r="D1949" s="27" t="s">
        <v>338</v>
      </c>
      <c r="E1949" s="27" t="s">
        <v>1681</v>
      </c>
      <c r="F1949" s="51">
        <v>14767</v>
      </c>
      <c r="G1949" s="27"/>
    </row>
    <row r="1950" spans="1:7">
      <c r="A1950" s="27">
        <v>93</v>
      </c>
      <c r="B1950" s="27" t="s">
        <v>287</v>
      </c>
      <c r="C1950" s="27" t="s">
        <v>325</v>
      </c>
      <c r="D1950" s="27" t="s">
        <v>300</v>
      </c>
      <c r="E1950" s="27" t="s">
        <v>1681</v>
      </c>
      <c r="F1950" s="51">
        <v>113041</v>
      </c>
      <c r="G1950" s="27"/>
    </row>
    <row r="1951" spans="1:7">
      <c r="A1951" s="27">
        <v>94</v>
      </c>
      <c r="B1951" s="27" t="s">
        <v>289</v>
      </c>
      <c r="C1951" s="27" t="s">
        <v>311</v>
      </c>
      <c r="D1951" s="27" t="s">
        <v>406</v>
      </c>
      <c r="E1951" s="27" t="s">
        <v>1682</v>
      </c>
      <c r="F1951" s="51">
        <v>22538</v>
      </c>
      <c r="G1951" s="27"/>
    </row>
    <row r="1952" spans="1:7">
      <c r="A1952" s="27">
        <v>94</v>
      </c>
      <c r="B1952" s="27" t="s">
        <v>289</v>
      </c>
      <c r="C1952" s="27" t="s">
        <v>311</v>
      </c>
      <c r="D1952" s="27" t="s">
        <v>408</v>
      </c>
      <c r="E1952" s="27" t="s">
        <v>1682</v>
      </c>
      <c r="F1952" s="51">
        <v>172193</v>
      </c>
      <c r="G1952" s="27"/>
    </row>
    <row r="1953" spans="1:7">
      <c r="A1953" s="27">
        <v>94</v>
      </c>
      <c r="B1953" s="27" t="s">
        <v>289</v>
      </c>
      <c r="C1953" s="27" t="s">
        <v>311</v>
      </c>
      <c r="D1953" s="27" t="s">
        <v>394</v>
      </c>
      <c r="E1953" s="27" t="s">
        <v>1682</v>
      </c>
      <c r="F1953" s="51">
        <v>384776</v>
      </c>
      <c r="G1953" s="27"/>
    </row>
    <row r="1954" spans="1:7">
      <c r="A1954" s="27">
        <v>94</v>
      </c>
      <c r="B1954" s="27" t="s">
        <v>289</v>
      </c>
      <c r="C1954" s="27" t="s">
        <v>311</v>
      </c>
      <c r="D1954" s="27" t="s">
        <v>397</v>
      </c>
      <c r="E1954" s="27" t="s">
        <v>1682</v>
      </c>
      <c r="F1954" s="51">
        <v>10704</v>
      </c>
      <c r="G1954" s="27"/>
    </row>
    <row r="1955" spans="1:7">
      <c r="A1955" s="27">
        <v>94</v>
      </c>
      <c r="B1955" s="27" t="s">
        <v>289</v>
      </c>
      <c r="C1955" s="27" t="s">
        <v>311</v>
      </c>
      <c r="D1955" s="27" t="s">
        <v>333</v>
      </c>
      <c r="E1955" s="27" t="s">
        <v>1682</v>
      </c>
      <c r="F1955" s="51">
        <v>3083</v>
      </c>
      <c r="G1955" s="27"/>
    </row>
    <row r="1956" spans="1:7">
      <c r="A1956" s="27">
        <v>94</v>
      </c>
      <c r="B1956" s="27" t="s">
        <v>289</v>
      </c>
      <c r="C1956" s="27" t="s">
        <v>311</v>
      </c>
      <c r="D1956" s="27" t="s">
        <v>412</v>
      </c>
      <c r="E1956" s="27" t="s">
        <v>1682</v>
      </c>
      <c r="F1956" s="51">
        <v>17000</v>
      </c>
      <c r="G1956" s="27"/>
    </row>
    <row r="1957" spans="1:7">
      <c r="A1957" s="27">
        <v>94</v>
      </c>
      <c r="B1957" s="27" t="s">
        <v>289</v>
      </c>
      <c r="C1957" s="27" t="s">
        <v>311</v>
      </c>
      <c r="D1957" s="27" t="s">
        <v>398</v>
      </c>
      <c r="E1957" s="27" t="s">
        <v>1682</v>
      </c>
      <c r="F1957" s="51">
        <v>16316</v>
      </c>
      <c r="G1957" s="27"/>
    </row>
    <row r="1958" spans="1:7">
      <c r="A1958" s="27">
        <v>94</v>
      </c>
      <c r="B1958" s="27" t="s">
        <v>289</v>
      </c>
      <c r="C1958" s="27" t="s">
        <v>311</v>
      </c>
      <c r="D1958" s="27" t="s">
        <v>415</v>
      </c>
      <c r="E1958" s="27" t="s">
        <v>1682</v>
      </c>
      <c r="F1958" s="51">
        <v>18370</v>
      </c>
      <c r="G1958" s="27"/>
    </row>
    <row r="1959" spans="1:7">
      <c r="A1959" s="27">
        <v>94</v>
      </c>
      <c r="B1959" s="27" t="s">
        <v>289</v>
      </c>
      <c r="C1959" s="27" t="s">
        <v>311</v>
      </c>
      <c r="D1959" s="27" t="s">
        <v>334</v>
      </c>
      <c r="E1959" s="27" t="s">
        <v>1682</v>
      </c>
      <c r="F1959" s="51">
        <v>26662</v>
      </c>
      <c r="G1959" s="27"/>
    </row>
    <row r="1960" spans="1:7">
      <c r="A1960" s="27">
        <v>94</v>
      </c>
      <c r="B1960" s="27" t="s">
        <v>289</v>
      </c>
      <c r="C1960" s="27" t="s">
        <v>311</v>
      </c>
      <c r="D1960" s="27" t="s">
        <v>291</v>
      </c>
      <c r="E1960" s="27" t="s">
        <v>1681</v>
      </c>
      <c r="F1960" s="51">
        <v>17491</v>
      </c>
      <c r="G1960" s="27"/>
    </row>
    <row r="1961" spans="1:7">
      <c r="A1961" s="27">
        <v>94</v>
      </c>
      <c r="B1961" s="27" t="s">
        <v>289</v>
      </c>
      <c r="C1961" s="27" t="s">
        <v>311</v>
      </c>
      <c r="D1961" s="27" t="s">
        <v>399</v>
      </c>
      <c r="E1961" s="27" t="s">
        <v>1681</v>
      </c>
      <c r="F1961" s="51">
        <v>8880512</v>
      </c>
      <c r="G1961" s="27"/>
    </row>
    <row r="1962" spans="1:7">
      <c r="A1962" s="27">
        <v>94</v>
      </c>
      <c r="B1962" s="27" t="s">
        <v>289</v>
      </c>
      <c r="C1962" s="27" t="s">
        <v>311</v>
      </c>
      <c r="D1962" s="27" t="s">
        <v>293</v>
      </c>
      <c r="E1962" s="27" t="s">
        <v>1681</v>
      </c>
      <c r="F1962" s="51">
        <v>37500</v>
      </c>
      <c r="G1962" s="27"/>
    </row>
    <row r="1963" spans="1:7">
      <c r="A1963" s="27">
        <v>94</v>
      </c>
      <c r="B1963" s="27" t="s">
        <v>289</v>
      </c>
      <c r="C1963" s="27" t="s">
        <v>311</v>
      </c>
      <c r="D1963" s="27" t="s">
        <v>307</v>
      </c>
      <c r="E1963" s="27" t="s">
        <v>1681</v>
      </c>
      <c r="F1963" s="51">
        <v>23294</v>
      </c>
      <c r="G1963" s="27"/>
    </row>
    <row r="1964" spans="1:7">
      <c r="A1964" s="27">
        <v>94</v>
      </c>
      <c r="B1964" s="27" t="s">
        <v>289</v>
      </c>
      <c r="C1964" s="27" t="s">
        <v>311</v>
      </c>
      <c r="D1964" s="27" t="s">
        <v>294</v>
      </c>
      <c r="E1964" s="27" t="s">
        <v>1681</v>
      </c>
      <c r="F1964" s="51">
        <v>15296</v>
      </c>
      <c r="G1964" s="27"/>
    </row>
    <row r="1965" spans="1:7">
      <c r="A1965" s="27">
        <v>94</v>
      </c>
      <c r="B1965" s="27" t="s">
        <v>289</v>
      </c>
      <c r="C1965" s="27" t="s">
        <v>311</v>
      </c>
      <c r="D1965" s="27" t="s">
        <v>295</v>
      </c>
      <c r="E1965" s="27" t="s">
        <v>1681</v>
      </c>
      <c r="F1965" s="51">
        <v>97204</v>
      </c>
      <c r="G1965" s="27"/>
    </row>
    <row r="1966" spans="1:7">
      <c r="A1966" s="27">
        <v>94</v>
      </c>
      <c r="B1966" s="27" t="s">
        <v>289</v>
      </c>
      <c r="C1966" s="27" t="s">
        <v>311</v>
      </c>
      <c r="D1966" s="27" t="s">
        <v>304</v>
      </c>
      <c r="E1966" s="27" t="s">
        <v>1681</v>
      </c>
      <c r="F1966" s="51">
        <v>7000</v>
      </c>
      <c r="G1966" s="27"/>
    </row>
    <row r="1967" spans="1:7">
      <c r="A1967" s="27">
        <v>94</v>
      </c>
      <c r="B1967" s="27" t="s">
        <v>289</v>
      </c>
      <c r="C1967" s="27" t="s">
        <v>311</v>
      </c>
      <c r="D1967" s="27" t="s">
        <v>296</v>
      </c>
      <c r="E1967" s="27" t="s">
        <v>1681</v>
      </c>
      <c r="F1967" s="51">
        <v>305226</v>
      </c>
      <c r="G1967" s="27"/>
    </row>
    <row r="1968" spans="1:7">
      <c r="A1968" s="27">
        <v>94</v>
      </c>
      <c r="B1968" s="27" t="s">
        <v>289</v>
      </c>
      <c r="C1968" s="27" t="s">
        <v>311</v>
      </c>
      <c r="D1968" s="27" t="s">
        <v>400</v>
      </c>
      <c r="E1968" s="27" t="s">
        <v>1681</v>
      </c>
      <c r="F1968" s="51">
        <v>247456</v>
      </c>
      <c r="G1968" s="27"/>
    </row>
    <row r="1969" spans="1:7">
      <c r="A1969" s="27">
        <v>94</v>
      </c>
      <c r="B1969" s="27" t="s">
        <v>289</v>
      </c>
      <c r="C1969" s="27" t="s">
        <v>311</v>
      </c>
      <c r="D1969" s="27" t="s">
        <v>298</v>
      </c>
      <c r="E1969" s="27" t="s">
        <v>1681</v>
      </c>
      <c r="F1969" s="51">
        <v>103409</v>
      </c>
      <c r="G1969" s="27"/>
    </row>
    <row r="1970" spans="1:7">
      <c r="A1970" s="27">
        <v>94</v>
      </c>
      <c r="B1970" s="27" t="s">
        <v>289</v>
      </c>
      <c r="C1970" s="27" t="s">
        <v>311</v>
      </c>
      <c r="D1970" s="27" t="s">
        <v>401</v>
      </c>
      <c r="E1970" s="27" t="s">
        <v>1681</v>
      </c>
      <c r="F1970" s="51">
        <v>32304</v>
      </c>
      <c r="G1970" s="27"/>
    </row>
    <row r="1971" spans="1:7">
      <c r="A1971" s="27">
        <v>94</v>
      </c>
      <c r="B1971" s="27" t="s">
        <v>289</v>
      </c>
      <c r="C1971" s="27" t="s">
        <v>311</v>
      </c>
      <c r="D1971" s="27" t="s">
        <v>402</v>
      </c>
      <c r="E1971" s="27" t="s">
        <v>1681</v>
      </c>
      <c r="F1971" s="51">
        <v>336400</v>
      </c>
      <c r="G1971" s="27"/>
    </row>
    <row r="1972" spans="1:7">
      <c r="A1972" s="27">
        <v>94</v>
      </c>
      <c r="B1972" s="27" t="s">
        <v>289</v>
      </c>
      <c r="C1972" s="27" t="s">
        <v>311</v>
      </c>
      <c r="D1972" s="27" t="s">
        <v>299</v>
      </c>
      <c r="E1972" s="27" t="s">
        <v>1681</v>
      </c>
      <c r="F1972" s="51">
        <v>13564</v>
      </c>
      <c r="G1972" s="27"/>
    </row>
    <row r="1973" spans="1:7">
      <c r="A1973" s="27">
        <v>94</v>
      </c>
      <c r="B1973" s="27" t="s">
        <v>289</v>
      </c>
      <c r="C1973" s="27" t="s">
        <v>311</v>
      </c>
      <c r="D1973" s="27" t="s">
        <v>300</v>
      </c>
      <c r="E1973" s="27" t="s">
        <v>1681</v>
      </c>
      <c r="F1973" s="51">
        <v>22067</v>
      </c>
      <c r="G1973" s="27"/>
    </row>
    <row r="1974" spans="1:7">
      <c r="A1974" s="27">
        <v>95</v>
      </c>
      <c r="B1974" s="27" t="s">
        <v>290</v>
      </c>
      <c r="C1974" s="27" t="s">
        <v>325</v>
      </c>
      <c r="D1974" s="27" t="s">
        <v>405</v>
      </c>
      <c r="E1974" s="27" t="s">
        <v>1682</v>
      </c>
      <c r="F1974" s="51">
        <v>200000</v>
      </c>
      <c r="G1974" s="27"/>
    </row>
    <row r="1975" spans="1:7">
      <c r="A1975" s="27">
        <v>95</v>
      </c>
      <c r="B1975" s="27" t="s">
        <v>290</v>
      </c>
      <c r="C1975" s="27" t="s">
        <v>325</v>
      </c>
      <c r="D1975" s="27" t="s">
        <v>406</v>
      </c>
      <c r="E1975" s="27" t="s">
        <v>1682</v>
      </c>
      <c r="F1975" s="51">
        <v>87739</v>
      </c>
      <c r="G1975" s="27"/>
    </row>
    <row r="1976" spans="1:7">
      <c r="A1976" s="27">
        <v>95</v>
      </c>
      <c r="B1976" s="27" t="s">
        <v>290</v>
      </c>
      <c r="C1976" s="27" t="s">
        <v>325</v>
      </c>
      <c r="D1976" s="27" t="s">
        <v>407</v>
      </c>
      <c r="E1976" s="27" t="s">
        <v>1682</v>
      </c>
      <c r="F1976" s="51">
        <v>23400</v>
      </c>
      <c r="G1976" s="27"/>
    </row>
    <row r="1977" spans="1:7">
      <c r="A1977" s="27">
        <v>95</v>
      </c>
      <c r="B1977" s="27" t="s">
        <v>290</v>
      </c>
      <c r="C1977" s="27" t="s">
        <v>325</v>
      </c>
      <c r="D1977" s="27" t="s">
        <v>408</v>
      </c>
      <c r="E1977" s="27" t="s">
        <v>1682</v>
      </c>
      <c r="F1977" s="51">
        <v>941603</v>
      </c>
      <c r="G1977" s="27"/>
    </row>
    <row r="1978" spans="1:7">
      <c r="A1978" s="27">
        <v>95</v>
      </c>
      <c r="B1978" s="27" t="s">
        <v>290</v>
      </c>
      <c r="C1978" s="27" t="s">
        <v>325</v>
      </c>
      <c r="D1978" s="27" t="s">
        <v>394</v>
      </c>
      <c r="E1978" s="27" t="s">
        <v>1682</v>
      </c>
      <c r="F1978" s="51">
        <v>533978</v>
      </c>
      <c r="G1978" s="27"/>
    </row>
    <row r="1979" spans="1:7">
      <c r="A1979" s="27">
        <v>95</v>
      </c>
      <c r="B1979" s="27" t="s">
        <v>290</v>
      </c>
      <c r="C1979" s="27" t="s">
        <v>325</v>
      </c>
      <c r="D1979" s="27" t="s">
        <v>163</v>
      </c>
      <c r="E1979" s="27" t="s">
        <v>1682</v>
      </c>
      <c r="F1979" s="51">
        <v>95000</v>
      </c>
      <c r="G1979" s="27"/>
    </row>
    <row r="1980" spans="1:7">
      <c r="A1980" s="27">
        <v>95</v>
      </c>
      <c r="B1980" s="27" t="s">
        <v>290</v>
      </c>
      <c r="C1980" s="27" t="s">
        <v>325</v>
      </c>
      <c r="D1980" s="27" t="s">
        <v>329</v>
      </c>
      <c r="E1980" s="27" t="s">
        <v>1682</v>
      </c>
      <c r="F1980" s="51">
        <v>50000</v>
      </c>
      <c r="G1980" s="27"/>
    </row>
    <row r="1981" spans="1:7">
      <c r="A1981" s="27">
        <v>95</v>
      </c>
      <c r="B1981" s="27" t="s">
        <v>290</v>
      </c>
      <c r="C1981" s="27" t="s">
        <v>325</v>
      </c>
      <c r="D1981" s="27" t="s">
        <v>396</v>
      </c>
      <c r="E1981" s="27" t="s">
        <v>1682</v>
      </c>
      <c r="F1981" s="51">
        <v>107024</v>
      </c>
      <c r="G1981" s="27"/>
    </row>
    <row r="1982" spans="1:7">
      <c r="A1982" s="27">
        <v>95</v>
      </c>
      <c r="B1982" s="27" t="s">
        <v>290</v>
      </c>
      <c r="C1982" s="27" t="s">
        <v>325</v>
      </c>
      <c r="D1982" s="27" t="s">
        <v>330</v>
      </c>
      <c r="E1982" s="27" t="s">
        <v>1682</v>
      </c>
      <c r="F1982" s="51">
        <v>3311</v>
      </c>
      <c r="G1982" s="27"/>
    </row>
    <row r="1983" spans="1:7">
      <c r="A1983" s="27">
        <v>95</v>
      </c>
      <c r="B1983" s="27" t="s">
        <v>290</v>
      </c>
      <c r="C1983" s="27" t="s">
        <v>325</v>
      </c>
      <c r="D1983" s="27" t="s">
        <v>331</v>
      </c>
      <c r="E1983" s="27" t="s">
        <v>1682</v>
      </c>
      <c r="F1983" s="51">
        <v>9669</v>
      </c>
      <c r="G1983" s="27"/>
    </row>
    <row r="1984" spans="1:7">
      <c r="A1984" s="27">
        <v>95</v>
      </c>
      <c r="B1984" s="27" t="s">
        <v>290</v>
      </c>
      <c r="C1984" s="27" t="s">
        <v>325</v>
      </c>
      <c r="D1984" s="27" t="s">
        <v>397</v>
      </c>
      <c r="E1984" s="27" t="s">
        <v>1682</v>
      </c>
      <c r="F1984" s="51">
        <v>1285929</v>
      </c>
      <c r="G1984" s="27"/>
    </row>
    <row r="1985" spans="1:7">
      <c r="A1985" s="27">
        <v>95</v>
      </c>
      <c r="B1985" s="27" t="s">
        <v>290</v>
      </c>
      <c r="C1985" s="27" t="s">
        <v>325</v>
      </c>
      <c r="D1985" s="27" t="s">
        <v>332</v>
      </c>
      <c r="E1985" s="27" t="s">
        <v>1682</v>
      </c>
      <c r="F1985" s="51">
        <v>109104</v>
      </c>
      <c r="G1985" s="27"/>
    </row>
    <row r="1986" spans="1:7">
      <c r="A1986" s="27">
        <v>95</v>
      </c>
      <c r="B1986" s="27" t="s">
        <v>290</v>
      </c>
      <c r="C1986" s="27" t="s">
        <v>325</v>
      </c>
      <c r="D1986" s="27" t="s">
        <v>333</v>
      </c>
      <c r="E1986" s="27" t="s">
        <v>1682</v>
      </c>
      <c r="F1986" s="51">
        <v>16849</v>
      </c>
      <c r="G1986" s="27"/>
    </row>
    <row r="1987" spans="1:7">
      <c r="A1987" s="27">
        <v>95</v>
      </c>
      <c r="B1987" s="27" t="s">
        <v>290</v>
      </c>
      <c r="C1987" s="27" t="s">
        <v>325</v>
      </c>
      <c r="D1987" s="27" t="s">
        <v>411</v>
      </c>
      <c r="E1987" s="27" t="s">
        <v>1682</v>
      </c>
      <c r="F1987" s="51">
        <v>35000</v>
      </c>
      <c r="G1987" s="27"/>
    </row>
    <row r="1988" spans="1:7">
      <c r="A1988" s="27">
        <v>95</v>
      </c>
      <c r="B1988" s="27" t="s">
        <v>290</v>
      </c>
      <c r="C1988" s="27" t="s">
        <v>325</v>
      </c>
      <c r="D1988" s="27" t="s">
        <v>412</v>
      </c>
      <c r="E1988" s="27" t="s">
        <v>1682</v>
      </c>
      <c r="F1988" s="51">
        <v>275000</v>
      </c>
      <c r="G1988" s="27"/>
    </row>
    <row r="1989" spans="1:7">
      <c r="A1989" s="27">
        <v>95</v>
      </c>
      <c r="B1989" s="27" t="s">
        <v>290</v>
      </c>
      <c r="C1989" s="27" t="s">
        <v>325</v>
      </c>
      <c r="D1989" s="27" t="s">
        <v>413</v>
      </c>
      <c r="E1989" s="27" t="s">
        <v>1682</v>
      </c>
      <c r="F1989" s="51">
        <v>35000</v>
      </c>
      <c r="G1989" s="27"/>
    </row>
    <row r="1990" spans="1:7">
      <c r="A1990" s="27">
        <v>95</v>
      </c>
      <c r="B1990" s="27" t="s">
        <v>290</v>
      </c>
      <c r="C1990" s="27" t="s">
        <v>325</v>
      </c>
      <c r="D1990" s="27" t="s">
        <v>398</v>
      </c>
      <c r="E1990" s="27" t="s">
        <v>1682</v>
      </c>
      <c r="F1990" s="51">
        <v>35000</v>
      </c>
      <c r="G1990" s="27"/>
    </row>
    <row r="1991" spans="1:7">
      <c r="A1991" s="27">
        <v>95</v>
      </c>
      <c r="B1991" s="27" t="s">
        <v>290</v>
      </c>
      <c r="C1991" s="27" t="s">
        <v>325</v>
      </c>
      <c r="D1991" s="27" t="s">
        <v>415</v>
      </c>
      <c r="E1991" s="27" t="s">
        <v>1682</v>
      </c>
      <c r="F1991" s="51">
        <v>25000</v>
      </c>
      <c r="G1991" s="27"/>
    </row>
    <row r="1992" spans="1:7">
      <c r="A1992" s="27">
        <v>95</v>
      </c>
      <c r="B1992" s="27" t="s">
        <v>290</v>
      </c>
      <c r="C1992" s="27" t="s">
        <v>325</v>
      </c>
      <c r="D1992" s="27" t="s">
        <v>334</v>
      </c>
      <c r="E1992" s="27" t="s">
        <v>1682</v>
      </c>
      <c r="F1992" s="51">
        <v>86536</v>
      </c>
      <c r="G1992" s="27"/>
    </row>
    <row r="1993" spans="1:7">
      <c r="A1993" s="27">
        <v>95</v>
      </c>
      <c r="B1993" s="27" t="s">
        <v>290</v>
      </c>
      <c r="C1993" s="27" t="s">
        <v>325</v>
      </c>
      <c r="D1993" s="27" t="s">
        <v>335</v>
      </c>
      <c r="E1993" s="27" t="s">
        <v>1681</v>
      </c>
      <c r="F1993" s="51">
        <v>44193</v>
      </c>
      <c r="G1993" s="27"/>
    </row>
    <row r="1994" spans="1:7">
      <c r="A1994" s="27">
        <v>95</v>
      </c>
      <c r="B1994" s="27" t="s">
        <v>290</v>
      </c>
      <c r="C1994" s="27" t="s">
        <v>325</v>
      </c>
      <c r="D1994" s="27" t="s">
        <v>291</v>
      </c>
      <c r="E1994" s="27" t="s">
        <v>1681</v>
      </c>
      <c r="F1994" s="51">
        <v>20982</v>
      </c>
      <c r="G1994" s="27"/>
    </row>
    <row r="1995" spans="1:7">
      <c r="A1995" s="27">
        <v>95</v>
      </c>
      <c r="B1995" s="27" t="s">
        <v>290</v>
      </c>
      <c r="C1995" s="27" t="s">
        <v>325</v>
      </c>
      <c r="D1995" s="27" t="s">
        <v>399</v>
      </c>
      <c r="E1995" s="27" t="s">
        <v>1681</v>
      </c>
      <c r="F1995" s="51">
        <v>19717267</v>
      </c>
      <c r="G1995" s="27"/>
    </row>
    <row r="1996" spans="1:7">
      <c r="A1996" s="27">
        <v>95</v>
      </c>
      <c r="B1996" s="27" t="s">
        <v>290</v>
      </c>
      <c r="C1996" s="27" t="s">
        <v>325</v>
      </c>
      <c r="D1996" s="27" t="s">
        <v>336</v>
      </c>
      <c r="E1996" s="27" t="s">
        <v>1681</v>
      </c>
      <c r="F1996" s="51">
        <v>61225</v>
      </c>
      <c r="G1996" s="27"/>
    </row>
    <row r="1997" spans="1:7">
      <c r="A1997" s="27">
        <v>95</v>
      </c>
      <c r="B1997" s="27" t="s">
        <v>290</v>
      </c>
      <c r="C1997" s="27" t="s">
        <v>325</v>
      </c>
      <c r="D1997" s="27" t="s">
        <v>307</v>
      </c>
      <c r="E1997" s="27" t="s">
        <v>1681</v>
      </c>
      <c r="F1997" s="51">
        <v>95620</v>
      </c>
      <c r="G1997" s="27"/>
    </row>
    <row r="1998" spans="1:7">
      <c r="A1998" s="27">
        <v>95</v>
      </c>
      <c r="B1998" s="27" t="s">
        <v>290</v>
      </c>
      <c r="C1998" s="27" t="s">
        <v>325</v>
      </c>
      <c r="D1998" s="27" t="s">
        <v>294</v>
      </c>
      <c r="E1998" s="27" t="s">
        <v>1681</v>
      </c>
      <c r="F1998" s="51">
        <v>51386</v>
      </c>
      <c r="G1998" s="27"/>
    </row>
    <row r="1999" spans="1:7">
      <c r="A1999" s="27">
        <v>95</v>
      </c>
      <c r="B1999" s="27" t="s">
        <v>290</v>
      </c>
      <c r="C1999" s="27" t="s">
        <v>325</v>
      </c>
      <c r="D1999" s="27" t="s">
        <v>295</v>
      </c>
      <c r="E1999" s="27" t="s">
        <v>1681</v>
      </c>
      <c r="F1999" s="51">
        <v>12000</v>
      </c>
      <c r="G1999" s="27"/>
    </row>
    <row r="2000" spans="1:7">
      <c r="A2000" s="27">
        <v>95</v>
      </c>
      <c r="B2000" s="27" t="s">
        <v>290</v>
      </c>
      <c r="C2000" s="27" t="s">
        <v>325</v>
      </c>
      <c r="D2000" s="27" t="s">
        <v>303</v>
      </c>
      <c r="E2000" s="27" t="s">
        <v>1681</v>
      </c>
      <c r="F2000" s="51">
        <v>14400</v>
      </c>
      <c r="G2000" s="27"/>
    </row>
    <row r="2001" spans="1:7">
      <c r="A2001" s="27">
        <v>95</v>
      </c>
      <c r="B2001" s="27" t="s">
        <v>290</v>
      </c>
      <c r="C2001" s="27" t="s">
        <v>325</v>
      </c>
      <c r="D2001" s="27" t="s">
        <v>318</v>
      </c>
      <c r="E2001" s="27" t="s">
        <v>1681</v>
      </c>
      <c r="F2001" s="51">
        <v>766029</v>
      </c>
      <c r="G2001" s="27"/>
    </row>
    <row r="2002" spans="1:7">
      <c r="A2002" s="27">
        <v>95</v>
      </c>
      <c r="B2002" s="27" t="s">
        <v>290</v>
      </c>
      <c r="C2002" s="27" t="s">
        <v>325</v>
      </c>
      <c r="D2002" s="27" t="s">
        <v>319</v>
      </c>
      <c r="E2002" s="27" t="s">
        <v>1681</v>
      </c>
      <c r="F2002" s="51">
        <v>53719</v>
      </c>
      <c r="G2002" s="27"/>
    </row>
    <row r="2003" spans="1:7">
      <c r="A2003" s="27">
        <v>95</v>
      </c>
      <c r="B2003" s="27" t="s">
        <v>290</v>
      </c>
      <c r="C2003" s="27" t="s">
        <v>325</v>
      </c>
      <c r="D2003" s="27" t="s">
        <v>296</v>
      </c>
      <c r="E2003" s="27" t="s">
        <v>1681</v>
      </c>
      <c r="F2003" s="51">
        <v>1479166</v>
      </c>
      <c r="G2003" s="27"/>
    </row>
    <row r="2004" spans="1:7">
      <c r="A2004" s="27">
        <v>95</v>
      </c>
      <c r="B2004" s="27" t="s">
        <v>290</v>
      </c>
      <c r="C2004" s="27" t="s">
        <v>325</v>
      </c>
      <c r="D2004" s="27" t="s">
        <v>400</v>
      </c>
      <c r="E2004" s="27" t="s">
        <v>1681</v>
      </c>
      <c r="F2004" s="51">
        <v>142501</v>
      </c>
      <c r="G2004" s="27"/>
    </row>
    <row r="2005" spans="1:7">
      <c r="A2005" s="27">
        <v>95</v>
      </c>
      <c r="B2005" s="27" t="s">
        <v>290</v>
      </c>
      <c r="C2005" s="27" t="s">
        <v>325</v>
      </c>
      <c r="D2005" s="27" t="s">
        <v>298</v>
      </c>
      <c r="E2005" s="27" t="s">
        <v>1681</v>
      </c>
      <c r="F2005" s="51">
        <v>402407</v>
      </c>
      <c r="G2005" s="27"/>
    </row>
    <row r="2006" spans="1:7">
      <c r="A2006" s="27">
        <v>95</v>
      </c>
      <c r="B2006" s="27" t="s">
        <v>290</v>
      </c>
      <c r="C2006" s="27" t="s">
        <v>325</v>
      </c>
      <c r="D2006" s="27" t="s">
        <v>401</v>
      </c>
      <c r="E2006" s="27" t="s">
        <v>1681</v>
      </c>
      <c r="F2006" s="51">
        <v>30290</v>
      </c>
      <c r="G2006" s="27"/>
    </row>
    <row r="2007" spans="1:7">
      <c r="A2007" s="27">
        <v>95</v>
      </c>
      <c r="B2007" s="27" t="s">
        <v>290</v>
      </c>
      <c r="C2007" s="27" t="s">
        <v>325</v>
      </c>
      <c r="D2007" s="27" t="s">
        <v>1347</v>
      </c>
      <c r="E2007" s="27" t="s">
        <v>1681</v>
      </c>
      <c r="F2007" s="51">
        <v>37137</v>
      </c>
      <c r="G2007" s="27"/>
    </row>
    <row r="2008" spans="1:7">
      <c r="A2008" s="27">
        <v>95</v>
      </c>
      <c r="B2008" s="27" t="s">
        <v>290</v>
      </c>
      <c r="C2008" s="27" t="s">
        <v>325</v>
      </c>
      <c r="D2008" s="27" t="s">
        <v>402</v>
      </c>
      <c r="E2008" s="27" t="s">
        <v>1681</v>
      </c>
      <c r="F2008" s="51">
        <v>377127</v>
      </c>
      <c r="G2008" s="27"/>
    </row>
    <row r="2009" spans="1:7">
      <c r="A2009" s="27">
        <v>95</v>
      </c>
      <c r="B2009" s="27" t="s">
        <v>290</v>
      </c>
      <c r="C2009" s="27" t="s">
        <v>325</v>
      </c>
      <c r="D2009" s="27" t="s">
        <v>299</v>
      </c>
      <c r="E2009" s="27" t="s">
        <v>1681</v>
      </c>
      <c r="F2009" s="51">
        <v>74323</v>
      </c>
      <c r="G2009" s="27"/>
    </row>
    <row r="2010" spans="1:7">
      <c r="A2010" s="27">
        <v>95</v>
      </c>
      <c r="B2010" s="27" t="s">
        <v>290</v>
      </c>
      <c r="C2010" s="27" t="s">
        <v>325</v>
      </c>
      <c r="D2010" s="27" t="s">
        <v>300</v>
      </c>
      <c r="E2010" s="27" t="s">
        <v>1681</v>
      </c>
      <c r="F2010" s="51">
        <v>25458</v>
      </c>
      <c r="G2010" s="27"/>
    </row>
    <row r="2011" spans="1:7">
      <c r="A2011" s="27">
        <v>96</v>
      </c>
      <c r="B2011" s="27" t="s">
        <v>164</v>
      </c>
      <c r="C2011" s="27" t="s">
        <v>311</v>
      </c>
      <c r="D2011" s="27" t="s">
        <v>406</v>
      </c>
      <c r="E2011" s="27" t="s">
        <v>1682</v>
      </c>
      <c r="F2011" s="51">
        <v>28076</v>
      </c>
      <c r="G2011" s="27"/>
    </row>
    <row r="2012" spans="1:7">
      <c r="A2012" s="27">
        <v>96</v>
      </c>
      <c r="B2012" s="27" t="s">
        <v>164</v>
      </c>
      <c r="C2012" s="27" t="s">
        <v>311</v>
      </c>
      <c r="D2012" s="27" t="s">
        <v>408</v>
      </c>
      <c r="E2012" s="27" t="s">
        <v>1682</v>
      </c>
      <c r="F2012" s="51">
        <v>162493</v>
      </c>
      <c r="G2012" s="27"/>
    </row>
    <row r="2013" spans="1:7">
      <c r="A2013" s="27">
        <v>96</v>
      </c>
      <c r="B2013" s="27" t="s">
        <v>164</v>
      </c>
      <c r="C2013" s="27" t="s">
        <v>311</v>
      </c>
      <c r="D2013" s="27" t="s">
        <v>394</v>
      </c>
      <c r="E2013" s="27" t="s">
        <v>1682</v>
      </c>
      <c r="F2013" s="51">
        <v>268925</v>
      </c>
      <c r="G2013" s="27"/>
    </row>
    <row r="2014" spans="1:7">
      <c r="A2014" s="27">
        <v>96</v>
      </c>
      <c r="B2014" s="27" t="s">
        <v>164</v>
      </c>
      <c r="C2014" s="27" t="s">
        <v>311</v>
      </c>
      <c r="D2014" s="27" t="s">
        <v>412</v>
      </c>
      <c r="E2014" s="27" t="s">
        <v>1682</v>
      </c>
      <c r="F2014" s="51">
        <v>11145</v>
      </c>
      <c r="G2014" s="27"/>
    </row>
    <row r="2015" spans="1:7">
      <c r="A2015" s="27">
        <v>96</v>
      </c>
      <c r="B2015" s="27" t="s">
        <v>164</v>
      </c>
      <c r="C2015" s="27" t="s">
        <v>311</v>
      </c>
      <c r="D2015" s="27" t="s">
        <v>413</v>
      </c>
      <c r="E2015" s="27" t="s">
        <v>1682</v>
      </c>
      <c r="F2015" s="51">
        <v>4973</v>
      </c>
      <c r="G2015" s="27"/>
    </row>
    <row r="2016" spans="1:7">
      <c r="A2016" s="27">
        <v>96</v>
      </c>
      <c r="B2016" s="27" t="s">
        <v>164</v>
      </c>
      <c r="C2016" s="27" t="s">
        <v>311</v>
      </c>
      <c r="D2016" s="27" t="s">
        <v>398</v>
      </c>
      <c r="E2016" s="27" t="s">
        <v>1682</v>
      </c>
      <c r="F2016" s="51">
        <v>3828</v>
      </c>
      <c r="G2016" s="27"/>
    </row>
    <row r="2017" spans="1:7">
      <c r="A2017" s="27">
        <v>96</v>
      </c>
      <c r="B2017" s="27" t="s">
        <v>164</v>
      </c>
      <c r="C2017" s="27" t="s">
        <v>311</v>
      </c>
      <c r="D2017" s="27" t="s">
        <v>415</v>
      </c>
      <c r="E2017" s="27" t="s">
        <v>1682</v>
      </c>
      <c r="F2017" s="51">
        <v>14443</v>
      </c>
      <c r="G2017" s="27"/>
    </row>
    <row r="2018" spans="1:7">
      <c r="A2018" s="27">
        <v>96</v>
      </c>
      <c r="B2018" s="27" t="s">
        <v>164</v>
      </c>
      <c r="C2018" s="27" t="s">
        <v>311</v>
      </c>
      <c r="D2018" s="27" t="s">
        <v>291</v>
      </c>
      <c r="E2018" s="27" t="s">
        <v>1681</v>
      </c>
      <c r="F2018" s="51">
        <v>17573</v>
      </c>
      <c r="G2018" s="27"/>
    </row>
    <row r="2019" spans="1:7">
      <c r="A2019" s="27">
        <v>96</v>
      </c>
      <c r="B2019" s="27" t="s">
        <v>164</v>
      </c>
      <c r="C2019" s="27" t="s">
        <v>311</v>
      </c>
      <c r="D2019" s="27" t="s">
        <v>399</v>
      </c>
      <c r="E2019" s="27" t="s">
        <v>1681</v>
      </c>
      <c r="F2019" s="51">
        <v>10223745</v>
      </c>
      <c r="G2019" s="27"/>
    </row>
    <row r="2020" spans="1:7">
      <c r="A2020" s="27">
        <v>96</v>
      </c>
      <c r="B2020" s="27" t="s">
        <v>164</v>
      </c>
      <c r="C2020" s="27" t="s">
        <v>311</v>
      </c>
      <c r="D2020" s="27" t="s">
        <v>296</v>
      </c>
      <c r="E2020" s="27" t="s">
        <v>1681</v>
      </c>
      <c r="F2020" s="51">
        <v>2372379</v>
      </c>
      <c r="G2020" s="27"/>
    </row>
    <row r="2021" spans="1:7">
      <c r="A2021" s="27">
        <v>96</v>
      </c>
      <c r="B2021" s="27" t="s">
        <v>164</v>
      </c>
      <c r="C2021" s="27" t="s">
        <v>311</v>
      </c>
      <c r="D2021" s="27" t="s">
        <v>400</v>
      </c>
      <c r="E2021" s="27" t="s">
        <v>1681</v>
      </c>
      <c r="F2021" s="51">
        <v>511418</v>
      </c>
      <c r="G2021" s="27"/>
    </row>
    <row r="2022" spans="1:7">
      <c r="A2022" s="27">
        <v>96</v>
      </c>
      <c r="B2022" s="27" t="s">
        <v>164</v>
      </c>
      <c r="C2022" s="27" t="s">
        <v>311</v>
      </c>
      <c r="D2022" s="27" t="s">
        <v>298</v>
      </c>
      <c r="E2022" s="27" t="s">
        <v>1681</v>
      </c>
      <c r="F2022" s="51">
        <v>181812</v>
      </c>
      <c r="G2022" s="27"/>
    </row>
    <row r="2023" spans="1:7">
      <c r="A2023" s="27">
        <v>96</v>
      </c>
      <c r="B2023" s="27" t="s">
        <v>164</v>
      </c>
      <c r="C2023" s="27" t="s">
        <v>311</v>
      </c>
      <c r="D2023" s="27" t="s">
        <v>401</v>
      </c>
      <c r="E2023" s="27" t="s">
        <v>1681</v>
      </c>
      <c r="F2023" s="51">
        <v>30000</v>
      </c>
      <c r="G2023" s="27"/>
    </row>
    <row r="2024" spans="1:7">
      <c r="A2024" s="27">
        <v>96</v>
      </c>
      <c r="B2024" s="27" t="s">
        <v>164</v>
      </c>
      <c r="C2024" s="27" t="s">
        <v>311</v>
      </c>
      <c r="D2024" s="27" t="s">
        <v>402</v>
      </c>
      <c r="E2024" s="27" t="s">
        <v>1681</v>
      </c>
      <c r="F2024" s="51">
        <v>368500</v>
      </c>
      <c r="G2024" s="27"/>
    </row>
    <row r="2025" spans="1:7">
      <c r="A2025" s="27">
        <v>96</v>
      </c>
      <c r="B2025" s="27" t="s">
        <v>164</v>
      </c>
      <c r="C2025" s="27" t="s">
        <v>311</v>
      </c>
      <c r="D2025" s="27" t="s">
        <v>299</v>
      </c>
      <c r="E2025" s="27" t="s">
        <v>1681</v>
      </c>
      <c r="F2025" s="51">
        <v>1902</v>
      </c>
      <c r="G2025" s="27"/>
    </row>
    <row r="2026" spans="1:7">
      <c r="A2026" s="27">
        <v>96</v>
      </c>
      <c r="B2026" s="27" t="s">
        <v>164</v>
      </c>
      <c r="C2026" s="27" t="s">
        <v>311</v>
      </c>
      <c r="D2026" s="27" t="s">
        <v>300</v>
      </c>
      <c r="E2026" s="27" t="s">
        <v>1681</v>
      </c>
      <c r="F2026" s="51">
        <v>20822</v>
      </c>
      <c r="G2026" s="27"/>
    </row>
    <row r="2027" spans="1:7">
      <c r="A2027" s="27">
        <v>97</v>
      </c>
      <c r="B2027" s="27" t="s">
        <v>165</v>
      </c>
      <c r="C2027" s="27" t="s">
        <v>306</v>
      </c>
      <c r="D2027" s="27" t="s">
        <v>406</v>
      </c>
      <c r="E2027" s="27" t="s">
        <v>1682</v>
      </c>
      <c r="F2027" s="51">
        <v>28781</v>
      </c>
      <c r="G2027" s="27"/>
    </row>
    <row r="2028" spans="1:7">
      <c r="A2028" s="27">
        <v>97</v>
      </c>
      <c r="B2028" s="27" t="s">
        <v>165</v>
      </c>
      <c r="C2028" s="27" t="s">
        <v>306</v>
      </c>
      <c r="D2028" s="27" t="s">
        <v>408</v>
      </c>
      <c r="E2028" s="27" t="s">
        <v>1682</v>
      </c>
      <c r="F2028" s="51">
        <v>105937</v>
      </c>
      <c r="G2028" s="27"/>
    </row>
    <row r="2029" spans="1:7">
      <c r="A2029" s="27">
        <v>97</v>
      </c>
      <c r="B2029" s="27" t="s">
        <v>165</v>
      </c>
      <c r="C2029" s="27" t="s">
        <v>306</v>
      </c>
      <c r="D2029" s="27" t="s">
        <v>394</v>
      </c>
      <c r="E2029" s="27" t="s">
        <v>1682</v>
      </c>
      <c r="F2029" s="51">
        <v>531616</v>
      </c>
      <c r="G2029" s="27"/>
    </row>
    <row r="2030" spans="1:7">
      <c r="A2030" s="27">
        <v>97</v>
      </c>
      <c r="B2030" s="27" t="s">
        <v>165</v>
      </c>
      <c r="C2030" s="27" t="s">
        <v>306</v>
      </c>
      <c r="D2030" s="27" t="s">
        <v>397</v>
      </c>
      <c r="E2030" s="27" t="s">
        <v>1682</v>
      </c>
      <c r="F2030" s="51">
        <v>115762</v>
      </c>
      <c r="G2030" s="27"/>
    </row>
    <row r="2031" spans="1:7">
      <c r="A2031" s="27">
        <v>97</v>
      </c>
      <c r="B2031" s="27" t="s">
        <v>165</v>
      </c>
      <c r="C2031" s="27" t="s">
        <v>306</v>
      </c>
      <c r="D2031" s="27" t="s">
        <v>333</v>
      </c>
      <c r="E2031" s="27" t="s">
        <v>1682</v>
      </c>
      <c r="F2031" s="51">
        <v>7131</v>
      </c>
      <c r="G2031" s="27"/>
    </row>
    <row r="2032" spans="1:7">
      <c r="A2032" s="27">
        <v>97</v>
      </c>
      <c r="B2032" s="27" t="s">
        <v>165</v>
      </c>
      <c r="C2032" s="27" t="s">
        <v>306</v>
      </c>
      <c r="D2032" s="27" t="s">
        <v>411</v>
      </c>
      <c r="E2032" s="27" t="s">
        <v>1682</v>
      </c>
      <c r="F2032" s="51">
        <v>1000</v>
      </c>
      <c r="G2032" s="27"/>
    </row>
    <row r="2033" spans="1:7">
      <c r="A2033" s="27">
        <v>97</v>
      </c>
      <c r="B2033" s="27" t="s">
        <v>165</v>
      </c>
      <c r="C2033" s="27" t="s">
        <v>306</v>
      </c>
      <c r="D2033" s="27" t="s">
        <v>412</v>
      </c>
      <c r="E2033" s="27" t="s">
        <v>1682</v>
      </c>
      <c r="F2033" s="51">
        <v>67800</v>
      </c>
      <c r="G2033" s="27"/>
    </row>
    <row r="2034" spans="1:7">
      <c r="A2034" s="27">
        <v>97</v>
      </c>
      <c r="B2034" s="27" t="s">
        <v>165</v>
      </c>
      <c r="C2034" s="27" t="s">
        <v>306</v>
      </c>
      <c r="D2034" s="27" t="s">
        <v>398</v>
      </c>
      <c r="E2034" s="27" t="s">
        <v>1682</v>
      </c>
      <c r="F2034" s="51">
        <v>15905</v>
      </c>
      <c r="G2034" s="27"/>
    </row>
    <row r="2035" spans="1:7">
      <c r="A2035" s="27">
        <v>97</v>
      </c>
      <c r="B2035" s="27" t="s">
        <v>165</v>
      </c>
      <c r="C2035" s="27" t="s">
        <v>306</v>
      </c>
      <c r="D2035" s="27" t="s">
        <v>415</v>
      </c>
      <c r="E2035" s="27" t="s">
        <v>1682</v>
      </c>
      <c r="F2035" s="51">
        <v>17246</v>
      </c>
      <c r="G2035" s="27"/>
    </row>
    <row r="2036" spans="1:7">
      <c r="A2036" s="27">
        <v>97</v>
      </c>
      <c r="B2036" s="27" t="s">
        <v>165</v>
      </c>
      <c r="C2036" s="27" t="s">
        <v>306</v>
      </c>
      <c r="D2036" s="27" t="s">
        <v>291</v>
      </c>
      <c r="E2036" s="27" t="s">
        <v>1681</v>
      </c>
      <c r="F2036" s="51">
        <v>16051</v>
      </c>
      <c r="G2036" s="27"/>
    </row>
    <row r="2037" spans="1:7">
      <c r="A2037" s="27">
        <v>97</v>
      </c>
      <c r="B2037" s="27" t="s">
        <v>165</v>
      </c>
      <c r="C2037" s="27" t="s">
        <v>306</v>
      </c>
      <c r="D2037" s="27" t="s">
        <v>399</v>
      </c>
      <c r="E2037" s="27" t="s">
        <v>1681</v>
      </c>
      <c r="F2037" s="51">
        <v>3760562</v>
      </c>
      <c r="G2037" s="27"/>
    </row>
    <row r="2038" spans="1:7">
      <c r="A2038" s="27">
        <v>97</v>
      </c>
      <c r="B2038" s="27" t="s">
        <v>165</v>
      </c>
      <c r="C2038" s="27" t="s">
        <v>306</v>
      </c>
      <c r="D2038" s="27" t="s">
        <v>294</v>
      </c>
      <c r="E2038" s="27" t="s">
        <v>1681</v>
      </c>
      <c r="F2038" s="51">
        <v>9452</v>
      </c>
      <c r="G2038" s="27"/>
    </row>
    <row r="2039" spans="1:7">
      <c r="A2039" s="27">
        <v>97</v>
      </c>
      <c r="B2039" s="27" t="s">
        <v>165</v>
      </c>
      <c r="C2039" s="27" t="s">
        <v>306</v>
      </c>
      <c r="D2039" s="27" t="s">
        <v>296</v>
      </c>
      <c r="E2039" s="27" t="s">
        <v>1681</v>
      </c>
      <c r="F2039" s="51">
        <v>4643479</v>
      </c>
      <c r="G2039" s="27"/>
    </row>
    <row r="2040" spans="1:7">
      <c r="A2040" s="27">
        <v>97</v>
      </c>
      <c r="B2040" s="27" t="s">
        <v>165</v>
      </c>
      <c r="C2040" s="27" t="s">
        <v>306</v>
      </c>
      <c r="D2040" s="27" t="s">
        <v>400</v>
      </c>
      <c r="E2040" s="27" t="s">
        <v>1681</v>
      </c>
      <c r="F2040" s="51">
        <v>616293</v>
      </c>
      <c r="G2040" s="27"/>
    </row>
    <row r="2041" spans="1:7">
      <c r="A2041" s="27">
        <v>97</v>
      </c>
      <c r="B2041" s="27" t="s">
        <v>165</v>
      </c>
      <c r="C2041" s="27" t="s">
        <v>306</v>
      </c>
      <c r="D2041" s="27" t="s">
        <v>298</v>
      </c>
      <c r="E2041" s="27" t="s">
        <v>1681</v>
      </c>
      <c r="F2041" s="51">
        <v>186664</v>
      </c>
      <c r="G2041" s="27"/>
    </row>
    <row r="2042" spans="1:7">
      <c r="A2042" s="27">
        <v>97</v>
      </c>
      <c r="B2042" s="27" t="s">
        <v>165</v>
      </c>
      <c r="C2042" s="27" t="s">
        <v>306</v>
      </c>
      <c r="D2042" s="27" t="s">
        <v>401</v>
      </c>
      <c r="E2042" s="27" t="s">
        <v>1681</v>
      </c>
      <c r="F2042" s="51">
        <v>14991</v>
      </c>
      <c r="G2042" s="27"/>
    </row>
    <row r="2043" spans="1:7">
      <c r="A2043" s="27">
        <v>97</v>
      </c>
      <c r="B2043" s="27" t="s">
        <v>165</v>
      </c>
      <c r="C2043" s="27" t="s">
        <v>306</v>
      </c>
      <c r="D2043" s="27" t="s">
        <v>402</v>
      </c>
      <c r="E2043" s="27" t="s">
        <v>1681</v>
      </c>
      <c r="F2043" s="51">
        <v>172625</v>
      </c>
      <c r="G2043" s="27"/>
    </row>
    <row r="2044" spans="1:7">
      <c r="A2044" s="27">
        <v>97</v>
      </c>
      <c r="B2044" s="27" t="s">
        <v>165</v>
      </c>
      <c r="C2044" s="27" t="s">
        <v>306</v>
      </c>
      <c r="D2044" s="27" t="s">
        <v>299</v>
      </c>
      <c r="E2044" s="27" t="s">
        <v>1681</v>
      </c>
      <c r="F2044" s="51">
        <v>18578</v>
      </c>
      <c r="G2044" s="27"/>
    </row>
    <row r="2045" spans="1:7">
      <c r="A2045" s="27">
        <v>97</v>
      </c>
      <c r="B2045" s="27" t="s">
        <v>165</v>
      </c>
      <c r="C2045" s="27" t="s">
        <v>306</v>
      </c>
      <c r="D2045" s="27" t="s">
        <v>300</v>
      </c>
      <c r="E2045" s="27" t="s">
        <v>1681</v>
      </c>
      <c r="F2045" s="51">
        <v>20618</v>
      </c>
      <c r="G2045" s="27"/>
    </row>
    <row r="2046" spans="1:7">
      <c r="A2046" s="27">
        <v>98</v>
      </c>
      <c r="B2046" s="27" t="s">
        <v>166</v>
      </c>
      <c r="C2046" s="27" t="s">
        <v>302</v>
      </c>
      <c r="D2046" s="27" t="s">
        <v>408</v>
      </c>
      <c r="E2046" s="27" t="s">
        <v>1682</v>
      </c>
      <c r="F2046" s="51">
        <v>4779</v>
      </c>
      <c r="G2046" s="27"/>
    </row>
    <row r="2047" spans="1:7">
      <c r="A2047" s="27">
        <v>98</v>
      </c>
      <c r="B2047" s="27" t="s">
        <v>166</v>
      </c>
      <c r="C2047" s="27" t="s">
        <v>302</v>
      </c>
      <c r="D2047" s="27" t="s">
        <v>396</v>
      </c>
      <c r="E2047" s="27" t="s">
        <v>1682</v>
      </c>
      <c r="F2047" s="51">
        <v>15360</v>
      </c>
      <c r="G2047" s="27"/>
    </row>
    <row r="2048" spans="1:7">
      <c r="A2048" s="27">
        <v>98</v>
      </c>
      <c r="B2048" s="27" t="s">
        <v>166</v>
      </c>
      <c r="C2048" s="27" t="s">
        <v>302</v>
      </c>
      <c r="D2048" s="27" t="s">
        <v>334</v>
      </c>
      <c r="E2048" s="27" t="s">
        <v>1682</v>
      </c>
      <c r="F2048" s="51">
        <v>1781</v>
      </c>
      <c r="G2048" s="27"/>
    </row>
    <row r="2049" spans="1:7">
      <c r="A2049" s="27">
        <v>98</v>
      </c>
      <c r="B2049" s="27" t="s">
        <v>166</v>
      </c>
      <c r="C2049" s="27" t="s">
        <v>302</v>
      </c>
      <c r="D2049" s="27" t="s">
        <v>291</v>
      </c>
      <c r="E2049" s="27" t="s">
        <v>1681</v>
      </c>
      <c r="F2049" s="51">
        <v>577</v>
      </c>
      <c r="G2049" s="27"/>
    </row>
    <row r="2050" spans="1:7">
      <c r="A2050" s="27">
        <v>98</v>
      </c>
      <c r="B2050" s="27" t="s">
        <v>166</v>
      </c>
      <c r="C2050" s="27" t="s">
        <v>302</v>
      </c>
      <c r="D2050" s="27" t="s">
        <v>399</v>
      </c>
      <c r="E2050" s="27" t="s">
        <v>1681</v>
      </c>
      <c r="F2050" s="51">
        <v>326674</v>
      </c>
      <c r="G2050" s="27"/>
    </row>
    <row r="2051" spans="1:7">
      <c r="A2051" s="27">
        <v>98</v>
      </c>
      <c r="B2051" s="27" t="s">
        <v>166</v>
      </c>
      <c r="C2051" s="27" t="s">
        <v>302</v>
      </c>
      <c r="D2051" s="27" t="s">
        <v>293</v>
      </c>
      <c r="E2051" s="27" t="s">
        <v>1681</v>
      </c>
      <c r="F2051" s="51">
        <v>12294</v>
      </c>
      <c r="G2051" s="27"/>
    </row>
    <row r="2052" spans="1:7">
      <c r="A2052" s="27">
        <v>98</v>
      </c>
      <c r="B2052" s="27" t="s">
        <v>166</v>
      </c>
      <c r="C2052" s="27" t="s">
        <v>302</v>
      </c>
      <c r="D2052" s="27" t="s">
        <v>296</v>
      </c>
      <c r="E2052" s="27" t="s">
        <v>1681</v>
      </c>
      <c r="F2052" s="51">
        <v>79742</v>
      </c>
      <c r="G2052" s="27"/>
    </row>
    <row r="2053" spans="1:7">
      <c r="A2053" s="27">
        <v>98</v>
      </c>
      <c r="B2053" s="27" t="s">
        <v>166</v>
      </c>
      <c r="C2053" s="27" t="s">
        <v>302</v>
      </c>
      <c r="D2053" s="27" t="s">
        <v>400</v>
      </c>
      <c r="E2053" s="27" t="s">
        <v>1681</v>
      </c>
      <c r="F2053" s="51">
        <v>9102</v>
      </c>
      <c r="G2053" s="27"/>
    </row>
    <row r="2054" spans="1:7">
      <c r="A2054" s="27">
        <v>98</v>
      </c>
      <c r="B2054" s="27" t="s">
        <v>166</v>
      </c>
      <c r="C2054" s="27" t="s">
        <v>302</v>
      </c>
      <c r="D2054" s="27" t="s">
        <v>298</v>
      </c>
      <c r="E2054" s="27" t="s">
        <v>1681</v>
      </c>
      <c r="F2054" s="51">
        <v>24021</v>
      </c>
      <c r="G2054" s="27"/>
    </row>
    <row r="2055" spans="1:7">
      <c r="A2055" s="27">
        <v>98</v>
      </c>
      <c r="B2055" s="27" t="s">
        <v>166</v>
      </c>
      <c r="C2055" s="27" t="s">
        <v>302</v>
      </c>
      <c r="D2055" s="27" t="s">
        <v>401</v>
      </c>
      <c r="E2055" s="27" t="s">
        <v>1681</v>
      </c>
      <c r="F2055" s="51">
        <v>15000</v>
      </c>
      <c r="G2055" s="27"/>
    </row>
    <row r="2056" spans="1:7">
      <c r="A2056" s="27">
        <v>98</v>
      </c>
      <c r="B2056" s="27" t="s">
        <v>166</v>
      </c>
      <c r="C2056" s="27" t="s">
        <v>302</v>
      </c>
      <c r="D2056" s="27" t="s">
        <v>402</v>
      </c>
      <c r="E2056" s="27" t="s">
        <v>1681</v>
      </c>
      <c r="F2056" s="51">
        <v>13482</v>
      </c>
      <c r="G2056" s="27"/>
    </row>
    <row r="2057" spans="1:7">
      <c r="A2057" s="27">
        <v>99</v>
      </c>
      <c r="B2057" s="27" t="s">
        <v>167</v>
      </c>
      <c r="C2057" s="27" t="s">
        <v>302</v>
      </c>
      <c r="D2057" s="27" t="s">
        <v>406</v>
      </c>
      <c r="E2057" s="27" t="s">
        <v>1682</v>
      </c>
      <c r="F2057" s="51">
        <v>16585</v>
      </c>
      <c r="G2057" s="27"/>
    </row>
    <row r="2058" spans="1:7">
      <c r="A2058" s="27">
        <v>99</v>
      </c>
      <c r="B2058" s="27" t="s">
        <v>167</v>
      </c>
      <c r="C2058" s="27" t="s">
        <v>302</v>
      </c>
      <c r="D2058" s="27" t="s">
        <v>408</v>
      </c>
      <c r="E2058" s="27" t="s">
        <v>1682</v>
      </c>
      <c r="F2058" s="51">
        <v>73474</v>
      </c>
      <c r="G2058" s="27"/>
    </row>
    <row r="2059" spans="1:7">
      <c r="A2059" s="27">
        <v>99</v>
      </c>
      <c r="B2059" s="27" t="s">
        <v>167</v>
      </c>
      <c r="C2059" s="27" t="s">
        <v>302</v>
      </c>
      <c r="D2059" s="27" t="s">
        <v>394</v>
      </c>
      <c r="E2059" s="27" t="s">
        <v>1682</v>
      </c>
      <c r="F2059" s="51">
        <v>258462</v>
      </c>
      <c r="G2059" s="27"/>
    </row>
    <row r="2060" spans="1:7">
      <c r="A2060" s="27">
        <v>99</v>
      </c>
      <c r="B2060" s="27" t="s">
        <v>167</v>
      </c>
      <c r="C2060" s="27" t="s">
        <v>302</v>
      </c>
      <c r="D2060" s="27" t="s">
        <v>396</v>
      </c>
      <c r="E2060" s="27" t="s">
        <v>1682</v>
      </c>
      <c r="F2060" s="51">
        <v>22500</v>
      </c>
      <c r="G2060" s="27"/>
    </row>
    <row r="2061" spans="1:7">
      <c r="A2061" s="27">
        <v>99</v>
      </c>
      <c r="B2061" s="27" t="s">
        <v>167</v>
      </c>
      <c r="C2061" s="27" t="s">
        <v>302</v>
      </c>
      <c r="D2061" s="27" t="s">
        <v>397</v>
      </c>
      <c r="E2061" s="27" t="s">
        <v>1682</v>
      </c>
      <c r="F2061" s="51">
        <v>90627</v>
      </c>
      <c r="G2061" s="27"/>
    </row>
    <row r="2062" spans="1:7">
      <c r="A2062" s="27">
        <v>99</v>
      </c>
      <c r="B2062" s="27" t="s">
        <v>167</v>
      </c>
      <c r="C2062" s="27" t="s">
        <v>302</v>
      </c>
      <c r="D2062" s="27" t="s">
        <v>333</v>
      </c>
      <c r="E2062" s="27" t="s">
        <v>1682</v>
      </c>
      <c r="F2062" s="51">
        <v>4706</v>
      </c>
      <c r="G2062" s="27"/>
    </row>
    <row r="2063" spans="1:7">
      <c r="A2063" s="27">
        <v>99</v>
      </c>
      <c r="B2063" s="27" t="s">
        <v>167</v>
      </c>
      <c r="C2063" s="27" t="s">
        <v>302</v>
      </c>
      <c r="D2063" s="27" t="s">
        <v>411</v>
      </c>
      <c r="E2063" s="27" t="s">
        <v>1682</v>
      </c>
      <c r="F2063" s="51">
        <v>2770</v>
      </c>
      <c r="G2063" s="27"/>
    </row>
    <row r="2064" spans="1:7">
      <c r="A2064" s="27">
        <v>99</v>
      </c>
      <c r="B2064" s="27" t="s">
        <v>167</v>
      </c>
      <c r="C2064" s="27" t="s">
        <v>302</v>
      </c>
      <c r="D2064" s="27" t="s">
        <v>412</v>
      </c>
      <c r="E2064" s="27" t="s">
        <v>1682</v>
      </c>
      <c r="F2064" s="51">
        <v>10000</v>
      </c>
      <c r="G2064" s="27"/>
    </row>
    <row r="2065" spans="1:7">
      <c r="A2065" s="27">
        <v>99</v>
      </c>
      <c r="B2065" s="27" t="s">
        <v>167</v>
      </c>
      <c r="C2065" s="27" t="s">
        <v>302</v>
      </c>
      <c r="D2065" s="27" t="s">
        <v>398</v>
      </c>
      <c r="E2065" s="27" t="s">
        <v>1682</v>
      </c>
      <c r="F2065" s="51">
        <v>5524</v>
      </c>
      <c r="G2065" s="27"/>
    </row>
    <row r="2066" spans="1:7">
      <c r="A2066" s="27">
        <v>99</v>
      </c>
      <c r="B2066" s="27" t="s">
        <v>167</v>
      </c>
      <c r="C2066" s="27" t="s">
        <v>302</v>
      </c>
      <c r="D2066" s="27" t="s">
        <v>415</v>
      </c>
      <c r="E2066" s="27" t="s">
        <v>1682</v>
      </c>
      <c r="F2066" s="51">
        <v>13421</v>
      </c>
      <c r="G2066" s="27"/>
    </row>
    <row r="2067" spans="1:7">
      <c r="A2067" s="27">
        <v>99</v>
      </c>
      <c r="B2067" s="27" t="s">
        <v>167</v>
      </c>
      <c r="C2067" s="27" t="s">
        <v>302</v>
      </c>
      <c r="D2067" s="27" t="s">
        <v>291</v>
      </c>
      <c r="E2067" s="27" t="s">
        <v>1681</v>
      </c>
      <c r="F2067" s="51">
        <v>8641</v>
      </c>
      <c r="G2067" s="27"/>
    </row>
    <row r="2068" spans="1:7">
      <c r="A2068" s="27">
        <v>99</v>
      </c>
      <c r="B2068" s="27" t="s">
        <v>167</v>
      </c>
      <c r="C2068" s="27" t="s">
        <v>302</v>
      </c>
      <c r="D2068" s="27" t="s">
        <v>399</v>
      </c>
      <c r="E2068" s="27" t="s">
        <v>1681</v>
      </c>
      <c r="F2068" s="51">
        <v>6808105</v>
      </c>
      <c r="G2068" s="27"/>
    </row>
    <row r="2069" spans="1:7">
      <c r="A2069" s="27">
        <v>99</v>
      </c>
      <c r="B2069" s="27" t="s">
        <v>167</v>
      </c>
      <c r="C2069" s="27" t="s">
        <v>302</v>
      </c>
      <c r="D2069" s="27" t="s">
        <v>317</v>
      </c>
      <c r="E2069" s="27" t="s">
        <v>1681</v>
      </c>
      <c r="F2069" s="51">
        <v>86171</v>
      </c>
      <c r="G2069" s="27"/>
    </row>
    <row r="2070" spans="1:7">
      <c r="A2070" s="27">
        <v>99</v>
      </c>
      <c r="B2070" s="27" t="s">
        <v>167</v>
      </c>
      <c r="C2070" s="27" t="s">
        <v>302</v>
      </c>
      <c r="D2070" s="27" t="s">
        <v>293</v>
      </c>
      <c r="E2070" s="27" t="s">
        <v>1681</v>
      </c>
      <c r="F2070" s="51">
        <v>32000</v>
      </c>
      <c r="G2070" s="27"/>
    </row>
    <row r="2071" spans="1:7">
      <c r="A2071" s="27">
        <v>99</v>
      </c>
      <c r="B2071" s="27" t="s">
        <v>167</v>
      </c>
      <c r="C2071" s="27" t="s">
        <v>302</v>
      </c>
      <c r="D2071" s="27" t="s">
        <v>295</v>
      </c>
      <c r="E2071" s="27" t="s">
        <v>1681</v>
      </c>
      <c r="F2071" s="51">
        <v>52939</v>
      </c>
      <c r="G2071" s="27"/>
    </row>
    <row r="2072" spans="1:7">
      <c r="A2072" s="27">
        <v>99</v>
      </c>
      <c r="B2072" s="27" t="s">
        <v>167</v>
      </c>
      <c r="C2072" s="27" t="s">
        <v>302</v>
      </c>
      <c r="D2072" s="27" t="s">
        <v>303</v>
      </c>
      <c r="E2072" s="27" t="s">
        <v>1681</v>
      </c>
      <c r="F2072" s="51">
        <v>16200</v>
      </c>
      <c r="G2072" s="27"/>
    </row>
    <row r="2073" spans="1:7">
      <c r="A2073" s="27">
        <v>99</v>
      </c>
      <c r="B2073" s="27" t="s">
        <v>167</v>
      </c>
      <c r="C2073" s="27" t="s">
        <v>302</v>
      </c>
      <c r="D2073" s="27" t="s">
        <v>296</v>
      </c>
      <c r="E2073" s="27" t="s">
        <v>1681</v>
      </c>
      <c r="F2073" s="51">
        <v>2124591</v>
      </c>
      <c r="G2073" s="27"/>
    </row>
    <row r="2074" spans="1:7">
      <c r="A2074" s="27">
        <v>99</v>
      </c>
      <c r="B2074" s="27" t="s">
        <v>167</v>
      </c>
      <c r="C2074" s="27" t="s">
        <v>302</v>
      </c>
      <c r="D2074" s="27" t="s">
        <v>400</v>
      </c>
      <c r="E2074" s="27" t="s">
        <v>1681</v>
      </c>
      <c r="F2074" s="51">
        <v>138477</v>
      </c>
      <c r="G2074" s="27"/>
    </row>
    <row r="2075" spans="1:7">
      <c r="A2075" s="27">
        <v>99</v>
      </c>
      <c r="B2075" s="27" t="s">
        <v>167</v>
      </c>
      <c r="C2075" s="27" t="s">
        <v>302</v>
      </c>
      <c r="D2075" s="27" t="s">
        <v>298</v>
      </c>
      <c r="E2075" s="27" t="s">
        <v>1681</v>
      </c>
      <c r="F2075" s="51">
        <v>48809</v>
      </c>
      <c r="G2075" s="27"/>
    </row>
    <row r="2076" spans="1:7">
      <c r="A2076" s="27">
        <v>99</v>
      </c>
      <c r="B2076" s="27" t="s">
        <v>167</v>
      </c>
      <c r="C2076" s="27" t="s">
        <v>302</v>
      </c>
      <c r="D2076" s="27" t="s">
        <v>401</v>
      </c>
      <c r="E2076" s="27" t="s">
        <v>1681</v>
      </c>
      <c r="F2076" s="51">
        <v>30903</v>
      </c>
      <c r="G2076" s="27"/>
    </row>
    <row r="2077" spans="1:7">
      <c r="A2077" s="27">
        <v>99</v>
      </c>
      <c r="B2077" s="27" t="s">
        <v>167</v>
      </c>
      <c r="C2077" s="27" t="s">
        <v>302</v>
      </c>
      <c r="D2077" s="27" t="s">
        <v>402</v>
      </c>
      <c r="E2077" s="27" t="s">
        <v>1681</v>
      </c>
      <c r="F2077" s="51">
        <v>272114</v>
      </c>
      <c r="G2077" s="27"/>
    </row>
    <row r="2078" spans="1:7">
      <c r="A2078" s="27">
        <v>100</v>
      </c>
      <c r="B2078" s="27" t="s">
        <v>168</v>
      </c>
      <c r="C2078" s="27" t="s">
        <v>346</v>
      </c>
      <c r="D2078" s="27" t="s">
        <v>408</v>
      </c>
      <c r="E2078" s="27" t="s">
        <v>1682</v>
      </c>
      <c r="F2078" s="51">
        <v>15286</v>
      </c>
      <c r="G2078" s="27"/>
    </row>
    <row r="2079" spans="1:7">
      <c r="A2079" s="27">
        <v>100</v>
      </c>
      <c r="B2079" s="27" t="s">
        <v>168</v>
      </c>
      <c r="C2079" s="27" t="s">
        <v>346</v>
      </c>
      <c r="D2079" s="27" t="s">
        <v>397</v>
      </c>
      <c r="E2079" s="27" t="s">
        <v>1682</v>
      </c>
      <c r="F2079" s="51">
        <v>45166</v>
      </c>
      <c r="G2079" s="27"/>
    </row>
    <row r="2080" spans="1:7">
      <c r="A2080" s="27">
        <v>100</v>
      </c>
      <c r="B2080" s="27" t="s">
        <v>168</v>
      </c>
      <c r="C2080" s="27" t="s">
        <v>346</v>
      </c>
      <c r="D2080" s="27" t="s">
        <v>412</v>
      </c>
      <c r="E2080" s="27" t="s">
        <v>1682</v>
      </c>
      <c r="F2080" s="51">
        <v>310</v>
      </c>
      <c r="G2080" s="27"/>
    </row>
    <row r="2081" spans="1:7">
      <c r="A2081" s="27">
        <v>100</v>
      </c>
      <c r="B2081" s="27" t="s">
        <v>168</v>
      </c>
      <c r="C2081" s="27" t="s">
        <v>346</v>
      </c>
      <c r="D2081" s="27" t="s">
        <v>398</v>
      </c>
      <c r="E2081" s="27" t="s">
        <v>1682</v>
      </c>
      <c r="F2081" s="51">
        <v>1685</v>
      </c>
      <c r="G2081" s="27"/>
    </row>
    <row r="2082" spans="1:7">
      <c r="A2082" s="27">
        <v>100</v>
      </c>
      <c r="B2082" s="27" t="s">
        <v>168</v>
      </c>
      <c r="C2082" s="27" t="s">
        <v>346</v>
      </c>
      <c r="D2082" s="27" t="s">
        <v>334</v>
      </c>
      <c r="E2082" s="27" t="s">
        <v>1682</v>
      </c>
      <c r="F2082" s="51">
        <v>8663</v>
      </c>
      <c r="G2082" s="27"/>
    </row>
    <row r="2083" spans="1:7">
      <c r="A2083" s="27">
        <v>100</v>
      </c>
      <c r="B2083" s="27" t="s">
        <v>168</v>
      </c>
      <c r="C2083" s="27" t="s">
        <v>346</v>
      </c>
      <c r="D2083" s="27" t="s">
        <v>291</v>
      </c>
      <c r="E2083" s="27" t="s">
        <v>1681</v>
      </c>
      <c r="F2083" s="51">
        <v>1607</v>
      </c>
      <c r="G2083" s="27"/>
    </row>
    <row r="2084" spans="1:7">
      <c r="A2084" s="27">
        <v>100</v>
      </c>
      <c r="B2084" s="27" t="s">
        <v>168</v>
      </c>
      <c r="C2084" s="27" t="s">
        <v>346</v>
      </c>
      <c r="D2084" s="27" t="s">
        <v>399</v>
      </c>
      <c r="E2084" s="27" t="s">
        <v>1681</v>
      </c>
      <c r="F2084" s="51">
        <v>1783586</v>
      </c>
      <c r="G2084" s="27"/>
    </row>
    <row r="2085" spans="1:7">
      <c r="A2085" s="27">
        <v>100</v>
      </c>
      <c r="B2085" s="27" t="s">
        <v>168</v>
      </c>
      <c r="C2085" s="27" t="s">
        <v>346</v>
      </c>
      <c r="D2085" s="27" t="s">
        <v>296</v>
      </c>
      <c r="E2085" s="27" t="s">
        <v>1681</v>
      </c>
      <c r="F2085" s="51">
        <v>183342</v>
      </c>
      <c r="G2085" s="27"/>
    </row>
    <row r="2086" spans="1:7">
      <c r="A2086" s="27">
        <v>100</v>
      </c>
      <c r="B2086" s="27" t="s">
        <v>168</v>
      </c>
      <c r="C2086" s="27" t="s">
        <v>346</v>
      </c>
      <c r="D2086" s="27" t="s">
        <v>401</v>
      </c>
      <c r="E2086" s="27" t="s">
        <v>1681</v>
      </c>
      <c r="F2086" s="51">
        <v>30284</v>
      </c>
      <c r="G2086" s="27"/>
    </row>
    <row r="2087" spans="1:7">
      <c r="A2087" s="27">
        <v>100</v>
      </c>
      <c r="B2087" s="27" t="s">
        <v>168</v>
      </c>
      <c r="C2087" s="27" t="s">
        <v>346</v>
      </c>
      <c r="D2087" s="27" t="s">
        <v>402</v>
      </c>
      <c r="E2087" s="27" t="s">
        <v>1681</v>
      </c>
      <c r="F2087" s="51">
        <v>71107</v>
      </c>
      <c r="G2087" s="27"/>
    </row>
    <row r="2088" spans="1:7">
      <c r="A2088" s="27">
        <v>101</v>
      </c>
      <c r="B2088" s="27" t="s">
        <v>169</v>
      </c>
      <c r="C2088" s="27" t="s">
        <v>311</v>
      </c>
      <c r="D2088" s="27" t="s">
        <v>406</v>
      </c>
      <c r="E2088" s="27" t="s">
        <v>1682</v>
      </c>
      <c r="F2088" s="51">
        <v>27861</v>
      </c>
      <c r="G2088" s="27"/>
    </row>
    <row r="2089" spans="1:7">
      <c r="A2089" s="27">
        <v>101</v>
      </c>
      <c r="B2089" s="27" t="s">
        <v>169</v>
      </c>
      <c r="C2089" s="27" t="s">
        <v>311</v>
      </c>
      <c r="D2089" s="27" t="s">
        <v>408</v>
      </c>
      <c r="E2089" s="27" t="s">
        <v>1682</v>
      </c>
      <c r="F2089" s="51">
        <v>99350</v>
      </c>
      <c r="G2089" s="27"/>
    </row>
    <row r="2090" spans="1:7">
      <c r="A2090" s="27">
        <v>101</v>
      </c>
      <c r="B2090" s="27" t="s">
        <v>169</v>
      </c>
      <c r="C2090" s="27" t="s">
        <v>311</v>
      </c>
      <c r="D2090" s="27" t="s">
        <v>394</v>
      </c>
      <c r="E2090" s="27" t="s">
        <v>1682</v>
      </c>
      <c r="F2090" s="51">
        <v>326287</v>
      </c>
      <c r="G2090" s="27"/>
    </row>
    <row r="2091" spans="1:7">
      <c r="A2091" s="27">
        <v>101</v>
      </c>
      <c r="B2091" s="27" t="s">
        <v>169</v>
      </c>
      <c r="C2091" s="27" t="s">
        <v>311</v>
      </c>
      <c r="D2091" s="27" t="s">
        <v>397</v>
      </c>
      <c r="E2091" s="27" t="s">
        <v>1682</v>
      </c>
      <c r="F2091" s="51">
        <v>204082</v>
      </c>
      <c r="G2091" s="27"/>
    </row>
    <row r="2092" spans="1:7">
      <c r="A2092" s="27">
        <v>101</v>
      </c>
      <c r="B2092" s="27" t="s">
        <v>169</v>
      </c>
      <c r="C2092" s="27" t="s">
        <v>311</v>
      </c>
      <c r="D2092" s="27" t="s">
        <v>333</v>
      </c>
      <c r="E2092" s="27" t="s">
        <v>1682</v>
      </c>
      <c r="F2092" s="51">
        <v>3992</v>
      </c>
      <c r="G2092" s="27"/>
    </row>
    <row r="2093" spans="1:7">
      <c r="A2093" s="27">
        <v>101</v>
      </c>
      <c r="B2093" s="27" t="s">
        <v>169</v>
      </c>
      <c r="C2093" s="27" t="s">
        <v>311</v>
      </c>
      <c r="D2093" s="27" t="s">
        <v>411</v>
      </c>
      <c r="E2093" s="27" t="s">
        <v>1682</v>
      </c>
      <c r="F2093" s="51">
        <v>6350</v>
      </c>
      <c r="G2093" s="27"/>
    </row>
    <row r="2094" spans="1:7">
      <c r="A2094" s="27">
        <v>101</v>
      </c>
      <c r="B2094" s="27" t="s">
        <v>169</v>
      </c>
      <c r="C2094" s="27" t="s">
        <v>311</v>
      </c>
      <c r="D2094" s="27" t="s">
        <v>412</v>
      </c>
      <c r="E2094" s="27" t="s">
        <v>1682</v>
      </c>
      <c r="F2094" s="51">
        <v>66000</v>
      </c>
      <c r="G2094" s="27"/>
    </row>
    <row r="2095" spans="1:7">
      <c r="A2095" s="27">
        <v>101</v>
      </c>
      <c r="B2095" s="27" t="s">
        <v>169</v>
      </c>
      <c r="C2095" s="27" t="s">
        <v>311</v>
      </c>
      <c r="D2095" s="27" t="s">
        <v>398</v>
      </c>
      <c r="E2095" s="27" t="s">
        <v>1682</v>
      </c>
      <c r="F2095" s="51">
        <v>12000</v>
      </c>
      <c r="G2095" s="27"/>
    </row>
    <row r="2096" spans="1:7">
      <c r="A2096" s="27">
        <v>101</v>
      </c>
      <c r="B2096" s="27" t="s">
        <v>169</v>
      </c>
      <c r="C2096" s="27" t="s">
        <v>311</v>
      </c>
      <c r="D2096" s="27" t="s">
        <v>415</v>
      </c>
      <c r="E2096" s="27" t="s">
        <v>1682</v>
      </c>
      <c r="F2096" s="51">
        <v>1000</v>
      </c>
      <c r="G2096" s="27"/>
    </row>
    <row r="2097" spans="1:7">
      <c r="A2097" s="27">
        <v>101</v>
      </c>
      <c r="B2097" s="27" t="s">
        <v>169</v>
      </c>
      <c r="C2097" s="27" t="s">
        <v>311</v>
      </c>
      <c r="D2097" s="27" t="s">
        <v>334</v>
      </c>
      <c r="E2097" s="27" t="s">
        <v>1682</v>
      </c>
      <c r="F2097" s="51">
        <v>3125</v>
      </c>
      <c r="G2097" s="27"/>
    </row>
    <row r="2098" spans="1:7">
      <c r="A2098" s="27">
        <v>101</v>
      </c>
      <c r="B2098" s="27" t="s">
        <v>169</v>
      </c>
      <c r="C2098" s="27" t="s">
        <v>311</v>
      </c>
      <c r="D2098" s="27" t="s">
        <v>291</v>
      </c>
      <c r="E2098" s="27" t="s">
        <v>1681</v>
      </c>
      <c r="F2098" s="51">
        <v>10181</v>
      </c>
      <c r="G2098" s="27"/>
    </row>
    <row r="2099" spans="1:7">
      <c r="A2099" s="27">
        <v>101</v>
      </c>
      <c r="B2099" s="27" t="s">
        <v>169</v>
      </c>
      <c r="C2099" s="27" t="s">
        <v>311</v>
      </c>
      <c r="D2099" s="27" t="s">
        <v>399</v>
      </c>
      <c r="E2099" s="27" t="s">
        <v>1681</v>
      </c>
      <c r="F2099" s="51">
        <v>1652784</v>
      </c>
      <c r="G2099" s="27"/>
    </row>
    <row r="2100" spans="1:7">
      <c r="A2100" s="27">
        <v>101</v>
      </c>
      <c r="B2100" s="27" t="s">
        <v>169</v>
      </c>
      <c r="C2100" s="27" t="s">
        <v>311</v>
      </c>
      <c r="D2100" s="27" t="s">
        <v>307</v>
      </c>
      <c r="E2100" s="27" t="s">
        <v>1681</v>
      </c>
      <c r="F2100" s="51">
        <v>42000</v>
      </c>
      <c r="G2100" s="27"/>
    </row>
    <row r="2101" spans="1:7">
      <c r="A2101" s="27">
        <v>101</v>
      </c>
      <c r="B2101" s="27" t="s">
        <v>169</v>
      </c>
      <c r="C2101" s="27" t="s">
        <v>311</v>
      </c>
      <c r="D2101" s="27" t="s">
        <v>295</v>
      </c>
      <c r="E2101" s="27" t="s">
        <v>1681</v>
      </c>
      <c r="F2101" s="51">
        <v>36000</v>
      </c>
      <c r="G2101" s="27"/>
    </row>
    <row r="2102" spans="1:7">
      <c r="A2102" s="27">
        <v>101</v>
      </c>
      <c r="B2102" s="27" t="s">
        <v>169</v>
      </c>
      <c r="C2102" s="27" t="s">
        <v>311</v>
      </c>
      <c r="D2102" s="27" t="s">
        <v>296</v>
      </c>
      <c r="E2102" s="27" t="s">
        <v>1681</v>
      </c>
      <c r="F2102" s="51">
        <v>792643</v>
      </c>
      <c r="G2102" s="27"/>
    </row>
    <row r="2103" spans="1:7">
      <c r="A2103" s="27">
        <v>101</v>
      </c>
      <c r="B2103" s="27" t="s">
        <v>169</v>
      </c>
      <c r="C2103" s="27" t="s">
        <v>311</v>
      </c>
      <c r="D2103" s="27" t="s">
        <v>400</v>
      </c>
      <c r="E2103" s="27" t="s">
        <v>1681</v>
      </c>
      <c r="F2103" s="51">
        <v>220943</v>
      </c>
      <c r="G2103" s="27"/>
    </row>
    <row r="2104" spans="1:7">
      <c r="A2104" s="27">
        <v>101</v>
      </c>
      <c r="B2104" s="27" t="s">
        <v>169</v>
      </c>
      <c r="C2104" s="27" t="s">
        <v>311</v>
      </c>
      <c r="D2104" s="27" t="s">
        <v>298</v>
      </c>
      <c r="E2104" s="27" t="s">
        <v>1681</v>
      </c>
      <c r="F2104" s="51">
        <v>185841</v>
      </c>
      <c r="G2104" s="27"/>
    </row>
    <row r="2105" spans="1:7">
      <c r="A2105" s="27">
        <v>101</v>
      </c>
      <c r="B2105" s="27" t="s">
        <v>169</v>
      </c>
      <c r="C2105" s="27" t="s">
        <v>311</v>
      </c>
      <c r="D2105" s="27" t="s">
        <v>401</v>
      </c>
      <c r="E2105" s="27" t="s">
        <v>1681</v>
      </c>
      <c r="F2105" s="51">
        <v>14777</v>
      </c>
      <c r="G2105" s="27"/>
    </row>
    <row r="2106" spans="1:7">
      <c r="A2106" s="27">
        <v>101</v>
      </c>
      <c r="B2106" s="27" t="s">
        <v>169</v>
      </c>
      <c r="C2106" s="27" t="s">
        <v>311</v>
      </c>
      <c r="D2106" s="27" t="s">
        <v>402</v>
      </c>
      <c r="E2106" s="27" t="s">
        <v>1681</v>
      </c>
      <c r="F2106" s="51">
        <v>96867</v>
      </c>
      <c r="G2106" s="27"/>
    </row>
    <row r="2107" spans="1:7">
      <c r="A2107" s="27">
        <v>101</v>
      </c>
      <c r="B2107" s="27" t="s">
        <v>169</v>
      </c>
      <c r="C2107" s="27" t="s">
        <v>311</v>
      </c>
      <c r="D2107" s="27" t="s">
        <v>300</v>
      </c>
      <c r="E2107" s="27" t="s">
        <v>1681</v>
      </c>
      <c r="F2107" s="51">
        <v>17036</v>
      </c>
      <c r="G2107" s="27"/>
    </row>
    <row r="2108" spans="1:7">
      <c r="A2108" s="27">
        <v>102</v>
      </c>
      <c r="B2108" s="27" t="s">
        <v>170</v>
      </c>
      <c r="C2108" s="27" t="s">
        <v>302</v>
      </c>
      <c r="D2108" s="27" t="s">
        <v>408</v>
      </c>
      <c r="E2108" s="27" t="s">
        <v>1682</v>
      </c>
      <c r="F2108" s="51">
        <v>40416</v>
      </c>
      <c r="G2108" s="27"/>
    </row>
    <row r="2109" spans="1:7">
      <c r="A2109" s="27">
        <v>102</v>
      </c>
      <c r="B2109" s="27" t="s">
        <v>170</v>
      </c>
      <c r="C2109" s="27" t="s">
        <v>302</v>
      </c>
      <c r="D2109" s="27" t="s">
        <v>394</v>
      </c>
      <c r="E2109" s="27" t="s">
        <v>1682</v>
      </c>
      <c r="F2109" s="51">
        <v>105981</v>
      </c>
      <c r="G2109" s="27"/>
    </row>
    <row r="2110" spans="1:7">
      <c r="A2110" s="27">
        <v>102</v>
      </c>
      <c r="B2110" s="27" t="s">
        <v>170</v>
      </c>
      <c r="C2110" s="27" t="s">
        <v>302</v>
      </c>
      <c r="D2110" s="27" t="s">
        <v>397</v>
      </c>
      <c r="E2110" s="27" t="s">
        <v>1682</v>
      </c>
      <c r="F2110" s="51">
        <v>94821</v>
      </c>
      <c r="G2110" s="27"/>
    </row>
    <row r="2111" spans="1:7">
      <c r="A2111" s="27">
        <v>102</v>
      </c>
      <c r="B2111" s="27" t="s">
        <v>170</v>
      </c>
      <c r="C2111" s="27" t="s">
        <v>302</v>
      </c>
      <c r="D2111" s="27" t="s">
        <v>411</v>
      </c>
      <c r="E2111" s="27" t="s">
        <v>1682</v>
      </c>
      <c r="F2111" s="51">
        <v>123405</v>
      </c>
      <c r="G2111" s="27"/>
    </row>
    <row r="2112" spans="1:7">
      <c r="A2112" s="27">
        <v>102</v>
      </c>
      <c r="B2112" s="27" t="s">
        <v>170</v>
      </c>
      <c r="C2112" s="27" t="s">
        <v>302</v>
      </c>
      <c r="D2112" s="27" t="s">
        <v>412</v>
      </c>
      <c r="E2112" s="27" t="s">
        <v>1682</v>
      </c>
      <c r="F2112" s="51">
        <v>16327</v>
      </c>
      <c r="G2112" s="27"/>
    </row>
    <row r="2113" spans="1:7">
      <c r="A2113" s="27">
        <v>102</v>
      </c>
      <c r="B2113" s="27" t="s">
        <v>170</v>
      </c>
      <c r="C2113" s="27" t="s">
        <v>302</v>
      </c>
      <c r="D2113" s="27" t="s">
        <v>398</v>
      </c>
      <c r="E2113" s="27" t="s">
        <v>1682</v>
      </c>
      <c r="F2113" s="51">
        <v>2593</v>
      </c>
      <c r="G2113" s="27"/>
    </row>
    <row r="2114" spans="1:7">
      <c r="A2114" s="27">
        <v>102</v>
      </c>
      <c r="B2114" s="27" t="s">
        <v>170</v>
      </c>
      <c r="C2114" s="27" t="s">
        <v>302</v>
      </c>
      <c r="D2114" s="27" t="s">
        <v>415</v>
      </c>
      <c r="E2114" s="27" t="s">
        <v>1682</v>
      </c>
      <c r="F2114" s="51">
        <v>3600</v>
      </c>
      <c r="G2114" s="27"/>
    </row>
    <row r="2115" spans="1:7">
      <c r="A2115" s="27">
        <v>102</v>
      </c>
      <c r="B2115" s="27" t="s">
        <v>170</v>
      </c>
      <c r="C2115" s="27" t="s">
        <v>302</v>
      </c>
      <c r="D2115" s="27" t="s">
        <v>334</v>
      </c>
      <c r="E2115" s="27" t="s">
        <v>1682</v>
      </c>
      <c r="F2115" s="51">
        <v>6455</v>
      </c>
      <c r="G2115" s="27"/>
    </row>
    <row r="2116" spans="1:7">
      <c r="A2116" s="27">
        <v>102</v>
      </c>
      <c r="B2116" s="27" t="s">
        <v>170</v>
      </c>
      <c r="C2116" s="27" t="s">
        <v>302</v>
      </c>
      <c r="D2116" s="27" t="s">
        <v>291</v>
      </c>
      <c r="E2116" s="27" t="s">
        <v>1681</v>
      </c>
      <c r="F2116" s="51">
        <v>3354</v>
      </c>
      <c r="G2116" s="27"/>
    </row>
    <row r="2117" spans="1:7">
      <c r="A2117" s="27">
        <v>102</v>
      </c>
      <c r="B2117" s="27" t="s">
        <v>170</v>
      </c>
      <c r="C2117" s="27" t="s">
        <v>302</v>
      </c>
      <c r="D2117" s="27" t="s">
        <v>399</v>
      </c>
      <c r="E2117" s="27" t="s">
        <v>1681</v>
      </c>
      <c r="F2117" s="51">
        <v>2485372</v>
      </c>
      <c r="G2117" s="27"/>
    </row>
    <row r="2118" spans="1:7">
      <c r="A2118" s="27">
        <v>102</v>
      </c>
      <c r="B2118" s="27" t="s">
        <v>170</v>
      </c>
      <c r="C2118" s="27" t="s">
        <v>302</v>
      </c>
      <c r="D2118" s="27" t="s">
        <v>307</v>
      </c>
      <c r="E2118" s="27" t="s">
        <v>1681</v>
      </c>
      <c r="F2118" s="51">
        <v>13200</v>
      </c>
      <c r="G2118" s="27"/>
    </row>
    <row r="2119" spans="1:7">
      <c r="A2119" s="27">
        <v>102</v>
      </c>
      <c r="B2119" s="27" t="s">
        <v>170</v>
      </c>
      <c r="C2119" s="27" t="s">
        <v>302</v>
      </c>
      <c r="D2119" s="27" t="s">
        <v>295</v>
      </c>
      <c r="E2119" s="27" t="s">
        <v>1681</v>
      </c>
      <c r="F2119" s="51">
        <v>6000</v>
      </c>
      <c r="G2119" s="27"/>
    </row>
    <row r="2120" spans="1:7">
      <c r="A2120" s="27">
        <v>102</v>
      </c>
      <c r="B2120" s="27" t="s">
        <v>170</v>
      </c>
      <c r="C2120" s="27" t="s">
        <v>302</v>
      </c>
      <c r="D2120" s="27" t="s">
        <v>296</v>
      </c>
      <c r="E2120" s="27" t="s">
        <v>1681</v>
      </c>
      <c r="F2120" s="51">
        <v>732968</v>
      </c>
      <c r="G2120" s="27"/>
    </row>
    <row r="2121" spans="1:7">
      <c r="A2121" s="27">
        <v>102</v>
      </c>
      <c r="B2121" s="27" t="s">
        <v>170</v>
      </c>
      <c r="C2121" s="27" t="s">
        <v>302</v>
      </c>
      <c r="D2121" s="27" t="s">
        <v>400</v>
      </c>
      <c r="E2121" s="27" t="s">
        <v>1681</v>
      </c>
      <c r="F2121" s="51">
        <v>106484</v>
      </c>
      <c r="G2121" s="27"/>
    </row>
    <row r="2122" spans="1:7">
      <c r="A2122" s="27">
        <v>102</v>
      </c>
      <c r="B2122" s="27" t="s">
        <v>170</v>
      </c>
      <c r="C2122" s="27" t="s">
        <v>302</v>
      </c>
      <c r="D2122" s="27" t="s">
        <v>298</v>
      </c>
      <c r="E2122" s="27" t="s">
        <v>1681</v>
      </c>
      <c r="F2122" s="51">
        <v>28060</v>
      </c>
      <c r="G2122" s="27"/>
    </row>
    <row r="2123" spans="1:7">
      <c r="A2123" s="27">
        <v>102</v>
      </c>
      <c r="B2123" s="27" t="s">
        <v>170</v>
      </c>
      <c r="C2123" s="27" t="s">
        <v>302</v>
      </c>
      <c r="D2123" s="27" t="s">
        <v>401</v>
      </c>
      <c r="E2123" s="27" t="s">
        <v>1681</v>
      </c>
      <c r="F2123" s="51">
        <v>29967</v>
      </c>
      <c r="G2123" s="27"/>
    </row>
    <row r="2124" spans="1:7">
      <c r="A2124" s="27">
        <v>102</v>
      </c>
      <c r="B2124" s="27" t="s">
        <v>170</v>
      </c>
      <c r="C2124" s="27" t="s">
        <v>302</v>
      </c>
      <c r="D2124" s="27" t="s">
        <v>402</v>
      </c>
      <c r="E2124" s="27" t="s">
        <v>1681</v>
      </c>
      <c r="F2124" s="51">
        <v>142341</v>
      </c>
      <c r="G2124" s="27"/>
    </row>
    <row r="2125" spans="1:7">
      <c r="A2125" s="27">
        <v>103</v>
      </c>
      <c r="B2125" s="27" t="s">
        <v>171</v>
      </c>
      <c r="C2125" s="27" t="s">
        <v>404</v>
      </c>
      <c r="D2125" s="27" t="s">
        <v>406</v>
      </c>
      <c r="E2125" s="27" t="s">
        <v>1682</v>
      </c>
      <c r="F2125" s="51">
        <v>121899</v>
      </c>
      <c r="G2125" s="27"/>
    </row>
    <row r="2126" spans="1:7">
      <c r="A2126" s="27">
        <v>103</v>
      </c>
      <c r="B2126" s="27" t="s">
        <v>171</v>
      </c>
      <c r="C2126" s="27" t="s">
        <v>404</v>
      </c>
      <c r="D2126" s="27" t="s">
        <v>326</v>
      </c>
      <c r="E2126" s="27" t="s">
        <v>1682</v>
      </c>
      <c r="F2126" s="51">
        <v>53635</v>
      </c>
      <c r="G2126" s="27"/>
    </row>
    <row r="2127" spans="1:7">
      <c r="A2127" s="27">
        <v>103</v>
      </c>
      <c r="B2127" s="27" t="s">
        <v>171</v>
      </c>
      <c r="C2127" s="27" t="s">
        <v>404</v>
      </c>
      <c r="D2127" s="27" t="s">
        <v>407</v>
      </c>
      <c r="E2127" s="27" t="s">
        <v>1682</v>
      </c>
      <c r="F2127" s="51">
        <v>16084</v>
      </c>
      <c r="G2127" s="27"/>
    </row>
    <row r="2128" spans="1:7">
      <c r="A2128" s="27">
        <v>103</v>
      </c>
      <c r="B2128" s="27" t="s">
        <v>171</v>
      </c>
      <c r="C2128" s="27" t="s">
        <v>404</v>
      </c>
      <c r="D2128" s="27" t="s">
        <v>408</v>
      </c>
      <c r="E2128" s="27" t="s">
        <v>1682</v>
      </c>
      <c r="F2128" s="51">
        <v>1326758</v>
      </c>
      <c r="G2128" s="27"/>
    </row>
    <row r="2129" spans="1:7">
      <c r="A2129" s="27">
        <v>103</v>
      </c>
      <c r="B2129" s="27" t="s">
        <v>171</v>
      </c>
      <c r="C2129" s="27" t="s">
        <v>404</v>
      </c>
      <c r="D2129" s="27" t="s">
        <v>394</v>
      </c>
      <c r="E2129" s="27" t="s">
        <v>1682</v>
      </c>
      <c r="F2129" s="51">
        <v>708159</v>
      </c>
      <c r="G2129" s="27"/>
    </row>
    <row r="2130" spans="1:7">
      <c r="A2130" s="27">
        <v>103</v>
      </c>
      <c r="B2130" s="27" t="s">
        <v>171</v>
      </c>
      <c r="C2130" s="27" t="s">
        <v>404</v>
      </c>
      <c r="D2130" s="27" t="s">
        <v>396</v>
      </c>
      <c r="E2130" s="27" t="s">
        <v>1682</v>
      </c>
      <c r="F2130" s="51">
        <v>24687</v>
      </c>
      <c r="G2130" s="27"/>
    </row>
    <row r="2131" spans="1:7">
      <c r="A2131" s="27">
        <v>103</v>
      </c>
      <c r="B2131" s="27" t="s">
        <v>171</v>
      </c>
      <c r="C2131" s="27" t="s">
        <v>404</v>
      </c>
      <c r="D2131" s="27" t="s">
        <v>397</v>
      </c>
      <c r="E2131" s="27" t="s">
        <v>1682</v>
      </c>
      <c r="F2131" s="51">
        <v>1270838</v>
      </c>
      <c r="G2131" s="27"/>
    </row>
    <row r="2132" spans="1:7">
      <c r="A2132" s="27">
        <v>103</v>
      </c>
      <c r="B2132" s="27" t="s">
        <v>171</v>
      </c>
      <c r="C2132" s="27" t="s">
        <v>404</v>
      </c>
      <c r="D2132" s="27" t="s">
        <v>411</v>
      </c>
      <c r="E2132" s="27" t="s">
        <v>1682</v>
      </c>
      <c r="F2132" s="51">
        <v>38486</v>
      </c>
      <c r="G2132" s="27"/>
    </row>
    <row r="2133" spans="1:7">
      <c r="A2133" s="27">
        <v>103</v>
      </c>
      <c r="B2133" s="27" t="s">
        <v>171</v>
      </c>
      <c r="C2133" s="27" t="s">
        <v>404</v>
      </c>
      <c r="D2133" s="27" t="s">
        <v>412</v>
      </c>
      <c r="E2133" s="27" t="s">
        <v>1682</v>
      </c>
      <c r="F2133" s="51">
        <v>360890</v>
      </c>
      <c r="G2133" s="27"/>
    </row>
    <row r="2134" spans="1:7">
      <c r="A2134" s="27">
        <v>103</v>
      </c>
      <c r="B2134" s="27" t="s">
        <v>171</v>
      </c>
      <c r="C2134" s="27" t="s">
        <v>404</v>
      </c>
      <c r="D2134" s="27" t="s">
        <v>413</v>
      </c>
      <c r="E2134" s="27" t="s">
        <v>1682</v>
      </c>
      <c r="F2134" s="51">
        <v>66557</v>
      </c>
      <c r="G2134" s="27"/>
    </row>
    <row r="2135" spans="1:7">
      <c r="A2135" s="27">
        <v>103</v>
      </c>
      <c r="B2135" s="27" t="s">
        <v>171</v>
      </c>
      <c r="C2135" s="27" t="s">
        <v>404</v>
      </c>
      <c r="D2135" s="27" t="s">
        <v>414</v>
      </c>
      <c r="E2135" s="27" t="s">
        <v>1682</v>
      </c>
      <c r="F2135" s="51">
        <v>40069</v>
      </c>
      <c r="G2135" s="27"/>
    </row>
    <row r="2136" spans="1:7">
      <c r="A2136" s="27">
        <v>103</v>
      </c>
      <c r="B2136" s="27" t="s">
        <v>171</v>
      </c>
      <c r="C2136" s="27" t="s">
        <v>404</v>
      </c>
      <c r="D2136" s="27" t="s">
        <v>398</v>
      </c>
      <c r="E2136" s="27" t="s">
        <v>1682</v>
      </c>
      <c r="F2136" s="51">
        <v>45000</v>
      </c>
      <c r="G2136" s="27"/>
    </row>
    <row r="2137" spans="1:7">
      <c r="A2137" s="27">
        <v>103</v>
      </c>
      <c r="B2137" s="27" t="s">
        <v>171</v>
      </c>
      <c r="C2137" s="27" t="s">
        <v>404</v>
      </c>
      <c r="D2137" s="27" t="s">
        <v>415</v>
      </c>
      <c r="E2137" s="27" t="s">
        <v>1682</v>
      </c>
      <c r="F2137" s="51">
        <v>45308</v>
      </c>
      <c r="G2137" s="27"/>
    </row>
    <row r="2138" spans="1:7">
      <c r="A2138" s="27">
        <v>103</v>
      </c>
      <c r="B2138" s="27" t="s">
        <v>171</v>
      </c>
      <c r="C2138" s="27" t="s">
        <v>404</v>
      </c>
      <c r="D2138" s="27" t="s">
        <v>335</v>
      </c>
      <c r="E2138" s="27" t="s">
        <v>1681</v>
      </c>
      <c r="F2138" s="51">
        <v>103279</v>
      </c>
      <c r="G2138" s="27"/>
    </row>
    <row r="2139" spans="1:7">
      <c r="A2139" s="27">
        <v>103</v>
      </c>
      <c r="B2139" s="27" t="s">
        <v>171</v>
      </c>
      <c r="C2139" s="27" t="s">
        <v>404</v>
      </c>
      <c r="D2139" s="27" t="s">
        <v>291</v>
      </c>
      <c r="E2139" s="27" t="s">
        <v>1681</v>
      </c>
      <c r="F2139" s="51">
        <v>30436</v>
      </c>
      <c r="G2139" s="27"/>
    </row>
    <row r="2140" spans="1:7">
      <c r="A2140" s="27">
        <v>103</v>
      </c>
      <c r="B2140" s="27" t="s">
        <v>171</v>
      </c>
      <c r="C2140" s="27" t="s">
        <v>404</v>
      </c>
      <c r="D2140" s="27" t="s">
        <v>399</v>
      </c>
      <c r="E2140" s="27" t="s">
        <v>1681</v>
      </c>
      <c r="F2140" s="51">
        <v>8224949</v>
      </c>
      <c r="G2140" s="27"/>
    </row>
    <row r="2141" spans="1:7">
      <c r="A2141" s="27">
        <v>103</v>
      </c>
      <c r="B2141" s="27" t="s">
        <v>171</v>
      </c>
      <c r="C2141" s="27" t="s">
        <v>404</v>
      </c>
      <c r="D2141" s="27" t="s">
        <v>336</v>
      </c>
      <c r="E2141" s="27" t="s">
        <v>1681</v>
      </c>
      <c r="F2141" s="51">
        <v>197074</v>
      </c>
      <c r="G2141" s="27"/>
    </row>
    <row r="2142" spans="1:7">
      <c r="A2142" s="27">
        <v>103</v>
      </c>
      <c r="B2142" s="27" t="s">
        <v>171</v>
      </c>
      <c r="C2142" s="27" t="s">
        <v>404</v>
      </c>
      <c r="D2142" s="27" t="s">
        <v>317</v>
      </c>
      <c r="E2142" s="27" t="s">
        <v>1681</v>
      </c>
      <c r="F2142" s="51">
        <v>172342</v>
      </c>
      <c r="G2142" s="27"/>
    </row>
    <row r="2143" spans="1:7">
      <c r="A2143" s="27">
        <v>103</v>
      </c>
      <c r="B2143" s="27" t="s">
        <v>171</v>
      </c>
      <c r="C2143" s="27" t="s">
        <v>404</v>
      </c>
      <c r="D2143" s="27" t="s">
        <v>293</v>
      </c>
      <c r="E2143" s="27" t="s">
        <v>1681</v>
      </c>
      <c r="F2143" s="51">
        <v>264521</v>
      </c>
      <c r="G2143" s="27"/>
    </row>
    <row r="2144" spans="1:7">
      <c r="A2144" s="27">
        <v>103</v>
      </c>
      <c r="B2144" s="27" t="s">
        <v>171</v>
      </c>
      <c r="C2144" s="27" t="s">
        <v>404</v>
      </c>
      <c r="D2144" s="27" t="s">
        <v>307</v>
      </c>
      <c r="E2144" s="27" t="s">
        <v>1681</v>
      </c>
      <c r="F2144" s="51">
        <v>377980</v>
      </c>
      <c r="G2144" s="27"/>
    </row>
    <row r="2145" spans="1:7">
      <c r="A2145" s="27">
        <v>103</v>
      </c>
      <c r="B2145" s="27" t="s">
        <v>171</v>
      </c>
      <c r="C2145" s="27" t="s">
        <v>404</v>
      </c>
      <c r="D2145" s="27" t="s">
        <v>294</v>
      </c>
      <c r="E2145" s="27" t="s">
        <v>1681</v>
      </c>
      <c r="F2145" s="51">
        <v>42500</v>
      </c>
      <c r="G2145" s="27"/>
    </row>
    <row r="2146" spans="1:7">
      <c r="A2146" s="27">
        <v>103</v>
      </c>
      <c r="B2146" s="27" t="s">
        <v>171</v>
      </c>
      <c r="C2146" s="27" t="s">
        <v>404</v>
      </c>
      <c r="D2146" s="27" t="s">
        <v>318</v>
      </c>
      <c r="E2146" s="27" t="s">
        <v>1681</v>
      </c>
      <c r="F2146" s="51">
        <v>1502770</v>
      </c>
      <c r="G2146" s="27"/>
    </row>
    <row r="2147" spans="1:7">
      <c r="A2147" s="27">
        <v>103</v>
      </c>
      <c r="B2147" s="27" t="s">
        <v>171</v>
      </c>
      <c r="C2147" s="27" t="s">
        <v>404</v>
      </c>
      <c r="D2147" s="27" t="s">
        <v>304</v>
      </c>
      <c r="E2147" s="27" t="s">
        <v>1681</v>
      </c>
      <c r="F2147" s="51">
        <v>22006</v>
      </c>
      <c r="G2147" s="27"/>
    </row>
    <row r="2148" spans="1:7">
      <c r="A2148" s="27">
        <v>103</v>
      </c>
      <c r="B2148" s="27" t="s">
        <v>171</v>
      </c>
      <c r="C2148" s="27" t="s">
        <v>404</v>
      </c>
      <c r="D2148" s="27" t="s">
        <v>319</v>
      </c>
      <c r="E2148" s="27" t="s">
        <v>1681</v>
      </c>
      <c r="F2148" s="51">
        <v>168572</v>
      </c>
      <c r="G2148" s="27"/>
    </row>
    <row r="2149" spans="1:7">
      <c r="A2149" s="27">
        <v>103</v>
      </c>
      <c r="B2149" s="27" t="s">
        <v>171</v>
      </c>
      <c r="C2149" s="27" t="s">
        <v>404</v>
      </c>
      <c r="D2149" s="27" t="s">
        <v>296</v>
      </c>
      <c r="E2149" s="27" t="s">
        <v>1681</v>
      </c>
      <c r="F2149" s="51">
        <v>3480511</v>
      </c>
      <c r="G2149" s="27"/>
    </row>
    <row r="2150" spans="1:7">
      <c r="A2150" s="27">
        <v>103</v>
      </c>
      <c r="B2150" s="27" t="s">
        <v>171</v>
      </c>
      <c r="C2150" s="27" t="s">
        <v>404</v>
      </c>
      <c r="D2150" s="27" t="s">
        <v>400</v>
      </c>
      <c r="E2150" s="27" t="s">
        <v>1681</v>
      </c>
      <c r="F2150" s="51">
        <v>612970</v>
      </c>
      <c r="G2150" s="27"/>
    </row>
    <row r="2151" spans="1:7">
      <c r="A2151" s="27">
        <v>103</v>
      </c>
      <c r="B2151" s="27" t="s">
        <v>171</v>
      </c>
      <c r="C2151" s="27" t="s">
        <v>404</v>
      </c>
      <c r="D2151" s="27" t="s">
        <v>298</v>
      </c>
      <c r="E2151" s="27" t="s">
        <v>1681</v>
      </c>
      <c r="F2151" s="51">
        <v>401659</v>
      </c>
      <c r="G2151" s="27"/>
    </row>
    <row r="2152" spans="1:7">
      <c r="A2152" s="27">
        <v>103</v>
      </c>
      <c r="B2152" s="27" t="s">
        <v>171</v>
      </c>
      <c r="C2152" s="27" t="s">
        <v>404</v>
      </c>
      <c r="D2152" s="27" t="s">
        <v>401</v>
      </c>
      <c r="E2152" s="27" t="s">
        <v>1681</v>
      </c>
      <c r="F2152" s="51">
        <v>21126</v>
      </c>
      <c r="G2152" s="27"/>
    </row>
    <row r="2153" spans="1:7">
      <c r="A2153" s="27">
        <v>103</v>
      </c>
      <c r="B2153" s="27" t="s">
        <v>171</v>
      </c>
      <c r="C2153" s="27" t="s">
        <v>404</v>
      </c>
      <c r="D2153" s="27" t="s">
        <v>1347</v>
      </c>
      <c r="E2153" s="27" t="s">
        <v>1681</v>
      </c>
      <c r="F2153" s="51">
        <v>71118</v>
      </c>
      <c r="G2153" s="27"/>
    </row>
    <row r="2154" spans="1:7">
      <c r="A2154" s="27">
        <v>103</v>
      </c>
      <c r="B2154" s="27" t="s">
        <v>171</v>
      </c>
      <c r="C2154" s="27" t="s">
        <v>404</v>
      </c>
      <c r="D2154" s="27" t="s">
        <v>402</v>
      </c>
      <c r="E2154" s="27" t="s">
        <v>1681</v>
      </c>
      <c r="F2154" s="51">
        <v>193255</v>
      </c>
      <c r="G2154" s="27"/>
    </row>
    <row r="2155" spans="1:7">
      <c r="A2155" s="27">
        <v>103</v>
      </c>
      <c r="B2155" s="27" t="s">
        <v>171</v>
      </c>
      <c r="C2155" s="27" t="s">
        <v>404</v>
      </c>
      <c r="D2155" s="27" t="s">
        <v>299</v>
      </c>
      <c r="E2155" s="27" t="s">
        <v>1681</v>
      </c>
      <c r="F2155" s="51">
        <v>22220</v>
      </c>
      <c r="G2155" s="27"/>
    </row>
    <row r="2156" spans="1:7">
      <c r="A2156" s="27">
        <v>103</v>
      </c>
      <c r="B2156" s="27" t="s">
        <v>171</v>
      </c>
      <c r="C2156" s="27" t="s">
        <v>404</v>
      </c>
      <c r="D2156" s="27" t="s">
        <v>338</v>
      </c>
      <c r="E2156" s="27" t="s">
        <v>1681</v>
      </c>
      <c r="F2156" s="51">
        <v>14767</v>
      </c>
      <c r="G2156" s="27"/>
    </row>
    <row r="2157" spans="1:7">
      <c r="A2157" s="27">
        <v>103</v>
      </c>
      <c r="B2157" s="27" t="s">
        <v>171</v>
      </c>
      <c r="C2157" s="27" t="s">
        <v>404</v>
      </c>
      <c r="D2157" s="27" t="s">
        <v>300</v>
      </c>
      <c r="E2157" s="27" t="s">
        <v>1681</v>
      </c>
      <c r="F2157" s="51">
        <v>61247</v>
      </c>
      <c r="G2157" s="27"/>
    </row>
    <row r="2158" spans="1:7">
      <c r="A2158" s="27">
        <v>104</v>
      </c>
      <c r="B2158" s="27" t="s">
        <v>172</v>
      </c>
      <c r="C2158" s="27" t="s">
        <v>404</v>
      </c>
      <c r="D2158" s="27" t="s">
        <v>326</v>
      </c>
      <c r="E2158" s="27" t="s">
        <v>1682</v>
      </c>
      <c r="F2158" s="51">
        <v>105300</v>
      </c>
      <c r="G2158" s="27"/>
    </row>
    <row r="2159" spans="1:7">
      <c r="A2159" s="27">
        <v>104</v>
      </c>
      <c r="B2159" s="27" t="s">
        <v>172</v>
      </c>
      <c r="C2159" s="27" t="s">
        <v>404</v>
      </c>
      <c r="D2159" s="27" t="s">
        <v>407</v>
      </c>
      <c r="E2159" s="27" t="s">
        <v>1682</v>
      </c>
      <c r="F2159" s="51">
        <v>34595</v>
      </c>
      <c r="G2159" s="27"/>
    </row>
    <row r="2160" spans="1:7">
      <c r="A2160" s="27">
        <v>104</v>
      </c>
      <c r="B2160" s="27" t="s">
        <v>172</v>
      </c>
      <c r="C2160" s="27" t="s">
        <v>404</v>
      </c>
      <c r="D2160" s="27" t="s">
        <v>408</v>
      </c>
      <c r="E2160" s="27" t="s">
        <v>1682</v>
      </c>
      <c r="F2160" s="51">
        <v>914076</v>
      </c>
      <c r="G2160" s="27"/>
    </row>
    <row r="2161" spans="1:7">
      <c r="A2161" s="27">
        <v>104</v>
      </c>
      <c r="B2161" s="27" t="s">
        <v>172</v>
      </c>
      <c r="C2161" s="27" t="s">
        <v>404</v>
      </c>
      <c r="D2161" s="27" t="s">
        <v>394</v>
      </c>
      <c r="E2161" s="27" t="s">
        <v>1682</v>
      </c>
      <c r="F2161" s="51">
        <v>736328</v>
      </c>
      <c r="G2161" s="27"/>
    </row>
    <row r="2162" spans="1:7">
      <c r="A2162" s="27">
        <v>104</v>
      </c>
      <c r="B2162" s="27" t="s">
        <v>172</v>
      </c>
      <c r="C2162" s="27" t="s">
        <v>404</v>
      </c>
      <c r="D2162" s="27" t="s">
        <v>163</v>
      </c>
      <c r="E2162" s="27" t="s">
        <v>1682</v>
      </c>
      <c r="F2162" s="51">
        <v>44966</v>
      </c>
      <c r="G2162" s="27"/>
    </row>
    <row r="2163" spans="1:7">
      <c r="A2163" s="27">
        <v>104</v>
      </c>
      <c r="B2163" s="27" t="s">
        <v>172</v>
      </c>
      <c r="C2163" s="27" t="s">
        <v>404</v>
      </c>
      <c r="D2163" s="27" t="s">
        <v>396</v>
      </c>
      <c r="E2163" s="27" t="s">
        <v>1682</v>
      </c>
      <c r="F2163" s="51">
        <v>185765</v>
      </c>
      <c r="G2163" s="27"/>
    </row>
    <row r="2164" spans="1:7">
      <c r="A2164" s="27">
        <v>104</v>
      </c>
      <c r="B2164" s="27" t="s">
        <v>172</v>
      </c>
      <c r="C2164" s="27" t="s">
        <v>404</v>
      </c>
      <c r="D2164" s="27" t="s">
        <v>397</v>
      </c>
      <c r="E2164" s="27" t="s">
        <v>1682</v>
      </c>
      <c r="F2164" s="51">
        <v>2309765</v>
      </c>
      <c r="G2164" s="27"/>
    </row>
    <row r="2165" spans="1:7">
      <c r="A2165" s="27">
        <v>104</v>
      </c>
      <c r="B2165" s="27" t="s">
        <v>172</v>
      </c>
      <c r="C2165" s="27" t="s">
        <v>404</v>
      </c>
      <c r="D2165" s="27" t="s">
        <v>333</v>
      </c>
      <c r="E2165" s="27" t="s">
        <v>1682</v>
      </c>
      <c r="F2165" s="51">
        <v>5000</v>
      </c>
      <c r="G2165" s="27"/>
    </row>
    <row r="2166" spans="1:7">
      <c r="A2166" s="27">
        <v>104</v>
      </c>
      <c r="B2166" s="27" t="s">
        <v>172</v>
      </c>
      <c r="C2166" s="27" t="s">
        <v>404</v>
      </c>
      <c r="D2166" s="27" t="s">
        <v>411</v>
      </c>
      <c r="E2166" s="27" t="s">
        <v>1682</v>
      </c>
      <c r="F2166" s="51">
        <v>80756</v>
      </c>
      <c r="G2166" s="27"/>
    </row>
    <row r="2167" spans="1:7">
      <c r="A2167" s="27">
        <v>104</v>
      </c>
      <c r="B2167" s="27" t="s">
        <v>172</v>
      </c>
      <c r="C2167" s="27" t="s">
        <v>404</v>
      </c>
      <c r="D2167" s="27" t="s">
        <v>412</v>
      </c>
      <c r="E2167" s="27" t="s">
        <v>1682</v>
      </c>
      <c r="F2167" s="51">
        <v>469423</v>
      </c>
      <c r="G2167" s="27"/>
    </row>
    <row r="2168" spans="1:7">
      <c r="A2168" s="27">
        <v>104</v>
      </c>
      <c r="B2168" s="27" t="s">
        <v>172</v>
      </c>
      <c r="C2168" s="27" t="s">
        <v>404</v>
      </c>
      <c r="D2168" s="27" t="s">
        <v>413</v>
      </c>
      <c r="E2168" s="27" t="s">
        <v>1682</v>
      </c>
      <c r="F2168" s="51">
        <v>19849</v>
      </c>
      <c r="G2168" s="27"/>
    </row>
    <row r="2169" spans="1:7">
      <c r="A2169" s="27">
        <v>104</v>
      </c>
      <c r="B2169" s="27" t="s">
        <v>172</v>
      </c>
      <c r="C2169" s="27" t="s">
        <v>404</v>
      </c>
      <c r="D2169" s="27" t="s">
        <v>398</v>
      </c>
      <c r="E2169" s="27" t="s">
        <v>1682</v>
      </c>
      <c r="F2169" s="51">
        <v>62127</v>
      </c>
      <c r="G2169" s="27"/>
    </row>
    <row r="2170" spans="1:7">
      <c r="A2170" s="27">
        <v>104</v>
      </c>
      <c r="B2170" s="27" t="s">
        <v>172</v>
      </c>
      <c r="C2170" s="27" t="s">
        <v>404</v>
      </c>
      <c r="D2170" s="27" t="s">
        <v>415</v>
      </c>
      <c r="E2170" s="27" t="s">
        <v>1682</v>
      </c>
      <c r="F2170" s="51">
        <v>62074</v>
      </c>
      <c r="G2170" s="27"/>
    </row>
    <row r="2171" spans="1:7">
      <c r="A2171" s="27">
        <v>104</v>
      </c>
      <c r="B2171" s="27" t="s">
        <v>172</v>
      </c>
      <c r="C2171" s="27" t="s">
        <v>404</v>
      </c>
      <c r="D2171" s="27" t="s">
        <v>291</v>
      </c>
      <c r="E2171" s="27" t="s">
        <v>1681</v>
      </c>
      <c r="F2171" s="51">
        <v>29331</v>
      </c>
      <c r="G2171" s="27"/>
    </row>
    <row r="2172" spans="1:7">
      <c r="A2172" s="27">
        <v>104</v>
      </c>
      <c r="B2172" s="27" t="s">
        <v>172</v>
      </c>
      <c r="C2172" s="27" t="s">
        <v>404</v>
      </c>
      <c r="D2172" s="27" t="s">
        <v>399</v>
      </c>
      <c r="E2172" s="27" t="s">
        <v>1681</v>
      </c>
      <c r="F2172" s="51">
        <v>26717102</v>
      </c>
      <c r="G2172" s="27"/>
    </row>
    <row r="2173" spans="1:7">
      <c r="A2173" s="27">
        <v>104</v>
      </c>
      <c r="B2173" s="27" t="s">
        <v>172</v>
      </c>
      <c r="C2173" s="27" t="s">
        <v>404</v>
      </c>
      <c r="D2173" s="27" t="s">
        <v>317</v>
      </c>
      <c r="E2173" s="27" t="s">
        <v>1681</v>
      </c>
      <c r="F2173" s="51">
        <v>86171</v>
      </c>
      <c r="G2173" s="27"/>
    </row>
    <row r="2174" spans="1:7">
      <c r="A2174" s="27">
        <v>104</v>
      </c>
      <c r="B2174" s="27" t="s">
        <v>172</v>
      </c>
      <c r="C2174" s="27" t="s">
        <v>404</v>
      </c>
      <c r="D2174" s="27" t="s">
        <v>293</v>
      </c>
      <c r="E2174" s="27" t="s">
        <v>1681</v>
      </c>
      <c r="F2174" s="51">
        <v>88000</v>
      </c>
      <c r="G2174" s="27"/>
    </row>
    <row r="2175" spans="1:7">
      <c r="A2175" s="27">
        <v>104</v>
      </c>
      <c r="B2175" s="27" t="s">
        <v>172</v>
      </c>
      <c r="C2175" s="27" t="s">
        <v>404</v>
      </c>
      <c r="D2175" s="27" t="s">
        <v>294</v>
      </c>
      <c r="E2175" s="27" t="s">
        <v>1681</v>
      </c>
      <c r="F2175" s="51">
        <v>77524</v>
      </c>
      <c r="G2175" s="27"/>
    </row>
    <row r="2176" spans="1:7">
      <c r="A2176" s="27">
        <v>104</v>
      </c>
      <c r="B2176" s="27" t="s">
        <v>172</v>
      </c>
      <c r="C2176" s="27" t="s">
        <v>404</v>
      </c>
      <c r="D2176" s="27" t="s">
        <v>296</v>
      </c>
      <c r="E2176" s="27" t="s">
        <v>1681</v>
      </c>
      <c r="F2176" s="51">
        <v>1614898</v>
      </c>
      <c r="G2176" s="27"/>
    </row>
    <row r="2177" spans="1:7">
      <c r="A2177" s="27">
        <v>104</v>
      </c>
      <c r="B2177" s="27" t="s">
        <v>172</v>
      </c>
      <c r="C2177" s="27" t="s">
        <v>404</v>
      </c>
      <c r="D2177" s="27" t="s">
        <v>400</v>
      </c>
      <c r="E2177" s="27" t="s">
        <v>1681</v>
      </c>
      <c r="F2177" s="51">
        <v>683147</v>
      </c>
      <c r="G2177" s="27"/>
    </row>
    <row r="2178" spans="1:7">
      <c r="A2178" s="27">
        <v>104</v>
      </c>
      <c r="B2178" s="27" t="s">
        <v>172</v>
      </c>
      <c r="C2178" s="27" t="s">
        <v>404</v>
      </c>
      <c r="D2178" s="27" t="s">
        <v>298</v>
      </c>
      <c r="E2178" s="27" t="s">
        <v>1681</v>
      </c>
      <c r="F2178" s="51">
        <v>475441</v>
      </c>
      <c r="G2178" s="27"/>
    </row>
    <row r="2179" spans="1:7">
      <c r="A2179" s="27">
        <v>104</v>
      </c>
      <c r="B2179" s="27" t="s">
        <v>172</v>
      </c>
      <c r="C2179" s="27" t="s">
        <v>404</v>
      </c>
      <c r="D2179" s="27" t="s">
        <v>401</v>
      </c>
      <c r="E2179" s="27" t="s">
        <v>1681</v>
      </c>
      <c r="F2179" s="51">
        <v>24951</v>
      </c>
      <c r="G2179" s="27"/>
    </row>
    <row r="2180" spans="1:7">
      <c r="A2180" s="27">
        <v>104</v>
      </c>
      <c r="B2180" s="27" t="s">
        <v>172</v>
      </c>
      <c r="C2180" s="27" t="s">
        <v>404</v>
      </c>
      <c r="D2180" s="27" t="s">
        <v>1347</v>
      </c>
      <c r="E2180" s="27" t="s">
        <v>1681</v>
      </c>
      <c r="F2180" s="51">
        <v>46046</v>
      </c>
      <c r="G2180" s="27"/>
    </row>
    <row r="2181" spans="1:7">
      <c r="A2181" s="27">
        <v>104</v>
      </c>
      <c r="B2181" s="27" t="s">
        <v>172</v>
      </c>
      <c r="C2181" s="27" t="s">
        <v>404</v>
      </c>
      <c r="D2181" s="27" t="s">
        <v>402</v>
      </c>
      <c r="E2181" s="27" t="s">
        <v>1681</v>
      </c>
      <c r="F2181" s="51">
        <v>1011989</v>
      </c>
      <c r="G2181" s="27"/>
    </row>
    <row r="2182" spans="1:7">
      <c r="A2182" s="27">
        <v>104</v>
      </c>
      <c r="B2182" s="27" t="s">
        <v>172</v>
      </c>
      <c r="C2182" s="27" t="s">
        <v>404</v>
      </c>
      <c r="D2182" s="27" t="s">
        <v>299</v>
      </c>
      <c r="E2182" s="27" t="s">
        <v>1681</v>
      </c>
      <c r="F2182" s="51">
        <v>82772</v>
      </c>
      <c r="G2182" s="27"/>
    </row>
    <row r="2183" spans="1:7">
      <c r="A2183" s="27">
        <v>104</v>
      </c>
      <c r="B2183" s="27" t="s">
        <v>172</v>
      </c>
      <c r="C2183" s="27" t="s">
        <v>404</v>
      </c>
      <c r="D2183" s="27" t="s">
        <v>300</v>
      </c>
      <c r="E2183" s="27" t="s">
        <v>1681</v>
      </c>
      <c r="F2183" s="51">
        <v>80853</v>
      </c>
      <c r="G2183" s="27"/>
    </row>
    <row r="2184" spans="1:7">
      <c r="A2184" s="27">
        <v>105</v>
      </c>
      <c r="B2184" s="27" t="s">
        <v>173</v>
      </c>
      <c r="C2184" s="27" t="s">
        <v>393</v>
      </c>
      <c r="D2184" s="27" t="s">
        <v>399</v>
      </c>
      <c r="E2184" s="27" t="s">
        <v>1681</v>
      </c>
      <c r="F2184" s="51">
        <v>369566</v>
      </c>
      <c r="G2184" s="27"/>
    </row>
    <row r="2185" spans="1:7">
      <c r="A2185" s="27">
        <v>105</v>
      </c>
      <c r="B2185" s="27" t="s">
        <v>173</v>
      </c>
      <c r="C2185" s="27" t="s">
        <v>393</v>
      </c>
      <c r="D2185" s="27" t="s">
        <v>300</v>
      </c>
      <c r="E2185" s="27" t="s">
        <v>1681</v>
      </c>
      <c r="F2185" s="51">
        <v>19554</v>
      </c>
      <c r="G2185" s="27"/>
    </row>
    <row r="2186" spans="1:7">
      <c r="A2186" s="27">
        <v>106</v>
      </c>
      <c r="B2186" s="27" t="s">
        <v>174</v>
      </c>
      <c r="C2186" s="27" t="s">
        <v>311</v>
      </c>
      <c r="D2186" s="27" t="s">
        <v>408</v>
      </c>
      <c r="E2186" s="27" t="s">
        <v>1682</v>
      </c>
      <c r="F2186" s="51">
        <v>41498</v>
      </c>
      <c r="G2186" s="27"/>
    </row>
    <row r="2187" spans="1:7">
      <c r="A2187" s="27">
        <v>106</v>
      </c>
      <c r="B2187" s="27" t="s">
        <v>174</v>
      </c>
      <c r="C2187" s="27" t="s">
        <v>311</v>
      </c>
      <c r="D2187" s="27" t="s">
        <v>394</v>
      </c>
      <c r="E2187" s="27" t="s">
        <v>1682</v>
      </c>
      <c r="F2187" s="51">
        <v>191301</v>
      </c>
      <c r="G2187" s="27"/>
    </row>
    <row r="2188" spans="1:7">
      <c r="A2188" s="27">
        <v>106</v>
      </c>
      <c r="B2188" s="27" t="s">
        <v>174</v>
      </c>
      <c r="C2188" s="27" t="s">
        <v>311</v>
      </c>
      <c r="D2188" s="27" t="s">
        <v>397</v>
      </c>
      <c r="E2188" s="27" t="s">
        <v>1682</v>
      </c>
      <c r="F2188" s="51">
        <v>129459</v>
      </c>
      <c r="G2188" s="27"/>
    </row>
    <row r="2189" spans="1:7">
      <c r="A2189" s="27">
        <v>106</v>
      </c>
      <c r="B2189" s="27" t="s">
        <v>174</v>
      </c>
      <c r="C2189" s="27" t="s">
        <v>311</v>
      </c>
      <c r="D2189" s="27" t="s">
        <v>411</v>
      </c>
      <c r="E2189" s="27" t="s">
        <v>1682</v>
      </c>
      <c r="F2189" s="51">
        <v>4032</v>
      </c>
      <c r="G2189" s="27"/>
    </row>
    <row r="2190" spans="1:7">
      <c r="A2190" s="27">
        <v>106</v>
      </c>
      <c r="B2190" s="27" t="s">
        <v>174</v>
      </c>
      <c r="C2190" s="27" t="s">
        <v>311</v>
      </c>
      <c r="D2190" s="27" t="s">
        <v>412</v>
      </c>
      <c r="E2190" s="27" t="s">
        <v>1682</v>
      </c>
      <c r="F2190" s="51">
        <v>43300</v>
      </c>
      <c r="G2190" s="27"/>
    </row>
    <row r="2191" spans="1:7">
      <c r="A2191" s="27">
        <v>106</v>
      </c>
      <c r="B2191" s="27" t="s">
        <v>174</v>
      </c>
      <c r="C2191" s="27" t="s">
        <v>311</v>
      </c>
      <c r="D2191" s="27" t="s">
        <v>398</v>
      </c>
      <c r="E2191" s="27" t="s">
        <v>1682</v>
      </c>
      <c r="F2191" s="51">
        <v>7649</v>
      </c>
      <c r="G2191" s="27"/>
    </row>
    <row r="2192" spans="1:7">
      <c r="A2192" s="27">
        <v>106</v>
      </c>
      <c r="B2192" s="27" t="s">
        <v>174</v>
      </c>
      <c r="C2192" s="27" t="s">
        <v>311</v>
      </c>
      <c r="D2192" s="27" t="s">
        <v>415</v>
      </c>
      <c r="E2192" s="27" t="s">
        <v>1682</v>
      </c>
      <c r="F2192" s="51">
        <v>4419</v>
      </c>
      <c r="G2192" s="27"/>
    </row>
    <row r="2193" spans="1:7">
      <c r="A2193" s="27">
        <v>106</v>
      </c>
      <c r="B2193" s="27" t="s">
        <v>174</v>
      </c>
      <c r="C2193" s="27" t="s">
        <v>311</v>
      </c>
      <c r="D2193" s="27" t="s">
        <v>291</v>
      </c>
      <c r="E2193" s="27" t="s">
        <v>1681</v>
      </c>
      <c r="F2193" s="51">
        <v>6095</v>
      </c>
      <c r="G2193" s="27"/>
    </row>
    <row r="2194" spans="1:7">
      <c r="A2194" s="27">
        <v>106</v>
      </c>
      <c r="B2194" s="27" t="s">
        <v>174</v>
      </c>
      <c r="C2194" s="27" t="s">
        <v>311</v>
      </c>
      <c r="D2194" s="27" t="s">
        <v>399</v>
      </c>
      <c r="E2194" s="27" t="s">
        <v>1681</v>
      </c>
      <c r="F2194" s="51">
        <v>377529</v>
      </c>
      <c r="G2194" s="27"/>
    </row>
    <row r="2195" spans="1:7">
      <c r="A2195" s="27">
        <v>106</v>
      </c>
      <c r="B2195" s="27" t="s">
        <v>174</v>
      </c>
      <c r="C2195" s="27" t="s">
        <v>311</v>
      </c>
      <c r="D2195" s="27" t="s">
        <v>294</v>
      </c>
      <c r="E2195" s="27" t="s">
        <v>1681</v>
      </c>
      <c r="F2195" s="51">
        <v>3756</v>
      </c>
      <c r="G2195" s="27"/>
    </row>
    <row r="2196" spans="1:7">
      <c r="A2196" s="27">
        <v>106</v>
      </c>
      <c r="B2196" s="27" t="s">
        <v>174</v>
      </c>
      <c r="C2196" s="27" t="s">
        <v>311</v>
      </c>
      <c r="D2196" s="27" t="s">
        <v>295</v>
      </c>
      <c r="E2196" s="27" t="s">
        <v>1681</v>
      </c>
      <c r="F2196" s="51">
        <v>12000</v>
      </c>
      <c r="G2196" s="27"/>
    </row>
    <row r="2197" spans="1:7">
      <c r="A2197" s="27">
        <v>106</v>
      </c>
      <c r="B2197" s="27" t="s">
        <v>174</v>
      </c>
      <c r="C2197" s="27" t="s">
        <v>311</v>
      </c>
      <c r="D2197" s="27" t="s">
        <v>304</v>
      </c>
      <c r="E2197" s="27" t="s">
        <v>1681</v>
      </c>
      <c r="F2197" s="51">
        <v>14000</v>
      </c>
      <c r="G2197" s="27"/>
    </row>
    <row r="2198" spans="1:7">
      <c r="A2198" s="27">
        <v>106</v>
      </c>
      <c r="B2198" s="27" t="s">
        <v>174</v>
      </c>
      <c r="C2198" s="27" t="s">
        <v>311</v>
      </c>
      <c r="D2198" s="27" t="s">
        <v>296</v>
      </c>
      <c r="E2198" s="27" t="s">
        <v>1681</v>
      </c>
      <c r="F2198" s="51">
        <v>586564</v>
      </c>
      <c r="G2198" s="27"/>
    </row>
    <row r="2199" spans="1:7">
      <c r="A2199" s="27">
        <v>106</v>
      </c>
      <c r="B2199" s="27" t="s">
        <v>174</v>
      </c>
      <c r="C2199" s="27" t="s">
        <v>311</v>
      </c>
      <c r="D2199" s="27" t="s">
        <v>400</v>
      </c>
      <c r="E2199" s="27" t="s">
        <v>1681</v>
      </c>
      <c r="F2199" s="51">
        <v>79412</v>
      </c>
      <c r="G2199" s="27"/>
    </row>
    <row r="2200" spans="1:7">
      <c r="A2200" s="27">
        <v>106</v>
      </c>
      <c r="B2200" s="27" t="s">
        <v>174</v>
      </c>
      <c r="C2200" s="27" t="s">
        <v>311</v>
      </c>
      <c r="D2200" s="27" t="s">
        <v>298</v>
      </c>
      <c r="E2200" s="27" t="s">
        <v>1681</v>
      </c>
      <c r="F2200" s="51">
        <v>109981</v>
      </c>
      <c r="G2200" s="27"/>
    </row>
    <row r="2201" spans="1:7">
      <c r="A2201" s="27">
        <v>106</v>
      </c>
      <c r="B2201" s="27" t="s">
        <v>174</v>
      </c>
      <c r="C2201" s="27" t="s">
        <v>311</v>
      </c>
      <c r="D2201" s="27" t="s">
        <v>401</v>
      </c>
      <c r="E2201" s="27" t="s">
        <v>1681</v>
      </c>
      <c r="F2201" s="51">
        <v>15000</v>
      </c>
      <c r="G2201" s="27"/>
    </row>
    <row r="2202" spans="1:7">
      <c r="A2202" s="27">
        <v>106</v>
      </c>
      <c r="B2202" s="27" t="s">
        <v>174</v>
      </c>
      <c r="C2202" s="27" t="s">
        <v>311</v>
      </c>
      <c r="D2202" s="27" t="s">
        <v>402</v>
      </c>
      <c r="E2202" s="27" t="s">
        <v>1681</v>
      </c>
      <c r="F2202" s="51">
        <v>16837</v>
      </c>
      <c r="G2202" s="27"/>
    </row>
    <row r="2203" spans="1:7">
      <c r="A2203" s="27">
        <v>106</v>
      </c>
      <c r="B2203" s="27" t="s">
        <v>174</v>
      </c>
      <c r="C2203" s="27" t="s">
        <v>311</v>
      </c>
      <c r="D2203" s="27" t="s">
        <v>299</v>
      </c>
      <c r="E2203" s="27" t="s">
        <v>1681</v>
      </c>
      <c r="F2203" s="51">
        <v>186</v>
      </c>
      <c r="G2203" s="27"/>
    </row>
    <row r="2204" spans="1:7">
      <c r="A2204" s="27">
        <v>106</v>
      </c>
      <c r="B2204" s="27" t="s">
        <v>174</v>
      </c>
      <c r="C2204" s="27" t="s">
        <v>311</v>
      </c>
      <c r="D2204" s="27" t="s">
        <v>300</v>
      </c>
      <c r="E2204" s="27" t="s">
        <v>1681</v>
      </c>
      <c r="F2204" s="51">
        <v>35821</v>
      </c>
      <c r="G2204" s="27"/>
    </row>
    <row r="2205" spans="1:7">
      <c r="A2205" s="27">
        <v>107</v>
      </c>
      <c r="B2205" s="27" t="s">
        <v>175</v>
      </c>
      <c r="C2205" s="27" t="s">
        <v>306</v>
      </c>
      <c r="D2205" s="27" t="s">
        <v>408</v>
      </c>
      <c r="E2205" s="27" t="s">
        <v>1682</v>
      </c>
      <c r="F2205" s="51">
        <v>32523</v>
      </c>
      <c r="G2205" s="27"/>
    </row>
    <row r="2206" spans="1:7">
      <c r="A2206" s="27">
        <v>107</v>
      </c>
      <c r="B2206" s="27" t="s">
        <v>175</v>
      </c>
      <c r="C2206" s="27" t="s">
        <v>306</v>
      </c>
      <c r="D2206" s="27" t="s">
        <v>394</v>
      </c>
      <c r="E2206" s="27" t="s">
        <v>1682</v>
      </c>
      <c r="F2206" s="51">
        <v>181512</v>
      </c>
      <c r="G2206" s="27"/>
    </row>
    <row r="2207" spans="1:7">
      <c r="A2207" s="27">
        <v>107</v>
      </c>
      <c r="B2207" s="27" t="s">
        <v>175</v>
      </c>
      <c r="C2207" s="27" t="s">
        <v>306</v>
      </c>
      <c r="D2207" s="27" t="s">
        <v>397</v>
      </c>
      <c r="E2207" s="27" t="s">
        <v>1682</v>
      </c>
      <c r="F2207" s="51">
        <v>42235</v>
      </c>
      <c r="G2207" s="27"/>
    </row>
    <row r="2208" spans="1:7">
      <c r="A2208" s="27">
        <v>107</v>
      </c>
      <c r="B2208" s="27" t="s">
        <v>175</v>
      </c>
      <c r="C2208" s="27" t="s">
        <v>306</v>
      </c>
      <c r="D2208" s="27" t="s">
        <v>411</v>
      </c>
      <c r="E2208" s="27" t="s">
        <v>1682</v>
      </c>
      <c r="F2208" s="51">
        <v>1223</v>
      </c>
      <c r="G2208" s="27"/>
    </row>
    <row r="2209" spans="1:7">
      <c r="A2209" s="27">
        <v>107</v>
      </c>
      <c r="B2209" s="27" t="s">
        <v>175</v>
      </c>
      <c r="C2209" s="27" t="s">
        <v>306</v>
      </c>
      <c r="D2209" s="27" t="s">
        <v>412</v>
      </c>
      <c r="E2209" s="27" t="s">
        <v>1682</v>
      </c>
      <c r="F2209" s="51">
        <v>26232</v>
      </c>
      <c r="G2209" s="27"/>
    </row>
    <row r="2210" spans="1:7">
      <c r="A2210" s="27">
        <v>107</v>
      </c>
      <c r="B2210" s="27" t="s">
        <v>175</v>
      </c>
      <c r="C2210" s="27" t="s">
        <v>306</v>
      </c>
      <c r="D2210" s="27" t="s">
        <v>413</v>
      </c>
      <c r="E2210" s="27" t="s">
        <v>1682</v>
      </c>
      <c r="F2210" s="51">
        <v>117</v>
      </c>
      <c r="G2210" s="27"/>
    </row>
    <row r="2211" spans="1:7">
      <c r="A2211" s="27">
        <v>107</v>
      </c>
      <c r="B2211" s="27" t="s">
        <v>175</v>
      </c>
      <c r="C2211" s="27" t="s">
        <v>306</v>
      </c>
      <c r="D2211" s="27" t="s">
        <v>398</v>
      </c>
      <c r="E2211" s="27" t="s">
        <v>1682</v>
      </c>
      <c r="F2211" s="51">
        <v>4351</v>
      </c>
      <c r="G2211" s="27"/>
    </row>
    <row r="2212" spans="1:7">
      <c r="A2212" s="27">
        <v>107</v>
      </c>
      <c r="B2212" s="27" t="s">
        <v>175</v>
      </c>
      <c r="C2212" s="27" t="s">
        <v>306</v>
      </c>
      <c r="D2212" s="27" t="s">
        <v>415</v>
      </c>
      <c r="E2212" s="27" t="s">
        <v>1682</v>
      </c>
      <c r="F2212" s="51">
        <v>3711</v>
      </c>
      <c r="G2212" s="27"/>
    </row>
    <row r="2213" spans="1:7">
      <c r="A2213" s="27">
        <v>107</v>
      </c>
      <c r="B2213" s="27" t="s">
        <v>175</v>
      </c>
      <c r="C2213" s="27" t="s">
        <v>306</v>
      </c>
      <c r="D2213" s="27" t="s">
        <v>291</v>
      </c>
      <c r="E2213" s="27" t="s">
        <v>1681</v>
      </c>
      <c r="F2213" s="51">
        <v>5904</v>
      </c>
      <c r="G2213" s="27"/>
    </row>
    <row r="2214" spans="1:7">
      <c r="A2214" s="27">
        <v>107</v>
      </c>
      <c r="B2214" s="27" t="s">
        <v>175</v>
      </c>
      <c r="C2214" s="27" t="s">
        <v>306</v>
      </c>
      <c r="D2214" s="27" t="s">
        <v>399</v>
      </c>
      <c r="E2214" s="27" t="s">
        <v>1681</v>
      </c>
      <c r="F2214" s="51">
        <v>615226</v>
      </c>
      <c r="G2214" s="27"/>
    </row>
    <row r="2215" spans="1:7">
      <c r="A2215" s="27">
        <v>107</v>
      </c>
      <c r="B2215" s="27" t="s">
        <v>175</v>
      </c>
      <c r="C2215" s="27" t="s">
        <v>306</v>
      </c>
      <c r="D2215" s="27" t="s">
        <v>294</v>
      </c>
      <c r="E2215" s="27" t="s">
        <v>1681</v>
      </c>
      <c r="F2215" s="51">
        <v>2219</v>
      </c>
      <c r="G2215" s="27"/>
    </row>
    <row r="2216" spans="1:7">
      <c r="A2216" s="27">
        <v>107</v>
      </c>
      <c r="B2216" s="27" t="s">
        <v>175</v>
      </c>
      <c r="C2216" s="27" t="s">
        <v>306</v>
      </c>
      <c r="D2216" s="27" t="s">
        <v>295</v>
      </c>
      <c r="E2216" s="27" t="s">
        <v>1681</v>
      </c>
      <c r="F2216" s="51">
        <v>36000</v>
      </c>
      <c r="G2216" s="27"/>
    </row>
    <row r="2217" spans="1:7">
      <c r="A2217" s="27">
        <v>107</v>
      </c>
      <c r="B2217" s="27" t="s">
        <v>175</v>
      </c>
      <c r="C2217" s="27" t="s">
        <v>306</v>
      </c>
      <c r="D2217" s="27" t="s">
        <v>296</v>
      </c>
      <c r="E2217" s="27" t="s">
        <v>1681</v>
      </c>
      <c r="F2217" s="51">
        <v>303174</v>
      </c>
      <c r="G2217" s="27"/>
    </row>
    <row r="2218" spans="1:7">
      <c r="A2218" s="27">
        <v>107</v>
      </c>
      <c r="B2218" s="27" t="s">
        <v>175</v>
      </c>
      <c r="C2218" s="27" t="s">
        <v>306</v>
      </c>
      <c r="D2218" s="27" t="s">
        <v>400</v>
      </c>
      <c r="E2218" s="27" t="s">
        <v>1681</v>
      </c>
      <c r="F2218" s="51">
        <v>174499</v>
      </c>
      <c r="G2218" s="27"/>
    </row>
    <row r="2219" spans="1:7">
      <c r="A2219" s="27">
        <v>107</v>
      </c>
      <c r="B2219" s="27" t="s">
        <v>175</v>
      </c>
      <c r="C2219" s="27" t="s">
        <v>306</v>
      </c>
      <c r="D2219" s="27" t="s">
        <v>401</v>
      </c>
      <c r="E2219" s="27" t="s">
        <v>1681</v>
      </c>
      <c r="F2219" s="51">
        <v>14944</v>
      </c>
      <c r="G2219" s="27"/>
    </row>
    <row r="2220" spans="1:7">
      <c r="A2220" s="27">
        <v>107</v>
      </c>
      <c r="B2220" s="27" t="s">
        <v>175</v>
      </c>
      <c r="C2220" s="27" t="s">
        <v>306</v>
      </c>
      <c r="D2220" s="27" t="s">
        <v>402</v>
      </c>
      <c r="E2220" s="27" t="s">
        <v>1681</v>
      </c>
      <c r="F2220" s="51">
        <v>9922</v>
      </c>
      <c r="G2220" s="27"/>
    </row>
    <row r="2221" spans="1:7">
      <c r="A2221" s="27">
        <v>107</v>
      </c>
      <c r="B2221" s="27" t="s">
        <v>175</v>
      </c>
      <c r="C2221" s="27" t="s">
        <v>306</v>
      </c>
      <c r="D2221" s="27" t="s">
        <v>299</v>
      </c>
      <c r="E2221" s="27" t="s">
        <v>1681</v>
      </c>
      <c r="F2221" s="51">
        <v>47</v>
      </c>
      <c r="G2221" s="27"/>
    </row>
    <row r="2222" spans="1:7">
      <c r="A2222" s="27">
        <v>107</v>
      </c>
      <c r="B2222" s="27" t="s">
        <v>175</v>
      </c>
      <c r="C2222" s="27" t="s">
        <v>306</v>
      </c>
      <c r="D2222" s="27" t="s">
        <v>300</v>
      </c>
      <c r="E2222" s="27" t="s">
        <v>1681</v>
      </c>
      <c r="F2222" s="51">
        <v>17704</v>
      </c>
      <c r="G2222" s="27"/>
    </row>
    <row r="2223" spans="1:7">
      <c r="A2223" s="27">
        <v>108</v>
      </c>
      <c r="B2223" s="27" t="s">
        <v>176</v>
      </c>
      <c r="C2223" s="27" t="s">
        <v>393</v>
      </c>
      <c r="D2223" s="27" t="s">
        <v>408</v>
      </c>
      <c r="E2223" s="27" t="s">
        <v>1682</v>
      </c>
      <c r="F2223" s="51">
        <v>45414</v>
      </c>
      <c r="G2223" s="27"/>
    </row>
    <row r="2224" spans="1:7">
      <c r="A2224" s="27">
        <v>108</v>
      </c>
      <c r="B2224" s="27" t="s">
        <v>176</v>
      </c>
      <c r="C2224" s="27" t="s">
        <v>393</v>
      </c>
      <c r="D2224" s="27" t="s">
        <v>394</v>
      </c>
      <c r="E2224" s="27" t="s">
        <v>1682</v>
      </c>
      <c r="F2224" s="51">
        <v>192002</v>
      </c>
      <c r="G2224" s="27"/>
    </row>
    <row r="2225" spans="1:7">
      <c r="A2225" s="27">
        <v>108</v>
      </c>
      <c r="B2225" s="27" t="s">
        <v>176</v>
      </c>
      <c r="C2225" s="27" t="s">
        <v>393</v>
      </c>
      <c r="D2225" s="27" t="s">
        <v>333</v>
      </c>
      <c r="E2225" s="27" t="s">
        <v>1682</v>
      </c>
      <c r="F2225" s="51">
        <v>2362</v>
      </c>
      <c r="G2225" s="27"/>
    </row>
    <row r="2226" spans="1:7">
      <c r="A2226" s="27">
        <v>108</v>
      </c>
      <c r="B2226" s="27" t="s">
        <v>176</v>
      </c>
      <c r="C2226" s="27" t="s">
        <v>393</v>
      </c>
      <c r="D2226" s="27" t="s">
        <v>412</v>
      </c>
      <c r="E2226" s="27" t="s">
        <v>1682</v>
      </c>
      <c r="F2226" s="51">
        <v>3000</v>
      </c>
      <c r="G2226" s="27"/>
    </row>
    <row r="2227" spans="1:7">
      <c r="A2227" s="27">
        <v>108</v>
      </c>
      <c r="B2227" s="27" t="s">
        <v>176</v>
      </c>
      <c r="C2227" s="27" t="s">
        <v>393</v>
      </c>
      <c r="D2227" s="27" t="s">
        <v>398</v>
      </c>
      <c r="E2227" s="27" t="s">
        <v>1682</v>
      </c>
      <c r="F2227" s="51">
        <v>1000</v>
      </c>
      <c r="G2227" s="27"/>
    </row>
    <row r="2228" spans="1:7">
      <c r="A2228" s="27">
        <v>108</v>
      </c>
      <c r="B2228" s="27" t="s">
        <v>176</v>
      </c>
      <c r="C2228" s="27" t="s">
        <v>393</v>
      </c>
      <c r="D2228" s="27" t="s">
        <v>415</v>
      </c>
      <c r="E2228" s="27" t="s">
        <v>1682</v>
      </c>
      <c r="F2228" s="51">
        <v>6028</v>
      </c>
      <c r="G2228" s="27"/>
    </row>
    <row r="2229" spans="1:7">
      <c r="A2229" s="27">
        <v>108</v>
      </c>
      <c r="B2229" s="27" t="s">
        <v>176</v>
      </c>
      <c r="C2229" s="27" t="s">
        <v>393</v>
      </c>
      <c r="D2229" s="27" t="s">
        <v>334</v>
      </c>
      <c r="E2229" s="27" t="s">
        <v>1682</v>
      </c>
      <c r="F2229" s="51">
        <v>11315</v>
      </c>
      <c r="G2229" s="27"/>
    </row>
    <row r="2230" spans="1:7">
      <c r="A2230" s="27">
        <v>108</v>
      </c>
      <c r="B2230" s="27" t="s">
        <v>176</v>
      </c>
      <c r="C2230" s="27" t="s">
        <v>393</v>
      </c>
      <c r="D2230" s="27" t="s">
        <v>291</v>
      </c>
      <c r="E2230" s="27" t="s">
        <v>1681</v>
      </c>
      <c r="F2230" s="51">
        <v>5243</v>
      </c>
      <c r="G2230" s="27"/>
    </row>
    <row r="2231" spans="1:7">
      <c r="A2231" s="27">
        <v>108</v>
      </c>
      <c r="B2231" s="27" t="s">
        <v>176</v>
      </c>
      <c r="C2231" s="27" t="s">
        <v>393</v>
      </c>
      <c r="D2231" s="27" t="s">
        <v>399</v>
      </c>
      <c r="E2231" s="27" t="s">
        <v>1681</v>
      </c>
      <c r="F2231" s="51">
        <v>3753686</v>
      </c>
      <c r="G2231" s="27"/>
    </row>
    <row r="2232" spans="1:7">
      <c r="A2232" s="27">
        <v>108</v>
      </c>
      <c r="B2232" s="27" t="s">
        <v>176</v>
      </c>
      <c r="C2232" s="27" t="s">
        <v>393</v>
      </c>
      <c r="D2232" s="27" t="s">
        <v>303</v>
      </c>
      <c r="E2232" s="27" t="s">
        <v>1681</v>
      </c>
      <c r="F2232" s="51">
        <v>17451</v>
      </c>
      <c r="G2232" s="27"/>
    </row>
    <row r="2233" spans="1:7">
      <c r="A2233" s="27">
        <v>108</v>
      </c>
      <c r="B2233" s="27" t="s">
        <v>176</v>
      </c>
      <c r="C2233" s="27" t="s">
        <v>393</v>
      </c>
      <c r="D2233" s="27" t="s">
        <v>296</v>
      </c>
      <c r="E2233" s="27" t="s">
        <v>1681</v>
      </c>
      <c r="F2233" s="51">
        <v>287038</v>
      </c>
      <c r="G2233" s="27"/>
    </row>
    <row r="2234" spans="1:7">
      <c r="A2234" s="27">
        <v>108</v>
      </c>
      <c r="B2234" s="27" t="s">
        <v>176</v>
      </c>
      <c r="C2234" s="27" t="s">
        <v>393</v>
      </c>
      <c r="D2234" s="27" t="s">
        <v>400</v>
      </c>
      <c r="E2234" s="27" t="s">
        <v>1681</v>
      </c>
      <c r="F2234" s="51">
        <v>205423</v>
      </c>
      <c r="G2234" s="27"/>
    </row>
    <row r="2235" spans="1:7">
      <c r="A2235" s="27">
        <v>108</v>
      </c>
      <c r="B2235" s="27" t="s">
        <v>176</v>
      </c>
      <c r="C2235" s="27" t="s">
        <v>393</v>
      </c>
      <c r="D2235" s="27" t="s">
        <v>401</v>
      </c>
      <c r="E2235" s="27" t="s">
        <v>1681</v>
      </c>
      <c r="F2235" s="51">
        <v>29918</v>
      </c>
      <c r="G2235" s="27"/>
    </row>
    <row r="2236" spans="1:7">
      <c r="A2236" s="27">
        <v>108</v>
      </c>
      <c r="B2236" s="27" t="s">
        <v>176</v>
      </c>
      <c r="C2236" s="27" t="s">
        <v>393</v>
      </c>
      <c r="D2236" s="27" t="s">
        <v>402</v>
      </c>
      <c r="E2236" s="27" t="s">
        <v>1681</v>
      </c>
      <c r="F2236" s="51">
        <v>120104</v>
      </c>
      <c r="G2236" s="27"/>
    </row>
    <row r="2237" spans="1:7">
      <c r="A2237" s="27">
        <v>109</v>
      </c>
      <c r="B2237" s="27" t="s">
        <v>177</v>
      </c>
      <c r="C2237" s="27" t="s">
        <v>316</v>
      </c>
      <c r="D2237" s="27" t="s">
        <v>406</v>
      </c>
      <c r="E2237" s="27" t="s">
        <v>1682</v>
      </c>
      <c r="F2237" s="51">
        <v>39088</v>
      </c>
      <c r="G2237" s="27"/>
    </row>
    <row r="2238" spans="1:7">
      <c r="A2238" s="27">
        <v>109</v>
      </c>
      <c r="B2238" s="27" t="s">
        <v>177</v>
      </c>
      <c r="C2238" s="27" t="s">
        <v>316</v>
      </c>
      <c r="D2238" s="27" t="s">
        <v>408</v>
      </c>
      <c r="E2238" s="27" t="s">
        <v>1682</v>
      </c>
      <c r="F2238" s="51">
        <v>223103</v>
      </c>
      <c r="G2238" s="27"/>
    </row>
    <row r="2239" spans="1:7">
      <c r="A2239" s="27">
        <v>109</v>
      </c>
      <c r="B2239" s="27" t="s">
        <v>177</v>
      </c>
      <c r="C2239" s="27" t="s">
        <v>316</v>
      </c>
      <c r="D2239" s="27" t="s">
        <v>394</v>
      </c>
      <c r="E2239" s="27" t="s">
        <v>1682</v>
      </c>
      <c r="F2239" s="51">
        <v>386438</v>
      </c>
      <c r="G2239" s="27"/>
    </row>
    <row r="2240" spans="1:7">
      <c r="A2240" s="27">
        <v>109</v>
      </c>
      <c r="B2240" s="27" t="s">
        <v>177</v>
      </c>
      <c r="C2240" s="27" t="s">
        <v>316</v>
      </c>
      <c r="D2240" s="27" t="s">
        <v>410</v>
      </c>
      <c r="E2240" s="27" t="s">
        <v>1682</v>
      </c>
      <c r="F2240" s="51">
        <v>2000</v>
      </c>
      <c r="G2240" s="27"/>
    </row>
    <row r="2241" spans="1:7">
      <c r="A2241" s="27">
        <v>109</v>
      </c>
      <c r="B2241" s="27" t="s">
        <v>177</v>
      </c>
      <c r="C2241" s="27" t="s">
        <v>316</v>
      </c>
      <c r="D2241" s="27" t="s">
        <v>397</v>
      </c>
      <c r="E2241" s="27" t="s">
        <v>1682</v>
      </c>
      <c r="F2241" s="51">
        <v>643932</v>
      </c>
      <c r="G2241" s="27"/>
    </row>
    <row r="2242" spans="1:7">
      <c r="A2242" s="27">
        <v>109</v>
      </c>
      <c r="B2242" s="27" t="s">
        <v>177</v>
      </c>
      <c r="C2242" s="27" t="s">
        <v>316</v>
      </c>
      <c r="D2242" s="27" t="s">
        <v>333</v>
      </c>
      <c r="E2242" s="27" t="s">
        <v>1682</v>
      </c>
      <c r="F2242" s="51">
        <v>3817</v>
      </c>
      <c r="G2242" s="27"/>
    </row>
    <row r="2243" spans="1:7">
      <c r="A2243" s="27">
        <v>109</v>
      </c>
      <c r="B2243" s="27" t="s">
        <v>177</v>
      </c>
      <c r="C2243" s="27" t="s">
        <v>316</v>
      </c>
      <c r="D2243" s="27" t="s">
        <v>411</v>
      </c>
      <c r="E2243" s="27" t="s">
        <v>1682</v>
      </c>
      <c r="F2243" s="51">
        <v>7500</v>
      </c>
      <c r="G2243" s="27"/>
    </row>
    <row r="2244" spans="1:7">
      <c r="A2244" s="27">
        <v>109</v>
      </c>
      <c r="B2244" s="27" t="s">
        <v>177</v>
      </c>
      <c r="C2244" s="27" t="s">
        <v>316</v>
      </c>
      <c r="D2244" s="27" t="s">
        <v>412</v>
      </c>
      <c r="E2244" s="27" t="s">
        <v>1682</v>
      </c>
      <c r="F2244" s="51">
        <v>65000</v>
      </c>
      <c r="G2244" s="27"/>
    </row>
    <row r="2245" spans="1:7">
      <c r="A2245" s="27">
        <v>109</v>
      </c>
      <c r="B2245" s="27" t="s">
        <v>177</v>
      </c>
      <c r="C2245" s="27" t="s">
        <v>316</v>
      </c>
      <c r="D2245" s="27" t="s">
        <v>398</v>
      </c>
      <c r="E2245" s="27" t="s">
        <v>1682</v>
      </c>
      <c r="F2245" s="51">
        <v>14724</v>
      </c>
      <c r="G2245" s="27"/>
    </row>
    <row r="2246" spans="1:7">
      <c r="A2246" s="27">
        <v>109</v>
      </c>
      <c r="B2246" s="27" t="s">
        <v>177</v>
      </c>
      <c r="C2246" s="27" t="s">
        <v>316</v>
      </c>
      <c r="D2246" s="27" t="s">
        <v>415</v>
      </c>
      <c r="E2246" s="27" t="s">
        <v>1682</v>
      </c>
      <c r="F2246" s="51">
        <v>26258</v>
      </c>
      <c r="G2246" s="27"/>
    </row>
    <row r="2247" spans="1:7">
      <c r="A2247" s="27">
        <v>109</v>
      </c>
      <c r="B2247" s="27" t="s">
        <v>177</v>
      </c>
      <c r="C2247" s="27" t="s">
        <v>316</v>
      </c>
      <c r="D2247" s="27" t="s">
        <v>291</v>
      </c>
      <c r="E2247" s="27" t="s">
        <v>1681</v>
      </c>
      <c r="F2247" s="51">
        <v>10185</v>
      </c>
      <c r="G2247" s="27"/>
    </row>
    <row r="2248" spans="1:7">
      <c r="A2248" s="27">
        <v>109</v>
      </c>
      <c r="B2248" s="27" t="s">
        <v>177</v>
      </c>
      <c r="C2248" s="27" t="s">
        <v>316</v>
      </c>
      <c r="D2248" s="27" t="s">
        <v>399</v>
      </c>
      <c r="E2248" s="27" t="s">
        <v>1681</v>
      </c>
      <c r="F2248" s="51">
        <v>13104145</v>
      </c>
      <c r="G2248" s="27"/>
    </row>
    <row r="2249" spans="1:7">
      <c r="A2249" s="27">
        <v>109</v>
      </c>
      <c r="B2249" s="27" t="s">
        <v>177</v>
      </c>
      <c r="C2249" s="27" t="s">
        <v>316</v>
      </c>
      <c r="D2249" s="27" t="s">
        <v>317</v>
      </c>
      <c r="E2249" s="27" t="s">
        <v>1681</v>
      </c>
      <c r="F2249" s="51">
        <v>86171</v>
      </c>
      <c r="G2249" s="27"/>
    </row>
    <row r="2250" spans="1:7">
      <c r="A2250" s="27">
        <v>109</v>
      </c>
      <c r="B2250" s="27" t="s">
        <v>177</v>
      </c>
      <c r="C2250" s="27" t="s">
        <v>316</v>
      </c>
      <c r="D2250" s="27" t="s">
        <v>293</v>
      </c>
      <c r="E2250" s="27" t="s">
        <v>1681</v>
      </c>
      <c r="F2250" s="51">
        <v>108000</v>
      </c>
      <c r="G2250" s="27"/>
    </row>
    <row r="2251" spans="1:7">
      <c r="A2251" s="27">
        <v>109</v>
      </c>
      <c r="B2251" s="27" t="s">
        <v>177</v>
      </c>
      <c r="C2251" s="27" t="s">
        <v>316</v>
      </c>
      <c r="D2251" s="27" t="s">
        <v>294</v>
      </c>
      <c r="E2251" s="27" t="s">
        <v>1681</v>
      </c>
      <c r="F2251" s="51">
        <v>24113</v>
      </c>
      <c r="G2251" s="27"/>
    </row>
    <row r="2252" spans="1:7">
      <c r="A2252" s="27">
        <v>109</v>
      </c>
      <c r="B2252" s="27" t="s">
        <v>177</v>
      </c>
      <c r="C2252" s="27" t="s">
        <v>316</v>
      </c>
      <c r="D2252" s="27" t="s">
        <v>303</v>
      </c>
      <c r="E2252" s="27" t="s">
        <v>1681</v>
      </c>
      <c r="F2252" s="51">
        <v>14400</v>
      </c>
      <c r="G2252" s="27"/>
    </row>
    <row r="2253" spans="1:7">
      <c r="A2253" s="27">
        <v>109</v>
      </c>
      <c r="B2253" s="27" t="s">
        <v>177</v>
      </c>
      <c r="C2253" s="27" t="s">
        <v>316</v>
      </c>
      <c r="D2253" s="27" t="s">
        <v>296</v>
      </c>
      <c r="E2253" s="27" t="s">
        <v>1681</v>
      </c>
      <c r="F2253" s="51">
        <v>3696210</v>
      </c>
      <c r="G2253" s="27"/>
    </row>
    <row r="2254" spans="1:7">
      <c r="A2254" s="27">
        <v>109</v>
      </c>
      <c r="B2254" s="27" t="s">
        <v>177</v>
      </c>
      <c r="C2254" s="27" t="s">
        <v>316</v>
      </c>
      <c r="D2254" s="27" t="s">
        <v>400</v>
      </c>
      <c r="E2254" s="27" t="s">
        <v>1681</v>
      </c>
      <c r="F2254" s="51">
        <v>171458</v>
      </c>
      <c r="G2254" s="27"/>
    </row>
    <row r="2255" spans="1:7">
      <c r="A2255" s="27">
        <v>109</v>
      </c>
      <c r="B2255" s="27" t="s">
        <v>177</v>
      </c>
      <c r="C2255" s="27" t="s">
        <v>316</v>
      </c>
      <c r="D2255" s="27" t="s">
        <v>298</v>
      </c>
      <c r="E2255" s="27" t="s">
        <v>1681</v>
      </c>
      <c r="F2255" s="51">
        <v>209863</v>
      </c>
      <c r="G2255" s="27"/>
    </row>
    <row r="2256" spans="1:7">
      <c r="A2256" s="27">
        <v>109</v>
      </c>
      <c r="B2256" s="27" t="s">
        <v>177</v>
      </c>
      <c r="C2256" s="27" t="s">
        <v>316</v>
      </c>
      <c r="D2256" s="27" t="s">
        <v>401</v>
      </c>
      <c r="E2256" s="27" t="s">
        <v>1681</v>
      </c>
      <c r="F2256" s="51">
        <v>31408</v>
      </c>
      <c r="G2256" s="27"/>
    </row>
    <row r="2257" spans="1:7">
      <c r="A2257" s="27">
        <v>109</v>
      </c>
      <c r="B2257" s="27" t="s">
        <v>177</v>
      </c>
      <c r="C2257" s="27" t="s">
        <v>316</v>
      </c>
      <c r="D2257" s="27" t="s">
        <v>402</v>
      </c>
      <c r="E2257" s="27" t="s">
        <v>1681</v>
      </c>
      <c r="F2257" s="51">
        <v>480053</v>
      </c>
      <c r="G2257" s="27"/>
    </row>
    <row r="2258" spans="1:7">
      <c r="A2258" s="27">
        <v>109</v>
      </c>
      <c r="B2258" s="27" t="s">
        <v>177</v>
      </c>
      <c r="C2258" s="27" t="s">
        <v>316</v>
      </c>
      <c r="D2258" s="27" t="s">
        <v>299</v>
      </c>
      <c r="E2258" s="27" t="s">
        <v>1681</v>
      </c>
      <c r="F2258" s="51">
        <v>59798</v>
      </c>
      <c r="G2258" s="27"/>
    </row>
    <row r="2259" spans="1:7">
      <c r="A2259" s="27">
        <v>109</v>
      </c>
      <c r="B2259" s="27" t="s">
        <v>177</v>
      </c>
      <c r="C2259" s="27" t="s">
        <v>316</v>
      </c>
      <c r="D2259" s="27" t="s">
        <v>300</v>
      </c>
      <c r="E2259" s="27" t="s">
        <v>1681</v>
      </c>
      <c r="F2259" s="51">
        <v>46541</v>
      </c>
      <c r="G2259" s="27"/>
    </row>
    <row r="2260" spans="1:7">
      <c r="A2260" s="27">
        <v>110</v>
      </c>
      <c r="B2260" s="27" t="s">
        <v>178</v>
      </c>
      <c r="C2260" s="27" t="s">
        <v>346</v>
      </c>
      <c r="D2260" s="27" t="s">
        <v>406</v>
      </c>
      <c r="E2260" s="27" t="s">
        <v>1682</v>
      </c>
      <c r="F2260" s="51">
        <v>20397</v>
      </c>
      <c r="G2260" s="27"/>
    </row>
    <row r="2261" spans="1:7">
      <c r="A2261" s="27">
        <v>110</v>
      </c>
      <c r="B2261" s="27" t="s">
        <v>178</v>
      </c>
      <c r="C2261" s="27" t="s">
        <v>346</v>
      </c>
      <c r="D2261" s="27" t="s">
        <v>408</v>
      </c>
      <c r="E2261" s="27" t="s">
        <v>1682</v>
      </c>
      <c r="F2261" s="51">
        <v>132182</v>
      </c>
      <c r="G2261" s="27"/>
    </row>
    <row r="2262" spans="1:7">
      <c r="A2262" s="27">
        <v>110</v>
      </c>
      <c r="B2262" s="27" t="s">
        <v>178</v>
      </c>
      <c r="C2262" s="27" t="s">
        <v>346</v>
      </c>
      <c r="D2262" s="27" t="s">
        <v>394</v>
      </c>
      <c r="E2262" s="27" t="s">
        <v>1682</v>
      </c>
      <c r="F2262" s="51">
        <v>115000</v>
      </c>
      <c r="G2262" s="27"/>
    </row>
    <row r="2263" spans="1:7">
      <c r="A2263" s="27">
        <v>110</v>
      </c>
      <c r="B2263" s="27" t="s">
        <v>178</v>
      </c>
      <c r="C2263" s="27" t="s">
        <v>346</v>
      </c>
      <c r="D2263" s="27" t="s">
        <v>396</v>
      </c>
      <c r="E2263" s="27" t="s">
        <v>1682</v>
      </c>
      <c r="F2263" s="51">
        <v>28000</v>
      </c>
      <c r="G2263" s="27"/>
    </row>
    <row r="2264" spans="1:7">
      <c r="A2264" s="27">
        <v>110</v>
      </c>
      <c r="B2264" s="27" t="s">
        <v>178</v>
      </c>
      <c r="C2264" s="27" t="s">
        <v>346</v>
      </c>
      <c r="D2264" s="27" t="s">
        <v>397</v>
      </c>
      <c r="E2264" s="27" t="s">
        <v>1682</v>
      </c>
      <c r="F2264" s="51">
        <v>200000</v>
      </c>
      <c r="G2264" s="27"/>
    </row>
    <row r="2265" spans="1:7">
      <c r="A2265" s="27">
        <v>110</v>
      </c>
      <c r="B2265" s="27" t="s">
        <v>178</v>
      </c>
      <c r="C2265" s="27" t="s">
        <v>346</v>
      </c>
      <c r="D2265" s="27" t="s">
        <v>411</v>
      </c>
      <c r="E2265" s="27" t="s">
        <v>1682</v>
      </c>
      <c r="F2265" s="51">
        <v>3000</v>
      </c>
      <c r="G2265" s="27"/>
    </row>
    <row r="2266" spans="1:7">
      <c r="A2266" s="27">
        <v>110</v>
      </c>
      <c r="B2266" s="27" t="s">
        <v>178</v>
      </c>
      <c r="C2266" s="27" t="s">
        <v>346</v>
      </c>
      <c r="D2266" s="27" t="s">
        <v>412</v>
      </c>
      <c r="E2266" s="27" t="s">
        <v>1682</v>
      </c>
      <c r="F2266" s="51">
        <v>55000</v>
      </c>
      <c r="G2266" s="27"/>
    </row>
    <row r="2267" spans="1:7">
      <c r="A2267" s="27">
        <v>110</v>
      </c>
      <c r="B2267" s="27" t="s">
        <v>178</v>
      </c>
      <c r="C2267" s="27" t="s">
        <v>346</v>
      </c>
      <c r="D2267" s="27" t="s">
        <v>413</v>
      </c>
      <c r="E2267" s="27" t="s">
        <v>1682</v>
      </c>
      <c r="F2267" s="51">
        <v>13775</v>
      </c>
      <c r="G2267" s="27"/>
    </row>
    <row r="2268" spans="1:7">
      <c r="A2268" s="27">
        <v>110</v>
      </c>
      <c r="B2268" s="27" t="s">
        <v>178</v>
      </c>
      <c r="C2268" s="27" t="s">
        <v>346</v>
      </c>
      <c r="D2268" s="27" t="s">
        <v>398</v>
      </c>
      <c r="E2268" s="27" t="s">
        <v>1682</v>
      </c>
      <c r="F2268" s="51">
        <v>8500</v>
      </c>
      <c r="G2268" s="27"/>
    </row>
    <row r="2269" spans="1:7">
      <c r="A2269" s="27">
        <v>110</v>
      </c>
      <c r="B2269" s="27" t="s">
        <v>178</v>
      </c>
      <c r="C2269" s="27" t="s">
        <v>346</v>
      </c>
      <c r="D2269" s="27" t="s">
        <v>415</v>
      </c>
      <c r="E2269" s="27" t="s">
        <v>1682</v>
      </c>
      <c r="F2269" s="51">
        <v>12000</v>
      </c>
      <c r="G2269" s="27"/>
    </row>
    <row r="2270" spans="1:7">
      <c r="A2270" s="27">
        <v>110</v>
      </c>
      <c r="B2270" s="27" t="s">
        <v>178</v>
      </c>
      <c r="C2270" s="27" t="s">
        <v>346</v>
      </c>
      <c r="D2270" s="27" t="s">
        <v>291</v>
      </c>
      <c r="E2270" s="27" t="s">
        <v>1681</v>
      </c>
      <c r="F2270" s="51">
        <v>9188</v>
      </c>
      <c r="G2270" s="27"/>
    </row>
    <row r="2271" spans="1:7">
      <c r="A2271" s="27">
        <v>110</v>
      </c>
      <c r="B2271" s="27" t="s">
        <v>178</v>
      </c>
      <c r="C2271" s="27" t="s">
        <v>346</v>
      </c>
      <c r="D2271" s="27" t="s">
        <v>399</v>
      </c>
      <c r="E2271" s="27" t="s">
        <v>1681</v>
      </c>
      <c r="F2271" s="51">
        <v>8267470</v>
      </c>
      <c r="G2271" s="27"/>
    </row>
    <row r="2272" spans="1:7">
      <c r="A2272" s="27">
        <v>110</v>
      </c>
      <c r="B2272" s="27" t="s">
        <v>178</v>
      </c>
      <c r="C2272" s="27" t="s">
        <v>346</v>
      </c>
      <c r="D2272" s="27" t="s">
        <v>317</v>
      </c>
      <c r="E2272" s="27" t="s">
        <v>1681</v>
      </c>
      <c r="F2272" s="51">
        <v>86171</v>
      </c>
      <c r="G2272" s="27"/>
    </row>
    <row r="2273" spans="1:7">
      <c r="A2273" s="27">
        <v>110</v>
      </c>
      <c r="B2273" s="27" t="s">
        <v>178</v>
      </c>
      <c r="C2273" s="27" t="s">
        <v>346</v>
      </c>
      <c r="D2273" s="27" t="s">
        <v>307</v>
      </c>
      <c r="E2273" s="27" t="s">
        <v>1681</v>
      </c>
      <c r="F2273" s="51">
        <v>10800</v>
      </c>
      <c r="G2273" s="27"/>
    </row>
    <row r="2274" spans="1:7">
      <c r="A2274" s="27">
        <v>110</v>
      </c>
      <c r="B2274" s="27" t="s">
        <v>178</v>
      </c>
      <c r="C2274" s="27" t="s">
        <v>346</v>
      </c>
      <c r="D2274" s="27" t="s">
        <v>295</v>
      </c>
      <c r="E2274" s="27" t="s">
        <v>1681</v>
      </c>
      <c r="F2274" s="51">
        <v>117180</v>
      </c>
      <c r="G2274" s="27"/>
    </row>
    <row r="2275" spans="1:7">
      <c r="A2275" s="27">
        <v>110</v>
      </c>
      <c r="B2275" s="27" t="s">
        <v>178</v>
      </c>
      <c r="C2275" s="27" t="s">
        <v>346</v>
      </c>
      <c r="D2275" s="27" t="s">
        <v>303</v>
      </c>
      <c r="E2275" s="27" t="s">
        <v>1681</v>
      </c>
      <c r="F2275" s="51">
        <v>18000</v>
      </c>
      <c r="G2275" s="27"/>
    </row>
    <row r="2276" spans="1:7">
      <c r="A2276" s="27">
        <v>110</v>
      </c>
      <c r="B2276" s="27" t="s">
        <v>178</v>
      </c>
      <c r="C2276" s="27" t="s">
        <v>346</v>
      </c>
      <c r="D2276" s="27" t="s">
        <v>304</v>
      </c>
      <c r="E2276" s="27" t="s">
        <v>1681</v>
      </c>
      <c r="F2276" s="51">
        <v>45000</v>
      </c>
      <c r="G2276" s="27"/>
    </row>
    <row r="2277" spans="1:7">
      <c r="A2277" s="27">
        <v>110</v>
      </c>
      <c r="B2277" s="27" t="s">
        <v>178</v>
      </c>
      <c r="C2277" s="27" t="s">
        <v>346</v>
      </c>
      <c r="D2277" s="27" t="s">
        <v>296</v>
      </c>
      <c r="E2277" s="27" t="s">
        <v>1681</v>
      </c>
      <c r="F2277" s="51">
        <v>1205720</v>
      </c>
      <c r="G2277" s="27"/>
    </row>
    <row r="2278" spans="1:7">
      <c r="A2278" s="27">
        <v>110</v>
      </c>
      <c r="B2278" s="27" t="s">
        <v>178</v>
      </c>
      <c r="C2278" s="27" t="s">
        <v>346</v>
      </c>
      <c r="D2278" s="27" t="s">
        <v>400</v>
      </c>
      <c r="E2278" s="27" t="s">
        <v>1681</v>
      </c>
      <c r="F2278" s="51">
        <v>234962</v>
      </c>
      <c r="G2278" s="27"/>
    </row>
    <row r="2279" spans="1:7">
      <c r="A2279" s="27">
        <v>110</v>
      </c>
      <c r="B2279" s="27" t="s">
        <v>178</v>
      </c>
      <c r="C2279" s="27" t="s">
        <v>346</v>
      </c>
      <c r="D2279" s="27" t="s">
        <v>298</v>
      </c>
      <c r="E2279" s="27" t="s">
        <v>1681</v>
      </c>
      <c r="F2279" s="51">
        <v>488333</v>
      </c>
      <c r="G2279" s="27"/>
    </row>
    <row r="2280" spans="1:7">
      <c r="A2280" s="27">
        <v>110</v>
      </c>
      <c r="B2280" s="27" t="s">
        <v>178</v>
      </c>
      <c r="C2280" s="27" t="s">
        <v>346</v>
      </c>
      <c r="D2280" s="27" t="s">
        <v>401</v>
      </c>
      <c r="E2280" s="27" t="s">
        <v>1681</v>
      </c>
      <c r="F2280" s="51">
        <v>31306</v>
      </c>
      <c r="G2280" s="27"/>
    </row>
    <row r="2281" spans="1:7">
      <c r="A2281" s="27">
        <v>110</v>
      </c>
      <c r="B2281" s="27" t="s">
        <v>178</v>
      </c>
      <c r="C2281" s="27" t="s">
        <v>346</v>
      </c>
      <c r="D2281" s="27" t="s">
        <v>402</v>
      </c>
      <c r="E2281" s="27" t="s">
        <v>1681</v>
      </c>
      <c r="F2281" s="51">
        <v>366464</v>
      </c>
      <c r="G2281" s="27"/>
    </row>
    <row r="2282" spans="1:7">
      <c r="A2282" s="27">
        <v>110</v>
      </c>
      <c r="B2282" s="27" t="s">
        <v>178</v>
      </c>
      <c r="C2282" s="27" t="s">
        <v>346</v>
      </c>
      <c r="D2282" s="27" t="s">
        <v>300</v>
      </c>
      <c r="E2282" s="27" t="s">
        <v>1681</v>
      </c>
      <c r="F2282" s="51">
        <v>23212</v>
      </c>
      <c r="G2282" s="27"/>
    </row>
    <row r="2283" spans="1:7">
      <c r="A2283" s="27">
        <v>111</v>
      </c>
      <c r="B2283" s="27" t="s">
        <v>179</v>
      </c>
      <c r="C2283" s="27" t="s">
        <v>346</v>
      </c>
      <c r="D2283" s="27" t="s">
        <v>406</v>
      </c>
      <c r="E2283" s="27" t="s">
        <v>1682</v>
      </c>
      <c r="F2283" s="51">
        <v>19064</v>
      </c>
      <c r="G2283" s="27"/>
    </row>
    <row r="2284" spans="1:7">
      <c r="A2284" s="27">
        <v>111</v>
      </c>
      <c r="B2284" s="27" t="s">
        <v>179</v>
      </c>
      <c r="C2284" s="27" t="s">
        <v>346</v>
      </c>
      <c r="D2284" s="27" t="s">
        <v>408</v>
      </c>
      <c r="E2284" s="27" t="s">
        <v>1682</v>
      </c>
      <c r="F2284" s="51">
        <v>75513</v>
      </c>
      <c r="G2284" s="27"/>
    </row>
    <row r="2285" spans="1:7">
      <c r="A2285" s="27">
        <v>111</v>
      </c>
      <c r="B2285" s="27" t="s">
        <v>179</v>
      </c>
      <c r="C2285" s="27" t="s">
        <v>346</v>
      </c>
      <c r="D2285" s="27" t="s">
        <v>394</v>
      </c>
      <c r="E2285" s="27" t="s">
        <v>1682</v>
      </c>
      <c r="F2285" s="51">
        <v>229123</v>
      </c>
      <c r="G2285" s="27"/>
    </row>
    <row r="2286" spans="1:7">
      <c r="A2286" s="27">
        <v>111</v>
      </c>
      <c r="B2286" s="27" t="s">
        <v>179</v>
      </c>
      <c r="C2286" s="27" t="s">
        <v>346</v>
      </c>
      <c r="D2286" s="27" t="s">
        <v>396</v>
      </c>
      <c r="E2286" s="27" t="s">
        <v>1682</v>
      </c>
      <c r="F2286" s="51">
        <v>16500</v>
      </c>
      <c r="G2286" s="27"/>
    </row>
    <row r="2287" spans="1:7">
      <c r="A2287" s="27">
        <v>111</v>
      </c>
      <c r="B2287" s="27" t="s">
        <v>179</v>
      </c>
      <c r="C2287" s="27" t="s">
        <v>346</v>
      </c>
      <c r="D2287" s="27" t="s">
        <v>397</v>
      </c>
      <c r="E2287" s="27" t="s">
        <v>1682</v>
      </c>
      <c r="F2287" s="51">
        <v>182594</v>
      </c>
      <c r="G2287" s="27"/>
    </row>
    <row r="2288" spans="1:7">
      <c r="A2288" s="27">
        <v>111</v>
      </c>
      <c r="B2288" s="27" t="s">
        <v>179</v>
      </c>
      <c r="C2288" s="27" t="s">
        <v>346</v>
      </c>
      <c r="D2288" s="27" t="s">
        <v>411</v>
      </c>
      <c r="E2288" s="27" t="s">
        <v>1682</v>
      </c>
      <c r="F2288" s="51">
        <v>5288</v>
      </c>
      <c r="G2288" s="27"/>
    </row>
    <row r="2289" spans="1:7">
      <c r="A2289" s="27">
        <v>111</v>
      </c>
      <c r="B2289" s="27" t="s">
        <v>179</v>
      </c>
      <c r="C2289" s="27" t="s">
        <v>346</v>
      </c>
      <c r="D2289" s="27" t="s">
        <v>412</v>
      </c>
      <c r="E2289" s="27" t="s">
        <v>1682</v>
      </c>
      <c r="F2289" s="51">
        <v>60118</v>
      </c>
      <c r="G2289" s="27"/>
    </row>
    <row r="2290" spans="1:7">
      <c r="A2290" s="27">
        <v>111</v>
      </c>
      <c r="B2290" s="27" t="s">
        <v>179</v>
      </c>
      <c r="C2290" s="27" t="s">
        <v>346</v>
      </c>
      <c r="D2290" s="27" t="s">
        <v>398</v>
      </c>
      <c r="E2290" s="27" t="s">
        <v>1682</v>
      </c>
      <c r="F2290" s="51">
        <v>7939</v>
      </c>
      <c r="G2290" s="27"/>
    </row>
    <row r="2291" spans="1:7">
      <c r="A2291" s="27">
        <v>111</v>
      </c>
      <c r="B2291" s="27" t="s">
        <v>179</v>
      </c>
      <c r="C2291" s="27" t="s">
        <v>346</v>
      </c>
      <c r="D2291" s="27" t="s">
        <v>415</v>
      </c>
      <c r="E2291" s="27" t="s">
        <v>1682</v>
      </c>
      <c r="F2291" s="51">
        <v>12719</v>
      </c>
      <c r="G2291" s="27"/>
    </row>
    <row r="2292" spans="1:7">
      <c r="A2292" s="27">
        <v>111</v>
      </c>
      <c r="B2292" s="27" t="s">
        <v>179</v>
      </c>
      <c r="C2292" s="27" t="s">
        <v>346</v>
      </c>
      <c r="D2292" s="27" t="s">
        <v>291</v>
      </c>
      <c r="E2292" s="27" t="s">
        <v>1681</v>
      </c>
      <c r="F2292" s="51">
        <v>6120</v>
      </c>
      <c r="G2292" s="27"/>
    </row>
    <row r="2293" spans="1:7">
      <c r="A2293" s="27">
        <v>111</v>
      </c>
      <c r="B2293" s="27" t="s">
        <v>179</v>
      </c>
      <c r="C2293" s="27" t="s">
        <v>346</v>
      </c>
      <c r="D2293" s="27" t="s">
        <v>399</v>
      </c>
      <c r="E2293" s="27" t="s">
        <v>1681</v>
      </c>
      <c r="F2293" s="51">
        <v>8129112</v>
      </c>
      <c r="G2293" s="27"/>
    </row>
    <row r="2294" spans="1:7">
      <c r="A2294" s="27">
        <v>111</v>
      </c>
      <c r="B2294" s="27" t="s">
        <v>179</v>
      </c>
      <c r="C2294" s="27" t="s">
        <v>346</v>
      </c>
      <c r="D2294" s="27" t="s">
        <v>293</v>
      </c>
      <c r="E2294" s="27" t="s">
        <v>1681</v>
      </c>
      <c r="F2294" s="51">
        <v>30000</v>
      </c>
      <c r="G2294" s="27"/>
    </row>
    <row r="2295" spans="1:7">
      <c r="A2295" s="27">
        <v>111</v>
      </c>
      <c r="B2295" s="27" t="s">
        <v>179</v>
      </c>
      <c r="C2295" s="27" t="s">
        <v>346</v>
      </c>
      <c r="D2295" s="27" t="s">
        <v>307</v>
      </c>
      <c r="E2295" s="27" t="s">
        <v>1681</v>
      </c>
      <c r="F2295" s="51">
        <v>117600</v>
      </c>
      <c r="G2295" s="27"/>
    </row>
    <row r="2296" spans="1:7">
      <c r="A2296" s="27">
        <v>111</v>
      </c>
      <c r="B2296" s="27" t="s">
        <v>179</v>
      </c>
      <c r="C2296" s="27" t="s">
        <v>346</v>
      </c>
      <c r="D2296" s="27" t="s">
        <v>296</v>
      </c>
      <c r="E2296" s="27" t="s">
        <v>1681</v>
      </c>
      <c r="F2296" s="51">
        <v>975347</v>
      </c>
      <c r="G2296" s="27"/>
    </row>
    <row r="2297" spans="1:7">
      <c r="A2297" s="27">
        <v>111</v>
      </c>
      <c r="B2297" s="27" t="s">
        <v>179</v>
      </c>
      <c r="C2297" s="27" t="s">
        <v>346</v>
      </c>
      <c r="D2297" s="27" t="s">
        <v>400</v>
      </c>
      <c r="E2297" s="27" t="s">
        <v>1681</v>
      </c>
      <c r="F2297" s="51">
        <v>212077</v>
      </c>
      <c r="G2297" s="27"/>
    </row>
    <row r="2298" spans="1:7">
      <c r="A2298" s="27">
        <v>111</v>
      </c>
      <c r="B2298" s="27" t="s">
        <v>179</v>
      </c>
      <c r="C2298" s="27" t="s">
        <v>346</v>
      </c>
      <c r="D2298" s="27" t="s">
        <v>298</v>
      </c>
      <c r="E2298" s="27" t="s">
        <v>1681</v>
      </c>
      <c r="F2298" s="51">
        <v>75056</v>
      </c>
      <c r="G2298" s="27"/>
    </row>
    <row r="2299" spans="1:7">
      <c r="A2299" s="27">
        <v>111</v>
      </c>
      <c r="B2299" s="27" t="s">
        <v>179</v>
      </c>
      <c r="C2299" s="27" t="s">
        <v>346</v>
      </c>
      <c r="D2299" s="27" t="s">
        <v>401</v>
      </c>
      <c r="E2299" s="27" t="s">
        <v>1681</v>
      </c>
      <c r="F2299" s="51">
        <v>30069</v>
      </c>
      <c r="G2299" s="27"/>
    </row>
    <row r="2300" spans="1:7">
      <c r="A2300" s="27">
        <v>111</v>
      </c>
      <c r="B2300" s="27" t="s">
        <v>179</v>
      </c>
      <c r="C2300" s="27" t="s">
        <v>346</v>
      </c>
      <c r="D2300" s="27" t="s">
        <v>402</v>
      </c>
      <c r="E2300" s="27" t="s">
        <v>1681</v>
      </c>
      <c r="F2300" s="51">
        <v>322562</v>
      </c>
      <c r="G2300" s="27"/>
    </row>
    <row r="2301" spans="1:7">
      <c r="A2301" s="27">
        <v>112</v>
      </c>
      <c r="B2301" s="27" t="s">
        <v>180</v>
      </c>
      <c r="C2301" s="27" t="s">
        <v>393</v>
      </c>
      <c r="D2301" s="27" t="s">
        <v>408</v>
      </c>
      <c r="E2301" s="27" t="s">
        <v>1682</v>
      </c>
      <c r="F2301" s="51">
        <v>28498</v>
      </c>
      <c r="G2301" s="27"/>
    </row>
    <row r="2302" spans="1:7">
      <c r="A2302" s="27">
        <v>112</v>
      </c>
      <c r="B2302" s="27" t="s">
        <v>180</v>
      </c>
      <c r="C2302" s="27" t="s">
        <v>393</v>
      </c>
      <c r="D2302" s="27" t="s">
        <v>394</v>
      </c>
      <c r="E2302" s="27" t="s">
        <v>1682</v>
      </c>
      <c r="F2302" s="51">
        <v>97429</v>
      </c>
      <c r="G2302" s="27"/>
    </row>
    <row r="2303" spans="1:7">
      <c r="A2303" s="27">
        <v>112</v>
      </c>
      <c r="B2303" s="27" t="s">
        <v>180</v>
      </c>
      <c r="C2303" s="27" t="s">
        <v>393</v>
      </c>
      <c r="D2303" s="27" t="s">
        <v>397</v>
      </c>
      <c r="E2303" s="27" t="s">
        <v>1682</v>
      </c>
      <c r="F2303" s="51">
        <v>52000</v>
      </c>
      <c r="G2303" s="27"/>
    </row>
    <row r="2304" spans="1:7">
      <c r="A2304" s="27">
        <v>112</v>
      </c>
      <c r="B2304" s="27" t="s">
        <v>180</v>
      </c>
      <c r="C2304" s="27" t="s">
        <v>393</v>
      </c>
      <c r="D2304" s="27" t="s">
        <v>411</v>
      </c>
      <c r="E2304" s="27" t="s">
        <v>1682</v>
      </c>
      <c r="F2304" s="51">
        <v>26772</v>
      </c>
      <c r="G2304" s="27"/>
    </row>
    <row r="2305" spans="1:7">
      <c r="A2305" s="27">
        <v>112</v>
      </c>
      <c r="B2305" s="27" t="s">
        <v>180</v>
      </c>
      <c r="C2305" s="27" t="s">
        <v>393</v>
      </c>
      <c r="D2305" s="27" t="s">
        <v>412</v>
      </c>
      <c r="E2305" s="27" t="s">
        <v>1682</v>
      </c>
      <c r="F2305" s="51">
        <v>23565</v>
      </c>
      <c r="G2305" s="27"/>
    </row>
    <row r="2306" spans="1:7">
      <c r="A2306" s="27">
        <v>112</v>
      </c>
      <c r="B2306" s="27" t="s">
        <v>180</v>
      </c>
      <c r="C2306" s="27" t="s">
        <v>393</v>
      </c>
      <c r="D2306" s="27" t="s">
        <v>414</v>
      </c>
      <c r="E2306" s="27" t="s">
        <v>1682</v>
      </c>
      <c r="F2306" s="51">
        <v>4012</v>
      </c>
      <c r="G2306" s="27"/>
    </row>
    <row r="2307" spans="1:7">
      <c r="A2307" s="27">
        <v>112</v>
      </c>
      <c r="B2307" s="27" t="s">
        <v>180</v>
      </c>
      <c r="C2307" s="27" t="s">
        <v>393</v>
      </c>
      <c r="D2307" s="27" t="s">
        <v>398</v>
      </c>
      <c r="E2307" s="27" t="s">
        <v>1682</v>
      </c>
      <c r="F2307" s="51">
        <v>3466</v>
      </c>
      <c r="G2307" s="27"/>
    </row>
    <row r="2308" spans="1:7">
      <c r="A2308" s="27">
        <v>112</v>
      </c>
      <c r="B2308" s="27" t="s">
        <v>180</v>
      </c>
      <c r="C2308" s="27" t="s">
        <v>393</v>
      </c>
      <c r="D2308" s="27" t="s">
        <v>415</v>
      </c>
      <c r="E2308" s="27" t="s">
        <v>1682</v>
      </c>
      <c r="F2308" s="51">
        <v>2447</v>
      </c>
      <c r="G2308" s="27"/>
    </row>
    <row r="2309" spans="1:7">
      <c r="A2309" s="27">
        <v>112</v>
      </c>
      <c r="B2309" s="27" t="s">
        <v>180</v>
      </c>
      <c r="C2309" s="27" t="s">
        <v>393</v>
      </c>
      <c r="D2309" s="27" t="s">
        <v>291</v>
      </c>
      <c r="E2309" s="27" t="s">
        <v>1681</v>
      </c>
      <c r="F2309" s="51">
        <v>2916</v>
      </c>
      <c r="G2309" s="27"/>
    </row>
    <row r="2310" spans="1:7">
      <c r="A2310" s="27">
        <v>112</v>
      </c>
      <c r="B2310" s="27" t="s">
        <v>180</v>
      </c>
      <c r="C2310" s="27" t="s">
        <v>393</v>
      </c>
      <c r="D2310" s="27" t="s">
        <v>399</v>
      </c>
      <c r="E2310" s="27" t="s">
        <v>1681</v>
      </c>
      <c r="F2310" s="51">
        <v>2427339</v>
      </c>
      <c r="G2310" s="27"/>
    </row>
    <row r="2311" spans="1:7">
      <c r="A2311" s="27">
        <v>112</v>
      </c>
      <c r="B2311" s="27" t="s">
        <v>180</v>
      </c>
      <c r="C2311" s="27" t="s">
        <v>393</v>
      </c>
      <c r="D2311" s="27" t="s">
        <v>303</v>
      </c>
      <c r="E2311" s="27" t="s">
        <v>1681</v>
      </c>
      <c r="F2311" s="51">
        <v>17451</v>
      </c>
      <c r="G2311" s="27"/>
    </row>
    <row r="2312" spans="1:7">
      <c r="A2312" s="27">
        <v>112</v>
      </c>
      <c r="B2312" s="27" t="s">
        <v>180</v>
      </c>
      <c r="C2312" s="27" t="s">
        <v>393</v>
      </c>
      <c r="D2312" s="27" t="s">
        <v>296</v>
      </c>
      <c r="E2312" s="27" t="s">
        <v>1681</v>
      </c>
      <c r="F2312" s="51">
        <v>455484</v>
      </c>
      <c r="G2312" s="27"/>
    </row>
    <row r="2313" spans="1:7">
      <c r="A2313" s="27">
        <v>112</v>
      </c>
      <c r="B2313" s="27" t="s">
        <v>180</v>
      </c>
      <c r="C2313" s="27" t="s">
        <v>393</v>
      </c>
      <c r="D2313" s="27" t="s">
        <v>400</v>
      </c>
      <c r="E2313" s="27" t="s">
        <v>1681</v>
      </c>
      <c r="F2313" s="51">
        <v>167078</v>
      </c>
      <c r="G2313" s="27"/>
    </row>
    <row r="2314" spans="1:7">
      <c r="A2314" s="27">
        <v>112</v>
      </c>
      <c r="B2314" s="27" t="s">
        <v>180</v>
      </c>
      <c r="C2314" s="27" t="s">
        <v>393</v>
      </c>
      <c r="D2314" s="27" t="s">
        <v>298</v>
      </c>
      <c r="E2314" s="27" t="s">
        <v>1681</v>
      </c>
      <c r="F2314" s="51">
        <v>56520</v>
      </c>
      <c r="G2314" s="27"/>
    </row>
    <row r="2315" spans="1:7">
      <c r="A2315" s="27">
        <v>112</v>
      </c>
      <c r="B2315" s="27" t="s">
        <v>180</v>
      </c>
      <c r="C2315" s="27" t="s">
        <v>393</v>
      </c>
      <c r="D2315" s="27" t="s">
        <v>401</v>
      </c>
      <c r="E2315" s="27" t="s">
        <v>1681</v>
      </c>
      <c r="F2315" s="51">
        <v>23066</v>
      </c>
      <c r="G2315" s="27"/>
    </row>
    <row r="2316" spans="1:7">
      <c r="A2316" s="27">
        <v>112</v>
      </c>
      <c r="B2316" s="27" t="s">
        <v>180</v>
      </c>
      <c r="C2316" s="27" t="s">
        <v>393</v>
      </c>
      <c r="D2316" s="27" t="s">
        <v>402</v>
      </c>
      <c r="E2316" s="27" t="s">
        <v>1681</v>
      </c>
      <c r="F2316" s="51">
        <v>75634</v>
      </c>
      <c r="G2316" s="27"/>
    </row>
    <row r="2317" spans="1:7">
      <c r="A2317" s="27">
        <v>113</v>
      </c>
      <c r="B2317" s="27" t="s">
        <v>181</v>
      </c>
      <c r="C2317" s="27" t="s">
        <v>302</v>
      </c>
      <c r="D2317" s="27" t="s">
        <v>408</v>
      </c>
      <c r="E2317" s="27" t="s">
        <v>1682</v>
      </c>
      <c r="F2317" s="51">
        <v>46760</v>
      </c>
      <c r="G2317" s="27"/>
    </row>
    <row r="2318" spans="1:7">
      <c r="A2318" s="27">
        <v>113</v>
      </c>
      <c r="B2318" s="27" t="s">
        <v>181</v>
      </c>
      <c r="C2318" s="27" t="s">
        <v>302</v>
      </c>
      <c r="D2318" s="27" t="s">
        <v>394</v>
      </c>
      <c r="E2318" s="27" t="s">
        <v>1682</v>
      </c>
      <c r="F2318" s="51">
        <v>165632</v>
      </c>
      <c r="G2318" s="27"/>
    </row>
    <row r="2319" spans="1:7">
      <c r="A2319" s="27">
        <v>113</v>
      </c>
      <c r="B2319" s="27" t="s">
        <v>181</v>
      </c>
      <c r="C2319" s="27" t="s">
        <v>302</v>
      </c>
      <c r="D2319" s="27" t="s">
        <v>397</v>
      </c>
      <c r="E2319" s="27" t="s">
        <v>1682</v>
      </c>
      <c r="F2319" s="51">
        <v>153398</v>
      </c>
      <c r="G2319" s="27"/>
    </row>
    <row r="2320" spans="1:7">
      <c r="A2320" s="27">
        <v>113</v>
      </c>
      <c r="B2320" s="27" t="s">
        <v>181</v>
      </c>
      <c r="C2320" s="27" t="s">
        <v>302</v>
      </c>
      <c r="D2320" s="27" t="s">
        <v>411</v>
      </c>
      <c r="E2320" s="27" t="s">
        <v>1682</v>
      </c>
      <c r="F2320" s="51">
        <v>4363</v>
      </c>
      <c r="G2320" s="27"/>
    </row>
    <row r="2321" spans="1:7">
      <c r="A2321" s="27">
        <v>113</v>
      </c>
      <c r="B2321" s="27" t="s">
        <v>181</v>
      </c>
      <c r="C2321" s="27" t="s">
        <v>302</v>
      </c>
      <c r="D2321" s="27" t="s">
        <v>412</v>
      </c>
      <c r="E2321" s="27" t="s">
        <v>1682</v>
      </c>
      <c r="F2321" s="51">
        <v>18220</v>
      </c>
      <c r="G2321" s="27"/>
    </row>
    <row r="2322" spans="1:7">
      <c r="A2322" s="27">
        <v>113</v>
      </c>
      <c r="B2322" s="27" t="s">
        <v>181</v>
      </c>
      <c r="C2322" s="27" t="s">
        <v>302</v>
      </c>
      <c r="D2322" s="27" t="s">
        <v>398</v>
      </c>
      <c r="E2322" s="27" t="s">
        <v>1682</v>
      </c>
      <c r="F2322" s="51">
        <v>2880</v>
      </c>
      <c r="G2322" s="27"/>
    </row>
    <row r="2323" spans="1:7">
      <c r="A2323" s="27">
        <v>113</v>
      </c>
      <c r="B2323" s="27" t="s">
        <v>181</v>
      </c>
      <c r="C2323" s="27" t="s">
        <v>302</v>
      </c>
      <c r="D2323" s="27" t="s">
        <v>415</v>
      </c>
      <c r="E2323" s="27" t="s">
        <v>1682</v>
      </c>
      <c r="F2323" s="51">
        <v>3554</v>
      </c>
      <c r="G2323" s="27"/>
    </row>
    <row r="2324" spans="1:7">
      <c r="A2324" s="27">
        <v>113</v>
      </c>
      <c r="B2324" s="27" t="s">
        <v>181</v>
      </c>
      <c r="C2324" s="27" t="s">
        <v>302</v>
      </c>
      <c r="D2324" s="27" t="s">
        <v>291</v>
      </c>
      <c r="E2324" s="27" t="s">
        <v>1681</v>
      </c>
      <c r="F2324" s="51">
        <v>3600</v>
      </c>
      <c r="G2324" s="27"/>
    </row>
    <row r="2325" spans="1:7">
      <c r="A2325" s="27">
        <v>113</v>
      </c>
      <c r="B2325" s="27" t="s">
        <v>181</v>
      </c>
      <c r="C2325" s="27" t="s">
        <v>302</v>
      </c>
      <c r="D2325" s="27" t="s">
        <v>399</v>
      </c>
      <c r="E2325" s="27" t="s">
        <v>1681</v>
      </c>
      <c r="F2325" s="51">
        <v>3259225</v>
      </c>
      <c r="G2325" s="27"/>
    </row>
    <row r="2326" spans="1:7">
      <c r="A2326" s="27">
        <v>113</v>
      </c>
      <c r="B2326" s="27" t="s">
        <v>181</v>
      </c>
      <c r="C2326" s="27" t="s">
        <v>302</v>
      </c>
      <c r="D2326" s="27" t="s">
        <v>293</v>
      </c>
      <c r="E2326" s="27" t="s">
        <v>1681</v>
      </c>
      <c r="F2326" s="51">
        <v>50000</v>
      </c>
      <c r="G2326" s="27"/>
    </row>
    <row r="2327" spans="1:7">
      <c r="A2327" s="27">
        <v>113</v>
      </c>
      <c r="B2327" s="27" t="s">
        <v>181</v>
      </c>
      <c r="C2327" s="27" t="s">
        <v>302</v>
      </c>
      <c r="D2327" s="27" t="s">
        <v>296</v>
      </c>
      <c r="E2327" s="27" t="s">
        <v>1681</v>
      </c>
      <c r="F2327" s="51">
        <v>1372402</v>
      </c>
      <c r="G2327" s="27"/>
    </row>
    <row r="2328" spans="1:7">
      <c r="A2328" s="27">
        <v>113</v>
      </c>
      <c r="B2328" s="27" t="s">
        <v>181</v>
      </c>
      <c r="C2328" s="27" t="s">
        <v>302</v>
      </c>
      <c r="D2328" s="27" t="s">
        <v>400</v>
      </c>
      <c r="E2328" s="27" t="s">
        <v>1681</v>
      </c>
      <c r="F2328" s="51">
        <v>77169</v>
      </c>
      <c r="G2328" s="27"/>
    </row>
    <row r="2329" spans="1:7">
      <c r="A2329" s="27">
        <v>113</v>
      </c>
      <c r="B2329" s="27" t="s">
        <v>181</v>
      </c>
      <c r="C2329" s="27" t="s">
        <v>302</v>
      </c>
      <c r="D2329" s="27" t="s">
        <v>298</v>
      </c>
      <c r="E2329" s="27" t="s">
        <v>1681</v>
      </c>
      <c r="F2329" s="51">
        <v>62165</v>
      </c>
      <c r="G2329" s="27"/>
    </row>
    <row r="2330" spans="1:7">
      <c r="A2330" s="27">
        <v>113</v>
      </c>
      <c r="B2330" s="27" t="s">
        <v>181</v>
      </c>
      <c r="C2330" s="27" t="s">
        <v>302</v>
      </c>
      <c r="D2330" s="27" t="s">
        <v>401</v>
      </c>
      <c r="E2330" s="27" t="s">
        <v>1681</v>
      </c>
      <c r="F2330" s="51">
        <v>30763</v>
      </c>
      <c r="G2330" s="27"/>
    </row>
    <row r="2331" spans="1:7">
      <c r="A2331" s="27">
        <v>113</v>
      </c>
      <c r="B2331" s="27" t="s">
        <v>181</v>
      </c>
      <c r="C2331" s="27" t="s">
        <v>302</v>
      </c>
      <c r="D2331" s="27" t="s">
        <v>402</v>
      </c>
      <c r="E2331" s="27" t="s">
        <v>1681</v>
      </c>
      <c r="F2331" s="51">
        <v>133128</v>
      </c>
      <c r="G2331" s="27"/>
    </row>
    <row r="2332" spans="1:7">
      <c r="A2332" s="27">
        <v>113</v>
      </c>
      <c r="B2332" s="27" t="s">
        <v>181</v>
      </c>
      <c r="C2332" s="27" t="s">
        <v>302</v>
      </c>
      <c r="D2332" s="27" t="s">
        <v>300</v>
      </c>
      <c r="E2332" s="27" t="s">
        <v>1681</v>
      </c>
      <c r="F2332" s="51">
        <v>14000</v>
      </c>
      <c r="G2332" s="27"/>
    </row>
    <row r="2333" spans="1:7">
      <c r="A2333" s="27">
        <v>114</v>
      </c>
      <c r="B2333" s="27" t="s">
        <v>182</v>
      </c>
      <c r="C2333" s="27" t="s">
        <v>302</v>
      </c>
      <c r="D2333" s="27" t="s">
        <v>408</v>
      </c>
      <c r="E2333" s="27" t="s">
        <v>1682</v>
      </c>
      <c r="F2333" s="51">
        <v>18426</v>
      </c>
      <c r="G2333" s="27"/>
    </row>
    <row r="2334" spans="1:7">
      <c r="A2334" s="27">
        <v>114</v>
      </c>
      <c r="B2334" s="27" t="s">
        <v>182</v>
      </c>
      <c r="C2334" s="27" t="s">
        <v>302</v>
      </c>
      <c r="D2334" s="27" t="s">
        <v>394</v>
      </c>
      <c r="E2334" s="27" t="s">
        <v>1682</v>
      </c>
      <c r="F2334" s="51">
        <v>121509</v>
      </c>
      <c r="G2334" s="27"/>
    </row>
    <row r="2335" spans="1:7">
      <c r="A2335" s="27">
        <v>114</v>
      </c>
      <c r="B2335" s="27" t="s">
        <v>182</v>
      </c>
      <c r="C2335" s="27" t="s">
        <v>302</v>
      </c>
      <c r="D2335" s="27" t="s">
        <v>396</v>
      </c>
      <c r="E2335" s="27" t="s">
        <v>1682</v>
      </c>
      <c r="F2335" s="51">
        <v>17999</v>
      </c>
      <c r="G2335" s="27"/>
    </row>
    <row r="2336" spans="1:7">
      <c r="A2336" s="27">
        <v>114</v>
      </c>
      <c r="B2336" s="27" t="s">
        <v>182</v>
      </c>
      <c r="C2336" s="27" t="s">
        <v>302</v>
      </c>
      <c r="D2336" s="27" t="s">
        <v>397</v>
      </c>
      <c r="E2336" s="27" t="s">
        <v>1682</v>
      </c>
      <c r="F2336" s="51">
        <v>73375</v>
      </c>
      <c r="G2336" s="27"/>
    </row>
    <row r="2337" spans="1:7">
      <c r="A2337" s="27">
        <v>114</v>
      </c>
      <c r="B2337" s="27" t="s">
        <v>182</v>
      </c>
      <c r="C2337" s="27" t="s">
        <v>302</v>
      </c>
      <c r="D2337" s="27" t="s">
        <v>411</v>
      </c>
      <c r="E2337" s="27" t="s">
        <v>1682</v>
      </c>
      <c r="F2337" s="51">
        <v>2125</v>
      </c>
      <c r="G2337" s="27"/>
    </row>
    <row r="2338" spans="1:7">
      <c r="A2338" s="27">
        <v>114</v>
      </c>
      <c r="B2338" s="27" t="s">
        <v>182</v>
      </c>
      <c r="C2338" s="27" t="s">
        <v>302</v>
      </c>
      <c r="D2338" s="27" t="s">
        <v>412</v>
      </c>
      <c r="E2338" s="27" t="s">
        <v>1682</v>
      </c>
      <c r="F2338" s="51">
        <v>21152</v>
      </c>
      <c r="G2338" s="27"/>
    </row>
    <row r="2339" spans="1:7">
      <c r="A2339" s="27">
        <v>114</v>
      </c>
      <c r="B2339" s="27" t="s">
        <v>182</v>
      </c>
      <c r="C2339" s="27" t="s">
        <v>302</v>
      </c>
      <c r="D2339" s="27" t="s">
        <v>398</v>
      </c>
      <c r="E2339" s="27" t="s">
        <v>1682</v>
      </c>
      <c r="F2339" s="51">
        <v>2567</v>
      </c>
      <c r="G2339" s="27"/>
    </row>
    <row r="2340" spans="1:7">
      <c r="A2340" s="27">
        <v>114</v>
      </c>
      <c r="B2340" s="27" t="s">
        <v>182</v>
      </c>
      <c r="C2340" s="27" t="s">
        <v>302</v>
      </c>
      <c r="D2340" s="27" t="s">
        <v>415</v>
      </c>
      <c r="E2340" s="27" t="s">
        <v>1682</v>
      </c>
      <c r="F2340" s="51">
        <v>2767</v>
      </c>
      <c r="G2340" s="27"/>
    </row>
    <row r="2341" spans="1:7">
      <c r="A2341" s="27">
        <v>114</v>
      </c>
      <c r="B2341" s="27" t="s">
        <v>182</v>
      </c>
      <c r="C2341" s="27" t="s">
        <v>302</v>
      </c>
      <c r="D2341" s="27" t="s">
        <v>291</v>
      </c>
      <c r="E2341" s="27" t="s">
        <v>1681</v>
      </c>
      <c r="F2341" s="51">
        <v>1336</v>
      </c>
      <c r="G2341" s="27"/>
    </row>
    <row r="2342" spans="1:7">
      <c r="A2342" s="27">
        <v>114</v>
      </c>
      <c r="B2342" s="27" t="s">
        <v>182</v>
      </c>
      <c r="C2342" s="27" t="s">
        <v>302</v>
      </c>
      <c r="D2342" s="27" t="s">
        <v>399</v>
      </c>
      <c r="E2342" s="27" t="s">
        <v>1681</v>
      </c>
      <c r="F2342" s="51">
        <v>2518572</v>
      </c>
      <c r="G2342" s="27"/>
    </row>
    <row r="2343" spans="1:7">
      <c r="A2343" s="27">
        <v>114</v>
      </c>
      <c r="B2343" s="27" t="s">
        <v>182</v>
      </c>
      <c r="C2343" s="27" t="s">
        <v>302</v>
      </c>
      <c r="D2343" s="27" t="s">
        <v>307</v>
      </c>
      <c r="E2343" s="27" t="s">
        <v>1681</v>
      </c>
      <c r="F2343" s="51">
        <v>1200</v>
      </c>
      <c r="G2343" s="27"/>
    </row>
    <row r="2344" spans="1:7">
      <c r="A2344" s="27">
        <v>114</v>
      </c>
      <c r="B2344" s="27" t="s">
        <v>182</v>
      </c>
      <c r="C2344" s="27" t="s">
        <v>302</v>
      </c>
      <c r="D2344" s="27" t="s">
        <v>296</v>
      </c>
      <c r="E2344" s="27" t="s">
        <v>1681</v>
      </c>
      <c r="F2344" s="51">
        <v>4287154</v>
      </c>
      <c r="G2344" s="27"/>
    </row>
    <row r="2345" spans="1:7">
      <c r="A2345" s="27">
        <v>114</v>
      </c>
      <c r="B2345" s="27" t="s">
        <v>182</v>
      </c>
      <c r="C2345" s="27" t="s">
        <v>302</v>
      </c>
      <c r="D2345" s="27" t="s">
        <v>400</v>
      </c>
      <c r="E2345" s="27" t="s">
        <v>1681</v>
      </c>
      <c r="F2345" s="51">
        <v>26895</v>
      </c>
      <c r="G2345" s="27"/>
    </row>
    <row r="2346" spans="1:7">
      <c r="A2346" s="27">
        <v>114</v>
      </c>
      <c r="B2346" s="27" t="s">
        <v>182</v>
      </c>
      <c r="C2346" s="27" t="s">
        <v>302</v>
      </c>
      <c r="D2346" s="27" t="s">
        <v>298</v>
      </c>
      <c r="E2346" s="27" t="s">
        <v>1681</v>
      </c>
      <c r="F2346" s="51">
        <v>31810</v>
      </c>
      <c r="G2346" s="27"/>
    </row>
    <row r="2347" spans="1:7">
      <c r="A2347" s="27">
        <v>114</v>
      </c>
      <c r="B2347" s="27" t="s">
        <v>182</v>
      </c>
      <c r="C2347" s="27" t="s">
        <v>302</v>
      </c>
      <c r="D2347" s="27" t="s">
        <v>401</v>
      </c>
      <c r="E2347" s="27" t="s">
        <v>1681</v>
      </c>
      <c r="F2347" s="51">
        <v>21825</v>
      </c>
      <c r="G2347" s="27"/>
    </row>
    <row r="2348" spans="1:7">
      <c r="A2348" s="27">
        <v>114</v>
      </c>
      <c r="B2348" s="27" t="s">
        <v>182</v>
      </c>
      <c r="C2348" s="27" t="s">
        <v>302</v>
      </c>
      <c r="D2348" s="27" t="s">
        <v>402</v>
      </c>
      <c r="E2348" s="27" t="s">
        <v>1681</v>
      </c>
      <c r="F2348" s="51">
        <v>172488</v>
      </c>
      <c r="G2348" s="27"/>
    </row>
    <row r="2349" spans="1:7">
      <c r="A2349" s="27">
        <v>114</v>
      </c>
      <c r="B2349" s="27" t="s">
        <v>182</v>
      </c>
      <c r="C2349" s="27" t="s">
        <v>302</v>
      </c>
      <c r="D2349" s="27" t="s">
        <v>299</v>
      </c>
      <c r="E2349" s="27" t="s">
        <v>1681</v>
      </c>
      <c r="F2349" s="51">
        <v>256</v>
      </c>
      <c r="G2349" s="27"/>
    </row>
    <row r="2350" spans="1:7">
      <c r="A2350" s="27">
        <v>114</v>
      </c>
      <c r="B2350" s="27" t="s">
        <v>182</v>
      </c>
      <c r="C2350" s="27" t="s">
        <v>302</v>
      </c>
      <c r="D2350" s="27" t="s">
        <v>300</v>
      </c>
      <c r="E2350" s="27" t="s">
        <v>1681</v>
      </c>
      <c r="F2350" s="51">
        <v>14000</v>
      </c>
      <c r="G2350" s="27"/>
    </row>
    <row r="2351" spans="1:7">
      <c r="A2351" s="27">
        <v>115</v>
      </c>
      <c r="B2351" s="27" t="s">
        <v>183</v>
      </c>
      <c r="C2351" s="27" t="s">
        <v>302</v>
      </c>
      <c r="D2351" s="27" t="s">
        <v>399</v>
      </c>
      <c r="E2351" s="27" t="s">
        <v>1681</v>
      </c>
      <c r="F2351" s="51">
        <v>4047755</v>
      </c>
      <c r="G2351" s="27"/>
    </row>
    <row r="2352" spans="1:7">
      <c r="A2352" s="27">
        <v>115</v>
      </c>
      <c r="B2352" s="27" t="s">
        <v>183</v>
      </c>
      <c r="C2352" s="27" t="s">
        <v>302</v>
      </c>
      <c r="D2352" s="27" t="s">
        <v>300</v>
      </c>
      <c r="E2352" s="27" t="s">
        <v>1681</v>
      </c>
      <c r="F2352" s="51">
        <v>14000</v>
      </c>
      <c r="G2352" s="27"/>
    </row>
    <row r="2353" spans="1:7">
      <c r="A2353" s="27">
        <v>116</v>
      </c>
      <c r="B2353" s="27" t="s">
        <v>184</v>
      </c>
      <c r="C2353" s="27" t="s">
        <v>316</v>
      </c>
      <c r="D2353" s="27" t="s">
        <v>406</v>
      </c>
      <c r="E2353" s="27" t="s">
        <v>1682</v>
      </c>
      <c r="F2353" s="51">
        <v>27662</v>
      </c>
      <c r="G2353" s="27"/>
    </row>
    <row r="2354" spans="1:7">
      <c r="A2354" s="27">
        <v>116</v>
      </c>
      <c r="B2354" s="27" t="s">
        <v>184</v>
      </c>
      <c r="C2354" s="27" t="s">
        <v>316</v>
      </c>
      <c r="D2354" s="27" t="s">
        <v>408</v>
      </c>
      <c r="E2354" s="27" t="s">
        <v>1682</v>
      </c>
      <c r="F2354" s="51">
        <v>211906</v>
      </c>
      <c r="G2354" s="27"/>
    </row>
    <row r="2355" spans="1:7">
      <c r="A2355" s="27">
        <v>116</v>
      </c>
      <c r="B2355" s="27" t="s">
        <v>184</v>
      </c>
      <c r="C2355" s="27" t="s">
        <v>316</v>
      </c>
      <c r="D2355" s="27" t="s">
        <v>409</v>
      </c>
      <c r="E2355" s="27" t="s">
        <v>1682</v>
      </c>
      <c r="F2355" s="51">
        <v>114</v>
      </c>
      <c r="G2355" s="27"/>
    </row>
    <row r="2356" spans="1:7">
      <c r="A2356" s="27">
        <v>116</v>
      </c>
      <c r="B2356" s="27" t="s">
        <v>184</v>
      </c>
      <c r="C2356" s="27" t="s">
        <v>316</v>
      </c>
      <c r="D2356" s="27" t="s">
        <v>394</v>
      </c>
      <c r="E2356" s="27" t="s">
        <v>1682</v>
      </c>
      <c r="F2356" s="51">
        <v>241816</v>
      </c>
      <c r="G2356" s="27"/>
    </row>
    <row r="2357" spans="1:7">
      <c r="A2357" s="27">
        <v>116</v>
      </c>
      <c r="B2357" s="27" t="s">
        <v>184</v>
      </c>
      <c r="C2357" s="27" t="s">
        <v>316</v>
      </c>
      <c r="D2357" s="27" t="s">
        <v>328</v>
      </c>
      <c r="E2357" s="27" t="s">
        <v>1682</v>
      </c>
      <c r="F2357" s="51">
        <v>20000</v>
      </c>
      <c r="G2357" s="27"/>
    </row>
    <row r="2358" spans="1:7">
      <c r="A2358" s="27">
        <v>116</v>
      </c>
      <c r="B2358" s="27" t="s">
        <v>184</v>
      </c>
      <c r="C2358" s="27" t="s">
        <v>316</v>
      </c>
      <c r="D2358" s="27" t="s">
        <v>396</v>
      </c>
      <c r="E2358" s="27" t="s">
        <v>1682</v>
      </c>
      <c r="F2358" s="51">
        <v>98625</v>
      </c>
      <c r="G2358" s="27"/>
    </row>
    <row r="2359" spans="1:7">
      <c r="A2359" s="27">
        <v>116</v>
      </c>
      <c r="B2359" s="27" t="s">
        <v>184</v>
      </c>
      <c r="C2359" s="27" t="s">
        <v>316</v>
      </c>
      <c r="D2359" s="27" t="s">
        <v>410</v>
      </c>
      <c r="E2359" s="27" t="s">
        <v>1682</v>
      </c>
      <c r="F2359" s="51">
        <v>1000</v>
      </c>
      <c r="G2359" s="27"/>
    </row>
    <row r="2360" spans="1:7">
      <c r="A2360" s="27">
        <v>116</v>
      </c>
      <c r="B2360" s="27" t="s">
        <v>184</v>
      </c>
      <c r="C2360" s="27" t="s">
        <v>316</v>
      </c>
      <c r="D2360" s="27" t="s">
        <v>397</v>
      </c>
      <c r="E2360" s="27" t="s">
        <v>1682</v>
      </c>
      <c r="F2360" s="51">
        <v>423826</v>
      </c>
      <c r="G2360" s="27"/>
    </row>
    <row r="2361" spans="1:7">
      <c r="A2361" s="27">
        <v>116</v>
      </c>
      <c r="B2361" s="27" t="s">
        <v>184</v>
      </c>
      <c r="C2361" s="27" t="s">
        <v>316</v>
      </c>
      <c r="D2361" s="27" t="s">
        <v>333</v>
      </c>
      <c r="E2361" s="27" t="s">
        <v>1682</v>
      </c>
      <c r="F2361" s="51">
        <v>1591</v>
      </c>
      <c r="G2361" s="27"/>
    </row>
    <row r="2362" spans="1:7">
      <c r="A2362" s="27">
        <v>116</v>
      </c>
      <c r="B2362" s="27" t="s">
        <v>184</v>
      </c>
      <c r="C2362" s="27" t="s">
        <v>316</v>
      </c>
      <c r="D2362" s="27" t="s">
        <v>411</v>
      </c>
      <c r="E2362" s="27" t="s">
        <v>1682</v>
      </c>
      <c r="F2362" s="51">
        <v>9900</v>
      </c>
      <c r="G2362" s="27"/>
    </row>
    <row r="2363" spans="1:7">
      <c r="A2363" s="27">
        <v>116</v>
      </c>
      <c r="B2363" s="27" t="s">
        <v>184</v>
      </c>
      <c r="C2363" s="27" t="s">
        <v>316</v>
      </c>
      <c r="D2363" s="27" t="s">
        <v>412</v>
      </c>
      <c r="E2363" s="27" t="s">
        <v>1682</v>
      </c>
      <c r="F2363" s="51">
        <v>84000</v>
      </c>
      <c r="G2363" s="27"/>
    </row>
    <row r="2364" spans="1:7">
      <c r="A2364" s="27">
        <v>116</v>
      </c>
      <c r="B2364" s="27" t="s">
        <v>184</v>
      </c>
      <c r="C2364" s="27" t="s">
        <v>316</v>
      </c>
      <c r="D2364" s="27" t="s">
        <v>398</v>
      </c>
      <c r="E2364" s="27" t="s">
        <v>1682</v>
      </c>
      <c r="F2364" s="51">
        <v>8274</v>
      </c>
      <c r="G2364" s="27"/>
    </row>
    <row r="2365" spans="1:7">
      <c r="A2365" s="27">
        <v>116</v>
      </c>
      <c r="B2365" s="27" t="s">
        <v>184</v>
      </c>
      <c r="C2365" s="27" t="s">
        <v>316</v>
      </c>
      <c r="D2365" s="27" t="s">
        <v>415</v>
      </c>
      <c r="E2365" s="27" t="s">
        <v>1682</v>
      </c>
      <c r="F2365" s="51">
        <v>9200</v>
      </c>
      <c r="G2365" s="27"/>
    </row>
    <row r="2366" spans="1:7">
      <c r="A2366" s="27">
        <v>116</v>
      </c>
      <c r="B2366" s="27" t="s">
        <v>184</v>
      </c>
      <c r="C2366" s="27" t="s">
        <v>316</v>
      </c>
      <c r="D2366" s="27" t="s">
        <v>291</v>
      </c>
      <c r="E2366" s="27" t="s">
        <v>1681</v>
      </c>
      <c r="F2366" s="51">
        <v>9103</v>
      </c>
      <c r="G2366" s="27"/>
    </row>
    <row r="2367" spans="1:7">
      <c r="A2367" s="27">
        <v>116</v>
      </c>
      <c r="B2367" s="27" t="s">
        <v>184</v>
      </c>
      <c r="C2367" s="27" t="s">
        <v>316</v>
      </c>
      <c r="D2367" s="27" t="s">
        <v>399</v>
      </c>
      <c r="E2367" s="27" t="s">
        <v>1681</v>
      </c>
      <c r="F2367" s="51">
        <v>6980470</v>
      </c>
      <c r="G2367" s="27"/>
    </row>
    <row r="2368" spans="1:7">
      <c r="A2368" s="27">
        <v>116</v>
      </c>
      <c r="B2368" s="27" t="s">
        <v>184</v>
      </c>
      <c r="C2368" s="27" t="s">
        <v>316</v>
      </c>
      <c r="D2368" s="27" t="s">
        <v>336</v>
      </c>
      <c r="E2368" s="27" t="s">
        <v>1681</v>
      </c>
      <c r="F2368" s="51">
        <v>24782</v>
      </c>
      <c r="G2368" s="27"/>
    </row>
    <row r="2369" spans="1:7">
      <c r="A2369" s="27">
        <v>116</v>
      </c>
      <c r="B2369" s="27" t="s">
        <v>184</v>
      </c>
      <c r="C2369" s="27" t="s">
        <v>316</v>
      </c>
      <c r="D2369" s="27" t="s">
        <v>317</v>
      </c>
      <c r="E2369" s="27" t="s">
        <v>1681</v>
      </c>
      <c r="F2369" s="51">
        <v>86171</v>
      </c>
      <c r="G2369" s="27"/>
    </row>
    <row r="2370" spans="1:7">
      <c r="A2370" s="27">
        <v>116</v>
      </c>
      <c r="B2370" s="27" t="s">
        <v>184</v>
      </c>
      <c r="C2370" s="27" t="s">
        <v>316</v>
      </c>
      <c r="D2370" s="27" t="s">
        <v>307</v>
      </c>
      <c r="E2370" s="27" t="s">
        <v>1681</v>
      </c>
      <c r="F2370" s="51">
        <v>432</v>
      </c>
      <c r="G2370" s="27"/>
    </row>
    <row r="2371" spans="1:7">
      <c r="A2371" s="27">
        <v>116</v>
      </c>
      <c r="B2371" s="27" t="s">
        <v>184</v>
      </c>
      <c r="C2371" s="27" t="s">
        <v>316</v>
      </c>
      <c r="D2371" s="27" t="s">
        <v>294</v>
      </c>
      <c r="E2371" s="27" t="s">
        <v>1681</v>
      </c>
      <c r="F2371" s="51">
        <v>22461</v>
      </c>
      <c r="G2371" s="27"/>
    </row>
    <row r="2372" spans="1:7">
      <c r="A2372" s="27">
        <v>116</v>
      </c>
      <c r="B2372" s="27" t="s">
        <v>184</v>
      </c>
      <c r="C2372" s="27" t="s">
        <v>316</v>
      </c>
      <c r="D2372" s="27" t="s">
        <v>318</v>
      </c>
      <c r="E2372" s="27" t="s">
        <v>1681</v>
      </c>
      <c r="F2372" s="51">
        <v>766029</v>
      </c>
      <c r="G2372" s="27"/>
    </row>
    <row r="2373" spans="1:7">
      <c r="A2373" s="27">
        <v>116</v>
      </c>
      <c r="B2373" s="27" t="s">
        <v>184</v>
      </c>
      <c r="C2373" s="27" t="s">
        <v>316</v>
      </c>
      <c r="D2373" s="27" t="s">
        <v>319</v>
      </c>
      <c r="E2373" s="27" t="s">
        <v>1681</v>
      </c>
      <c r="F2373" s="51">
        <v>21680</v>
      </c>
      <c r="G2373" s="27"/>
    </row>
    <row r="2374" spans="1:7">
      <c r="A2374" s="27">
        <v>116</v>
      </c>
      <c r="B2374" s="27" t="s">
        <v>184</v>
      </c>
      <c r="C2374" s="27" t="s">
        <v>316</v>
      </c>
      <c r="D2374" s="27" t="s">
        <v>296</v>
      </c>
      <c r="E2374" s="27" t="s">
        <v>1681</v>
      </c>
      <c r="F2374" s="51">
        <v>594956</v>
      </c>
      <c r="G2374" s="27"/>
    </row>
    <row r="2375" spans="1:7">
      <c r="A2375" s="27">
        <v>116</v>
      </c>
      <c r="B2375" s="27" t="s">
        <v>184</v>
      </c>
      <c r="C2375" s="27" t="s">
        <v>316</v>
      </c>
      <c r="D2375" s="27" t="s">
        <v>400</v>
      </c>
      <c r="E2375" s="27" t="s">
        <v>1681</v>
      </c>
      <c r="F2375" s="51">
        <v>101288</v>
      </c>
      <c r="G2375" s="27"/>
    </row>
    <row r="2376" spans="1:7">
      <c r="A2376" s="27">
        <v>116</v>
      </c>
      <c r="B2376" s="27" t="s">
        <v>184</v>
      </c>
      <c r="C2376" s="27" t="s">
        <v>316</v>
      </c>
      <c r="D2376" s="27" t="s">
        <v>298</v>
      </c>
      <c r="E2376" s="27" t="s">
        <v>1681</v>
      </c>
      <c r="F2376" s="51">
        <v>139972</v>
      </c>
      <c r="G2376" s="27"/>
    </row>
    <row r="2377" spans="1:7">
      <c r="A2377" s="27">
        <v>116</v>
      </c>
      <c r="B2377" s="27" t="s">
        <v>184</v>
      </c>
      <c r="C2377" s="27" t="s">
        <v>316</v>
      </c>
      <c r="D2377" s="27" t="s">
        <v>401</v>
      </c>
      <c r="E2377" s="27" t="s">
        <v>1681</v>
      </c>
      <c r="F2377" s="51">
        <v>30747</v>
      </c>
      <c r="G2377" s="27"/>
    </row>
    <row r="2378" spans="1:7">
      <c r="A2378" s="27">
        <v>116</v>
      </c>
      <c r="B2378" s="27" t="s">
        <v>184</v>
      </c>
      <c r="C2378" s="27" t="s">
        <v>316</v>
      </c>
      <c r="D2378" s="27" t="s">
        <v>1347</v>
      </c>
      <c r="E2378" s="27" t="s">
        <v>1681</v>
      </c>
      <c r="F2378" s="51">
        <v>8954</v>
      </c>
      <c r="G2378" s="27"/>
    </row>
    <row r="2379" spans="1:7">
      <c r="A2379" s="27">
        <v>116</v>
      </c>
      <c r="B2379" s="27" t="s">
        <v>184</v>
      </c>
      <c r="C2379" s="27" t="s">
        <v>316</v>
      </c>
      <c r="D2379" s="27" t="s">
        <v>402</v>
      </c>
      <c r="E2379" s="27" t="s">
        <v>1681</v>
      </c>
      <c r="F2379" s="51">
        <v>180015</v>
      </c>
      <c r="G2379" s="27"/>
    </row>
    <row r="2380" spans="1:7">
      <c r="A2380" s="27">
        <v>116</v>
      </c>
      <c r="B2380" s="27" t="s">
        <v>184</v>
      </c>
      <c r="C2380" s="27" t="s">
        <v>316</v>
      </c>
      <c r="D2380" s="27" t="s">
        <v>299</v>
      </c>
      <c r="E2380" s="27" t="s">
        <v>1681</v>
      </c>
      <c r="F2380" s="51">
        <v>8512</v>
      </c>
      <c r="G2380" s="27"/>
    </row>
    <row r="2381" spans="1:7">
      <c r="A2381" s="27">
        <v>117</v>
      </c>
      <c r="B2381" s="27" t="s">
        <v>185</v>
      </c>
      <c r="C2381" s="27" t="s">
        <v>227</v>
      </c>
      <c r="D2381" s="27" t="s">
        <v>394</v>
      </c>
      <c r="E2381" s="27" t="s">
        <v>1682</v>
      </c>
      <c r="F2381" s="51">
        <v>109312</v>
      </c>
      <c r="G2381" s="27"/>
    </row>
    <row r="2382" spans="1:7">
      <c r="A2382" s="27">
        <v>117</v>
      </c>
      <c r="B2382" s="27" t="s">
        <v>185</v>
      </c>
      <c r="C2382" s="27" t="s">
        <v>227</v>
      </c>
      <c r="D2382" s="27" t="s">
        <v>396</v>
      </c>
      <c r="E2382" s="27" t="s">
        <v>1682</v>
      </c>
      <c r="F2382" s="51">
        <v>57000</v>
      </c>
      <c r="G2382" s="27"/>
    </row>
    <row r="2383" spans="1:7">
      <c r="A2383" s="27">
        <v>117</v>
      </c>
      <c r="B2383" s="27" t="s">
        <v>185</v>
      </c>
      <c r="C2383" s="27" t="s">
        <v>227</v>
      </c>
      <c r="D2383" s="27" t="s">
        <v>397</v>
      </c>
      <c r="E2383" s="27" t="s">
        <v>1682</v>
      </c>
      <c r="F2383" s="51">
        <v>31876</v>
      </c>
      <c r="G2383" s="27"/>
    </row>
    <row r="2384" spans="1:7">
      <c r="A2384" s="27">
        <v>117</v>
      </c>
      <c r="B2384" s="27" t="s">
        <v>185</v>
      </c>
      <c r="C2384" s="27" t="s">
        <v>227</v>
      </c>
      <c r="D2384" s="27" t="s">
        <v>333</v>
      </c>
      <c r="E2384" s="27" t="s">
        <v>1682</v>
      </c>
      <c r="F2384" s="51">
        <v>3769</v>
      </c>
      <c r="G2384" s="27"/>
    </row>
    <row r="2385" spans="1:7">
      <c r="A2385" s="27">
        <v>117</v>
      </c>
      <c r="B2385" s="27" t="s">
        <v>185</v>
      </c>
      <c r="C2385" s="27" t="s">
        <v>227</v>
      </c>
      <c r="D2385" s="27" t="s">
        <v>398</v>
      </c>
      <c r="E2385" s="27" t="s">
        <v>1682</v>
      </c>
      <c r="F2385" s="51">
        <v>4312</v>
      </c>
      <c r="G2385" s="27"/>
    </row>
    <row r="2386" spans="1:7">
      <c r="A2386" s="27">
        <v>117</v>
      </c>
      <c r="B2386" s="27" t="s">
        <v>185</v>
      </c>
      <c r="C2386" s="27" t="s">
        <v>227</v>
      </c>
      <c r="D2386" s="27" t="s">
        <v>415</v>
      </c>
      <c r="E2386" s="27" t="s">
        <v>1682</v>
      </c>
      <c r="F2386" s="51">
        <v>2558</v>
      </c>
      <c r="G2386" s="27"/>
    </row>
    <row r="2387" spans="1:7">
      <c r="A2387" s="27">
        <v>117</v>
      </c>
      <c r="B2387" s="27" t="s">
        <v>185</v>
      </c>
      <c r="C2387" s="27" t="s">
        <v>227</v>
      </c>
      <c r="D2387" s="27" t="s">
        <v>334</v>
      </c>
      <c r="E2387" s="27" t="s">
        <v>1682</v>
      </c>
      <c r="F2387" s="51">
        <v>11551</v>
      </c>
      <c r="G2387" s="27"/>
    </row>
    <row r="2388" spans="1:7">
      <c r="A2388" s="27">
        <v>117</v>
      </c>
      <c r="B2388" s="27" t="s">
        <v>185</v>
      </c>
      <c r="C2388" s="27" t="s">
        <v>227</v>
      </c>
      <c r="D2388" s="27" t="s">
        <v>399</v>
      </c>
      <c r="E2388" s="27" t="s">
        <v>1681</v>
      </c>
      <c r="F2388" s="51">
        <v>347165</v>
      </c>
      <c r="G2388" s="27"/>
    </row>
    <row r="2389" spans="1:7">
      <c r="A2389" s="27">
        <v>117</v>
      </c>
      <c r="B2389" s="27" t="s">
        <v>185</v>
      </c>
      <c r="C2389" s="27" t="s">
        <v>227</v>
      </c>
      <c r="D2389" s="27" t="s">
        <v>296</v>
      </c>
      <c r="E2389" s="27" t="s">
        <v>1681</v>
      </c>
      <c r="F2389" s="51">
        <v>131332</v>
      </c>
      <c r="G2389" s="27"/>
    </row>
    <row r="2390" spans="1:7">
      <c r="A2390" s="27">
        <v>117</v>
      </c>
      <c r="B2390" s="27" t="s">
        <v>185</v>
      </c>
      <c r="C2390" s="27" t="s">
        <v>227</v>
      </c>
      <c r="D2390" s="27" t="s">
        <v>400</v>
      </c>
      <c r="E2390" s="27" t="s">
        <v>1681</v>
      </c>
      <c r="F2390" s="51">
        <v>116586</v>
      </c>
      <c r="G2390" s="27"/>
    </row>
    <row r="2391" spans="1:7">
      <c r="A2391" s="27">
        <v>117</v>
      </c>
      <c r="B2391" s="27" t="s">
        <v>185</v>
      </c>
      <c r="C2391" s="27" t="s">
        <v>227</v>
      </c>
      <c r="D2391" s="27" t="s">
        <v>298</v>
      </c>
      <c r="E2391" s="27" t="s">
        <v>1681</v>
      </c>
      <c r="F2391" s="51">
        <v>18904</v>
      </c>
      <c r="G2391" s="27"/>
    </row>
    <row r="2392" spans="1:7">
      <c r="A2392" s="27">
        <v>117</v>
      </c>
      <c r="B2392" s="27" t="s">
        <v>185</v>
      </c>
      <c r="C2392" s="27" t="s">
        <v>227</v>
      </c>
      <c r="D2392" s="27" t="s">
        <v>401</v>
      </c>
      <c r="E2392" s="27" t="s">
        <v>1681</v>
      </c>
      <c r="F2392" s="51">
        <v>14964</v>
      </c>
      <c r="G2392" s="27"/>
    </row>
    <row r="2393" spans="1:7">
      <c r="A2393" s="27">
        <v>117</v>
      </c>
      <c r="B2393" s="27" t="s">
        <v>185</v>
      </c>
      <c r="C2393" s="27" t="s">
        <v>227</v>
      </c>
      <c r="D2393" s="27" t="s">
        <v>402</v>
      </c>
      <c r="E2393" s="27" t="s">
        <v>1681</v>
      </c>
      <c r="F2393" s="51">
        <v>833</v>
      </c>
      <c r="G2393" s="27"/>
    </row>
    <row r="2394" spans="1:7">
      <c r="A2394" s="27">
        <v>118</v>
      </c>
      <c r="B2394" s="27" t="s">
        <v>186</v>
      </c>
      <c r="C2394" s="27" t="s">
        <v>227</v>
      </c>
      <c r="D2394" s="27" t="s">
        <v>406</v>
      </c>
      <c r="E2394" s="27" t="s">
        <v>1682</v>
      </c>
      <c r="F2394" s="51">
        <v>23853</v>
      </c>
      <c r="G2394" s="27"/>
    </row>
    <row r="2395" spans="1:7">
      <c r="A2395" s="27">
        <v>118</v>
      </c>
      <c r="B2395" s="27" t="s">
        <v>186</v>
      </c>
      <c r="C2395" s="27" t="s">
        <v>227</v>
      </c>
      <c r="D2395" s="27" t="s">
        <v>408</v>
      </c>
      <c r="E2395" s="27" t="s">
        <v>1682</v>
      </c>
      <c r="F2395" s="51">
        <v>47706</v>
      </c>
      <c r="G2395" s="27"/>
    </row>
    <row r="2396" spans="1:7">
      <c r="A2396" s="27">
        <v>118</v>
      </c>
      <c r="B2396" s="27" t="s">
        <v>186</v>
      </c>
      <c r="C2396" s="27" t="s">
        <v>227</v>
      </c>
      <c r="D2396" s="27" t="s">
        <v>394</v>
      </c>
      <c r="E2396" s="27" t="s">
        <v>1682</v>
      </c>
      <c r="F2396" s="51">
        <v>561307</v>
      </c>
      <c r="G2396" s="27"/>
    </row>
    <row r="2397" spans="1:7">
      <c r="A2397" s="27">
        <v>118</v>
      </c>
      <c r="B2397" s="27" t="s">
        <v>186</v>
      </c>
      <c r="C2397" s="27" t="s">
        <v>227</v>
      </c>
      <c r="D2397" s="27" t="s">
        <v>396</v>
      </c>
      <c r="E2397" s="27" t="s">
        <v>1682</v>
      </c>
      <c r="F2397" s="51">
        <v>70000</v>
      </c>
      <c r="G2397" s="27"/>
    </row>
    <row r="2398" spans="1:7">
      <c r="A2398" s="27">
        <v>118</v>
      </c>
      <c r="B2398" s="27" t="s">
        <v>186</v>
      </c>
      <c r="C2398" s="27" t="s">
        <v>227</v>
      </c>
      <c r="D2398" s="27" t="s">
        <v>333</v>
      </c>
      <c r="E2398" s="27" t="s">
        <v>1682</v>
      </c>
      <c r="F2398" s="51">
        <v>12039</v>
      </c>
      <c r="G2398" s="27"/>
    </row>
    <row r="2399" spans="1:7">
      <c r="A2399" s="27">
        <v>118</v>
      </c>
      <c r="B2399" s="27" t="s">
        <v>186</v>
      </c>
      <c r="C2399" s="27" t="s">
        <v>227</v>
      </c>
      <c r="D2399" s="27" t="s">
        <v>412</v>
      </c>
      <c r="E2399" s="27" t="s">
        <v>1682</v>
      </c>
      <c r="F2399" s="51">
        <v>12000</v>
      </c>
      <c r="G2399" s="27"/>
    </row>
    <row r="2400" spans="1:7">
      <c r="A2400" s="27">
        <v>118</v>
      </c>
      <c r="B2400" s="27" t="s">
        <v>186</v>
      </c>
      <c r="C2400" s="27" t="s">
        <v>227</v>
      </c>
      <c r="D2400" s="27" t="s">
        <v>398</v>
      </c>
      <c r="E2400" s="27" t="s">
        <v>1682</v>
      </c>
      <c r="F2400" s="51">
        <v>17258</v>
      </c>
      <c r="G2400" s="27"/>
    </row>
    <row r="2401" spans="1:7">
      <c r="A2401" s="27">
        <v>118</v>
      </c>
      <c r="B2401" s="27" t="s">
        <v>186</v>
      </c>
      <c r="C2401" s="27" t="s">
        <v>227</v>
      </c>
      <c r="D2401" s="27" t="s">
        <v>415</v>
      </c>
      <c r="E2401" s="27" t="s">
        <v>1682</v>
      </c>
      <c r="F2401" s="51">
        <v>17215</v>
      </c>
      <c r="G2401" s="27"/>
    </row>
    <row r="2402" spans="1:7">
      <c r="A2402" s="27">
        <v>118</v>
      </c>
      <c r="B2402" s="27" t="s">
        <v>186</v>
      </c>
      <c r="C2402" s="27" t="s">
        <v>227</v>
      </c>
      <c r="D2402" s="27" t="s">
        <v>291</v>
      </c>
      <c r="E2402" s="27" t="s">
        <v>1681</v>
      </c>
      <c r="F2402" s="51">
        <v>11500</v>
      </c>
      <c r="G2402" s="27"/>
    </row>
    <row r="2403" spans="1:7">
      <c r="A2403" s="27">
        <v>118</v>
      </c>
      <c r="B2403" s="27" t="s">
        <v>186</v>
      </c>
      <c r="C2403" s="27" t="s">
        <v>227</v>
      </c>
      <c r="D2403" s="27" t="s">
        <v>399</v>
      </c>
      <c r="E2403" s="27" t="s">
        <v>1681</v>
      </c>
      <c r="F2403" s="51">
        <v>1080151</v>
      </c>
      <c r="G2403" s="27"/>
    </row>
    <row r="2404" spans="1:7">
      <c r="A2404" s="27">
        <v>118</v>
      </c>
      <c r="B2404" s="27" t="s">
        <v>186</v>
      </c>
      <c r="C2404" s="27" t="s">
        <v>227</v>
      </c>
      <c r="D2404" s="27" t="s">
        <v>294</v>
      </c>
      <c r="E2404" s="27" t="s">
        <v>1681</v>
      </c>
      <c r="F2404" s="51">
        <v>2934</v>
      </c>
      <c r="G2404" s="27"/>
    </row>
    <row r="2405" spans="1:7">
      <c r="A2405" s="27">
        <v>118</v>
      </c>
      <c r="B2405" s="27" t="s">
        <v>186</v>
      </c>
      <c r="C2405" s="27" t="s">
        <v>227</v>
      </c>
      <c r="D2405" s="27" t="s">
        <v>296</v>
      </c>
      <c r="E2405" s="27" t="s">
        <v>1681</v>
      </c>
      <c r="F2405" s="51">
        <v>8348488</v>
      </c>
      <c r="G2405" s="27"/>
    </row>
    <row r="2406" spans="1:7">
      <c r="A2406" s="27">
        <v>118</v>
      </c>
      <c r="B2406" s="27" t="s">
        <v>186</v>
      </c>
      <c r="C2406" s="27" t="s">
        <v>227</v>
      </c>
      <c r="D2406" s="27" t="s">
        <v>400</v>
      </c>
      <c r="E2406" s="27" t="s">
        <v>1681</v>
      </c>
      <c r="F2406" s="51">
        <v>417716</v>
      </c>
      <c r="G2406" s="27"/>
    </row>
    <row r="2407" spans="1:7">
      <c r="A2407" s="27">
        <v>118</v>
      </c>
      <c r="B2407" s="27" t="s">
        <v>186</v>
      </c>
      <c r="C2407" s="27" t="s">
        <v>227</v>
      </c>
      <c r="D2407" s="27" t="s">
        <v>401</v>
      </c>
      <c r="E2407" s="27" t="s">
        <v>1681</v>
      </c>
      <c r="F2407" s="51">
        <v>14991</v>
      </c>
      <c r="G2407" s="27"/>
    </row>
    <row r="2408" spans="1:7">
      <c r="A2408" s="27">
        <v>118</v>
      </c>
      <c r="B2408" s="27" t="s">
        <v>186</v>
      </c>
      <c r="C2408" s="27" t="s">
        <v>227</v>
      </c>
      <c r="D2408" s="27" t="s">
        <v>402</v>
      </c>
      <c r="E2408" s="27" t="s">
        <v>1681</v>
      </c>
      <c r="F2408" s="51">
        <v>1872</v>
      </c>
      <c r="G2408" s="27"/>
    </row>
    <row r="2409" spans="1:7">
      <c r="A2409" s="27">
        <v>118</v>
      </c>
      <c r="B2409" s="27" t="s">
        <v>186</v>
      </c>
      <c r="C2409" s="27" t="s">
        <v>227</v>
      </c>
      <c r="D2409" s="27" t="s">
        <v>300</v>
      </c>
      <c r="E2409" s="27" t="s">
        <v>1681</v>
      </c>
      <c r="F2409" s="51">
        <v>14000</v>
      </c>
      <c r="G2409" s="27"/>
    </row>
    <row r="2410" spans="1:7">
      <c r="A2410" s="27">
        <v>119</v>
      </c>
      <c r="B2410" s="27" t="s">
        <v>187</v>
      </c>
      <c r="C2410" s="27" t="s">
        <v>311</v>
      </c>
      <c r="D2410" s="27" t="s">
        <v>406</v>
      </c>
      <c r="E2410" s="27" t="s">
        <v>1682</v>
      </c>
      <c r="F2410" s="51">
        <v>18568</v>
      </c>
      <c r="G2410" s="27"/>
    </row>
    <row r="2411" spans="1:7">
      <c r="A2411" s="27">
        <v>119</v>
      </c>
      <c r="B2411" s="27" t="s">
        <v>187</v>
      </c>
      <c r="C2411" s="27" t="s">
        <v>311</v>
      </c>
      <c r="D2411" s="27" t="s">
        <v>408</v>
      </c>
      <c r="E2411" s="27" t="s">
        <v>1682</v>
      </c>
      <c r="F2411" s="51">
        <v>51529</v>
      </c>
      <c r="G2411" s="27"/>
    </row>
    <row r="2412" spans="1:7">
      <c r="A2412" s="27">
        <v>119</v>
      </c>
      <c r="B2412" s="27" t="s">
        <v>187</v>
      </c>
      <c r="C2412" s="27" t="s">
        <v>311</v>
      </c>
      <c r="D2412" s="27" t="s">
        <v>394</v>
      </c>
      <c r="E2412" s="27" t="s">
        <v>1682</v>
      </c>
      <c r="F2412" s="51">
        <v>305011</v>
      </c>
      <c r="G2412" s="27"/>
    </row>
    <row r="2413" spans="1:7">
      <c r="A2413" s="27">
        <v>119</v>
      </c>
      <c r="B2413" s="27" t="s">
        <v>187</v>
      </c>
      <c r="C2413" s="27" t="s">
        <v>311</v>
      </c>
      <c r="D2413" s="27" t="s">
        <v>397</v>
      </c>
      <c r="E2413" s="27" t="s">
        <v>1682</v>
      </c>
      <c r="F2413" s="51">
        <v>135546</v>
      </c>
      <c r="G2413" s="27"/>
    </row>
    <row r="2414" spans="1:7">
      <c r="A2414" s="27">
        <v>119</v>
      </c>
      <c r="B2414" s="27" t="s">
        <v>187</v>
      </c>
      <c r="C2414" s="27" t="s">
        <v>311</v>
      </c>
      <c r="D2414" s="27" t="s">
        <v>411</v>
      </c>
      <c r="E2414" s="27" t="s">
        <v>1682</v>
      </c>
      <c r="F2414" s="51">
        <v>3925</v>
      </c>
      <c r="G2414" s="27"/>
    </row>
    <row r="2415" spans="1:7">
      <c r="A2415" s="27">
        <v>119</v>
      </c>
      <c r="B2415" s="27" t="s">
        <v>187</v>
      </c>
      <c r="C2415" s="27" t="s">
        <v>311</v>
      </c>
      <c r="D2415" s="27" t="s">
        <v>412</v>
      </c>
      <c r="E2415" s="27" t="s">
        <v>1682</v>
      </c>
      <c r="F2415" s="51">
        <v>56136</v>
      </c>
      <c r="G2415" s="27"/>
    </row>
    <row r="2416" spans="1:7">
      <c r="A2416" s="27">
        <v>119</v>
      </c>
      <c r="B2416" s="27" t="s">
        <v>187</v>
      </c>
      <c r="C2416" s="27" t="s">
        <v>311</v>
      </c>
      <c r="D2416" s="27" t="s">
        <v>413</v>
      </c>
      <c r="E2416" s="27" t="s">
        <v>1682</v>
      </c>
      <c r="F2416" s="51">
        <v>1000</v>
      </c>
      <c r="G2416" s="27"/>
    </row>
    <row r="2417" spans="1:7">
      <c r="A2417" s="27">
        <v>119</v>
      </c>
      <c r="B2417" s="27" t="s">
        <v>187</v>
      </c>
      <c r="C2417" s="27" t="s">
        <v>311</v>
      </c>
      <c r="D2417" s="27" t="s">
        <v>398</v>
      </c>
      <c r="E2417" s="27" t="s">
        <v>1682</v>
      </c>
      <c r="F2417" s="51">
        <v>7985</v>
      </c>
      <c r="G2417" s="27"/>
    </row>
    <row r="2418" spans="1:7">
      <c r="A2418" s="27">
        <v>119</v>
      </c>
      <c r="B2418" s="27" t="s">
        <v>187</v>
      </c>
      <c r="C2418" s="27" t="s">
        <v>311</v>
      </c>
      <c r="D2418" s="27" t="s">
        <v>415</v>
      </c>
      <c r="E2418" s="27" t="s">
        <v>1682</v>
      </c>
      <c r="F2418" s="51">
        <v>9466</v>
      </c>
      <c r="G2418" s="27"/>
    </row>
    <row r="2419" spans="1:7">
      <c r="A2419" s="27">
        <v>119</v>
      </c>
      <c r="B2419" s="27" t="s">
        <v>187</v>
      </c>
      <c r="C2419" s="27" t="s">
        <v>311</v>
      </c>
      <c r="D2419" s="27" t="s">
        <v>291</v>
      </c>
      <c r="E2419" s="27" t="s">
        <v>1681</v>
      </c>
      <c r="F2419" s="51">
        <v>6586</v>
      </c>
      <c r="G2419" s="27"/>
    </row>
    <row r="2420" spans="1:7">
      <c r="A2420" s="27">
        <v>119</v>
      </c>
      <c r="B2420" s="27" t="s">
        <v>187</v>
      </c>
      <c r="C2420" s="27" t="s">
        <v>311</v>
      </c>
      <c r="D2420" s="27" t="s">
        <v>399</v>
      </c>
      <c r="E2420" s="27" t="s">
        <v>1681</v>
      </c>
      <c r="F2420" s="51">
        <v>2177493</v>
      </c>
      <c r="G2420" s="27"/>
    </row>
    <row r="2421" spans="1:7">
      <c r="A2421" s="27">
        <v>119</v>
      </c>
      <c r="B2421" s="27" t="s">
        <v>187</v>
      </c>
      <c r="C2421" s="27" t="s">
        <v>311</v>
      </c>
      <c r="D2421" s="27" t="s">
        <v>307</v>
      </c>
      <c r="E2421" s="27" t="s">
        <v>1681</v>
      </c>
      <c r="F2421" s="51">
        <v>30469</v>
      </c>
      <c r="G2421" s="27"/>
    </row>
    <row r="2422" spans="1:7">
      <c r="A2422" s="27">
        <v>119</v>
      </c>
      <c r="B2422" s="27" t="s">
        <v>187</v>
      </c>
      <c r="C2422" s="27" t="s">
        <v>311</v>
      </c>
      <c r="D2422" s="27" t="s">
        <v>295</v>
      </c>
      <c r="E2422" s="27" t="s">
        <v>1681</v>
      </c>
      <c r="F2422" s="51">
        <v>70578</v>
      </c>
      <c r="G2422" s="27"/>
    </row>
    <row r="2423" spans="1:7">
      <c r="A2423" s="27">
        <v>119</v>
      </c>
      <c r="B2423" s="27" t="s">
        <v>187</v>
      </c>
      <c r="C2423" s="27" t="s">
        <v>311</v>
      </c>
      <c r="D2423" s="27" t="s">
        <v>303</v>
      </c>
      <c r="E2423" s="27" t="s">
        <v>1681</v>
      </c>
      <c r="F2423" s="51">
        <v>17100</v>
      </c>
      <c r="G2423" s="27"/>
    </row>
    <row r="2424" spans="1:7">
      <c r="A2424" s="27">
        <v>119</v>
      </c>
      <c r="B2424" s="27" t="s">
        <v>187</v>
      </c>
      <c r="C2424" s="27" t="s">
        <v>311</v>
      </c>
      <c r="D2424" s="27" t="s">
        <v>296</v>
      </c>
      <c r="E2424" s="27" t="s">
        <v>1681</v>
      </c>
      <c r="F2424" s="51">
        <v>432274</v>
      </c>
      <c r="G2424" s="27"/>
    </row>
    <row r="2425" spans="1:7">
      <c r="A2425" s="27">
        <v>119</v>
      </c>
      <c r="B2425" s="27" t="s">
        <v>187</v>
      </c>
      <c r="C2425" s="27" t="s">
        <v>311</v>
      </c>
      <c r="D2425" s="27" t="s">
        <v>400</v>
      </c>
      <c r="E2425" s="27" t="s">
        <v>1681</v>
      </c>
      <c r="F2425" s="51">
        <v>111263</v>
      </c>
      <c r="G2425" s="27"/>
    </row>
    <row r="2426" spans="1:7">
      <c r="A2426" s="27">
        <v>119</v>
      </c>
      <c r="B2426" s="27" t="s">
        <v>187</v>
      </c>
      <c r="C2426" s="27" t="s">
        <v>311</v>
      </c>
      <c r="D2426" s="27" t="s">
        <v>298</v>
      </c>
      <c r="E2426" s="27" t="s">
        <v>1681</v>
      </c>
      <c r="F2426" s="51">
        <v>81961</v>
      </c>
      <c r="G2426" s="27"/>
    </row>
    <row r="2427" spans="1:7">
      <c r="A2427" s="27">
        <v>119</v>
      </c>
      <c r="B2427" s="27" t="s">
        <v>187</v>
      </c>
      <c r="C2427" s="27" t="s">
        <v>311</v>
      </c>
      <c r="D2427" s="27" t="s">
        <v>401</v>
      </c>
      <c r="E2427" s="27" t="s">
        <v>1681</v>
      </c>
      <c r="F2427" s="51">
        <v>14827</v>
      </c>
      <c r="G2427" s="27"/>
    </row>
    <row r="2428" spans="1:7">
      <c r="A2428" s="27">
        <v>119</v>
      </c>
      <c r="B2428" s="27" t="s">
        <v>187</v>
      </c>
      <c r="C2428" s="27" t="s">
        <v>311</v>
      </c>
      <c r="D2428" s="27" t="s">
        <v>402</v>
      </c>
      <c r="E2428" s="27" t="s">
        <v>1681</v>
      </c>
      <c r="F2428" s="51">
        <v>98468</v>
      </c>
      <c r="G2428" s="27"/>
    </row>
    <row r="2429" spans="1:7">
      <c r="A2429" s="27">
        <v>119</v>
      </c>
      <c r="B2429" s="27" t="s">
        <v>187</v>
      </c>
      <c r="C2429" s="27" t="s">
        <v>311</v>
      </c>
      <c r="D2429" s="27" t="s">
        <v>300</v>
      </c>
      <c r="E2429" s="27" t="s">
        <v>1681</v>
      </c>
      <c r="F2429" s="51">
        <v>16560</v>
      </c>
      <c r="G2429" s="27"/>
    </row>
    <row r="2430" spans="1:7">
      <c r="A2430" s="27">
        <v>120</v>
      </c>
      <c r="B2430" s="27" t="s">
        <v>188</v>
      </c>
      <c r="C2430" s="27" t="s">
        <v>393</v>
      </c>
      <c r="D2430" s="27" t="s">
        <v>399</v>
      </c>
      <c r="E2430" s="27" t="s">
        <v>1681</v>
      </c>
      <c r="F2430" s="51">
        <v>89186</v>
      </c>
      <c r="G2430" s="27"/>
    </row>
    <row r="2431" spans="1:7">
      <c r="A2431" s="27">
        <v>121</v>
      </c>
      <c r="B2431" s="27" t="s">
        <v>189</v>
      </c>
      <c r="C2431" s="27" t="s">
        <v>393</v>
      </c>
      <c r="D2431" s="27" t="s">
        <v>408</v>
      </c>
      <c r="E2431" s="27" t="s">
        <v>1682</v>
      </c>
      <c r="F2431" s="51">
        <v>11573</v>
      </c>
      <c r="G2431" s="27"/>
    </row>
    <row r="2432" spans="1:7">
      <c r="A2432" s="27">
        <v>121</v>
      </c>
      <c r="B2432" s="27" t="s">
        <v>189</v>
      </c>
      <c r="C2432" s="27" t="s">
        <v>393</v>
      </c>
      <c r="D2432" s="27" t="s">
        <v>394</v>
      </c>
      <c r="E2432" s="27" t="s">
        <v>1682</v>
      </c>
      <c r="F2432" s="51">
        <v>69000</v>
      </c>
      <c r="G2432" s="27"/>
    </row>
    <row r="2433" spans="1:7">
      <c r="A2433" s="27">
        <v>121</v>
      </c>
      <c r="B2433" s="27" t="s">
        <v>189</v>
      </c>
      <c r="C2433" s="27" t="s">
        <v>393</v>
      </c>
      <c r="D2433" s="27" t="s">
        <v>397</v>
      </c>
      <c r="E2433" s="27" t="s">
        <v>1682</v>
      </c>
      <c r="F2433" s="51">
        <v>20107</v>
      </c>
      <c r="G2433" s="27"/>
    </row>
    <row r="2434" spans="1:7">
      <c r="A2434" s="27">
        <v>121</v>
      </c>
      <c r="B2434" s="27" t="s">
        <v>189</v>
      </c>
      <c r="C2434" s="27" t="s">
        <v>393</v>
      </c>
      <c r="D2434" s="27" t="s">
        <v>411</v>
      </c>
      <c r="E2434" s="27" t="s">
        <v>1682</v>
      </c>
      <c r="F2434" s="51">
        <v>260</v>
      </c>
      <c r="G2434" s="27"/>
    </row>
    <row r="2435" spans="1:7">
      <c r="A2435" s="27">
        <v>121</v>
      </c>
      <c r="B2435" s="27" t="s">
        <v>189</v>
      </c>
      <c r="C2435" s="27" t="s">
        <v>393</v>
      </c>
      <c r="D2435" s="27" t="s">
        <v>412</v>
      </c>
      <c r="E2435" s="27" t="s">
        <v>1682</v>
      </c>
      <c r="F2435" s="51">
        <v>2400</v>
      </c>
      <c r="G2435" s="27"/>
    </row>
    <row r="2436" spans="1:7">
      <c r="A2436" s="27">
        <v>121</v>
      </c>
      <c r="B2436" s="27" t="s">
        <v>189</v>
      </c>
      <c r="C2436" s="27" t="s">
        <v>393</v>
      </c>
      <c r="D2436" s="27" t="s">
        <v>398</v>
      </c>
      <c r="E2436" s="27" t="s">
        <v>1682</v>
      </c>
      <c r="F2436" s="51">
        <v>1595</v>
      </c>
      <c r="G2436" s="27"/>
    </row>
    <row r="2437" spans="1:7">
      <c r="A2437" s="27">
        <v>121</v>
      </c>
      <c r="B2437" s="27" t="s">
        <v>189</v>
      </c>
      <c r="C2437" s="27" t="s">
        <v>393</v>
      </c>
      <c r="D2437" s="27" t="s">
        <v>415</v>
      </c>
      <c r="E2437" s="27" t="s">
        <v>1682</v>
      </c>
      <c r="F2437" s="51">
        <v>2850</v>
      </c>
      <c r="G2437" s="27"/>
    </row>
    <row r="2438" spans="1:7">
      <c r="A2438" s="27">
        <v>121</v>
      </c>
      <c r="B2438" s="27" t="s">
        <v>189</v>
      </c>
      <c r="C2438" s="27" t="s">
        <v>393</v>
      </c>
      <c r="D2438" s="27" t="s">
        <v>334</v>
      </c>
      <c r="E2438" s="27" t="s">
        <v>1682</v>
      </c>
      <c r="F2438" s="51">
        <v>5378</v>
      </c>
      <c r="G2438" s="27"/>
    </row>
    <row r="2439" spans="1:7">
      <c r="A2439" s="27">
        <v>121</v>
      </c>
      <c r="B2439" s="27" t="s">
        <v>189</v>
      </c>
      <c r="C2439" s="27" t="s">
        <v>393</v>
      </c>
      <c r="D2439" s="27" t="s">
        <v>291</v>
      </c>
      <c r="E2439" s="27" t="s">
        <v>1681</v>
      </c>
      <c r="F2439" s="51">
        <v>2247</v>
      </c>
      <c r="G2439" s="27"/>
    </row>
    <row r="2440" spans="1:7">
      <c r="A2440" s="27">
        <v>121</v>
      </c>
      <c r="B2440" s="27" t="s">
        <v>189</v>
      </c>
      <c r="C2440" s="27" t="s">
        <v>393</v>
      </c>
      <c r="D2440" s="27" t="s">
        <v>399</v>
      </c>
      <c r="E2440" s="27" t="s">
        <v>1681</v>
      </c>
      <c r="F2440" s="51">
        <v>2629190</v>
      </c>
      <c r="G2440" s="27"/>
    </row>
    <row r="2441" spans="1:7">
      <c r="A2441" s="27">
        <v>121</v>
      </c>
      <c r="B2441" s="27" t="s">
        <v>189</v>
      </c>
      <c r="C2441" s="27" t="s">
        <v>393</v>
      </c>
      <c r="D2441" s="27" t="s">
        <v>307</v>
      </c>
      <c r="E2441" s="27" t="s">
        <v>1681</v>
      </c>
      <c r="F2441" s="51">
        <v>9600</v>
      </c>
      <c r="G2441" s="27"/>
    </row>
    <row r="2442" spans="1:7">
      <c r="A2442" s="27">
        <v>121</v>
      </c>
      <c r="B2442" s="27" t="s">
        <v>189</v>
      </c>
      <c r="C2442" s="27" t="s">
        <v>393</v>
      </c>
      <c r="D2442" s="27" t="s">
        <v>296</v>
      </c>
      <c r="E2442" s="27" t="s">
        <v>1681</v>
      </c>
      <c r="F2442" s="51">
        <v>328369</v>
      </c>
      <c r="G2442" s="27"/>
    </row>
    <row r="2443" spans="1:7">
      <c r="A2443" s="27">
        <v>121</v>
      </c>
      <c r="B2443" s="27" t="s">
        <v>189</v>
      </c>
      <c r="C2443" s="27" t="s">
        <v>393</v>
      </c>
      <c r="D2443" s="27" t="s">
        <v>400</v>
      </c>
      <c r="E2443" s="27" t="s">
        <v>1681</v>
      </c>
      <c r="F2443" s="51">
        <v>87154</v>
      </c>
      <c r="G2443" s="27"/>
    </row>
    <row r="2444" spans="1:7">
      <c r="A2444" s="27">
        <v>121</v>
      </c>
      <c r="B2444" s="27" t="s">
        <v>189</v>
      </c>
      <c r="C2444" s="27" t="s">
        <v>393</v>
      </c>
      <c r="D2444" s="27" t="s">
        <v>298</v>
      </c>
      <c r="E2444" s="27" t="s">
        <v>1681</v>
      </c>
      <c r="F2444" s="51">
        <v>28489</v>
      </c>
      <c r="G2444" s="27"/>
    </row>
    <row r="2445" spans="1:7">
      <c r="A2445" s="27">
        <v>121</v>
      </c>
      <c r="B2445" s="27" t="s">
        <v>189</v>
      </c>
      <c r="C2445" s="27" t="s">
        <v>393</v>
      </c>
      <c r="D2445" s="27" t="s">
        <v>401</v>
      </c>
      <c r="E2445" s="27" t="s">
        <v>1681</v>
      </c>
      <c r="F2445" s="51">
        <v>30155</v>
      </c>
      <c r="G2445" s="27"/>
    </row>
    <row r="2446" spans="1:7">
      <c r="A2446" s="27">
        <v>121</v>
      </c>
      <c r="B2446" s="27" t="s">
        <v>189</v>
      </c>
      <c r="C2446" s="27" t="s">
        <v>393</v>
      </c>
      <c r="D2446" s="27" t="s">
        <v>402</v>
      </c>
      <c r="E2446" s="27" t="s">
        <v>1681</v>
      </c>
      <c r="F2446" s="51">
        <v>104609</v>
      </c>
      <c r="G2446" s="27"/>
    </row>
    <row r="2447" spans="1:7">
      <c r="A2447" s="27">
        <v>122</v>
      </c>
      <c r="B2447" s="27" t="s">
        <v>190</v>
      </c>
      <c r="C2447" s="27" t="s">
        <v>302</v>
      </c>
      <c r="D2447" s="27" t="s">
        <v>408</v>
      </c>
      <c r="E2447" s="27" t="s">
        <v>1682</v>
      </c>
      <c r="F2447" s="51">
        <v>10964</v>
      </c>
      <c r="G2447" s="27"/>
    </row>
    <row r="2448" spans="1:7">
      <c r="A2448" s="27">
        <v>122</v>
      </c>
      <c r="B2448" s="27" t="s">
        <v>190</v>
      </c>
      <c r="C2448" s="27" t="s">
        <v>302</v>
      </c>
      <c r="D2448" s="27" t="s">
        <v>397</v>
      </c>
      <c r="E2448" s="27" t="s">
        <v>1682</v>
      </c>
      <c r="F2448" s="51">
        <v>70000</v>
      </c>
      <c r="G2448" s="27"/>
    </row>
    <row r="2449" spans="1:7">
      <c r="A2449" s="27">
        <v>122</v>
      </c>
      <c r="B2449" s="27" t="s">
        <v>190</v>
      </c>
      <c r="C2449" s="27" t="s">
        <v>302</v>
      </c>
      <c r="D2449" s="27" t="s">
        <v>412</v>
      </c>
      <c r="E2449" s="27" t="s">
        <v>1682</v>
      </c>
      <c r="F2449" s="51">
        <v>2525</v>
      </c>
      <c r="G2449" s="27"/>
    </row>
    <row r="2450" spans="1:7">
      <c r="A2450" s="27">
        <v>122</v>
      </c>
      <c r="B2450" s="27" t="s">
        <v>190</v>
      </c>
      <c r="C2450" s="27" t="s">
        <v>302</v>
      </c>
      <c r="D2450" s="27" t="s">
        <v>398</v>
      </c>
      <c r="E2450" s="27" t="s">
        <v>1682</v>
      </c>
      <c r="F2450" s="51">
        <v>5031</v>
      </c>
      <c r="G2450" s="27"/>
    </row>
    <row r="2451" spans="1:7">
      <c r="A2451" s="27">
        <v>122</v>
      </c>
      <c r="B2451" s="27" t="s">
        <v>190</v>
      </c>
      <c r="C2451" s="27" t="s">
        <v>302</v>
      </c>
      <c r="D2451" s="27" t="s">
        <v>415</v>
      </c>
      <c r="E2451" s="27" t="s">
        <v>1682</v>
      </c>
      <c r="F2451" s="51">
        <v>1351</v>
      </c>
      <c r="G2451" s="27"/>
    </row>
    <row r="2452" spans="1:7">
      <c r="A2452" s="27">
        <v>122</v>
      </c>
      <c r="B2452" s="27" t="s">
        <v>190</v>
      </c>
      <c r="C2452" s="27" t="s">
        <v>302</v>
      </c>
      <c r="D2452" s="27" t="s">
        <v>334</v>
      </c>
      <c r="E2452" s="27" t="s">
        <v>1682</v>
      </c>
      <c r="F2452" s="51">
        <v>17653</v>
      </c>
      <c r="G2452" s="27"/>
    </row>
    <row r="2453" spans="1:7">
      <c r="A2453" s="27">
        <v>122</v>
      </c>
      <c r="B2453" s="27" t="s">
        <v>190</v>
      </c>
      <c r="C2453" s="27" t="s">
        <v>302</v>
      </c>
      <c r="D2453" s="27" t="s">
        <v>291</v>
      </c>
      <c r="E2453" s="27" t="s">
        <v>1681</v>
      </c>
      <c r="F2453" s="51">
        <v>1448</v>
      </c>
      <c r="G2453" s="27"/>
    </row>
    <row r="2454" spans="1:7">
      <c r="A2454" s="27">
        <v>122</v>
      </c>
      <c r="B2454" s="27" t="s">
        <v>190</v>
      </c>
      <c r="C2454" s="27" t="s">
        <v>302</v>
      </c>
      <c r="D2454" s="27" t="s">
        <v>399</v>
      </c>
      <c r="E2454" s="27" t="s">
        <v>1681</v>
      </c>
      <c r="F2454" s="51">
        <v>114747</v>
      </c>
      <c r="G2454" s="27"/>
    </row>
    <row r="2455" spans="1:7">
      <c r="A2455" s="27">
        <v>122</v>
      </c>
      <c r="B2455" s="27" t="s">
        <v>190</v>
      </c>
      <c r="C2455" s="27" t="s">
        <v>302</v>
      </c>
      <c r="D2455" s="27" t="s">
        <v>294</v>
      </c>
      <c r="E2455" s="27" t="s">
        <v>1681</v>
      </c>
      <c r="F2455" s="51">
        <v>51</v>
      </c>
      <c r="G2455" s="27"/>
    </row>
    <row r="2456" spans="1:7">
      <c r="A2456" s="27">
        <v>122</v>
      </c>
      <c r="B2456" s="27" t="s">
        <v>190</v>
      </c>
      <c r="C2456" s="27" t="s">
        <v>302</v>
      </c>
      <c r="D2456" s="27" t="s">
        <v>296</v>
      </c>
      <c r="E2456" s="27" t="s">
        <v>1681</v>
      </c>
      <c r="F2456" s="51">
        <v>194315</v>
      </c>
      <c r="G2456" s="27"/>
    </row>
    <row r="2457" spans="1:7">
      <c r="A2457" s="27">
        <v>122</v>
      </c>
      <c r="B2457" s="27" t="s">
        <v>190</v>
      </c>
      <c r="C2457" s="27" t="s">
        <v>302</v>
      </c>
      <c r="D2457" s="27" t="s">
        <v>401</v>
      </c>
      <c r="E2457" s="27" t="s">
        <v>1681</v>
      </c>
      <c r="F2457" s="51">
        <v>15000</v>
      </c>
      <c r="G2457" s="27"/>
    </row>
    <row r="2458" spans="1:7">
      <c r="A2458" s="27">
        <v>122</v>
      </c>
      <c r="B2458" s="27" t="s">
        <v>190</v>
      </c>
      <c r="C2458" s="27" t="s">
        <v>302</v>
      </c>
      <c r="D2458" s="27" t="s">
        <v>402</v>
      </c>
      <c r="E2458" s="27" t="s">
        <v>1681</v>
      </c>
      <c r="F2458" s="51">
        <v>2668</v>
      </c>
      <c r="G2458" s="27"/>
    </row>
    <row r="2459" spans="1:7">
      <c r="A2459" s="27">
        <v>123</v>
      </c>
      <c r="B2459" s="27" t="s">
        <v>191</v>
      </c>
      <c r="C2459" s="27" t="s">
        <v>302</v>
      </c>
      <c r="D2459" s="27" t="s">
        <v>408</v>
      </c>
      <c r="E2459" s="27" t="s">
        <v>1682</v>
      </c>
      <c r="F2459" s="51">
        <v>7160</v>
      </c>
      <c r="G2459" s="27"/>
    </row>
    <row r="2460" spans="1:7">
      <c r="A2460" s="27">
        <v>123</v>
      </c>
      <c r="B2460" s="27" t="s">
        <v>191</v>
      </c>
      <c r="C2460" s="27" t="s">
        <v>302</v>
      </c>
      <c r="D2460" s="27" t="s">
        <v>397</v>
      </c>
      <c r="E2460" s="27" t="s">
        <v>1682</v>
      </c>
      <c r="F2460" s="51">
        <v>11301</v>
      </c>
      <c r="G2460" s="27"/>
    </row>
    <row r="2461" spans="1:7">
      <c r="A2461" s="27">
        <v>123</v>
      </c>
      <c r="B2461" s="27" t="s">
        <v>191</v>
      </c>
      <c r="C2461" s="27" t="s">
        <v>302</v>
      </c>
      <c r="D2461" s="27" t="s">
        <v>411</v>
      </c>
      <c r="E2461" s="27" t="s">
        <v>1682</v>
      </c>
      <c r="F2461" s="51">
        <v>327</v>
      </c>
      <c r="G2461" s="27"/>
    </row>
    <row r="2462" spans="1:7">
      <c r="A2462" s="27">
        <v>123</v>
      </c>
      <c r="B2462" s="27" t="s">
        <v>191</v>
      </c>
      <c r="C2462" s="27" t="s">
        <v>302</v>
      </c>
      <c r="D2462" s="27" t="s">
        <v>398</v>
      </c>
      <c r="E2462" s="27" t="s">
        <v>1682</v>
      </c>
      <c r="F2462" s="51">
        <v>584</v>
      </c>
      <c r="G2462" s="27"/>
    </row>
    <row r="2463" spans="1:7">
      <c r="A2463" s="27">
        <v>123</v>
      </c>
      <c r="B2463" s="27" t="s">
        <v>191</v>
      </c>
      <c r="C2463" s="27" t="s">
        <v>302</v>
      </c>
      <c r="D2463" s="27" t="s">
        <v>415</v>
      </c>
      <c r="E2463" s="27" t="s">
        <v>1682</v>
      </c>
      <c r="F2463" s="51">
        <v>797</v>
      </c>
      <c r="G2463" s="27"/>
    </row>
    <row r="2464" spans="1:7">
      <c r="A2464" s="27">
        <v>123</v>
      </c>
      <c r="B2464" s="27" t="s">
        <v>191</v>
      </c>
      <c r="C2464" s="27" t="s">
        <v>302</v>
      </c>
      <c r="D2464" s="27" t="s">
        <v>291</v>
      </c>
      <c r="E2464" s="27" t="s">
        <v>1681</v>
      </c>
      <c r="F2464" s="51">
        <v>54</v>
      </c>
      <c r="G2464" s="27"/>
    </row>
    <row r="2465" spans="1:7">
      <c r="A2465" s="27">
        <v>123</v>
      </c>
      <c r="B2465" s="27" t="s">
        <v>191</v>
      </c>
      <c r="C2465" s="27" t="s">
        <v>302</v>
      </c>
      <c r="D2465" s="27" t="s">
        <v>399</v>
      </c>
      <c r="E2465" s="27" t="s">
        <v>1681</v>
      </c>
      <c r="F2465" s="51">
        <v>1243538</v>
      </c>
      <c r="G2465" s="27"/>
    </row>
    <row r="2466" spans="1:7">
      <c r="A2466" s="27">
        <v>123</v>
      </c>
      <c r="B2466" s="27" t="s">
        <v>191</v>
      </c>
      <c r="C2466" s="27" t="s">
        <v>302</v>
      </c>
      <c r="D2466" s="27" t="s">
        <v>304</v>
      </c>
      <c r="E2466" s="27" t="s">
        <v>1681</v>
      </c>
      <c r="F2466" s="51">
        <v>9500</v>
      </c>
      <c r="G2466" s="27"/>
    </row>
    <row r="2467" spans="1:7">
      <c r="A2467" s="27">
        <v>123</v>
      </c>
      <c r="B2467" s="27" t="s">
        <v>191</v>
      </c>
      <c r="C2467" s="27" t="s">
        <v>302</v>
      </c>
      <c r="D2467" s="27" t="s">
        <v>296</v>
      </c>
      <c r="E2467" s="27" t="s">
        <v>1681</v>
      </c>
      <c r="F2467" s="51">
        <v>112191</v>
      </c>
      <c r="G2467" s="27"/>
    </row>
    <row r="2468" spans="1:7">
      <c r="A2468" s="27">
        <v>123</v>
      </c>
      <c r="B2468" s="27" t="s">
        <v>191</v>
      </c>
      <c r="C2468" s="27" t="s">
        <v>302</v>
      </c>
      <c r="D2468" s="27" t="s">
        <v>298</v>
      </c>
      <c r="E2468" s="27" t="s">
        <v>1681</v>
      </c>
      <c r="F2468" s="51">
        <v>35624</v>
      </c>
      <c r="G2468" s="27"/>
    </row>
    <row r="2469" spans="1:7">
      <c r="A2469" s="27">
        <v>123</v>
      </c>
      <c r="B2469" s="27" t="s">
        <v>191</v>
      </c>
      <c r="C2469" s="27" t="s">
        <v>302</v>
      </c>
      <c r="D2469" s="27" t="s">
        <v>401</v>
      </c>
      <c r="E2469" s="27" t="s">
        <v>1681</v>
      </c>
      <c r="F2469" s="51">
        <v>30081</v>
      </c>
      <c r="G2469" s="27"/>
    </row>
    <row r="2470" spans="1:7">
      <c r="A2470" s="27">
        <v>123</v>
      </c>
      <c r="B2470" s="27" t="s">
        <v>191</v>
      </c>
      <c r="C2470" s="27" t="s">
        <v>302</v>
      </c>
      <c r="D2470" s="27" t="s">
        <v>402</v>
      </c>
      <c r="E2470" s="27" t="s">
        <v>1681</v>
      </c>
      <c r="F2470" s="51">
        <v>39753</v>
      </c>
      <c r="G2470" s="27"/>
    </row>
    <row r="2471" spans="1:7">
      <c r="A2471" s="27">
        <v>124</v>
      </c>
      <c r="B2471" s="27" t="s">
        <v>192</v>
      </c>
      <c r="C2471" s="27" t="s">
        <v>346</v>
      </c>
      <c r="D2471" s="27" t="s">
        <v>406</v>
      </c>
      <c r="E2471" s="27" t="s">
        <v>1682</v>
      </c>
      <c r="F2471" s="51">
        <v>22292</v>
      </c>
      <c r="G2471" s="27"/>
    </row>
    <row r="2472" spans="1:7">
      <c r="A2472" s="27">
        <v>124</v>
      </c>
      <c r="B2472" s="27" t="s">
        <v>192</v>
      </c>
      <c r="C2472" s="27" t="s">
        <v>346</v>
      </c>
      <c r="D2472" s="27" t="s">
        <v>408</v>
      </c>
      <c r="E2472" s="27" t="s">
        <v>1682</v>
      </c>
      <c r="F2472" s="51">
        <v>126151</v>
      </c>
      <c r="G2472" s="27"/>
    </row>
    <row r="2473" spans="1:7">
      <c r="A2473" s="27">
        <v>124</v>
      </c>
      <c r="B2473" s="27" t="s">
        <v>192</v>
      </c>
      <c r="C2473" s="27" t="s">
        <v>346</v>
      </c>
      <c r="D2473" s="27" t="s">
        <v>394</v>
      </c>
      <c r="E2473" s="27" t="s">
        <v>1682</v>
      </c>
      <c r="F2473" s="51">
        <v>422242</v>
      </c>
      <c r="G2473" s="27"/>
    </row>
    <row r="2474" spans="1:7">
      <c r="A2474" s="27">
        <v>124</v>
      </c>
      <c r="B2474" s="27" t="s">
        <v>192</v>
      </c>
      <c r="C2474" s="27" t="s">
        <v>346</v>
      </c>
      <c r="D2474" s="27" t="s">
        <v>397</v>
      </c>
      <c r="E2474" s="27" t="s">
        <v>1682</v>
      </c>
      <c r="F2474" s="51">
        <v>151008</v>
      </c>
      <c r="G2474" s="27"/>
    </row>
    <row r="2475" spans="1:7">
      <c r="A2475" s="27">
        <v>124</v>
      </c>
      <c r="B2475" s="27" t="s">
        <v>192</v>
      </c>
      <c r="C2475" s="27" t="s">
        <v>346</v>
      </c>
      <c r="D2475" s="27" t="s">
        <v>333</v>
      </c>
      <c r="E2475" s="27" t="s">
        <v>1682</v>
      </c>
      <c r="F2475" s="51">
        <v>3693</v>
      </c>
      <c r="G2475" s="27"/>
    </row>
    <row r="2476" spans="1:7">
      <c r="A2476" s="27">
        <v>124</v>
      </c>
      <c r="B2476" s="27" t="s">
        <v>192</v>
      </c>
      <c r="C2476" s="27" t="s">
        <v>346</v>
      </c>
      <c r="D2476" s="27" t="s">
        <v>411</v>
      </c>
      <c r="E2476" s="27" t="s">
        <v>1682</v>
      </c>
      <c r="F2476" s="51">
        <v>1220</v>
      </c>
      <c r="G2476" s="27"/>
    </row>
    <row r="2477" spans="1:7">
      <c r="A2477" s="27">
        <v>124</v>
      </c>
      <c r="B2477" s="27" t="s">
        <v>192</v>
      </c>
      <c r="C2477" s="27" t="s">
        <v>346</v>
      </c>
      <c r="D2477" s="27" t="s">
        <v>412</v>
      </c>
      <c r="E2477" s="27" t="s">
        <v>1682</v>
      </c>
      <c r="F2477" s="51">
        <v>41405</v>
      </c>
      <c r="G2477" s="27"/>
    </row>
    <row r="2478" spans="1:7">
      <c r="A2478" s="27">
        <v>124</v>
      </c>
      <c r="B2478" s="27" t="s">
        <v>192</v>
      </c>
      <c r="C2478" s="27" t="s">
        <v>346</v>
      </c>
      <c r="D2478" s="27" t="s">
        <v>398</v>
      </c>
      <c r="E2478" s="27" t="s">
        <v>1682</v>
      </c>
      <c r="F2478" s="51">
        <v>10016</v>
      </c>
      <c r="G2478" s="27"/>
    </row>
    <row r="2479" spans="1:7">
      <c r="A2479" s="27">
        <v>124</v>
      </c>
      <c r="B2479" s="27" t="s">
        <v>192</v>
      </c>
      <c r="C2479" s="27" t="s">
        <v>346</v>
      </c>
      <c r="D2479" s="27" t="s">
        <v>415</v>
      </c>
      <c r="E2479" s="27" t="s">
        <v>1682</v>
      </c>
      <c r="F2479" s="51">
        <v>17003</v>
      </c>
      <c r="G2479" s="27"/>
    </row>
    <row r="2480" spans="1:7">
      <c r="A2480" s="27">
        <v>124</v>
      </c>
      <c r="B2480" s="27" t="s">
        <v>192</v>
      </c>
      <c r="C2480" s="27" t="s">
        <v>346</v>
      </c>
      <c r="D2480" s="27" t="s">
        <v>334</v>
      </c>
      <c r="E2480" s="27" t="s">
        <v>1682</v>
      </c>
      <c r="F2480" s="51">
        <v>6411</v>
      </c>
      <c r="G2480" s="27"/>
    </row>
    <row r="2481" spans="1:7">
      <c r="A2481" s="27">
        <v>124</v>
      </c>
      <c r="B2481" s="27" t="s">
        <v>192</v>
      </c>
      <c r="C2481" s="27" t="s">
        <v>346</v>
      </c>
      <c r="D2481" s="27" t="s">
        <v>291</v>
      </c>
      <c r="E2481" s="27" t="s">
        <v>1681</v>
      </c>
      <c r="F2481" s="51">
        <v>13013</v>
      </c>
      <c r="G2481" s="27"/>
    </row>
    <row r="2482" spans="1:7">
      <c r="A2482" s="27">
        <v>124</v>
      </c>
      <c r="B2482" s="27" t="s">
        <v>192</v>
      </c>
      <c r="C2482" s="27" t="s">
        <v>346</v>
      </c>
      <c r="D2482" s="27" t="s">
        <v>399</v>
      </c>
      <c r="E2482" s="27" t="s">
        <v>1681</v>
      </c>
      <c r="F2482" s="51">
        <v>8092602</v>
      </c>
      <c r="G2482" s="27"/>
    </row>
    <row r="2483" spans="1:7">
      <c r="A2483" s="27">
        <v>124</v>
      </c>
      <c r="B2483" s="27" t="s">
        <v>192</v>
      </c>
      <c r="C2483" s="27" t="s">
        <v>346</v>
      </c>
      <c r="D2483" s="27" t="s">
        <v>296</v>
      </c>
      <c r="E2483" s="27" t="s">
        <v>1681</v>
      </c>
      <c r="F2483" s="51">
        <v>443406</v>
      </c>
      <c r="G2483" s="27"/>
    </row>
    <row r="2484" spans="1:7">
      <c r="A2484" s="27">
        <v>124</v>
      </c>
      <c r="B2484" s="27" t="s">
        <v>192</v>
      </c>
      <c r="C2484" s="27" t="s">
        <v>346</v>
      </c>
      <c r="D2484" s="27" t="s">
        <v>400</v>
      </c>
      <c r="E2484" s="27" t="s">
        <v>1681</v>
      </c>
      <c r="F2484" s="51">
        <v>51350</v>
      </c>
      <c r="G2484" s="27"/>
    </row>
    <row r="2485" spans="1:7">
      <c r="A2485" s="27">
        <v>124</v>
      </c>
      <c r="B2485" s="27" t="s">
        <v>192</v>
      </c>
      <c r="C2485" s="27" t="s">
        <v>346</v>
      </c>
      <c r="D2485" s="27" t="s">
        <v>298</v>
      </c>
      <c r="E2485" s="27" t="s">
        <v>1681</v>
      </c>
      <c r="F2485" s="51">
        <v>18144</v>
      </c>
      <c r="G2485" s="27"/>
    </row>
    <row r="2486" spans="1:7">
      <c r="A2486" s="27">
        <v>124</v>
      </c>
      <c r="B2486" s="27" t="s">
        <v>192</v>
      </c>
      <c r="C2486" s="27" t="s">
        <v>346</v>
      </c>
      <c r="D2486" s="27" t="s">
        <v>401</v>
      </c>
      <c r="E2486" s="27" t="s">
        <v>1681</v>
      </c>
      <c r="F2486" s="51">
        <v>31403</v>
      </c>
      <c r="G2486" s="27"/>
    </row>
    <row r="2487" spans="1:7">
      <c r="A2487" s="27">
        <v>124</v>
      </c>
      <c r="B2487" s="27" t="s">
        <v>192</v>
      </c>
      <c r="C2487" s="27" t="s">
        <v>346</v>
      </c>
      <c r="D2487" s="27" t="s">
        <v>402</v>
      </c>
      <c r="E2487" s="27" t="s">
        <v>1681</v>
      </c>
      <c r="F2487" s="51">
        <v>192558</v>
      </c>
      <c r="G2487" s="27"/>
    </row>
    <row r="2488" spans="1:7">
      <c r="A2488" s="27">
        <v>125</v>
      </c>
      <c r="B2488" s="27" t="s">
        <v>193</v>
      </c>
      <c r="C2488" s="27" t="s">
        <v>302</v>
      </c>
      <c r="D2488" s="27" t="s">
        <v>408</v>
      </c>
      <c r="E2488" s="27" t="s">
        <v>1682</v>
      </c>
      <c r="F2488" s="51">
        <v>9362</v>
      </c>
      <c r="G2488" s="27"/>
    </row>
    <row r="2489" spans="1:7">
      <c r="A2489" s="27">
        <v>125</v>
      </c>
      <c r="B2489" s="27" t="s">
        <v>193</v>
      </c>
      <c r="C2489" s="27" t="s">
        <v>302</v>
      </c>
      <c r="D2489" s="27" t="s">
        <v>397</v>
      </c>
      <c r="E2489" s="27" t="s">
        <v>1682</v>
      </c>
      <c r="F2489" s="51">
        <v>39512</v>
      </c>
      <c r="G2489" s="27"/>
    </row>
    <row r="2490" spans="1:7">
      <c r="A2490" s="27">
        <v>125</v>
      </c>
      <c r="B2490" s="27" t="s">
        <v>193</v>
      </c>
      <c r="C2490" s="27" t="s">
        <v>302</v>
      </c>
      <c r="D2490" s="27" t="s">
        <v>398</v>
      </c>
      <c r="E2490" s="27" t="s">
        <v>1682</v>
      </c>
      <c r="F2490" s="51">
        <v>1018</v>
      </c>
      <c r="G2490" s="27"/>
    </row>
    <row r="2491" spans="1:7">
      <c r="A2491" s="27">
        <v>125</v>
      </c>
      <c r="B2491" s="27" t="s">
        <v>193</v>
      </c>
      <c r="C2491" s="27" t="s">
        <v>302</v>
      </c>
      <c r="D2491" s="27" t="s">
        <v>415</v>
      </c>
      <c r="E2491" s="27" t="s">
        <v>1682</v>
      </c>
      <c r="F2491" s="51">
        <v>710</v>
      </c>
      <c r="G2491" s="27"/>
    </row>
    <row r="2492" spans="1:7">
      <c r="A2492" s="27">
        <v>125</v>
      </c>
      <c r="B2492" s="27" t="s">
        <v>193</v>
      </c>
      <c r="C2492" s="27" t="s">
        <v>302</v>
      </c>
      <c r="D2492" s="27" t="s">
        <v>334</v>
      </c>
      <c r="E2492" s="27" t="s">
        <v>1682</v>
      </c>
      <c r="F2492" s="51">
        <v>6922</v>
      </c>
      <c r="G2492" s="27"/>
    </row>
    <row r="2493" spans="1:7">
      <c r="A2493" s="27">
        <v>125</v>
      </c>
      <c r="B2493" s="27" t="s">
        <v>193</v>
      </c>
      <c r="C2493" s="27" t="s">
        <v>302</v>
      </c>
      <c r="D2493" s="27" t="s">
        <v>291</v>
      </c>
      <c r="E2493" s="27" t="s">
        <v>1681</v>
      </c>
      <c r="F2493" s="51">
        <v>1006</v>
      </c>
      <c r="G2493" s="27"/>
    </row>
    <row r="2494" spans="1:7">
      <c r="A2494" s="27">
        <v>125</v>
      </c>
      <c r="B2494" s="27" t="s">
        <v>193</v>
      </c>
      <c r="C2494" s="27" t="s">
        <v>302</v>
      </c>
      <c r="D2494" s="27" t="s">
        <v>399</v>
      </c>
      <c r="E2494" s="27" t="s">
        <v>1681</v>
      </c>
      <c r="F2494" s="51">
        <v>89640</v>
      </c>
      <c r="G2494" s="27"/>
    </row>
    <row r="2495" spans="1:7">
      <c r="A2495" s="27">
        <v>125</v>
      </c>
      <c r="B2495" s="27" t="s">
        <v>193</v>
      </c>
      <c r="C2495" s="27" t="s">
        <v>302</v>
      </c>
      <c r="D2495" s="27" t="s">
        <v>296</v>
      </c>
      <c r="E2495" s="27" t="s">
        <v>1681</v>
      </c>
      <c r="F2495" s="51">
        <v>127477</v>
      </c>
      <c r="G2495" s="27"/>
    </row>
    <row r="2496" spans="1:7">
      <c r="A2496" s="27">
        <v>125</v>
      </c>
      <c r="B2496" s="27" t="s">
        <v>193</v>
      </c>
      <c r="C2496" s="27" t="s">
        <v>302</v>
      </c>
      <c r="D2496" s="27" t="s">
        <v>401</v>
      </c>
      <c r="E2496" s="27" t="s">
        <v>1681</v>
      </c>
      <c r="F2496" s="51">
        <v>15000</v>
      </c>
      <c r="G2496" s="27"/>
    </row>
    <row r="2497" spans="1:7">
      <c r="A2497" s="27">
        <v>125</v>
      </c>
      <c r="B2497" s="27" t="s">
        <v>193</v>
      </c>
      <c r="C2497" s="27" t="s">
        <v>302</v>
      </c>
      <c r="D2497" s="27" t="s">
        <v>402</v>
      </c>
      <c r="E2497" s="27" t="s">
        <v>1681</v>
      </c>
      <c r="F2497" s="51">
        <v>2249</v>
      </c>
      <c r="G2497" s="27"/>
    </row>
    <row r="2498" spans="1:7">
      <c r="A2498" s="27">
        <v>126</v>
      </c>
      <c r="B2498" s="27" t="s">
        <v>194</v>
      </c>
      <c r="C2498" s="27" t="s">
        <v>311</v>
      </c>
      <c r="D2498" s="27" t="s">
        <v>406</v>
      </c>
      <c r="E2498" s="27" t="s">
        <v>1682</v>
      </c>
      <c r="F2498" s="51">
        <v>40816</v>
      </c>
      <c r="G2498" s="27"/>
    </row>
    <row r="2499" spans="1:7">
      <c r="A2499" s="27">
        <v>126</v>
      </c>
      <c r="B2499" s="27" t="s">
        <v>194</v>
      </c>
      <c r="C2499" s="27" t="s">
        <v>311</v>
      </c>
      <c r="D2499" s="27" t="s">
        <v>408</v>
      </c>
      <c r="E2499" s="27" t="s">
        <v>1682</v>
      </c>
      <c r="F2499" s="51">
        <v>203866</v>
      </c>
      <c r="G2499" s="27"/>
    </row>
    <row r="2500" spans="1:7">
      <c r="A2500" s="27">
        <v>126</v>
      </c>
      <c r="B2500" s="27" t="s">
        <v>194</v>
      </c>
      <c r="C2500" s="27" t="s">
        <v>311</v>
      </c>
      <c r="D2500" s="27" t="s">
        <v>394</v>
      </c>
      <c r="E2500" s="27" t="s">
        <v>1682</v>
      </c>
      <c r="F2500" s="51">
        <v>575798</v>
      </c>
      <c r="G2500" s="27"/>
    </row>
    <row r="2501" spans="1:7">
      <c r="A2501" s="27">
        <v>126</v>
      </c>
      <c r="B2501" s="27" t="s">
        <v>194</v>
      </c>
      <c r="C2501" s="27" t="s">
        <v>311</v>
      </c>
      <c r="D2501" s="27" t="s">
        <v>397</v>
      </c>
      <c r="E2501" s="27" t="s">
        <v>1682</v>
      </c>
      <c r="F2501" s="51">
        <v>365150</v>
      </c>
      <c r="G2501" s="27"/>
    </row>
    <row r="2502" spans="1:7">
      <c r="A2502" s="27">
        <v>126</v>
      </c>
      <c r="B2502" s="27" t="s">
        <v>194</v>
      </c>
      <c r="C2502" s="27" t="s">
        <v>311</v>
      </c>
      <c r="D2502" s="27" t="s">
        <v>411</v>
      </c>
      <c r="E2502" s="27" t="s">
        <v>1682</v>
      </c>
      <c r="F2502" s="51">
        <v>10576</v>
      </c>
      <c r="G2502" s="27"/>
    </row>
    <row r="2503" spans="1:7">
      <c r="A2503" s="27">
        <v>126</v>
      </c>
      <c r="B2503" s="27" t="s">
        <v>194</v>
      </c>
      <c r="C2503" s="27" t="s">
        <v>311</v>
      </c>
      <c r="D2503" s="27" t="s">
        <v>412</v>
      </c>
      <c r="E2503" s="27" t="s">
        <v>1682</v>
      </c>
      <c r="F2503" s="51">
        <v>129528</v>
      </c>
      <c r="G2503" s="27"/>
    </row>
    <row r="2504" spans="1:7">
      <c r="A2504" s="27">
        <v>126</v>
      </c>
      <c r="B2504" s="27" t="s">
        <v>194</v>
      </c>
      <c r="C2504" s="27" t="s">
        <v>311</v>
      </c>
      <c r="D2504" s="27" t="s">
        <v>398</v>
      </c>
      <c r="E2504" s="27" t="s">
        <v>1682</v>
      </c>
      <c r="F2504" s="51">
        <v>20552</v>
      </c>
      <c r="G2504" s="27"/>
    </row>
    <row r="2505" spans="1:7">
      <c r="A2505" s="27">
        <v>126</v>
      </c>
      <c r="B2505" s="27" t="s">
        <v>194</v>
      </c>
      <c r="C2505" s="27" t="s">
        <v>311</v>
      </c>
      <c r="D2505" s="27" t="s">
        <v>415</v>
      </c>
      <c r="E2505" s="27" t="s">
        <v>1682</v>
      </c>
      <c r="F2505" s="51">
        <v>21160</v>
      </c>
      <c r="G2505" s="27"/>
    </row>
    <row r="2506" spans="1:7">
      <c r="A2506" s="27">
        <v>126</v>
      </c>
      <c r="B2506" s="27" t="s">
        <v>194</v>
      </c>
      <c r="C2506" s="27" t="s">
        <v>311</v>
      </c>
      <c r="D2506" s="27" t="s">
        <v>291</v>
      </c>
      <c r="E2506" s="27" t="s">
        <v>1681</v>
      </c>
      <c r="F2506" s="51">
        <v>18576</v>
      </c>
      <c r="G2506" s="27"/>
    </row>
    <row r="2507" spans="1:7">
      <c r="A2507" s="27">
        <v>126</v>
      </c>
      <c r="B2507" s="27" t="s">
        <v>194</v>
      </c>
      <c r="C2507" s="27" t="s">
        <v>311</v>
      </c>
      <c r="D2507" s="27" t="s">
        <v>399</v>
      </c>
      <c r="E2507" s="27" t="s">
        <v>1681</v>
      </c>
      <c r="F2507" s="51">
        <v>4412071</v>
      </c>
      <c r="G2507" s="27"/>
    </row>
    <row r="2508" spans="1:7">
      <c r="A2508" s="27">
        <v>126</v>
      </c>
      <c r="B2508" s="27" t="s">
        <v>194</v>
      </c>
      <c r="C2508" s="27" t="s">
        <v>311</v>
      </c>
      <c r="D2508" s="27" t="s">
        <v>293</v>
      </c>
      <c r="E2508" s="27" t="s">
        <v>1681</v>
      </c>
      <c r="F2508" s="51">
        <v>88426</v>
      </c>
      <c r="G2508" s="27"/>
    </row>
    <row r="2509" spans="1:7">
      <c r="A2509" s="27">
        <v>126</v>
      </c>
      <c r="B2509" s="27" t="s">
        <v>194</v>
      </c>
      <c r="C2509" s="27" t="s">
        <v>311</v>
      </c>
      <c r="D2509" s="27" t="s">
        <v>294</v>
      </c>
      <c r="E2509" s="27" t="s">
        <v>1681</v>
      </c>
      <c r="F2509" s="51">
        <v>17976</v>
      </c>
      <c r="G2509" s="27"/>
    </row>
    <row r="2510" spans="1:7">
      <c r="A2510" s="27">
        <v>126</v>
      </c>
      <c r="B2510" s="27" t="s">
        <v>194</v>
      </c>
      <c r="C2510" s="27" t="s">
        <v>311</v>
      </c>
      <c r="D2510" s="27" t="s">
        <v>303</v>
      </c>
      <c r="E2510" s="27" t="s">
        <v>1681</v>
      </c>
      <c r="F2510" s="51">
        <v>16200</v>
      </c>
      <c r="G2510" s="27"/>
    </row>
    <row r="2511" spans="1:7">
      <c r="A2511" s="27">
        <v>126</v>
      </c>
      <c r="B2511" s="27" t="s">
        <v>194</v>
      </c>
      <c r="C2511" s="27" t="s">
        <v>311</v>
      </c>
      <c r="D2511" s="27" t="s">
        <v>296</v>
      </c>
      <c r="E2511" s="27" t="s">
        <v>1681</v>
      </c>
      <c r="F2511" s="51">
        <v>378319</v>
      </c>
      <c r="G2511" s="27"/>
    </row>
    <row r="2512" spans="1:7">
      <c r="A2512" s="27">
        <v>126</v>
      </c>
      <c r="B2512" s="27" t="s">
        <v>194</v>
      </c>
      <c r="C2512" s="27" t="s">
        <v>311</v>
      </c>
      <c r="D2512" s="27" t="s">
        <v>400</v>
      </c>
      <c r="E2512" s="27" t="s">
        <v>1681</v>
      </c>
      <c r="F2512" s="51">
        <v>60135</v>
      </c>
      <c r="G2512" s="27"/>
    </row>
    <row r="2513" spans="1:7">
      <c r="A2513" s="27">
        <v>126</v>
      </c>
      <c r="B2513" s="27" t="s">
        <v>194</v>
      </c>
      <c r="C2513" s="27" t="s">
        <v>311</v>
      </c>
      <c r="D2513" s="27" t="s">
        <v>298</v>
      </c>
      <c r="E2513" s="27" t="s">
        <v>1681</v>
      </c>
      <c r="F2513" s="51">
        <v>111257</v>
      </c>
      <c r="G2513" s="27"/>
    </row>
    <row r="2514" spans="1:7">
      <c r="A2514" s="27">
        <v>126</v>
      </c>
      <c r="B2514" s="27" t="s">
        <v>194</v>
      </c>
      <c r="C2514" s="27" t="s">
        <v>311</v>
      </c>
      <c r="D2514" s="27" t="s">
        <v>401</v>
      </c>
      <c r="E2514" s="27" t="s">
        <v>1681</v>
      </c>
      <c r="F2514" s="51">
        <v>14967</v>
      </c>
      <c r="G2514" s="27"/>
    </row>
    <row r="2515" spans="1:7">
      <c r="A2515" s="27">
        <v>126</v>
      </c>
      <c r="B2515" s="27" t="s">
        <v>194</v>
      </c>
      <c r="C2515" s="27" t="s">
        <v>311</v>
      </c>
      <c r="D2515" s="27" t="s">
        <v>1347</v>
      </c>
      <c r="E2515" s="27" t="s">
        <v>1681</v>
      </c>
      <c r="F2515" s="51">
        <v>4800</v>
      </c>
      <c r="G2515" s="27"/>
    </row>
    <row r="2516" spans="1:7">
      <c r="A2516" s="27">
        <v>126</v>
      </c>
      <c r="B2516" s="27" t="s">
        <v>194</v>
      </c>
      <c r="C2516" s="27" t="s">
        <v>311</v>
      </c>
      <c r="D2516" s="27" t="s">
        <v>402</v>
      </c>
      <c r="E2516" s="27" t="s">
        <v>1681</v>
      </c>
      <c r="F2516" s="51">
        <v>223561</v>
      </c>
      <c r="G2516" s="27"/>
    </row>
    <row r="2517" spans="1:7">
      <c r="A2517" s="27">
        <v>126</v>
      </c>
      <c r="B2517" s="27" t="s">
        <v>194</v>
      </c>
      <c r="C2517" s="27" t="s">
        <v>311</v>
      </c>
      <c r="D2517" s="27" t="s">
        <v>299</v>
      </c>
      <c r="E2517" s="27" t="s">
        <v>1681</v>
      </c>
      <c r="F2517" s="51">
        <v>37822</v>
      </c>
      <c r="G2517" s="27"/>
    </row>
    <row r="2518" spans="1:7">
      <c r="A2518" s="27">
        <v>126</v>
      </c>
      <c r="B2518" s="27" t="s">
        <v>194</v>
      </c>
      <c r="C2518" s="27" t="s">
        <v>311</v>
      </c>
      <c r="D2518" s="27" t="s">
        <v>300</v>
      </c>
      <c r="E2518" s="27" t="s">
        <v>1681</v>
      </c>
      <c r="F2518" s="51">
        <v>21875</v>
      </c>
      <c r="G2518" s="27"/>
    </row>
    <row r="2519" spans="1:7">
      <c r="A2519" s="27">
        <v>127</v>
      </c>
      <c r="B2519" s="27" t="s">
        <v>195</v>
      </c>
      <c r="C2519" s="27" t="s">
        <v>393</v>
      </c>
      <c r="D2519" s="27" t="s">
        <v>394</v>
      </c>
      <c r="E2519" s="27" t="s">
        <v>1682</v>
      </c>
      <c r="F2519" s="51">
        <v>15750</v>
      </c>
      <c r="G2519" s="27"/>
    </row>
    <row r="2520" spans="1:7">
      <c r="A2520" s="27">
        <v>127</v>
      </c>
      <c r="B2520" s="27" t="s">
        <v>195</v>
      </c>
      <c r="C2520" s="27" t="s">
        <v>393</v>
      </c>
      <c r="D2520" s="27" t="s">
        <v>397</v>
      </c>
      <c r="E2520" s="27" t="s">
        <v>1682</v>
      </c>
      <c r="F2520" s="51">
        <v>13295</v>
      </c>
      <c r="G2520" s="27"/>
    </row>
    <row r="2521" spans="1:7">
      <c r="A2521" s="27">
        <v>127</v>
      </c>
      <c r="B2521" s="27" t="s">
        <v>195</v>
      </c>
      <c r="C2521" s="27" t="s">
        <v>393</v>
      </c>
      <c r="D2521" s="27" t="s">
        <v>412</v>
      </c>
      <c r="E2521" s="27" t="s">
        <v>1682</v>
      </c>
      <c r="F2521" s="51">
        <v>2484</v>
      </c>
      <c r="G2521" s="27"/>
    </row>
    <row r="2522" spans="1:7">
      <c r="A2522" s="27">
        <v>127</v>
      </c>
      <c r="B2522" s="27" t="s">
        <v>195</v>
      </c>
      <c r="C2522" s="27" t="s">
        <v>393</v>
      </c>
      <c r="D2522" s="27" t="s">
        <v>399</v>
      </c>
      <c r="E2522" s="27" t="s">
        <v>1681</v>
      </c>
      <c r="F2522" s="51">
        <v>119464</v>
      </c>
      <c r="G2522" s="27"/>
    </row>
    <row r="2523" spans="1:7">
      <c r="A2523" s="27">
        <v>127</v>
      </c>
      <c r="B2523" s="27" t="s">
        <v>195</v>
      </c>
      <c r="C2523" s="27" t="s">
        <v>393</v>
      </c>
      <c r="D2523" s="27" t="s">
        <v>296</v>
      </c>
      <c r="E2523" s="27" t="s">
        <v>1681</v>
      </c>
      <c r="F2523" s="51">
        <v>69973</v>
      </c>
      <c r="G2523" s="27"/>
    </row>
    <row r="2524" spans="1:7">
      <c r="A2524" s="27">
        <v>127</v>
      </c>
      <c r="B2524" s="27" t="s">
        <v>195</v>
      </c>
      <c r="C2524" s="27" t="s">
        <v>393</v>
      </c>
      <c r="D2524" s="27" t="s">
        <v>400</v>
      </c>
      <c r="E2524" s="27" t="s">
        <v>1681</v>
      </c>
      <c r="F2524" s="51">
        <v>30231</v>
      </c>
      <c r="G2524" s="27"/>
    </row>
    <row r="2525" spans="1:7">
      <c r="A2525" s="27">
        <v>127</v>
      </c>
      <c r="B2525" s="27" t="s">
        <v>195</v>
      </c>
      <c r="C2525" s="27" t="s">
        <v>393</v>
      </c>
      <c r="D2525" s="27" t="s">
        <v>401</v>
      </c>
      <c r="E2525" s="27" t="s">
        <v>1681</v>
      </c>
      <c r="F2525" s="51">
        <v>15000</v>
      </c>
      <c r="G2525" s="27"/>
    </row>
    <row r="2526" spans="1:7">
      <c r="A2526" s="27">
        <v>127</v>
      </c>
      <c r="B2526" s="27" t="s">
        <v>195</v>
      </c>
      <c r="C2526" s="27" t="s">
        <v>393</v>
      </c>
      <c r="D2526" s="27" t="s">
        <v>402</v>
      </c>
      <c r="E2526" s="27" t="s">
        <v>1681</v>
      </c>
      <c r="F2526" s="51">
        <v>3103</v>
      </c>
      <c r="G2526" s="27"/>
    </row>
    <row r="2527" spans="1:7">
      <c r="A2527" s="27">
        <v>128</v>
      </c>
      <c r="B2527" s="27" t="s">
        <v>196</v>
      </c>
      <c r="C2527" s="27" t="s">
        <v>306</v>
      </c>
      <c r="D2527" s="27" t="s">
        <v>406</v>
      </c>
      <c r="E2527" s="27" t="s">
        <v>1682</v>
      </c>
      <c r="F2527" s="51">
        <v>23357</v>
      </c>
      <c r="G2527" s="27"/>
    </row>
    <row r="2528" spans="1:7">
      <c r="A2528" s="27">
        <v>128</v>
      </c>
      <c r="B2528" s="27" t="s">
        <v>196</v>
      </c>
      <c r="C2528" s="27" t="s">
        <v>306</v>
      </c>
      <c r="D2528" s="27" t="s">
        <v>408</v>
      </c>
      <c r="E2528" s="27" t="s">
        <v>1682</v>
      </c>
      <c r="F2528" s="51">
        <v>85619</v>
      </c>
      <c r="G2528" s="27"/>
    </row>
    <row r="2529" spans="1:7">
      <c r="A2529" s="27">
        <v>128</v>
      </c>
      <c r="B2529" s="27" t="s">
        <v>196</v>
      </c>
      <c r="C2529" s="27" t="s">
        <v>306</v>
      </c>
      <c r="D2529" s="27" t="s">
        <v>394</v>
      </c>
      <c r="E2529" s="27" t="s">
        <v>1682</v>
      </c>
      <c r="F2529" s="51">
        <v>451592</v>
      </c>
      <c r="G2529" s="27"/>
    </row>
    <row r="2530" spans="1:7">
      <c r="A2530" s="27">
        <v>128</v>
      </c>
      <c r="B2530" s="27" t="s">
        <v>196</v>
      </c>
      <c r="C2530" s="27" t="s">
        <v>306</v>
      </c>
      <c r="D2530" s="27" t="s">
        <v>333</v>
      </c>
      <c r="E2530" s="27" t="s">
        <v>1682</v>
      </c>
      <c r="F2530" s="51">
        <v>7350</v>
      </c>
      <c r="G2530" s="27"/>
    </row>
    <row r="2531" spans="1:7">
      <c r="A2531" s="27">
        <v>128</v>
      </c>
      <c r="B2531" s="27" t="s">
        <v>196</v>
      </c>
      <c r="C2531" s="27" t="s">
        <v>306</v>
      </c>
      <c r="D2531" s="27" t="s">
        <v>412</v>
      </c>
      <c r="E2531" s="27" t="s">
        <v>1682</v>
      </c>
      <c r="F2531" s="51">
        <v>69000</v>
      </c>
      <c r="G2531" s="27"/>
    </row>
    <row r="2532" spans="1:7">
      <c r="A2532" s="27">
        <v>128</v>
      </c>
      <c r="B2532" s="27" t="s">
        <v>196</v>
      </c>
      <c r="C2532" s="27" t="s">
        <v>306</v>
      </c>
      <c r="D2532" s="27" t="s">
        <v>398</v>
      </c>
      <c r="E2532" s="27" t="s">
        <v>1682</v>
      </c>
      <c r="F2532" s="51">
        <v>20302</v>
      </c>
      <c r="G2532" s="27"/>
    </row>
    <row r="2533" spans="1:7">
      <c r="A2533" s="27">
        <v>128</v>
      </c>
      <c r="B2533" s="27" t="s">
        <v>196</v>
      </c>
      <c r="C2533" s="27" t="s">
        <v>306</v>
      </c>
      <c r="D2533" s="27" t="s">
        <v>415</v>
      </c>
      <c r="E2533" s="27" t="s">
        <v>1682</v>
      </c>
      <c r="F2533" s="51">
        <v>18791</v>
      </c>
      <c r="G2533" s="27"/>
    </row>
    <row r="2534" spans="1:7">
      <c r="A2534" s="27">
        <v>128</v>
      </c>
      <c r="B2534" s="27" t="s">
        <v>196</v>
      </c>
      <c r="C2534" s="27" t="s">
        <v>306</v>
      </c>
      <c r="D2534" s="27" t="s">
        <v>291</v>
      </c>
      <c r="E2534" s="27" t="s">
        <v>1681</v>
      </c>
      <c r="F2534" s="51">
        <v>11919</v>
      </c>
      <c r="G2534" s="27"/>
    </row>
    <row r="2535" spans="1:7">
      <c r="A2535" s="27">
        <v>128</v>
      </c>
      <c r="B2535" s="27" t="s">
        <v>196</v>
      </c>
      <c r="C2535" s="27" t="s">
        <v>306</v>
      </c>
      <c r="D2535" s="27" t="s">
        <v>399</v>
      </c>
      <c r="E2535" s="27" t="s">
        <v>1681</v>
      </c>
      <c r="F2535" s="51">
        <v>1954534</v>
      </c>
      <c r="G2535" s="27"/>
    </row>
    <row r="2536" spans="1:7">
      <c r="A2536" s="27">
        <v>128</v>
      </c>
      <c r="B2536" s="27" t="s">
        <v>196</v>
      </c>
      <c r="C2536" s="27" t="s">
        <v>306</v>
      </c>
      <c r="D2536" s="27" t="s">
        <v>293</v>
      </c>
      <c r="E2536" s="27" t="s">
        <v>1681</v>
      </c>
      <c r="F2536" s="51">
        <v>134377</v>
      </c>
      <c r="G2536" s="27"/>
    </row>
    <row r="2537" spans="1:7">
      <c r="A2537" s="27">
        <v>128</v>
      </c>
      <c r="B2537" s="27" t="s">
        <v>196</v>
      </c>
      <c r="C2537" s="27" t="s">
        <v>306</v>
      </c>
      <c r="D2537" s="27" t="s">
        <v>307</v>
      </c>
      <c r="E2537" s="27" t="s">
        <v>1681</v>
      </c>
      <c r="F2537" s="51">
        <v>28000</v>
      </c>
      <c r="G2537" s="27"/>
    </row>
    <row r="2538" spans="1:7">
      <c r="A2538" s="27">
        <v>128</v>
      </c>
      <c r="B2538" s="27" t="s">
        <v>196</v>
      </c>
      <c r="C2538" s="27" t="s">
        <v>306</v>
      </c>
      <c r="D2538" s="27" t="s">
        <v>294</v>
      </c>
      <c r="E2538" s="27" t="s">
        <v>1681</v>
      </c>
      <c r="F2538" s="51">
        <v>20736</v>
      </c>
      <c r="G2538" s="27"/>
    </row>
    <row r="2539" spans="1:7">
      <c r="A2539" s="27">
        <v>128</v>
      </c>
      <c r="B2539" s="27" t="s">
        <v>196</v>
      </c>
      <c r="C2539" s="27" t="s">
        <v>306</v>
      </c>
      <c r="D2539" s="27" t="s">
        <v>295</v>
      </c>
      <c r="E2539" s="27" t="s">
        <v>1681</v>
      </c>
      <c r="F2539" s="51">
        <v>165757</v>
      </c>
      <c r="G2539" s="27"/>
    </row>
    <row r="2540" spans="1:7">
      <c r="A2540" s="27">
        <v>128</v>
      </c>
      <c r="B2540" s="27" t="s">
        <v>196</v>
      </c>
      <c r="C2540" s="27" t="s">
        <v>306</v>
      </c>
      <c r="D2540" s="27" t="s">
        <v>296</v>
      </c>
      <c r="E2540" s="27" t="s">
        <v>1681</v>
      </c>
      <c r="F2540" s="51">
        <v>673897</v>
      </c>
      <c r="G2540" s="27"/>
    </row>
    <row r="2541" spans="1:7">
      <c r="A2541" s="27">
        <v>128</v>
      </c>
      <c r="B2541" s="27" t="s">
        <v>196</v>
      </c>
      <c r="C2541" s="27" t="s">
        <v>306</v>
      </c>
      <c r="D2541" s="27" t="s">
        <v>400</v>
      </c>
      <c r="E2541" s="27" t="s">
        <v>1681</v>
      </c>
      <c r="F2541" s="51">
        <v>155296</v>
      </c>
      <c r="G2541" s="27"/>
    </row>
    <row r="2542" spans="1:7">
      <c r="A2542" s="27">
        <v>128</v>
      </c>
      <c r="B2542" s="27" t="s">
        <v>196</v>
      </c>
      <c r="C2542" s="27" t="s">
        <v>306</v>
      </c>
      <c r="D2542" s="27" t="s">
        <v>298</v>
      </c>
      <c r="E2542" s="27" t="s">
        <v>1681</v>
      </c>
      <c r="F2542" s="51">
        <v>140436</v>
      </c>
      <c r="G2542" s="27"/>
    </row>
    <row r="2543" spans="1:7">
      <c r="A2543" s="27">
        <v>128</v>
      </c>
      <c r="B2543" s="27" t="s">
        <v>196</v>
      </c>
      <c r="C2543" s="27" t="s">
        <v>306</v>
      </c>
      <c r="D2543" s="27" t="s">
        <v>401</v>
      </c>
      <c r="E2543" s="27" t="s">
        <v>1681</v>
      </c>
      <c r="F2543" s="51">
        <v>14868</v>
      </c>
      <c r="G2543" s="27"/>
    </row>
    <row r="2544" spans="1:7">
      <c r="A2544" s="27">
        <v>128</v>
      </c>
      <c r="B2544" s="27" t="s">
        <v>196</v>
      </c>
      <c r="C2544" s="27" t="s">
        <v>306</v>
      </c>
      <c r="D2544" s="27" t="s">
        <v>402</v>
      </c>
      <c r="E2544" s="27" t="s">
        <v>1681</v>
      </c>
      <c r="F2544" s="51">
        <v>39977</v>
      </c>
      <c r="G2544" s="27"/>
    </row>
    <row r="2545" spans="1:7">
      <c r="A2545" s="27">
        <v>128</v>
      </c>
      <c r="B2545" s="27" t="s">
        <v>196</v>
      </c>
      <c r="C2545" s="27" t="s">
        <v>306</v>
      </c>
      <c r="D2545" s="27" t="s">
        <v>299</v>
      </c>
      <c r="E2545" s="27" t="s">
        <v>1681</v>
      </c>
      <c r="F2545" s="51">
        <v>5989</v>
      </c>
      <c r="G2545" s="27"/>
    </row>
    <row r="2546" spans="1:7">
      <c r="A2546" s="27">
        <v>128</v>
      </c>
      <c r="B2546" s="27" t="s">
        <v>196</v>
      </c>
      <c r="C2546" s="27" t="s">
        <v>306</v>
      </c>
      <c r="D2546" s="27" t="s">
        <v>300</v>
      </c>
      <c r="E2546" s="27" t="s">
        <v>1681</v>
      </c>
      <c r="F2546" s="51">
        <v>14000</v>
      </c>
      <c r="G2546" s="27"/>
    </row>
    <row r="2547" spans="1:7">
      <c r="A2547" s="27">
        <v>129</v>
      </c>
      <c r="B2547" s="27" t="s">
        <v>197</v>
      </c>
      <c r="C2547" s="27" t="s">
        <v>393</v>
      </c>
      <c r="D2547" s="27" t="s">
        <v>408</v>
      </c>
      <c r="E2547" s="27" t="s">
        <v>1682</v>
      </c>
      <c r="F2547" s="51">
        <v>13105</v>
      </c>
      <c r="G2547" s="27"/>
    </row>
    <row r="2548" spans="1:7">
      <c r="A2548" s="27">
        <v>129</v>
      </c>
      <c r="B2548" s="27" t="s">
        <v>197</v>
      </c>
      <c r="C2548" s="27" t="s">
        <v>393</v>
      </c>
      <c r="D2548" s="27" t="s">
        <v>394</v>
      </c>
      <c r="E2548" s="27" t="s">
        <v>1682</v>
      </c>
      <c r="F2548" s="51">
        <v>277401</v>
      </c>
      <c r="G2548" s="27"/>
    </row>
    <row r="2549" spans="1:7">
      <c r="A2549" s="27">
        <v>129</v>
      </c>
      <c r="B2549" s="27" t="s">
        <v>197</v>
      </c>
      <c r="C2549" s="27" t="s">
        <v>393</v>
      </c>
      <c r="D2549" s="27" t="s">
        <v>333</v>
      </c>
      <c r="E2549" s="27" t="s">
        <v>1682</v>
      </c>
      <c r="F2549" s="51">
        <v>2541</v>
      </c>
      <c r="G2549" s="27"/>
    </row>
    <row r="2550" spans="1:7">
      <c r="A2550" s="27">
        <v>129</v>
      </c>
      <c r="B2550" s="27" t="s">
        <v>197</v>
      </c>
      <c r="C2550" s="27" t="s">
        <v>393</v>
      </c>
      <c r="D2550" s="27" t="s">
        <v>412</v>
      </c>
      <c r="E2550" s="27" t="s">
        <v>1682</v>
      </c>
      <c r="F2550" s="51">
        <v>14000</v>
      </c>
      <c r="G2550" s="27"/>
    </row>
    <row r="2551" spans="1:7">
      <c r="A2551" s="27">
        <v>129</v>
      </c>
      <c r="B2551" s="27" t="s">
        <v>197</v>
      </c>
      <c r="C2551" s="27" t="s">
        <v>393</v>
      </c>
      <c r="D2551" s="27" t="s">
        <v>398</v>
      </c>
      <c r="E2551" s="27" t="s">
        <v>1682</v>
      </c>
      <c r="F2551" s="51">
        <v>5930</v>
      </c>
      <c r="G2551" s="27"/>
    </row>
    <row r="2552" spans="1:7">
      <c r="A2552" s="27">
        <v>129</v>
      </c>
      <c r="B2552" s="27" t="s">
        <v>197</v>
      </c>
      <c r="C2552" s="27" t="s">
        <v>393</v>
      </c>
      <c r="D2552" s="27" t="s">
        <v>415</v>
      </c>
      <c r="E2552" s="27" t="s">
        <v>1682</v>
      </c>
      <c r="F2552" s="51">
        <v>8241</v>
      </c>
      <c r="G2552" s="27"/>
    </row>
    <row r="2553" spans="1:7">
      <c r="A2553" s="27">
        <v>129</v>
      </c>
      <c r="B2553" s="27" t="s">
        <v>197</v>
      </c>
      <c r="C2553" s="27" t="s">
        <v>393</v>
      </c>
      <c r="D2553" s="27" t="s">
        <v>399</v>
      </c>
      <c r="E2553" s="27" t="s">
        <v>1681</v>
      </c>
      <c r="F2553" s="51">
        <v>4373954</v>
      </c>
      <c r="G2553" s="27"/>
    </row>
    <row r="2554" spans="1:7">
      <c r="A2554" s="27">
        <v>129</v>
      </c>
      <c r="B2554" s="27" t="s">
        <v>197</v>
      </c>
      <c r="C2554" s="27" t="s">
        <v>393</v>
      </c>
      <c r="D2554" s="27" t="s">
        <v>295</v>
      </c>
      <c r="E2554" s="27" t="s">
        <v>1681</v>
      </c>
      <c r="F2554" s="51">
        <v>22000</v>
      </c>
      <c r="G2554" s="27"/>
    </row>
    <row r="2555" spans="1:7">
      <c r="A2555" s="27">
        <v>129</v>
      </c>
      <c r="B2555" s="27" t="s">
        <v>197</v>
      </c>
      <c r="C2555" s="27" t="s">
        <v>393</v>
      </c>
      <c r="D2555" s="27" t="s">
        <v>296</v>
      </c>
      <c r="E2555" s="27" t="s">
        <v>1681</v>
      </c>
      <c r="F2555" s="51">
        <v>818048</v>
      </c>
      <c r="G2555" s="27"/>
    </row>
    <row r="2556" spans="1:7">
      <c r="A2556" s="27">
        <v>129</v>
      </c>
      <c r="B2556" s="27" t="s">
        <v>197</v>
      </c>
      <c r="C2556" s="27" t="s">
        <v>393</v>
      </c>
      <c r="D2556" s="27" t="s">
        <v>400</v>
      </c>
      <c r="E2556" s="27" t="s">
        <v>1681</v>
      </c>
      <c r="F2556" s="51">
        <v>250460</v>
      </c>
      <c r="G2556" s="27"/>
    </row>
    <row r="2557" spans="1:7">
      <c r="A2557" s="27">
        <v>129</v>
      </c>
      <c r="B2557" s="27" t="s">
        <v>197</v>
      </c>
      <c r="C2557" s="27" t="s">
        <v>393</v>
      </c>
      <c r="D2557" s="27" t="s">
        <v>298</v>
      </c>
      <c r="E2557" s="27" t="s">
        <v>1681</v>
      </c>
      <c r="F2557" s="51">
        <v>58785</v>
      </c>
      <c r="G2557" s="27"/>
    </row>
    <row r="2558" spans="1:7">
      <c r="A2558" s="27">
        <v>129</v>
      </c>
      <c r="B2558" s="27" t="s">
        <v>197</v>
      </c>
      <c r="C2558" s="27" t="s">
        <v>393</v>
      </c>
      <c r="D2558" s="27" t="s">
        <v>401</v>
      </c>
      <c r="E2558" s="27" t="s">
        <v>1681</v>
      </c>
      <c r="F2558" s="51">
        <v>30897</v>
      </c>
      <c r="G2558" s="27"/>
    </row>
    <row r="2559" spans="1:7">
      <c r="A2559" s="27">
        <v>129</v>
      </c>
      <c r="B2559" s="27" t="s">
        <v>197</v>
      </c>
      <c r="C2559" s="27" t="s">
        <v>393</v>
      </c>
      <c r="D2559" s="27" t="s">
        <v>402</v>
      </c>
      <c r="E2559" s="27" t="s">
        <v>1681</v>
      </c>
      <c r="F2559" s="51">
        <v>146113</v>
      </c>
      <c r="G2559" s="27"/>
    </row>
    <row r="2560" spans="1:7">
      <c r="A2560" s="27">
        <v>130</v>
      </c>
      <c r="B2560" s="27" t="s">
        <v>198</v>
      </c>
      <c r="C2560" s="27" t="s">
        <v>306</v>
      </c>
      <c r="D2560" s="27" t="s">
        <v>399</v>
      </c>
      <c r="E2560" s="27" t="s">
        <v>1681</v>
      </c>
      <c r="F2560" s="51">
        <v>1066648</v>
      </c>
      <c r="G2560" s="27"/>
    </row>
    <row r="2561" spans="1:7">
      <c r="A2561" s="27">
        <v>131</v>
      </c>
      <c r="B2561" s="27" t="s">
        <v>199</v>
      </c>
      <c r="C2561" s="27" t="s">
        <v>311</v>
      </c>
      <c r="D2561" s="27" t="s">
        <v>406</v>
      </c>
      <c r="E2561" s="27" t="s">
        <v>1682</v>
      </c>
      <c r="F2561" s="51">
        <v>44757</v>
      </c>
      <c r="G2561" s="27"/>
    </row>
    <row r="2562" spans="1:7">
      <c r="A2562" s="27">
        <v>131</v>
      </c>
      <c r="B2562" s="27" t="s">
        <v>199</v>
      </c>
      <c r="C2562" s="27" t="s">
        <v>311</v>
      </c>
      <c r="D2562" s="27" t="s">
        <v>408</v>
      </c>
      <c r="E2562" s="27" t="s">
        <v>1682</v>
      </c>
      <c r="F2562" s="51">
        <v>174925</v>
      </c>
      <c r="G2562" s="27"/>
    </row>
    <row r="2563" spans="1:7">
      <c r="A2563" s="27">
        <v>131</v>
      </c>
      <c r="B2563" s="27" t="s">
        <v>199</v>
      </c>
      <c r="C2563" s="27" t="s">
        <v>311</v>
      </c>
      <c r="D2563" s="27" t="s">
        <v>409</v>
      </c>
      <c r="E2563" s="27" t="s">
        <v>1682</v>
      </c>
      <c r="F2563" s="51">
        <v>5796</v>
      </c>
      <c r="G2563" s="27"/>
    </row>
    <row r="2564" spans="1:7">
      <c r="A2564" s="27">
        <v>131</v>
      </c>
      <c r="B2564" s="27" t="s">
        <v>199</v>
      </c>
      <c r="C2564" s="27" t="s">
        <v>311</v>
      </c>
      <c r="D2564" s="27" t="s">
        <v>394</v>
      </c>
      <c r="E2564" s="27" t="s">
        <v>1682</v>
      </c>
      <c r="F2564" s="51">
        <v>924406</v>
      </c>
      <c r="G2564" s="27"/>
    </row>
    <row r="2565" spans="1:7">
      <c r="A2565" s="27">
        <v>131</v>
      </c>
      <c r="B2565" s="27" t="s">
        <v>199</v>
      </c>
      <c r="C2565" s="27" t="s">
        <v>311</v>
      </c>
      <c r="D2565" s="27" t="s">
        <v>396</v>
      </c>
      <c r="E2565" s="27" t="s">
        <v>1682</v>
      </c>
      <c r="F2565" s="51">
        <v>44000</v>
      </c>
      <c r="G2565" s="27"/>
    </row>
    <row r="2566" spans="1:7">
      <c r="A2566" s="27">
        <v>131</v>
      </c>
      <c r="B2566" s="27" t="s">
        <v>199</v>
      </c>
      <c r="C2566" s="27" t="s">
        <v>311</v>
      </c>
      <c r="D2566" s="27" t="s">
        <v>410</v>
      </c>
      <c r="E2566" s="27" t="s">
        <v>1682</v>
      </c>
      <c r="F2566" s="51">
        <v>31135</v>
      </c>
      <c r="G2566" s="27"/>
    </row>
    <row r="2567" spans="1:7">
      <c r="A2567" s="27">
        <v>131</v>
      </c>
      <c r="B2567" s="27" t="s">
        <v>199</v>
      </c>
      <c r="C2567" s="27" t="s">
        <v>311</v>
      </c>
      <c r="D2567" s="27" t="s">
        <v>397</v>
      </c>
      <c r="E2567" s="27" t="s">
        <v>1682</v>
      </c>
      <c r="F2567" s="51">
        <v>300996</v>
      </c>
      <c r="G2567" s="27"/>
    </row>
    <row r="2568" spans="1:7">
      <c r="A2568" s="27">
        <v>131</v>
      </c>
      <c r="B2568" s="27" t="s">
        <v>199</v>
      </c>
      <c r="C2568" s="27" t="s">
        <v>311</v>
      </c>
      <c r="D2568" s="27" t="s">
        <v>411</v>
      </c>
      <c r="E2568" s="27" t="s">
        <v>1682</v>
      </c>
      <c r="F2568" s="51">
        <v>9976</v>
      </c>
      <c r="G2568" s="27"/>
    </row>
    <row r="2569" spans="1:7">
      <c r="A2569" s="27">
        <v>131</v>
      </c>
      <c r="B2569" s="27" t="s">
        <v>199</v>
      </c>
      <c r="C2569" s="27" t="s">
        <v>311</v>
      </c>
      <c r="D2569" s="27" t="s">
        <v>412</v>
      </c>
      <c r="E2569" s="27" t="s">
        <v>1682</v>
      </c>
      <c r="F2569" s="51">
        <v>135189</v>
      </c>
      <c r="G2569" s="27"/>
    </row>
    <row r="2570" spans="1:7">
      <c r="A2570" s="27">
        <v>131</v>
      </c>
      <c r="B2570" s="27" t="s">
        <v>199</v>
      </c>
      <c r="C2570" s="27" t="s">
        <v>311</v>
      </c>
      <c r="D2570" s="27" t="s">
        <v>398</v>
      </c>
      <c r="E2570" s="27" t="s">
        <v>1682</v>
      </c>
      <c r="F2570" s="51">
        <v>22126</v>
      </c>
      <c r="G2570" s="27"/>
    </row>
    <row r="2571" spans="1:7">
      <c r="A2571" s="27">
        <v>131</v>
      </c>
      <c r="B2571" s="27" t="s">
        <v>199</v>
      </c>
      <c r="C2571" s="27" t="s">
        <v>311</v>
      </c>
      <c r="D2571" s="27" t="s">
        <v>415</v>
      </c>
      <c r="E2571" s="27" t="s">
        <v>1682</v>
      </c>
      <c r="F2571" s="51">
        <v>31152</v>
      </c>
      <c r="G2571" s="27"/>
    </row>
    <row r="2572" spans="1:7">
      <c r="A2572" s="27">
        <v>131</v>
      </c>
      <c r="B2572" s="27" t="s">
        <v>199</v>
      </c>
      <c r="C2572" s="27" t="s">
        <v>311</v>
      </c>
      <c r="D2572" s="27" t="s">
        <v>291</v>
      </c>
      <c r="E2572" s="27" t="s">
        <v>1681</v>
      </c>
      <c r="F2572" s="51">
        <v>14825</v>
      </c>
      <c r="G2572" s="27"/>
    </row>
    <row r="2573" spans="1:7">
      <c r="A2573" s="27">
        <v>131</v>
      </c>
      <c r="B2573" s="27" t="s">
        <v>199</v>
      </c>
      <c r="C2573" s="27" t="s">
        <v>311</v>
      </c>
      <c r="D2573" s="27" t="s">
        <v>399</v>
      </c>
      <c r="E2573" s="27" t="s">
        <v>1681</v>
      </c>
      <c r="F2573" s="51">
        <v>15420464</v>
      </c>
      <c r="G2573" s="27"/>
    </row>
    <row r="2574" spans="1:7">
      <c r="A2574" s="27">
        <v>131</v>
      </c>
      <c r="B2574" s="27" t="s">
        <v>199</v>
      </c>
      <c r="C2574" s="27" t="s">
        <v>311</v>
      </c>
      <c r="D2574" s="27" t="s">
        <v>307</v>
      </c>
      <c r="E2574" s="27" t="s">
        <v>1681</v>
      </c>
      <c r="F2574" s="51">
        <v>21600</v>
      </c>
      <c r="G2574" s="27"/>
    </row>
    <row r="2575" spans="1:7">
      <c r="A2575" s="27">
        <v>131</v>
      </c>
      <c r="B2575" s="27" t="s">
        <v>199</v>
      </c>
      <c r="C2575" s="27" t="s">
        <v>311</v>
      </c>
      <c r="D2575" s="27" t="s">
        <v>294</v>
      </c>
      <c r="E2575" s="27" t="s">
        <v>1681</v>
      </c>
      <c r="F2575" s="51">
        <v>39821</v>
      </c>
      <c r="G2575" s="27"/>
    </row>
    <row r="2576" spans="1:7">
      <c r="A2576" s="27">
        <v>131</v>
      </c>
      <c r="B2576" s="27" t="s">
        <v>199</v>
      </c>
      <c r="C2576" s="27" t="s">
        <v>311</v>
      </c>
      <c r="D2576" s="27" t="s">
        <v>295</v>
      </c>
      <c r="E2576" s="27" t="s">
        <v>1681</v>
      </c>
      <c r="F2576" s="51">
        <v>24000</v>
      </c>
      <c r="G2576" s="27"/>
    </row>
    <row r="2577" spans="1:7">
      <c r="A2577" s="27">
        <v>131</v>
      </c>
      <c r="B2577" s="27" t="s">
        <v>199</v>
      </c>
      <c r="C2577" s="27" t="s">
        <v>311</v>
      </c>
      <c r="D2577" s="27" t="s">
        <v>296</v>
      </c>
      <c r="E2577" s="27" t="s">
        <v>1681</v>
      </c>
      <c r="F2577" s="51">
        <v>5908582</v>
      </c>
      <c r="G2577" s="27"/>
    </row>
    <row r="2578" spans="1:7">
      <c r="A2578" s="27">
        <v>131</v>
      </c>
      <c r="B2578" s="27" t="s">
        <v>199</v>
      </c>
      <c r="C2578" s="27" t="s">
        <v>311</v>
      </c>
      <c r="D2578" s="27" t="s">
        <v>400</v>
      </c>
      <c r="E2578" s="27" t="s">
        <v>1681</v>
      </c>
      <c r="F2578" s="51">
        <v>934962</v>
      </c>
      <c r="G2578" s="27"/>
    </row>
    <row r="2579" spans="1:7">
      <c r="A2579" s="27">
        <v>131</v>
      </c>
      <c r="B2579" s="27" t="s">
        <v>199</v>
      </c>
      <c r="C2579" s="27" t="s">
        <v>311</v>
      </c>
      <c r="D2579" s="27" t="s">
        <v>298</v>
      </c>
      <c r="E2579" s="27" t="s">
        <v>1681</v>
      </c>
      <c r="F2579" s="51">
        <v>270193</v>
      </c>
      <c r="G2579" s="27"/>
    </row>
    <row r="2580" spans="1:7">
      <c r="A2580" s="27">
        <v>131</v>
      </c>
      <c r="B2580" s="27" t="s">
        <v>199</v>
      </c>
      <c r="C2580" s="27" t="s">
        <v>311</v>
      </c>
      <c r="D2580" s="27" t="s">
        <v>401</v>
      </c>
      <c r="E2580" s="27" t="s">
        <v>1681</v>
      </c>
      <c r="F2580" s="51">
        <v>33474</v>
      </c>
      <c r="G2580" s="27"/>
    </row>
    <row r="2581" spans="1:7">
      <c r="A2581" s="27">
        <v>131</v>
      </c>
      <c r="B2581" s="27" t="s">
        <v>199</v>
      </c>
      <c r="C2581" s="27" t="s">
        <v>311</v>
      </c>
      <c r="D2581" s="27" t="s">
        <v>402</v>
      </c>
      <c r="E2581" s="27" t="s">
        <v>1681</v>
      </c>
      <c r="F2581" s="51">
        <v>255734</v>
      </c>
      <c r="G2581" s="27"/>
    </row>
    <row r="2582" spans="1:7">
      <c r="A2582" s="27">
        <v>131</v>
      </c>
      <c r="B2582" s="27" t="s">
        <v>199</v>
      </c>
      <c r="C2582" s="27" t="s">
        <v>311</v>
      </c>
      <c r="D2582" s="27" t="s">
        <v>299</v>
      </c>
      <c r="E2582" s="27" t="s">
        <v>1681</v>
      </c>
      <c r="F2582" s="51">
        <v>31394</v>
      </c>
      <c r="G2582" s="27"/>
    </row>
    <row r="2583" spans="1:7">
      <c r="A2583" s="27">
        <v>131</v>
      </c>
      <c r="B2583" s="27" t="s">
        <v>199</v>
      </c>
      <c r="C2583" s="27" t="s">
        <v>311</v>
      </c>
      <c r="D2583" s="27" t="s">
        <v>320</v>
      </c>
      <c r="E2583" s="27" t="s">
        <v>1681</v>
      </c>
      <c r="F2583" s="51">
        <v>71384</v>
      </c>
      <c r="G2583" s="27"/>
    </row>
    <row r="2584" spans="1:7">
      <c r="A2584" s="27">
        <v>131</v>
      </c>
      <c r="B2584" s="27" t="s">
        <v>199</v>
      </c>
      <c r="C2584" s="27" t="s">
        <v>311</v>
      </c>
      <c r="D2584" s="27" t="s">
        <v>300</v>
      </c>
      <c r="E2584" s="27" t="s">
        <v>1681</v>
      </c>
      <c r="F2584" s="51">
        <v>25541</v>
      </c>
      <c r="G2584" s="27"/>
    </row>
    <row r="2585" spans="1:7">
      <c r="A2585" s="27">
        <v>132</v>
      </c>
      <c r="B2585" s="27" t="s">
        <v>200</v>
      </c>
      <c r="C2585" s="27" t="s">
        <v>306</v>
      </c>
      <c r="D2585" s="27" t="s">
        <v>406</v>
      </c>
      <c r="E2585" s="27" t="s">
        <v>1682</v>
      </c>
      <c r="F2585" s="51">
        <v>20743</v>
      </c>
      <c r="G2585" s="27"/>
    </row>
    <row r="2586" spans="1:7">
      <c r="A2586" s="27">
        <v>132</v>
      </c>
      <c r="B2586" s="27" t="s">
        <v>200</v>
      </c>
      <c r="C2586" s="27" t="s">
        <v>306</v>
      </c>
      <c r="D2586" s="27" t="s">
        <v>408</v>
      </c>
      <c r="E2586" s="27" t="s">
        <v>1682</v>
      </c>
      <c r="F2586" s="51">
        <v>130365</v>
      </c>
      <c r="G2586" s="27"/>
    </row>
    <row r="2587" spans="1:7">
      <c r="A2587" s="27">
        <v>132</v>
      </c>
      <c r="B2587" s="27" t="s">
        <v>200</v>
      </c>
      <c r="C2587" s="27" t="s">
        <v>306</v>
      </c>
      <c r="D2587" s="27" t="s">
        <v>394</v>
      </c>
      <c r="E2587" s="27" t="s">
        <v>1682</v>
      </c>
      <c r="F2587" s="51">
        <v>615614</v>
      </c>
      <c r="G2587" s="27"/>
    </row>
    <row r="2588" spans="1:7">
      <c r="A2588" s="27">
        <v>132</v>
      </c>
      <c r="B2588" s="27" t="s">
        <v>200</v>
      </c>
      <c r="C2588" s="27" t="s">
        <v>306</v>
      </c>
      <c r="D2588" s="27" t="s">
        <v>333</v>
      </c>
      <c r="E2588" s="27" t="s">
        <v>1682</v>
      </c>
      <c r="F2588" s="51">
        <v>8409</v>
      </c>
      <c r="G2588" s="27"/>
    </row>
    <row r="2589" spans="1:7">
      <c r="A2589" s="27">
        <v>132</v>
      </c>
      <c r="B2589" s="27" t="s">
        <v>200</v>
      </c>
      <c r="C2589" s="27" t="s">
        <v>306</v>
      </c>
      <c r="D2589" s="27" t="s">
        <v>412</v>
      </c>
      <c r="E2589" s="27" t="s">
        <v>1682</v>
      </c>
      <c r="F2589" s="51">
        <v>28527</v>
      </c>
      <c r="G2589" s="27"/>
    </row>
    <row r="2590" spans="1:7">
      <c r="A2590" s="27">
        <v>132</v>
      </c>
      <c r="B2590" s="27" t="s">
        <v>200</v>
      </c>
      <c r="C2590" s="27" t="s">
        <v>306</v>
      </c>
      <c r="D2590" s="27" t="s">
        <v>398</v>
      </c>
      <c r="E2590" s="27" t="s">
        <v>1682</v>
      </c>
      <c r="F2590" s="51">
        <v>10111</v>
      </c>
      <c r="G2590" s="27"/>
    </row>
    <row r="2591" spans="1:7">
      <c r="A2591" s="27">
        <v>132</v>
      </c>
      <c r="B2591" s="27" t="s">
        <v>200</v>
      </c>
      <c r="C2591" s="27" t="s">
        <v>306</v>
      </c>
      <c r="D2591" s="27" t="s">
        <v>415</v>
      </c>
      <c r="E2591" s="27" t="s">
        <v>1682</v>
      </c>
      <c r="F2591" s="51">
        <v>1000</v>
      </c>
      <c r="G2591" s="27"/>
    </row>
    <row r="2592" spans="1:7">
      <c r="A2592" s="27">
        <v>132</v>
      </c>
      <c r="B2592" s="27" t="s">
        <v>200</v>
      </c>
      <c r="C2592" s="27" t="s">
        <v>306</v>
      </c>
      <c r="D2592" s="27" t="s">
        <v>291</v>
      </c>
      <c r="E2592" s="27" t="s">
        <v>1681</v>
      </c>
      <c r="F2592" s="51">
        <v>19754</v>
      </c>
      <c r="G2592" s="27"/>
    </row>
    <row r="2593" spans="1:7">
      <c r="A2593" s="27">
        <v>132</v>
      </c>
      <c r="B2593" s="27" t="s">
        <v>200</v>
      </c>
      <c r="C2593" s="27" t="s">
        <v>306</v>
      </c>
      <c r="D2593" s="27" t="s">
        <v>399</v>
      </c>
      <c r="E2593" s="27" t="s">
        <v>1681</v>
      </c>
      <c r="F2593" s="51">
        <v>9151017</v>
      </c>
      <c r="G2593" s="27"/>
    </row>
    <row r="2594" spans="1:7">
      <c r="A2594" s="27">
        <v>132</v>
      </c>
      <c r="B2594" s="27" t="s">
        <v>200</v>
      </c>
      <c r="C2594" s="27" t="s">
        <v>306</v>
      </c>
      <c r="D2594" s="27" t="s">
        <v>307</v>
      </c>
      <c r="E2594" s="27" t="s">
        <v>1681</v>
      </c>
      <c r="F2594" s="51">
        <v>106800</v>
      </c>
      <c r="G2594" s="27"/>
    </row>
    <row r="2595" spans="1:7">
      <c r="A2595" s="27">
        <v>132</v>
      </c>
      <c r="B2595" s="27" t="s">
        <v>200</v>
      </c>
      <c r="C2595" s="27" t="s">
        <v>306</v>
      </c>
      <c r="D2595" s="27" t="s">
        <v>295</v>
      </c>
      <c r="E2595" s="27" t="s">
        <v>1681</v>
      </c>
      <c r="F2595" s="51">
        <v>142384</v>
      </c>
      <c r="G2595" s="27"/>
    </row>
    <row r="2596" spans="1:7">
      <c r="A2596" s="27">
        <v>132</v>
      </c>
      <c r="B2596" s="27" t="s">
        <v>200</v>
      </c>
      <c r="C2596" s="27" t="s">
        <v>306</v>
      </c>
      <c r="D2596" s="27" t="s">
        <v>304</v>
      </c>
      <c r="E2596" s="27" t="s">
        <v>1681</v>
      </c>
      <c r="F2596" s="51">
        <v>23938</v>
      </c>
      <c r="G2596" s="27"/>
    </row>
    <row r="2597" spans="1:7">
      <c r="A2597" s="27">
        <v>132</v>
      </c>
      <c r="B2597" s="27" t="s">
        <v>200</v>
      </c>
      <c r="C2597" s="27" t="s">
        <v>306</v>
      </c>
      <c r="D2597" s="27" t="s">
        <v>296</v>
      </c>
      <c r="E2597" s="27" t="s">
        <v>1681</v>
      </c>
      <c r="F2597" s="51">
        <v>1320557</v>
      </c>
      <c r="G2597" s="27"/>
    </row>
    <row r="2598" spans="1:7">
      <c r="A2598" s="27">
        <v>132</v>
      </c>
      <c r="B2598" s="27" t="s">
        <v>200</v>
      </c>
      <c r="C2598" s="27" t="s">
        <v>306</v>
      </c>
      <c r="D2598" s="27" t="s">
        <v>400</v>
      </c>
      <c r="E2598" s="27" t="s">
        <v>1681</v>
      </c>
      <c r="F2598" s="51">
        <v>140071</v>
      </c>
      <c r="G2598" s="27"/>
    </row>
    <row r="2599" spans="1:7">
      <c r="A2599" s="27">
        <v>132</v>
      </c>
      <c r="B2599" s="27" t="s">
        <v>200</v>
      </c>
      <c r="C2599" s="27" t="s">
        <v>306</v>
      </c>
      <c r="D2599" s="27" t="s">
        <v>298</v>
      </c>
      <c r="E2599" s="27" t="s">
        <v>1681</v>
      </c>
      <c r="F2599" s="51">
        <v>173916</v>
      </c>
      <c r="G2599" s="27"/>
    </row>
    <row r="2600" spans="1:7">
      <c r="A2600" s="27">
        <v>132</v>
      </c>
      <c r="B2600" s="27" t="s">
        <v>200</v>
      </c>
      <c r="C2600" s="27" t="s">
        <v>306</v>
      </c>
      <c r="D2600" s="27" t="s">
        <v>401</v>
      </c>
      <c r="E2600" s="27" t="s">
        <v>1681</v>
      </c>
      <c r="F2600" s="51">
        <v>29446</v>
      </c>
      <c r="G2600" s="27"/>
    </row>
    <row r="2601" spans="1:7">
      <c r="A2601" s="27">
        <v>132</v>
      </c>
      <c r="B2601" s="27" t="s">
        <v>200</v>
      </c>
      <c r="C2601" s="27" t="s">
        <v>306</v>
      </c>
      <c r="D2601" s="27" t="s">
        <v>402</v>
      </c>
      <c r="E2601" s="27" t="s">
        <v>1681</v>
      </c>
      <c r="F2601" s="51">
        <v>194996</v>
      </c>
      <c r="G2601" s="27"/>
    </row>
    <row r="2602" spans="1:7">
      <c r="A2602" s="27">
        <v>132</v>
      </c>
      <c r="B2602" s="27" t="s">
        <v>200</v>
      </c>
      <c r="C2602" s="27" t="s">
        <v>306</v>
      </c>
      <c r="D2602" s="27" t="s">
        <v>300</v>
      </c>
      <c r="E2602" s="27" t="s">
        <v>1681</v>
      </c>
      <c r="F2602" s="51">
        <v>21802</v>
      </c>
      <c r="G2602" s="27"/>
    </row>
    <row r="2603" spans="1:7">
      <c r="A2603" s="27">
        <v>133</v>
      </c>
      <c r="B2603" s="27" t="s">
        <v>201</v>
      </c>
      <c r="C2603" s="27" t="s">
        <v>346</v>
      </c>
      <c r="D2603" s="27" t="s">
        <v>408</v>
      </c>
      <c r="E2603" s="27" t="s">
        <v>1682</v>
      </c>
      <c r="F2603" s="51">
        <v>28038</v>
      </c>
      <c r="G2603" s="27"/>
    </row>
    <row r="2604" spans="1:7">
      <c r="A2604" s="27">
        <v>133</v>
      </c>
      <c r="B2604" s="27" t="s">
        <v>201</v>
      </c>
      <c r="C2604" s="27" t="s">
        <v>346</v>
      </c>
      <c r="D2604" s="27" t="s">
        <v>394</v>
      </c>
      <c r="E2604" s="27" t="s">
        <v>1682</v>
      </c>
      <c r="F2604" s="51">
        <v>66926</v>
      </c>
      <c r="G2604" s="27"/>
    </row>
    <row r="2605" spans="1:7">
      <c r="A2605" s="27">
        <v>133</v>
      </c>
      <c r="B2605" s="27" t="s">
        <v>201</v>
      </c>
      <c r="C2605" s="27" t="s">
        <v>346</v>
      </c>
      <c r="D2605" s="27" t="s">
        <v>397</v>
      </c>
      <c r="E2605" s="27" t="s">
        <v>1682</v>
      </c>
      <c r="F2605" s="51">
        <v>80918</v>
      </c>
      <c r="G2605" s="27"/>
    </row>
    <row r="2606" spans="1:7">
      <c r="A2606" s="27">
        <v>133</v>
      </c>
      <c r="B2606" s="27" t="s">
        <v>201</v>
      </c>
      <c r="C2606" s="27" t="s">
        <v>346</v>
      </c>
      <c r="D2606" s="27" t="s">
        <v>411</v>
      </c>
      <c r="E2606" s="27" t="s">
        <v>1682</v>
      </c>
      <c r="F2606" s="51">
        <v>39094</v>
      </c>
      <c r="G2606" s="27"/>
    </row>
    <row r="2607" spans="1:7">
      <c r="A2607" s="27">
        <v>133</v>
      </c>
      <c r="B2607" s="27" t="s">
        <v>201</v>
      </c>
      <c r="C2607" s="27" t="s">
        <v>346</v>
      </c>
      <c r="D2607" s="27" t="s">
        <v>412</v>
      </c>
      <c r="E2607" s="27" t="s">
        <v>1682</v>
      </c>
      <c r="F2607" s="51">
        <v>22608</v>
      </c>
      <c r="G2607" s="27"/>
    </row>
    <row r="2608" spans="1:7">
      <c r="A2608" s="27">
        <v>133</v>
      </c>
      <c r="B2608" s="27" t="s">
        <v>201</v>
      </c>
      <c r="C2608" s="27" t="s">
        <v>346</v>
      </c>
      <c r="D2608" s="27" t="s">
        <v>398</v>
      </c>
      <c r="E2608" s="27" t="s">
        <v>1682</v>
      </c>
      <c r="F2608" s="51">
        <v>2730</v>
      </c>
      <c r="G2608" s="27"/>
    </row>
    <row r="2609" spans="1:7">
      <c r="A2609" s="27">
        <v>133</v>
      </c>
      <c r="B2609" s="27" t="s">
        <v>201</v>
      </c>
      <c r="C2609" s="27" t="s">
        <v>346</v>
      </c>
      <c r="D2609" s="27" t="s">
        <v>415</v>
      </c>
      <c r="E2609" s="27" t="s">
        <v>1682</v>
      </c>
      <c r="F2609" s="51">
        <v>3373</v>
      </c>
      <c r="G2609" s="27"/>
    </row>
    <row r="2610" spans="1:7">
      <c r="A2610" s="27">
        <v>133</v>
      </c>
      <c r="B2610" s="27" t="s">
        <v>201</v>
      </c>
      <c r="C2610" s="27" t="s">
        <v>346</v>
      </c>
      <c r="D2610" s="27" t="s">
        <v>291</v>
      </c>
      <c r="E2610" s="27" t="s">
        <v>1681</v>
      </c>
      <c r="F2610" s="51">
        <v>1805</v>
      </c>
      <c r="G2610" s="27"/>
    </row>
    <row r="2611" spans="1:7">
      <c r="A2611" s="27">
        <v>133</v>
      </c>
      <c r="B2611" s="27" t="s">
        <v>201</v>
      </c>
      <c r="C2611" s="27" t="s">
        <v>346</v>
      </c>
      <c r="D2611" s="27" t="s">
        <v>399</v>
      </c>
      <c r="E2611" s="27" t="s">
        <v>1681</v>
      </c>
      <c r="F2611" s="51">
        <v>2300706</v>
      </c>
      <c r="G2611" s="27"/>
    </row>
    <row r="2612" spans="1:7">
      <c r="A2612" s="27">
        <v>133</v>
      </c>
      <c r="B2612" s="27" t="s">
        <v>201</v>
      </c>
      <c r="C2612" s="27" t="s">
        <v>346</v>
      </c>
      <c r="D2612" s="27" t="s">
        <v>294</v>
      </c>
      <c r="E2612" s="27" t="s">
        <v>1681</v>
      </c>
      <c r="F2612" s="51">
        <v>15867</v>
      </c>
      <c r="G2612" s="27"/>
    </row>
    <row r="2613" spans="1:7">
      <c r="A2613" s="27">
        <v>133</v>
      </c>
      <c r="B2613" s="27" t="s">
        <v>201</v>
      </c>
      <c r="C2613" s="27" t="s">
        <v>346</v>
      </c>
      <c r="D2613" s="27" t="s">
        <v>303</v>
      </c>
      <c r="E2613" s="27" t="s">
        <v>1681</v>
      </c>
      <c r="F2613" s="51">
        <v>10962</v>
      </c>
      <c r="G2613" s="27"/>
    </row>
    <row r="2614" spans="1:7">
      <c r="A2614" s="27">
        <v>133</v>
      </c>
      <c r="B2614" s="27" t="s">
        <v>201</v>
      </c>
      <c r="C2614" s="27" t="s">
        <v>346</v>
      </c>
      <c r="D2614" s="27" t="s">
        <v>400</v>
      </c>
      <c r="E2614" s="27" t="s">
        <v>1681</v>
      </c>
      <c r="F2614" s="51">
        <v>232282</v>
      </c>
      <c r="G2614" s="27"/>
    </row>
    <row r="2615" spans="1:7">
      <c r="A2615" s="27">
        <v>133</v>
      </c>
      <c r="B2615" s="27" t="s">
        <v>201</v>
      </c>
      <c r="C2615" s="27" t="s">
        <v>346</v>
      </c>
      <c r="D2615" s="27" t="s">
        <v>298</v>
      </c>
      <c r="E2615" s="27" t="s">
        <v>1681</v>
      </c>
      <c r="F2615" s="51">
        <v>41152</v>
      </c>
      <c r="G2615" s="27"/>
    </row>
    <row r="2616" spans="1:7">
      <c r="A2616" s="27">
        <v>133</v>
      </c>
      <c r="B2616" s="27" t="s">
        <v>201</v>
      </c>
      <c r="C2616" s="27" t="s">
        <v>346</v>
      </c>
      <c r="D2616" s="27" t="s">
        <v>401</v>
      </c>
      <c r="E2616" s="27" t="s">
        <v>1681</v>
      </c>
      <c r="F2616" s="51">
        <v>23600</v>
      </c>
      <c r="G2616" s="27"/>
    </row>
    <row r="2617" spans="1:7">
      <c r="A2617" s="27">
        <v>133</v>
      </c>
      <c r="B2617" s="27" t="s">
        <v>201</v>
      </c>
      <c r="C2617" s="27" t="s">
        <v>346</v>
      </c>
      <c r="D2617" s="27" t="s">
        <v>402</v>
      </c>
      <c r="E2617" s="27" t="s">
        <v>1681</v>
      </c>
      <c r="F2617" s="51">
        <v>113188</v>
      </c>
      <c r="G2617" s="27"/>
    </row>
    <row r="2618" spans="1:7">
      <c r="A2618" s="27">
        <v>133</v>
      </c>
      <c r="B2618" s="27" t="s">
        <v>201</v>
      </c>
      <c r="C2618" s="27" t="s">
        <v>346</v>
      </c>
      <c r="D2618" s="27" t="s">
        <v>299</v>
      </c>
      <c r="E2618" s="27" t="s">
        <v>1681</v>
      </c>
      <c r="F2618" s="51">
        <v>7161</v>
      </c>
      <c r="G2618" s="27"/>
    </row>
    <row r="2619" spans="1:7">
      <c r="A2619" s="27">
        <v>134</v>
      </c>
      <c r="B2619" s="27" t="s">
        <v>202</v>
      </c>
      <c r="C2619" s="27" t="s">
        <v>346</v>
      </c>
      <c r="D2619" s="27" t="s">
        <v>406</v>
      </c>
      <c r="E2619" s="27" t="s">
        <v>1682</v>
      </c>
      <c r="F2619" s="51">
        <v>21761</v>
      </c>
      <c r="G2619" s="27"/>
    </row>
    <row r="2620" spans="1:7">
      <c r="A2620" s="27">
        <v>134</v>
      </c>
      <c r="B2620" s="27" t="s">
        <v>202</v>
      </c>
      <c r="C2620" s="27" t="s">
        <v>346</v>
      </c>
      <c r="D2620" s="27" t="s">
        <v>408</v>
      </c>
      <c r="E2620" s="27" t="s">
        <v>1682</v>
      </c>
      <c r="F2620" s="51">
        <v>152491</v>
      </c>
      <c r="G2620" s="27"/>
    </row>
    <row r="2621" spans="1:7">
      <c r="A2621" s="27">
        <v>134</v>
      </c>
      <c r="B2621" s="27" t="s">
        <v>202</v>
      </c>
      <c r="C2621" s="27" t="s">
        <v>346</v>
      </c>
      <c r="D2621" s="27" t="s">
        <v>409</v>
      </c>
      <c r="E2621" s="27" t="s">
        <v>1682</v>
      </c>
      <c r="F2621" s="51">
        <v>1000</v>
      </c>
      <c r="G2621" s="27"/>
    </row>
    <row r="2622" spans="1:7">
      <c r="A2622" s="27">
        <v>134</v>
      </c>
      <c r="B2622" s="27" t="s">
        <v>202</v>
      </c>
      <c r="C2622" s="27" t="s">
        <v>346</v>
      </c>
      <c r="D2622" s="27" t="s">
        <v>394</v>
      </c>
      <c r="E2622" s="27" t="s">
        <v>1682</v>
      </c>
      <c r="F2622" s="51">
        <v>264019</v>
      </c>
      <c r="G2622" s="27"/>
    </row>
    <row r="2623" spans="1:7">
      <c r="A2623" s="27">
        <v>134</v>
      </c>
      <c r="B2623" s="27" t="s">
        <v>202</v>
      </c>
      <c r="C2623" s="27" t="s">
        <v>346</v>
      </c>
      <c r="D2623" s="27" t="s">
        <v>397</v>
      </c>
      <c r="E2623" s="27" t="s">
        <v>1682</v>
      </c>
      <c r="F2623" s="51">
        <v>222756</v>
      </c>
      <c r="G2623" s="27"/>
    </row>
    <row r="2624" spans="1:7">
      <c r="A2624" s="27">
        <v>134</v>
      </c>
      <c r="B2624" s="27" t="s">
        <v>202</v>
      </c>
      <c r="C2624" s="27" t="s">
        <v>346</v>
      </c>
      <c r="D2624" s="27" t="s">
        <v>411</v>
      </c>
      <c r="E2624" s="27" t="s">
        <v>1682</v>
      </c>
      <c r="F2624" s="51">
        <v>6450</v>
      </c>
      <c r="G2624" s="27"/>
    </row>
    <row r="2625" spans="1:7">
      <c r="A2625" s="27">
        <v>134</v>
      </c>
      <c r="B2625" s="27" t="s">
        <v>202</v>
      </c>
      <c r="C2625" s="27" t="s">
        <v>346</v>
      </c>
      <c r="D2625" s="27" t="s">
        <v>412</v>
      </c>
      <c r="E2625" s="27" t="s">
        <v>1682</v>
      </c>
      <c r="F2625" s="51">
        <v>70582</v>
      </c>
      <c r="G2625" s="27"/>
    </row>
    <row r="2626" spans="1:7">
      <c r="A2626" s="27">
        <v>134</v>
      </c>
      <c r="B2626" s="27" t="s">
        <v>202</v>
      </c>
      <c r="C2626" s="27" t="s">
        <v>346</v>
      </c>
      <c r="D2626" s="27" t="s">
        <v>398</v>
      </c>
      <c r="E2626" s="27" t="s">
        <v>1682</v>
      </c>
      <c r="F2626" s="51">
        <v>9277</v>
      </c>
      <c r="G2626" s="27"/>
    </row>
    <row r="2627" spans="1:7">
      <c r="A2627" s="27">
        <v>134</v>
      </c>
      <c r="B2627" s="27" t="s">
        <v>202</v>
      </c>
      <c r="C2627" s="27" t="s">
        <v>346</v>
      </c>
      <c r="D2627" s="27" t="s">
        <v>415</v>
      </c>
      <c r="E2627" s="27" t="s">
        <v>1682</v>
      </c>
      <c r="F2627" s="51">
        <v>13703</v>
      </c>
      <c r="G2627" s="27"/>
    </row>
    <row r="2628" spans="1:7">
      <c r="A2628" s="27">
        <v>134</v>
      </c>
      <c r="B2628" s="27" t="s">
        <v>202</v>
      </c>
      <c r="C2628" s="27" t="s">
        <v>346</v>
      </c>
      <c r="D2628" s="27" t="s">
        <v>291</v>
      </c>
      <c r="E2628" s="27" t="s">
        <v>1681</v>
      </c>
      <c r="F2628" s="51">
        <v>9241</v>
      </c>
      <c r="G2628" s="27"/>
    </row>
    <row r="2629" spans="1:7">
      <c r="A2629" s="27">
        <v>134</v>
      </c>
      <c r="B2629" s="27" t="s">
        <v>202</v>
      </c>
      <c r="C2629" s="27" t="s">
        <v>346</v>
      </c>
      <c r="D2629" s="27" t="s">
        <v>399</v>
      </c>
      <c r="E2629" s="27" t="s">
        <v>1681</v>
      </c>
      <c r="F2629" s="51">
        <v>8333457</v>
      </c>
      <c r="G2629" s="27"/>
    </row>
    <row r="2630" spans="1:7">
      <c r="A2630" s="27">
        <v>134</v>
      </c>
      <c r="B2630" s="27" t="s">
        <v>202</v>
      </c>
      <c r="C2630" s="27" t="s">
        <v>346</v>
      </c>
      <c r="D2630" s="27" t="s">
        <v>317</v>
      </c>
      <c r="E2630" s="27" t="s">
        <v>1681</v>
      </c>
      <c r="F2630" s="51">
        <v>86171</v>
      </c>
      <c r="G2630" s="27"/>
    </row>
    <row r="2631" spans="1:7">
      <c r="A2631" s="27">
        <v>134</v>
      </c>
      <c r="B2631" s="27" t="s">
        <v>202</v>
      </c>
      <c r="C2631" s="27" t="s">
        <v>346</v>
      </c>
      <c r="D2631" s="27" t="s">
        <v>293</v>
      </c>
      <c r="E2631" s="27" t="s">
        <v>1681</v>
      </c>
      <c r="F2631" s="51">
        <v>26000</v>
      </c>
      <c r="G2631" s="27"/>
    </row>
    <row r="2632" spans="1:7">
      <c r="A2632" s="27">
        <v>134</v>
      </c>
      <c r="B2632" s="27" t="s">
        <v>202</v>
      </c>
      <c r="C2632" s="27" t="s">
        <v>346</v>
      </c>
      <c r="D2632" s="27" t="s">
        <v>294</v>
      </c>
      <c r="E2632" s="27" t="s">
        <v>1681</v>
      </c>
      <c r="F2632" s="51">
        <v>18298</v>
      </c>
      <c r="G2632" s="27"/>
    </row>
    <row r="2633" spans="1:7">
      <c r="A2633" s="27">
        <v>134</v>
      </c>
      <c r="B2633" s="27" t="s">
        <v>202</v>
      </c>
      <c r="C2633" s="27" t="s">
        <v>346</v>
      </c>
      <c r="D2633" s="27" t="s">
        <v>296</v>
      </c>
      <c r="E2633" s="27" t="s">
        <v>1681</v>
      </c>
      <c r="F2633" s="51">
        <v>917862</v>
      </c>
      <c r="G2633" s="27"/>
    </row>
    <row r="2634" spans="1:7">
      <c r="A2634" s="27">
        <v>134</v>
      </c>
      <c r="B2634" s="27" t="s">
        <v>202</v>
      </c>
      <c r="C2634" s="27" t="s">
        <v>346</v>
      </c>
      <c r="D2634" s="27" t="s">
        <v>400</v>
      </c>
      <c r="E2634" s="27" t="s">
        <v>1681</v>
      </c>
      <c r="F2634" s="51">
        <v>304913</v>
      </c>
      <c r="G2634" s="27"/>
    </row>
    <row r="2635" spans="1:7">
      <c r="A2635" s="27">
        <v>134</v>
      </c>
      <c r="B2635" s="27" t="s">
        <v>202</v>
      </c>
      <c r="C2635" s="27" t="s">
        <v>346</v>
      </c>
      <c r="D2635" s="27" t="s">
        <v>298</v>
      </c>
      <c r="E2635" s="27" t="s">
        <v>1681</v>
      </c>
      <c r="F2635" s="51">
        <v>179189</v>
      </c>
      <c r="G2635" s="27"/>
    </row>
    <row r="2636" spans="1:7">
      <c r="A2636" s="27">
        <v>134</v>
      </c>
      <c r="B2636" s="27" t="s">
        <v>202</v>
      </c>
      <c r="C2636" s="27" t="s">
        <v>346</v>
      </c>
      <c r="D2636" s="27" t="s">
        <v>401</v>
      </c>
      <c r="E2636" s="27" t="s">
        <v>1681</v>
      </c>
      <c r="F2636" s="51">
        <v>31070</v>
      </c>
      <c r="G2636" s="27"/>
    </row>
    <row r="2637" spans="1:7">
      <c r="A2637" s="27">
        <v>134</v>
      </c>
      <c r="B2637" s="27" t="s">
        <v>202</v>
      </c>
      <c r="C2637" s="27" t="s">
        <v>346</v>
      </c>
      <c r="D2637" s="27" t="s">
        <v>1347</v>
      </c>
      <c r="E2637" s="27" t="s">
        <v>1681</v>
      </c>
      <c r="F2637" s="51">
        <v>3748</v>
      </c>
      <c r="G2637" s="27"/>
    </row>
    <row r="2638" spans="1:7">
      <c r="A2638" s="27">
        <v>134</v>
      </c>
      <c r="B2638" s="27" t="s">
        <v>202</v>
      </c>
      <c r="C2638" s="27" t="s">
        <v>346</v>
      </c>
      <c r="D2638" s="27" t="s">
        <v>402</v>
      </c>
      <c r="E2638" s="27" t="s">
        <v>1681</v>
      </c>
      <c r="F2638" s="51">
        <v>429183</v>
      </c>
      <c r="G2638" s="27"/>
    </row>
    <row r="2639" spans="1:7">
      <c r="A2639" s="27">
        <v>134</v>
      </c>
      <c r="B2639" s="27" t="s">
        <v>202</v>
      </c>
      <c r="C2639" s="27" t="s">
        <v>346</v>
      </c>
      <c r="D2639" s="27" t="s">
        <v>299</v>
      </c>
      <c r="E2639" s="27" t="s">
        <v>1681</v>
      </c>
      <c r="F2639" s="51">
        <v>31267</v>
      </c>
      <c r="G2639" s="27"/>
    </row>
    <row r="2640" spans="1:7">
      <c r="A2640" s="27">
        <v>134</v>
      </c>
      <c r="B2640" s="27" t="s">
        <v>202</v>
      </c>
      <c r="C2640" s="27" t="s">
        <v>346</v>
      </c>
      <c r="D2640" s="27" t="s">
        <v>300</v>
      </c>
      <c r="E2640" s="27" t="s">
        <v>1681</v>
      </c>
      <c r="F2640" s="51">
        <v>20152</v>
      </c>
      <c r="G2640" s="27"/>
    </row>
    <row r="2641" spans="1:7">
      <c r="A2641" s="27">
        <v>135</v>
      </c>
      <c r="B2641" s="27" t="s">
        <v>203</v>
      </c>
      <c r="C2641" s="27" t="s">
        <v>404</v>
      </c>
      <c r="D2641" s="27" t="s">
        <v>406</v>
      </c>
      <c r="E2641" s="27" t="s">
        <v>1682</v>
      </c>
      <c r="F2641" s="51">
        <v>193189</v>
      </c>
      <c r="G2641" s="27"/>
    </row>
    <row r="2642" spans="1:7">
      <c r="A2642" s="27">
        <v>135</v>
      </c>
      <c r="B2642" s="27" t="s">
        <v>203</v>
      </c>
      <c r="C2642" s="27" t="s">
        <v>404</v>
      </c>
      <c r="D2642" s="27" t="s">
        <v>326</v>
      </c>
      <c r="E2642" s="27" t="s">
        <v>1682</v>
      </c>
      <c r="F2642" s="51">
        <v>45433</v>
      </c>
      <c r="G2642" s="27"/>
    </row>
    <row r="2643" spans="1:7">
      <c r="A2643" s="27">
        <v>135</v>
      </c>
      <c r="B2643" s="27" t="s">
        <v>203</v>
      </c>
      <c r="C2643" s="27" t="s">
        <v>404</v>
      </c>
      <c r="D2643" s="27" t="s">
        <v>407</v>
      </c>
      <c r="E2643" s="27" t="s">
        <v>1682</v>
      </c>
      <c r="F2643" s="51">
        <v>23400</v>
      </c>
      <c r="G2643" s="27"/>
    </row>
    <row r="2644" spans="1:7">
      <c r="A2644" s="27">
        <v>135</v>
      </c>
      <c r="B2644" s="27" t="s">
        <v>203</v>
      </c>
      <c r="C2644" s="27" t="s">
        <v>404</v>
      </c>
      <c r="D2644" s="27" t="s">
        <v>408</v>
      </c>
      <c r="E2644" s="27" t="s">
        <v>1682</v>
      </c>
      <c r="F2644" s="51">
        <v>2054149</v>
      </c>
      <c r="G2644" s="27"/>
    </row>
    <row r="2645" spans="1:7">
      <c r="A2645" s="27">
        <v>135</v>
      </c>
      <c r="B2645" s="27" t="s">
        <v>203</v>
      </c>
      <c r="C2645" s="27" t="s">
        <v>404</v>
      </c>
      <c r="D2645" s="27" t="s">
        <v>394</v>
      </c>
      <c r="E2645" s="27" t="s">
        <v>1682</v>
      </c>
      <c r="F2645" s="51">
        <v>1750000</v>
      </c>
      <c r="G2645" s="27"/>
    </row>
    <row r="2646" spans="1:7">
      <c r="A2646" s="27">
        <v>135</v>
      </c>
      <c r="B2646" s="27" t="s">
        <v>203</v>
      </c>
      <c r="C2646" s="27" t="s">
        <v>404</v>
      </c>
      <c r="D2646" s="27" t="s">
        <v>397</v>
      </c>
      <c r="E2646" s="27" t="s">
        <v>1682</v>
      </c>
      <c r="F2646" s="51">
        <v>1750000</v>
      </c>
      <c r="G2646" s="27"/>
    </row>
    <row r="2647" spans="1:7">
      <c r="A2647" s="27">
        <v>135</v>
      </c>
      <c r="B2647" s="27" t="s">
        <v>203</v>
      </c>
      <c r="C2647" s="27" t="s">
        <v>404</v>
      </c>
      <c r="D2647" s="27" t="s">
        <v>411</v>
      </c>
      <c r="E2647" s="27" t="s">
        <v>1682</v>
      </c>
      <c r="F2647" s="51">
        <v>65000</v>
      </c>
      <c r="G2647" s="27"/>
    </row>
    <row r="2648" spans="1:7">
      <c r="A2648" s="27">
        <v>135</v>
      </c>
      <c r="B2648" s="27" t="s">
        <v>203</v>
      </c>
      <c r="C2648" s="27" t="s">
        <v>404</v>
      </c>
      <c r="D2648" s="27" t="s">
        <v>412</v>
      </c>
      <c r="E2648" s="27" t="s">
        <v>1682</v>
      </c>
      <c r="F2648" s="51">
        <v>450000</v>
      </c>
      <c r="G2648" s="27"/>
    </row>
    <row r="2649" spans="1:7">
      <c r="A2649" s="27">
        <v>135</v>
      </c>
      <c r="B2649" s="27" t="s">
        <v>203</v>
      </c>
      <c r="C2649" s="27" t="s">
        <v>404</v>
      </c>
      <c r="D2649" s="27" t="s">
        <v>413</v>
      </c>
      <c r="E2649" s="27" t="s">
        <v>1682</v>
      </c>
      <c r="F2649" s="51">
        <v>150000</v>
      </c>
      <c r="G2649" s="27"/>
    </row>
    <row r="2650" spans="1:7">
      <c r="A2650" s="27">
        <v>135</v>
      </c>
      <c r="B2650" s="27" t="s">
        <v>203</v>
      </c>
      <c r="C2650" s="27" t="s">
        <v>404</v>
      </c>
      <c r="D2650" s="27" t="s">
        <v>414</v>
      </c>
      <c r="E2650" s="27" t="s">
        <v>1682</v>
      </c>
      <c r="F2650" s="51">
        <v>105892</v>
      </c>
      <c r="G2650" s="27"/>
    </row>
    <row r="2651" spans="1:7">
      <c r="A2651" s="27">
        <v>135</v>
      </c>
      <c r="B2651" s="27" t="s">
        <v>203</v>
      </c>
      <c r="C2651" s="27" t="s">
        <v>404</v>
      </c>
      <c r="D2651" s="27" t="s">
        <v>398</v>
      </c>
      <c r="E2651" s="27" t="s">
        <v>1682</v>
      </c>
      <c r="F2651" s="51">
        <v>50000</v>
      </c>
      <c r="G2651" s="27"/>
    </row>
    <row r="2652" spans="1:7">
      <c r="A2652" s="27">
        <v>135</v>
      </c>
      <c r="B2652" s="27" t="s">
        <v>203</v>
      </c>
      <c r="C2652" s="27" t="s">
        <v>404</v>
      </c>
      <c r="D2652" s="27" t="s">
        <v>415</v>
      </c>
      <c r="E2652" s="27" t="s">
        <v>1682</v>
      </c>
      <c r="F2652" s="51">
        <v>30000</v>
      </c>
      <c r="G2652" s="27"/>
    </row>
    <row r="2653" spans="1:7">
      <c r="A2653" s="27">
        <v>135</v>
      </c>
      <c r="B2653" s="27" t="s">
        <v>203</v>
      </c>
      <c r="C2653" s="27" t="s">
        <v>404</v>
      </c>
      <c r="D2653" s="27" t="s">
        <v>335</v>
      </c>
      <c r="E2653" s="27" t="s">
        <v>1681</v>
      </c>
      <c r="F2653" s="51">
        <v>161070</v>
      </c>
      <c r="G2653" s="27"/>
    </row>
    <row r="2654" spans="1:7">
      <c r="A2654" s="27">
        <v>135</v>
      </c>
      <c r="B2654" s="27" t="s">
        <v>203</v>
      </c>
      <c r="C2654" s="27" t="s">
        <v>404</v>
      </c>
      <c r="D2654" s="27" t="s">
        <v>291</v>
      </c>
      <c r="E2654" s="27" t="s">
        <v>1681</v>
      </c>
      <c r="F2654" s="51">
        <v>50354</v>
      </c>
      <c r="G2654" s="27"/>
    </row>
    <row r="2655" spans="1:7">
      <c r="A2655" s="27">
        <v>135</v>
      </c>
      <c r="B2655" s="27" t="s">
        <v>203</v>
      </c>
      <c r="C2655" s="27" t="s">
        <v>404</v>
      </c>
      <c r="D2655" s="27" t="s">
        <v>399</v>
      </c>
      <c r="E2655" s="27" t="s">
        <v>1681</v>
      </c>
      <c r="F2655" s="51">
        <v>5316855</v>
      </c>
      <c r="G2655" s="27"/>
    </row>
    <row r="2656" spans="1:7">
      <c r="A2656" s="27">
        <v>135</v>
      </c>
      <c r="B2656" s="27" t="s">
        <v>203</v>
      </c>
      <c r="C2656" s="27" t="s">
        <v>404</v>
      </c>
      <c r="D2656" s="27" t="s">
        <v>336</v>
      </c>
      <c r="E2656" s="27" t="s">
        <v>1681</v>
      </c>
      <c r="F2656" s="51">
        <v>286609</v>
      </c>
      <c r="G2656" s="27"/>
    </row>
    <row r="2657" spans="1:7">
      <c r="A2657" s="27">
        <v>135</v>
      </c>
      <c r="B2657" s="27" t="s">
        <v>203</v>
      </c>
      <c r="C2657" s="27" t="s">
        <v>404</v>
      </c>
      <c r="D2657" s="27" t="s">
        <v>294</v>
      </c>
      <c r="E2657" s="27" t="s">
        <v>1681</v>
      </c>
      <c r="F2657" s="51">
        <v>389665</v>
      </c>
      <c r="G2657" s="27"/>
    </row>
    <row r="2658" spans="1:7">
      <c r="A2658" s="27">
        <v>135</v>
      </c>
      <c r="B2658" s="27" t="s">
        <v>203</v>
      </c>
      <c r="C2658" s="27" t="s">
        <v>404</v>
      </c>
      <c r="D2658" s="27" t="s">
        <v>303</v>
      </c>
      <c r="E2658" s="27" t="s">
        <v>1681</v>
      </c>
      <c r="F2658" s="51">
        <v>16200</v>
      </c>
      <c r="G2658" s="27"/>
    </row>
    <row r="2659" spans="1:7">
      <c r="A2659" s="27">
        <v>135</v>
      </c>
      <c r="B2659" s="27" t="s">
        <v>203</v>
      </c>
      <c r="C2659" s="27" t="s">
        <v>404</v>
      </c>
      <c r="D2659" s="27" t="s">
        <v>318</v>
      </c>
      <c r="E2659" s="27" t="s">
        <v>1681</v>
      </c>
      <c r="F2659" s="51">
        <v>1584125</v>
      </c>
      <c r="G2659" s="27"/>
    </row>
    <row r="2660" spans="1:7">
      <c r="A2660" s="27">
        <v>135</v>
      </c>
      <c r="B2660" s="27" t="s">
        <v>203</v>
      </c>
      <c r="C2660" s="27" t="s">
        <v>404</v>
      </c>
      <c r="D2660" s="27" t="s">
        <v>304</v>
      </c>
      <c r="E2660" s="27" t="s">
        <v>1681</v>
      </c>
      <c r="F2660" s="51">
        <v>23700</v>
      </c>
      <c r="G2660" s="27"/>
    </row>
    <row r="2661" spans="1:7">
      <c r="A2661" s="27">
        <v>135</v>
      </c>
      <c r="B2661" s="27" t="s">
        <v>203</v>
      </c>
      <c r="C2661" s="27" t="s">
        <v>404</v>
      </c>
      <c r="D2661" s="27" t="s">
        <v>319</v>
      </c>
      <c r="E2661" s="27" t="s">
        <v>1681</v>
      </c>
      <c r="F2661" s="51">
        <v>233540</v>
      </c>
      <c r="G2661" s="27"/>
    </row>
    <row r="2662" spans="1:7">
      <c r="A2662" s="27">
        <v>135</v>
      </c>
      <c r="B2662" s="27" t="s">
        <v>203</v>
      </c>
      <c r="C2662" s="27" t="s">
        <v>404</v>
      </c>
      <c r="D2662" s="27" t="s">
        <v>296</v>
      </c>
      <c r="E2662" s="27" t="s">
        <v>1681</v>
      </c>
      <c r="F2662" s="51">
        <v>8355483</v>
      </c>
      <c r="G2662" s="27"/>
    </row>
    <row r="2663" spans="1:7">
      <c r="A2663" s="27">
        <v>135</v>
      </c>
      <c r="B2663" s="27" t="s">
        <v>203</v>
      </c>
      <c r="C2663" s="27" t="s">
        <v>404</v>
      </c>
      <c r="D2663" s="27" t="s">
        <v>400</v>
      </c>
      <c r="E2663" s="27" t="s">
        <v>1681</v>
      </c>
      <c r="F2663" s="51">
        <v>268796</v>
      </c>
      <c r="G2663" s="27"/>
    </row>
    <row r="2664" spans="1:7">
      <c r="A2664" s="27">
        <v>135</v>
      </c>
      <c r="B2664" s="27" t="s">
        <v>203</v>
      </c>
      <c r="C2664" s="27" t="s">
        <v>404</v>
      </c>
      <c r="D2664" s="27" t="s">
        <v>298</v>
      </c>
      <c r="E2664" s="27" t="s">
        <v>1681</v>
      </c>
      <c r="F2664" s="51">
        <v>382755</v>
      </c>
      <c r="G2664" s="27"/>
    </row>
    <row r="2665" spans="1:7">
      <c r="A2665" s="27">
        <v>135</v>
      </c>
      <c r="B2665" s="27" t="s">
        <v>203</v>
      </c>
      <c r="C2665" s="27" t="s">
        <v>404</v>
      </c>
      <c r="D2665" s="27" t="s">
        <v>401</v>
      </c>
      <c r="E2665" s="27" t="s">
        <v>1681</v>
      </c>
      <c r="F2665" s="51">
        <v>23285</v>
      </c>
      <c r="G2665" s="27"/>
    </row>
    <row r="2666" spans="1:7">
      <c r="A2666" s="27">
        <v>135</v>
      </c>
      <c r="B2666" s="27" t="s">
        <v>203</v>
      </c>
      <c r="C2666" s="27" t="s">
        <v>404</v>
      </c>
      <c r="D2666" s="27" t="s">
        <v>1347</v>
      </c>
      <c r="E2666" s="27" t="s">
        <v>1681</v>
      </c>
      <c r="F2666" s="51">
        <v>53764</v>
      </c>
      <c r="G2666" s="27"/>
    </row>
    <row r="2667" spans="1:7">
      <c r="A2667" s="27">
        <v>135</v>
      </c>
      <c r="B2667" s="27" t="s">
        <v>203</v>
      </c>
      <c r="C2667" s="27" t="s">
        <v>404</v>
      </c>
      <c r="D2667" s="27" t="s">
        <v>402</v>
      </c>
      <c r="E2667" s="27" t="s">
        <v>1681</v>
      </c>
      <c r="F2667" s="51">
        <v>87993</v>
      </c>
      <c r="G2667" s="27"/>
    </row>
    <row r="2668" spans="1:7">
      <c r="A2668" s="27">
        <v>135</v>
      </c>
      <c r="B2668" s="27" t="s">
        <v>203</v>
      </c>
      <c r="C2668" s="27" t="s">
        <v>404</v>
      </c>
      <c r="D2668" s="27" t="s">
        <v>299</v>
      </c>
      <c r="E2668" s="27" t="s">
        <v>1681</v>
      </c>
      <c r="F2668" s="51">
        <v>29888</v>
      </c>
      <c r="G2668" s="27"/>
    </row>
    <row r="2669" spans="1:7">
      <c r="A2669" s="27">
        <v>135</v>
      </c>
      <c r="B2669" s="27" t="s">
        <v>203</v>
      </c>
      <c r="C2669" s="27" t="s">
        <v>404</v>
      </c>
      <c r="D2669" s="27" t="s">
        <v>320</v>
      </c>
      <c r="E2669" s="27" t="s">
        <v>1681</v>
      </c>
      <c r="F2669" s="51">
        <v>46363</v>
      </c>
      <c r="G2669" s="27"/>
    </row>
    <row r="2670" spans="1:7">
      <c r="A2670" s="27">
        <v>135</v>
      </c>
      <c r="B2670" s="27" t="s">
        <v>203</v>
      </c>
      <c r="C2670" s="27" t="s">
        <v>404</v>
      </c>
      <c r="D2670" s="27" t="s">
        <v>300</v>
      </c>
      <c r="E2670" s="27" t="s">
        <v>1681</v>
      </c>
      <c r="F2670" s="51">
        <v>55795</v>
      </c>
      <c r="G2670" s="27"/>
    </row>
    <row r="2671" spans="1:7">
      <c r="A2671" s="27">
        <v>136</v>
      </c>
      <c r="B2671" s="27" t="s">
        <v>204</v>
      </c>
      <c r="C2671" s="27" t="s">
        <v>346</v>
      </c>
      <c r="D2671" s="27" t="s">
        <v>394</v>
      </c>
      <c r="E2671" s="27" t="s">
        <v>1682</v>
      </c>
      <c r="F2671" s="51">
        <v>70207</v>
      </c>
      <c r="G2671" s="27"/>
    </row>
    <row r="2672" spans="1:7">
      <c r="A2672" s="27">
        <v>136</v>
      </c>
      <c r="B2672" s="27" t="s">
        <v>204</v>
      </c>
      <c r="C2672" s="27" t="s">
        <v>346</v>
      </c>
      <c r="D2672" s="27" t="s">
        <v>397</v>
      </c>
      <c r="E2672" s="27" t="s">
        <v>1682</v>
      </c>
      <c r="F2672" s="51">
        <v>47814</v>
      </c>
      <c r="G2672" s="27"/>
    </row>
    <row r="2673" spans="1:7">
      <c r="A2673" s="27">
        <v>136</v>
      </c>
      <c r="B2673" s="27" t="s">
        <v>204</v>
      </c>
      <c r="C2673" s="27" t="s">
        <v>346</v>
      </c>
      <c r="D2673" s="27" t="s">
        <v>411</v>
      </c>
      <c r="E2673" s="27" t="s">
        <v>1682</v>
      </c>
      <c r="F2673" s="51">
        <v>1445</v>
      </c>
      <c r="G2673" s="27"/>
    </row>
    <row r="2674" spans="1:7">
      <c r="A2674" s="27">
        <v>136</v>
      </c>
      <c r="B2674" s="27" t="s">
        <v>204</v>
      </c>
      <c r="C2674" s="27" t="s">
        <v>346</v>
      </c>
      <c r="D2674" s="27" t="s">
        <v>412</v>
      </c>
      <c r="E2674" s="27" t="s">
        <v>1682</v>
      </c>
      <c r="F2674" s="51">
        <v>10565</v>
      </c>
      <c r="G2674" s="27"/>
    </row>
    <row r="2675" spans="1:7">
      <c r="A2675" s="27">
        <v>136</v>
      </c>
      <c r="B2675" s="27" t="s">
        <v>204</v>
      </c>
      <c r="C2675" s="27" t="s">
        <v>346</v>
      </c>
      <c r="D2675" s="27" t="s">
        <v>398</v>
      </c>
      <c r="E2675" s="27" t="s">
        <v>1682</v>
      </c>
      <c r="F2675" s="51">
        <v>2085</v>
      </c>
      <c r="G2675" s="27"/>
    </row>
    <row r="2676" spans="1:7">
      <c r="A2676" s="27">
        <v>136</v>
      </c>
      <c r="B2676" s="27" t="s">
        <v>204</v>
      </c>
      <c r="C2676" s="27" t="s">
        <v>346</v>
      </c>
      <c r="D2676" s="27" t="s">
        <v>415</v>
      </c>
      <c r="E2676" s="27" t="s">
        <v>1682</v>
      </c>
      <c r="F2676" s="51">
        <v>2609</v>
      </c>
      <c r="G2676" s="27"/>
    </row>
    <row r="2677" spans="1:7">
      <c r="A2677" s="27">
        <v>136</v>
      </c>
      <c r="B2677" s="27" t="s">
        <v>204</v>
      </c>
      <c r="C2677" s="27" t="s">
        <v>346</v>
      </c>
      <c r="D2677" s="27" t="s">
        <v>399</v>
      </c>
      <c r="E2677" s="27" t="s">
        <v>1681</v>
      </c>
      <c r="F2677" s="51">
        <v>2609109</v>
      </c>
      <c r="G2677" s="27"/>
    </row>
    <row r="2678" spans="1:7">
      <c r="A2678" s="27">
        <v>136</v>
      </c>
      <c r="B2678" s="27" t="s">
        <v>204</v>
      </c>
      <c r="C2678" s="27" t="s">
        <v>346</v>
      </c>
      <c r="D2678" s="27" t="s">
        <v>296</v>
      </c>
      <c r="E2678" s="27" t="s">
        <v>1681</v>
      </c>
      <c r="F2678" s="51">
        <v>115812</v>
      </c>
      <c r="G2678" s="27"/>
    </row>
    <row r="2679" spans="1:7">
      <c r="A2679" s="27">
        <v>136</v>
      </c>
      <c r="B2679" s="27" t="s">
        <v>204</v>
      </c>
      <c r="C2679" s="27" t="s">
        <v>346</v>
      </c>
      <c r="D2679" s="27" t="s">
        <v>400</v>
      </c>
      <c r="E2679" s="27" t="s">
        <v>1681</v>
      </c>
      <c r="F2679" s="51">
        <v>112324</v>
      </c>
      <c r="G2679" s="27"/>
    </row>
    <row r="2680" spans="1:7">
      <c r="A2680" s="27">
        <v>136</v>
      </c>
      <c r="B2680" s="27" t="s">
        <v>204</v>
      </c>
      <c r="C2680" s="27" t="s">
        <v>346</v>
      </c>
      <c r="D2680" s="27" t="s">
        <v>298</v>
      </c>
      <c r="E2680" s="27" t="s">
        <v>1681</v>
      </c>
      <c r="F2680" s="51">
        <v>7758</v>
      </c>
      <c r="G2680" s="27"/>
    </row>
    <row r="2681" spans="1:7">
      <c r="A2681" s="27">
        <v>136</v>
      </c>
      <c r="B2681" s="27" t="s">
        <v>204</v>
      </c>
      <c r="C2681" s="27" t="s">
        <v>346</v>
      </c>
      <c r="D2681" s="27" t="s">
        <v>401</v>
      </c>
      <c r="E2681" s="27" t="s">
        <v>1681</v>
      </c>
      <c r="F2681" s="51">
        <v>30316</v>
      </c>
      <c r="G2681" s="27"/>
    </row>
    <row r="2682" spans="1:7">
      <c r="A2682" s="27">
        <v>136</v>
      </c>
      <c r="B2682" s="27" t="s">
        <v>204</v>
      </c>
      <c r="C2682" s="27" t="s">
        <v>346</v>
      </c>
      <c r="D2682" s="27" t="s">
        <v>402</v>
      </c>
      <c r="E2682" s="27" t="s">
        <v>1681</v>
      </c>
      <c r="F2682" s="51">
        <v>99266</v>
      </c>
      <c r="G2682" s="27"/>
    </row>
    <row r="2683" spans="1:7">
      <c r="A2683" s="27">
        <v>137</v>
      </c>
      <c r="B2683" s="27" t="s">
        <v>205</v>
      </c>
      <c r="C2683" s="27" t="s">
        <v>311</v>
      </c>
      <c r="D2683" s="27" t="s">
        <v>406</v>
      </c>
      <c r="E2683" s="27" t="s">
        <v>1682</v>
      </c>
      <c r="F2683" s="51">
        <v>20991</v>
      </c>
      <c r="G2683" s="27"/>
    </row>
    <row r="2684" spans="1:7">
      <c r="A2684" s="27">
        <v>137</v>
      </c>
      <c r="B2684" s="27" t="s">
        <v>205</v>
      </c>
      <c r="C2684" s="27" t="s">
        <v>311</v>
      </c>
      <c r="D2684" s="27" t="s">
        <v>408</v>
      </c>
      <c r="E2684" s="27" t="s">
        <v>1682</v>
      </c>
      <c r="F2684" s="51">
        <v>129485</v>
      </c>
      <c r="G2684" s="27"/>
    </row>
    <row r="2685" spans="1:7">
      <c r="A2685" s="27">
        <v>137</v>
      </c>
      <c r="B2685" s="27" t="s">
        <v>205</v>
      </c>
      <c r="C2685" s="27" t="s">
        <v>311</v>
      </c>
      <c r="D2685" s="27" t="s">
        <v>394</v>
      </c>
      <c r="E2685" s="27" t="s">
        <v>1682</v>
      </c>
      <c r="F2685" s="51">
        <v>322888</v>
      </c>
      <c r="G2685" s="27"/>
    </row>
    <row r="2686" spans="1:7">
      <c r="A2686" s="27">
        <v>137</v>
      </c>
      <c r="B2686" s="27" t="s">
        <v>205</v>
      </c>
      <c r="C2686" s="27" t="s">
        <v>311</v>
      </c>
      <c r="D2686" s="27" t="s">
        <v>397</v>
      </c>
      <c r="E2686" s="27" t="s">
        <v>1682</v>
      </c>
      <c r="F2686" s="51">
        <v>186358</v>
      </c>
      <c r="G2686" s="27"/>
    </row>
    <row r="2687" spans="1:7">
      <c r="A2687" s="27">
        <v>137</v>
      </c>
      <c r="B2687" s="27" t="s">
        <v>205</v>
      </c>
      <c r="C2687" s="27" t="s">
        <v>311</v>
      </c>
      <c r="D2687" s="27" t="s">
        <v>412</v>
      </c>
      <c r="E2687" s="27" t="s">
        <v>1682</v>
      </c>
      <c r="F2687" s="51">
        <v>69333</v>
      </c>
      <c r="G2687" s="27"/>
    </row>
    <row r="2688" spans="1:7">
      <c r="A2688" s="27">
        <v>137</v>
      </c>
      <c r="B2688" s="27" t="s">
        <v>205</v>
      </c>
      <c r="C2688" s="27" t="s">
        <v>311</v>
      </c>
      <c r="D2688" s="27" t="s">
        <v>398</v>
      </c>
      <c r="E2688" s="27" t="s">
        <v>1682</v>
      </c>
      <c r="F2688" s="51">
        <v>10031</v>
      </c>
      <c r="G2688" s="27"/>
    </row>
    <row r="2689" spans="1:7">
      <c r="A2689" s="27">
        <v>137</v>
      </c>
      <c r="B2689" s="27" t="s">
        <v>205</v>
      </c>
      <c r="C2689" s="27" t="s">
        <v>311</v>
      </c>
      <c r="D2689" s="27" t="s">
        <v>415</v>
      </c>
      <c r="E2689" s="27" t="s">
        <v>1682</v>
      </c>
      <c r="F2689" s="51">
        <v>8885</v>
      </c>
      <c r="G2689" s="27"/>
    </row>
    <row r="2690" spans="1:7">
      <c r="A2690" s="27">
        <v>137</v>
      </c>
      <c r="B2690" s="27" t="s">
        <v>205</v>
      </c>
      <c r="C2690" s="27" t="s">
        <v>311</v>
      </c>
      <c r="D2690" s="27" t="s">
        <v>291</v>
      </c>
      <c r="E2690" s="27" t="s">
        <v>1681</v>
      </c>
      <c r="F2690" s="51">
        <v>11241</v>
      </c>
      <c r="G2690" s="27"/>
    </row>
    <row r="2691" spans="1:7">
      <c r="A2691" s="27">
        <v>137</v>
      </c>
      <c r="B2691" s="27" t="s">
        <v>205</v>
      </c>
      <c r="C2691" s="27" t="s">
        <v>311</v>
      </c>
      <c r="D2691" s="27" t="s">
        <v>399</v>
      </c>
      <c r="E2691" s="27" t="s">
        <v>1681</v>
      </c>
      <c r="F2691" s="51">
        <v>1892388</v>
      </c>
      <c r="G2691" s="27"/>
    </row>
    <row r="2692" spans="1:7">
      <c r="A2692" s="27">
        <v>137</v>
      </c>
      <c r="B2692" s="27" t="s">
        <v>205</v>
      </c>
      <c r="C2692" s="27" t="s">
        <v>311</v>
      </c>
      <c r="D2692" s="27" t="s">
        <v>307</v>
      </c>
      <c r="E2692" s="27" t="s">
        <v>1681</v>
      </c>
      <c r="F2692" s="51">
        <v>21600</v>
      </c>
      <c r="G2692" s="27"/>
    </row>
    <row r="2693" spans="1:7">
      <c r="A2693" s="27">
        <v>137</v>
      </c>
      <c r="B2693" s="27" t="s">
        <v>205</v>
      </c>
      <c r="C2693" s="27" t="s">
        <v>311</v>
      </c>
      <c r="D2693" s="27" t="s">
        <v>294</v>
      </c>
      <c r="E2693" s="27" t="s">
        <v>1681</v>
      </c>
      <c r="F2693" s="51">
        <v>9662</v>
      </c>
      <c r="G2693" s="27"/>
    </row>
    <row r="2694" spans="1:7">
      <c r="A2694" s="27">
        <v>137</v>
      </c>
      <c r="B2694" s="27" t="s">
        <v>205</v>
      </c>
      <c r="C2694" s="27" t="s">
        <v>311</v>
      </c>
      <c r="D2694" s="27" t="s">
        <v>295</v>
      </c>
      <c r="E2694" s="27" t="s">
        <v>1681</v>
      </c>
      <c r="F2694" s="51">
        <v>4000</v>
      </c>
      <c r="G2694" s="27"/>
    </row>
    <row r="2695" spans="1:7">
      <c r="A2695" s="27">
        <v>137</v>
      </c>
      <c r="B2695" s="27" t="s">
        <v>205</v>
      </c>
      <c r="C2695" s="27" t="s">
        <v>311</v>
      </c>
      <c r="D2695" s="27" t="s">
        <v>296</v>
      </c>
      <c r="E2695" s="27" t="s">
        <v>1681</v>
      </c>
      <c r="F2695" s="51">
        <v>723690</v>
      </c>
      <c r="G2695" s="27"/>
    </row>
    <row r="2696" spans="1:7">
      <c r="A2696" s="27">
        <v>137</v>
      </c>
      <c r="B2696" s="27" t="s">
        <v>205</v>
      </c>
      <c r="C2696" s="27" t="s">
        <v>311</v>
      </c>
      <c r="D2696" s="27" t="s">
        <v>400</v>
      </c>
      <c r="E2696" s="27" t="s">
        <v>1681</v>
      </c>
      <c r="F2696" s="51">
        <v>255144</v>
      </c>
      <c r="G2696" s="27"/>
    </row>
    <row r="2697" spans="1:7">
      <c r="A2697" s="27">
        <v>137</v>
      </c>
      <c r="B2697" s="27" t="s">
        <v>205</v>
      </c>
      <c r="C2697" s="27" t="s">
        <v>311</v>
      </c>
      <c r="D2697" s="27" t="s">
        <v>298</v>
      </c>
      <c r="E2697" s="27" t="s">
        <v>1681</v>
      </c>
      <c r="F2697" s="51">
        <v>63622</v>
      </c>
      <c r="G2697" s="27"/>
    </row>
    <row r="2698" spans="1:7">
      <c r="A2698" s="27">
        <v>137</v>
      </c>
      <c r="B2698" s="27" t="s">
        <v>205</v>
      </c>
      <c r="C2698" s="27" t="s">
        <v>311</v>
      </c>
      <c r="D2698" s="27" t="s">
        <v>401</v>
      </c>
      <c r="E2698" s="27" t="s">
        <v>1681</v>
      </c>
      <c r="F2698" s="51">
        <v>14890</v>
      </c>
      <c r="G2698" s="27"/>
    </row>
    <row r="2699" spans="1:7">
      <c r="A2699" s="27">
        <v>137</v>
      </c>
      <c r="B2699" s="27" t="s">
        <v>205</v>
      </c>
      <c r="C2699" s="27" t="s">
        <v>311</v>
      </c>
      <c r="D2699" s="27" t="s">
        <v>402</v>
      </c>
      <c r="E2699" s="27" t="s">
        <v>1681</v>
      </c>
      <c r="F2699" s="51">
        <v>105187</v>
      </c>
      <c r="G2699" s="27"/>
    </row>
    <row r="2700" spans="1:7">
      <c r="A2700" s="27">
        <v>137</v>
      </c>
      <c r="B2700" s="27" t="s">
        <v>205</v>
      </c>
      <c r="C2700" s="27" t="s">
        <v>311</v>
      </c>
      <c r="D2700" s="27" t="s">
        <v>299</v>
      </c>
      <c r="E2700" s="27" t="s">
        <v>1681</v>
      </c>
      <c r="F2700" s="51">
        <v>7292</v>
      </c>
      <c r="G2700" s="27"/>
    </row>
    <row r="2701" spans="1:7">
      <c r="A2701" s="27">
        <v>137</v>
      </c>
      <c r="B2701" s="27" t="s">
        <v>205</v>
      </c>
      <c r="C2701" s="27" t="s">
        <v>311</v>
      </c>
      <c r="D2701" s="27" t="s">
        <v>300</v>
      </c>
      <c r="E2701" s="27" t="s">
        <v>1681</v>
      </c>
      <c r="F2701" s="51">
        <v>18800</v>
      </c>
      <c r="G2701" s="27"/>
    </row>
    <row r="2702" spans="1:7">
      <c r="A2702" s="27">
        <v>138</v>
      </c>
      <c r="B2702" s="27" t="s">
        <v>206</v>
      </c>
      <c r="C2702" s="27" t="s">
        <v>316</v>
      </c>
      <c r="D2702" s="27" t="s">
        <v>406</v>
      </c>
      <c r="E2702" s="27" t="s">
        <v>1682</v>
      </c>
      <c r="F2702" s="51">
        <v>55360</v>
      </c>
      <c r="G2702" s="27"/>
    </row>
    <row r="2703" spans="1:7">
      <c r="A2703" s="27">
        <v>138</v>
      </c>
      <c r="B2703" s="27" t="s">
        <v>206</v>
      </c>
      <c r="C2703" s="27" t="s">
        <v>316</v>
      </c>
      <c r="D2703" s="27" t="s">
        <v>408</v>
      </c>
      <c r="E2703" s="27" t="s">
        <v>1682</v>
      </c>
      <c r="F2703" s="51">
        <v>546061</v>
      </c>
      <c r="G2703" s="27"/>
    </row>
    <row r="2704" spans="1:7">
      <c r="A2704" s="27">
        <v>138</v>
      </c>
      <c r="B2704" s="27" t="s">
        <v>206</v>
      </c>
      <c r="C2704" s="27" t="s">
        <v>316</v>
      </c>
      <c r="D2704" s="27" t="s">
        <v>394</v>
      </c>
      <c r="E2704" s="27" t="s">
        <v>1682</v>
      </c>
      <c r="F2704" s="51">
        <v>925000</v>
      </c>
      <c r="G2704" s="27"/>
    </row>
    <row r="2705" spans="1:7">
      <c r="A2705" s="27">
        <v>138</v>
      </c>
      <c r="B2705" s="27" t="s">
        <v>206</v>
      </c>
      <c r="C2705" s="27" t="s">
        <v>316</v>
      </c>
      <c r="D2705" s="27" t="s">
        <v>396</v>
      </c>
      <c r="E2705" s="27" t="s">
        <v>1682</v>
      </c>
      <c r="F2705" s="51">
        <v>60000</v>
      </c>
      <c r="G2705" s="27"/>
    </row>
    <row r="2706" spans="1:7">
      <c r="A2706" s="27">
        <v>138</v>
      </c>
      <c r="B2706" s="27" t="s">
        <v>206</v>
      </c>
      <c r="C2706" s="27" t="s">
        <v>316</v>
      </c>
      <c r="D2706" s="27" t="s">
        <v>277</v>
      </c>
      <c r="E2706" s="27" t="s">
        <v>1682</v>
      </c>
      <c r="F2706" s="51">
        <v>138000</v>
      </c>
      <c r="G2706" s="27"/>
    </row>
    <row r="2707" spans="1:7">
      <c r="A2707" s="27">
        <v>138</v>
      </c>
      <c r="B2707" s="27" t="s">
        <v>206</v>
      </c>
      <c r="C2707" s="27" t="s">
        <v>316</v>
      </c>
      <c r="D2707" s="27" t="s">
        <v>397</v>
      </c>
      <c r="E2707" s="27" t="s">
        <v>1682</v>
      </c>
      <c r="F2707" s="51">
        <v>380000</v>
      </c>
      <c r="G2707" s="27"/>
    </row>
    <row r="2708" spans="1:7">
      <c r="A2708" s="27">
        <v>138</v>
      </c>
      <c r="B2708" s="27" t="s">
        <v>206</v>
      </c>
      <c r="C2708" s="27" t="s">
        <v>316</v>
      </c>
      <c r="D2708" s="27" t="s">
        <v>411</v>
      </c>
      <c r="E2708" s="27" t="s">
        <v>1682</v>
      </c>
      <c r="F2708" s="51">
        <v>10722</v>
      </c>
      <c r="G2708" s="27"/>
    </row>
    <row r="2709" spans="1:7">
      <c r="A2709" s="27">
        <v>138</v>
      </c>
      <c r="B2709" s="27" t="s">
        <v>206</v>
      </c>
      <c r="C2709" s="27" t="s">
        <v>316</v>
      </c>
      <c r="D2709" s="27" t="s">
        <v>412</v>
      </c>
      <c r="E2709" s="27" t="s">
        <v>1682</v>
      </c>
      <c r="F2709" s="51">
        <v>145000</v>
      </c>
      <c r="G2709" s="27"/>
    </row>
    <row r="2710" spans="1:7">
      <c r="A2710" s="27">
        <v>138</v>
      </c>
      <c r="B2710" s="27" t="s">
        <v>206</v>
      </c>
      <c r="C2710" s="27" t="s">
        <v>316</v>
      </c>
      <c r="D2710" s="27" t="s">
        <v>398</v>
      </c>
      <c r="E2710" s="27" t="s">
        <v>1682</v>
      </c>
      <c r="F2710" s="51">
        <v>24000</v>
      </c>
      <c r="G2710" s="27"/>
    </row>
    <row r="2711" spans="1:7">
      <c r="A2711" s="27">
        <v>138</v>
      </c>
      <c r="B2711" s="27" t="s">
        <v>206</v>
      </c>
      <c r="C2711" s="27" t="s">
        <v>316</v>
      </c>
      <c r="D2711" s="27" t="s">
        <v>415</v>
      </c>
      <c r="E2711" s="27" t="s">
        <v>1682</v>
      </c>
      <c r="F2711" s="51">
        <v>36539</v>
      </c>
      <c r="G2711" s="27"/>
    </row>
    <row r="2712" spans="1:7">
      <c r="A2712" s="27">
        <v>138</v>
      </c>
      <c r="B2712" s="27" t="s">
        <v>206</v>
      </c>
      <c r="C2712" s="27" t="s">
        <v>316</v>
      </c>
      <c r="D2712" s="27" t="s">
        <v>291</v>
      </c>
      <c r="E2712" s="27" t="s">
        <v>1681</v>
      </c>
      <c r="F2712" s="51">
        <v>30942</v>
      </c>
      <c r="G2712" s="27"/>
    </row>
    <row r="2713" spans="1:7">
      <c r="A2713" s="27">
        <v>138</v>
      </c>
      <c r="B2713" s="27" t="s">
        <v>206</v>
      </c>
      <c r="C2713" s="27" t="s">
        <v>316</v>
      </c>
      <c r="D2713" s="27" t="s">
        <v>399</v>
      </c>
      <c r="E2713" s="27" t="s">
        <v>1681</v>
      </c>
      <c r="F2713" s="51">
        <v>13499825</v>
      </c>
      <c r="G2713" s="27"/>
    </row>
    <row r="2714" spans="1:7">
      <c r="A2714" s="27">
        <v>138</v>
      </c>
      <c r="B2714" s="27" t="s">
        <v>206</v>
      </c>
      <c r="C2714" s="27" t="s">
        <v>316</v>
      </c>
      <c r="D2714" s="27" t="s">
        <v>317</v>
      </c>
      <c r="E2714" s="27" t="s">
        <v>1681</v>
      </c>
      <c r="F2714" s="51">
        <v>86171</v>
      </c>
      <c r="G2714" s="27"/>
    </row>
    <row r="2715" spans="1:7">
      <c r="A2715" s="27">
        <v>138</v>
      </c>
      <c r="B2715" s="27" t="s">
        <v>206</v>
      </c>
      <c r="C2715" s="27" t="s">
        <v>316</v>
      </c>
      <c r="D2715" s="27" t="s">
        <v>307</v>
      </c>
      <c r="E2715" s="27" t="s">
        <v>1681</v>
      </c>
      <c r="F2715" s="51">
        <v>46978</v>
      </c>
      <c r="G2715" s="27"/>
    </row>
    <row r="2716" spans="1:7">
      <c r="A2716" s="27">
        <v>138</v>
      </c>
      <c r="B2716" s="27" t="s">
        <v>206</v>
      </c>
      <c r="C2716" s="27" t="s">
        <v>316</v>
      </c>
      <c r="D2716" s="27" t="s">
        <v>294</v>
      </c>
      <c r="E2716" s="27" t="s">
        <v>1681</v>
      </c>
      <c r="F2716" s="51">
        <v>64108</v>
      </c>
      <c r="G2716" s="27"/>
    </row>
    <row r="2717" spans="1:7">
      <c r="A2717" s="27">
        <v>138</v>
      </c>
      <c r="B2717" s="27" t="s">
        <v>206</v>
      </c>
      <c r="C2717" s="27" t="s">
        <v>316</v>
      </c>
      <c r="D2717" s="27" t="s">
        <v>295</v>
      </c>
      <c r="E2717" s="27" t="s">
        <v>1681</v>
      </c>
      <c r="F2717" s="51">
        <v>42000</v>
      </c>
      <c r="G2717" s="27"/>
    </row>
    <row r="2718" spans="1:7">
      <c r="A2718" s="27">
        <v>138</v>
      </c>
      <c r="B2718" s="27" t="s">
        <v>206</v>
      </c>
      <c r="C2718" s="27" t="s">
        <v>316</v>
      </c>
      <c r="D2718" s="27" t="s">
        <v>296</v>
      </c>
      <c r="E2718" s="27" t="s">
        <v>1681</v>
      </c>
      <c r="F2718" s="51">
        <v>4090285</v>
      </c>
      <c r="G2718" s="27"/>
    </row>
    <row r="2719" spans="1:7">
      <c r="A2719" s="27">
        <v>138</v>
      </c>
      <c r="B2719" s="27" t="s">
        <v>206</v>
      </c>
      <c r="C2719" s="27" t="s">
        <v>316</v>
      </c>
      <c r="D2719" s="27" t="s">
        <v>400</v>
      </c>
      <c r="E2719" s="27" t="s">
        <v>1681</v>
      </c>
      <c r="F2719" s="51">
        <v>288900</v>
      </c>
      <c r="G2719" s="27"/>
    </row>
    <row r="2720" spans="1:7">
      <c r="A2720" s="27">
        <v>138</v>
      </c>
      <c r="B2720" s="27" t="s">
        <v>206</v>
      </c>
      <c r="C2720" s="27" t="s">
        <v>316</v>
      </c>
      <c r="D2720" s="27" t="s">
        <v>298</v>
      </c>
      <c r="E2720" s="27" t="s">
        <v>1681</v>
      </c>
      <c r="F2720" s="51">
        <v>239181</v>
      </c>
      <c r="G2720" s="27"/>
    </row>
    <row r="2721" spans="1:7">
      <c r="A2721" s="27">
        <v>138</v>
      </c>
      <c r="B2721" s="27" t="s">
        <v>206</v>
      </c>
      <c r="C2721" s="27" t="s">
        <v>316</v>
      </c>
      <c r="D2721" s="27" t="s">
        <v>401</v>
      </c>
      <c r="E2721" s="27" t="s">
        <v>1681</v>
      </c>
      <c r="F2721" s="51">
        <v>33773</v>
      </c>
      <c r="G2721" s="27"/>
    </row>
    <row r="2722" spans="1:7">
      <c r="A2722" s="27">
        <v>138</v>
      </c>
      <c r="B2722" s="27" t="s">
        <v>206</v>
      </c>
      <c r="C2722" s="27" t="s">
        <v>316</v>
      </c>
      <c r="D2722" s="27" t="s">
        <v>402</v>
      </c>
      <c r="E2722" s="27" t="s">
        <v>1681</v>
      </c>
      <c r="F2722" s="51">
        <v>541046</v>
      </c>
      <c r="G2722" s="27"/>
    </row>
    <row r="2723" spans="1:7">
      <c r="A2723" s="27">
        <v>138</v>
      </c>
      <c r="B2723" s="27" t="s">
        <v>206</v>
      </c>
      <c r="C2723" s="27" t="s">
        <v>316</v>
      </c>
      <c r="D2723" s="27" t="s">
        <v>299</v>
      </c>
      <c r="E2723" s="27" t="s">
        <v>1681</v>
      </c>
      <c r="F2723" s="51">
        <v>85394</v>
      </c>
      <c r="G2723" s="27"/>
    </row>
    <row r="2724" spans="1:7">
      <c r="A2724" s="27">
        <v>138</v>
      </c>
      <c r="B2724" s="27" t="s">
        <v>206</v>
      </c>
      <c r="C2724" s="27" t="s">
        <v>316</v>
      </c>
      <c r="D2724" s="27" t="s">
        <v>300</v>
      </c>
      <c r="E2724" s="27" t="s">
        <v>1681</v>
      </c>
      <c r="F2724" s="51">
        <v>37906</v>
      </c>
      <c r="G2724" s="27"/>
    </row>
    <row r="2725" spans="1:7">
      <c r="A2725" s="27">
        <v>139</v>
      </c>
      <c r="B2725" s="27" t="s">
        <v>207</v>
      </c>
      <c r="C2725" s="27" t="s">
        <v>393</v>
      </c>
      <c r="D2725" s="27" t="s">
        <v>406</v>
      </c>
      <c r="E2725" s="27" t="s">
        <v>1682</v>
      </c>
      <c r="F2725" s="51">
        <v>21589</v>
      </c>
      <c r="G2725" s="27"/>
    </row>
    <row r="2726" spans="1:7">
      <c r="A2726" s="27">
        <v>139</v>
      </c>
      <c r="B2726" s="27" t="s">
        <v>207</v>
      </c>
      <c r="C2726" s="27" t="s">
        <v>393</v>
      </c>
      <c r="D2726" s="27" t="s">
        <v>408</v>
      </c>
      <c r="E2726" s="27" t="s">
        <v>1682</v>
      </c>
      <c r="F2726" s="51">
        <v>47146</v>
      </c>
      <c r="G2726" s="27"/>
    </row>
    <row r="2727" spans="1:7">
      <c r="A2727" s="27">
        <v>139</v>
      </c>
      <c r="B2727" s="27" t="s">
        <v>207</v>
      </c>
      <c r="C2727" s="27" t="s">
        <v>393</v>
      </c>
      <c r="D2727" s="27" t="s">
        <v>394</v>
      </c>
      <c r="E2727" s="27" t="s">
        <v>1682</v>
      </c>
      <c r="F2727" s="51">
        <v>294458</v>
      </c>
      <c r="G2727" s="27"/>
    </row>
    <row r="2728" spans="1:7">
      <c r="A2728" s="27">
        <v>139</v>
      </c>
      <c r="B2728" s="27" t="s">
        <v>207</v>
      </c>
      <c r="C2728" s="27" t="s">
        <v>393</v>
      </c>
      <c r="D2728" s="27" t="s">
        <v>396</v>
      </c>
      <c r="E2728" s="27" t="s">
        <v>1682</v>
      </c>
      <c r="F2728" s="51">
        <v>45000</v>
      </c>
      <c r="G2728" s="27"/>
    </row>
    <row r="2729" spans="1:7">
      <c r="A2729" s="27">
        <v>139</v>
      </c>
      <c r="B2729" s="27" t="s">
        <v>207</v>
      </c>
      <c r="C2729" s="27" t="s">
        <v>393</v>
      </c>
      <c r="D2729" s="27" t="s">
        <v>397</v>
      </c>
      <c r="E2729" s="27" t="s">
        <v>1682</v>
      </c>
      <c r="F2729" s="51">
        <v>48392</v>
      </c>
      <c r="G2729" s="27"/>
    </row>
    <row r="2730" spans="1:7">
      <c r="A2730" s="27">
        <v>139</v>
      </c>
      <c r="B2730" s="27" t="s">
        <v>207</v>
      </c>
      <c r="C2730" s="27" t="s">
        <v>393</v>
      </c>
      <c r="D2730" s="27" t="s">
        <v>333</v>
      </c>
      <c r="E2730" s="27" t="s">
        <v>1682</v>
      </c>
      <c r="F2730" s="51">
        <v>1762</v>
      </c>
      <c r="G2730" s="27"/>
    </row>
    <row r="2731" spans="1:7">
      <c r="A2731" s="27">
        <v>139</v>
      </c>
      <c r="B2731" s="27" t="s">
        <v>207</v>
      </c>
      <c r="C2731" s="27" t="s">
        <v>393</v>
      </c>
      <c r="D2731" s="27" t="s">
        <v>411</v>
      </c>
      <c r="E2731" s="27" t="s">
        <v>1682</v>
      </c>
      <c r="F2731" s="51">
        <v>1546</v>
      </c>
      <c r="G2731" s="27"/>
    </row>
    <row r="2732" spans="1:7">
      <c r="A2732" s="27">
        <v>139</v>
      </c>
      <c r="B2732" s="27" t="s">
        <v>207</v>
      </c>
      <c r="C2732" s="27" t="s">
        <v>393</v>
      </c>
      <c r="D2732" s="27" t="s">
        <v>412</v>
      </c>
      <c r="E2732" s="27" t="s">
        <v>1682</v>
      </c>
      <c r="F2732" s="51">
        <v>25000</v>
      </c>
      <c r="G2732" s="27"/>
    </row>
    <row r="2733" spans="1:7">
      <c r="A2733" s="27">
        <v>139</v>
      </c>
      <c r="B2733" s="27" t="s">
        <v>207</v>
      </c>
      <c r="C2733" s="27" t="s">
        <v>393</v>
      </c>
      <c r="D2733" s="27" t="s">
        <v>398</v>
      </c>
      <c r="E2733" s="27" t="s">
        <v>1682</v>
      </c>
      <c r="F2733" s="51">
        <v>8900</v>
      </c>
      <c r="G2733" s="27"/>
    </row>
    <row r="2734" spans="1:7">
      <c r="A2734" s="27">
        <v>139</v>
      </c>
      <c r="B2734" s="27" t="s">
        <v>207</v>
      </c>
      <c r="C2734" s="27" t="s">
        <v>393</v>
      </c>
      <c r="D2734" s="27" t="s">
        <v>415</v>
      </c>
      <c r="E2734" s="27" t="s">
        <v>1682</v>
      </c>
      <c r="F2734" s="51">
        <v>14119</v>
      </c>
      <c r="G2734" s="27"/>
    </row>
    <row r="2735" spans="1:7">
      <c r="A2735" s="27">
        <v>139</v>
      </c>
      <c r="B2735" s="27" t="s">
        <v>207</v>
      </c>
      <c r="C2735" s="27" t="s">
        <v>393</v>
      </c>
      <c r="D2735" s="27" t="s">
        <v>334</v>
      </c>
      <c r="E2735" s="27" t="s">
        <v>1682</v>
      </c>
      <c r="F2735" s="51">
        <v>4434</v>
      </c>
      <c r="G2735" s="27"/>
    </row>
    <row r="2736" spans="1:7">
      <c r="A2736" s="27">
        <v>139</v>
      </c>
      <c r="B2736" s="27" t="s">
        <v>207</v>
      </c>
      <c r="C2736" s="27" t="s">
        <v>393</v>
      </c>
      <c r="D2736" s="27" t="s">
        <v>291</v>
      </c>
      <c r="E2736" s="27" t="s">
        <v>1681</v>
      </c>
      <c r="F2736" s="51">
        <v>6802</v>
      </c>
      <c r="G2736" s="27"/>
    </row>
    <row r="2737" spans="1:7">
      <c r="A2737" s="27">
        <v>139</v>
      </c>
      <c r="B2737" s="27" t="s">
        <v>207</v>
      </c>
      <c r="C2737" s="27" t="s">
        <v>393</v>
      </c>
      <c r="D2737" s="27" t="s">
        <v>399</v>
      </c>
      <c r="E2737" s="27" t="s">
        <v>1681</v>
      </c>
      <c r="F2737" s="51">
        <v>3723314</v>
      </c>
      <c r="G2737" s="27"/>
    </row>
    <row r="2738" spans="1:7">
      <c r="A2738" s="27">
        <v>139</v>
      </c>
      <c r="B2738" s="27" t="s">
        <v>207</v>
      </c>
      <c r="C2738" s="27" t="s">
        <v>393</v>
      </c>
      <c r="D2738" s="27" t="s">
        <v>307</v>
      </c>
      <c r="E2738" s="27" t="s">
        <v>1681</v>
      </c>
      <c r="F2738" s="51">
        <v>2400</v>
      </c>
      <c r="G2738" s="27"/>
    </row>
    <row r="2739" spans="1:7">
      <c r="A2739" s="27">
        <v>139</v>
      </c>
      <c r="B2739" s="27" t="s">
        <v>207</v>
      </c>
      <c r="C2739" s="27" t="s">
        <v>393</v>
      </c>
      <c r="D2739" s="27" t="s">
        <v>295</v>
      </c>
      <c r="E2739" s="27" t="s">
        <v>1681</v>
      </c>
      <c r="F2739" s="51">
        <v>56674</v>
      </c>
      <c r="G2739" s="27"/>
    </row>
    <row r="2740" spans="1:7">
      <c r="A2740" s="27">
        <v>139</v>
      </c>
      <c r="B2740" s="27" t="s">
        <v>207</v>
      </c>
      <c r="C2740" s="27" t="s">
        <v>393</v>
      </c>
      <c r="D2740" s="27" t="s">
        <v>296</v>
      </c>
      <c r="E2740" s="27" t="s">
        <v>1681</v>
      </c>
      <c r="F2740" s="51">
        <v>4287768</v>
      </c>
      <c r="G2740" s="27"/>
    </row>
    <row r="2741" spans="1:7">
      <c r="A2741" s="27">
        <v>139</v>
      </c>
      <c r="B2741" s="27" t="s">
        <v>207</v>
      </c>
      <c r="C2741" s="27" t="s">
        <v>393</v>
      </c>
      <c r="D2741" s="27" t="s">
        <v>400</v>
      </c>
      <c r="E2741" s="27" t="s">
        <v>1681</v>
      </c>
      <c r="F2741" s="51">
        <v>129892</v>
      </c>
      <c r="G2741" s="27"/>
    </row>
    <row r="2742" spans="1:7">
      <c r="A2742" s="27">
        <v>139</v>
      </c>
      <c r="B2742" s="27" t="s">
        <v>207</v>
      </c>
      <c r="C2742" s="27" t="s">
        <v>393</v>
      </c>
      <c r="D2742" s="27" t="s">
        <v>298</v>
      </c>
      <c r="E2742" s="27" t="s">
        <v>1681</v>
      </c>
      <c r="F2742" s="51">
        <v>6052</v>
      </c>
      <c r="G2742" s="27"/>
    </row>
    <row r="2743" spans="1:7">
      <c r="A2743" s="27">
        <v>139</v>
      </c>
      <c r="B2743" s="27" t="s">
        <v>207</v>
      </c>
      <c r="C2743" s="27" t="s">
        <v>393</v>
      </c>
      <c r="D2743" s="27" t="s">
        <v>401</v>
      </c>
      <c r="E2743" s="27" t="s">
        <v>1681</v>
      </c>
      <c r="F2743" s="51">
        <v>29973</v>
      </c>
      <c r="G2743" s="27"/>
    </row>
    <row r="2744" spans="1:7">
      <c r="A2744" s="27">
        <v>139</v>
      </c>
      <c r="B2744" s="27" t="s">
        <v>207</v>
      </c>
      <c r="C2744" s="27" t="s">
        <v>393</v>
      </c>
      <c r="D2744" s="27" t="s">
        <v>402</v>
      </c>
      <c r="E2744" s="27" t="s">
        <v>1681</v>
      </c>
      <c r="F2744" s="51">
        <v>96714</v>
      </c>
      <c r="G2744" s="27"/>
    </row>
    <row r="2745" spans="1:7">
      <c r="A2745" s="27">
        <v>139</v>
      </c>
      <c r="B2745" s="27" t="s">
        <v>207</v>
      </c>
      <c r="C2745" s="27" t="s">
        <v>393</v>
      </c>
      <c r="D2745" s="27" t="s">
        <v>320</v>
      </c>
      <c r="E2745" s="27" t="s">
        <v>1681</v>
      </c>
      <c r="F2745" s="51">
        <v>64025</v>
      </c>
      <c r="G2745" s="27"/>
    </row>
    <row r="2746" spans="1:7">
      <c r="A2746" s="27">
        <v>139</v>
      </c>
      <c r="B2746" s="27" t="s">
        <v>207</v>
      </c>
      <c r="C2746" s="27" t="s">
        <v>393</v>
      </c>
      <c r="D2746" s="27" t="s">
        <v>300</v>
      </c>
      <c r="E2746" s="27" t="s">
        <v>1681</v>
      </c>
      <c r="F2746" s="51">
        <v>14000</v>
      </c>
      <c r="G2746" s="27"/>
    </row>
    <row r="2747" spans="1:7">
      <c r="A2747" s="27">
        <v>140</v>
      </c>
      <c r="B2747" s="27" t="s">
        <v>208</v>
      </c>
      <c r="C2747" s="27" t="s">
        <v>302</v>
      </c>
      <c r="D2747" s="27" t="s">
        <v>408</v>
      </c>
      <c r="E2747" s="27" t="s">
        <v>1682</v>
      </c>
      <c r="F2747" s="51">
        <v>53161</v>
      </c>
      <c r="G2747" s="27"/>
    </row>
    <row r="2748" spans="1:7">
      <c r="A2748" s="27">
        <v>140</v>
      </c>
      <c r="B2748" s="27" t="s">
        <v>208</v>
      </c>
      <c r="C2748" s="27" t="s">
        <v>302</v>
      </c>
      <c r="D2748" s="27" t="s">
        <v>409</v>
      </c>
      <c r="E2748" s="27" t="s">
        <v>1682</v>
      </c>
      <c r="F2748" s="51">
        <v>600</v>
      </c>
      <c r="G2748" s="27"/>
    </row>
    <row r="2749" spans="1:7">
      <c r="A2749" s="27">
        <v>140</v>
      </c>
      <c r="B2749" s="27" t="s">
        <v>208</v>
      </c>
      <c r="C2749" s="27" t="s">
        <v>302</v>
      </c>
      <c r="D2749" s="27" t="s">
        <v>394</v>
      </c>
      <c r="E2749" s="27" t="s">
        <v>1682</v>
      </c>
      <c r="F2749" s="51">
        <v>161946</v>
      </c>
      <c r="G2749" s="27"/>
    </row>
    <row r="2750" spans="1:7">
      <c r="A2750" s="27">
        <v>140</v>
      </c>
      <c r="B2750" s="27" t="s">
        <v>208</v>
      </c>
      <c r="C2750" s="27" t="s">
        <v>302</v>
      </c>
      <c r="D2750" s="27" t="s">
        <v>396</v>
      </c>
      <c r="E2750" s="27" t="s">
        <v>1682</v>
      </c>
      <c r="F2750" s="51">
        <v>37538</v>
      </c>
      <c r="G2750" s="27"/>
    </row>
    <row r="2751" spans="1:7">
      <c r="A2751" s="27">
        <v>140</v>
      </c>
      <c r="B2751" s="27" t="s">
        <v>208</v>
      </c>
      <c r="C2751" s="27" t="s">
        <v>302</v>
      </c>
      <c r="D2751" s="27" t="s">
        <v>397</v>
      </c>
      <c r="E2751" s="27" t="s">
        <v>1682</v>
      </c>
      <c r="F2751" s="51">
        <v>111988</v>
      </c>
      <c r="G2751" s="27"/>
    </row>
    <row r="2752" spans="1:7">
      <c r="A2752" s="27">
        <v>140</v>
      </c>
      <c r="B2752" s="27" t="s">
        <v>208</v>
      </c>
      <c r="C2752" s="27" t="s">
        <v>302</v>
      </c>
      <c r="D2752" s="27" t="s">
        <v>411</v>
      </c>
      <c r="E2752" s="27" t="s">
        <v>1682</v>
      </c>
      <c r="F2752" s="51">
        <v>1600</v>
      </c>
      <c r="G2752" s="27"/>
    </row>
    <row r="2753" spans="1:7">
      <c r="A2753" s="27">
        <v>140</v>
      </c>
      <c r="B2753" s="27" t="s">
        <v>208</v>
      </c>
      <c r="C2753" s="27" t="s">
        <v>302</v>
      </c>
      <c r="D2753" s="27" t="s">
        <v>398</v>
      </c>
      <c r="E2753" s="27" t="s">
        <v>1682</v>
      </c>
      <c r="F2753" s="51">
        <v>586</v>
      </c>
      <c r="G2753" s="27"/>
    </row>
    <row r="2754" spans="1:7">
      <c r="A2754" s="27">
        <v>140</v>
      </c>
      <c r="B2754" s="27" t="s">
        <v>208</v>
      </c>
      <c r="C2754" s="27" t="s">
        <v>302</v>
      </c>
      <c r="D2754" s="27" t="s">
        <v>415</v>
      </c>
      <c r="E2754" s="27" t="s">
        <v>1682</v>
      </c>
      <c r="F2754" s="51">
        <v>1108</v>
      </c>
      <c r="G2754" s="27"/>
    </row>
    <row r="2755" spans="1:7">
      <c r="A2755" s="27">
        <v>140</v>
      </c>
      <c r="B2755" s="27" t="s">
        <v>208</v>
      </c>
      <c r="C2755" s="27" t="s">
        <v>302</v>
      </c>
      <c r="D2755" s="27" t="s">
        <v>291</v>
      </c>
      <c r="E2755" s="27" t="s">
        <v>1681</v>
      </c>
      <c r="F2755" s="51">
        <v>5624</v>
      </c>
      <c r="G2755" s="27"/>
    </row>
    <row r="2756" spans="1:7">
      <c r="A2756" s="27">
        <v>140</v>
      </c>
      <c r="B2756" s="27" t="s">
        <v>208</v>
      </c>
      <c r="C2756" s="27" t="s">
        <v>302</v>
      </c>
      <c r="D2756" s="27" t="s">
        <v>399</v>
      </c>
      <c r="E2756" s="27" t="s">
        <v>1681</v>
      </c>
      <c r="F2756" s="51">
        <v>4521781</v>
      </c>
      <c r="G2756" s="27"/>
    </row>
    <row r="2757" spans="1:7">
      <c r="A2757" s="27">
        <v>140</v>
      </c>
      <c r="B2757" s="27" t="s">
        <v>208</v>
      </c>
      <c r="C2757" s="27" t="s">
        <v>302</v>
      </c>
      <c r="D2757" s="27" t="s">
        <v>293</v>
      </c>
      <c r="E2757" s="27" t="s">
        <v>1681</v>
      </c>
      <c r="F2757" s="51">
        <v>67760</v>
      </c>
      <c r="G2757" s="27"/>
    </row>
    <row r="2758" spans="1:7">
      <c r="A2758" s="27">
        <v>140</v>
      </c>
      <c r="B2758" s="27" t="s">
        <v>208</v>
      </c>
      <c r="C2758" s="27" t="s">
        <v>302</v>
      </c>
      <c r="D2758" s="27" t="s">
        <v>307</v>
      </c>
      <c r="E2758" s="27" t="s">
        <v>1681</v>
      </c>
      <c r="F2758" s="51">
        <v>48352</v>
      </c>
      <c r="G2758" s="27"/>
    </row>
    <row r="2759" spans="1:7">
      <c r="A2759" s="27">
        <v>140</v>
      </c>
      <c r="B2759" s="27" t="s">
        <v>208</v>
      </c>
      <c r="C2759" s="27" t="s">
        <v>302</v>
      </c>
      <c r="D2759" s="27" t="s">
        <v>294</v>
      </c>
      <c r="E2759" s="27" t="s">
        <v>1681</v>
      </c>
      <c r="F2759" s="51">
        <v>10021</v>
      </c>
      <c r="G2759" s="27"/>
    </row>
    <row r="2760" spans="1:7">
      <c r="A2760" s="27">
        <v>140</v>
      </c>
      <c r="B2760" s="27" t="s">
        <v>208</v>
      </c>
      <c r="C2760" s="27" t="s">
        <v>302</v>
      </c>
      <c r="D2760" s="27" t="s">
        <v>304</v>
      </c>
      <c r="E2760" s="27" t="s">
        <v>1681</v>
      </c>
      <c r="F2760" s="51">
        <v>9500</v>
      </c>
      <c r="G2760" s="27"/>
    </row>
    <row r="2761" spans="1:7">
      <c r="A2761" s="27">
        <v>140</v>
      </c>
      <c r="B2761" s="27" t="s">
        <v>208</v>
      </c>
      <c r="C2761" s="27" t="s">
        <v>302</v>
      </c>
      <c r="D2761" s="27" t="s">
        <v>296</v>
      </c>
      <c r="E2761" s="27" t="s">
        <v>1681</v>
      </c>
      <c r="F2761" s="51">
        <v>460715</v>
      </c>
      <c r="G2761" s="27"/>
    </row>
    <row r="2762" spans="1:7">
      <c r="A2762" s="27">
        <v>140</v>
      </c>
      <c r="B2762" s="27" t="s">
        <v>208</v>
      </c>
      <c r="C2762" s="27" t="s">
        <v>302</v>
      </c>
      <c r="D2762" s="27" t="s">
        <v>400</v>
      </c>
      <c r="E2762" s="27" t="s">
        <v>1681</v>
      </c>
      <c r="F2762" s="51">
        <v>65625</v>
      </c>
      <c r="G2762" s="27"/>
    </row>
    <row r="2763" spans="1:7">
      <c r="A2763" s="27">
        <v>140</v>
      </c>
      <c r="B2763" s="27" t="s">
        <v>208</v>
      </c>
      <c r="C2763" s="27" t="s">
        <v>302</v>
      </c>
      <c r="D2763" s="27" t="s">
        <v>298</v>
      </c>
      <c r="E2763" s="27" t="s">
        <v>1681</v>
      </c>
      <c r="F2763" s="51">
        <v>40315</v>
      </c>
      <c r="G2763" s="27"/>
    </row>
    <row r="2764" spans="1:7">
      <c r="A2764" s="27">
        <v>140</v>
      </c>
      <c r="B2764" s="27" t="s">
        <v>208</v>
      </c>
      <c r="C2764" s="27" t="s">
        <v>302</v>
      </c>
      <c r="D2764" s="27" t="s">
        <v>401</v>
      </c>
      <c r="E2764" s="27" t="s">
        <v>1681</v>
      </c>
      <c r="F2764" s="51">
        <v>29568</v>
      </c>
      <c r="G2764" s="27"/>
    </row>
    <row r="2765" spans="1:7">
      <c r="A2765" s="27">
        <v>140</v>
      </c>
      <c r="B2765" s="27" t="s">
        <v>208</v>
      </c>
      <c r="C2765" s="27" t="s">
        <v>302</v>
      </c>
      <c r="D2765" s="27" t="s">
        <v>402</v>
      </c>
      <c r="E2765" s="27" t="s">
        <v>1681</v>
      </c>
      <c r="F2765" s="51">
        <v>124422</v>
      </c>
      <c r="G2765" s="27"/>
    </row>
    <row r="2766" spans="1:7">
      <c r="A2766" s="27">
        <v>140</v>
      </c>
      <c r="B2766" s="27" t="s">
        <v>208</v>
      </c>
      <c r="C2766" s="27" t="s">
        <v>302</v>
      </c>
      <c r="D2766" s="27" t="s">
        <v>299</v>
      </c>
      <c r="E2766" s="27" t="s">
        <v>1681</v>
      </c>
      <c r="F2766" s="51">
        <v>6050</v>
      </c>
      <c r="G2766" s="27"/>
    </row>
    <row r="2767" spans="1:7">
      <c r="A2767" s="27">
        <v>140</v>
      </c>
      <c r="B2767" s="27" t="s">
        <v>208</v>
      </c>
      <c r="C2767" s="27" t="s">
        <v>302</v>
      </c>
      <c r="D2767" s="27" t="s">
        <v>300</v>
      </c>
      <c r="E2767" s="27" t="s">
        <v>1681</v>
      </c>
      <c r="F2767" s="51">
        <v>14000</v>
      </c>
      <c r="G2767" s="27"/>
    </row>
    <row r="2768" spans="1:7">
      <c r="A2768" s="27">
        <v>141</v>
      </c>
      <c r="B2768" s="27" t="s">
        <v>209</v>
      </c>
      <c r="C2768" s="27" t="s">
        <v>346</v>
      </c>
      <c r="D2768" s="27" t="s">
        <v>406</v>
      </c>
      <c r="E2768" s="27" t="s">
        <v>1682</v>
      </c>
      <c r="F2768" s="51">
        <v>20582</v>
      </c>
      <c r="G2768" s="27"/>
    </row>
    <row r="2769" spans="1:7">
      <c r="A2769" s="27">
        <v>141</v>
      </c>
      <c r="B2769" s="27" t="s">
        <v>209</v>
      </c>
      <c r="C2769" s="27" t="s">
        <v>346</v>
      </c>
      <c r="D2769" s="27" t="s">
        <v>408</v>
      </c>
      <c r="E2769" s="27" t="s">
        <v>1682</v>
      </c>
      <c r="F2769" s="51">
        <v>95871</v>
      </c>
      <c r="G2769" s="27"/>
    </row>
    <row r="2770" spans="1:7">
      <c r="A2770" s="27">
        <v>141</v>
      </c>
      <c r="B2770" s="27" t="s">
        <v>209</v>
      </c>
      <c r="C2770" s="27" t="s">
        <v>346</v>
      </c>
      <c r="D2770" s="27" t="s">
        <v>394</v>
      </c>
      <c r="E2770" s="27" t="s">
        <v>1682</v>
      </c>
      <c r="F2770" s="51">
        <v>197196</v>
      </c>
      <c r="G2770" s="27"/>
    </row>
    <row r="2771" spans="1:7">
      <c r="A2771" s="27">
        <v>141</v>
      </c>
      <c r="B2771" s="27" t="s">
        <v>209</v>
      </c>
      <c r="C2771" s="27" t="s">
        <v>346</v>
      </c>
      <c r="D2771" s="27" t="s">
        <v>396</v>
      </c>
      <c r="E2771" s="27" t="s">
        <v>1682</v>
      </c>
      <c r="F2771" s="51">
        <v>204504</v>
      </c>
      <c r="G2771" s="27"/>
    </row>
    <row r="2772" spans="1:7">
      <c r="A2772" s="27">
        <v>141</v>
      </c>
      <c r="B2772" s="27" t="s">
        <v>209</v>
      </c>
      <c r="C2772" s="27" t="s">
        <v>346</v>
      </c>
      <c r="D2772" s="27" t="s">
        <v>397</v>
      </c>
      <c r="E2772" s="27" t="s">
        <v>1682</v>
      </c>
      <c r="F2772" s="51">
        <v>257771</v>
      </c>
      <c r="G2772" s="27"/>
    </row>
    <row r="2773" spans="1:7">
      <c r="A2773" s="27">
        <v>141</v>
      </c>
      <c r="B2773" s="27" t="s">
        <v>209</v>
      </c>
      <c r="C2773" s="27" t="s">
        <v>346</v>
      </c>
      <c r="D2773" s="27" t="s">
        <v>210</v>
      </c>
      <c r="E2773" s="27" t="s">
        <v>1682</v>
      </c>
      <c r="F2773" s="51">
        <v>1786</v>
      </c>
      <c r="G2773" s="27"/>
    </row>
    <row r="2774" spans="1:7">
      <c r="A2774" s="27">
        <v>141</v>
      </c>
      <c r="B2774" s="27" t="s">
        <v>209</v>
      </c>
      <c r="C2774" s="27" t="s">
        <v>346</v>
      </c>
      <c r="D2774" s="27" t="s">
        <v>411</v>
      </c>
      <c r="E2774" s="27" t="s">
        <v>1682</v>
      </c>
      <c r="F2774" s="51">
        <v>9100</v>
      </c>
      <c r="G2774" s="27"/>
    </row>
    <row r="2775" spans="1:7">
      <c r="A2775" s="27">
        <v>141</v>
      </c>
      <c r="B2775" s="27" t="s">
        <v>209</v>
      </c>
      <c r="C2775" s="27" t="s">
        <v>346</v>
      </c>
      <c r="D2775" s="27" t="s">
        <v>412</v>
      </c>
      <c r="E2775" s="27" t="s">
        <v>1682</v>
      </c>
      <c r="F2775" s="51">
        <v>59000</v>
      </c>
      <c r="G2775" s="27"/>
    </row>
    <row r="2776" spans="1:7">
      <c r="A2776" s="27">
        <v>141</v>
      </c>
      <c r="B2776" s="27" t="s">
        <v>209</v>
      </c>
      <c r="C2776" s="27" t="s">
        <v>346</v>
      </c>
      <c r="D2776" s="27" t="s">
        <v>398</v>
      </c>
      <c r="E2776" s="27" t="s">
        <v>1682</v>
      </c>
      <c r="F2776" s="51">
        <v>4618</v>
      </c>
      <c r="G2776" s="27"/>
    </row>
    <row r="2777" spans="1:7">
      <c r="A2777" s="27">
        <v>141</v>
      </c>
      <c r="B2777" s="27" t="s">
        <v>209</v>
      </c>
      <c r="C2777" s="27" t="s">
        <v>346</v>
      </c>
      <c r="D2777" s="27" t="s">
        <v>415</v>
      </c>
      <c r="E2777" s="27" t="s">
        <v>1682</v>
      </c>
      <c r="F2777" s="51">
        <v>10597</v>
      </c>
      <c r="G2777" s="27"/>
    </row>
    <row r="2778" spans="1:7">
      <c r="A2778" s="27">
        <v>141</v>
      </c>
      <c r="B2778" s="27" t="s">
        <v>209</v>
      </c>
      <c r="C2778" s="27" t="s">
        <v>346</v>
      </c>
      <c r="D2778" s="27" t="s">
        <v>291</v>
      </c>
      <c r="E2778" s="27" t="s">
        <v>1681</v>
      </c>
      <c r="F2778" s="51">
        <v>6615</v>
      </c>
      <c r="G2778" s="27"/>
    </row>
    <row r="2779" spans="1:7">
      <c r="A2779" s="27">
        <v>141</v>
      </c>
      <c r="B2779" s="27" t="s">
        <v>209</v>
      </c>
      <c r="C2779" s="27" t="s">
        <v>346</v>
      </c>
      <c r="D2779" s="27" t="s">
        <v>399</v>
      </c>
      <c r="E2779" s="27" t="s">
        <v>1681</v>
      </c>
      <c r="F2779" s="51">
        <v>6366996</v>
      </c>
      <c r="G2779" s="27"/>
    </row>
    <row r="2780" spans="1:7">
      <c r="A2780" s="27">
        <v>141</v>
      </c>
      <c r="B2780" s="27" t="s">
        <v>209</v>
      </c>
      <c r="C2780" s="27" t="s">
        <v>346</v>
      </c>
      <c r="D2780" s="27" t="s">
        <v>294</v>
      </c>
      <c r="E2780" s="27" t="s">
        <v>1681</v>
      </c>
      <c r="F2780" s="51">
        <v>7792</v>
      </c>
      <c r="G2780" s="27"/>
    </row>
    <row r="2781" spans="1:7">
      <c r="A2781" s="27">
        <v>141</v>
      </c>
      <c r="B2781" s="27" t="s">
        <v>209</v>
      </c>
      <c r="C2781" s="27" t="s">
        <v>346</v>
      </c>
      <c r="D2781" s="27" t="s">
        <v>304</v>
      </c>
      <c r="E2781" s="27" t="s">
        <v>1681</v>
      </c>
      <c r="F2781" s="51">
        <v>9500</v>
      </c>
      <c r="G2781" s="27"/>
    </row>
    <row r="2782" spans="1:7">
      <c r="A2782" s="27">
        <v>141</v>
      </c>
      <c r="B2782" s="27" t="s">
        <v>209</v>
      </c>
      <c r="C2782" s="27" t="s">
        <v>346</v>
      </c>
      <c r="D2782" s="27" t="s">
        <v>296</v>
      </c>
      <c r="E2782" s="27" t="s">
        <v>1681</v>
      </c>
      <c r="F2782" s="51">
        <v>470060</v>
      </c>
      <c r="G2782" s="27"/>
    </row>
    <row r="2783" spans="1:7">
      <c r="A2783" s="27">
        <v>141</v>
      </c>
      <c r="B2783" s="27" t="s">
        <v>209</v>
      </c>
      <c r="C2783" s="27" t="s">
        <v>346</v>
      </c>
      <c r="D2783" s="27" t="s">
        <v>400</v>
      </c>
      <c r="E2783" s="27" t="s">
        <v>1681</v>
      </c>
      <c r="F2783" s="51">
        <v>171946</v>
      </c>
      <c r="G2783" s="27"/>
    </row>
    <row r="2784" spans="1:7">
      <c r="A2784" s="27">
        <v>141</v>
      </c>
      <c r="B2784" s="27" t="s">
        <v>209</v>
      </c>
      <c r="C2784" s="27" t="s">
        <v>346</v>
      </c>
      <c r="D2784" s="27" t="s">
        <v>298</v>
      </c>
      <c r="E2784" s="27" t="s">
        <v>1681</v>
      </c>
      <c r="F2784" s="51">
        <v>109345</v>
      </c>
      <c r="G2784" s="27"/>
    </row>
    <row r="2785" spans="1:7">
      <c r="A2785" s="27">
        <v>141</v>
      </c>
      <c r="B2785" s="27" t="s">
        <v>209</v>
      </c>
      <c r="C2785" s="27" t="s">
        <v>346</v>
      </c>
      <c r="D2785" s="27" t="s">
        <v>401</v>
      </c>
      <c r="E2785" s="27" t="s">
        <v>1681</v>
      </c>
      <c r="F2785" s="51">
        <v>30733</v>
      </c>
      <c r="G2785" s="27"/>
    </row>
    <row r="2786" spans="1:7">
      <c r="A2786" s="27">
        <v>141</v>
      </c>
      <c r="B2786" s="27" t="s">
        <v>209</v>
      </c>
      <c r="C2786" s="27" t="s">
        <v>346</v>
      </c>
      <c r="D2786" s="27" t="s">
        <v>402</v>
      </c>
      <c r="E2786" s="27" t="s">
        <v>1681</v>
      </c>
      <c r="F2786" s="51">
        <v>175165</v>
      </c>
      <c r="G2786" s="27"/>
    </row>
    <row r="2787" spans="1:7">
      <c r="A2787" s="27">
        <v>141</v>
      </c>
      <c r="B2787" s="27" t="s">
        <v>209</v>
      </c>
      <c r="C2787" s="27" t="s">
        <v>346</v>
      </c>
      <c r="D2787" s="27" t="s">
        <v>299</v>
      </c>
      <c r="E2787" s="27" t="s">
        <v>1681</v>
      </c>
      <c r="F2787" s="51">
        <v>13018</v>
      </c>
      <c r="G2787" s="27"/>
    </row>
    <row r="2788" spans="1:7">
      <c r="A2788" s="27">
        <v>142</v>
      </c>
      <c r="B2788" s="27" t="s">
        <v>211</v>
      </c>
      <c r="C2788" s="27" t="s">
        <v>393</v>
      </c>
      <c r="D2788" s="27" t="s">
        <v>406</v>
      </c>
      <c r="E2788" s="27" t="s">
        <v>1682</v>
      </c>
      <c r="F2788" s="51">
        <v>21762</v>
      </c>
      <c r="G2788" s="27"/>
    </row>
    <row r="2789" spans="1:7">
      <c r="A2789" s="27">
        <v>142</v>
      </c>
      <c r="B2789" s="27" t="s">
        <v>211</v>
      </c>
      <c r="C2789" s="27" t="s">
        <v>393</v>
      </c>
      <c r="D2789" s="27" t="s">
        <v>408</v>
      </c>
      <c r="E2789" s="27" t="s">
        <v>1682</v>
      </c>
      <c r="F2789" s="51">
        <v>53444</v>
      </c>
      <c r="G2789" s="27"/>
    </row>
    <row r="2790" spans="1:7">
      <c r="A2790" s="27">
        <v>142</v>
      </c>
      <c r="B2790" s="27" t="s">
        <v>211</v>
      </c>
      <c r="C2790" s="27" t="s">
        <v>393</v>
      </c>
      <c r="D2790" s="27" t="s">
        <v>394</v>
      </c>
      <c r="E2790" s="27" t="s">
        <v>1682</v>
      </c>
      <c r="F2790" s="51">
        <v>248019</v>
      </c>
      <c r="G2790" s="27"/>
    </row>
    <row r="2791" spans="1:7">
      <c r="A2791" s="27">
        <v>142</v>
      </c>
      <c r="B2791" s="27" t="s">
        <v>211</v>
      </c>
      <c r="C2791" s="27" t="s">
        <v>393</v>
      </c>
      <c r="D2791" s="27" t="s">
        <v>397</v>
      </c>
      <c r="E2791" s="27" t="s">
        <v>1682</v>
      </c>
      <c r="F2791" s="51">
        <v>139705</v>
      </c>
      <c r="G2791" s="27"/>
    </row>
    <row r="2792" spans="1:7">
      <c r="A2792" s="27">
        <v>142</v>
      </c>
      <c r="B2792" s="27" t="s">
        <v>211</v>
      </c>
      <c r="C2792" s="27" t="s">
        <v>393</v>
      </c>
      <c r="D2792" s="27" t="s">
        <v>411</v>
      </c>
      <c r="E2792" s="27" t="s">
        <v>1682</v>
      </c>
      <c r="F2792" s="51">
        <v>4552</v>
      </c>
      <c r="G2792" s="27"/>
    </row>
    <row r="2793" spans="1:7">
      <c r="A2793" s="27">
        <v>142</v>
      </c>
      <c r="B2793" s="27" t="s">
        <v>211</v>
      </c>
      <c r="C2793" s="27" t="s">
        <v>393</v>
      </c>
      <c r="D2793" s="27" t="s">
        <v>412</v>
      </c>
      <c r="E2793" s="27" t="s">
        <v>1682</v>
      </c>
      <c r="F2793" s="51">
        <v>36466</v>
      </c>
      <c r="G2793" s="27"/>
    </row>
    <row r="2794" spans="1:7">
      <c r="A2794" s="27">
        <v>142</v>
      </c>
      <c r="B2794" s="27" t="s">
        <v>211</v>
      </c>
      <c r="C2794" s="27" t="s">
        <v>393</v>
      </c>
      <c r="D2794" s="27" t="s">
        <v>398</v>
      </c>
      <c r="E2794" s="27" t="s">
        <v>1682</v>
      </c>
      <c r="F2794" s="51">
        <v>8304</v>
      </c>
      <c r="G2794" s="27"/>
    </row>
    <row r="2795" spans="1:7">
      <c r="A2795" s="27">
        <v>142</v>
      </c>
      <c r="B2795" s="27" t="s">
        <v>211</v>
      </c>
      <c r="C2795" s="27" t="s">
        <v>393</v>
      </c>
      <c r="D2795" s="27" t="s">
        <v>415</v>
      </c>
      <c r="E2795" s="27" t="s">
        <v>1682</v>
      </c>
      <c r="F2795" s="51">
        <v>10851</v>
      </c>
      <c r="G2795" s="27"/>
    </row>
    <row r="2796" spans="1:7">
      <c r="A2796" s="27">
        <v>142</v>
      </c>
      <c r="B2796" s="27" t="s">
        <v>211</v>
      </c>
      <c r="C2796" s="27" t="s">
        <v>393</v>
      </c>
      <c r="D2796" s="27" t="s">
        <v>334</v>
      </c>
      <c r="E2796" s="27" t="s">
        <v>1682</v>
      </c>
      <c r="F2796" s="51">
        <v>11456</v>
      </c>
      <c r="G2796" s="27"/>
    </row>
    <row r="2797" spans="1:7">
      <c r="A2797" s="27">
        <v>142</v>
      </c>
      <c r="B2797" s="27" t="s">
        <v>211</v>
      </c>
      <c r="C2797" s="27" t="s">
        <v>393</v>
      </c>
      <c r="D2797" s="27" t="s">
        <v>291</v>
      </c>
      <c r="E2797" s="27" t="s">
        <v>1681</v>
      </c>
      <c r="F2797" s="51">
        <v>10954</v>
      </c>
      <c r="G2797" s="27"/>
    </row>
    <row r="2798" spans="1:7">
      <c r="A2798" s="27">
        <v>142</v>
      </c>
      <c r="B2798" s="27" t="s">
        <v>211</v>
      </c>
      <c r="C2798" s="27" t="s">
        <v>393</v>
      </c>
      <c r="D2798" s="27" t="s">
        <v>399</v>
      </c>
      <c r="E2798" s="27" t="s">
        <v>1681</v>
      </c>
      <c r="F2798" s="51">
        <v>8045458</v>
      </c>
      <c r="G2798" s="27"/>
    </row>
    <row r="2799" spans="1:7">
      <c r="A2799" s="27">
        <v>142</v>
      </c>
      <c r="B2799" s="27" t="s">
        <v>211</v>
      </c>
      <c r="C2799" s="27" t="s">
        <v>393</v>
      </c>
      <c r="D2799" s="27" t="s">
        <v>317</v>
      </c>
      <c r="E2799" s="27" t="s">
        <v>1681</v>
      </c>
      <c r="F2799" s="51">
        <v>86171</v>
      </c>
      <c r="G2799" s="27"/>
    </row>
    <row r="2800" spans="1:7">
      <c r="A2800" s="27">
        <v>142</v>
      </c>
      <c r="B2800" s="27" t="s">
        <v>211</v>
      </c>
      <c r="C2800" s="27" t="s">
        <v>393</v>
      </c>
      <c r="D2800" s="27" t="s">
        <v>307</v>
      </c>
      <c r="E2800" s="27" t="s">
        <v>1681</v>
      </c>
      <c r="F2800" s="51">
        <v>6000</v>
      </c>
      <c r="G2800" s="27"/>
    </row>
    <row r="2801" spans="1:7">
      <c r="A2801" s="27">
        <v>142</v>
      </c>
      <c r="B2801" s="27" t="s">
        <v>211</v>
      </c>
      <c r="C2801" s="27" t="s">
        <v>393</v>
      </c>
      <c r="D2801" s="27" t="s">
        <v>303</v>
      </c>
      <c r="E2801" s="27" t="s">
        <v>1681</v>
      </c>
      <c r="F2801" s="51">
        <v>17100</v>
      </c>
      <c r="G2801" s="27"/>
    </row>
    <row r="2802" spans="1:7">
      <c r="A2802" s="27">
        <v>142</v>
      </c>
      <c r="B2802" s="27" t="s">
        <v>211</v>
      </c>
      <c r="C2802" s="27" t="s">
        <v>393</v>
      </c>
      <c r="D2802" s="27" t="s">
        <v>304</v>
      </c>
      <c r="E2802" s="27" t="s">
        <v>1681</v>
      </c>
      <c r="F2802" s="51">
        <v>14480</v>
      </c>
      <c r="G2802" s="27"/>
    </row>
    <row r="2803" spans="1:7">
      <c r="A2803" s="27">
        <v>142</v>
      </c>
      <c r="B2803" s="27" t="s">
        <v>211</v>
      </c>
      <c r="C2803" s="27" t="s">
        <v>393</v>
      </c>
      <c r="D2803" s="27" t="s">
        <v>296</v>
      </c>
      <c r="E2803" s="27" t="s">
        <v>1681</v>
      </c>
      <c r="F2803" s="51">
        <v>2958399</v>
      </c>
      <c r="G2803" s="27"/>
    </row>
    <row r="2804" spans="1:7">
      <c r="A2804" s="27">
        <v>142</v>
      </c>
      <c r="B2804" s="27" t="s">
        <v>211</v>
      </c>
      <c r="C2804" s="27" t="s">
        <v>393</v>
      </c>
      <c r="D2804" s="27" t="s">
        <v>400</v>
      </c>
      <c r="E2804" s="27" t="s">
        <v>1681</v>
      </c>
      <c r="F2804" s="51">
        <v>735388</v>
      </c>
      <c r="G2804" s="27"/>
    </row>
    <row r="2805" spans="1:7">
      <c r="A2805" s="27">
        <v>142</v>
      </c>
      <c r="B2805" s="27" t="s">
        <v>211</v>
      </c>
      <c r="C2805" s="27" t="s">
        <v>393</v>
      </c>
      <c r="D2805" s="27" t="s">
        <v>298</v>
      </c>
      <c r="E2805" s="27" t="s">
        <v>1681</v>
      </c>
      <c r="F2805" s="51">
        <v>26063</v>
      </c>
      <c r="G2805" s="27"/>
    </row>
    <row r="2806" spans="1:7">
      <c r="A2806" s="27">
        <v>142</v>
      </c>
      <c r="B2806" s="27" t="s">
        <v>211</v>
      </c>
      <c r="C2806" s="27" t="s">
        <v>393</v>
      </c>
      <c r="D2806" s="27" t="s">
        <v>401</v>
      </c>
      <c r="E2806" s="27" t="s">
        <v>1681</v>
      </c>
      <c r="F2806" s="51">
        <v>31516</v>
      </c>
      <c r="G2806" s="27"/>
    </row>
    <row r="2807" spans="1:7">
      <c r="A2807" s="27">
        <v>142</v>
      </c>
      <c r="B2807" s="27" t="s">
        <v>211</v>
      </c>
      <c r="C2807" s="27" t="s">
        <v>393</v>
      </c>
      <c r="D2807" s="27" t="s">
        <v>402</v>
      </c>
      <c r="E2807" s="27" t="s">
        <v>1681</v>
      </c>
      <c r="F2807" s="51">
        <v>269572</v>
      </c>
      <c r="G2807" s="27"/>
    </row>
    <row r="2808" spans="1:7">
      <c r="A2808" s="27">
        <v>142</v>
      </c>
      <c r="B2808" s="27" t="s">
        <v>211</v>
      </c>
      <c r="C2808" s="27" t="s">
        <v>393</v>
      </c>
      <c r="D2808" s="27" t="s">
        <v>300</v>
      </c>
      <c r="E2808" s="27" t="s">
        <v>1681</v>
      </c>
      <c r="F2808" s="51">
        <v>20461</v>
      </c>
      <c r="G2808" s="27"/>
    </row>
    <row r="2809" spans="1:7">
      <c r="A2809" s="27">
        <v>143</v>
      </c>
      <c r="B2809" s="27" t="s">
        <v>212</v>
      </c>
      <c r="C2809" s="27" t="s">
        <v>316</v>
      </c>
      <c r="D2809" s="27" t="s">
        <v>406</v>
      </c>
      <c r="E2809" s="27" t="s">
        <v>1682</v>
      </c>
      <c r="F2809" s="51">
        <v>55733</v>
      </c>
      <c r="G2809" s="27"/>
    </row>
    <row r="2810" spans="1:7">
      <c r="A2810" s="27">
        <v>143</v>
      </c>
      <c r="B2810" s="27" t="s">
        <v>212</v>
      </c>
      <c r="C2810" s="27" t="s">
        <v>316</v>
      </c>
      <c r="D2810" s="27" t="s">
        <v>408</v>
      </c>
      <c r="E2810" s="27" t="s">
        <v>1682</v>
      </c>
      <c r="F2810" s="51">
        <v>355690</v>
      </c>
      <c r="G2810" s="27"/>
    </row>
    <row r="2811" spans="1:7">
      <c r="A2811" s="27">
        <v>143</v>
      </c>
      <c r="B2811" s="27" t="s">
        <v>212</v>
      </c>
      <c r="C2811" s="27" t="s">
        <v>316</v>
      </c>
      <c r="D2811" s="27" t="s">
        <v>394</v>
      </c>
      <c r="E2811" s="27" t="s">
        <v>1682</v>
      </c>
      <c r="F2811" s="51">
        <v>824288</v>
      </c>
      <c r="G2811" s="27"/>
    </row>
    <row r="2812" spans="1:7">
      <c r="A2812" s="27">
        <v>143</v>
      </c>
      <c r="B2812" s="27" t="s">
        <v>212</v>
      </c>
      <c r="C2812" s="27" t="s">
        <v>316</v>
      </c>
      <c r="D2812" s="27" t="s">
        <v>397</v>
      </c>
      <c r="E2812" s="27" t="s">
        <v>1682</v>
      </c>
      <c r="F2812" s="51">
        <v>616942</v>
      </c>
      <c r="G2812" s="27"/>
    </row>
    <row r="2813" spans="1:7">
      <c r="A2813" s="27">
        <v>143</v>
      </c>
      <c r="B2813" s="27" t="s">
        <v>212</v>
      </c>
      <c r="C2813" s="27" t="s">
        <v>316</v>
      </c>
      <c r="D2813" s="27" t="s">
        <v>411</v>
      </c>
      <c r="E2813" s="27" t="s">
        <v>1682</v>
      </c>
      <c r="F2813" s="51">
        <v>9925</v>
      </c>
      <c r="G2813" s="27"/>
    </row>
    <row r="2814" spans="1:7">
      <c r="A2814" s="27">
        <v>143</v>
      </c>
      <c r="B2814" s="27" t="s">
        <v>212</v>
      </c>
      <c r="C2814" s="27" t="s">
        <v>316</v>
      </c>
      <c r="D2814" s="27" t="s">
        <v>412</v>
      </c>
      <c r="E2814" s="27" t="s">
        <v>1682</v>
      </c>
      <c r="F2814" s="51">
        <v>90337</v>
      </c>
      <c r="G2814" s="27"/>
    </row>
    <row r="2815" spans="1:7">
      <c r="A2815" s="27">
        <v>143</v>
      </c>
      <c r="B2815" s="27" t="s">
        <v>212</v>
      </c>
      <c r="C2815" s="27" t="s">
        <v>316</v>
      </c>
      <c r="D2815" s="27" t="s">
        <v>413</v>
      </c>
      <c r="E2815" s="27" t="s">
        <v>1682</v>
      </c>
      <c r="F2815" s="51">
        <v>13930</v>
      </c>
      <c r="G2815" s="27"/>
    </row>
    <row r="2816" spans="1:7">
      <c r="A2816" s="27">
        <v>143</v>
      </c>
      <c r="B2816" s="27" t="s">
        <v>212</v>
      </c>
      <c r="C2816" s="27" t="s">
        <v>316</v>
      </c>
      <c r="D2816" s="27" t="s">
        <v>398</v>
      </c>
      <c r="E2816" s="27" t="s">
        <v>1682</v>
      </c>
      <c r="F2816" s="51">
        <v>27945</v>
      </c>
      <c r="G2816" s="27"/>
    </row>
    <row r="2817" spans="1:7">
      <c r="A2817" s="27">
        <v>143</v>
      </c>
      <c r="B2817" s="27" t="s">
        <v>212</v>
      </c>
      <c r="C2817" s="27" t="s">
        <v>316</v>
      </c>
      <c r="D2817" s="27" t="s">
        <v>415</v>
      </c>
      <c r="E2817" s="27" t="s">
        <v>1682</v>
      </c>
      <c r="F2817" s="51">
        <v>34636</v>
      </c>
      <c r="G2817" s="27"/>
    </row>
    <row r="2818" spans="1:7">
      <c r="A2818" s="27">
        <v>143</v>
      </c>
      <c r="B2818" s="27" t="s">
        <v>212</v>
      </c>
      <c r="C2818" s="27" t="s">
        <v>316</v>
      </c>
      <c r="D2818" s="27" t="s">
        <v>334</v>
      </c>
      <c r="E2818" s="27" t="s">
        <v>1682</v>
      </c>
      <c r="F2818" s="51">
        <v>11103</v>
      </c>
      <c r="G2818" s="27"/>
    </row>
    <row r="2819" spans="1:7">
      <c r="A2819" s="27">
        <v>143</v>
      </c>
      <c r="B2819" s="27" t="s">
        <v>212</v>
      </c>
      <c r="C2819" s="27" t="s">
        <v>316</v>
      </c>
      <c r="D2819" s="27" t="s">
        <v>335</v>
      </c>
      <c r="E2819" s="27" t="s">
        <v>1681</v>
      </c>
      <c r="F2819" s="51">
        <v>15702</v>
      </c>
      <c r="G2819" s="27"/>
    </row>
    <row r="2820" spans="1:7">
      <c r="A2820" s="27">
        <v>143</v>
      </c>
      <c r="B2820" s="27" t="s">
        <v>212</v>
      </c>
      <c r="C2820" s="27" t="s">
        <v>316</v>
      </c>
      <c r="D2820" s="27" t="s">
        <v>291</v>
      </c>
      <c r="E2820" s="27" t="s">
        <v>1681</v>
      </c>
      <c r="F2820" s="51">
        <v>20527</v>
      </c>
      <c r="G2820" s="27"/>
    </row>
    <row r="2821" spans="1:7">
      <c r="A2821" s="27">
        <v>143</v>
      </c>
      <c r="B2821" s="27" t="s">
        <v>212</v>
      </c>
      <c r="C2821" s="27" t="s">
        <v>316</v>
      </c>
      <c r="D2821" s="27" t="s">
        <v>399</v>
      </c>
      <c r="E2821" s="27" t="s">
        <v>1681</v>
      </c>
      <c r="F2821" s="51">
        <v>18934104</v>
      </c>
      <c r="G2821" s="27"/>
    </row>
    <row r="2822" spans="1:7">
      <c r="A2822" s="27">
        <v>143</v>
      </c>
      <c r="B2822" s="27" t="s">
        <v>212</v>
      </c>
      <c r="C2822" s="27" t="s">
        <v>316</v>
      </c>
      <c r="D2822" s="27" t="s">
        <v>307</v>
      </c>
      <c r="E2822" s="27" t="s">
        <v>1681</v>
      </c>
      <c r="F2822" s="51">
        <v>6000</v>
      </c>
      <c r="G2822" s="27"/>
    </row>
    <row r="2823" spans="1:7">
      <c r="A2823" s="27">
        <v>143</v>
      </c>
      <c r="B2823" s="27" t="s">
        <v>212</v>
      </c>
      <c r="C2823" s="27" t="s">
        <v>316</v>
      </c>
      <c r="D2823" s="27" t="s">
        <v>294</v>
      </c>
      <c r="E2823" s="27" t="s">
        <v>1681</v>
      </c>
      <c r="F2823" s="51">
        <v>21282</v>
      </c>
      <c r="G2823" s="27"/>
    </row>
    <row r="2824" spans="1:7">
      <c r="A2824" s="27">
        <v>143</v>
      </c>
      <c r="B2824" s="27" t="s">
        <v>212</v>
      </c>
      <c r="C2824" s="27" t="s">
        <v>316</v>
      </c>
      <c r="D2824" s="27" t="s">
        <v>303</v>
      </c>
      <c r="E2824" s="27" t="s">
        <v>1681</v>
      </c>
      <c r="F2824" s="51">
        <v>14285</v>
      </c>
      <c r="G2824" s="27"/>
    </row>
    <row r="2825" spans="1:7">
      <c r="A2825" s="27">
        <v>143</v>
      </c>
      <c r="B2825" s="27" t="s">
        <v>212</v>
      </c>
      <c r="C2825" s="27" t="s">
        <v>316</v>
      </c>
      <c r="D2825" s="27" t="s">
        <v>296</v>
      </c>
      <c r="E2825" s="27" t="s">
        <v>1681</v>
      </c>
      <c r="F2825" s="51">
        <v>3479134</v>
      </c>
      <c r="G2825" s="27"/>
    </row>
    <row r="2826" spans="1:7">
      <c r="A2826" s="27">
        <v>143</v>
      </c>
      <c r="B2826" s="27" t="s">
        <v>212</v>
      </c>
      <c r="C2826" s="27" t="s">
        <v>316</v>
      </c>
      <c r="D2826" s="27" t="s">
        <v>400</v>
      </c>
      <c r="E2826" s="27" t="s">
        <v>1681</v>
      </c>
      <c r="F2826" s="51">
        <v>412974</v>
      </c>
      <c r="G2826" s="27"/>
    </row>
    <row r="2827" spans="1:7">
      <c r="A2827" s="27">
        <v>143</v>
      </c>
      <c r="B2827" s="27" t="s">
        <v>212</v>
      </c>
      <c r="C2827" s="27" t="s">
        <v>316</v>
      </c>
      <c r="D2827" s="27" t="s">
        <v>298</v>
      </c>
      <c r="E2827" s="27" t="s">
        <v>1681</v>
      </c>
      <c r="F2827" s="51">
        <v>745695</v>
      </c>
      <c r="G2827" s="27"/>
    </row>
    <row r="2828" spans="1:7">
      <c r="A2828" s="27">
        <v>143</v>
      </c>
      <c r="B2828" s="27" t="s">
        <v>212</v>
      </c>
      <c r="C2828" s="27" t="s">
        <v>316</v>
      </c>
      <c r="D2828" s="27" t="s">
        <v>401</v>
      </c>
      <c r="E2828" s="27" t="s">
        <v>1681</v>
      </c>
      <c r="F2828" s="51">
        <v>32703</v>
      </c>
      <c r="G2828" s="27"/>
    </row>
    <row r="2829" spans="1:7">
      <c r="A2829" s="27">
        <v>143</v>
      </c>
      <c r="B2829" s="27" t="s">
        <v>212</v>
      </c>
      <c r="C2829" s="27" t="s">
        <v>316</v>
      </c>
      <c r="D2829" s="27" t="s">
        <v>1347</v>
      </c>
      <c r="E2829" s="27" t="s">
        <v>1681</v>
      </c>
      <c r="F2829" s="51">
        <v>6792</v>
      </c>
      <c r="G2829" s="27"/>
    </row>
    <row r="2830" spans="1:7">
      <c r="A2830" s="27">
        <v>143</v>
      </c>
      <c r="B2830" s="27" t="s">
        <v>212</v>
      </c>
      <c r="C2830" s="27" t="s">
        <v>316</v>
      </c>
      <c r="D2830" s="27" t="s">
        <v>402</v>
      </c>
      <c r="E2830" s="27" t="s">
        <v>1681</v>
      </c>
      <c r="F2830" s="51">
        <v>630428</v>
      </c>
      <c r="G2830" s="27"/>
    </row>
    <row r="2831" spans="1:7">
      <c r="A2831" s="27">
        <v>143</v>
      </c>
      <c r="B2831" s="27" t="s">
        <v>212</v>
      </c>
      <c r="C2831" s="27" t="s">
        <v>316</v>
      </c>
      <c r="D2831" s="27" t="s">
        <v>299</v>
      </c>
      <c r="E2831" s="27" t="s">
        <v>1681</v>
      </c>
      <c r="F2831" s="51">
        <v>68724</v>
      </c>
      <c r="G2831" s="27"/>
    </row>
    <row r="2832" spans="1:7">
      <c r="A2832" s="27">
        <v>143</v>
      </c>
      <c r="B2832" s="27" t="s">
        <v>212</v>
      </c>
      <c r="C2832" s="27" t="s">
        <v>316</v>
      </c>
      <c r="D2832" s="27" t="s">
        <v>300</v>
      </c>
      <c r="E2832" s="27" t="s">
        <v>1681</v>
      </c>
      <c r="F2832" s="51">
        <v>36379</v>
      </c>
      <c r="G2832" s="27"/>
    </row>
    <row r="2833" spans="1:7">
      <c r="A2833" s="27">
        <v>144</v>
      </c>
      <c r="B2833" s="27" t="s">
        <v>213</v>
      </c>
      <c r="C2833" s="27" t="s">
        <v>306</v>
      </c>
      <c r="D2833" s="27" t="s">
        <v>406</v>
      </c>
      <c r="E2833" s="27" t="s">
        <v>1682</v>
      </c>
      <c r="F2833" s="51">
        <v>36234</v>
      </c>
      <c r="G2833" s="27"/>
    </row>
    <row r="2834" spans="1:7">
      <c r="A2834" s="27">
        <v>144</v>
      </c>
      <c r="B2834" s="27" t="s">
        <v>213</v>
      </c>
      <c r="C2834" s="27" t="s">
        <v>306</v>
      </c>
      <c r="D2834" s="27" t="s">
        <v>408</v>
      </c>
      <c r="E2834" s="27" t="s">
        <v>1682</v>
      </c>
      <c r="F2834" s="51">
        <v>111573</v>
      </c>
      <c r="G2834" s="27"/>
    </row>
    <row r="2835" spans="1:7">
      <c r="A2835" s="27">
        <v>144</v>
      </c>
      <c r="B2835" s="27" t="s">
        <v>213</v>
      </c>
      <c r="C2835" s="27" t="s">
        <v>306</v>
      </c>
      <c r="D2835" s="27" t="s">
        <v>394</v>
      </c>
      <c r="E2835" s="27" t="s">
        <v>1682</v>
      </c>
      <c r="F2835" s="51">
        <v>822780</v>
      </c>
      <c r="G2835" s="27"/>
    </row>
    <row r="2836" spans="1:7">
      <c r="A2836" s="27">
        <v>144</v>
      </c>
      <c r="B2836" s="27" t="s">
        <v>213</v>
      </c>
      <c r="C2836" s="27" t="s">
        <v>306</v>
      </c>
      <c r="D2836" s="27" t="s">
        <v>396</v>
      </c>
      <c r="E2836" s="27" t="s">
        <v>1682</v>
      </c>
      <c r="F2836" s="51">
        <v>29700</v>
      </c>
      <c r="G2836" s="27"/>
    </row>
    <row r="2837" spans="1:7">
      <c r="A2837" s="27">
        <v>144</v>
      </c>
      <c r="B2837" s="27" t="s">
        <v>213</v>
      </c>
      <c r="C2837" s="27" t="s">
        <v>306</v>
      </c>
      <c r="D2837" s="27" t="s">
        <v>410</v>
      </c>
      <c r="E2837" s="27" t="s">
        <v>1682</v>
      </c>
      <c r="F2837" s="51">
        <v>900</v>
      </c>
      <c r="G2837" s="27"/>
    </row>
    <row r="2838" spans="1:7">
      <c r="A2838" s="27">
        <v>144</v>
      </c>
      <c r="B2838" s="27" t="s">
        <v>213</v>
      </c>
      <c r="C2838" s="27" t="s">
        <v>306</v>
      </c>
      <c r="D2838" s="27" t="s">
        <v>397</v>
      </c>
      <c r="E2838" s="27" t="s">
        <v>1682</v>
      </c>
      <c r="F2838" s="51">
        <v>152419</v>
      </c>
      <c r="G2838" s="27"/>
    </row>
    <row r="2839" spans="1:7">
      <c r="A2839" s="27">
        <v>144</v>
      </c>
      <c r="B2839" s="27" t="s">
        <v>213</v>
      </c>
      <c r="C2839" s="27" t="s">
        <v>306</v>
      </c>
      <c r="D2839" s="27" t="s">
        <v>333</v>
      </c>
      <c r="E2839" s="27" t="s">
        <v>1682</v>
      </c>
      <c r="F2839" s="51">
        <v>1968</v>
      </c>
      <c r="G2839" s="27"/>
    </row>
    <row r="2840" spans="1:7">
      <c r="A2840" s="27">
        <v>144</v>
      </c>
      <c r="B2840" s="27" t="s">
        <v>213</v>
      </c>
      <c r="C2840" s="27" t="s">
        <v>306</v>
      </c>
      <c r="D2840" s="27" t="s">
        <v>411</v>
      </c>
      <c r="E2840" s="27" t="s">
        <v>1682</v>
      </c>
      <c r="F2840" s="51">
        <v>4316</v>
      </c>
      <c r="G2840" s="27"/>
    </row>
    <row r="2841" spans="1:7">
      <c r="A2841" s="27">
        <v>144</v>
      </c>
      <c r="B2841" s="27" t="s">
        <v>213</v>
      </c>
      <c r="C2841" s="27" t="s">
        <v>306</v>
      </c>
      <c r="D2841" s="27" t="s">
        <v>412</v>
      </c>
      <c r="E2841" s="27" t="s">
        <v>1682</v>
      </c>
      <c r="F2841" s="51">
        <v>116492</v>
      </c>
      <c r="G2841" s="27"/>
    </row>
    <row r="2842" spans="1:7">
      <c r="A2842" s="27">
        <v>144</v>
      </c>
      <c r="B2842" s="27" t="s">
        <v>213</v>
      </c>
      <c r="C2842" s="27" t="s">
        <v>306</v>
      </c>
      <c r="D2842" s="27" t="s">
        <v>398</v>
      </c>
      <c r="E2842" s="27" t="s">
        <v>1682</v>
      </c>
      <c r="F2842" s="51">
        <v>23276</v>
      </c>
      <c r="G2842" s="27"/>
    </row>
    <row r="2843" spans="1:7">
      <c r="A2843" s="27">
        <v>144</v>
      </c>
      <c r="B2843" s="27" t="s">
        <v>213</v>
      </c>
      <c r="C2843" s="27" t="s">
        <v>306</v>
      </c>
      <c r="D2843" s="27" t="s">
        <v>415</v>
      </c>
      <c r="E2843" s="27" t="s">
        <v>1682</v>
      </c>
      <c r="F2843" s="51">
        <v>21621</v>
      </c>
      <c r="G2843" s="27"/>
    </row>
    <row r="2844" spans="1:7">
      <c r="A2844" s="27">
        <v>144</v>
      </c>
      <c r="B2844" s="27" t="s">
        <v>213</v>
      </c>
      <c r="C2844" s="27" t="s">
        <v>306</v>
      </c>
      <c r="D2844" s="27" t="s">
        <v>334</v>
      </c>
      <c r="E2844" s="27" t="s">
        <v>1682</v>
      </c>
      <c r="F2844" s="51">
        <v>5479</v>
      </c>
      <c r="G2844" s="27"/>
    </row>
    <row r="2845" spans="1:7">
      <c r="A2845" s="27">
        <v>144</v>
      </c>
      <c r="B2845" s="27" t="s">
        <v>213</v>
      </c>
      <c r="C2845" s="27" t="s">
        <v>306</v>
      </c>
      <c r="D2845" s="27" t="s">
        <v>291</v>
      </c>
      <c r="E2845" s="27" t="s">
        <v>1681</v>
      </c>
      <c r="F2845" s="51">
        <v>17875</v>
      </c>
      <c r="G2845" s="27"/>
    </row>
    <row r="2846" spans="1:7">
      <c r="A2846" s="27">
        <v>144</v>
      </c>
      <c r="B2846" s="27" t="s">
        <v>213</v>
      </c>
      <c r="C2846" s="27" t="s">
        <v>306</v>
      </c>
      <c r="D2846" s="27" t="s">
        <v>399</v>
      </c>
      <c r="E2846" s="27" t="s">
        <v>1681</v>
      </c>
      <c r="F2846" s="51">
        <v>2142490</v>
      </c>
      <c r="G2846" s="27"/>
    </row>
    <row r="2847" spans="1:7">
      <c r="A2847" s="27">
        <v>144</v>
      </c>
      <c r="B2847" s="27" t="s">
        <v>213</v>
      </c>
      <c r="C2847" s="27" t="s">
        <v>306</v>
      </c>
      <c r="D2847" s="27" t="s">
        <v>293</v>
      </c>
      <c r="E2847" s="27" t="s">
        <v>1681</v>
      </c>
      <c r="F2847" s="51">
        <v>111300</v>
      </c>
      <c r="G2847" s="27"/>
    </row>
    <row r="2848" spans="1:7">
      <c r="A2848" s="27">
        <v>144</v>
      </c>
      <c r="B2848" s="27" t="s">
        <v>213</v>
      </c>
      <c r="C2848" s="27" t="s">
        <v>306</v>
      </c>
      <c r="D2848" s="27" t="s">
        <v>307</v>
      </c>
      <c r="E2848" s="27" t="s">
        <v>1681</v>
      </c>
      <c r="F2848" s="51">
        <v>69600</v>
      </c>
      <c r="G2848" s="27"/>
    </row>
    <row r="2849" spans="1:7">
      <c r="A2849" s="27">
        <v>144</v>
      </c>
      <c r="B2849" s="27" t="s">
        <v>213</v>
      </c>
      <c r="C2849" s="27" t="s">
        <v>306</v>
      </c>
      <c r="D2849" s="27" t="s">
        <v>294</v>
      </c>
      <c r="E2849" s="27" t="s">
        <v>1681</v>
      </c>
      <c r="F2849" s="51">
        <v>65103</v>
      </c>
      <c r="G2849" s="27"/>
    </row>
    <row r="2850" spans="1:7">
      <c r="A2850" s="27">
        <v>144</v>
      </c>
      <c r="B2850" s="27" t="s">
        <v>213</v>
      </c>
      <c r="C2850" s="27" t="s">
        <v>306</v>
      </c>
      <c r="D2850" s="27" t="s">
        <v>295</v>
      </c>
      <c r="E2850" s="27" t="s">
        <v>1681</v>
      </c>
      <c r="F2850" s="51">
        <v>68337</v>
      </c>
      <c r="G2850" s="27"/>
    </row>
    <row r="2851" spans="1:7">
      <c r="A2851" s="27">
        <v>144</v>
      </c>
      <c r="B2851" s="27" t="s">
        <v>213</v>
      </c>
      <c r="C2851" s="27" t="s">
        <v>306</v>
      </c>
      <c r="D2851" s="27" t="s">
        <v>304</v>
      </c>
      <c r="E2851" s="27" t="s">
        <v>1681</v>
      </c>
      <c r="F2851" s="51">
        <v>23700</v>
      </c>
      <c r="G2851" s="27"/>
    </row>
    <row r="2852" spans="1:7">
      <c r="A2852" s="27">
        <v>144</v>
      </c>
      <c r="B2852" s="27" t="s">
        <v>213</v>
      </c>
      <c r="C2852" s="27" t="s">
        <v>306</v>
      </c>
      <c r="D2852" s="27" t="s">
        <v>296</v>
      </c>
      <c r="E2852" s="27" t="s">
        <v>1681</v>
      </c>
      <c r="F2852" s="51">
        <v>4281322</v>
      </c>
      <c r="G2852" s="27"/>
    </row>
    <row r="2853" spans="1:7">
      <c r="A2853" s="27">
        <v>144</v>
      </c>
      <c r="B2853" s="27" t="s">
        <v>213</v>
      </c>
      <c r="C2853" s="27" t="s">
        <v>306</v>
      </c>
      <c r="D2853" s="27" t="s">
        <v>400</v>
      </c>
      <c r="E2853" s="27" t="s">
        <v>1681</v>
      </c>
      <c r="F2853" s="51">
        <v>607510</v>
      </c>
      <c r="G2853" s="27"/>
    </row>
    <row r="2854" spans="1:7">
      <c r="A2854" s="27">
        <v>144</v>
      </c>
      <c r="B2854" s="27" t="s">
        <v>213</v>
      </c>
      <c r="C2854" s="27" t="s">
        <v>306</v>
      </c>
      <c r="D2854" s="27" t="s">
        <v>298</v>
      </c>
      <c r="E2854" s="27" t="s">
        <v>1681</v>
      </c>
      <c r="F2854" s="51">
        <v>94735</v>
      </c>
      <c r="G2854" s="27"/>
    </row>
    <row r="2855" spans="1:7">
      <c r="A2855" s="27">
        <v>144</v>
      </c>
      <c r="B2855" s="27" t="s">
        <v>213</v>
      </c>
      <c r="C2855" s="27" t="s">
        <v>306</v>
      </c>
      <c r="D2855" s="27" t="s">
        <v>401</v>
      </c>
      <c r="E2855" s="27" t="s">
        <v>1681</v>
      </c>
      <c r="F2855" s="51">
        <v>14836</v>
      </c>
      <c r="G2855" s="27"/>
    </row>
    <row r="2856" spans="1:7">
      <c r="A2856" s="27">
        <v>144</v>
      </c>
      <c r="B2856" s="27" t="s">
        <v>213</v>
      </c>
      <c r="C2856" s="27" t="s">
        <v>306</v>
      </c>
      <c r="D2856" s="27" t="s">
        <v>402</v>
      </c>
      <c r="E2856" s="27" t="s">
        <v>1681</v>
      </c>
      <c r="F2856" s="51">
        <v>66941</v>
      </c>
      <c r="G2856" s="27"/>
    </row>
    <row r="2857" spans="1:7">
      <c r="A2857" s="27">
        <v>144</v>
      </c>
      <c r="B2857" s="27" t="s">
        <v>213</v>
      </c>
      <c r="C2857" s="27" t="s">
        <v>306</v>
      </c>
      <c r="D2857" s="27" t="s">
        <v>299</v>
      </c>
      <c r="E2857" s="27" t="s">
        <v>1681</v>
      </c>
      <c r="F2857" s="51">
        <v>13620</v>
      </c>
      <c r="G2857" s="27"/>
    </row>
    <row r="2858" spans="1:7">
      <c r="A2858" s="27">
        <v>144</v>
      </c>
      <c r="B2858" s="27" t="s">
        <v>213</v>
      </c>
      <c r="C2858" s="27" t="s">
        <v>306</v>
      </c>
      <c r="D2858" s="27" t="s">
        <v>320</v>
      </c>
      <c r="E2858" s="27" t="s">
        <v>1681</v>
      </c>
      <c r="F2858" s="51">
        <v>82423</v>
      </c>
      <c r="G2858" s="27"/>
    </row>
    <row r="2859" spans="1:7">
      <c r="A2859" s="27">
        <v>144</v>
      </c>
      <c r="B2859" s="27" t="s">
        <v>213</v>
      </c>
      <c r="C2859" s="27" t="s">
        <v>306</v>
      </c>
      <c r="D2859" s="27" t="s">
        <v>300</v>
      </c>
      <c r="E2859" s="27" t="s">
        <v>1681</v>
      </c>
      <c r="F2859" s="51">
        <v>24388</v>
      </c>
      <c r="G2859" s="27"/>
    </row>
    <row r="2860" spans="1:7">
      <c r="A2860" s="27">
        <v>145</v>
      </c>
      <c r="B2860" s="27" t="s">
        <v>214</v>
      </c>
      <c r="C2860" s="27" t="s">
        <v>302</v>
      </c>
      <c r="D2860" s="27" t="s">
        <v>408</v>
      </c>
      <c r="E2860" s="27" t="s">
        <v>1682</v>
      </c>
      <c r="F2860" s="51">
        <v>1173</v>
      </c>
      <c r="G2860" s="27"/>
    </row>
    <row r="2861" spans="1:7">
      <c r="A2861" s="27">
        <v>145</v>
      </c>
      <c r="B2861" s="27" t="s">
        <v>214</v>
      </c>
      <c r="C2861" s="27" t="s">
        <v>302</v>
      </c>
      <c r="D2861" s="27" t="s">
        <v>394</v>
      </c>
      <c r="E2861" s="27" t="s">
        <v>1682</v>
      </c>
      <c r="F2861" s="51">
        <v>7424</v>
      </c>
      <c r="G2861" s="27"/>
    </row>
    <row r="2862" spans="1:7">
      <c r="A2862" s="27">
        <v>145</v>
      </c>
      <c r="B2862" s="27" t="s">
        <v>214</v>
      </c>
      <c r="C2862" s="27" t="s">
        <v>302</v>
      </c>
      <c r="D2862" s="27" t="s">
        <v>412</v>
      </c>
      <c r="E2862" s="27" t="s">
        <v>1682</v>
      </c>
      <c r="F2862" s="51">
        <v>1252</v>
      </c>
      <c r="G2862" s="27"/>
    </row>
    <row r="2863" spans="1:7">
      <c r="A2863" s="27">
        <v>145</v>
      </c>
      <c r="B2863" s="27" t="s">
        <v>214</v>
      </c>
      <c r="C2863" s="27" t="s">
        <v>302</v>
      </c>
      <c r="D2863" s="27" t="s">
        <v>398</v>
      </c>
      <c r="E2863" s="27" t="s">
        <v>1682</v>
      </c>
      <c r="F2863" s="51">
        <v>147</v>
      </c>
      <c r="G2863" s="27"/>
    </row>
    <row r="2864" spans="1:7">
      <c r="A2864" s="27">
        <v>145</v>
      </c>
      <c r="B2864" s="27" t="s">
        <v>214</v>
      </c>
      <c r="C2864" s="27" t="s">
        <v>302</v>
      </c>
      <c r="D2864" s="27" t="s">
        <v>415</v>
      </c>
      <c r="E2864" s="27" t="s">
        <v>1682</v>
      </c>
      <c r="F2864" s="51">
        <v>277</v>
      </c>
      <c r="G2864" s="27"/>
    </row>
    <row r="2865" spans="1:7">
      <c r="A2865" s="27">
        <v>145</v>
      </c>
      <c r="B2865" s="27" t="s">
        <v>214</v>
      </c>
      <c r="C2865" s="27" t="s">
        <v>302</v>
      </c>
      <c r="D2865" s="27" t="s">
        <v>399</v>
      </c>
      <c r="E2865" s="27" t="s">
        <v>1681</v>
      </c>
      <c r="F2865" s="51">
        <v>195963</v>
      </c>
      <c r="G2865" s="27"/>
    </row>
    <row r="2866" spans="1:7">
      <c r="A2866" s="27">
        <v>145</v>
      </c>
      <c r="B2866" s="27" t="s">
        <v>214</v>
      </c>
      <c r="C2866" s="27" t="s">
        <v>302</v>
      </c>
      <c r="D2866" s="27" t="s">
        <v>307</v>
      </c>
      <c r="E2866" s="27" t="s">
        <v>1681</v>
      </c>
      <c r="F2866" s="51">
        <v>144</v>
      </c>
      <c r="G2866" s="27"/>
    </row>
    <row r="2867" spans="1:7">
      <c r="A2867" s="27">
        <v>145</v>
      </c>
      <c r="B2867" s="27" t="s">
        <v>214</v>
      </c>
      <c r="C2867" s="27" t="s">
        <v>302</v>
      </c>
      <c r="D2867" s="27" t="s">
        <v>296</v>
      </c>
      <c r="E2867" s="27" t="s">
        <v>1681</v>
      </c>
      <c r="F2867" s="51">
        <v>19347</v>
      </c>
      <c r="G2867" s="27"/>
    </row>
    <row r="2868" spans="1:7">
      <c r="A2868" s="27">
        <v>145</v>
      </c>
      <c r="B2868" s="27" t="s">
        <v>214</v>
      </c>
      <c r="C2868" s="27" t="s">
        <v>302</v>
      </c>
      <c r="D2868" s="27" t="s">
        <v>401</v>
      </c>
      <c r="E2868" s="27" t="s">
        <v>1681</v>
      </c>
      <c r="F2868" s="51">
        <v>28710</v>
      </c>
      <c r="G2868" s="27"/>
    </row>
    <row r="2869" spans="1:7">
      <c r="A2869" s="27">
        <v>145</v>
      </c>
      <c r="B2869" s="27" t="s">
        <v>214</v>
      </c>
      <c r="C2869" s="27" t="s">
        <v>302</v>
      </c>
      <c r="D2869" s="27" t="s">
        <v>402</v>
      </c>
      <c r="E2869" s="27" t="s">
        <v>1681</v>
      </c>
      <c r="F2869" s="51">
        <v>35779</v>
      </c>
      <c r="G2869" s="27"/>
    </row>
    <row r="2870" spans="1:7">
      <c r="A2870" s="27">
        <v>146</v>
      </c>
      <c r="B2870" s="27" t="s">
        <v>215</v>
      </c>
      <c r="C2870" s="27" t="s">
        <v>316</v>
      </c>
      <c r="D2870" s="27" t="s">
        <v>406</v>
      </c>
      <c r="E2870" s="27" t="s">
        <v>1682</v>
      </c>
      <c r="F2870" s="51">
        <v>53283</v>
      </c>
      <c r="G2870" s="27"/>
    </row>
    <row r="2871" spans="1:7">
      <c r="A2871" s="27">
        <v>146</v>
      </c>
      <c r="B2871" s="27" t="s">
        <v>215</v>
      </c>
      <c r="C2871" s="27" t="s">
        <v>316</v>
      </c>
      <c r="D2871" s="27" t="s">
        <v>407</v>
      </c>
      <c r="E2871" s="27" t="s">
        <v>1682</v>
      </c>
      <c r="F2871" s="51">
        <v>25252</v>
      </c>
      <c r="G2871" s="27"/>
    </row>
    <row r="2872" spans="1:7">
      <c r="A2872" s="27">
        <v>146</v>
      </c>
      <c r="B2872" s="27" t="s">
        <v>215</v>
      </c>
      <c r="C2872" s="27" t="s">
        <v>316</v>
      </c>
      <c r="D2872" s="27" t="s">
        <v>408</v>
      </c>
      <c r="E2872" s="27" t="s">
        <v>1682</v>
      </c>
      <c r="F2872" s="51">
        <v>334118</v>
      </c>
      <c r="G2872" s="27"/>
    </row>
    <row r="2873" spans="1:7">
      <c r="A2873" s="27">
        <v>146</v>
      </c>
      <c r="B2873" s="27" t="s">
        <v>215</v>
      </c>
      <c r="C2873" s="27" t="s">
        <v>316</v>
      </c>
      <c r="D2873" s="27" t="s">
        <v>394</v>
      </c>
      <c r="E2873" s="27" t="s">
        <v>1682</v>
      </c>
      <c r="F2873" s="51">
        <v>694989</v>
      </c>
      <c r="G2873" s="27"/>
    </row>
    <row r="2874" spans="1:7">
      <c r="A2874" s="27">
        <v>146</v>
      </c>
      <c r="B2874" s="27" t="s">
        <v>215</v>
      </c>
      <c r="C2874" s="27" t="s">
        <v>316</v>
      </c>
      <c r="D2874" s="27" t="s">
        <v>397</v>
      </c>
      <c r="E2874" s="27" t="s">
        <v>1682</v>
      </c>
      <c r="F2874" s="51">
        <v>650055</v>
      </c>
      <c r="G2874" s="27"/>
    </row>
    <row r="2875" spans="1:7">
      <c r="A2875" s="27">
        <v>146</v>
      </c>
      <c r="B2875" s="27" t="s">
        <v>215</v>
      </c>
      <c r="C2875" s="27" t="s">
        <v>316</v>
      </c>
      <c r="D2875" s="27" t="s">
        <v>333</v>
      </c>
      <c r="E2875" s="27" t="s">
        <v>1682</v>
      </c>
      <c r="F2875" s="51">
        <v>3007</v>
      </c>
      <c r="G2875" s="27"/>
    </row>
    <row r="2876" spans="1:7">
      <c r="A2876" s="27">
        <v>146</v>
      </c>
      <c r="B2876" s="27" t="s">
        <v>215</v>
      </c>
      <c r="C2876" s="27" t="s">
        <v>316</v>
      </c>
      <c r="D2876" s="27" t="s">
        <v>411</v>
      </c>
      <c r="E2876" s="27" t="s">
        <v>1682</v>
      </c>
      <c r="F2876" s="51">
        <v>16697</v>
      </c>
      <c r="G2876" s="27"/>
    </row>
    <row r="2877" spans="1:7">
      <c r="A2877" s="27">
        <v>146</v>
      </c>
      <c r="B2877" s="27" t="s">
        <v>215</v>
      </c>
      <c r="C2877" s="27" t="s">
        <v>316</v>
      </c>
      <c r="D2877" s="27" t="s">
        <v>412</v>
      </c>
      <c r="E2877" s="27" t="s">
        <v>1682</v>
      </c>
      <c r="F2877" s="51">
        <v>175839</v>
      </c>
      <c r="G2877" s="27"/>
    </row>
    <row r="2878" spans="1:7">
      <c r="A2878" s="27">
        <v>146</v>
      </c>
      <c r="B2878" s="27" t="s">
        <v>215</v>
      </c>
      <c r="C2878" s="27" t="s">
        <v>316</v>
      </c>
      <c r="D2878" s="27" t="s">
        <v>413</v>
      </c>
      <c r="E2878" s="27" t="s">
        <v>1682</v>
      </c>
      <c r="F2878" s="51">
        <v>12591</v>
      </c>
      <c r="G2878" s="27"/>
    </row>
    <row r="2879" spans="1:7">
      <c r="A2879" s="27">
        <v>146</v>
      </c>
      <c r="B2879" s="27" t="s">
        <v>215</v>
      </c>
      <c r="C2879" s="27" t="s">
        <v>316</v>
      </c>
      <c r="D2879" s="27" t="s">
        <v>398</v>
      </c>
      <c r="E2879" s="27" t="s">
        <v>1682</v>
      </c>
      <c r="F2879" s="51">
        <v>21790</v>
      </c>
      <c r="G2879" s="27"/>
    </row>
    <row r="2880" spans="1:7">
      <c r="A2880" s="27">
        <v>146</v>
      </c>
      <c r="B2880" s="27" t="s">
        <v>215</v>
      </c>
      <c r="C2880" s="27" t="s">
        <v>316</v>
      </c>
      <c r="D2880" s="27" t="s">
        <v>415</v>
      </c>
      <c r="E2880" s="27" t="s">
        <v>1682</v>
      </c>
      <c r="F2880" s="51">
        <v>32478</v>
      </c>
      <c r="G2880" s="27"/>
    </row>
    <row r="2881" spans="1:7">
      <c r="A2881" s="27">
        <v>146</v>
      </c>
      <c r="B2881" s="27" t="s">
        <v>215</v>
      </c>
      <c r="C2881" s="27" t="s">
        <v>316</v>
      </c>
      <c r="D2881" s="27" t="s">
        <v>291</v>
      </c>
      <c r="E2881" s="27" t="s">
        <v>1681</v>
      </c>
      <c r="F2881" s="51">
        <v>19340</v>
      </c>
      <c r="G2881" s="27"/>
    </row>
    <row r="2882" spans="1:7">
      <c r="A2882" s="27">
        <v>146</v>
      </c>
      <c r="B2882" s="27" t="s">
        <v>215</v>
      </c>
      <c r="C2882" s="27" t="s">
        <v>316</v>
      </c>
      <c r="D2882" s="27" t="s">
        <v>399</v>
      </c>
      <c r="E2882" s="27" t="s">
        <v>1681</v>
      </c>
      <c r="F2882" s="51">
        <v>14864946</v>
      </c>
      <c r="G2882" s="27"/>
    </row>
    <row r="2883" spans="1:7">
      <c r="A2883" s="27">
        <v>146</v>
      </c>
      <c r="B2883" s="27" t="s">
        <v>215</v>
      </c>
      <c r="C2883" s="27" t="s">
        <v>316</v>
      </c>
      <c r="D2883" s="27" t="s">
        <v>294</v>
      </c>
      <c r="E2883" s="27" t="s">
        <v>1681</v>
      </c>
      <c r="F2883" s="51">
        <v>17343</v>
      </c>
      <c r="G2883" s="27"/>
    </row>
    <row r="2884" spans="1:7">
      <c r="A2884" s="27">
        <v>146</v>
      </c>
      <c r="B2884" s="27" t="s">
        <v>215</v>
      </c>
      <c r="C2884" s="27" t="s">
        <v>316</v>
      </c>
      <c r="D2884" s="27" t="s">
        <v>295</v>
      </c>
      <c r="E2884" s="27" t="s">
        <v>1681</v>
      </c>
      <c r="F2884" s="51">
        <v>73011</v>
      </c>
      <c r="G2884" s="27"/>
    </row>
    <row r="2885" spans="1:7">
      <c r="A2885" s="27">
        <v>146</v>
      </c>
      <c r="B2885" s="27" t="s">
        <v>215</v>
      </c>
      <c r="C2885" s="27" t="s">
        <v>316</v>
      </c>
      <c r="D2885" s="27" t="s">
        <v>296</v>
      </c>
      <c r="E2885" s="27" t="s">
        <v>1681</v>
      </c>
      <c r="F2885" s="51">
        <v>906451</v>
      </c>
      <c r="G2885" s="27"/>
    </row>
    <row r="2886" spans="1:7">
      <c r="A2886" s="27">
        <v>146</v>
      </c>
      <c r="B2886" s="27" t="s">
        <v>215</v>
      </c>
      <c r="C2886" s="27" t="s">
        <v>316</v>
      </c>
      <c r="D2886" s="27" t="s">
        <v>400</v>
      </c>
      <c r="E2886" s="27" t="s">
        <v>1681</v>
      </c>
      <c r="F2886" s="51">
        <v>318015</v>
      </c>
      <c r="G2886" s="27"/>
    </row>
    <row r="2887" spans="1:7">
      <c r="A2887" s="27">
        <v>146</v>
      </c>
      <c r="B2887" s="27" t="s">
        <v>215</v>
      </c>
      <c r="C2887" s="27" t="s">
        <v>316</v>
      </c>
      <c r="D2887" s="27" t="s">
        <v>298</v>
      </c>
      <c r="E2887" s="27" t="s">
        <v>1681</v>
      </c>
      <c r="F2887" s="51">
        <v>590178</v>
      </c>
      <c r="G2887" s="27"/>
    </row>
    <row r="2888" spans="1:7">
      <c r="A2888" s="27">
        <v>146</v>
      </c>
      <c r="B2888" s="27" t="s">
        <v>215</v>
      </c>
      <c r="C2888" s="27" t="s">
        <v>316</v>
      </c>
      <c r="D2888" s="27" t="s">
        <v>401</v>
      </c>
      <c r="E2888" s="27" t="s">
        <v>1681</v>
      </c>
      <c r="F2888" s="51">
        <v>32106</v>
      </c>
      <c r="G2888" s="27"/>
    </row>
    <row r="2889" spans="1:7">
      <c r="A2889" s="27">
        <v>146</v>
      </c>
      <c r="B2889" s="27" t="s">
        <v>215</v>
      </c>
      <c r="C2889" s="27" t="s">
        <v>316</v>
      </c>
      <c r="D2889" s="27" t="s">
        <v>1347</v>
      </c>
      <c r="E2889" s="27" t="s">
        <v>1681</v>
      </c>
      <c r="F2889" s="51">
        <v>6659</v>
      </c>
      <c r="G2889" s="27"/>
    </row>
    <row r="2890" spans="1:7">
      <c r="A2890" s="27">
        <v>146</v>
      </c>
      <c r="B2890" s="27" t="s">
        <v>215</v>
      </c>
      <c r="C2890" s="27" t="s">
        <v>316</v>
      </c>
      <c r="D2890" s="27" t="s">
        <v>402</v>
      </c>
      <c r="E2890" s="27" t="s">
        <v>1681</v>
      </c>
      <c r="F2890" s="51">
        <v>280355</v>
      </c>
      <c r="G2890" s="27"/>
    </row>
    <row r="2891" spans="1:7">
      <c r="A2891" s="27">
        <v>146</v>
      </c>
      <c r="B2891" s="27" t="s">
        <v>215</v>
      </c>
      <c r="C2891" s="27" t="s">
        <v>316</v>
      </c>
      <c r="D2891" s="27" t="s">
        <v>299</v>
      </c>
      <c r="E2891" s="27" t="s">
        <v>1681</v>
      </c>
      <c r="F2891" s="51">
        <v>15426</v>
      </c>
      <c r="G2891" s="27"/>
    </row>
    <row r="2892" spans="1:7">
      <c r="A2892" s="27">
        <v>146</v>
      </c>
      <c r="B2892" s="27" t="s">
        <v>215</v>
      </c>
      <c r="C2892" s="27" t="s">
        <v>316</v>
      </c>
      <c r="D2892" s="27" t="s">
        <v>320</v>
      </c>
      <c r="E2892" s="27" t="s">
        <v>1681</v>
      </c>
      <c r="F2892" s="51">
        <v>69176</v>
      </c>
      <c r="G2892" s="27"/>
    </row>
    <row r="2893" spans="1:7">
      <c r="A2893" s="27">
        <v>146</v>
      </c>
      <c r="B2893" s="27" t="s">
        <v>215</v>
      </c>
      <c r="C2893" s="27" t="s">
        <v>316</v>
      </c>
      <c r="D2893" s="27" t="s">
        <v>338</v>
      </c>
      <c r="E2893" s="27" t="s">
        <v>1681</v>
      </c>
      <c r="F2893" s="51">
        <v>14767</v>
      </c>
      <c r="G2893" s="27"/>
    </row>
    <row r="2894" spans="1:7">
      <c r="A2894" s="27">
        <v>146</v>
      </c>
      <c r="B2894" s="27" t="s">
        <v>215</v>
      </c>
      <c r="C2894" s="27" t="s">
        <v>316</v>
      </c>
      <c r="D2894" s="27" t="s">
        <v>300</v>
      </c>
      <c r="E2894" s="27" t="s">
        <v>1681</v>
      </c>
      <c r="F2894" s="51">
        <v>22254</v>
      </c>
      <c r="G2894" s="27"/>
    </row>
    <row r="2895" spans="1:7">
      <c r="A2895" s="27">
        <v>147</v>
      </c>
      <c r="B2895" s="27" t="s">
        <v>216</v>
      </c>
      <c r="C2895" s="27" t="s">
        <v>346</v>
      </c>
      <c r="D2895" s="27" t="s">
        <v>408</v>
      </c>
      <c r="E2895" s="27" t="s">
        <v>1682</v>
      </c>
      <c r="F2895" s="51">
        <v>15934</v>
      </c>
      <c r="G2895" s="27"/>
    </row>
    <row r="2896" spans="1:7">
      <c r="A2896" s="27">
        <v>147</v>
      </c>
      <c r="B2896" s="27" t="s">
        <v>216</v>
      </c>
      <c r="C2896" s="27" t="s">
        <v>346</v>
      </c>
      <c r="D2896" s="27" t="s">
        <v>394</v>
      </c>
      <c r="E2896" s="27" t="s">
        <v>1682</v>
      </c>
      <c r="F2896" s="51">
        <v>56184</v>
      </c>
      <c r="G2896" s="27"/>
    </row>
    <row r="2897" spans="1:7">
      <c r="A2897" s="27">
        <v>147</v>
      </c>
      <c r="B2897" s="27" t="s">
        <v>216</v>
      </c>
      <c r="C2897" s="27" t="s">
        <v>346</v>
      </c>
      <c r="D2897" s="27" t="s">
        <v>397</v>
      </c>
      <c r="E2897" s="27" t="s">
        <v>1682</v>
      </c>
      <c r="F2897" s="51">
        <v>41760</v>
      </c>
      <c r="G2897" s="27"/>
    </row>
    <row r="2898" spans="1:7">
      <c r="A2898" s="27">
        <v>147</v>
      </c>
      <c r="B2898" s="27" t="s">
        <v>216</v>
      </c>
      <c r="C2898" s="27" t="s">
        <v>346</v>
      </c>
      <c r="D2898" s="27" t="s">
        <v>411</v>
      </c>
      <c r="E2898" s="27" t="s">
        <v>1682</v>
      </c>
      <c r="F2898" s="51">
        <v>1118</v>
      </c>
      <c r="G2898" s="27"/>
    </row>
    <row r="2899" spans="1:7">
      <c r="A2899" s="27">
        <v>147</v>
      </c>
      <c r="B2899" s="27" t="s">
        <v>216</v>
      </c>
      <c r="C2899" s="27" t="s">
        <v>346</v>
      </c>
      <c r="D2899" s="27" t="s">
        <v>412</v>
      </c>
      <c r="E2899" s="27" t="s">
        <v>1682</v>
      </c>
      <c r="F2899" s="51">
        <v>12057</v>
      </c>
      <c r="G2899" s="27"/>
    </row>
    <row r="2900" spans="1:7">
      <c r="A2900" s="27">
        <v>147</v>
      </c>
      <c r="B2900" s="27" t="s">
        <v>216</v>
      </c>
      <c r="C2900" s="27" t="s">
        <v>346</v>
      </c>
      <c r="D2900" s="27" t="s">
        <v>398</v>
      </c>
      <c r="E2900" s="27" t="s">
        <v>1682</v>
      </c>
      <c r="F2900" s="51">
        <v>1612</v>
      </c>
      <c r="G2900" s="27"/>
    </row>
    <row r="2901" spans="1:7">
      <c r="A2901" s="27">
        <v>147</v>
      </c>
      <c r="B2901" s="27" t="s">
        <v>216</v>
      </c>
      <c r="C2901" s="27" t="s">
        <v>346</v>
      </c>
      <c r="D2901" s="27" t="s">
        <v>415</v>
      </c>
      <c r="E2901" s="27" t="s">
        <v>1682</v>
      </c>
      <c r="F2901" s="51">
        <v>2252</v>
      </c>
      <c r="G2901" s="27"/>
    </row>
    <row r="2902" spans="1:7">
      <c r="A2902" s="27">
        <v>147</v>
      </c>
      <c r="B2902" s="27" t="s">
        <v>216</v>
      </c>
      <c r="C2902" s="27" t="s">
        <v>346</v>
      </c>
      <c r="D2902" s="27" t="s">
        <v>291</v>
      </c>
      <c r="E2902" s="27" t="s">
        <v>1681</v>
      </c>
      <c r="F2902" s="51">
        <v>1746</v>
      </c>
      <c r="G2902" s="27"/>
    </row>
    <row r="2903" spans="1:7">
      <c r="A2903" s="27">
        <v>147</v>
      </c>
      <c r="B2903" s="27" t="s">
        <v>216</v>
      </c>
      <c r="C2903" s="27" t="s">
        <v>346</v>
      </c>
      <c r="D2903" s="27" t="s">
        <v>399</v>
      </c>
      <c r="E2903" s="27" t="s">
        <v>1681</v>
      </c>
      <c r="F2903" s="51">
        <v>2250176</v>
      </c>
      <c r="G2903" s="27"/>
    </row>
    <row r="2904" spans="1:7">
      <c r="A2904" s="27">
        <v>147</v>
      </c>
      <c r="B2904" s="27" t="s">
        <v>216</v>
      </c>
      <c r="C2904" s="27" t="s">
        <v>346</v>
      </c>
      <c r="D2904" s="27" t="s">
        <v>296</v>
      </c>
      <c r="E2904" s="27" t="s">
        <v>1681</v>
      </c>
      <c r="F2904" s="51">
        <v>236634</v>
      </c>
      <c r="G2904" s="27"/>
    </row>
    <row r="2905" spans="1:7">
      <c r="A2905" s="27">
        <v>147</v>
      </c>
      <c r="B2905" s="27" t="s">
        <v>216</v>
      </c>
      <c r="C2905" s="27" t="s">
        <v>346</v>
      </c>
      <c r="D2905" s="27" t="s">
        <v>400</v>
      </c>
      <c r="E2905" s="27" t="s">
        <v>1681</v>
      </c>
      <c r="F2905" s="51">
        <v>104128</v>
      </c>
      <c r="G2905" s="27"/>
    </row>
    <row r="2906" spans="1:7">
      <c r="A2906" s="27">
        <v>147</v>
      </c>
      <c r="B2906" s="27" t="s">
        <v>216</v>
      </c>
      <c r="C2906" s="27" t="s">
        <v>346</v>
      </c>
      <c r="D2906" s="27" t="s">
        <v>401</v>
      </c>
      <c r="E2906" s="27" t="s">
        <v>1681</v>
      </c>
      <c r="F2906" s="51">
        <v>25846</v>
      </c>
      <c r="G2906" s="27"/>
    </row>
    <row r="2907" spans="1:7">
      <c r="A2907" s="27">
        <v>147</v>
      </c>
      <c r="B2907" s="27" t="s">
        <v>216</v>
      </c>
      <c r="C2907" s="27" t="s">
        <v>346</v>
      </c>
      <c r="D2907" s="27" t="s">
        <v>402</v>
      </c>
      <c r="E2907" s="27" t="s">
        <v>1681</v>
      </c>
      <c r="F2907" s="51">
        <v>136572</v>
      </c>
      <c r="G2907" s="27"/>
    </row>
    <row r="2908" spans="1:7">
      <c r="A2908" s="27">
        <v>148</v>
      </c>
      <c r="B2908" s="27" t="s">
        <v>217</v>
      </c>
      <c r="C2908" s="27" t="s">
        <v>311</v>
      </c>
      <c r="D2908" s="27" t="s">
        <v>406</v>
      </c>
      <c r="E2908" s="27" t="s">
        <v>1682</v>
      </c>
      <c r="F2908" s="51">
        <v>46485</v>
      </c>
      <c r="G2908" s="27"/>
    </row>
    <row r="2909" spans="1:7">
      <c r="A2909" s="27">
        <v>148</v>
      </c>
      <c r="B2909" s="27" t="s">
        <v>217</v>
      </c>
      <c r="C2909" s="27" t="s">
        <v>311</v>
      </c>
      <c r="D2909" s="27" t="s">
        <v>408</v>
      </c>
      <c r="E2909" s="27" t="s">
        <v>1682</v>
      </c>
      <c r="F2909" s="51">
        <v>206058</v>
      </c>
      <c r="G2909" s="27"/>
    </row>
    <row r="2910" spans="1:7">
      <c r="A2910" s="27">
        <v>148</v>
      </c>
      <c r="B2910" s="27" t="s">
        <v>217</v>
      </c>
      <c r="C2910" s="27" t="s">
        <v>311</v>
      </c>
      <c r="D2910" s="27" t="s">
        <v>394</v>
      </c>
      <c r="E2910" s="27" t="s">
        <v>1682</v>
      </c>
      <c r="F2910" s="51">
        <v>826051</v>
      </c>
      <c r="G2910" s="27"/>
    </row>
    <row r="2911" spans="1:7">
      <c r="A2911" s="27">
        <v>148</v>
      </c>
      <c r="B2911" s="27" t="s">
        <v>217</v>
      </c>
      <c r="C2911" s="27" t="s">
        <v>311</v>
      </c>
      <c r="D2911" s="27" t="s">
        <v>397</v>
      </c>
      <c r="E2911" s="27" t="s">
        <v>1682</v>
      </c>
      <c r="F2911" s="51">
        <v>245000</v>
      </c>
      <c r="G2911" s="27"/>
    </row>
    <row r="2912" spans="1:7">
      <c r="A2912" s="27">
        <v>148</v>
      </c>
      <c r="B2912" s="27" t="s">
        <v>217</v>
      </c>
      <c r="C2912" s="27" t="s">
        <v>311</v>
      </c>
      <c r="D2912" s="27" t="s">
        <v>333</v>
      </c>
      <c r="E2912" s="27" t="s">
        <v>1682</v>
      </c>
      <c r="F2912" s="51">
        <v>3875</v>
      </c>
      <c r="G2912" s="27"/>
    </row>
    <row r="2913" spans="1:7">
      <c r="A2913" s="27">
        <v>148</v>
      </c>
      <c r="B2913" s="27" t="s">
        <v>217</v>
      </c>
      <c r="C2913" s="27" t="s">
        <v>311</v>
      </c>
      <c r="D2913" s="27" t="s">
        <v>411</v>
      </c>
      <c r="E2913" s="27" t="s">
        <v>1682</v>
      </c>
      <c r="F2913" s="51">
        <v>7132</v>
      </c>
      <c r="G2913" s="27"/>
    </row>
    <row r="2914" spans="1:7">
      <c r="A2914" s="27">
        <v>148</v>
      </c>
      <c r="B2914" s="27" t="s">
        <v>217</v>
      </c>
      <c r="C2914" s="27" t="s">
        <v>311</v>
      </c>
      <c r="D2914" s="27" t="s">
        <v>412</v>
      </c>
      <c r="E2914" s="27" t="s">
        <v>1682</v>
      </c>
      <c r="F2914" s="51">
        <v>100000</v>
      </c>
      <c r="G2914" s="27"/>
    </row>
    <row r="2915" spans="1:7">
      <c r="A2915" s="27">
        <v>148</v>
      </c>
      <c r="B2915" s="27" t="s">
        <v>217</v>
      </c>
      <c r="C2915" s="27" t="s">
        <v>311</v>
      </c>
      <c r="D2915" s="27" t="s">
        <v>413</v>
      </c>
      <c r="E2915" s="27" t="s">
        <v>1682</v>
      </c>
      <c r="F2915" s="51">
        <v>13331</v>
      </c>
      <c r="G2915" s="27"/>
    </row>
    <row r="2916" spans="1:7">
      <c r="A2916" s="27">
        <v>148</v>
      </c>
      <c r="B2916" s="27" t="s">
        <v>217</v>
      </c>
      <c r="C2916" s="27" t="s">
        <v>311</v>
      </c>
      <c r="D2916" s="27" t="s">
        <v>398</v>
      </c>
      <c r="E2916" s="27" t="s">
        <v>1682</v>
      </c>
      <c r="F2916" s="51">
        <v>27977</v>
      </c>
      <c r="G2916" s="27"/>
    </row>
    <row r="2917" spans="1:7">
      <c r="A2917" s="27">
        <v>148</v>
      </c>
      <c r="B2917" s="27" t="s">
        <v>217</v>
      </c>
      <c r="C2917" s="27" t="s">
        <v>311</v>
      </c>
      <c r="D2917" s="27" t="s">
        <v>415</v>
      </c>
      <c r="E2917" s="27" t="s">
        <v>1682</v>
      </c>
      <c r="F2917" s="51">
        <v>32958</v>
      </c>
      <c r="G2917" s="27"/>
    </row>
    <row r="2918" spans="1:7">
      <c r="A2918" s="27">
        <v>148</v>
      </c>
      <c r="B2918" s="27" t="s">
        <v>217</v>
      </c>
      <c r="C2918" s="27" t="s">
        <v>311</v>
      </c>
      <c r="D2918" s="27" t="s">
        <v>335</v>
      </c>
      <c r="E2918" s="27" t="s">
        <v>1681</v>
      </c>
      <c r="F2918" s="51">
        <v>8418</v>
      </c>
      <c r="G2918" s="27"/>
    </row>
    <row r="2919" spans="1:7">
      <c r="A2919" s="27">
        <v>148</v>
      </c>
      <c r="B2919" s="27" t="s">
        <v>217</v>
      </c>
      <c r="C2919" s="27" t="s">
        <v>311</v>
      </c>
      <c r="D2919" s="27" t="s">
        <v>291</v>
      </c>
      <c r="E2919" s="27" t="s">
        <v>1681</v>
      </c>
      <c r="F2919" s="51">
        <v>22185</v>
      </c>
      <c r="G2919" s="27"/>
    </row>
    <row r="2920" spans="1:7">
      <c r="A2920" s="27">
        <v>148</v>
      </c>
      <c r="B2920" s="27" t="s">
        <v>217</v>
      </c>
      <c r="C2920" s="27" t="s">
        <v>311</v>
      </c>
      <c r="D2920" s="27" t="s">
        <v>399</v>
      </c>
      <c r="E2920" s="27" t="s">
        <v>1681</v>
      </c>
      <c r="F2920" s="51">
        <v>18051773</v>
      </c>
      <c r="G2920" s="27"/>
    </row>
    <row r="2921" spans="1:7">
      <c r="A2921" s="27">
        <v>148</v>
      </c>
      <c r="B2921" s="27" t="s">
        <v>217</v>
      </c>
      <c r="C2921" s="27" t="s">
        <v>311</v>
      </c>
      <c r="D2921" s="27" t="s">
        <v>307</v>
      </c>
      <c r="E2921" s="27" t="s">
        <v>1681</v>
      </c>
      <c r="F2921" s="51">
        <v>103200</v>
      </c>
      <c r="G2921" s="27"/>
    </row>
    <row r="2922" spans="1:7">
      <c r="A2922" s="27">
        <v>148</v>
      </c>
      <c r="B2922" s="27" t="s">
        <v>217</v>
      </c>
      <c r="C2922" s="27" t="s">
        <v>311</v>
      </c>
      <c r="D2922" s="27" t="s">
        <v>294</v>
      </c>
      <c r="E2922" s="27" t="s">
        <v>1681</v>
      </c>
      <c r="F2922" s="51">
        <v>20280</v>
      </c>
      <c r="G2922" s="27"/>
    </row>
    <row r="2923" spans="1:7">
      <c r="A2923" s="27">
        <v>148</v>
      </c>
      <c r="B2923" s="27" t="s">
        <v>217</v>
      </c>
      <c r="C2923" s="27" t="s">
        <v>311</v>
      </c>
      <c r="D2923" s="27" t="s">
        <v>295</v>
      </c>
      <c r="E2923" s="27" t="s">
        <v>1681</v>
      </c>
      <c r="F2923" s="51">
        <v>315274</v>
      </c>
      <c r="G2923" s="27"/>
    </row>
    <row r="2924" spans="1:7">
      <c r="A2924" s="27">
        <v>148</v>
      </c>
      <c r="B2924" s="27" t="s">
        <v>217</v>
      </c>
      <c r="C2924" s="27" t="s">
        <v>311</v>
      </c>
      <c r="D2924" s="27" t="s">
        <v>296</v>
      </c>
      <c r="E2924" s="27" t="s">
        <v>1681</v>
      </c>
      <c r="F2924" s="51">
        <v>3296821</v>
      </c>
      <c r="G2924" s="27"/>
    </row>
    <row r="2925" spans="1:7">
      <c r="A2925" s="27">
        <v>148</v>
      </c>
      <c r="B2925" s="27" t="s">
        <v>217</v>
      </c>
      <c r="C2925" s="27" t="s">
        <v>311</v>
      </c>
      <c r="D2925" s="27" t="s">
        <v>400</v>
      </c>
      <c r="E2925" s="27" t="s">
        <v>1681</v>
      </c>
      <c r="F2925" s="51">
        <v>656867</v>
      </c>
      <c r="G2925" s="27"/>
    </row>
    <row r="2926" spans="1:7">
      <c r="A2926" s="27">
        <v>148</v>
      </c>
      <c r="B2926" s="27" t="s">
        <v>217</v>
      </c>
      <c r="C2926" s="27" t="s">
        <v>311</v>
      </c>
      <c r="D2926" s="27" t="s">
        <v>298</v>
      </c>
      <c r="E2926" s="27" t="s">
        <v>1681</v>
      </c>
      <c r="F2926" s="51">
        <v>192500</v>
      </c>
      <c r="G2926" s="27"/>
    </row>
    <row r="2927" spans="1:7">
      <c r="A2927" s="27">
        <v>148</v>
      </c>
      <c r="B2927" s="27" t="s">
        <v>217</v>
      </c>
      <c r="C2927" s="27" t="s">
        <v>311</v>
      </c>
      <c r="D2927" s="27" t="s">
        <v>401</v>
      </c>
      <c r="E2927" s="27" t="s">
        <v>1681</v>
      </c>
      <c r="F2927" s="51">
        <v>33297</v>
      </c>
      <c r="G2927" s="27"/>
    </row>
    <row r="2928" spans="1:7">
      <c r="A2928" s="27">
        <v>148</v>
      </c>
      <c r="B2928" s="27" t="s">
        <v>217</v>
      </c>
      <c r="C2928" s="27" t="s">
        <v>311</v>
      </c>
      <c r="D2928" s="27" t="s">
        <v>402</v>
      </c>
      <c r="E2928" s="27" t="s">
        <v>1681</v>
      </c>
      <c r="F2928" s="51">
        <v>471307</v>
      </c>
      <c r="G2928" s="27"/>
    </row>
    <row r="2929" spans="1:7">
      <c r="A2929" s="27">
        <v>148</v>
      </c>
      <c r="B2929" s="27" t="s">
        <v>217</v>
      </c>
      <c r="C2929" s="27" t="s">
        <v>311</v>
      </c>
      <c r="D2929" s="27" t="s">
        <v>299</v>
      </c>
      <c r="E2929" s="27" t="s">
        <v>1681</v>
      </c>
      <c r="F2929" s="51">
        <v>21479</v>
      </c>
      <c r="G2929" s="27"/>
    </row>
    <row r="2930" spans="1:7">
      <c r="A2930" s="27">
        <v>148</v>
      </c>
      <c r="B2930" s="27" t="s">
        <v>217</v>
      </c>
      <c r="C2930" s="27" t="s">
        <v>311</v>
      </c>
      <c r="D2930" s="27" t="s">
        <v>320</v>
      </c>
      <c r="E2930" s="27" t="s">
        <v>1681</v>
      </c>
      <c r="F2930" s="51">
        <v>198222</v>
      </c>
      <c r="G2930" s="27"/>
    </row>
    <row r="2931" spans="1:7">
      <c r="A2931" s="27">
        <v>148</v>
      </c>
      <c r="B2931" s="27" t="s">
        <v>217</v>
      </c>
      <c r="C2931" s="27" t="s">
        <v>311</v>
      </c>
      <c r="D2931" s="27" t="s">
        <v>300</v>
      </c>
      <c r="E2931" s="27" t="s">
        <v>1681</v>
      </c>
      <c r="F2931" s="51">
        <v>27615</v>
      </c>
      <c r="G2931" s="27"/>
    </row>
    <row r="2932" spans="1:7">
      <c r="A2932" s="27">
        <v>149</v>
      </c>
      <c r="B2932" s="27" t="s">
        <v>218</v>
      </c>
      <c r="C2932" s="27" t="s">
        <v>302</v>
      </c>
      <c r="D2932" s="27" t="s">
        <v>399</v>
      </c>
      <c r="E2932" s="27" t="s">
        <v>1681</v>
      </c>
      <c r="F2932" s="51">
        <v>64049</v>
      </c>
      <c r="G2932" s="27"/>
    </row>
    <row r="2933" spans="1:7">
      <c r="A2933" s="27">
        <v>150</v>
      </c>
      <c r="B2933" s="27" t="s">
        <v>219</v>
      </c>
      <c r="C2933" s="27" t="s">
        <v>393</v>
      </c>
      <c r="D2933" s="27" t="s">
        <v>399</v>
      </c>
      <c r="E2933" s="27" t="s">
        <v>1681</v>
      </c>
      <c r="F2933" s="51">
        <v>156579</v>
      </c>
      <c r="G2933" s="27"/>
    </row>
    <row r="2934" spans="1:7">
      <c r="A2934" s="27">
        <v>151</v>
      </c>
      <c r="B2934" s="27" t="s">
        <v>220</v>
      </c>
      <c r="C2934" s="27" t="s">
        <v>325</v>
      </c>
      <c r="D2934" s="27" t="s">
        <v>405</v>
      </c>
      <c r="E2934" s="27" t="s">
        <v>1682</v>
      </c>
      <c r="F2934" s="51">
        <v>185000</v>
      </c>
      <c r="G2934" s="27"/>
    </row>
    <row r="2935" spans="1:7">
      <c r="A2935" s="27">
        <v>151</v>
      </c>
      <c r="B2935" s="27" t="s">
        <v>220</v>
      </c>
      <c r="C2935" s="27" t="s">
        <v>325</v>
      </c>
      <c r="D2935" s="27" t="s">
        <v>406</v>
      </c>
      <c r="E2935" s="27" t="s">
        <v>1682</v>
      </c>
      <c r="F2935" s="51">
        <v>401495</v>
      </c>
      <c r="G2935" s="27"/>
    </row>
    <row r="2936" spans="1:7">
      <c r="A2936" s="27">
        <v>151</v>
      </c>
      <c r="B2936" s="27" t="s">
        <v>220</v>
      </c>
      <c r="C2936" s="27" t="s">
        <v>325</v>
      </c>
      <c r="D2936" s="27" t="s">
        <v>407</v>
      </c>
      <c r="E2936" s="27" t="s">
        <v>1682</v>
      </c>
      <c r="F2936" s="51">
        <v>15184</v>
      </c>
      <c r="G2936" s="27"/>
    </row>
    <row r="2937" spans="1:7">
      <c r="A2937" s="27">
        <v>151</v>
      </c>
      <c r="B2937" s="27" t="s">
        <v>220</v>
      </c>
      <c r="C2937" s="27" t="s">
        <v>325</v>
      </c>
      <c r="D2937" s="27" t="s">
        <v>408</v>
      </c>
      <c r="E2937" s="27" t="s">
        <v>1682</v>
      </c>
      <c r="F2937" s="51">
        <v>4263767</v>
      </c>
      <c r="G2937" s="27"/>
    </row>
    <row r="2938" spans="1:7">
      <c r="A2938" s="27">
        <v>151</v>
      </c>
      <c r="B2938" s="27" t="s">
        <v>220</v>
      </c>
      <c r="C2938" s="27" t="s">
        <v>325</v>
      </c>
      <c r="D2938" s="27" t="s">
        <v>394</v>
      </c>
      <c r="E2938" s="27" t="s">
        <v>1682</v>
      </c>
      <c r="F2938" s="51">
        <v>1843314</v>
      </c>
      <c r="G2938" s="27"/>
    </row>
    <row r="2939" spans="1:7">
      <c r="A2939" s="27">
        <v>151</v>
      </c>
      <c r="B2939" s="27" t="s">
        <v>220</v>
      </c>
      <c r="C2939" s="27" t="s">
        <v>325</v>
      </c>
      <c r="D2939" s="27" t="s">
        <v>329</v>
      </c>
      <c r="E2939" s="27" t="s">
        <v>1682</v>
      </c>
      <c r="F2939" s="51">
        <v>307000</v>
      </c>
      <c r="G2939" s="27"/>
    </row>
    <row r="2940" spans="1:7">
      <c r="A2940" s="27">
        <v>151</v>
      </c>
      <c r="B2940" s="27" t="s">
        <v>220</v>
      </c>
      <c r="C2940" s="27" t="s">
        <v>325</v>
      </c>
      <c r="D2940" s="27" t="s">
        <v>288</v>
      </c>
      <c r="E2940" s="27" t="s">
        <v>1682</v>
      </c>
      <c r="F2940" s="51">
        <v>162706</v>
      </c>
      <c r="G2940" s="27"/>
    </row>
    <row r="2941" spans="1:7">
      <c r="A2941" s="27">
        <v>151</v>
      </c>
      <c r="B2941" s="27" t="s">
        <v>220</v>
      </c>
      <c r="C2941" s="27" t="s">
        <v>325</v>
      </c>
      <c r="D2941" s="27" t="s">
        <v>330</v>
      </c>
      <c r="E2941" s="27" t="s">
        <v>1682</v>
      </c>
      <c r="F2941" s="51">
        <v>4372</v>
      </c>
      <c r="G2941" s="27"/>
    </row>
    <row r="2942" spans="1:7">
      <c r="A2942" s="27">
        <v>151</v>
      </c>
      <c r="B2942" s="27" t="s">
        <v>220</v>
      </c>
      <c r="C2942" s="27" t="s">
        <v>325</v>
      </c>
      <c r="D2942" s="27" t="s">
        <v>331</v>
      </c>
      <c r="E2942" s="27" t="s">
        <v>1682</v>
      </c>
      <c r="F2942" s="51">
        <v>94337</v>
      </c>
      <c r="G2942" s="27"/>
    </row>
    <row r="2943" spans="1:7">
      <c r="A2943" s="27">
        <v>151</v>
      </c>
      <c r="B2943" s="27" t="s">
        <v>220</v>
      </c>
      <c r="C2943" s="27" t="s">
        <v>325</v>
      </c>
      <c r="D2943" s="27" t="s">
        <v>397</v>
      </c>
      <c r="E2943" s="27" t="s">
        <v>1682</v>
      </c>
      <c r="F2943" s="51">
        <v>6321101</v>
      </c>
      <c r="G2943" s="27"/>
    </row>
    <row r="2944" spans="1:7">
      <c r="A2944" s="27">
        <v>151</v>
      </c>
      <c r="B2944" s="27" t="s">
        <v>220</v>
      </c>
      <c r="C2944" s="27" t="s">
        <v>325</v>
      </c>
      <c r="D2944" s="27" t="s">
        <v>332</v>
      </c>
      <c r="E2944" s="27" t="s">
        <v>1682</v>
      </c>
      <c r="F2944" s="51">
        <v>334266</v>
      </c>
      <c r="G2944" s="27"/>
    </row>
    <row r="2945" spans="1:7">
      <c r="A2945" s="27">
        <v>151</v>
      </c>
      <c r="B2945" s="27" t="s">
        <v>220</v>
      </c>
      <c r="C2945" s="27" t="s">
        <v>325</v>
      </c>
      <c r="D2945" s="27" t="s">
        <v>333</v>
      </c>
      <c r="E2945" s="27" t="s">
        <v>1682</v>
      </c>
      <c r="F2945" s="51">
        <v>73105</v>
      </c>
      <c r="G2945" s="27"/>
    </row>
    <row r="2946" spans="1:7">
      <c r="A2946" s="27">
        <v>151</v>
      </c>
      <c r="B2946" s="27" t="s">
        <v>220</v>
      </c>
      <c r="C2946" s="27" t="s">
        <v>325</v>
      </c>
      <c r="D2946" s="27" t="s">
        <v>411</v>
      </c>
      <c r="E2946" s="27" t="s">
        <v>1682</v>
      </c>
      <c r="F2946" s="51">
        <v>103000</v>
      </c>
      <c r="G2946" s="27"/>
    </row>
    <row r="2947" spans="1:7">
      <c r="A2947" s="27">
        <v>151</v>
      </c>
      <c r="B2947" s="27" t="s">
        <v>220</v>
      </c>
      <c r="C2947" s="27" t="s">
        <v>325</v>
      </c>
      <c r="D2947" s="27" t="s">
        <v>412</v>
      </c>
      <c r="E2947" s="27" t="s">
        <v>1682</v>
      </c>
      <c r="F2947" s="51">
        <v>232000</v>
      </c>
      <c r="G2947" s="27"/>
    </row>
    <row r="2948" spans="1:7">
      <c r="A2948" s="27">
        <v>151</v>
      </c>
      <c r="B2948" s="27" t="s">
        <v>220</v>
      </c>
      <c r="C2948" s="27" t="s">
        <v>325</v>
      </c>
      <c r="D2948" s="27" t="s">
        <v>413</v>
      </c>
      <c r="E2948" s="27" t="s">
        <v>1682</v>
      </c>
      <c r="F2948" s="51">
        <v>112000</v>
      </c>
      <c r="G2948" s="27"/>
    </row>
    <row r="2949" spans="1:7">
      <c r="A2949" s="27">
        <v>151</v>
      </c>
      <c r="B2949" s="27" t="s">
        <v>220</v>
      </c>
      <c r="C2949" s="27" t="s">
        <v>325</v>
      </c>
      <c r="D2949" s="27" t="s">
        <v>414</v>
      </c>
      <c r="E2949" s="27" t="s">
        <v>1682</v>
      </c>
      <c r="F2949" s="51">
        <v>52513</v>
      </c>
      <c r="G2949" s="27"/>
    </row>
    <row r="2950" spans="1:7">
      <c r="A2950" s="27">
        <v>151</v>
      </c>
      <c r="B2950" s="27" t="s">
        <v>220</v>
      </c>
      <c r="C2950" s="27" t="s">
        <v>325</v>
      </c>
      <c r="D2950" s="27" t="s">
        <v>398</v>
      </c>
      <c r="E2950" s="27" t="s">
        <v>1682</v>
      </c>
      <c r="F2950" s="51">
        <v>125870</v>
      </c>
      <c r="G2950" s="27"/>
    </row>
    <row r="2951" spans="1:7">
      <c r="A2951" s="27">
        <v>151</v>
      </c>
      <c r="B2951" s="27" t="s">
        <v>220</v>
      </c>
      <c r="C2951" s="27" t="s">
        <v>325</v>
      </c>
      <c r="D2951" s="27" t="s">
        <v>415</v>
      </c>
      <c r="E2951" s="27" t="s">
        <v>1682</v>
      </c>
      <c r="F2951" s="51">
        <v>157864</v>
      </c>
      <c r="G2951" s="27"/>
    </row>
    <row r="2952" spans="1:7">
      <c r="A2952" s="27">
        <v>151</v>
      </c>
      <c r="B2952" s="27" t="s">
        <v>220</v>
      </c>
      <c r="C2952" s="27" t="s">
        <v>325</v>
      </c>
      <c r="D2952" s="27" t="s">
        <v>335</v>
      </c>
      <c r="E2952" s="27" t="s">
        <v>1681</v>
      </c>
      <c r="F2952" s="51">
        <v>274709</v>
      </c>
      <c r="G2952" s="27"/>
    </row>
    <row r="2953" spans="1:7">
      <c r="A2953" s="27">
        <v>151</v>
      </c>
      <c r="B2953" s="27" t="s">
        <v>220</v>
      </c>
      <c r="C2953" s="27" t="s">
        <v>325</v>
      </c>
      <c r="D2953" s="27" t="s">
        <v>291</v>
      </c>
      <c r="E2953" s="27" t="s">
        <v>1681</v>
      </c>
      <c r="F2953" s="51">
        <v>98311</v>
      </c>
      <c r="G2953" s="27"/>
    </row>
    <row r="2954" spans="1:7">
      <c r="A2954" s="27">
        <v>151</v>
      </c>
      <c r="B2954" s="27" t="s">
        <v>220</v>
      </c>
      <c r="C2954" s="27" t="s">
        <v>325</v>
      </c>
      <c r="D2954" s="27" t="s">
        <v>399</v>
      </c>
      <c r="E2954" s="27" t="s">
        <v>1681</v>
      </c>
      <c r="F2954" s="51">
        <v>89787762</v>
      </c>
      <c r="G2954" s="27"/>
    </row>
    <row r="2955" spans="1:7">
      <c r="A2955" s="27">
        <v>151</v>
      </c>
      <c r="B2955" s="27" t="s">
        <v>220</v>
      </c>
      <c r="C2955" s="27" t="s">
        <v>325</v>
      </c>
      <c r="D2955" s="27" t="s">
        <v>336</v>
      </c>
      <c r="E2955" s="27" t="s">
        <v>1681</v>
      </c>
      <c r="F2955" s="51">
        <v>290342</v>
      </c>
      <c r="G2955" s="27"/>
    </row>
    <row r="2956" spans="1:7">
      <c r="A2956" s="27">
        <v>151</v>
      </c>
      <c r="B2956" s="27" t="s">
        <v>220</v>
      </c>
      <c r="C2956" s="27" t="s">
        <v>325</v>
      </c>
      <c r="D2956" s="27" t="s">
        <v>317</v>
      </c>
      <c r="E2956" s="27" t="s">
        <v>1681</v>
      </c>
      <c r="F2956" s="51">
        <v>86171</v>
      </c>
      <c r="G2956" s="27"/>
    </row>
    <row r="2957" spans="1:7">
      <c r="A2957" s="27">
        <v>151</v>
      </c>
      <c r="B2957" s="27" t="s">
        <v>220</v>
      </c>
      <c r="C2957" s="27" t="s">
        <v>325</v>
      </c>
      <c r="D2957" s="27" t="s">
        <v>293</v>
      </c>
      <c r="E2957" s="27" t="s">
        <v>1681</v>
      </c>
      <c r="F2957" s="51">
        <v>162735</v>
      </c>
      <c r="G2957" s="27"/>
    </row>
    <row r="2958" spans="1:7">
      <c r="A2958" s="27">
        <v>151</v>
      </c>
      <c r="B2958" s="27" t="s">
        <v>220</v>
      </c>
      <c r="C2958" s="27" t="s">
        <v>325</v>
      </c>
      <c r="D2958" s="27" t="s">
        <v>307</v>
      </c>
      <c r="E2958" s="27" t="s">
        <v>1681</v>
      </c>
      <c r="F2958" s="51">
        <v>4026383</v>
      </c>
      <c r="G2958" s="27"/>
    </row>
    <row r="2959" spans="1:7">
      <c r="A2959" s="27">
        <v>151</v>
      </c>
      <c r="B2959" s="27" t="s">
        <v>220</v>
      </c>
      <c r="C2959" s="27" t="s">
        <v>325</v>
      </c>
      <c r="D2959" s="27" t="s">
        <v>294</v>
      </c>
      <c r="E2959" s="27" t="s">
        <v>1681</v>
      </c>
      <c r="F2959" s="51">
        <v>321650</v>
      </c>
      <c r="G2959" s="27"/>
    </row>
    <row r="2960" spans="1:7">
      <c r="A2960" s="27">
        <v>151</v>
      </c>
      <c r="B2960" s="27" t="s">
        <v>220</v>
      </c>
      <c r="C2960" s="27" t="s">
        <v>325</v>
      </c>
      <c r="D2960" s="27" t="s">
        <v>318</v>
      </c>
      <c r="E2960" s="27" t="s">
        <v>1681</v>
      </c>
      <c r="F2960" s="51">
        <v>1529569</v>
      </c>
      <c r="G2960" s="27"/>
    </row>
    <row r="2961" spans="1:7">
      <c r="A2961" s="27">
        <v>151</v>
      </c>
      <c r="B2961" s="27" t="s">
        <v>220</v>
      </c>
      <c r="C2961" s="27" t="s">
        <v>325</v>
      </c>
      <c r="D2961" s="27" t="s">
        <v>319</v>
      </c>
      <c r="E2961" s="27" t="s">
        <v>1681</v>
      </c>
      <c r="F2961" s="51">
        <v>254975</v>
      </c>
      <c r="G2961" s="27"/>
    </row>
    <row r="2962" spans="1:7">
      <c r="A2962" s="27">
        <v>151</v>
      </c>
      <c r="B2962" s="27" t="s">
        <v>220</v>
      </c>
      <c r="C2962" s="27" t="s">
        <v>325</v>
      </c>
      <c r="D2962" s="27" t="s">
        <v>296</v>
      </c>
      <c r="E2962" s="27" t="s">
        <v>1681</v>
      </c>
      <c r="F2962" s="51">
        <v>3706683</v>
      </c>
      <c r="G2962" s="27"/>
    </row>
    <row r="2963" spans="1:7">
      <c r="A2963" s="27">
        <v>151</v>
      </c>
      <c r="B2963" s="27" t="s">
        <v>220</v>
      </c>
      <c r="C2963" s="27" t="s">
        <v>325</v>
      </c>
      <c r="D2963" s="27" t="s">
        <v>400</v>
      </c>
      <c r="E2963" s="27" t="s">
        <v>1681</v>
      </c>
      <c r="F2963" s="51">
        <v>265940</v>
      </c>
      <c r="G2963" s="27"/>
    </row>
    <row r="2964" spans="1:7">
      <c r="A2964" s="27">
        <v>151</v>
      </c>
      <c r="B2964" s="27" t="s">
        <v>220</v>
      </c>
      <c r="C2964" s="27" t="s">
        <v>325</v>
      </c>
      <c r="D2964" s="27" t="s">
        <v>298</v>
      </c>
      <c r="E2964" s="27" t="s">
        <v>1681</v>
      </c>
      <c r="F2964" s="51">
        <v>1672276</v>
      </c>
      <c r="G2964" s="27"/>
    </row>
    <row r="2965" spans="1:7">
      <c r="A2965" s="27">
        <v>151</v>
      </c>
      <c r="B2965" s="27" t="s">
        <v>220</v>
      </c>
      <c r="C2965" s="27" t="s">
        <v>325</v>
      </c>
      <c r="D2965" s="27" t="s">
        <v>401</v>
      </c>
      <c r="E2965" s="27" t="s">
        <v>1681</v>
      </c>
      <c r="F2965" s="51">
        <v>42894</v>
      </c>
      <c r="G2965" s="27"/>
    </row>
    <row r="2966" spans="1:7">
      <c r="A2966" s="27">
        <v>151</v>
      </c>
      <c r="B2966" s="27" t="s">
        <v>220</v>
      </c>
      <c r="C2966" s="27" t="s">
        <v>325</v>
      </c>
      <c r="D2966" s="27" t="s">
        <v>1347</v>
      </c>
      <c r="E2966" s="27" t="s">
        <v>1681</v>
      </c>
      <c r="F2966" s="51">
        <v>104693</v>
      </c>
      <c r="G2966" s="27"/>
    </row>
    <row r="2967" spans="1:7">
      <c r="A2967" s="27">
        <v>151</v>
      </c>
      <c r="B2967" s="27" t="s">
        <v>220</v>
      </c>
      <c r="C2967" s="27" t="s">
        <v>325</v>
      </c>
      <c r="D2967" s="27" t="s">
        <v>402</v>
      </c>
      <c r="E2967" s="27" t="s">
        <v>1681</v>
      </c>
      <c r="F2967" s="51">
        <v>1854882</v>
      </c>
      <c r="G2967" s="27"/>
    </row>
    <row r="2968" spans="1:7">
      <c r="A2968" s="27">
        <v>151</v>
      </c>
      <c r="B2968" s="27" t="s">
        <v>220</v>
      </c>
      <c r="C2968" s="27" t="s">
        <v>325</v>
      </c>
      <c r="D2968" s="27" t="s">
        <v>299</v>
      </c>
      <c r="E2968" s="27" t="s">
        <v>1681</v>
      </c>
      <c r="F2968" s="51">
        <v>346081</v>
      </c>
      <c r="G2968" s="27"/>
    </row>
    <row r="2969" spans="1:7">
      <c r="A2969" s="27">
        <v>151</v>
      </c>
      <c r="B2969" s="27" t="s">
        <v>220</v>
      </c>
      <c r="C2969" s="27" t="s">
        <v>325</v>
      </c>
      <c r="D2969" s="27" t="s">
        <v>338</v>
      </c>
      <c r="E2969" s="27" t="s">
        <v>1681</v>
      </c>
      <c r="F2969" s="51">
        <v>14767</v>
      </c>
      <c r="G2969" s="27"/>
    </row>
    <row r="2970" spans="1:7">
      <c r="A2970" s="27">
        <v>152</v>
      </c>
      <c r="B2970" s="27" t="s">
        <v>221</v>
      </c>
      <c r="C2970" s="27" t="s">
        <v>311</v>
      </c>
      <c r="D2970" s="27" t="s">
        <v>406</v>
      </c>
      <c r="E2970" s="27" t="s">
        <v>1682</v>
      </c>
      <c r="F2970" s="51">
        <v>25419</v>
      </c>
      <c r="G2970" s="27"/>
    </row>
    <row r="2971" spans="1:7">
      <c r="A2971" s="27">
        <v>152</v>
      </c>
      <c r="B2971" s="27" t="s">
        <v>221</v>
      </c>
      <c r="C2971" s="27" t="s">
        <v>311</v>
      </c>
      <c r="D2971" s="27" t="s">
        <v>408</v>
      </c>
      <c r="E2971" s="27" t="s">
        <v>1682</v>
      </c>
      <c r="F2971" s="51">
        <v>74190</v>
      </c>
      <c r="G2971" s="27"/>
    </row>
    <row r="2972" spans="1:7">
      <c r="A2972" s="27">
        <v>152</v>
      </c>
      <c r="B2972" s="27" t="s">
        <v>221</v>
      </c>
      <c r="C2972" s="27" t="s">
        <v>311</v>
      </c>
      <c r="D2972" s="27" t="s">
        <v>394</v>
      </c>
      <c r="E2972" s="27" t="s">
        <v>1682</v>
      </c>
      <c r="F2972" s="51">
        <v>411300</v>
      </c>
      <c r="G2972" s="27"/>
    </row>
    <row r="2973" spans="1:7">
      <c r="A2973" s="27">
        <v>152</v>
      </c>
      <c r="B2973" s="27" t="s">
        <v>221</v>
      </c>
      <c r="C2973" s="27" t="s">
        <v>311</v>
      </c>
      <c r="D2973" s="27" t="s">
        <v>397</v>
      </c>
      <c r="E2973" s="27" t="s">
        <v>1682</v>
      </c>
      <c r="F2973" s="51">
        <v>292447</v>
      </c>
      <c r="G2973" s="27"/>
    </row>
    <row r="2974" spans="1:7">
      <c r="A2974" s="27">
        <v>152</v>
      </c>
      <c r="B2974" s="27" t="s">
        <v>221</v>
      </c>
      <c r="C2974" s="27" t="s">
        <v>311</v>
      </c>
      <c r="D2974" s="27" t="s">
        <v>333</v>
      </c>
      <c r="E2974" s="27" t="s">
        <v>1682</v>
      </c>
      <c r="F2974" s="51">
        <v>1405</v>
      </c>
      <c r="G2974" s="27"/>
    </row>
    <row r="2975" spans="1:7">
      <c r="A2975" s="27">
        <v>152</v>
      </c>
      <c r="B2975" s="27" t="s">
        <v>221</v>
      </c>
      <c r="C2975" s="27" t="s">
        <v>311</v>
      </c>
      <c r="D2975" s="27" t="s">
        <v>411</v>
      </c>
      <c r="E2975" s="27" t="s">
        <v>1682</v>
      </c>
      <c r="F2975" s="51">
        <v>9979</v>
      </c>
      <c r="G2975" s="27"/>
    </row>
    <row r="2976" spans="1:7">
      <c r="A2976" s="27">
        <v>152</v>
      </c>
      <c r="B2976" s="27" t="s">
        <v>221</v>
      </c>
      <c r="C2976" s="27" t="s">
        <v>311</v>
      </c>
      <c r="D2976" s="27" t="s">
        <v>412</v>
      </c>
      <c r="E2976" s="27" t="s">
        <v>1682</v>
      </c>
      <c r="F2976" s="51">
        <v>51112</v>
      </c>
      <c r="G2976" s="27"/>
    </row>
    <row r="2977" spans="1:7">
      <c r="A2977" s="27">
        <v>152</v>
      </c>
      <c r="B2977" s="27" t="s">
        <v>221</v>
      </c>
      <c r="C2977" s="27" t="s">
        <v>311</v>
      </c>
      <c r="D2977" s="27" t="s">
        <v>398</v>
      </c>
      <c r="E2977" s="27" t="s">
        <v>1682</v>
      </c>
      <c r="F2977" s="51">
        <v>11981</v>
      </c>
      <c r="G2977" s="27"/>
    </row>
    <row r="2978" spans="1:7">
      <c r="A2978" s="27">
        <v>152</v>
      </c>
      <c r="B2978" s="27" t="s">
        <v>221</v>
      </c>
      <c r="C2978" s="27" t="s">
        <v>311</v>
      </c>
      <c r="D2978" s="27" t="s">
        <v>415</v>
      </c>
      <c r="E2978" s="27" t="s">
        <v>1682</v>
      </c>
      <c r="F2978" s="51">
        <v>1029</v>
      </c>
      <c r="G2978" s="27"/>
    </row>
    <row r="2979" spans="1:7">
      <c r="A2979" s="27">
        <v>152</v>
      </c>
      <c r="B2979" s="27" t="s">
        <v>221</v>
      </c>
      <c r="C2979" s="27" t="s">
        <v>311</v>
      </c>
      <c r="D2979" s="27" t="s">
        <v>291</v>
      </c>
      <c r="E2979" s="27" t="s">
        <v>1681</v>
      </c>
      <c r="F2979" s="51">
        <v>11732</v>
      </c>
      <c r="G2979" s="27"/>
    </row>
    <row r="2980" spans="1:7">
      <c r="A2980" s="27">
        <v>152</v>
      </c>
      <c r="B2980" s="27" t="s">
        <v>221</v>
      </c>
      <c r="C2980" s="27" t="s">
        <v>311</v>
      </c>
      <c r="D2980" s="27" t="s">
        <v>399</v>
      </c>
      <c r="E2980" s="27" t="s">
        <v>1681</v>
      </c>
      <c r="F2980" s="51">
        <v>596485</v>
      </c>
      <c r="G2980" s="27"/>
    </row>
    <row r="2981" spans="1:7">
      <c r="A2981" s="27">
        <v>152</v>
      </c>
      <c r="B2981" s="27" t="s">
        <v>221</v>
      </c>
      <c r="C2981" s="27" t="s">
        <v>311</v>
      </c>
      <c r="D2981" s="27" t="s">
        <v>294</v>
      </c>
      <c r="E2981" s="27" t="s">
        <v>1681</v>
      </c>
      <c r="F2981" s="51">
        <v>4624</v>
      </c>
      <c r="G2981" s="27"/>
    </row>
    <row r="2982" spans="1:7">
      <c r="A2982" s="27">
        <v>152</v>
      </c>
      <c r="B2982" s="27" t="s">
        <v>221</v>
      </c>
      <c r="C2982" s="27" t="s">
        <v>311</v>
      </c>
      <c r="D2982" s="27" t="s">
        <v>295</v>
      </c>
      <c r="E2982" s="27" t="s">
        <v>1681</v>
      </c>
      <c r="F2982" s="51">
        <v>71205</v>
      </c>
      <c r="G2982" s="27"/>
    </row>
    <row r="2983" spans="1:7">
      <c r="A2983" s="27">
        <v>152</v>
      </c>
      <c r="B2983" s="27" t="s">
        <v>221</v>
      </c>
      <c r="C2983" s="27" t="s">
        <v>311</v>
      </c>
      <c r="D2983" s="27" t="s">
        <v>304</v>
      </c>
      <c r="E2983" s="27" t="s">
        <v>1681</v>
      </c>
      <c r="F2983" s="51">
        <v>13235</v>
      </c>
      <c r="G2983" s="27"/>
    </row>
    <row r="2984" spans="1:7">
      <c r="A2984" s="27">
        <v>152</v>
      </c>
      <c r="B2984" s="27" t="s">
        <v>221</v>
      </c>
      <c r="C2984" s="27" t="s">
        <v>311</v>
      </c>
      <c r="D2984" s="27" t="s">
        <v>296</v>
      </c>
      <c r="E2984" s="27" t="s">
        <v>1681</v>
      </c>
      <c r="F2984" s="51">
        <v>382001</v>
      </c>
      <c r="G2984" s="27"/>
    </row>
    <row r="2985" spans="1:7">
      <c r="A2985" s="27">
        <v>152</v>
      </c>
      <c r="B2985" s="27" t="s">
        <v>221</v>
      </c>
      <c r="C2985" s="27" t="s">
        <v>311</v>
      </c>
      <c r="D2985" s="27" t="s">
        <v>400</v>
      </c>
      <c r="E2985" s="27" t="s">
        <v>1681</v>
      </c>
      <c r="F2985" s="51">
        <v>181830</v>
      </c>
      <c r="G2985" s="27"/>
    </row>
    <row r="2986" spans="1:7">
      <c r="A2986" s="27">
        <v>152</v>
      </c>
      <c r="B2986" s="27" t="s">
        <v>221</v>
      </c>
      <c r="C2986" s="27" t="s">
        <v>311</v>
      </c>
      <c r="D2986" s="27" t="s">
        <v>298</v>
      </c>
      <c r="E2986" s="27" t="s">
        <v>1681</v>
      </c>
      <c r="F2986" s="51">
        <v>123081</v>
      </c>
      <c r="G2986" s="27"/>
    </row>
    <row r="2987" spans="1:7">
      <c r="A2987" s="27">
        <v>152</v>
      </c>
      <c r="B2987" s="27" t="s">
        <v>221</v>
      </c>
      <c r="C2987" s="27" t="s">
        <v>311</v>
      </c>
      <c r="D2987" s="27" t="s">
        <v>401</v>
      </c>
      <c r="E2987" s="27" t="s">
        <v>1681</v>
      </c>
      <c r="F2987" s="51">
        <v>14875</v>
      </c>
      <c r="G2987" s="27"/>
    </row>
    <row r="2988" spans="1:7">
      <c r="A2988" s="27">
        <v>152</v>
      </c>
      <c r="B2988" s="27" t="s">
        <v>221</v>
      </c>
      <c r="C2988" s="27" t="s">
        <v>311</v>
      </c>
      <c r="D2988" s="27" t="s">
        <v>402</v>
      </c>
      <c r="E2988" s="27" t="s">
        <v>1681</v>
      </c>
      <c r="F2988" s="51">
        <v>12021</v>
      </c>
      <c r="G2988" s="27"/>
    </row>
    <row r="2989" spans="1:7">
      <c r="A2989" s="27">
        <v>152</v>
      </c>
      <c r="B2989" s="27" t="s">
        <v>221</v>
      </c>
      <c r="C2989" s="27" t="s">
        <v>311</v>
      </c>
      <c r="D2989" s="27" t="s">
        <v>300</v>
      </c>
      <c r="E2989" s="27" t="s">
        <v>1681</v>
      </c>
      <c r="F2989" s="51">
        <v>14000</v>
      </c>
      <c r="G2989" s="27"/>
    </row>
    <row r="2990" spans="1:7">
      <c r="A2990" s="27">
        <v>153</v>
      </c>
      <c r="B2990" s="27" t="s">
        <v>222</v>
      </c>
      <c r="C2990" s="27" t="s">
        <v>311</v>
      </c>
      <c r="D2990" s="27" t="s">
        <v>406</v>
      </c>
      <c r="E2990" s="27" t="s">
        <v>1682</v>
      </c>
      <c r="F2990" s="51">
        <v>36604</v>
      </c>
      <c r="G2990" s="27"/>
    </row>
    <row r="2991" spans="1:7">
      <c r="A2991" s="27">
        <v>153</v>
      </c>
      <c r="B2991" s="27" t="s">
        <v>222</v>
      </c>
      <c r="C2991" s="27" t="s">
        <v>311</v>
      </c>
      <c r="D2991" s="27" t="s">
        <v>408</v>
      </c>
      <c r="E2991" s="27" t="s">
        <v>1682</v>
      </c>
      <c r="F2991" s="51">
        <v>134079</v>
      </c>
      <c r="G2991" s="27"/>
    </row>
    <row r="2992" spans="1:7">
      <c r="A2992" s="27">
        <v>153</v>
      </c>
      <c r="B2992" s="27" t="s">
        <v>222</v>
      </c>
      <c r="C2992" s="27" t="s">
        <v>311</v>
      </c>
      <c r="D2992" s="27" t="s">
        <v>394</v>
      </c>
      <c r="E2992" s="27" t="s">
        <v>1682</v>
      </c>
      <c r="F2992" s="51">
        <v>296684</v>
      </c>
      <c r="G2992" s="27"/>
    </row>
    <row r="2993" spans="1:7">
      <c r="A2993" s="27">
        <v>153</v>
      </c>
      <c r="B2993" s="27" t="s">
        <v>222</v>
      </c>
      <c r="C2993" s="27" t="s">
        <v>311</v>
      </c>
      <c r="D2993" s="27" t="s">
        <v>397</v>
      </c>
      <c r="E2993" s="27" t="s">
        <v>1682</v>
      </c>
      <c r="F2993" s="51">
        <v>324816</v>
      </c>
      <c r="G2993" s="27"/>
    </row>
    <row r="2994" spans="1:7">
      <c r="A2994" s="27">
        <v>153</v>
      </c>
      <c r="B2994" s="27" t="s">
        <v>222</v>
      </c>
      <c r="C2994" s="27" t="s">
        <v>311</v>
      </c>
      <c r="D2994" s="27" t="s">
        <v>333</v>
      </c>
      <c r="E2994" s="27" t="s">
        <v>1682</v>
      </c>
      <c r="F2994" s="51">
        <v>12689</v>
      </c>
      <c r="G2994" s="27"/>
    </row>
    <row r="2995" spans="1:7">
      <c r="A2995" s="27">
        <v>153</v>
      </c>
      <c r="B2995" s="27" t="s">
        <v>222</v>
      </c>
      <c r="C2995" s="27" t="s">
        <v>311</v>
      </c>
      <c r="D2995" s="27" t="s">
        <v>411</v>
      </c>
      <c r="E2995" s="27" t="s">
        <v>1682</v>
      </c>
      <c r="F2995" s="51">
        <v>2500</v>
      </c>
      <c r="G2995" s="27"/>
    </row>
    <row r="2996" spans="1:7">
      <c r="A2996" s="27">
        <v>153</v>
      </c>
      <c r="B2996" s="27" t="s">
        <v>222</v>
      </c>
      <c r="C2996" s="27" t="s">
        <v>311</v>
      </c>
      <c r="D2996" s="27" t="s">
        <v>412</v>
      </c>
      <c r="E2996" s="27" t="s">
        <v>1682</v>
      </c>
      <c r="F2996" s="51">
        <v>80000</v>
      </c>
      <c r="G2996" s="27"/>
    </row>
    <row r="2997" spans="1:7">
      <c r="A2997" s="27">
        <v>153</v>
      </c>
      <c r="B2997" s="27" t="s">
        <v>222</v>
      </c>
      <c r="C2997" s="27" t="s">
        <v>311</v>
      </c>
      <c r="D2997" s="27" t="s">
        <v>398</v>
      </c>
      <c r="E2997" s="27" t="s">
        <v>1682</v>
      </c>
      <c r="F2997" s="51">
        <v>21048</v>
      </c>
      <c r="G2997" s="27"/>
    </row>
    <row r="2998" spans="1:7">
      <c r="A2998" s="27">
        <v>153</v>
      </c>
      <c r="B2998" s="27" t="s">
        <v>222</v>
      </c>
      <c r="C2998" s="27" t="s">
        <v>311</v>
      </c>
      <c r="D2998" s="27" t="s">
        <v>415</v>
      </c>
      <c r="E2998" s="27" t="s">
        <v>1682</v>
      </c>
      <c r="F2998" s="51">
        <v>12529</v>
      </c>
      <c r="G2998" s="27"/>
    </row>
    <row r="2999" spans="1:7">
      <c r="A2999" s="27">
        <v>153</v>
      </c>
      <c r="B2999" s="27" t="s">
        <v>222</v>
      </c>
      <c r="C2999" s="27" t="s">
        <v>311</v>
      </c>
      <c r="D2999" s="27" t="s">
        <v>334</v>
      </c>
      <c r="E2999" s="27" t="s">
        <v>1682</v>
      </c>
      <c r="F2999" s="51">
        <v>23661</v>
      </c>
      <c r="G2999" s="27"/>
    </row>
    <row r="3000" spans="1:7">
      <c r="A3000" s="27">
        <v>153</v>
      </c>
      <c r="B3000" s="27" t="s">
        <v>222</v>
      </c>
      <c r="C3000" s="27" t="s">
        <v>311</v>
      </c>
      <c r="D3000" s="27" t="s">
        <v>291</v>
      </c>
      <c r="E3000" s="27" t="s">
        <v>1681</v>
      </c>
      <c r="F3000" s="51">
        <v>15557</v>
      </c>
      <c r="G3000" s="27"/>
    </row>
    <row r="3001" spans="1:7">
      <c r="A3001" s="27">
        <v>153</v>
      </c>
      <c r="B3001" s="27" t="s">
        <v>222</v>
      </c>
      <c r="C3001" s="27" t="s">
        <v>311</v>
      </c>
      <c r="D3001" s="27" t="s">
        <v>399</v>
      </c>
      <c r="E3001" s="27" t="s">
        <v>1681</v>
      </c>
      <c r="F3001" s="51">
        <v>9776325</v>
      </c>
      <c r="G3001" s="27"/>
    </row>
    <row r="3002" spans="1:7">
      <c r="A3002" s="27">
        <v>153</v>
      </c>
      <c r="B3002" s="27" t="s">
        <v>222</v>
      </c>
      <c r="C3002" s="27" t="s">
        <v>311</v>
      </c>
      <c r="D3002" s="27" t="s">
        <v>294</v>
      </c>
      <c r="E3002" s="27" t="s">
        <v>1681</v>
      </c>
      <c r="F3002" s="51">
        <v>30510</v>
      </c>
      <c r="G3002" s="27"/>
    </row>
    <row r="3003" spans="1:7">
      <c r="A3003" s="27">
        <v>153</v>
      </c>
      <c r="B3003" s="27" t="s">
        <v>222</v>
      </c>
      <c r="C3003" s="27" t="s">
        <v>311</v>
      </c>
      <c r="D3003" s="27" t="s">
        <v>296</v>
      </c>
      <c r="E3003" s="27" t="s">
        <v>1681</v>
      </c>
      <c r="F3003" s="51">
        <v>1956000</v>
      </c>
      <c r="G3003" s="27"/>
    </row>
    <row r="3004" spans="1:7">
      <c r="A3004" s="27">
        <v>153</v>
      </c>
      <c r="B3004" s="27" t="s">
        <v>222</v>
      </c>
      <c r="C3004" s="27" t="s">
        <v>311</v>
      </c>
      <c r="D3004" s="27" t="s">
        <v>400</v>
      </c>
      <c r="E3004" s="27" t="s">
        <v>1681</v>
      </c>
      <c r="F3004" s="51">
        <v>110983</v>
      </c>
      <c r="G3004" s="27"/>
    </row>
    <row r="3005" spans="1:7">
      <c r="A3005" s="27">
        <v>153</v>
      </c>
      <c r="B3005" s="27" t="s">
        <v>222</v>
      </c>
      <c r="C3005" s="27" t="s">
        <v>311</v>
      </c>
      <c r="D3005" s="27" t="s">
        <v>298</v>
      </c>
      <c r="E3005" s="27" t="s">
        <v>1681</v>
      </c>
      <c r="F3005" s="51">
        <v>59809</v>
      </c>
      <c r="G3005" s="27"/>
    </row>
    <row r="3006" spans="1:7">
      <c r="A3006" s="27">
        <v>153</v>
      </c>
      <c r="B3006" s="27" t="s">
        <v>222</v>
      </c>
      <c r="C3006" s="27" t="s">
        <v>311</v>
      </c>
      <c r="D3006" s="27" t="s">
        <v>401</v>
      </c>
      <c r="E3006" s="27" t="s">
        <v>1681</v>
      </c>
      <c r="F3006" s="51">
        <v>31892</v>
      </c>
      <c r="G3006" s="27"/>
    </row>
    <row r="3007" spans="1:7">
      <c r="A3007" s="27">
        <v>153</v>
      </c>
      <c r="B3007" s="27" t="s">
        <v>222</v>
      </c>
      <c r="C3007" s="27" t="s">
        <v>311</v>
      </c>
      <c r="D3007" s="27" t="s">
        <v>402</v>
      </c>
      <c r="E3007" s="27" t="s">
        <v>1681</v>
      </c>
      <c r="F3007" s="51">
        <v>256692</v>
      </c>
      <c r="G3007" s="27"/>
    </row>
    <row r="3008" spans="1:7">
      <c r="A3008" s="27">
        <v>153</v>
      </c>
      <c r="B3008" s="27" t="s">
        <v>222</v>
      </c>
      <c r="C3008" s="27" t="s">
        <v>311</v>
      </c>
      <c r="D3008" s="27" t="s">
        <v>299</v>
      </c>
      <c r="E3008" s="27" t="s">
        <v>1681</v>
      </c>
      <c r="F3008" s="51">
        <v>18011</v>
      </c>
      <c r="G3008" s="27"/>
    </row>
    <row r="3009" spans="1:7">
      <c r="A3009" s="27">
        <v>154</v>
      </c>
      <c r="B3009" s="27" t="s">
        <v>223</v>
      </c>
      <c r="C3009" s="27" t="s">
        <v>302</v>
      </c>
      <c r="D3009" s="27" t="s">
        <v>408</v>
      </c>
      <c r="E3009" s="27" t="s">
        <v>1682</v>
      </c>
      <c r="F3009" s="51">
        <v>33582</v>
      </c>
      <c r="G3009" s="27"/>
    </row>
    <row r="3010" spans="1:7">
      <c r="A3010" s="27">
        <v>154</v>
      </c>
      <c r="B3010" s="27" t="s">
        <v>223</v>
      </c>
      <c r="C3010" s="27" t="s">
        <v>302</v>
      </c>
      <c r="D3010" s="27" t="s">
        <v>394</v>
      </c>
      <c r="E3010" s="27" t="s">
        <v>1682</v>
      </c>
      <c r="F3010" s="51">
        <v>100913</v>
      </c>
      <c r="G3010" s="27"/>
    </row>
    <row r="3011" spans="1:7">
      <c r="A3011" s="27">
        <v>154</v>
      </c>
      <c r="B3011" s="27" t="s">
        <v>223</v>
      </c>
      <c r="C3011" s="27" t="s">
        <v>302</v>
      </c>
      <c r="D3011" s="27" t="s">
        <v>397</v>
      </c>
      <c r="E3011" s="27" t="s">
        <v>1682</v>
      </c>
      <c r="F3011" s="51">
        <v>49884</v>
      </c>
      <c r="G3011" s="27"/>
    </row>
    <row r="3012" spans="1:7">
      <c r="A3012" s="27">
        <v>154</v>
      </c>
      <c r="B3012" s="27" t="s">
        <v>223</v>
      </c>
      <c r="C3012" s="27" t="s">
        <v>302</v>
      </c>
      <c r="D3012" s="27" t="s">
        <v>411</v>
      </c>
      <c r="E3012" s="27" t="s">
        <v>1682</v>
      </c>
      <c r="F3012" s="51">
        <v>1445</v>
      </c>
      <c r="G3012" s="27"/>
    </row>
    <row r="3013" spans="1:7">
      <c r="A3013" s="27">
        <v>154</v>
      </c>
      <c r="B3013" s="27" t="s">
        <v>223</v>
      </c>
      <c r="C3013" s="27" t="s">
        <v>302</v>
      </c>
      <c r="D3013" s="27" t="s">
        <v>412</v>
      </c>
      <c r="E3013" s="27" t="s">
        <v>1682</v>
      </c>
      <c r="F3013" s="51">
        <v>21848</v>
      </c>
      <c r="G3013" s="27"/>
    </row>
    <row r="3014" spans="1:7">
      <c r="A3014" s="27">
        <v>154</v>
      </c>
      <c r="B3014" s="27" t="s">
        <v>223</v>
      </c>
      <c r="C3014" s="27" t="s">
        <v>302</v>
      </c>
      <c r="D3014" s="27" t="s">
        <v>398</v>
      </c>
      <c r="E3014" s="27" t="s">
        <v>1682</v>
      </c>
      <c r="F3014" s="51">
        <v>3326</v>
      </c>
      <c r="G3014" s="27"/>
    </row>
    <row r="3015" spans="1:7">
      <c r="A3015" s="27">
        <v>154</v>
      </c>
      <c r="B3015" s="27" t="s">
        <v>223</v>
      </c>
      <c r="C3015" s="27" t="s">
        <v>302</v>
      </c>
      <c r="D3015" s="27" t="s">
        <v>415</v>
      </c>
      <c r="E3015" s="27" t="s">
        <v>1682</v>
      </c>
      <c r="F3015" s="51">
        <v>2443</v>
      </c>
      <c r="G3015" s="27"/>
    </row>
    <row r="3016" spans="1:7">
      <c r="A3016" s="27">
        <v>154</v>
      </c>
      <c r="B3016" s="27" t="s">
        <v>223</v>
      </c>
      <c r="C3016" s="27" t="s">
        <v>302</v>
      </c>
      <c r="D3016" s="27" t="s">
        <v>291</v>
      </c>
      <c r="E3016" s="27" t="s">
        <v>1681</v>
      </c>
      <c r="F3016" s="51">
        <v>4046</v>
      </c>
      <c r="G3016" s="27"/>
    </row>
    <row r="3017" spans="1:7">
      <c r="A3017" s="27">
        <v>154</v>
      </c>
      <c r="B3017" s="27" t="s">
        <v>223</v>
      </c>
      <c r="C3017" s="27" t="s">
        <v>302</v>
      </c>
      <c r="D3017" s="27" t="s">
        <v>399</v>
      </c>
      <c r="E3017" s="27" t="s">
        <v>1681</v>
      </c>
      <c r="F3017" s="51">
        <v>258914</v>
      </c>
      <c r="G3017" s="27"/>
    </row>
    <row r="3018" spans="1:7">
      <c r="A3018" s="27">
        <v>154</v>
      </c>
      <c r="B3018" s="27" t="s">
        <v>223</v>
      </c>
      <c r="C3018" s="27" t="s">
        <v>302</v>
      </c>
      <c r="D3018" s="27" t="s">
        <v>295</v>
      </c>
      <c r="E3018" s="27" t="s">
        <v>1681</v>
      </c>
      <c r="F3018" s="51">
        <v>20000</v>
      </c>
      <c r="G3018" s="27"/>
    </row>
    <row r="3019" spans="1:7">
      <c r="A3019" s="27">
        <v>154</v>
      </c>
      <c r="B3019" s="27" t="s">
        <v>223</v>
      </c>
      <c r="C3019" s="27" t="s">
        <v>302</v>
      </c>
      <c r="D3019" s="27" t="s">
        <v>296</v>
      </c>
      <c r="E3019" s="27" t="s">
        <v>1681</v>
      </c>
      <c r="F3019" s="51">
        <v>603106</v>
      </c>
      <c r="G3019" s="27"/>
    </row>
    <row r="3020" spans="1:7">
      <c r="A3020" s="27">
        <v>154</v>
      </c>
      <c r="B3020" s="27" t="s">
        <v>223</v>
      </c>
      <c r="C3020" s="27" t="s">
        <v>302</v>
      </c>
      <c r="D3020" s="27" t="s">
        <v>298</v>
      </c>
      <c r="E3020" s="27" t="s">
        <v>1681</v>
      </c>
      <c r="F3020" s="51">
        <v>99622</v>
      </c>
      <c r="G3020" s="27"/>
    </row>
    <row r="3021" spans="1:7">
      <c r="A3021" s="27">
        <v>154</v>
      </c>
      <c r="B3021" s="27" t="s">
        <v>223</v>
      </c>
      <c r="C3021" s="27" t="s">
        <v>302</v>
      </c>
      <c r="D3021" s="27" t="s">
        <v>401</v>
      </c>
      <c r="E3021" s="27" t="s">
        <v>1681</v>
      </c>
      <c r="F3021" s="51">
        <v>15000</v>
      </c>
      <c r="G3021" s="27"/>
    </row>
    <row r="3022" spans="1:7">
      <c r="A3022" s="27">
        <v>154</v>
      </c>
      <c r="B3022" s="27" t="s">
        <v>223</v>
      </c>
      <c r="C3022" s="27" t="s">
        <v>302</v>
      </c>
      <c r="D3022" s="27" t="s">
        <v>402</v>
      </c>
      <c r="E3022" s="27" t="s">
        <v>1681</v>
      </c>
      <c r="F3022" s="51">
        <v>12197</v>
      </c>
      <c r="G3022" s="27"/>
    </row>
    <row r="3023" spans="1:7">
      <c r="A3023" s="27">
        <v>154</v>
      </c>
      <c r="B3023" s="27" t="s">
        <v>223</v>
      </c>
      <c r="C3023" s="27" t="s">
        <v>302</v>
      </c>
      <c r="D3023" s="27" t="s">
        <v>300</v>
      </c>
      <c r="E3023" s="27" t="s">
        <v>1681</v>
      </c>
      <c r="F3023" s="51">
        <v>14000</v>
      </c>
      <c r="G3023" s="27"/>
    </row>
    <row r="3024" spans="1:7">
      <c r="A3024" s="27">
        <v>155</v>
      </c>
      <c r="B3024" s="27" t="s">
        <v>224</v>
      </c>
      <c r="C3024" s="27" t="s">
        <v>306</v>
      </c>
      <c r="D3024" s="27" t="s">
        <v>406</v>
      </c>
      <c r="E3024" s="27" t="s">
        <v>1682</v>
      </c>
      <c r="F3024" s="51">
        <v>65144</v>
      </c>
      <c r="G3024" s="27"/>
    </row>
    <row r="3025" spans="1:7">
      <c r="A3025" s="27">
        <v>155</v>
      </c>
      <c r="B3025" s="27" t="s">
        <v>224</v>
      </c>
      <c r="C3025" s="27" t="s">
        <v>306</v>
      </c>
      <c r="D3025" s="27" t="s">
        <v>408</v>
      </c>
      <c r="E3025" s="27" t="s">
        <v>1682</v>
      </c>
      <c r="F3025" s="51">
        <v>544897</v>
      </c>
      <c r="G3025" s="27"/>
    </row>
    <row r="3026" spans="1:7">
      <c r="A3026" s="27">
        <v>155</v>
      </c>
      <c r="B3026" s="27" t="s">
        <v>224</v>
      </c>
      <c r="C3026" s="27" t="s">
        <v>306</v>
      </c>
      <c r="D3026" s="27" t="s">
        <v>394</v>
      </c>
      <c r="E3026" s="27" t="s">
        <v>1682</v>
      </c>
      <c r="F3026" s="51">
        <v>1320586</v>
      </c>
      <c r="G3026" s="27"/>
    </row>
    <row r="3027" spans="1:7">
      <c r="A3027" s="27">
        <v>155</v>
      </c>
      <c r="B3027" s="27" t="s">
        <v>224</v>
      </c>
      <c r="C3027" s="27" t="s">
        <v>306</v>
      </c>
      <c r="D3027" s="27" t="s">
        <v>397</v>
      </c>
      <c r="E3027" s="27" t="s">
        <v>1682</v>
      </c>
      <c r="F3027" s="51">
        <v>398149</v>
      </c>
      <c r="G3027" s="27"/>
    </row>
    <row r="3028" spans="1:7">
      <c r="A3028" s="27">
        <v>155</v>
      </c>
      <c r="B3028" s="27" t="s">
        <v>224</v>
      </c>
      <c r="C3028" s="27" t="s">
        <v>306</v>
      </c>
      <c r="D3028" s="27" t="s">
        <v>411</v>
      </c>
      <c r="E3028" s="27" t="s">
        <v>1682</v>
      </c>
      <c r="F3028" s="51">
        <v>5000</v>
      </c>
      <c r="G3028" s="27"/>
    </row>
    <row r="3029" spans="1:7">
      <c r="A3029" s="27">
        <v>155</v>
      </c>
      <c r="B3029" s="27" t="s">
        <v>224</v>
      </c>
      <c r="C3029" s="27" t="s">
        <v>306</v>
      </c>
      <c r="D3029" s="27" t="s">
        <v>412</v>
      </c>
      <c r="E3029" s="27" t="s">
        <v>1682</v>
      </c>
      <c r="F3029" s="51">
        <v>195000</v>
      </c>
      <c r="G3029" s="27"/>
    </row>
    <row r="3030" spans="1:7">
      <c r="A3030" s="27">
        <v>155</v>
      </c>
      <c r="B3030" s="27" t="s">
        <v>224</v>
      </c>
      <c r="C3030" s="27" t="s">
        <v>306</v>
      </c>
      <c r="D3030" s="27" t="s">
        <v>413</v>
      </c>
      <c r="E3030" s="27" t="s">
        <v>1682</v>
      </c>
      <c r="F3030" s="51">
        <v>30000</v>
      </c>
      <c r="G3030" s="27"/>
    </row>
    <row r="3031" spans="1:7">
      <c r="A3031" s="27">
        <v>155</v>
      </c>
      <c r="B3031" s="27" t="s">
        <v>224</v>
      </c>
      <c r="C3031" s="27" t="s">
        <v>306</v>
      </c>
      <c r="D3031" s="27" t="s">
        <v>398</v>
      </c>
      <c r="E3031" s="27" t="s">
        <v>1682</v>
      </c>
      <c r="F3031" s="51">
        <v>37042</v>
      </c>
      <c r="G3031" s="27"/>
    </row>
    <row r="3032" spans="1:7">
      <c r="A3032" s="27">
        <v>155</v>
      </c>
      <c r="B3032" s="27" t="s">
        <v>224</v>
      </c>
      <c r="C3032" s="27" t="s">
        <v>306</v>
      </c>
      <c r="D3032" s="27" t="s">
        <v>415</v>
      </c>
      <c r="E3032" s="27" t="s">
        <v>1682</v>
      </c>
      <c r="F3032" s="51">
        <v>37351</v>
      </c>
      <c r="G3032" s="27"/>
    </row>
    <row r="3033" spans="1:7">
      <c r="A3033" s="27">
        <v>155</v>
      </c>
      <c r="B3033" s="27" t="s">
        <v>224</v>
      </c>
      <c r="C3033" s="27" t="s">
        <v>306</v>
      </c>
      <c r="D3033" s="27" t="s">
        <v>291</v>
      </c>
      <c r="E3033" s="27" t="s">
        <v>1681</v>
      </c>
      <c r="F3033" s="51">
        <v>41968</v>
      </c>
      <c r="G3033" s="27"/>
    </row>
    <row r="3034" spans="1:7">
      <c r="A3034" s="27">
        <v>155</v>
      </c>
      <c r="B3034" s="27" t="s">
        <v>224</v>
      </c>
      <c r="C3034" s="27" t="s">
        <v>306</v>
      </c>
      <c r="D3034" s="27" t="s">
        <v>399</v>
      </c>
      <c r="E3034" s="27" t="s">
        <v>1681</v>
      </c>
      <c r="F3034" s="51">
        <v>8755961</v>
      </c>
      <c r="G3034" s="27"/>
    </row>
    <row r="3035" spans="1:7">
      <c r="A3035" s="27">
        <v>155</v>
      </c>
      <c r="B3035" s="27" t="s">
        <v>224</v>
      </c>
      <c r="C3035" s="27" t="s">
        <v>306</v>
      </c>
      <c r="D3035" s="27" t="s">
        <v>293</v>
      </c>
      <c r="E3035" s="27" t="s">
        <v>1681</v>
      </c>
      <c r="F3035" s="51">
        <v>100000</v>
      </c>
      <c r="G3035" s="27"/>
    </row>
    <row r="3036" spans="1:7">
      <c r="A3036" s="27">
        <v>155</v>
      </c>
      <c r="B3036" s="27" t="s">
        <v>224</v>
      </c>
      <c r="C3036" s="27" t="s">
        <v>306</v>
      </c>
      <c r="D3036" s="27" t="s">
        <v>307</v>
      </c>
      <c r="E3036" s="27" t="s">
        <v>1681</v>
      </c>
      <c r="F3036" s="51">
        <v>54640</v>
      </c>
      <c r="G3036" s="27"/>
    </row>
    <row r="3037" spans="1:7">
      <c r="A3037" s="27">
        <v>155</v>
      </c>
      <c r="B3037" s="27" t="s">
        <v>224</v>
      </c>
      <c r="C3037" s="27" t="s">
        <v>306</v>
      </c>
      <c r="D3037" s="27" t="s">
        <v>294</v>
      </c>
      <c r="E3037" s="27" t="s">
        <v>1681</v>
      </c>
      <c r="F3037" s="51">
        <v>363841</v>
      </c>
      <c r="G3037" s="27"/>
    </row>
    <row r="3038" spans="1:7">
      <c r="A3038" s="27">
        <v>155</v>
      </c>
      <c r="B3038" s="27" t="s">
        <v>224</v>
      </c>
      <c r="C3038" s="27" t="s">
        <v>306</v>
      </c>
      <c r="D3038" s="27" t="s">
        <v>295</v>
      </c>
      <c r="E3038" s="27" t="s">
        <v>1681</v>
      </c>
      <c r="F3038" s="51">
        <v>64000</v>
      </c>
      <c r="G3038" s="27"/>
    </row>
    <row r="3039" spans="1:7">
      <c r="A3039" s="27">
        <v>155</v>
      </c>
      <c r="B3039" s="27" t="s">
        <v>224</v>
      </c>
      <c r="C3039" s="27" t="s">
        <v>306</v>
      </c>
      <c r="D3039" s="27" t="s">
        <v>296</v>
      </c>
      <c r="E3039" s="27" t="s">
        <v>1681</v>
      </c>
      <c r="F3039" s="51">
        <v>3866451</v>
      </c>
      <c r="G3039" s="27"/>
    </row>
    <row r="3040" spans="1:7">
      <c r="A3040" s="27">
        <v>155</v>
      </c>
      <c r="B3040" s="27" t="s">
        <v>224</v>
      </c>
      <c r="C3040" s="27" t="s">
        <v>306</v>
      </c>
      <c r="D3040" s="27" t="s">
        <v>400</v>
      </c>
      <c r="E3040" s="27" t="s">
        <v>1681</v>
      </c>
      <c r="F3040" s="51">
        <v>167821</v>
      </c>
      <c r="G3040" s="27"/>
    </row>
    <row r="3041" spans="1:7">
      <c r="A3041" s="27">
        <v>155</v>
      </c>
      <c r="B3041" s="27" t="s">
        <v>224</v>
      </c>
      <c r="C3041" s="27" t="s">
        <v>306</v>
      </c>
      <c r="D3041" s="27" t="s">
        <v>298</v>
      </c>
      <c r="E3041" s="27" t="s">
        <v>1681</v>
      </c>
      <c r="F3041" s="51">
        <v>199996</v>
      </c>
      <c r="G3041" s="27"/>
    </row>
    <row r="3042" spans="1:7">
      <c r="A3042" s="27">
        <v>155</v>
      </c>
      <c r="B3042" s="27" t="s">
        <v>224</v>
      </c>
      <c r="C3042" s="27" t="s">
        <v>306</v>
      </c>
      <c r="D3042" s="27" t="s">
        <v>401</v>
      </c>
      <c r="E3042" s="27" t="s">
        <v>1681</v>
      </c>
      <c r="F3042" s="51">
        <v>34906</v>
      </c>
      <c r="G3042" s="27"/>
    </row>
    <row r="3043" spans="1:7">
      <c r="A3043" s="27">
        <v>155</v>
      </c>
      <c r="B3043" s="27" t="s">
        <v>224</v>
      </c>
      <c r="C3043" s="27" t="s">
        <v>306</v>
      </c>
      <c r="D3043" s="27" t="s">
        <v>1347</v>
      </c>
      <c r="E3043" s="27" t="s">
        <v>1681</v>
      </c>
      <c r="F3043" s="51">
        <v>7253</v>
      </c>
      <c r="G3043" s="27"/>
    </row>
    <row r="3044" spans="1:7">
      <c r="A3044" s="27">
        <v>155</v>
      </c>
      <c r="B3044" s="27" t="s">
        <v>224</v>
      </c>
      <c r="C3044" s="27" t="s">
        <v>306</v>
      </c>
      <c r="D3044" s="27" t="s">
        <v>402</v>
      </c>
      <c r="E3044" s="27" t="s">
        <v>1681</v>
      </c>
      <c r="F3044" s="51">
        <v>228879</v>
      </c>
      <c r="G3044" s="27"/>
    </row>
    <row r="3045" spans="1:7">
      <c r="A3045" s="27">
        <v>155</v>
      </c>
      <c r="B3045" s="27" t="s">
        <v>224</v>
      </c>
      <c r="C3045" s="27" t="s">
        <v>306</v>
      </c>
      <c r="D3045" s="27" t="s">
        <v>299</v>
      </c>
      <c r="E3045" s="27" t="s">
        <v>1681</v>
      </c>
      <c r="F3045" s="51">
        <v>45794</v>
      </c>
      <c r="G3045" s="27"/>
    </row>
    <row r="3046" spans="1:7">
      <c r="A3046" s="27">
        <v>155</v>
      </c>
      <c r="B3046" s="27" t="s">
        <v>224</v>
      </c>
      <c r="C3046" s="27" t="s">
        <v>306</v>
      </c>
      <c r="D3046" s="27" t="s">
        <v>300</v>
      </c>
      <c r="E3046" s="27" t="s">
        <v>1681</v>
      </c>
      <c r="F3046" s="51">
        <v>33156</v>
      </c>
      <c r="G3046" s="27"/>
    </row>
    <row r="3047" spans="1:7">
      <c r="A3047" s="27">
        <v>156</v>
      </c>
      <c r="B3047" s="27" t="s">
        <v>225</v>
      </c>
      <c r="C3047" s="27" t="s">
        <v>404</v>
      </c>
      <c r="D3047" s="27" t="s">
        <v>406</v>
      </c>
      <c r="E3047" s="27" t="s">
        <v>1682</v>
      </c>
      <c r="F3047" s="51">
        <v>81444</v>
      </c>
      <c r="G3047" s="27"/>
    </row>
    <row r="3048" spans="1:7">
      <c r="A3048" s="27">
        <v>156</v>
      </c>
      <c r="B3048" s="27" t="s">
        <v>225</v>
      </c>
      <c r="C3048" s="27" t="s">
        <v>404</v>
      </c>
      <c r="D3048" s="27" t="s">
        <v>408</v>
      </c>
      <c r="E3048" s="27" t="s">
        <v>1682</v>
      </c>
      <c r="F3048" s="51">
        <v>1347150</v>
      </c>
      <c r="G3048" s="27"/>
    </row>
    <row r="3049" spans="1:7">
      <c r="A3049" s="27">
        <v>156</v>
      </c>
      <c r="B3049" s="27" t="s">
        <v>225</v>
      </c>
      <c r="C3049" s="27" t="s">
        <v>404</v>
      </c>
      <c r="D3049" s="27" t="s">
        <v>394</v>
      </c>
      <c r="E3049" s="27" t="s">
        <v>1682</v>
      </c>
      <c r="F3049" s="51">
        <v>1051075</v>
      </c>
      <c r="G3049" s="27"/>
    </row>
    <row r="3050" spans="1:7">
      <c r="A3050" s="27">
        <v>156</v>
      </c>
      <c r="B3050" s="27" t="s">
        <v>225</v>
      </c>
      <c r="C3050" s="27" t="s">
        <v>404</v>
      </c>
      <c r="D3050" s="27" t="s">
        <v>397</v>
      </c>
      <c r="E3050" s="27" t="s">
        <v>1682</v>
      </c>
      <c r="F3050" s="51">
        <v>736110</v>
      </c>
      <c r="G3050" s="27"/>
    </row>
    <row r="3051" spans="1:7">
      <c r="A3051" s="27">
        <v>156</v>
      </c>
      <c r="B3051" s="27" t="s">
        <v>225</v>
      </c>
      <c r="C3051" s="27" t="s">
        <v>404</v>
      </c>
      <c r="D3051" s="27" t="s">
        <v>333</v>
      </c>
      <c r="E3051" s="27" t="s">
        <v>1682</v>
      </c>
      <c r="F3051" s="51">
        <v>34386</v>
      </c>
      <c r="G3051" s="27"/>
    </row>
    <row r="3052" spans="1:7">
      <c r="A3052" s="27">
        <v>156</v>
      </c>
      <c r="B3052" s="27" t="s">
        <v>225</v>
      </c>
      <c r="C3052" s="27" t="s">
        <v>404</v>
      </c>
      <c r="D3052" s="27" t="s">
        <v>411</v>
      </c>
      <c r="E3052" s="27" t="s">
        <v>1682</v>
      </c>
      <c r="F3052" s="51">
        <v>15000</v>
      </c>
      <c r="G3052" s="27"/>
    </row>
    <row r="3053" spans="1:7">
      <c r="A3053" s="27">
        <v>156</v>
      </c>
      <c r="B3053" s="27" t="s">
        <v>225</v>
      </c>
      <c r="C3053" s="27" t="s">
        <v>404</v>
      </c>
      <c r="D3053" s="27" t="s">
        <v>412</v>
      </c>
      <c r="E3053" s="27" t="s">
        <v>1682</v>
      </c>
      <c r="F3053" s="51">
        <v>274170</v>
      </c>
      <c r="G3053" s="27"/>
    </row>
    <row r="3054" spans="1:7">
      <c r="A3054" s="27">
        <v>156</v>
      </c>
      <c r="B3054" s="27" t="s">
        <v>225</v>
      </c>
      <c r="C3054" s="27" t="s">
        <v>404</v>
      </c>
      <c r="D3054" s="27" t="s">
        <v>413</v>
      </c>
      <c r="E3054" s="27" t="s">
        <v>1682</v>
      </c>
      <c r="F3054" s="51">
        <v>42956</v>
      </c>
      <c r="G3054" s="27"/>
    </row>
    <row r="3055" spans="1:7">
      <c r="A3055" s="27">
        <v>156</v>
      </c>
      <c r="B3055" s="27" t="s">
        <v>225</v>
      </c>
      <c r="C3055" s="27" t="s">
        <v>404</v>
      </c>
      <c r="D3055" s="27" t="s">
        <v>398</v>
      </c>
      <c r="E3055" s="27" t="s">
        <v>1682</v>
      </c>
      <c r="F3055" s="51">
        <v>95383</v>
      </c>
      <c r="G3055" s="27"/>
    </row>
    <row r="3056" spans="1:7">
      <c r="A3056" s="27">
        <v>156</v>
      </c>
      <c r="B3056" s="27" t="s">
        <v>225</v>
      </c>
      <c r="C3056" s="27" t="s">
        <v>404</v>
      </c>
      <c r="D3056" s="27" t="s">
        <v>415</v>
      </c>
      <c r="E3056" s="27" t="s">
        <v>1682</v>
      </c>
      <c r="F3056" s="51">
        <v>125828</v>
      </c>
      <c r="G3056" s="27"/>
    </row>
    <row r="3057" spans="1:7">
      <c r="A3057" s="27">
        <v>156</v>
      </c>
      <c r="B3057" s="27" t="s">
        <v>225</v>
      </c>
      <c r="C3057" s="27" t="s">
        <v>404</v>
      </c>
      <c r="D3057" s="27" t="s">
        <v>334</v>
      </c>
      <c r="E3057" s="27" t="s">
        <v>1682</v>
      </c>
      <c r="F3057" s="51">
        <v>29466</v>
      </c>
      <c r="G3057" s="27"/>
    </row>
    <row r="3058" spans="1:7">
      <c r="A3058" s="27">
        <v>156</v>
      </c>
      <c r="B3058" s="27" t="s">
        <v>225</v>
      </c>
      <c r="C3058" s="27" t="s">
        <v>404</v>
      </c>
      <c r="D3058" s="27" t="s">
        <v>335</v>
      </c>
      <c r="E3058" s="27" t="s">
        <v>1681</v>
      </c>
      <c r="F3058" s="51">
        <v>11979</v>
      </c>
      <c r="G3058" s="27"/>
    </row>
    <row r="3059" spans="1:7">
      <c r="A3059" s="27">
        <v>156</v>
      </c>
      <c r="B3059" s="27" t="s">
        <v>225</v>
      </c>
      <c r="C3059" s="27" t="s">
        <v>404</v>
      </c>
      <c r="D3059" s="27" t="s">
        <v>291</v>
      </c>
      <c r="E3059" s="27" t="s">
        <v>1681</v>
      </c>
      <c r="F3059" s="51">
        <v>35144</v>
      </c>
      <c r="G3059" s="27"/>
    </row>
    <row r="3060" spans="1:7">
      <c r="A3060" s="27">
        <v>156</v>
      </c>
      <c r="B3060" s="27" t="s">
        <v>225</v>
      </c>
      <c r="C3060" s="27" t="s">
        <v>404</v>
      </c>
      <c r="D3060" s="27" t="s">
        <v>399</v>
      </c>
      <c r="E3060" s="27" t="s">
        <v>1681</v>
      </c>
      <c r="F3060" s="51">
        <v>34845053</v>
      </c>
      <c r="G3060" s="27"/>
    </row>
    <row r="3061" spans="1:7">
      <c r="A3061" s="27">
        <v>156</v>
      </c>
      <c r="B3061" s="27" t="s">
        <v>225</v>
      </c>
      <c r="C3061" s="27" t="s">
        <v>404</v>
      </c>
      <c r="D3061" s="27" t="s">
        <v>317</v>
      </c>
      <c r="E3061" s="27" t="s">
        <v>1681</v>
      </c>
      <c r="F3061" s="51">
        <v>86171</v>
      </c>
      <c r="G3061" s="27"/>
    </row>
    <row r="3062" spans="1:7">
      <c r="A3062" s="27">
        <v>156</v>
      </c>
      <c r="B3062" s="27" t="s">
        <v>225</v>
      </c>
      <c r="C3062" s="27" t="s">
        <v>404</v>
      </c>
      <c r="D3062" s="27" t="s">
        <v>293</v>
      </c>
      <c r="E3062" s="27" t="s">
        <v>1681</v>
      </c>
      <c r="F3062" s="51">
        <v>341698</v>
      </c>
      <c r="G3062" s="27"/>
    </row>
    <row r="3063" spans="1:7">
      <c r="A3063" s="27">
        <v>156</v>
      </c>
      <c r="B3063" s="27" t="s">
        <v>225</v>
      </c>
      <c r="C3063" s="27" t="s">
        <v>404</v>
      </c>
      <c r="D3063" s="27" t="s">
        <v>307</v>
      </c>
      <c r="E3063" s="27" t="s">
        <v>1681</v>
      </c>
      <c r="F3063" s="51">
        <v>145600</v>
      </c>
      <c r="G3063" s="27"/>
    </row>
    <row r="3064" spans="1:7">
      <c r="A3064" s="27">
        <v>156</v>
      </c>
      <c r="B3064" s="27" t="s">
        <v>225</v>
      </c>
      <c r="C3064" s="27" t="s">
        <v>404</v>
      </c>
      <c r="D3064" s="27" t="s">
        <v>294</v>
      </c>
      <c r="E3064" s="27" t="s">
        <v>1681</v>
      </c>
      <c r="F3064" s="51">
        <v>155200</v>
      </c>
      <c r="G3064" s="27"/>
    </row>
    <row r="3065" spans="1:7">
      <c r="A3065" s="27">
        <v>156</v>
      </c>
      <c r="B3065" s="27" t="s">
        <v>225</v>
      </c>
      <c r="C3065" s="27" t="s">
        <v>404</v>
      </c>
      <c r="D3065" s="27" t="s">
        <v>318</v>
      </c>
      <c r="E3065" s="27" t="s">
        <v>1681</v>
      </c>
      <c r="F3065" s="51">
        <v>501595</v>
      </c>
      <c r="G3065" s="27"/>
    </row>
    <row r="3066" spans="1:7">
      <c r="A3066" s="27">
        <v>156</v>
      </c>
      <c r="B3066" s="27" t="s">
        <v>225</v>
      </c>
      <c r="C3066" s="27" t="s">
        <v>404</v>
      </c>
      <c r="D3066" s="27" t="s">
        <v>319</v>
      </c>
      <c r="E3066" s="27" t="s">
        <v>1681</v>
      </c>
      <c r="F3066" s="51">
        <v>119464</v>
      </c>
      <c r="G3066" s="27"/>
    </row>
    <row r="3067" spans="1:7">
      <c r="A3067" s="27">
        <v>156</v>
      </c>
      <c r="B3067" s="27" t="s">
        <v>225</v>
      </c>
      <c r="C3067" s="27" t="s">
        <v>404</v>
      </c>
      <c r="D3067" s="27" t="s">
        <v>296</v>
      </c>
      <c r="E3067" s="27" t="s">
        <v>1681</v>
      </c>
      <c r="F3067" s="51">
        <v>3439111</v>
      </c>
      <c r="G3067" s="27"/>
    </row>
    <row r="3068" spans="1:7">
      <c r="A3068" s="27">
        <v>156</v>
      </c>
      <c r="B3068" s="27" t="s">
        <v>225</v>
      </c>
      <c r="C3068" s="27" t="s">
        <v>404</v>
      </c>
      <c r="D3068" s="27" t="s">
        <v>400</v>
      </c>
      <c r="E3068" s="27" t="s">
        <v>1681</v>
      </c>
      <c r="F3068" s="51">
        <v>238506</v>
      </c>
      <c r="G3068" s="27"/>
    </row>
    <row r="3069" spans="1:7">
      <c r="A3069" s="27">
        <v>156</v>
      </c>
      <c r="B3069" s="27" t="s">
        <v>225</v>
      </c>
      <c r="C3069" s="27" t="s">
        <v>404</v>
      </c>
      <c r="D3069" s="27" t="s">
        <v>298</v>
      </c>
      <c r="E3069" s="27" t="s">
        <v>1681</v>
      </c>
      <c r="F3069" s="51">
        <v>386139</v>
      </c>
      <c r="G3069" s="27"/>
    </row>
    <row r="3070" spans="1:7">
      <c r="A3070" s="27">
        <v>156</v>
      </c>
      <c r="B3070" s="27" t="s">
        <v>225</v>
      </c>
      <c r="C3070" s="27" t="s">
        <v>404</v>
      </c>
      <c r="D3070" s="27" t="s">
        <v>401</v>
      </c>
      <c r="E3070" s="27" t="s">
        <v>1681</v>
      </c>
      <c r="F3070" s="51">
        <v>33179</v>
      </c>
      <c r="G3070" s="27"/>
    </row>
    <row r="3071" spans="1:7">
      <c r="A3071" s="27">
        <v>156</v>
      </c>
      <c r="B3071" s="27" t="s">
        <v>225</v>
      </c>
      <c r="C3071" s="27" t="s">
        <v>404</v>
      </c>
      <c r="D3071" s="27" t="s">
        <v>1347</v>
      </c>
      <c r="E3071" s="27" t="s">
        <v>1681</v>
      </c>
      <c r="F3071" s="51">
        <v>57956</v>
      </c>
      <c r="G3071" s="27"/>
    </row>
    <row r="3072" spans="1:7">
      <c r="A3072" s="27">
        <v>156</v>
      </c>
      <c r="B3072" s="27" t="s">
        <v>225</v>
      </c>
      <c r="C3072" s="27" t="s">
        <v>404</v>
      </c>
      <c r="D3072" s="27" t="s">
        <v>402</v>
      </c>
      <c r="E3072" s="27" t="s">
        <v>1681</v>
      </c>
      <c r="F3072" s="51">
        <v>898500</v>
      </c>
      <c r="G3072" s="27"/>
    </row>
    <row r="3073" spans="1:7">
      <c r="A3073" s="27">
        <v>156</v>
      </c>
      <c r="B3073" s="27" t="s">
        <v>225</v>
      </c>
      <c r="C3073" s="27" t="s">
        <v>404</v>
      </c>
      <c r="D3073" s="27" t="s">
        <v>299</v>
      </c>
      <c r="E3073" s="27" t="s">
        <v>1681</v>
      </c>
      <c r="F3073" s="51">
        <v>79216</v>
      </c>
      <c r="G3073" s="27"/>
    </row>
    <row r="3074" spans="1:7">
      <c r="A3074" s="27">
        <v>156</v>
      </c>
      <c r="B3074" s="27" t="s">
        <v>225</v>
      </c>
      <c r="C3074" s="27" t="s">
        <v>404</v>
      </c>
      <c r="D3074" s="27" t="s">
        <v>300</v>
      </c>
      <c r="E3074" s="27" t="s">
        <v>1681</v>
      </c>
      <c r="F3074" s="51">
        <v>40511</v>
      </c>
      <c r="G3074" s="27"/>
    </row>
    <row r="3075" spans="1:7">
      <c r="A3075" s="27">
        <v>157</v>
      </c>
      <c r="B3075" s="27" t="s">
        <v>100</v>
      </c>
      <c r="C3075" s="27" t="s">
        <v>227</v>
      </c>
      <c r="D3075" s="27" t="s">
        <v>408</v>
      </c>
      <c r="E3075" s="27" t="s">
        <v>1682</v>
      </c>
      <c r="F3075" s="51">
        <v>22620</v>
      </c>
      <c r="G3075" s="27"/>
    </row>
    <row r="3076" spans="1:7">
      <c r="A3076" s="27">
        <v>157</v>
      </c>
      <c r="B3076" s="27" t="s">
        <v>100</v>
      </c>
      <c r="C3076" s="27" t="s">
        <v>227</v>
      </c>
      <c r="D3076" s="27" t="s">
        <v>394</v>
      </c>
      <c r="E3076" s="27" t="s">
        <v>1682</v>
      </c>
      <c r="F3076" s="51">
        <v>182062</v>
      </c>
      <c r="G3076" s="27"/>
    </row>
    <row r="3077" spans="1:7">
      <c r="A3077" s="27">
        <v>157</v>
      </c>
      <c r="B3077" s="27" t="s">
        <v>100</v>
      </c>
      <c r="C3077" s="27" t="s">
        <v>227</v>
      </c>
      <c r="D3077" s="27" t="s">
        <v>396</v>
      </c>
      <c r="E3077" s="27" t="s">
        <v>1682</v>
      </c>
      <c r="F3077" s="51">
        <v>16320</v>
      </c>
      <c r="G3077" s="27"/>
    </row>
    <row r="3078" spans="1:7">
      <c r="A3078" s="27">
        <v>157</v>
      </c>
      <c r="B3078" s="27" t="s">
        <v>100</v>
      </c>
      <c r="C3078" s="27" t="s">
        <v>227</v>
      </c>
      <c r="D3078" s="27" t="s">
        <v>397</v>
      </c>
      <c r="E3078" s="27" t="s">
        <v>1682</v>
      </c>
      <c r="F3078" s="51">
        <v>16168</v>
      </c>
      <c r="G3078" s="27"/>
    </row>
    <row r="3079" spans="1:7">
      <c r="A3079" s="27">
        <v>157</v>
      </c>
      <c r="B3079" s="27" t="s">
        <v>100</v>
      </c>
      <c r="C3079" s="27" t="s">
        <v>227</v>
      </c>
      <c r="D3079" s="27" t="s">
        <v>411</v>
      </c>
      <c r="E3079" s="27" t="s">
        <v>1682</v>
      </c>
      <c r="F3079" s="51">
        <v>915</v>
      </c>
      <c r="G3079" s="27"/>
    </row>
    <row r="3080" spans="1:7">
      <c r="A3080" s="27">
        <v>157</v>
      </c>
      <c r="B3080" s="27" t="s">
        <v>100</v>
      </c>
      <c r="C3080" s="27" t="s">
        <v>227</v>
      </c>
      <c r="D3080" s="27" t="s">
        <v>412</v>
      </c>
      <c r="E3080" s="27" t="s">
        <v>1682</v>
      </c>
      <c r="F3080" s="51">
        <v>5000</v>
      </c>
      <c r="G3080" s="27"/>
    </row>
    <row r="3081" spans="1:7">
      <c r="A3081" s="27">
        <v>157</v>
      </c>
      <c r="B3081" s="27" t="s">
        <v>100</v>
      </c>
      <c r="C3081" s="27" t="s">
        <v>227</v>
      </c>
      <c r="D3081" s="27" t="s">
        <v>398</v>
      </c>
      <c r="E3081" s="27" t="s">
        <v>1682</v>
      </c>
      <c r="F3081" s="51">
        <v>4238</v>
      </c>
      <c r="G3081" s="27"/>
    </row>
    <row r="3082" spans="1:7">
      <c r="A3082" s="27">
        <v>157</v>
      </c>
      <c r="B3082" s="27" t="s">
        <v>100</v>
      </c>
      <c r="C3082" s="27" t="s">
        <v>227</v>
      </c>
      <c r="D3082" s="27" t="s">
        <v>415</v>
      </c>
      <c r="E3082" s="27" t="s">
        <v>1682</v>
      </c>
      <c r="F3082" s="51">
        <v>1695</v>
      </c>
      <c r="G3082" s="27"/>
    </row>
    <row r="3083" spans="1:7">
      <c r="A3083" s="27">
        <v>157</v>
      </c>
      <c r="B3083" s="27" t="s">
        <v>100</v>
      </c>
      <c r="C3083" s="27" t="s">
        <v>227</v>
      </c>
      <c r="D3083" s="27" t="s">
        <v>334</v>
      </c>
      <c r="E3083" s="27" t="s">
        <v>1682</v>
      </c>
      <c r="F3083" s="51">
        <v>9159</v>
      </c>
      <c r="G3083" s="27"/>
    </row>
    <row r="3084" spans="1:7">
      <c r="A3084" s="27">
        <v>157</v>
      </c>
      <c r="B3084" s="27" t="s">
        <v>100</v>
      </c>
      <c r="C3084" s="27" t="s">
        <v>227</v>
      </c>
      <c r="D3084" s="27" t="s">
        <v>291</v>
      </c>
      <c r="E3084" s="27" t="s">
        <v>1681</v>
      </c>
      <c r="F3084" s="51">
        <v>8401</v>
      </c>
      <c r="G3084" s="27"/>
    </row>
    <row r="3085" spans="1:7">
      <c r="A3085" s="27">
        <v>157</v>
      </c>
      <c r="B3085" s="27" t="s">
        <v>100</v>
      </c>
      <c r="C3085" s="27" t="s">
        <v>227</v>
      </c>
      <c r="D3085" s="27" t="s">
        <v>399</v>
      </c>
      <c r="E3085" s="27" t="s">
        <v>1681</v>
      </c>
      <c r="F3085" s="51">
        <v>546660</v>
      </c>
      <c r="G3085" s="27"/>
    </row>
    <row r="3086" spans="1:7">
      <c r="A3086" s="27">
        <v>157</v>
      </c>
      <c r="B3086" s="27" t="s">
        <v>100</v>
      </c>
      <c r="C3086" s="27" t="s">
        <v>227</v>
      </c>
      <c r="D3086" s="27" t="s">
        <v>295</v>
      </c>
      <c r="E3086" s="27" t="s">
        <v>1681</v>
      </c>
      <c r="F3086" s="51">
        <v>40072</v>
      </c>
      <c r="G3086" s="27"/>
    </row>
    <row r="3087" spans="1:7">
      <c r="A3087" s="27">
        <v>157</v>
      </c>
      <c r="B3087" s="27" t="s">
        <v>100</v>
      </c>
      <c r="C3087" s="27" t="s">
        <v>227</v>
      </c>
      <c r="D3087" s="27" t="s">
        <v>296</v>
      </c>
      <c r="E3087" s="27" t="s">
        <v>1681</v>
      </c>
      <c r="F3087" s="51">
        <v>300556</v>
      </c>
      <c r="G3087" s="27"/>
    </row>
    <row r="3088" spans="1:7">
      <c r="A3088" s="27">
        <v>157</v>
      </c>
      <c r="B3088" s="27" t="s">
        <v>100</v>
      </c>
      <c r="C3088" s="27" t="s">
        <v>227</v>
      </c>
      <c r="D3088" s="27" t="s">
        <v>400</v>
      </c>
      <c r="E3088" s="27" t="s">
        <v>1681</v>
      </c>
      <c r="F3088" s="51">
        <v>456215</v>
      </c>
      <c r="G3088" s="27"/>
    </row>
    <row r="3089" spans="1:7">
      <c r="A3089" s="27">
        <v>157</v>
      </c>
      <c r="B3089" s="27" t="s">
        <v>100</v>
      </c>
      <c r="C3089" s="27" t="s">
        <v>227</v>
      </c>
      <c r="D3089" s="27" t="s">
        <v>401</v>
      </c>
      <c r="E3089" s="27" t="s">
        <v>1681</v>
      </c>
      <c r="F3089" s="51">
        <v>14975</v>
      </c>
      <c r="G3089" s="27"/>
    </row>
    <row r="3090" spans="1:7">
      <c r="A3090" s="27">
        <v>157</v>
      </c>
      <c r="B3090" s="27" t="s">
        <v>100</v>
      </c>
      <c r="C3090" s="27" t="s">
        <v>227</v>
      </c>
      <c r="D3090" s="27" t="s">
        <v>402</v>
      </c>
      <c r="E3090" s="27" t="s">
        <v>1681</v>
      </c>
      <c r="F3090" s="51">
        <v>833</v>
      </c>
      <c r="G3090" s="27"/>
    </row>
    <row r="3091" spans="1:7">
      <c r="A3091" s="27">
        <v>157</v>
      </c>
      <c r="B3091" s="27" t="s">
        <v>100</v>
      </c>
      <c r="C3091" s="27" t="s">
        <v>227</v>
      </c>
      <c r="D3091" s="27" t="s">
        <v>300</v>
      </c>
      <c r="E3091" s="27" t="s">
        <v>1681</v>
      </c>
      <c r="F3091" s="51">
        <v>14000</v>
      </c>
      <c r="G3091" s="27"/>
    </row>
    <row r="3092" spans="1:7">
      <c r="A3092" s="27">
        <v>158</v>
      </c>
      <c r="B3092" s="27" t="s">
        <v>101</v>
      </c>
      <c r="C3092" s="27" t="s">
        <v>227</v>
      </c>
      <c r="D3092" s="27" t="s">
        <v>406</v>
      </c>
      <c r="E3092" s="27" t="s">
        <v>1682</v>
      </c>
      <c r="F3092" s="51">
        <v>36541</v>
      </c>
      <c r="G3092" s="27"/>
    </row>
    <row r="3093" spans="1:7">
      <c r="A3093" s="27">
        <v>158</v>
      </c>
      <c r="B3093" s="27" t="s">
        <v>101</v>
      </c>
      <c r="C3093" s="27" t="s">
        <v>227</v>
      </c>
      <c r="D3093" s="27" t="s">
        <v>408</v>
      </c>
      <c r="E3093" s="27" t="s">
        <v>1682</v>
      </c>
      <c r="F3093" s="51">
        <v>588515</v>
      </c>
      <c r="G3093" s="27"/>
    </row>
    <row r="3094" spans="1:7">
      <c r="A3094" s="27">
        <v>158</v>
      </c>
      <c r="B3094" s="27" t="s">
        <v>101</v>
      </c>
      <c r="C3094" s="27" t="s">
        <v>227</v>
      </c>
      <c r="D3094" s="27" t="s">
        <v>394</v>
      </c>
      <c r="E3094" s="27" t="s">
        <v>1682</v>
      </c>
      <c r="F3094" s="51">
        <v>662233</v>
      </c>
      <c r="G3094" s="27"/>
    </row>
    <row r="3095" spans="1:7">
      <c r="A3095" s="27">
        <v>158</v>
      </c>
      <c r="B3095" s="27" t="s">
        <v>101</v>
      </c>
      <c r="C3095" s="27" t="s">
        <v>227</v>
      </c>
      <c r="D3095" s="27" t="s">
        <v>396</v>
      </c>
      <c r="E3095" s="27" t="s">
        <v>1682</v>
      </c>
      <c r="F3095" s="51">
        <v>48505</v>
      </c>
      <c r="G3095" s="27"/>
    </row>
    <row r="3096" spans="1:7">
      <c r="A3096" s="27">
        <v>158</v>
      </c>
      <c r="B3096" s="27" t="s">
        <v>101</v>
      </c>
      <c r="C3096" s="27" t="s">
        <v>227</v>
      </c>
      <c r="D3096" s="27" t="s">
        <v>397</v>
      </c>
      <c r="E3096" s="27" t="s">
        <v>1682</v>
      </c>
      <c r="F3096" s="51">
        <v>225340</v>
      </c>
      <c r="G3096" s="27"/>
    </row>
    <row r="3097" spans="1:7">
      <c r="A3097" s="27">
        <v>158</v>
      </c>
      <c r="B3097" s="27" t="s">
        <v>101</v>
      </c>
      <c r="C3097" s="27" t="s">
        <v>227</v>
      </c>
      <c r="D3097" s="27" t="s">
        <v>333</v>
      </c>
      <c r="E3097" s="27" t="s">
        <v>1682</v>
      </c>
      <c r="F3097" s="51">
        <v>2820</v>
      </c>
      <c r="G3097" s="27"/>
    </row>
    <row r="3098" spans="1:7">
      <c r="A3098" s="27">
        <v>158</v>
      </c>
      <c r="B3098" s="27" t="s">
        <v>101</v>
      </c>
      <c r="C3098" s="27" t="s">
        <v>227</v>
      </c>
      <c r="D3098" s="27" t="s">
        <v>411</v>
      </c>
      <c r="E3098" s="27" t="s">
        <v>1682</v>
      </c>
      <c r="F3098" s="51">
        <v>1100</v>
      </c>
      <c r="G3098" s="27"/>
    </row>
    <row r="3099" spans="1:7">
      <c r="A3099" s="27">
        <v>158</v>
      </c>
      <c r="B3099" s="27" t="s">
        <v>101</v>
      </c>
      <c r="C3099" s="27" t="s">
        <v>227</v>
      </c>
      <c r="D3099" s="27" t="s">
        <v>412</v>
      </c>
      <c r="E3099" s="27" t="s">
        <v>1682</v>
      </c>
      <c r="F3099" s="51">
        <v>83069</v>
      </c>
      <c r="G3099" s="27"/>
    </row>
    <row r="3100" spans="1:7">
      <c r="A3100" s="27">
        <v>158</v>
      </c>
      <c r="B3100" s="27" t="s">
        <v>101</v>
      </c>
      <c r="C3100" s="27" t="s">
        <v>227</v>
      </c>
      <c r="D3100" s="27" t="s">
        <v>413</v>
      </c>
      <c r="E3100" s="27" t="s">
        <v>1682</v>
      </c>
      <c r="F3100" s="51">
        <v>7430</v>
      </c>
      <c r="G3100" s="27"/>
    </row>
    <row r="3101" spans="1:7">
      <c r="A3101" s="27">
        <v>158</v>
      </c>
      <c r="B3101" s="27" t="s">
        <v>101</v>
      </c>
      <c r="C3101" s="27" t="s">
        <v>227</v>
      </c>
      <c r="D3101" s="27" t="s">
        <v>398</v>
      </c>
      <c r="E3101" s="27" t="s">
        <v>1682</v>
      </c>
      <c r="F3101" s="51">
        <v>17230</v>
      </c>
      <c r="G3101" s="27"/>
    </row>
    <row r="3102" spans="1:7">
      <c r="A3102" s="27">
        <v>158</v>
      </c>
      <c r="B3102" s="27" t="s">
        <v>101</v>
      </c>
      <c r="C3102" s="27" t="s">
        <v>227</v>
      </c>
      <c r="D3102" s="27" t="s">
        <v>415</v>
      </c>
      <c r="E3102" s="27" t="s">
        <v>1682</v>
      </c>
      <c r="F3102" s="51">
        <v>8912</v>
      </c>
      <c r="G3102" s="27"/>
    </row>
    <row r="3103" spans="1:7">
      <c r="A3103" s="27">
        <v>158</v>
      </c>
      <c r="B3103" s="27" t="s">
        <v>101</v>
      </c>
      <c r="C3103" s="27" t="s">
        <v>227</v>
      </c>
      <c r="D3103" s="27" t="s">
        <v>291</v>
      </c>
      <c r="E3103" s="27" t="s">
        <v>1681</v>
      </c>
      <c r="F3103" s="51">
        <v>13965</v>
      </c>
      <c r="G3103" s="27"/>
    </row>
    <row r="3104" spans="1:7">
      <c r="A3104" s="27">
        <v>158</v>
      </c>
      <c r="B3104" s="27" t="s">
        <v>101</v>
      </c>
      <c r="C3104" s="27" t="s">
        <v>227</v>
      </c>
      <c r="D3104" s="27" t="s">
        <v>399</v>
      </c>
      <c r="E3104" s="27" t="s">
        <v>1681</v>
      </c>
      <c r="F3104" s="51">
        <v>966356</v>
      </c>
      <c r="G3104" s="27"/>
    </row>
    <row r="3105" spans="1:7">
      <c r="A3105" s="27">
        <v>158</v>
      </c>
      <c r="B3105" s="27" t="s">
        <v>101</v>
      </c>
      <c r="C3105" s="27" t="s">
        <v>227</v>
      </c>
      <c r="D3105" s="27" t="s">
        <v>293</v>
      </c>
      <c r="E3105" s="27" t="s">
        <v>1681</v>
      </c>
      <c r="F3105" s="51">
        <v>60000</v>
      </c>
      <c r="G3105" s="27"/>
    </row>
    <row r="3106" spans="1:7">
      <c r="A3106" s="27">
        <v>158</v>
      </c>
      <c r="B3106" s="27" t="s">
        <v>101</v>
      </c>
      <c r="C3106" s="27" t="s">
        <v>227</v>
      </c>
      <c r="D3106" s="27" t="s">
        <v>294</v>
      </c>
      <c r="E3106" s="27" t="s">
        <v>1681</v>
      </c>
      <c r="F3106" s="51">
        <v>3840</v>
      </c>
      <c r="G3106" s="27"/>
    </row>
    <row r="3107" spans="1:7">
      <c r="A3107" s="27">
        <v>158</v>
      </c>
      <c r="B3107" s="27" t="s">
        <v>101</v>
      </c>
      <c r="C3107" s="27" t="s">
        <v>227</v>
      </c>
      <c r="D3107" s="27" t="s">
        <v>295</v>
      </c>
      <c r="E3107" s="27" t="s">
        <v>1681</v>
      </c>
      <c r="F3107" s="51">
        <v>96674</v>
      </c>
      <c r="G3107" s="27"/>
    </row>
    <row r="3108" spans="1:7">
      <c r="A3108" s="27">
        <v>158</v>
      </c>
      <c r="B3108" s="27" t="s">
        <v>101</v>
      </c>
      <c r="C3108" s="27" t="s">
        <v>227</v>
      </c>
      <c r="D3108" s="27" t="s">
        <v>296</v>
      </c>
      <c r="E3108" s="27" t="s">
        <v>1681</v>
      </c>
      <c r="F3108" s="51">
        <v>1438371</v>
      </c>
      <c r="G3108" s="27"/>
    </row>
    <row r="3109" spans="1:7">
      <c r="A3109" s="27">
        <v>158</v>
      </c>
      <c r="B3109" s="27" t="s">
        <v>101</v>
      </c>
      <c r="C3109" s="27" t="s">
        <v>227</v>
      </c>
      <c r="D3109" s="27" t="s">
        <v>400</v>
      </c>
      <c r="E3109" s="27" t="s">
        <v>1681</v>
      </c>
      <c r="F3109" s="51">
        <v>480502</v>
      </c>
      <c r="G3109" s="27"/>
    </row>
    <row r="3110" spans="1:7">
      <c r="A3110" s="27">
        <v>158</v>
      </c>
      <c r="B3110" s="27" t="s">
        <v>101</v>
      </c>
      <c r="C3110" s="27" t="s">
        <v>227</v>
      </c>
      <c r="D3110" s="27" t="s">
        <v>298</v>
      </c>
      <c r="E3110" s="27" t="s">
        <v>1681</v>
      </c>
      <c r="F3110" s="51">
        <v>72009</v>
      </c>
      <c r="G3110" s="27"/>
    </row>
    <row r="3111" spans="1:7">
      <c r="A3111" s="27">
        <v>158</v>
      </c>
      <c r="B3111" s="27" t="s">
        <v>101</v>
      </c>
      <c r="C3111" s="27" t="s">
        <v>227</v>
      </c>
      <c r="D3111" s="27" t="s">
        <v>401</v>
      </c>
      <c r="E3111" s="27" t="s">
        <v>1681</v>
      </c>
      <c r="F3111" s="51">
        <v>14994</v>
      </c>
      <c r="G3111" s="27"/>
    </row>
    <row r="3112" spans="1:7">
      <c r="A3112" s="27">
        <v>158</v>
      </c>
      <c r="B3112" s="27" t="s">
        <v>101</v>
      </c>
      <c r="C3112" s="27" t="s">
        <v>227</v>
      </c>
      <c r="D3112" s="27" t="s">
        <v>402</v>
      </c>
      <c r="E3112" s="27" t="s">
        <v>1681</v>
      </c>
      <c r="F3112" s="51">
        <v>833</v>
      </c>
      <c r="G3112" s="27"/>
    </row>
    <row r="3113" spans="1:7">
      <c r="A3113" s="27">
        <v>158</v>
      </c>
      <c r="B3113" s="27" t="s">
        <v>101</v>
      </c>
      <c r="C3113" s="27" t="s">
        <v>227</v>
      </c>
      <c r="D3113" s="27" t="s">
        <v>300</v>
      </c>
      <c r="E3113" s="27" t="s">
        <v>1681</v>
      </c>
      <c r="F3113" s="51">
        <v>21466</v>
      </c>
      <c r="G3113" s="27"/>
    </row>
    <row r="3114" spans="1:7">
      <c r="A3114" s="27">
        <v>159</v>
      </c>
      <c r="B3114" s="27" t="s">
        <v>102</v>
      </c>
      <c r="C3114" s="27" t="s">
        <v>311</v>
      </c>
      <c r="D3114" s="27" t="s">
        <v>406</v>
      </c>
      <c r="E3114" s="27" t="s">
        <v>1682</v>
      </c>
      <c r="F3114" s="51">
        <v>23173</v>
      </c>
      <c r="G3114" s="27"/>
    </row>
    <row r="3115" spans="1:7">
      <c r="A3115" s="27">
        <v>159</v>
      </c>
      <c r="B3115" s="27" t="s">
        <v>102</v>
      </c>
      <c r="C3115" s="27" t="s">
        <v>311</v>
      </c>
      <c r="D3115" s="27" t="s">
        <v>408</v>
      </c>
      <c r="E3115" s="27" t="s">
        <v>1682</v>
      </c>
      <c r="F3115" s="51">
        <v>179451</v>
      </c>
      <c r="G3115" s="27"/>
    </row>
    <row r="3116" spans="1:7">
      <c r="A3116" s="27">
        <v>159</v>
      </c>
      <c r="B3116" s="27" t="s">
        <v>102</v>
      </c>
      <c r="C3116" s="27" t="s">
        <v>311</v>
      </c>
      <c r="D3116" s="27" t="s">
        <v>394</v>
      </c>
      <c r="E3116" s="27" t="s">
        <v>1682</v>
      </c>
      <c r="F3116" s="51">
        <v>606636</v>
      </c>
      <c r="G3116" s="27"/>
    </row>
    <row r="3117" spans="1:7">
      <c r="A3117" s="27">
        <v>159</v>
      </c>
      <c r="B3117" s="27" t="s">
        <v>102</v>
      </c>
      <c r="C3117" s="27" t="s">
        <v>311</v>
      </c>
      <c r="D3117" s="27" t="s">
        <v>397</v>
      </c>
      <c r="E3117" s="27" t="s">
        <v>1682</v>
      </c>
      <c r="F3117" s="51">
        <v>115231</v>
      </c>
      <c r="G3117" s="27"/>
    </row>
    <row r="3118" spans="1:7">
      <c r="A3118" s="27">
        <v>159</v>
      </c>
      <c r="B3118" s="27" t="s">
        <v>102</v>
      </c>
      <c r="C3118" s="27" t="s">
        <v>311</v>
      </c>
      <c r="D3118" s="27" t="s">
        <v>333</v>
      </c>
      <c r="E3118" s="27" t="s">
        <v>1682</v>
      </c>
      <c r="F3118" s="51">
        <v>11943</v>
      </c>
      <c r="G3118" s="27"/>
    </row>
    <row r="3119" spans="1:7">
      <c r="A3119" s="27">
        <v>159</v>
      </c>
      <c r="B3119" s="27" t="s">
        <v>102</v>
      </c>
      <c r="C3119" s="27" t="s">
        <v>311</v>
      </c>
      <c r="D3119" s="27" t="s">
        <v>411</v>
      </c>
      <c r="E3119" s="27" t="s">
        <v>1682</v>
      </c>
      <c r="F3119" s="51">
        <v>1000</v>
      </c>
      <c r="G3119" s="27"/>
    </row>
    <row r="3120" spans="1:7">
      <c r="A3120" s="27">
        <v>159</v>
      </c>
      <c r="B3120" s="27" t="s">
        <v>102</v>
      </c>
      <c r="C3120" s="27" t="s">
        <v>311</v>
      </c>
      <c r="D3120" s="27" t="s">
        <v>412</v>
      </c>
      <c r="E3120" s="27" t="s">
        <v>1682</v>
      </c>
      <c r="F3120" s="51">
        <v>23000</v>
      </c>
      <c r="G3120" s="27"/>
    </row>
    <row r="3121" spans="1:7">
      <c r="A3121" s="27">
        <v>159</v>
      </c>
      <c r="B3121" s="27" t="s">
        <v>102</v>
      </c>
      <c r="C3121" s="27" t="s">
        <v>311</v>
      </c>
      <c r="D3121" s="27" t="s">
        <v>413</v>
      </c>
      <c r="E3121" s="27" t="s">
        <v>1682</v>
      </c>
      <c r="F3121" s="51">
        <v>8350</v>
      </c>
      <c r="G3121" s="27"/>
    </row>
    <row r="3122" spans="1:7">
      <c r="A3122" s="27">
        <v>159</v>
      </c>
      <c r="B3122" s="27" t="s">
        <v>102</v>
      </c>
      <c r="C3122" s="27" t="s">
        <v>311</v>
      </c>
      <c r="D3122" s="27" t="s">
        <v>398</v>
      </c>
      <c r="E3122" s="27" t="s">
        <v>1682</v>
      </c>
      <c r="F3122" s="51">
        <v>13766</v>
      </c>
      <c r="G3122" s="27"/>
    </row>
    <row r="3123" spans="1:7">
      <c r="A3123" s="27">
        <v>159</v>
      </c>
      <c r="B3123" s="27" t="s">
        <v>102</v>
      </c>
      <c r="C3123" s="27" t="s">
        <v>311</v>
      </c>
      <c r="D3123" s="27" t="s">
        <v>415</v>
      </c>
      <c r="E3123" s="27" t="s">
        <v>1682</v>
      </c>
      <c r="F3123" s="51">
        <v>26524</v>
      </c>
      <c r="G3123" s="27"/>
    </row>
    <row r="3124" spans="1:7">
      <c r="A3124" s="27">
        <v>159</v>
      </c>
      <c r="B3124" s="27" t="s">
        <v>102</v>
      </c>
      <c r="C3124" s="27" t="s">
        <v>311</v>
      </c>
      <c r="D3124" s="27" t="s">
        <v>334</v>
      </c>
      <c r="E3124" s="27" t="s">
        <v>1682</v>
      </c>
      <c r="F3124" s="51">
        <v>16002</v>
      </c>
      <c r="G3124" s="27"/>
    </row>
    <row r="3125" spans="1:7">
      <c r="A3125" s="27">
        <v>159</v>
      </c>
      <c r="B3125" s="27" t="s">
        <v>102</v>
      </c>
      <c r="C3125" s="27" t="s">
        <v>311</v>
      </c>
      <c r="D3125" s="27" t="s">
        <v>291</v>
      </c>
      <c r="E3125" s="27" t="s">
        <v>1681</v>
      </c>
      <c r="F3125" s="51">
        <v>12455</v>
      </c>
      <c r="G3125" s="27"/>
    </row>
    <row r="3126" spans="1:7">
      <c r="A3126" s="27">
        <v>159</v>
      </c>
      <c r="B3126" s="27" t="s">
        <v>102</v>
      </c>
      <c r="C3126" s="27" t="s">
        <v>311</v>
      </c>
      <c r="D3126" s="27" t="s">
        <v>399</v>
      </c>
      <c r="E3126" s="27" t="s">
        <v>1681</v>
      </c>
      <c r="F3126" s="51">
        <v>3742533</v>
      </c>
      <c r="G3126" s="27"/>
    </row>
    <row r="3127" spans="1:7">
      <c r="A3127" s="27">
        <v>159</v>
      </c>
      <c r="B3127" s="27" t="s">
        <v>102</v>
      </c>
      <c r="C3127" s="27" t="s">
        <v>311</v>
      </c>
      <c r="D3127" s="27" t="s">
        <v>307</v>
      </c>
      <c r="E3127" s="27" t="s">
        <v>1681</v>
      </c>
      <c r="F3127" s="51">
        <v>49200</v>
      </c>
      <c r="G3127" s="27"/>
    </row>
    <row r="3128" spans="1:7">
      <c r="A3128" s="27">
        <v>159</v>
      </c>
      <c r="B3128" s="27" t="s">
        <v>102</v>
      </c>
      <c r="C3128" s="27" t="s">
        <v>311</v>
      </c>
      <c r="D3128" s="27" t="s">
        <v>294</v>
      </c>
      <c r="E3128" s="27" t="s">
        <v>1681</v>
      </c>
      <c r="F3128" s="51">
        <v>18136</v>
      </c>
      <c r="G3128" s="27"/>
    </row>
    <row r="3129" spans="1:7">
      <c r="A3129" s="27">
        <v>159</v>
      </c>
      <c r="B3129" s="27" t="s">
        <v>102</v>
      </c>
      <c r="C3129" s="27" t="s">
        <v>311</v>
      </c>
      <c r="D3129" s="27" t="s">
        <v>295</v>
      </c>
      <c r="E3129" s="27" t="s">
        <v>1681</v>
      </c>
      <c r="F3129" s="51">
        <v>32000</v>
      </c>
      <c r="G3129" s="27"/>
    </row>
    <row r="3130" spans="1:7">
      <c r="A3130" s="27">
        <v>159</v>
      </c>
      <c r="B3130" s="27" t="s">
        <v>102</v>
      </c>
      <c r="C3130" s="27" t="s">
        <v>311</v>
      </c>
      <c r="D3130" s="27" t="s">
        <v>304</v>
      </c>
      <c r="E3130" s="27" t="s">
        <v>1681</v>
      </c>
      <c r="F3130" s="51">
        <v>14794</v>
      </c>
      <c r="G3130" s="27"/>
    </row>
    <row r="3131" spans="1:7">
      <c r="A3131" s="27">
        <v>159</v>
      </c>
      <c r="B3131" s="27" t="s">
        <v>102</v>
      </c>
      <c r="C3131" s="27" t="s">
        <v>311</v>
      </c>
      <c r="D3131" s="27" t="s">
        <v>296</v>
      </c>
      <c r="E3131" s="27" t="s">
        <v>1681</v>
      </c>
      <c r="F3131" s="51">
        <v>2311904</v>
      </c>
      <c r="G3131" s="27"/>
    </row>
    <row r="3132" spans="1:7">
      <c r="A3132" s="27">
        <v>159</v>
      </c>
      <c r="B3132" s="27" t="s">
        <v>102</v>
      </c>
      <c r="C3132" s="27" t="s">
        <v>311</v>
      </c>
      <c r="D3132" s="27" t="s">
        <v>400</v>
      </c>
      <c r="E3132" s="27" t="s">
        <v>1681</v>
      </c>
      <c r="F3132" s="51">
        <v>384319</v>
      </c>
      <c r="G3132" s="27"/>
    </row>
    <row r="3133" spans="1:7">
      <c r="A3133" s="27">
        <v>159</v>
      </c>
      <c r="B3133" s="27" t="s">
        <v>102</v>
      </c>
      <c r="C3133" s="27" t="s">
        <v>311</v>
      </c>
      <c r="D3133" s="27" t="s">
        <v>298</v>
      </c>
      <c r="E3133" s="27" t="s">
        <v>1681</v>
      </c>
      <c r="F3133" s="51">
        <v>17286</v>
      </c>
      <c r="G3133" s="27"/>
    </row>
    <row r="3134" spans="1:7">
      <c r="A3134" s="27">
        <v>159</v>
      </c>
      <c r="B3134" s="27" t="s">
        <v>102</v>
      </c>
      <c r="C3134" s="27" t="s">
        <v>311</v>
      </c>
      <c r="D3134" s="27" t="s">
        <v>401</v>
      </c>
      <c r="E3134" s="27" t="s">
        <v>1681</v>
      </c>
      <c r="F3134" s="51">
        <v>29581</v>
      </c>
      <c r="G3134" s="27"/>
    </row>
    <row r="3135" spans="1:7">
      <c r="A3135" s="27">
        <v>159</v>
      </c>
      <c r="B3135" s="27" t="s">
        <v>102</v>
      </c>
      <c r="C3135" s="27" t="s">
        <v>311</v>
      </c>
      <c r="D3135" s="27" t="s">
        <v>402</v>
      </c>
      <c r="E3135" s="27" t="s">
        <v>1681</v>
      </c>
      <c r="F3135" s="51">
        <v>140035</v>
      </c>
      <c r="G3135" s="27"/>
    </row>
    <row r="3136" spans="1:7">
      <c r="A3136" s="27">
        <v>159</v>
      </c>
      <c r="B3136" s="27" t="s">
        <v>102</v>
      </c>
      <c r="C3136" s="27" t="s">
        <v>311</v>
      </c>
      <c r="D3136" s="27" t="s">
        <v>299</v>
      </c>
      <c r="E3136" s="27" t="s">
        <v>1681</v>
      </c>
      <c r="F3136" s="51">
        <v>23373</v>
      </c>
      <c r="G3136" s="27"/>
    </row>
    <row r="3137" spans="1:7">
      <c r="A3137" s="27">
        <v>159</v>
      </c>
      <c r="B3137" s="27" t="s">
        <v>102</v>
      </c>
      <c r="C3137" s="27" t="s">
        <v>311</v>
      </c>
      <c r="D3137" s="27" t="s">
        <v>300</v>
      </c>
      <c r="E3137" s="27" t="s">
        <v>1681</v>
      </c>
      <c r="F3137" s="51">
        <v>20975</v>
      </c>
      <c r="G3137" s="27"/>
    </row>
    <row r="3138" spans="1:7">
      <c r="A3138" s="27">
        <v>160</v>
      </c>
      <c r="B3138" s="27" t="s">
        <v>103</v>
      </c>
      <c r="C3138" s="27" t="s">
        <v>302</v>
      </c>
      <c r="D3138" s="27" t="s">
        <v>408</v>
      </c>
      <c r="E3138" s="27" t="s">
        <v>1682</v>
      </c>
      <c r="F3138" s="51">
        <v>17901</v>
      </c>
      <c r="G3138" s="27"/>
    </row>
    <row r="3139" spans="1:7">
      <c r="A3139" s="27">
        <v>160</v>
      </c>
      <c r="B3139" s="27" t="s">
        <v>103</v>
      </c>
      <c r="C3139" s="27" t="s">
        <v>302</v>
      </c>
      <c r="D3139" s="27" t="s">
        <v>394</v>
      </c>
      <c r="E3139" s="27" t="s">
        <v>1682</v>
      </c>
      <c r="F3139" s="51">
        <v>89323</v>
      </c>
      <c r="G3139" s="27"/>
    </row>
    <row r="3140" spans="1:7">
      <c r="A3140" s="27">
        <v>160</v>
      </c>
      <c r="B3140" s="27" t="s">
        <v>103</v>
      </c>
      <c r="C3140" s="27" t="s">
        <v>302</v>
      </c>
      <c r="D3140" s="27" t="s">
        <v>397</v>
      </c>
      <c r="E3140" s="27" t="s">
        <v>1682</v>
      </c>
      <c r="F3140" s="51">
        <v>15670</v>
      </c>
      <c r="G3140" s="27"/>
    </row>
    <row r="3141" spans="1:7">
      <c r="A3141" s="27">
        <v>160</v>
      </c>
      <c r="B3141" s="27" t="s">
        <v>103</v>
      </c>
      <c r="C3141" s="27" t="s">
        <v>302</v>
      </c>
      <c r="D3141" s="27" t="s">
        <v>411</v>
      </c>
      <c r="E3141" s="27" t="s">
        <v>1682</v>
      </c>
      <c r="F3141" s="51">
        <v>25000</v>
      </c>
      <c r="G3141" s="27"/>
    </row>
    <row r="3142" spans="1:7">
      <c r="A3142" s="27">
        <v>160</v>
      </c>
      <c r="B3142" s="27" t="s">
        <v>103</v>
      </c>
      <c r="C3142" s="27" t="s">
        <v>302</v>
      </c>
      <c r="D3142" s="27" t="s">
        <v>398</v>
      </c>
      <c r="E3142" s="27" t="s">
        <v>1682</v>
      </c>
      <c r="F3142" s="51">
        <v>2196</v>
      </c>
      <c r="G3142" s="27"/>
    </row>
    <row r="3143" spans="1:7">
      <c r="A3143" s="27">
        <v>160</v>
      </c>
      <c r="B3143" s="27" t="s">
        <v>103</v>
      </c>
      <c r="C3143" s="27" t="s">
        <v>302</v>
      </c>
      <c r="D3143" s="27" t="s">
        <v>415</v>
      </c>
      <c r="E3143" s="27" t="s">
        <v>1682</v>
      </c>
      <c r="F3143" s="51">
        <v>3627</v>
      </c>
      <c r="G3143" s="27"/>
    </row>
    <row r="3144" spans="1:7">
      <c r="A3144" s="27">
        <v>160</v>
      </c>
      <c r="B3144" s="27" t="s">
        <v>103</v>
      </c>
      <c r="C3144" s="27" t="s">
        <v>302</v>
      </c>
      <c r="D3144" s="27" t="s">
        <v>291</v>
      </c>
      <c r="E3144" s="27" t="s">
        <v>1681</v>
      </c>
      <c r="F3144" s="51">
        <v>1895</v>
      </c>
      <c r="G3144" s="27"/>
    </row>
    <row r="3145" spans="1:7">
      <c r="A3145" s="27">
        <v>160</v>
      </c>
      <c r="B3145" s="27" t="s">
        <v>103</v>
      </c>
      <c r="C3145" s="27" t="s">
        <v>302</v>
      </c>
      <c r="D3145" s="27" t="s">
        <v>399</v>
      </c>
      <c r="E3145" s="27" t="s">
        <v>1681</v>
      </c>
      <c r="F3145" s="51">
        <v>3152667</v>
      </c>
      <c r="G3145" s="27"/>
    </row>
    <row r="3146" spans="1:7">
      <c r="A3146" s="27">
        <v>160</v>
      </c>
      <c r="B3146" s="27" t="s">
        <v>103</v>
      </c>
      <c r="C3146" s="27" t="s">
        <v>302</v>
      </c>
      <c r="D3146" s="27" t="s">
        <v>296</v>
      </c>
      <c r="E3146" s="27" t="s">
        <v>1681</v>
      </c>
      <c r="F3146" s="51">
        <v>197670</v>
      </c>
      <c r="G3146" s="27"/>
    </row>
    <row r="3147" spans="1:7">
      <c r="A3147" s="27">
        <v>160</v>
      </c>
      <c r="B3147" s="27" t="s">
        <v>103</v>
      </c>
      <c r="C3147" s="27" t="s">
        <v>302</v>
      </c>
      <c r="D3147" s="27" t="s">
        <v>401</v>
      </c>
      <c r="E3147" s="27" t="s">
        <v>1681</v>
      </c>
      <c r="F3147" s="51">
        <v>30334</v>
      </c>
      <c r="G3147" s="27"/>
    </row>
    <row r="3148" spans="1:7">
      <c r="A3148" s="27">
        <v>160</v>
      </c>
      <c r="B3148" s="27" t="s">
        <v>103</v>
      </c>
      <c r="C3148" s="27" t="s">
        <v>302</v>
      </c>
      <c r="D3148" s="27" t="s">
        <v>402</v>
      </c>
      <c r="E3148" s="27" t="s">
        <v>1681</v>
      </c>
      <c r="F3148" s="51">
        <v>102698</v>
      </c>
      <c r="G3148" s="27"/>
    </row>
    <row r="3149" spans="1:7">
      <c r="A3149" s="27">
        <v>160</v>
      </c>
      <c r="B3149" s="27" t="s">
        <v>103</v>
      </c>
      <c r="C3149" s="27" t="s">
        <v>302</v>
      </c>
      <c r="D3149" s="27" t="s">
        <v>300</v>
      </c>
      <c r="E3149" s="27" t="s">
        <v>1681</v>
      </c>
      <c r="F3149" s="51">
        <v>14000</v>
      </c>
      <c r="G3149" s="27"/>
    </row>
    <row r="3150" spans="1:7">
      <c r="A3150" s="27">
        <v>161</v>
      </c>
      <c r="B3150" s="27" t="s">
        <v>104</v>
      </c>
      <c r="C3150" s="27" t="s">
        <v>227</v>
      </c>
      <c r="D3150" s="27" t="s">
        <v>406</v>
      </c>
      <c r="E3150" s="27" t="s">
        <v>1682</v>
      </c>
      <c r="F3150" s="51">
        <v>25299</v>
      </c>
      <c r="G3150" s="27"/>
    </row>
    <row r="3151" spans="1:7">
      <c r="A3151" s="27">
        <v>161</v>
      </c>
      <c r="B3151" s="27" t="s">
        <v>104</v>
      </c>
      <c r="C3151" s="27" t="s">
        <v>227</v>
      </c>
      <c r="D3151" s="27" t="s">
        <v>408</v>
      </c>
      <c r="E3151" s="27" t="s">
        <v>1682</v>
      </c>
      <c r="F3151" s="51">
        <v>27072</v>
      </c>
      <c r="G3151" s="27"/>
    </row>
    <row r="3152" spans="1:7">
      <c r="A3152" s="27">
        <v>161</v>
      </c>
      <c r="B3152" s="27" t="s">
        <v>104</v>
      </c>
      <c r="C3152" s="27" t="s">
        <v>227</v>
      </c>
      <c r="D3152" s="27" t="s">
        <v>394</v>
      </c>
      <c r="E3152" s="27" t="s">
        <v>1682</v>
      </c>
      <c r="F3152" s="51">
        <v>551163</v>
      </c>
      <c r="G3152" s="27"/>
    </row>
    <row r="3153" spans="1:7">
      <c r="A3153" s="27">
        <v>161</v>
      </c>
      <c r="B3153" s="27" t="s">
        <v>104</v>
      </c>
      <c r="C3153" s="27" t="s">
        <v>227</v>
      </c>
      <c r="D3153" s="27" t="s">
        <v>397</v>
      </c>
      <c r="E3153" s="27" t="s">
        <v>1682</v>
      </c>
      <c r="F3153" s="51">
        <v>130919</v>
      </c>
      <c r="G3153" s="27"/>
    </row>
    <row r="3154" spans="1:7">
      <c r="A3154" s="27">
        <v>161</v>
      </c>
      <c r="B3154" s="27" t="s">
        <v>104</v>
      </c>
      <c r="C3154" s="27" t="s">
        <v>227</v>
      </c>
      <c r="D3154" s="27" t="s">
        <v>333</v>
      </c>
      <c r="E3154" s="27" t="s">
        <v>1682</v>
      </c>
      <c r="F3154" s="51">
        <v>1213</v>
      </c>
      <c r="G3154" s="27"/>
    </row>
    <row r="3155" spans="1:7">
      <c r="A3155" s="27">
        <v>161</v>
      </c>
      <c r="B3155" s="27" t="s">
        <v>104</v>
      </c>
      <c r="C3155" s="27" t="s">
        <v>227</v>
      </c>
      <c r="D3155" s="27" t="s">
        <v>411</v>
      </c>
      <c r="E3155" s="27" t="s">
        <v>1682</v>
      </c>
      <c r="F3155" s="51">
        <v>1000</v>
      </c>
      <c r="G3155" s="27"/>
    </row>
    <row r="3156" spans="1:7">
      <c r="A3156" s="27">
        <v>161</v>
      </c>
      <c r="B3156" s="27" t="s">
        <v>104</v>
      </c>
      <c r="C3156" s="27" t="s">
        <v>227</v>
      </c>
      <c r="D3156" s="27" t="s">
        <v>412</v>
      </c>
      <c r="E3156" s="27" t="s">
        <v>1682</v>
      </c>
      <c r="F3156" s="51">
        <v>30000</v>
      </c>
      <c r="G3156" s="27"/>
    </row>
    <row r="3157" spans="1:7">
      <c r="A3157" s="27">
        <v>161</v>
      </c>
      <c r="B3157" s="27" t="s">
        <v>104</v>
      </c>
      <c r="C3157" s="27" t="s">
        <v>227</v>
      </c>
      <c r="D3157" s="27" t="s">
        <v>398</v>
      </c>
      <c r="E3157" s="27" t="s">
        <v>1682</v>
      </c>
      <c r="F3157" s="51">
        <v>11423</v>
      </c>
      <c r="G3157" s="27"/>
    </row>
    <row r="3158" spans="1:7">
      <c r="A3158" s="27">
        <v>161</v>
      </c>
      <c r="B3158" s="27" t="s">
        <v>104</v>
      </c>
      <c r="C3158" s="27" t="s">
        <v>227</v>
      </c>
      <c r="D3158" s="27" t="s">
        <v>415</v>
      </c>
      <c r="E3158" s="27" t="s">
        <v>1682</v>
      </c>
      <c r="F3158" s="51">
        <v>7477</v>
      </c>
      <c r="G3158" s="27"/>
    </row>
    <row r="3159" spans="1:7">
      <c r="A3159" s="27">
        <v>161</v>
      </c>
      <c r="B3159" s="27" t="s">
        <v>104</v>
      </c>
      <c r="C3159" s="27" t="s">
        <v>227</v>
      </c>
      <c r="D3159" s="27" t="s">
        <v>291</v>
      </c>
      <c r="E3159" s="27" t="s">
        <v>1681</v>
      </c>
      <c r="F3159" s="51">
        <v>4785</v>
      </c>
      <c r="G3159" s="27"/>
    </row>
    <row r="3160" spans="1:7">
      <c r="A3160" s="27">
        <v>161</v>
      </c>
      <c r="B3160" s="27" t="s">
        <v>104</v>
      </c>
      <c r="C3160" s="27" t="s">
        <v>227</v>
      </c>
      <c r="D3160" s="27" t="s">
        <v>399</v>
      </c>
      <c r="E3160" s="27" t="s">
        <v>1681</v>
      </c>
      <c r="F3160" s="51">
        <v>771098</v>
      </c>
      <c r="G3160" s="27"/>
    </row>
    <row r="3161" spans="1:7">
      <c r="A3161" s="27">
        <v>161</v>
      </c>
      <c r="B3161" s="27" t="s">
        <v>104</v>
      </c>
      <c r="C3161" s="27" t="s">
        <v>227</v>
      </c>
      <c r="D3161" s="27" t="s">
        <v>294</v>
      </c>
      <c r="E3161" s="27" t="s">
        <v>1681</v>
      </c>
      <c r="F3161" s="51">
        <v>2098</v>
      </c>
      <c r="G3161" s="27"/>
    </row>
    <row r="3162" spans="1:7">
      <c r="A3162" s="27">
        <v>161</v>
      </c>
      <c r="B3162" s="27" t="s">
        <v>104</v>
      </c>
      <c r="C3162" s="27" t="s">
        <v>227</v>
      </c>
      <c r="D3162" s="27" t="s">
        <v>304</v>
      </c>
      <c r="E3162" s="27" t="s">
        <v>1681</v>
      </c>
      <c r="F3162" s="51">
        <v>14000</v>
      </c>
      <c r="G3162" s="27"/>
    </row>
    <row r="3163" spans="1:7">
      <c r="A3163" s="27">
        <v>161</v>
      </c>
      <c r="B3163" s="27" t="s">
        <v>104</v>
      </c>
      <c r="C3163" s="27" t="s">
        <v>227</v>
      </c>
      <c r="D3163" s="27" t="s">
        <v>296</v>
      </c>
      <c r="E3163" s="27" t="s">
        <v>1681</v>
      </c>
      <c r="F3163" s="51">
        <v>832175</v>
      </c>
      <c r="G3163" s="27"/>
    </row>
    <row r="3164" spans="1:7">
      <c r="A3164" s="27">
        <v>161</v>
      </c>
      <c r="B3164" s="27" t="s">
        <v>104</v>
      </c>
      <c r="C3164" s="27" t="s">
        <v>227</v>
      </c>
      <c r="D3164" s="27" t="s">
        <v>400</v>
      </c>
      <c r="E3164" s="27" t="s">
        <v>1681</v>
      </c>
      <c r="F3164" s="51">
        <v>719497</v>
      </c>
      <c r="G3164" s="27"/>
    </row>
    <row r="3165" spans="1:7">
      <c r="A3165" s="27">
        <v>161</v>
      </c>
      <c r="B3165" s="27" t="s">
        <v>104</v>
      </c>
      <c r="C3165" s="27" t="s">
        <v>227</v>
      </c>
      <c r="D3165" s="27" t="s">
        <v>298</v>
      </c>
      <c r="E3165" s="27" t="s">
        <v>1681</v>
      </c>
      <c r="F3165" s="51">
        <v>27866</v>
      </c>
      <c r="G3165" s="27"/>
    </row>
    <row r="3166" spans="1:7">
      <c r="A3166" s="27">
        <v>161</v>
      </c>
      <c r="B3166" s="27" t="s">
        <v>104</v>
      </c>
      <c r="C3166" s="27" t="s">
        <v>227</v>
      </c>
      <c r="D3166" s="27" t="s">
        <v>401</v>
      </c>
      <c r="E3166" s="27" t="s">
        <v>1681</v>
      </c>
      <c r="F3166" s="51">
        <v>14978</v>
      </c>
      <c r="G3166" s="27"/>
    </row>
    <row r="3167" spans="1:7">
      <c r="A3167" s="27">
        <v>161</v>
      </c>
      <c r="B3167" s="27" t="s">
        <v>104</v>
      </c>
      <c r="C3167" s="27" t="s">
        <v>227</v>
      </c>
      <c r="D3167" s="27" t="s">
        <v>402</v>
      </c>
      <c r="E3167" s="27" t="s">
        <v>1681</v>
      </c>
      <c r="F3167" s="51">
        <v>833</v>
      </c>
      <c r="G3167" s="27"/>
    </row>
    <row r="3168" spans="1:7">
      <c r="A3168" s="27">
        <v>161</v>
      </c>
      <c r="B3168" s="27" t="s">
        <v>104</v>
      </c>
      <c r="C3168" s="27" t="s">
        <v>227</v>
      </c>
      <c r="D3168" s="27" t="s">
        <v>300</v>
      </c>
      <c r="E3168" s="27" t="s">
        <v>1681</v>
      </c>
      <c r="F3168" s="51">
        <v>14000</v>
      </c>
      <c r="G3168" s="27"/>
    </row>
    <row r="3169" spans="1:7">
      <c r="A3169" s="27">
        <v>162</v>
      </c>
      <c r="B3169" s="27" t="s">
        <v>105</v>
      </c>
      <c r="C3169" s="27" t="s">
        <v>316</v>
      </c>
      <c r="D3169" s="27" t="s">
        <v>408</v>
      </c>
      <c r="E3169" s="27" t="s">
        <v>1682</v>
      </c>
      <c r="F3169" s="51">
        <v>176122</v>
      </c>
      <c r="G3169" s="27"/>
    </row>
    <row r="3170" spans="1:7">
      <c r="A3170" s="27">
        <v>162</v>
      </c>
      <c r="B3170" s="27" t="s">
        <v>105</v>
      </c>
      <c r="C3170" s="27" t="s">
        <v>316</v>
      </c>
      <c r="D3170" s="27" t="s">
        <v>394</v>
      </c>
      <c r="E3170" s="27" t="s">
        <v>1682</v>
      </c>
      <c r="F3170" s="51">
        <v>217579</v>
      </c>
      <c r="G3170" s="27"/>
    </row>
    <row r="3171" spans="1:7">
      <c r="A3171" s="27">
        <v>162</v>
      </c>
      <c r="B3171" s="27" t="s">
        <v>105</v>
      </c>
      <c r="C3171" s="27" t="s">
        <v>316</v>
      </c>
      <c r="D3171" s="27" t="s">
        <v>410</v>
      </c>
      <c r="E3171" s="27" t="s">
        <v>1682</v>
      </c>
      <c r="F3171" s="51">
        <v>35000</v>
      </c>
      <c r="G3171" s="27"/>
    </row>
    <row r="3172" spans="1:7">
      <c r="A3172" s="27">
        <v>162</v>
      </c>
      <c r="B3172" s="27" t="s">
        <v>105</v>
      </c>
      <c r="C3172" s="27" t="s">
        <v>316</v>
      </c>
      <c r="D3172" s="27" t="s">
        <v>397</v>
      </c>
      <c r="E3172" s="27" t="s">
        <v>1682</v>
      </c>
      <c r="F3172" s="51">
        <v>244180</v>
      </c>
      <c r="G3172" s="27"/>
    </row>
    <row r="3173" spans="1:7">
      <c r="A3173" s="27">
        <v>162</v>
      </c>
      <c r="B3173" s="27" t="s">
        <v>105</v>
      </c>
      <c r="C3173" s="27" t="s">
        <v>316</v>
      </c>
      <c r="D3173" s="27" t="s">
        <v>411</v>
      </c>
      <c r="E3173" s="27" t="s">
        <v>1682</v>
      </c>
      <c r="F3173" s="51">
        <v>7071</v>
      </c>
      <c r="G3173" s="27"/>
    </row>
    <row r="3174" spans="1:7">
      <c r="A3174" s="27">
        <v>162</v>
      </c>
      <c r="B3174" s="27" t="s">
        <v>105</v>
      </c>
      <c r="C3174" s="27" t="s">
        <v>316</v>
      </c>
      <c r="D3174" s="27" t="s">
        <v>412</v>
      </c>
      <c r="E3174" s="27" t="s">
        <v>1682</v>
      </c>
      <c r="F3174" s="51">
        <v>73626</v>
      </c>
      <c r="G3174" s="27"/>
    </row>
    <row r="3175" spans="1:7">
      <c r="A3175" s="27">
        <v>162</v>
      </c>
      <c r="B3175" s="27" t="s">
        <v>105</v>
      </c>
      <c r="C3175" s="27" t="s">
        <v>316</v>
      </c>
      <c r="D3175" s="27" t="s">
        <v>398</v>
      </c>
      <c r="E3175" s="27" t="s">
        <v>1682</v>
      </c>
      <c r="F3175" s="51">
        <v>9243</v>
      </c>
      <c r="G3175" s="27"/>
    </row>
    <row r="3176" spans="1:7">
      <c r="A3176" s="27">
        <v>162</v>
      </c>
      <c r="B3176" s="27" t="s">
        <v>105</v>
      </c>
      <c r="C3176" s="27" t="s">
        <v>316</v>
      </c>
      <c r="D3176" s="27" t="s">
        <v>415</v>
      </c>
      <c r="E3176" s="27" t="s">
        <v>1682</v>
      </c>
      <c r="F3176" s="51">
        <v>12556</v>
      </c>
      <c r="G3176" s="27"/>
    </row>
    <row r="3177" spans="1:7">
      <c r="A3177" s="27">
        <v>162</v>
      </c>
      <c r="B3177" s="27" t="s">
        <v>105</v>
      </c>
      <c r="C3177" s="27" t="s">
        <v>316</v>
      </c>
      <c r="D3177" s="27" t="s">
        <v>291</v>
      </c>
      <c r="E3177" s="27" t="s">
        <v>1681</v>
      </c>
      <c r="F3177" s="51">
        <v>8169</v>
      </c>
      <c r="G3177" s="27"/>
    </row>
    <row r="3178" spans="1:7">
      <c r="A3178" s="27">
        <v>162</v>
      </c>
      <c r="B3178" s="27" t="s">
        <v>105</v>
      </c>
      <c r="C3178" s="27" t="s">
        <v>316</v>
      </c>
      <c r="D3178" s="27" t="s">
        <v>399</v>
      </c>
      <c r="E3178" s="27" t="s">
        <v>1681</v>
      </c>
      <c r="F3178" s="51">
        <v>6348024</v>
      </c>
      <c r="G3178" s="27"/>
    </row>
    <row r="3179" spans="1:7">
      <c r="A3179" s="27">
        <v>162</v>
      </c>
      <c r="B3179" s="27" t="s">
        <v>105</v>
      </c>
      <c r="C3179" s="27" t="s">
        <v>316</v>
      </c>
      <c r="D3179" s="27" t="s">
        <v>317</v>
      </c>
      <c r="E3179" s="27" t="s">
        <v>1681</v>
      </c>
      <c r="F3179" s="51">
        <v>86171</v>
      </c>
      <c r="G3179" s="27"/>
    </row>
    <row r="3180" spans="1:7">
      <c r="A3180" s="27">
        <v>162</v>
      </c>
      <c r="B3180" s="27" t="s">
        <v>105</v>
      </c>
      <c r="C3180" s="27" t="s">
        <v>316</v>
      </c>
      <c r="D3180" s="27" t="s">
        <v>294</v>
      </c>
      <c r="E3180" s="27" t="s">
        <v>1681</v>
      </c>
      <c r="F3180" s="51">
        <v>5931</v>
      </c>
      <c r="G3180" s="27"/>
    </row>
    <row r="3181" spans="1:7">
      <c r="A3181" s="27">
        <v>162</v>
      </c>
      <c r="B3181" s="27" t="s">
        <v>105</v>
      </c>
      <c r="C3181" s="27" t="s">
        <v>316</v>
      </c>
      <c r="D3181" s="27" t="s">
        <v>296</v>
      </c>
      <c r="E3181" s="27" t="s">
        <v>1681</v>
      </c>
      <c r="F3181" s="51">
        <v>351916</v>
      </c>
      <c r="G3181" s="27"/>
    </row>
    <row r="3182" spans="1:7">
      <c r="A3182" s="27">
        <v>162</v>
      </c>
      <c r="B3182" s="27" t="s">
        <v>105</v>
      </c>
      <c r="C3182" s="27" t="s">
        <v>316</v>
      </c>
      <c r="D3182" s="27" t="s">
        <v>400</v>
      </c>
      <c r="E3182" s="27" t="s">
        <v>1681</v>
      </c>
      <c r="F3182" s="51">
        <v>95319</v>
      </c>
      <c r="G3182" s="27"/>
    </row>
    <row r="3183" spans="1:7">
      <c r="A3183" s="27">
        <v>162</v>
      </c>
      <c r="B3183" s="27" t="s">
        <v>105</v>
      </c>
      <c r="C3183" s="27" t="s">
        <v>316</v>
      </c>
      <c r="D3183" s="27" t="s">
        <v>298</v>
      </c>
      <c r="E3183" s="27" t="s">
        <v>1681</v>
      </c>
      <c r="F3183" s="51">
        <v>109098</v>
      </c>
      <c r="G3183" s="27"/>
    </row>
    <row r="3184" spans="1:7">
      <c r="A3184" s="27">
        <v>162</v>
      </c>
      <c r="B3184" s="27" t="s">
        <v>105</v>
      </c>
      <c r="C3184" s="27" t="s">
        <v>316</v>
      </c>
      <c r="D3184" s="27" t="s">
        <v>401</v>
      </c>
      <c r="E3184" s="27" t="s">
        <v>1681</v>
      </c>
      <c r="F3184" s="51">
        <v>22584</v>
      </c>
      <c r="G3184" s="27"/>
    </row>
    <row r="3185" spans="1:7">
      <c r="A3185" s="27">
        <v>162</v>
      </c>
      <c r="B3185" s="27" t="s">
        <v>105</v>
      </c>
      <c r="C3185" s="27" t="s">
        <v>316</v>
      </c>
      <c r="D3185" s="27" t="s">
        <v>1347</v>
      </c>
      <c r="E3185" s="27" t="s">
        <v>1681</v>
      </c>
      <c r="F3185" s="51">
        <v>9837</v>
      </c>
      <c r="G3185" s="27"/>
    </row>
    <row r="3186" spans="1:7">
      <c r="A3186" s="27">
        <v>162</v>
      </c>
      <c r="B3186" s="27" t="s">
        <v>105</v>
      </c>
      <c r="C3186" s="27" t="s">
        <v>316</v>
      </c>
      <c r="D3186" s="27" t="s">
        <v>402</v>
      </c>
      <c r="E3186" s="27" t="s">
        <v>1681</v>
      </c>
      <c r="F3186" s="51">
        <v>152122</v>
      </c>
      <c r="G3186" s="27"/>
    </row>
    <row r="3187" spans="1:7">
      <c r="A3187" s="27">
        <v>162</v>
      </c>
      <c r="B3187" s="27" t="s">
        <v>105</v>
      </c>
      <c r="C3187" s="27" t="s">
        <v>316</v>
      </c>
      <c r="D3187" s="27" t="s">
        <v>299</v>
      </c>
      <c r="E3187" s="27" t="s">
        <v>1681</v>
      </c>
      <c r="F3187" s="51">
        <v>16889</v>
      </c>
      <c r="G3187" s="27"/>
    </row>
    <row r="3188" spans="1:7">
      <c r="A3188" s="27">
        <v>162</v>
      </c>
      <c r="B3188" s="27" t="s">
        <v>105</v>
      </c>
      <c r="C3188" s="27" t="s">
        <v>316</v>
      </c>
      <c r="D3188" s="27" t="s">
        <v>300</v>
      </c>
      <c r="E3188" s="27" t="s">
        <v>1681</v>
      </c>
      <c r="F3188" s="51">
        <v>17028</v>
      </c>
      <c r="G3188" s="27"/>
    </row>
    <row r="3189" spans="1:7">
      <c r="A3189" s="27">
        <v>163</v>
      </c>
      <c r="B3189" s="27" t="s">
        <v>106</v>
      </c>
      <c r="C3189" s="27" t="s">
        <v>325</v>
      </c>
      <c r="D3189" s="27" t="s">
        <v>405</v>
      </c>
      <c r="E3189" s="27" t="s">
        <v>1682</v>
      </c>
      <c r="F3189" s="51">
        <v>151000</v>
      </c>
      <c r="G3189" s="27"/>
    </row>
    <row r="3190" spans="1:7">
      <c r="A3190" s="27">
        <v>163</v>
      </c>
      <c r="B3190" s="27" t="s">
        <v>106</v>
      </c>
      <c r="C3190" s="27" t="s">
        <v>325</v>
      </c>
      <c r="D3190" s="27" t="s">
        <v>406</v>
      </c>
      <c r="E3190" s="27" t="s">
        <v>1682</v>
      </c>
      <c r="F3190" s="51">
        <v>97068</v>
      </c>
      <c r="G3190" s="27"/>
    </row>
    <row r="3191" spans="1:7">
      <c r="A3191" s="27">
        <v>163</v>
      </c>
      <c r="B3191" s="27" t="s">
        <v>106</v>
      </c>
      <c r="C3191" s="27" t="s">
        <v>325</v>
      </c>
      <c r="D3191" s="27" t="s">
        <v>408</v>
      </c>
      <c r="E3191" s="27" t="s">
        <v>1682</v>
      </c>
      <c r="F3191" s="51">
        <v>1063240</v>
      </c>
      <c r="G3191" s="27"/>
    </row>
    <row r="3192" spans="1:7">
      <c r="A3192" s="27">
        <v>163</v>
      </c>
      <c r="B3192" s="27" t="s">
        <v>106</v>
      </c>
      <c r="C3192" s="27" t="s">
        <v>325</v>
      </c>
      <c r="D3192" s="27" t="s">
        <v>409</v>
      </c>
      <c r="E3192" s="27" t="s">
        <v>1682</v>
      </c>
      <c r="F3192" s="51">
        <v>4000</v>
      </c>
      <c r="G3192" s="27"/>
    </row>
    <row r="3193" spans="1:7">
      <c r="A3193" s="27">
        <v>163</v>
      </c>
      <c r="B3193" s="27" t="s">
        <v>106</v>
      </c>
      <c r="C3193" s="27" t="s">
        <v>325</v>
      </c>
      <c r="D3193" s="27" t="s">
        <v>394</v>
      </c>
      <c r="E3193" s="27" t="s">
        <v>1682</v>
      </c>
      <c r="F3193" s="51">
        <v>534000</v>
      </c>
      <c r="G3193" s="27"/>
    </row>
    <row r="3194" spans="1:7">
      <c r="A3194" s="27">
        <v>163</v>
      </c>
      <c r="B3194" s="27" t="s">
        <v>106</v>
      </c>
      <c r="C3194" s="27" t="s">
        <v>325</v>
      </c>
      <c r="D3194" s="27" t="s">
        <v>329</v>
      </c>
      <c r="E3194" s="27" t="s">
        <v>1682</v>
      </c>
      <c r="F3194" s="51">
        <v>300000</v>
      </c>
      <c r="G3194" s="27"/>
    </row>
    <row r="3195" spans="1:7">
      <c r="A3195" s="27">
        <v>163</v>
      </c>
      <c r="B3195" s="27" t="s">
        <v>106</v>
      </c>
      <c r="C3195" s="27" t="s">
        <v>325</v>
      </c>
      <c r="D3195" s="27" t="s">
        <v>396</v>
      </c>
      <c r="E3195" s="27" t="s">
        <v>1682</v>
      </c>
      <c r="F3195" s="51">
        <v>254000</v>
      </c>
      <c r="G3195" s="27"/>
    </row>
    <row r="3196" spans="1:7">
      <c r="A3196" s="27">
        <v>163</v>
      </c>
      <c r="B3196" s="27" t="s">
        <v>106</v>
      </c>
      <c r="C3196" s="27" t="s">
        <v>325</v>
      </c>
      <c r="D3196" s="27" t="s">
        <v>330</v>
      </c>
      <c r="E3196" s="27" t="s">
        <v>1682</v>
      </c>
      <c r="F3196" s="51">
        <v>7370</v>
      </c>
      <c r="G3196" s="27"/>
    </row>
    <row r="3197" spans="1:7">
      <c r="A3197" s="27">
        <v>163</v>
      </c>
      <c r="B3197" s="27" t="s">
        <v>106</v>
      </c>
      <c r="C3197" s="27" t="s">
        <v>325</v>
      </c>
      <c r="D3197" s="27" t="s">
        <v>331</v>
      </c>
      <c r="E3197" s="27" t="s">
        <v>1682</v>
      </c>
      <c r="F3197" s="51">
        <v>4668</v>
      </c>
      <c r="G3197" s="27"/>
    </row>
    <row r="3198" spans="1:7">
      <c r="A3198" s="27">
        <v>163</v>
      </c>
      <c r="B3198" s="27" t="s">
        <v>106</v>
      </c>
      <c r="C3198" s="27" t="s">
        <v>325</v>
      </c>
      <c r="D3198" s="27" t="s">
        <v>397</v>
      </c>
      <c r="E3198" s="27" t="s">
        <v>1682</v>
      </c>
      <c r="F3198" s="51">
        <v>1721000</v>
      </c>
      <c r="G3198" s="27"/>
    </row>
    <row r="3199" spans="1:7">
      <c r="A3199" s="27">
        <v>163</v>
      </c>
      <c r="B3199" s="27" t="s">
        <v>106</v>
      </c>
      <c r="C3199" s="27" t="s">
        <v>325</v>
      </c>
      <c r="D3199" s="27" t="s">
        <v>332</v>
      </c>
      <c r="E3199" s="27" t="s">
        <v>1682</v>
      </c>
      <c r="F3199" s="51">
        <v>419039</v>
      </c>
      <c r="G3199" s="27"/>
    </row>
    <row r="3200" spans="1:7">
      <c r="A3200" s="27">
        <v>163</v>
      </c>
      <c r="B3200" s="27" t="s">
        <v>106</v>
      </c>
      <c r="C3200" s="27" t="s">
        <v>325</v>
      </c>
      <c r="D3200" s="27" t="s">
        <v>333</v>
      </c>
      <c r="E3200" s="27" t="s">
        <v>1682</v>
      </c>
      <c r="F3200" s="51">
        <v>28914</v>
      </c>
      <c r="G3200" s="27"/>
    </row>
    <row r="3201" spans="1:7">
      <c r="A3201" s="27">
        <v>163</v>
      </c>
      <c r="B3201" s="27" t="s">
        <v>106</v>
      </c>
      <c r="C3201" s="27" t="s">
        <v>325</v>
      </c>
      <c r="D3201" s="27" t="s">
        <v>411</v>
      </c>
      <c r="E3201" s="27" t="s">
        <v>1682</v>
      </c>
      <c r="F3201" s="51">
        <v>47000</v>
      </c>
      <c r="G3201" s="27"/>
    </row>
    <row r="3202" spans="1:7">
      <c r="A3202" s="27">
        <v>163</v>
      </c>
      <c r="B3202" s="27" t="s">
        <v>106</v>
      </c>
      <c r="C3202" s="27" t="s">
        <v>325</v>
      </c>
      <c r="D3202" s="27" t="s">
        <v>412</v>
      </c>
      <c r="E3202" s="27" t="s">
        <v>1682</v>
      </c>
      <c r="F3202" s="51">
        <v>313000</v>
      </c>
      <c r="G3202" s="27"/>
    </row>
    <row r="3203" spans="1:7">
      <c r="A3203" s="27">
        <v>163</v>
      </c>
      <c r="B3203" s="27" t="s">
        <v>106</v>
      </c>
      <c r="C3203" s="27" t="s">
        <v>325</v>
      </c>
      <c r="D3203" s="27" t="s">
        <v>413</v>
      </c>
      <c r="E3203" s="27" t="s">
        <v>1682</v>
      </c>
      <c r="F3203" s="51">
        <v>20000</v>
      </c>
      <c r="G3203" s="27"/>
    </row>
    <row r="3204" spans="1:7">
      <c r="A3204" s="27">
        <v>163</v>
      </c>
      <c r="B3204" s="27" t="s">
        <v>106</v>
      </c>
      <c r="C3204" s="27" t="s">
        <v>325</v>
      </c>
      <c r="D3204" s="27" t="s">
        <v>398</v>
      </c>
      <c r="E3204" s="27" t="s">
        <v>1682</v>
      </c>
      <c r="F3204" s="51">
        <v>36128</v>
      </c>
      <c r="G3204" s="27"/>
    </row>
    <row r="3205" spans="1:7">
      <c r="A3205" s="27">
        <v>163</v>
      </c>
      <c r="B3205" s="27" t="s">
        <v>106</v>
      </c>
      <c r="C3205" s="27" t="s">
        <v>325</v>
      </c>
      <c r="D3205" s="27" t="s">
        <v>415</v>
      </c>
      <c r="E3205" s="27" t="s">
        <v>1682</v>
      </c>
      <c r="F3205" s="51">
        <v>16400</v>
      </c>
      <c r="G3205" s="27"/>
    </row>
    <row r="3206" spans="1:7">
      <c r="A3206" s="27">
        <v>163</v>
      </c>
      <c r="B3206" s="27" t="s">
        <v>106</v>
      </c>
      <c r="C3206" s="27" t="s">
        <v>325</v>
      </c>
      <c r="D3206" s="27" t="s">
        <v>335</v>
      </c>
      <c r="E3206" s="27" t="s">
        <v>1681</v>
      </c>
      <c r="F3206" s="51">
        <v>62323</v>
      </c>
      <c r="G3206" s="27"/>
    </row>
    <row r="3207" spans="1:7">
      <c r="A3207" s="27">
        <v>163</v>
      </c>
      <c r="B3207" s="27" t="s">
        <v>106</v>
      </c>
      <c r="C3207" s="27" t="s">
        <v>325</v>
      </c>
      <c r="D3207" s="27" t="s">
        <v>291</v>
      </c>
      <c r="E3207" s="27" t="s">
        <v>1681</v>
      </c>
      <c r="F3207" s="51">
        <v>22195</v>
      </c>
      <c r="G3207" s="27"/>
    </row>
    <row r="3208" spans="1:7">
      <c r="A3208" s="27">
        <v>163</v>
      </c>
      <c r="B3208" s="27" t="s">
        <v>106</v>
      </c>
      <c r="C3208" s="27" t="s">
        <v>325</v>
      </c>
      <c r="D3208" s="27" t="s">
        <v>399</v>
      </c>
      <c r="E3208" s="27" t="s">
        <v>1681</v>
      </c>
      <c r="F3208" s="51">
        <v>20245948</v>
      </c>
      <c r="G3208" s="27"/>
    </row>
    <row r="3209" spans="1:7">
      <c r="A3209" s="27">
        <v>163</v>
      </c>
      <c r="B3209" s="27" t="s">
        <v>106</v>
      </c>
      <c r="C3209" s="27" t="s">
        <v>325</v>
      </c>
      <c r="D3209" s="27" t="s">
        <v>336</v>
      </c>
      <c r="E3209" s="27" t="s">
        <v>1681</v>
      </c>
      <c r="F3209" s="51">
        <v>62792</v>
      </c>
      <c r="G3209" s="27"/>
    </row>
    <row r="3210" spans="1:7">
      <c r="A3210" s="27">
        <v>163</v>
      </c>
      <c r="B3210" s="27" t="s">
        <v>106</v>
      </c>
      <c r="C3210" s="27" t="s">
        <v>325</v>
      </c>
      <c r="D3210" s="27" t="s">
        <v>317</v>
      </c>
      <c r="E3210" s="27" t="s">
        <v>1681</v>
      </c>
      <c r="F3210" s="51">
        <v>172342</v>
      </c>
      <c r="G3210" s="27"/>
    </row>
    <row r="3211" spans="1:7">
      <c r="A3211" s="27">
        <v>163</v>
      </c>
      <c r="B3211" s="27" t="s">
        <v>106</v>
      </c>
      <c r="C3211" s="27" t="s">
        <v>325</v>
      </c>
      <c r="D3211" s="27" t="s">
        <v>293</v>
      </c>
      <c r="E3211" s="27" t="s">
        <v>1681</v>
      </c>
      <c r="F3211" s="51">
        <v>173352</v>
      </c>
      <c r="G3211" s="27"/>
    </row>
    <row r="3212" spans="1:7">
      <c r="A3212" s="27">
        <v>163</v>
      </c>
      <c r="B3212" s="27" t="s">
        <v>106</v>
      </c>
      <c r="C3212" s="27" t="s">
        <v>325</v>
      </c>
      <c r="D3212" s="27" t="s">
        <v>294</v>
      </c>
      <c r="E3212" s="27" t="s">
        <v>1681</v>
      </c>
      <c r="F3212" s="51">
        <v>36335</v>
      </c>
      <c r="G3212" s="27"/>
    </row>
    <row r="3213" spans="1:7">
      <c r="A3213" s="27">
        <v>163</v>
      </c>
      <c r="B3213" s="27" t="s">
        <v>106</v>
      </c>
      <c r="C3213" s="27" t="s">
        <v>325</v>
      </c>
      <c r="D3213" s="27" t="s">
        <v>318</v>
      </c>
      <c r="E3213" s="27" t="s">
        <v>1681</v>
      </c>
      <c r="F3213" s="51">
        <v>766029</v>
      </c>
      <c r="G3213" s="27"/>
    </row>
    <row r="3214" spans="1:7">
      <c r="A3214" s="27">
        <v>163</v>
      </c>
      <c r="B3214" s="27" t="s">
        <v>106</v>
      </c>
      <c r="C3214" s="27" t="s">
        <v>325</v>
      </c>
      <c r="D3214" s="27" t="s">
        <v>304</v>
      </c>
      <c r="E3214" s="27" t="s">
        <v>1681</v>
      </c>
      <c r="F3214" s="51">
        <v>14000</v>
      </c>
      <c r="G3214" s="27"/>
    </row>
    <row r="3215" spans="1:7">
      <c r="A3215" s="27">
        <v>163</v>
      </c>
      <c r="B3215" s="27" t="s">
        <v>106</v>
      </c>
      <c r="C3215" s="27" t="s">
        <v>325</v>
      </c>
      <c r="D3215" s="27" t="s">
        <v>319</v>
      </c>
      <c r="E3215" s="27" t="s">
        <v>1681</v>
      </c>
      <c r="F3215" s="51">
        <v>54120</v>
      </c>
      <c r="G3215" s="27"/>
    </row>
    <row r="3216" spans="1:7">
      <c r="A3216" s="27">
        <v>163</v>
      </c>
      <c r="B3216" s="27" t="s">
        <v>106</v>
      </c>
      <c r="C3216" s="27" t="s">
        <v>325</v>
      </c>
      <c r="D3216" s="27" t="s">
        <v>296</v>
      </c>
      <c r="E3216" s="27" t="s">
        <v>1681</v>
      </c>
      <c r="F3216" s="51">
        <v>1955149</v>
      </c>
      <c r="G3216" s="27"/>
    </row>
    <row r="3217" spans="1:7">
      <c r="A3217" s="27">
        <v>163</v>
      </c>
      <c r="B3217" s="27" t="s">
        <v>106</v>
      </c>
      <c r="C3217" s="27" t="s">
        <v>325</v>
      </c>
      <c r="D3217" s="27" t="s">
        <v>400</v>
      </c>
      <c r="E3217" s="27" t="s">
        <v>1681</v>
      </c>
      <c r="F3217" s="51">
        <v>44046</v>
      </c>
      <c r="G3217" s="27"/>
    </row>
    <row r="3218" spans="1:7">
      <c r="A3218" s="27">
        <v>163</v>
      </c>
      <c r="B3218" s="27" t="s">
        <v>106</v>
      </c>
      <c r="C3218" s="27" t="s">
        <v>325</v>
      </c>
      <c r="D3218" s="27" t="s">
        <v>298</v>
      </c>
      <c r="E3218" s="27" t="s">
        <v>1681</v>
      </c>
      <c r="F3218" s="51">
        <v>292856</v>
      </c>
      <c r="G3218" s="27"/>
    </row>
    <row r="3219" spans="1:7">
      <c r="A3219" s="27">
        <v>163</v>
      </c>
      <c r="B3219" s="27" t="s">
        <v>106</v>
      </c>
      <c r="C3219" s="27" t="s">
        <v>325</v>
      </c>
      <c r="D3219" s="27" t="s">
        <v>401</v>
      </c>
      <c r="E3219" s="27" t="s">
        <v>1681</v>
      </c>
      <c r="F3219" s="51">
        <v>31920</v>
      </c>
      <c r="G3219" s="27"/>
    </row>
    <row r="3220" spans="1:7">
      <c r="A3220" s="27">
        <v>163</v>
      </c>
      <c r="B3220" s="27" t="s">
        <v>106</v>
      </c>
      <c r="C3220" s="27" t="s">
        <v>325</v>
      </c>
      <c r="D3220" s="27" t="s">
        <v>1347</v>
      </c>
      <c r="E3220" s="27" t="s">
        <v>1681</v>
      </c>
      <c r="F3220" s="51">
        <v>33085</v>
      </c>
      <c r="G3220" s="27"/>
    </row>
    <row r="3221" spans="1:7">
      <c r="A3221" s="27">
        <v>163</v>
      </c>
      <c r="B3221" s="27" t="s">
        <v>106</v>
      </c>
      <c r="C3221" s="27" t="s">
        <v>325</v>
      </c>
      <c r="D3221" s="27" t="s">
        <v>402</v>
      </c>
      <c r="E3221" s="27" t="s">
        <v>1681</v>
      </c>
      <c r="F3221" s="51">
        <v>525961</v>
      </c>
      <c r="G3221" s="27"/>
    </row>
    <row r="3222" spans="1:7">
      <c r="A3222" s="27">
        <v>163</v>
      </c>
      <c r="B3222" s="27" t="s">
        <v>106</v>
      </c>
      <c r="C3222" s="27" t="s">
        <v>325</v>
      </c>
      <c r="D3222" s="27" t="s">
        <v>299</v>
      </c>
      <c r="E3222" s="27" t="s">
        <v>1681</v>
      </c>
      <c r="F3222" s="51">
        <v>33231</v>
      </c>
      <c r="G3222" s="27"/>
    </row>
    <row r="3223" spans="1:7">
      <c r="A3223" s="27">
        <v>163</v>
      </c>
      <c r="B3223" s="27" t="s">
        <v>106</v>
      </c>
      <c r="C3223" s="27" t="s">
        <v>325</v>
      </c>
      <c r="D3223" s="27" t="s">
        <v>338</v>
      </c>
      <c r="E3223" s="27" t="s">
        <v>1681</v>
      </c>
      <c r="F3223" s="51">
        <v>14767</v>
      </c>
      <c r="G3223" s="27"/>
    </row>
    <row r="3224" spans="1:7">
      <c r="A3224" s="27">
        <v>163</v>
      </c>
      <c r="B3224" s="27" t="s">
        <v>106</v>
      </c>
      <c r="C3224" s="27" t="s">
        <v>325</v>
      </c>
      <c r="D3224" s="27" t="s">
        <v>300</v>
      </c>
      <c r="E3224" s="27" t="s">
        <v>1681</v>
      </c>
      <c r="F3224" s="51">
        <v>23007</v>
      </c>
      <c r="G3224" s="27"/>
    </row>
    <row r="3225" spans="1:7">
      <c r="A3225" s="27">
        <v>164</v>
      </c>
      <c r="B3225" s="27" t="s">
        <v>107</v>
      </c>
      <c r="C3225" s="27" t="s">
        <v>311</v>
      </c>
      <c r="D3225" s="27" t="s">
        <v>406</v>
      </c>
      <c r="E3225" s="27" t="s">
        <v>1682</v>
      </c>
      <c r="F3225" s="51">
        <v>24240</v>
      </c>
      <c r="G3225" s="27"/>
    </row>
    <row r="3226" spans="1:7">
      <c r="A3226" s="27">
        <v>164</v>
      </c>
      <c r="B3226" s="27" t="s">
        <v>107</v>
      </c>
      <c r="C3226" s="27" t="s">
        <v>311</v>
      </c>
      <c r="D3226" s="27" t="s">
        <v>326</v>
      </c>
      <c r="E3226" s="27" t="s">
        <v>1682</v>
      </c>
      <c r="F3226" s="51">
        <v>52650</v>
      </c>
      <c r="G3226" s="27"/>
    </row>
    <row r="3227" spans="1:7">
      <c r="A3227" s="27">
        <v>164</v>
      </c>
      <c r="B3227" s="27" t="s">
        <v>107</v>
      </c>
      <c r="C3227" s="27" t="s">
        <v>311</v>
      </c>
      <c r="D3227" s="27" t="s">
        <v>408</v>
      </c>
      <c r="E3227" s="27" t="s">
        <v>1682</v>
      </c>
      <c r="F3227" s="51">
        <v>397679</v>
      </c>
      <c r="G3227" s="27"/>
    </row>
    <row r="3228" spans="1:7">
      <c r="A3228" s="27">
        <v>164</v>
      </c>
      <c r="B3228" s="27" t="s">
        <v>107</v>
      </c>
      <c r="C3228" s="27" t="s">
        <v>311</v>
      </c>
      <c r="D3228" s="27" t="s">
        <v>394</v>
      </c>
      <c r="E3228" s="27" t="s">
        <v>1682</v>
      </c>
      <c r="F3228" s="51">
        <v>686806</v>
      </c>
      <c r="G3228" s="27"/>
    </row>
    <row r="3229" spans="1:7">
      <c r="A3229" s="27">
        <v>164</v>
      </c>
      <c r="B3229" s="27" t="s">
        <v>107</v>
      </c>
      <c r="C3229" s="27" t="s">
        <v>311</v>
      </c>
      <c r="D3229" s="27" t="s">
        <v>397</v>
      </c>
      <c r="E3229" s="27" t="s">
        <v>1682</v>
      </c>
      <c r="F3229" s="51">
        <v>137863</v>
      </c>
      <c r="G3229" s="27"/>
    </row>
    <row r="3230" spans="1:7">
      <c r="A3230" s="27">
        <v>164</v>
      </c>
      <c r="B3230" s="27" t="s">
        <v>107</v>
      </c>
      <c r="C3230" s="27" t="s">
        <v>311</v>
      </c>
      <c r="D3230" s="27" t="s">
        <v>333</v>
      </c>
      <c r="E3230" s="27" t="s">
        <v>1682</v>
      </c>
      <c r="F3230" s="51">
        <v>13198</v>
      </c>
      <c r="G3230" s="27"/>
    </row>
    <row r="3231" spans="1:7">
      <c r="A3231" s="27">
        <v>164</v>
      </c>
      <c r="B3231" s="27" t="s">
        <v>107</v>
      </c>
      <c r="C3231" s="27" t="s">
        <v>311</v>
      </c>
      <c r="D3231" s="27" t="s">
        <v>411</v>
      </c>
      <c r="E3231" s="27" t="s">
        <v>1682</v>
      </c>
      <c r="F3231" s="51">
        <v>3993</v>
      </c>
      <c r="G3231" s="27"/>
    </row>
    <row r="3232" spans="1:7">
      <c r="A3232" s="27">
        <v>164</v>
      </c>
      <c r="B3232" s="27" t="s">
        <v>107</v>
      </c>
      <c r="C3232" s="27" t="s">
        <v>311</v>
      </c>
      <c r="D3232" s="27" t="s">
        <v>412</v>
      </c>
      <c r="E3232" s="27" t="s">
        <v>1682</v>
      </c>
      <c r="F3232" s="51">
        <v>59500</v>
      </c>
      <c r="G3232" s="27"/>
    </row>
    <row r="3233" spans="1:7">
      <c r="A3233" s="27">
        <v>164</v>
      </c>
      <c r="B3233" s="27" t="s">
        <v>107</v>
      </c>
      <c r="C3233" s="27" t="s">
        <v>311</v>
      </c>
      <c r="D3233" s="27" t="s">
        <v>398</v>
      </c>
      <c r="E3233" s="27" t="s">
        <v>1682</v>
      </c>
      <c r="F3233" s="51">
        <v>15255</v>
      </c>
      <c r="G3233" s="27"/>
    </row>
    <row r="3234" spans="1:7">
      <c r="A3234" s="27">
        <v>164</v>
      </c>
      <c r="B3234" s="27" t="s">
        <v>107</v>
      </c>
      <c r="C3234" s="27" t="s">
        <v>311</v>
      </c>
      <c r="D3234" s="27" t="s">
        <v>415</v>
      </c>
      <c r="E3234" s="27" t="s">
        <v>1682</v>
      </c>
      <c r="F3234" s="51">
        <v>23147</v>
      </c>
      <c r="G3234" s="27"/>
    </row>
    <row r="3235" spans="1:7">
      <c r="A3235" s="27">
        <v>164</v>
      </c>
      <c r="B3235" s="27" t="s">
        <v>107</v>
      </c>
      <c r="C3235" s="27" t="s">
        <v>311</v>
      </c>
      <c r="D3235" s="27" t="s">
        <v>334</v>
      </c>
      <c r="E3235" s="27" t="s">
        <v>1682</v>
      </c>
      <c r="F3235" s="51">
        <v>3650</v>
      </c>
      <c r="G3235" s="27"/>
    </row>
    <row r="3236" spans="1:7">
      <c r="A3236" s="27">
        <v>164</v>
      </c>
      <c r="B3236" s="27" t="s">
        <v>107</v>
      </c>
      <c r="C3236" s="27" t="s">
        <v>311</v>
      </c>
      <c r="D3236" s="27" t="s">
        <v>291</v>
      </c>
      <c r="E3236" s="27" t="s">
        <v>1681</v>
      </c>
      <c r="F3236" s="51">
        <v>25600</v>
      </c>
      <c r="G3236" s="27"/>
    </row>
    <row r="3237" spans="1:7">
      <c r="A3237" s="27">
        <v>164</v>
      </c>
      <c r="B3237" s="27" t="s">
        <v>107</v>
      </c>
      <c r="C3237" s="27" t="s">
        <v>311</v>
      </c>
      <c r="D3237" s="27" t="s">
        <v>399</v>
      </c>
      <c r="E3237" s="27" t="s">
        <v>1681</v>
      </c>
      <c r="F3237" s="51">
        <v>8081218</v>
      </c>
      <c r="G3237" s="27"/>
    </row>
    <row r="3238" spans="1:7">
      <c r="A3238" s="27">
        <v>164</v>
      </c>
      <c r="B3238" s="27" t="s">
        <v>107</v>
      </c>
      <c r="C3238" s="27" t="s">
        <v>311</v>
      </c>
      <c r="D3238" s="27" t="s">
        <v>317</v>
      </c>
      <c r="E3238" s="27" t="s">
        <v>1681</v>
      </c>
      <c r="F3238" s="51">
        <v>86171</v>
      </c>
      <c r="G3238" s="27"/>
    </row>
    <row r="3239" spans="1:7">
      <c r="A3239" s="27">
        <v>164</v>
      </c>
      <c r="B3239" s="27" t="s">
        <v>107</v>
      </c>
      <c r="C3239" s="27" t="s">
        <v>311</v>
      </c>
      <c r="D3239" s="27" t="s">
        <v>293</v>
      </c>
      <c r="E3239" s="27" t="s">
        <v>1681</v>
      </c>
      <c r="F3239" s="51">
        <v>114792</v>
      </c>
      <c r="G3239" s="27"/>
    </row>
    <row r="3240" spans="1:7">
      <c r="A3240" s="27">
        <v>164</v>
      </c>
      <c r="B3240" s="27" t="s">
        <v>107</v>
      </c>
      <c r="C3240" s="27" t="s">
        <v>311</v>
      </c>
      <c r="D3240" s="27" t="s">
        <v>307</v>
      </c>
      <c r="E3240" s="27" t="s">
        <v>1681</v>
      </c>
      <c r="F3240" s="51">
        <v>40800</v>
      </c>
      <c r="G3240" s="27"/>
    </row>
    <row r="3241" spans="1:7">
      <c r="A3241" s="27">
        <v>164</v>
      </c>
      <c r="B3241" s="27" t="s">
        <v>107</v>
      </c>
      <c r="C3241" s="27" t="s">
        <v>311</v>
      </c>
      <c r="D3241" s="27" t="s">
        <v>294</v>
      </c>
      <c r="E3241" s="27" t="s">
        <v>1681</v>
      </c>
      <c r="F3241" s="51">
        <v>38342</v>
      </c>
      <c r="G3241" s="27"/>
    </row>
    <row r="3242" spans="1:7">
      <c r="A3242" s="27">
        <v>164</v>
      </c>
      <c r="B3242" s="27" t="s">
        <v>107</v>
      </c>
      <c r="C3242" s="27" t="s">
        <v>311</v>
      </c>
      <c r="D3242" s="27" t="s">
        <v>295</v>
      </c>
      <c r="E3242" s="27" t="s">
        <v>1681</v>
      </c>
      <c r="F3242" s="51">
        <v>40000</v>
      </c>
      <c r="G3242" s="27"/>
    </row>
    <row r="3243" spans="1:7">
      <c r="A3243" s="27">
        <v>164</v>
      </c>
      <c r="B3243" s="27" t="s">
        <v>107</v>
      </c>
      <c r="C3243" s="27" t="s">
        <v>311</v>
      </c>
      <c r="D3243" s="27" t="s">
        <v>303</v>
      </c>
      <c r="E3243" s="27" t="s">
        <v>1681</v>
      </c>
      <c r="F3243" s="51">
        <v>17451</v>
      </c>
      <c r="G3243" s="27"/>
    </row>
    <row r="3244" spans="1:7">
      <c r="A3244" s="27">
        <v>164</v>
      </c>
      <c r="B3244" s="27" t="s">
        <v>107</v>
      </c>
      <c r="C3244" s="27" t="s">
        <v>311</v>
      </c>
      <c r="D3244" s="27" t="s">
        <v>304</v>
      </c>
      <c r="E3244" s="27" t="s">
        <v>1681</v>
      </c>
      <c r="F3244" s="51">
        <v>14000</v>
      </c>
      <c r="G3244" s="27"/>
    </row>
    <row r="3245" spans="1:7">
      <c r="A3245" s="27">
        <v>164</v>
      </c>
      <c r="B3245" s="27" t="s">
        <v>107</v>
      </c>
      <c r="C3245" s="27" t="s">
        <v>311</v>
      </c>
      <c r="D3245" s="27" t="s">
        <v>296</v>
      </c>
      <c r="E3245" s="27" t="s">
        <v>1681</v>
      </c>
      <c r="F3245" s="51">
        <v>4188194</v>
      </c>
      <c r="G3245" s="27"/>
    </row>
    <row r="3246" spans="1:7">
      <c r="A3246" s="27">
        <v>164</v>
      </c>
      <c r="B3246" s="27" t="s">
        <v>107</v>
      </c>
      <c r="C3246" s="27" t="s">
        <v>311</v>
      </c>
      <c r="D3246" s="27" t="s">
        <v>400</v>
      </c>
      <c r="E3246" s="27" t="s">
        <v>1681</v>
      </c>
      <c r="F3246" s="51">
        <v>166586</v>
      </c>
      <c r="G3246" s="27"/>
    </row>
    <row r="3247" spans="1:7">
      <c r="A3247" s="27">
        <v>164</v>
      </c>
      <c r="B3247" s="27" t="s">
        <v>107</v>
      </c>
      <c r="C3247" s="27" t="s">
        <v>311</v>
      </c>
      <c r="D3247" s="27" t="s">
        <v>298</v>
      </c>
      <c r="E3247" s="27" t="s">
        <v>1681</v>
      </c>
      <c r="F3247" s="51">
        <v>323868</v>
      </c>
      <c r="G3247" s="27"/>
    </row>
    <row r="3248" spans="1:7">
      <c r="A3248" s="27">
        <v>164</v>
      </c>
      <c r="B3248" s="27" t="s">
        <v>107</v>
      </c>
      <c r="C3248" s="27" t="s">
        <v>311</v>
      </c>
      <c r="D3248" s="27" t="s">
        <v>401</v>
      </c>
      <c r="E3248" s="27" t="s">
        <v>1681</v>
      </c>
      <c r="F3248" s="51">
        <v>28748</v>
      </c>
      <c r="G3248" s="27"/>
    </row>
    <row r="3249" spans="1:7">
      <c r="A3249" s="27">
        <v>164</v>
      </c>
      <c r="B3249" s="27" t="s">
        <v>107</v>
      </c>
      <c r="C3249" s="27" t="s">
        <v>311</v>
      </c>
      <c r="D3249" s="27" t="s">
        <v>1347</v>
      </c>
      <c r="E3249" s="27" t="s">
        <v>1681</v>
      </c>
      <c r="F3249" s="51">
        <v>3062</v>
      </c>
      <c r="G3249" s="27"/>
    </row>
    <row r="3250" spans="1:7">
      <c r="A3250" s="27">
        <v>164</v>
      </c>
      <c r="B3250" s="27" t="s">
        <v>107</v>
      </c>
      <c r="C3250" s="27" t="s">
        <v>311</v>
      </c>
      <c r="D3250" s="27" t="s">
        <v>402</v>
      </c>
      <c r="E3250" s="27" t="s">
        <v>1681</v>
      </c>
      <c r="F3250" s="51">
        <v>292575</v>
      </c>
      <c r="G3250" s="27"/>
    </row>
    <row r="3251" spans="1:7">
      <c r="A3251" s="27">
        <v>164</v>
      </c>
      <c r="B3251" s="27" t="s">
        <v>107</v>
      </c>
      <c r="C3251" s="27" t="s">
        <v>311</v>
      </c>
      <c r="D3251" s="27" t="s">
        <v>299</v>
      </c>
      <c r="E3251" s="27" t="s">
        <v>1681</v>
      </c>
      <c r="F3251" s="51">
        <v>45219</v>
      </c>
      <c r="G3251" s="27"/>
    </row>
    <row r="3252" spans="1:7">
      <c r="A3252" s="27">
        <v>164</v>
      </c>
      <c r="B3252" s="27" t="s">
        <v>107</v>
      </c>
      <c r="C3252" s="27" t="s">
        <v>311</v>
      </c>
      <c r="D3252" s="27" t="s">
        <v>300</v>
      </c>
      <c r="E3252" s="27" t="s">
        <v>1681</v>
      </c>
      <c r="F3252" s="51">
        <v>19462</v>
      </c>
      <c r="G3252" s="27"/>
    </row>
    <row r="3253" spans="1:7">
      <c r="A3253" s="27">
        <v>165</v>
      </c>
      <c r="B3253" s="27" t="s">
        <v>108</v>
      </c>
      <c r="C3253" s="27" t="s">
        <v>346</v>
      </c>
      <c r="D3253" s="27" t="s">
        <v>408</v>
      </c>
      <c r="E3253" s="27" t="s">
        <v>1682</v>
      </c>
      <c r="F3253" s="51">
        <v>120529</v>
      </c>
      <c r="G3253" s="27"/>
    </row>
    <row r="3254" spans="1:7">
      <c r="A3254" s="27">
        <v>165</v>
      </c>
      <c r="B3254" s="27" t="s">
        <v>108</v>
      </c>
      <c r="C3254" s="27" t="s">
        <v>346</v>
      </c>
      <c r="D3254" s="27" t="s">
        <v>394</v>
      </c>
      <c r="E3254" s="27" t="s">
        <v>1682</v>
      </c>
      <c r="F3254" s="51">
        <v>251537</v>
      </c>
      <c r="G3254" s="27"/>
    </row>
    <row r="3255" spans="1:7">
      <c r="A3255" s="27">
        <v>165</v>
      </c>
      <c r="B3255" s="27" t="s">
        <v>108</v>
      </c>
      <c r="C3255" s="27" t="s">
        <v>346</v>
      </c>
      <c r="D3255" s="27" t="s">
        <v>397</v>
      </c>
      <c r="E3255" s="27" t="s">
        <v>1682</v>
      </c>
      <c r="F3255" s="51">
        <v>60000</v>
      </c>
      <c r="G3255" s="27"/>
    </row>
    <row r="3256" spans="1:7">
      <c r="A3256" s="27">
        <v>165</v>
      </c>
      <c r="B3256" s="27" t="s">
        <v>108</v>
      </c>
      <c r="C3256" s="27" t="s">
        <v>346</v>
      </c>
      <c r="D3256" s="27" t="s">
        <v>333</v>
      </c>
      <c r="E3256" s="27" t="s">
        <v>1682</v>
      </c>
      <c r="F3256" s="51">
        <v>2288</v>
      </c>
      <c r="G3256" s="27"/>
    </row>
    <row r="3257" spans="1:7">
      <c r="A3257" s="27">
        <v>165</v>
      </c>
      <c r="B3257" s="27" t="s">
        <v>108</v>
      </c>
      <c r="C3257" s="27" t="s">
        <v>346</v>
      </c>
      <c r="D3257" s="27" t="s">
        <v>411</v>
      </c>
      <c r="E3257" s="27" t="s">
        <v>1682</v>
      </c>
      <c r="F3257" s="51">
        <v>1000</v>
      </c>
      <c r="G3257" s="27"/>
    </row>
    <row r="3258" spans="1:7">
      <c r="A3258" s="27">
        <v>165</v>
      </c>
      <c r="B3258" s="27" t="s">
        <v>108</v>
      </c>
      <c r="C3258" s="27" t="s">
        <v>346</v>
      </c>
      <c r="D3258" s="27" t="s">
        <v>412</v>
      </c>
      <c r="E3258" s="27" t="s">
        <v>1682</v>
      </c>
      <c r="F3258" s="51">
        <v>30000</v>
      </c>
      <c r="G3258" s="27"/>
    </row>
    <row r="3259" spans="1:7">
      <c r="A3259" s="27">
        <v>165</v>
      </c>
      <c r="B3259" s="27" t="s">
        <v>108</v>
      </c>
      <c r="C3259" s="27" t="s">
        <v>346</v>
      </c>
      <c r="D3259" s="27" t="s">
        <v>398</v>
      </c>
      <c r="E3259" s="27" t="s">
        <v>1682</v>
      </c>
      <c r="F3259" s="51">
        <v>5000</v>
      </c>
      <c r="G3259" s="27"/>
    </row>
    <row r="3260" spans="1:7">
      <c r="A3260" s="27">
        <v>165</v>
      </c>
      <c r="B3260" s="27" t="s">
        <v>108</v>
      </c>
      <c r="C3260" s="27" t="s">
        <v>346</v>
      </c>
      <c r="D3260" s="27" t="s">
        <v>415</v>
      </c>
      <c r="E3260" s="27" t="s">
        <v>1682</v>
      </c>
      <c r="F3260" s="51">
        <v>7394</v>
      </c>
      <c r="G3260" s="27"/>
    </row>
    <row r="3261" spans="1:7">
      <c r="A3261" s="27">
        <v>165</v>
      </c>
      <c r="B3261" s="27" t="s">
        <v>108</v>
      </c>
      <c r="C3261" s="27" t="s">
        <v>346</v>
      </c>
      <c r="D3261" s="27" t="s">
        <v>291</v>
      </c>
      <c r="E3261" s="27" t="s">
        <v>1681</v>
      </c>
      <c r="F3261" s="51">
        <v>7292</v>
      </c>
      <c r="G3261" s="27"/>
    </row>
    <row r="3262" spans="1:7">
      <c r="A3262" s="27">
        <v>165</v>
      </c>
      <c r="B3262" s="27" t="s">
        <v>108</v>
      </c>
      <c r="C3262" s="27" t="s">
        <v>346</v>
      </c>
      <c r="D3262" s="27" t="s">
        <v>399</v>
      </c>
      <c r="E3262" s="27" t="s">
        <v>1681</v>
      </c>
      <c r="F3262" s="51">
        <v>2589877</v>
      </c>
      <c r="G3262" s="27"/>
    </row>
    <row r="3263" spans="1:7">
      <c r="A3263" s="27">
        <v>165</v>
      </c>
      <c r="B3263" s="27" t="s">
        <v>108</v>
      </c>
      <c r="C3263" s="27" t="s">
        <v>346</v>
      </c>
      <c r="D3263" s="27" t="s">
        <v>307</v>
      </c>
      <c r="E3263" s="27" t="s">
        <v>1681</v>
      </c>
      <c r="F3263" s="51">
        <v>13200</v>
      </c>
      <c r="G3263" s="27"/>
    </row>
    <row r="3264" spans="1:7">
      <c r="A3264" s="27">
        <v>165</v>
      </c>
      <c r="B3264" s="27" t="s">
        <v>108</v>
      </c>
      <c r="C3264" s="27" t="s">
        <v>346</v>
      </c>
      <c r="D3264" s="27" t="s">
        <v>295</v>
      </c>
      <c r="E3264" s="27" t="s">
        <v>1681</v>
      </c>
      <c r="F3264" s="51">
        <v>40771</v>
      </c>
      <c r="G3264" s="27"/>
    </row>
    <row r="3265" spans="1:7">
      <c r="A3265" s="27">
        <v>165</v>
      </c>
      <c r="B3265" s="27" t="s">
        <v>108</v>
      </c>
      <c r="C3265" s="27" t="s">
        <v>346</v>
      </c>
      <c r="D3265" s="27" t="s">
        <v>296</v>
      </c>
      <c r="E3265" s="27" t="s">
        <v>1681</v>
      </c>
      <c r="F3265" s="51">
        <v>563645</v>
      </c>
      <c r="G3265" s="27"/>
    </row>
    <row r="3266" spans="1:7">
      <c r="A3266" s="27">
        <v>165</v>
      </c>
      <c r="B3266" s="27" t="s">
        <v>108</v>
      </c>
      <c r="C3266" s="27" t="s">
        <v>346</v>
      </c>
      <c r="D3266" s="27" t="s">
        <v>400</v>
      </c>
      <c r="E3266" s="27" t="s">
        <v>1681</v>
      </c>
      <c r="F3266" s="51">
        <v>77140</v>
      </c>
      <c r="G3266" s="27"/>
    </row>
    <row r="3267" spans="1:7">
      <c r="A3267" s="27">
        <v>165</v>
      </c>
      <c r="B3267" s="27" t="s">
        <v>108</v>
      </c>
      <c r="C3267" s="27" t="s">
        <v>346</v>
      </c>
      <c r="D3267" s="27" t="s">
        <v>298</v>
      </c>
      <c r="E3267" s="27" t="s">
        <v>1681</v>
      </c>
      <c r="F3267" s="51">
        <v>55072</v>
      </c>
      <c r="G3267" s="27"/>
    </row>
    <row r="3268" spans="1:7">
      <c r="A3268" s="27">
        <v>165</v>
      </c>
      <c r="B3268" s="27" t="s">
        <v>108</v>
      </c>
      <c r="C3268" s="27" t="s">
        <v>346</v>
      </c>
      <c r="D3268" s="27" t="s">
        <v>401</v>
      </c>
      <c r="E3268" s="27" t="s">
        <v>1681</v>
      </c>
      <c r="F3268" s="51">
        <v>29202</v>
      </c>
      <c r="G3268" s="27"/>
    </row>
    <row r="3269" spans="1:7">
      <c r="A3269" s="27">
        <v>165</v>
      </c>
      <c r="B3269" s="27" t="s">
        <v>108</v>
      </c>
      <c r="C3269" s="27" t="s">
        <v>346</v>
      </c>
      <c r="D3269" s="27" t="s">
        <v>402</v>
      </c>
      <c r="E3269" s="27" t="s">
        <v>1681</v>
      </c>
      <c r="F3269" s="51">
        <v>85875</v>
      </c>
      <c r="G3269" s="27"/>
    </row>
    <row r="3270" spans="1:7">
      <c r="A3270" s="27">
        <v>165</v>
      </c>
      <c r="B3270" s="27" t="s">
        <v>108</v>
      </c>
      <c r="C3270" s="27" t="s">
        <v>346</v>
      </c>
      <c r="D3270" s="27" t="s">
        <v>300</v>
      </c>
      <c r="E3270" s="27" t="s">
        <v>1681</v>
      </c>
      <c r="F3270" s="51">
        <v>14000</v>
      </c>
      <c r="G3270" s="27"/>
    </row>
    <row r="3271" spans="1:7">
      <c r="A3271" s="27">
        <v>166</v>
      </c>
      <c r="B3271" s="27" t="s">
        <v>109</v>
      </c>
      <c r="C3271" s="27" t="s">
        <v>346</v>
      </c>
      <c r="D3271" s="27" t="s">
        <v>406</v>
      </c>
      <c r="E3271" s="27" t="s">
        <v>1682</v>
      </c>
      <c r="F3271" s="51">
        <v>16759</v>
      </c>
      <c r="G3271" s="27"/>
    </row>
    <row r="3272" spans="1:7">
      <c r="A3272" s="27">
        <v>166</v>
      </c>
      <c r="B3272" s="27" t="s">
        <v>109</v>
      </c>
      <c r="C3272" s="27" t="s">
        <v>346</v>
      </c>
      <c r="D3272" s="27" t="s">
        <v>408</v>
      </c>
      <c r="E3272" s="27" t="s">
        <v>1682</v>
      </c>
      <c r="F3272" s="51">
        <v>114393</v>
      </c>
      <c r="G3272" s="27"/>
    </row>
    <row r="3273" spans="1:7">
      <c r="A3273" s="27">
        <v>166</v>
      </c>
      <c r="B3273" s="27" t="s">
        <v>109</v>
      </c>
      <c r="C3273" s="27" t="s">
        <v>346</v>
      </c>
      <c r="D3273" s="27" t="s">
        <v>394</v>
      </c>
      <c r="E3273" s="27" t="s">
        <v>1682</v>
      </c>
      <c r="F3273" s="51">
        <v>353931</v>
      </c>
      <c r="G3273" s="27"/>
    </row>
    <row r="3274" spans="1:7">
      <c r="A3274" s="27">
        <v>166</v>
      </c>
      <c r="B3274" s="27" t="s">
        <v>109</v>
      </c>
      <c r="C3274" s="27" t="s">
        <v>346</v>
      </c>
      <c r="D3274" s="27" t="s">
        <v>397</v>
      </c>
      <c r="E3274" s="27" t="s">
        <v>1682</v>
      </c>
      <c r="F3274" s="51">
        <v>62080</v>
      </c>
      <c r="G3274" s="27"/>
    </row>
    <row r="3275" spans="1:7">
      <c r="A3275" s="27">
        <v>166</v>
      </c>
      <c r="B3275" s="27" t="s">
        <v>109</v>
      </c>
      <c r="C3275" s="27" t="s">
        <v>346</v>
      </c>
      <c r="D3275" s="27" t="s">
        <v>333</v>
      </c>
      <c r="E3275" s="27" t="s">
        <v>1682</v>
      </c>
      <c r="F3275" s="51">
        <v>4296</v>
      </c>
      <c r="G3275" s="27"/>
    </row>
    <row r="3276" spans="1:7">
      <c r="A3276" s="27">
        <v>166</v>
      </c>
      <c r="B3276" s="27" t="s">
        <v>109</v>
      </c>
      <c r="C3276" s="27" t="s">
        <v>346</v>
      </c>
      <c r="D3276" s="27" t="s">
        <v>411</v>
      </c>
      <c r="E3276" s="27" t="s">
        <v>1682</v>
      </c>
      <c r="F3276" s="51">
        <v>2377</v>
      </c>
      <c r="G3276" s="27"/>
    </row>
    <row r="3277" spans="1:7">
      <c r="A3277" s="27">
        <v>166</v>
      </c>
      <c r="B3277" s="27" t="s">
        <v>109</v>
      </c>
      <c r="C3277" s="27" t="s">
        <v>346</v>
      </c>
      <c r="D3277" s="27" t="s">
        <v>412</v>
      </c>
      <c r="E3277" s="27" t="s">
        <v>1682</v>
      </c>
      <c r="F3277" s="51">
        <v>42000</v>
      </c>
      <c r="G3277" s="27"/>
    </row>
    <row r="3278" spans="1:7">
      <c r="A3278" s="27">
        <v>166</v>
      </c>
      <c r="B3278" s="27" t="s">
        <v>109</v>
      </c>
      <c r="C3278" s="27" t="s">
        <v>346</v>
      </c>
      <c r="D3278" s="27" t="s">
        <v>398</v>
      </c>
      <c r="E3278" s="27" t="s">
        <v>1682</v>
      </c>
      <c r="F3278" s="51">
        <v>16525</v>
      </c>
      <c r="G3278" s="27"/>
    </row>
    <row r="3279" spans="1:7">
      <c r="A3279" s="27">
        <v>166</v>
      </c>
      <c r="B3279" s="27" t="s">
        <v>109</v>
      </c>
      <c r="C3279" s="27" t="s">
        <v>346</v>
      </c>
      <c r="D3279" s="27" t="s">
        <v>415</v>
      </c>
      <c r="E3279" s="27" t="s">
        <v>1682</v>
      </c>
      <c r="F3279" s="51">
        <v>21968</v>
      </c>
      <c r="G3279" s="27"/>
    </row>
    <row r="3280" spans="1:7">
      <c r="A3280" s="27">
        <v>166</v>
      </c>
      <c r="B3280" s="27" t="s">
        <v>109</v>
      </c>
      <c r="C3280" s="27" t="s">
        <v>346</v>
      </c>
      <c r="D3280" s="27" t="s">
        <v>334</v>
      </c>
      <c r="E3280" s="27" t="s">
        <v>1682</v>
      </c>
      <c r="F3280" s="51">
        <v>20305</v>
      </c>
      <c r="G3280" s="27"/>
    </row>
    <row r="3281" spans="1:7">
      <c r="A3281" s="27">
        <v>166</v>
      </c>
      <c r="B3281" s="27" t="s">
        <v>109</v>
      </c>
      <c r="C3281" s="27" t="s">
        <v>346</v>
      </c>
      <c r="D3281" s="27" t="s">
        <v>291</v>
      </c>
      <c r="E3281" s="27" t="s">
        <v>1681</v>
      </c>
      <c r="F3281" s="51">
        <v>14829</v>
      </c>
      <c r="G3281" s="27"/>
    </row>
    <row r="3282" spans="1:7">
      <c r="A3282" s="27">
        <v>166</v>
      </c>
      <c r="B3282" s="27" t="s">
        <v>109</v>
      </c>
      <c r="C3282" s="27" t="s">
        <v>346</v>
      </c>
      <c r="D3282" s="27" t="s">
        <v>399</v>
      </c>
      <c r="E3282" s="27" t="s">
        <v>1681</v>
      </c>
      <c r="F3282" s="51">
        <v>10552327</v>
      </c>
      <c r="G3282" s="27"/>
    </row>
    <row r="3283" spans="1:7">
      <c r="A3283" s="27">
        <v>166</v>
      </c>
      <c r="B3283" s="27" t="s">
        <v>109</v>
      </c>
      <c r="C3283" s="27" t="s">
        <v>346</v>
      </c>
      <c r="D3283" s="27" t="s">
        <v>307</v>
      </c>
      <c r="E3283" s="27" t="s">
        <v>1681</v>
      </c>
      <c r="F3283" s="51">
        <v>142382</v>
      </c>
      <c r="G3283" s="27"/>
    </row>
    <row r="3284" spans="1:7">
      <c r="A3284" s="27">
        <v>166</v>
      </c>
      <c r="B3284" s="27" t="s">
        <v>109</v>
      </c>
      <c r="C3284" s="27" t="s">
        <v>346</v>
      </c>
      <c r="D3284" s="27" t="s">
        <v>296</v>
      </c>
      <c r="E3284" s="27" t="s">
        <v>1681</v>
      </c>
      <c r="F3284" s="51">
        <v>1350309</v>
      </c>
      <c r="G3284" s="27"/>
    </row>
    <row r="3285" spans="1:7">
      <c r="A3285" s="27">
        <v>166</v>
      </c>
      <c r="B3285" s="27" t="s">
        <v>109</v>
      </c>
      <c r="C3285" s="27" t="s">
        <v>346</v>
      </c>
      <c r="D3285" s="27" t="s">
        <v>400</v>
      </c>
      <c r="E3285" s="27" t="s">
        <v>1681</v>
      </c>
      <c r="F3285" s="51">
        <v>235721</v>
      </c>
      <c r="G3285" s="27"/>
    </row>
    <row r="3286" spans="1:7">
      <c r="A3286" s="27">
        <v>166</v>
      </c>
      <c r="B3286" s="27" t="s">
        <v>109</v>
      </c>
      <c r="C3286" s="27" t="s">
        <v>346</v>
      </c>
      <c r="D3286" s="27" t="s">
        <v>298</v>
      </c>
      <c r="E3286" s="27" t="s">
        <v>1681</v>
      </c>
      <c r="F3286" s="51">
        <v>2188</v>
      </c>
      <c r="G3286" s="27"/>
    </row>
    <row r="3287" spans="1:7">
      <c r="A3287" s="27">
        <v>166</v>
      </c>
      <c r="B3287" s="27" t="s">
        <v>109</v>
      </c>
      <c r="C3287" s="27" t="s">
        <v>346</v>
      </c>
      <c r="D3287" s="27" t="s">
        <v>401</v>
      </c>
      <c r="E3287" s="27" t="s">
        <v>1681</v>
      </c>
      <c r="F3287" s="51">
        <v>30326</v>
      </c>
      <c r="G3287" s="27"/>
    </row>
    <row r="3288" spans="1:7">
      <c r="A3288" s="27">
        <v>166</v>
      </c>
      <c r="B3288" s="27" t="s">
        <v>109</v>
      </c>
      <c r="C3288" s="27" t="s">
        <v>346</v>
      </c>
      <c r="D3288" s="27" t="s">
        <v>402</v>
      </c>
      <c r="E3288" s="27" t="s">
        <v>1681</v>
      </c>
      <c r="F3288" s="51">
        <v>245996</v>
      </c>
      <c r="G3288" s="27"/>
    </row>
    <row r="3289" spans="1:7">
      <c r="A3289" s="27">
        <v>167</v>
      </c>
      <c r="B3289" s="27" t="s">
        <v>110</v>
      </c>
      <c r="C3289" s="27" t="s">
        <v>306</v>
      </c>
      <c r="D3289" s="27" t="s">
        <v>408</v>
      </c>
      <c r="E3289" s="27" t="s">
        <v>1682</v>
      </c>
      <c r="F3289" s="51">
        <v>9664</v>
      </c>
      <c r="G3289" s="27"/>
    </row>
    <row r="3290" spans="1:7">
      <c r="A3290" s="27">
        <v>167</v>
      </c>
      <c r="B3290" s="27" t="s">
        <v>110</v>
      </c>
      <c r="C3290" s="27" t="s">
        <v>306</v>
      </c>
      <c r="D3290" s="27" t="s">
        <v>394</v>
      </c>
      <c r="E3290" s="27" t="s">
        <v>1682</v>
      </c>
      <c r="F3290" s="51">
        <v>74081</v>
      </c>
      <c r="G3290" s="27"/>
    </row>
    <row r="3291" spans="1:7">
      <c r="A3291" s="27">
        <v>167</v>
      </c>
      <c r="B3291" s="27" t="s">
        <v>110</v>
      </c>
      <c r="C3291" s="27" t="s">
        <v>306</v>
      </c>
      <c r="D3291" s="27" t="s">
        <v>412</v>
      </c>
      <c r="E3291" s="27" t="s">
        <v>1682</v>
      </c>
      <c r="F3291" s="51">
        <v>11705</v>
      </c>
      <c r="G3291" s="27"/>
    </row>
    <row r="3292" spans="1:7">
      <c r="A3292" s="27">
        <v>167</v>
      </c>
      <c r="B3292" s="27" t="s">
        <v>110</v>
      </c>
      <c r="C3292" s="27" t="s">
        <v>306</v>
      </c>
      <c r="D3292" s="27" t="s">
        <v>398</v>
      </c>
      <c r="E3292" s="27" t="s">
        <v>1682</v>
      </c>
      <c r="F3292" s="51">
        <v>2439</v>
      </c>
      <c r="G3292" s="27"/>
    </row>
    <row r="3293" spans="1:7">
      <c r="A3293" s="27">
        <v>167</v>
      </c>
      <c r="B3293" s="27" t="s">
        <v>110</v>
      </c>
      <c r="C3293" s="27" t="s">
        <v>306</v>
      </c>
      <c r="D3293" s="27" t="s">
        <v>415</v>
      </c>
      <c r="E3293" s="27" t="s">
        <v>1682</v>
      </c>
      <c r="F3293" s="51">
        <v>2817</v>
      </c>
      <c r="G3293" s="27"/>
    </row>
    <row r="3294" spans="1:7">
      <c r="A3294" s="27">
        <v>167</v>
      </c>
      <c r="B3294" s="27" t="s">
        <v>110</v>
      </c>
      <c r="C3294" s="27" t="s">
        <v>306</v>
      </c>
      <c r="D3294" s="27" t="s">
        <v>291</v>
      </c>
      <c r="E3294" s="27" t="s">
        <v>1681</v>
      </c>
      <c r="F3294" s="51">
        <v>2352</v>
      </c>
      <c r="G3294" s="27"/>
    </row>
    <row r="3295" spans="1:7">
      <c r="A3295" s="27">
        <v>167</v>
      </c>
      <c r="B3295" s="27" t="s">
        <v>110</v>
      </c>
      <c r="C3295" s="27" t="s">
        <v>306</v>
      </c>
      <c r="D3295" s="27" t="s">
        <v>399</v>
      </c>
      <c r="E3295" s="27" t="s">
        <v>1681</v>
      </c>
      <c r="F3295" s="51">
        <v>406679</v>
      </c>
      <c r="G3295" s="27"/>
    </row>
    <row r="3296" spans="1:7">
      <c r="A3296" s="27">
        <v>167</v>
      </c>
      <c r="B3296" s="27" t="s">
        <v>110</v>
      </c>
      <c r="C3296" s="27" t="s">
        <v>306</v>
      </c>
      <c r="D3296" s="27" t="s">
        <v>307</v>
      </c>
      <c r="E3296" s="27" t="s">
        <v>1681</v>
      </c>
      <c r="F3296" s="51">
        <v>6000</v>
      </c>
      <c r="G3296" s="27"/>
    </row>
    <row r="3297" spans="1:7">
      <c r="A3297" s="27">
        <v>167</v>
      </c>
      <c r="B3297" s="27" t="s">
        <v>110</v>
      </c>
      <c r="C3297" s="27" t="s">
        <v>306</v>
      </c>
      <c r="D3297" s="27" t="s">
        <v>294</v>
      </c>
      <c r="E3297" s="27" t="s">
        <v>1681</v>
      </c>
      <c r="F3297" s="51">
        <v>3140</v>
      </c>
      <c r="G3297" s="27"/>
    </row>
    <row r="3298" spans="1:7">
      <c r="A3298" s="27">
        <v>167</v>
      </c>
      <c r="B3298" s="27" t="s">
        <v>110</v>
      </c>
      <c r="C3298" s="27" t="s">
        <v>306</v>
      </c>
      <c r="D3298" s="27" t="s">
        <v>295</v>
      </c>
      <c r="E3298" s="27" t="s">
        <v>1681</v>
      </c>
      <c r="F3298" s="51">
        <v>24337</v>
      </c>
      <c r="G3298" s="27"/>
    </row>
    <row r="3299" spans="1:7">
      <c r="A3299" s="27">
        <v>167</v>
      </c>
      <c r="B3299" s="27" t="s">
        <v>110</v>
      </c>
      <c r="C3299" s="27" t="s">
        <v>306</v>
      </c>
      <c r="D3299" s="27" t="s">
        <v>303</v>
      </c>
      <c r="E3299" s="27" t="s">
        <v>1681</v>
      </c>
      <c r="F3299" s="51">
        <v>14400</v>
      </c>
      <c r="G3299" s="27"/>
    </row>
    <row r="3300" spans="1:7">
      <c r="A3300" s="27">
        <v>167</v>
      </c>
      <c r="B3300" s="27" t="s">
        <v>110</v>
      </c>
      <c r="C3300" s="27" t="s">
        <v>306</v>
      </c>
      <c r="D3300" s="27" t="s">
        <v>296</v>
      </c>
      <c r="E3300" s="27" t="s">
        <v>1681</v>
      </c>
      <c r="F3300" s="51">
        <v>296027</v>
      </c>
      <c r="G3300" s="27"/>
    </row>
    <row r="3301" spans="1:7">
      <c r="A3301" s="27">
        <v>167</v>
      </c>
      <c r="B3301" s="27" t="s">
        <v>110</v>
      </c>
      <c r="C3301" s="27" t="s">
        <v>306</v>
      </c>
      <c r="D3301" s="27" t="s">
        <v>400</v>
      </c>
      <c r="E3301" s="27" t="s">
        <v>1681</v>
      </c>
      <c r="F3301" s="51">
        <v>95729</v>
      </c>
      <c r="G3301" s="27"/>
    </row>
    <row r="3302" spans="1:7">
      <c r="A3302" s="27">
        <v>167</v>
      </c>
      <c r="B3302" s="27" t="s">
        <v>110</v>
      </c>
      <c r="C3302" s="27" t="s">
        <v>306</v>
      </c>
      <c r="D3302" s="27" t="s">
        <v>401</v>
      </c>
      <c r="E3302" s="27" t="s">
        <v>1681</v>
      </c>
      <c r="F3302" s="51">
        <v>14891</v>
      </c>
      <c r="G3302" s="27"/>
    </row>
    <row r="3303" spans="1:7">
      <c r="A3303" s="27">
        <v>167</v>
      </c>
      <c r="B3303" s="27" t="s">
        <v>110</v>
      </c>
      <c r="C3303" s="27" t="s">
        <v>306</v>
      </c>
      <c r="D3303" s="27" t="s">
        <v>402</v>
      </c>
      <c r="E3303" s="27" t="s">
        <v>1681</v>
      </c>
      <c r="F3303" s="51">
        <v>833</v>
      </c>
      <c r="G3303" s="27"/>
    </row>
    <row r="3304" spans="1:7">
      <c r="A3304" s="27">
        <v>167</v>
      </c>
      <c r="B3304" s="27" t="s">
        <v>110</v>
      </c>
      <c r="C3304" s="27" t="s">
        <v>306</v>
      </c>
      <c r="D3304" s="27" t="s">
        <v>300</v>
      </c>
      <c r="E3304" s="27" t="s">
        <v>1681</v>
      </c>
      <c r="F3304" s="51">
        <v>14000</v>
      </c>
      <c r="G3304" s="27"/>
    </row>
    <row r="3305" spans="1:7">
      <c r="A3305" s="27">
        <v>168</v>
      </c>
      <c r="B3305" s="27" t="s">
        <v>111</v>
      </c>
      <c r="C3305" s="27" t="s">
        <v>393</v>
      </c>
      <c r="D3305" s="27" t="s">
        <v>399</v>
      </c>
      <c r="E3305" s="27" t="s">
        <v>1681</v>
      </c>
      <c r="F3305" s="51">
        <v>680043</v>
      </c>
      <c r="G3305" s="27"/>
    </row>
    <row r="3306" spans="1:7">
      <c r="A3306" s="27">
        <v>169</v>
      </c>
      <c r="B3306" s="27" t="s">
        <v>112</v>
      </c>
      <c r="C3306" s="27" t="s">
        <v>302</v>
      </c>
      <c r="D3306" s="27" t="s">
        <v>408</v>
      </c>
      <c r="E3306" s="27" t="s">
        <v>1682</v>
      </c>
      <c r="F3306" s="51">
        <v>31340</v>
      </c>
      <c r="G3306" s="27"/>
    </row>
    <row r="3307" spans="1:7">
      <c r="A3307" s="27">
        <v>169</v>
      </c>
      <c r="B3307" s="27" t="s">
        <v>112</v>
      </c>
      <c r="C3307" s="27" t="s">
        <v>302</v>
      </c>
      <c r="D3307" s="27" t="s">
        <v>394</v>
      </c>
      <c r="E3307" s="27" t="s">
        <v>1682</v>
      </c>
      <c r="F3307" s="51">
        <v>195592</v>
      </c>
      <c r="G3307" s="27"/>
    </row>
    <row r="3308" spans="1:7">
      <c r="A3308" s="27">
        <v>169</v>
      </c>
      <c r="B3308" s="27" t="s">
        <v>112</v>
      </c>
      <c r="C3308" s="27" t="s">
        <v>302</v>
      </c>
      <c r="D3308" s="27" t="s">
        <v>396</v>
      </c>
      <c r="E3308" s="27" t="s">
        <v>1682</v>
      </c>
      <c r="F3308" s="51">
        <v>5689</v>
      </c>
      <c r="G3308" s="27"/>
    </row>
    <row r="3309" spans="1:7">
      <c r="A3309" s="27">
        <v>169</v>
      </c>
      <c r="B3309" s="27" t="s">
        <v>112</v>
      </c>
      <c r="C3309" s="27" t="s">
        <v>302</v>
      </c>
      <c r="D3309" s="27" t="s">
        <v>397</v>
      </c>
      <c r="E3309" s="27" t="s">
        <v>1682</v>
      </c>
      <c r="F3309" s="51">
        <v>74348</v>
      </c>
      <c r="G3309" s="27"/>
    </row>
    <row r="3310" spans="1:7">
      <c r="A3310" s="27">
        <v>169</v>
      </c>
      <c r="B3310" s="27" t="s">
        <v>112</v>
      </c>
      <c r="C3310" s="27" t="s">
        <v>302</v>
      </c>
      <c r="D3310" s="27" t="s">
        <v>411</v>
      </c>
      <c r="E3310" s="27" t="s">
        <v>1682</v>
      </c>
      <c r="F3310" s="51">
        <v>1952</v>
      </c>
      <c r="G3310" s="27"/>
    </row>
    <row r="3311" spans="1:7">
      <c r="A3311" s="27">
        <v>169</v>
      </c>
      <c r="B3311" s="27" t="s">
        <v>112</v>
      </c>
      <c r="C3311" s="27" t="s">
        <v>302</v>
      </c>
      <c r="D3311" s="27" t="s">
        <v>412</v>
      </c>
      <c r="E3311" s="27" t="s">
        <v>1682</v>
      </c>
      <c r="F3311" s="51">
        <v>25455</v>
      </c>
      <c r="G3311" s="27"/>
    </row>
    <row r="3312" spans="1:7">
      <c r="A3312" s="27">
        <v>169</v>
      </c>
      <c r="B3312" s="27" t="s">
        <v>112</v>
      </c>
      <c r="C3312" s="27" t="s">
        <v>302</v>
      </c>
      <c r="D3312" s="27" t="s">
        <v>398</v>
      </c>
      <c r="E3312" s="27" t="s">
        <v>1682</v>
      </c>
      <c r="F3312" s="51">
        <v>6407</v>
      </c>
      <c r="G3312" s="27"/>
    </row>
    <row r="3313" spans="1:7">
      <c r="A3313" s="27">
        <v>169</v>
      </c>
      <c r="B3313" s="27" t="s">
        <v>112</v>
      </c>
      <c r="C3313" s="27" t="s">
        <v>302</v>
      </c>
      <c r="D3313" s="27" t="s">
        <v>415</v>
      </c>
      <c r="E3313" s="27" t="s">
        <v>1682</v>
      </c>
      <c r="F3313" s="51">
        <v>7409</v>
      </c>
      <c r="G3313" s="27"/>
    </row>
    <row r="3314" spans="1:7">
      <c r="A3314" s="27">
        <v>169</v>
      </c>
      <c r="B3314" s="27" t="s">
        <v>112</v>
      </c>
      <c r="C3314" s="27" t="s">
        <v>302</v>
      </c>
      <c r="D3314" s="27" t="s">
        <v>334</v>
      </c>
      <c r="E3314" s="27" t="s">
        <v>1682</v>
      </c>
      <c r="F3314" s="51">
        <v>9707</v>
      </c>
      <c r="G3314" s="27"/>
    </row>
    <row r="3315" spans="1:7">
      <c r="A3315" s="27">
        <v>169</v>
      </c>
      <c r="B3315" s="27" t="s">
        <v>112</v>
      </c>
      <c r="C3315" s="27" t="s">
        <v>302</v>
      </c>
      <c r="D3315" s="27" t="s">
        <v>291</v>
      </c>
      <c r="E3315" s="27" t="s">
        <v>1681</v>
      </c>
      <c r="F3315" s="51">
        <v>3267</v>
      </c>
      <c r="G3315" s="27"/>
    </row>
    <row r="3316" spans="1:7">
      <c r="A3316" s="27">
        <v>169</v>
      </c>
      <c r="B3316" s="27" t="s">
        <v>112</v>
      </c>
      <c r="C3316" s="27" t="s">
        <v>302</v>
      </c>
      <c r="D3316" s="27" t="s">
        <v>399</v>
      </c>
      <c r="E3316" s="27" t="s">
        <v>1681</v>
      </c>
      <c r="F3316" s="51">
        <v>4086220</v>
      </c>
      <c r="G3316" s="27"/>
    </row>
    <row r="3317" spans="1:7">
      <c r="A3317" s="27">
        <v>169</v>
      </c>
      <c r="B3317" s="27" t="s">
        <v>112</v>
      </c>
      <c r="C3317" s="27" t="s">
        <v>302</v>
      </c>
      <c r="D3317" s="27" t="s">
        <v>296</v>
      </c>
      <c r="E3317" s="27" t="s">
        <v>1681</v>
      </c>
      <c r="F3317" s="51">
        <v>584130</v>
      </c>
      <c r="G3317" s="27"/>
    </row>
    <row r="3318" spans="1:7">
      <c r="A3318" s="27">
        <v>169</v>
      </c>
      <c r="B3318" s="27" t="s">
        <v>112</v>
      </c>
      <c r="C3318" s="27" t="s">
        <v>302</v>
      </c>
      <c r="D3318" s="27" t="s">
        <v>400</v>
      </c>
      <c r="E3318" s="27" t="s">
        <v>1681</v>
      </c>
      <c r="F3318" s="51">
        <v>106103</v>
      </c>
      <c r="G3318" s="27"/>
    </row>
    <row r="3319" spans="1:7">
      <c r="A3319" s="27">
        <v>169</v>
      </c>
      <c r="B3319" s="27" t="s">
        <v>112</v>
      </c>
      <c r="C3319" s="27" t="s">
        <v>302</v>
      </c>
      <c r="D3319" s="27" t="s">
        <v>298</v>
      </c>
      <c r="E3319" s="27" t="s">
        <v>1681</v>
      </c>
      <c r="F3319" s="51">
        <v>58308</v>
      </c>
      <c r="G3319" s="27"/>
    </row>
    <row r="3320" spans="1:7">
      <c r="A3320" s="27">
        <v>169</v>
      </c>
      <c r="B3320" s="27" t="s">
        <v>112</v>
      </c>
      <c r="C3320" s="27" t="s">
        <v>302</v>
      </c>
      <c r="D3320" s="27" t="s">
        <v>401</v>
      </c>
      <c r="E3320" s="27" t="s">
        <v>1681</v>
      </c>
      <c r="F3320" s="51">
        <v>21260</v>
      </c>
      <c r="G3320" s="27"/>
    </row>
    <row r="3321" spans="1:7">
      <c r="A3321" s="27">
        <v>169</v>
      </c>
      <c r="B3321" s="27" t="s">
        <v>112</v>
      </c>
      <c r="C3321" s="27" t="s">
        <v>302</v>
      </c>
      <c r="D3321" s="27" t="s">
        <v>402</v>
      </c>
      <c r="E3321" s="27" t="s">
        <v>1681</v>
      </c>
      <c r="F3321" s="51">
        <v>181483</v>
      </c>
      <c r="G3321" s="27"/>
    </row>
    <row r="3322" spans="1:7">
      <c r="A3322" s="27">
        <v>201</v>
      </c>
      <c r="B3322" s="27" t="s">
        <v>113</v>
      </c>
      <c r="C3322" s="27" t="s">
        <v>302</v>
      </c>
      <c r="D3322" s="27" t="s">
        <v>408</v>
      </c>
      <c r="E3322" s="27" t="s">
        <v>1682</v>
      </c>
      <c r="F3322" s="51">
        <v>7743</v>
      </c>
      <c r="G3322" s="27"/>
    </row>
    <row r="3323" spans="1:7">
      <c r="A3323" s="27">
        <v>201</v>
      </c>
      <c r="B3323" s="27" t="s">
        <v>113</v>
      </c>
      <c r="C3323" s="27" t="s">
        <v>302</v>
      </c>
      <c r="D3323" s="27" t="s">
        <v>394</v>
      </c>
      <c r="E3323" s="27" t="s">
        <v>1682</v>
      </c>
      <c r="F3323" s="51">
        <v>425353</v>
      </c>
      <c r="G3323" s="27"/>
    </row>
    <row r="3324" spans="1:7">
      <c r="A3324" s="27">
        <v>201</v>
      </c>
      <c r="B3324" s="27" t="s">
        <v>113</v>
      </c>
      <c r="C3324" s="27" t="s">
        <v>302</v>
      </c>
      <c r="D3324" s="27" t="s">
        <v>396</v>
      </c>
      <c r="E3324" s="27" t="s">
        <v>1682</v>
      </c>
      <c r="F3324" s="51">
        <v>27500</v>
      </c>
      <c r="G3324" s="27"/>
    </row>
    <row r="3325" spans="1:7">
      <c r="A3325" s="27">
        <v>201</v>
      </c>
      <c r="B3325" s="27" t="s">
        <v>113</v>
      </c>
      <c r="C3325" s="27" t="s">
        <v>302</v>
      </c>
      <c r="D3325" s="27" t="s">
        <v>397</v>
      </c>
      <c r="E3325" s="27" t="s">
        <v>1682</v>
      </c>
      <c r="F3325" s="51">
        <v>31845</v>
      </c>
      <c r="G3325" s="27"/>
    </row>
    <row r="3326" spans="1:7">
      <c r="A3326" s="27">
        <v>201</v>
      </c>
      <c r="B3326" s="27" t="s">
        <v>113</v>
      </c>
      <c r="C3326" s="27" t="s">
        <v>302</v>
      </c>
      <c r="D3326" s="27" t="s">
        <v>412</v>
      </c>
      <c r="E3326" s="27" t="s">
        <v>1682</v>
      </c>
      <c r="F3326" s="51">
        <v>5000</v>
      </c>
      <c r="G3326" s="27"/>
    </row>
    <row r="3327" spans="1:7">
      <c r="A3327" s="27">
        <v>201</v>
      </c>
      <c r="B3327" s="27" t="s">
        <v>113</v>
      </c>
      <c r="C3327" s="27" t="s">
        <v>302</v>
      </c>
      <c r="D3327" s="27" t="s">
        <v>398</v>
      </c>
      <c r="E3327" s="27" t="s">
        <v>1682</v>
      </c>
      <c r="F3327" s="51">
        <v>1407</v>
      </c>
      <c r="G3327" s="27"/>
    </row>
    <row r="3328" spans="1:7">
      <c r="A3328" s="27">
        <v>201</v>
      </c>
      <c r="B3328" s="27" t="s">
        <v>113</v>
      </c>
      <c r="C3328" s="27" t="s">
        <v>302</v>
      </c>
      <c r="D3328" s="27" t="s">
        <v>415</v>
      </c>
      <c r="E3328" s="27" t="s">
        <v>1682</v>
      </c>
      <c r="F3328" s="51">
        <v>2166</v>
      </c>
      <c r="G3328" s="27"/>
    </row>
    <row r="3329" spans="1:7">
      <c r="A3329" s="27">
        <v>201</v>
      </c>
      <c r="B3329" s="27" t="s">
        <v>113</v>
      </c>
      <c r="C3329" s="27" t="s">
        <v>302</v>
      </c>
      <c r="D3329" s="27" t="s">
        <v>334</v>
      </c>
      <c r="E3329" s="27" t="s">
        <v>1682</v>
      </c>
      <c r="F3329" s="51">
        <v>6873</v>
      </c>
      <c r="G3329" s="27"/>
    </row>
    <row r="3330" spans="1:7">
      <c r="A3330" s="27">
        <v>201</v>
      </c>
      <c r="B3330" s="27" t="s">
        <v>113</v>
      </c>
      <c r="C3330" s="27" t="s">
        <v>302</v>
      </c>
      <c r="D3330" s="27" t="s">
        <v>303</v>
      </c>
      <c r="E3330" s="27" t="s">
        <v>1681</v>
      </c>
      <c r="F3330" s="51">
        <v>17100</v>
      </c>
      <c r="G3330" s="27"/>
    </row>
    <row r="3331" spans="1:7">
      <c r="A3331" s="27">
        <v>201</v>
      </c>
      <c r="B3331" s="27" t="s">
        <v>113</v>
      </c>
      <c r="C3331" s="27" t="s">
        <v>302</v>
      </c>
      <c r="D3331" s="27" t="s">
        <v>296</v>
      </c>
      <c r="E3331" s="27" t="s">
        <v>1681</v>
      </c>
      <c r="F3331" s="51">
        <v>92740</v>
      </c>
      <c r="G3331" s="27"/>
    </row>
    <row r="3332" spans="1:7">
      <c r="A3332" s="27">
        <v>201</v>
      </c>
      <c r="B3332" s="27" t="s">
        <v>113</v>
      </c>
      <c r="C3332" s="27" t="s">
        <v>302</v>
      </c>
      <c r="D3332" s="27" t="s">
        <v>400</v>
      </c>
      <c r="E3332" s="27" t="s">
        <v>1681</v>
      </c>
      <c r="F3332" s="51">
        <v>60642</v>
      </c>
      <c r="G3332" s="27"/>
    </row>
    <row r="3333" spans="1:7">
      <c r="A3333" s="27">
        <v>201</v>
      </c>
      <c r="B3333" s="27" t="s">
        <v>113</v>
      </c>
      <c r="C3333" s="27" t="s">
        <v>302</v>
      </c>
      <c r="D3333" s="27" t="s">
        <v>298</v>
      </c>
      <c r="E3333" s="27" t="s">
        <v>1681</v>
      </c>
      <c r="F3333" s="51">
        <v>9267</v>
      </c>
      <c r="G3333" s="27"/>
    </row>
    <row r="3334" spans="1:7">
      <c r="A3334" s="27">
        <v>201</v>
      </c>
      <c r="B3334" s="27" t="s">
        <v>113</v>
      </c>
      <c r="C3334" s="27" t="s">
        <v>302</v>
      </c>
      <c r="D3334" s="27" t="s">
        <v>401</v>
      </c>
      <c r="E3334" s="27" t="s">
        <v>1681</v>
      </c>
      <c r="F3334" s="51">
        <v>15000</v>
      </c>
      <c r="G3334" s="27"/>
    </row>
    <row r="3335" spans="1:7">
      <c r="A3335" s="27">
        <v>201</v>
      </c>
      <c r="B3335" s="27" t="s">
        <v>113</v>
      </c>
      <c r="C3335" s="27" t="s">
        <v>302</v>
      </c>
      <c r="D3335" s="27" t="s">
        <v>402</v>
      </c>
      <c r="E3335" s="27" t="s">
        <v>1681</v>
      </c>
      <c r="F3335" s="51">
        <v>5771</v>
      </c>
      <c r="G3335" s="27"/>
    </row>
    <row r="3336" spans="1:7">
      <c r="A3336" s="27">
        <v>201</v>
      </c>
      <c r="B3336" s="27" t="s">
        <v>113</v>
      </c>
      <c r="C3336" s="27" t="s">
        <v>302</v>
      </c>
      <c r="D3336" s="27" t="s">
        <v>320</v>
      </c>
      <c r="E3336" s="27" t="s">
        <v>1681</v>
      </c>
      <c r="F3336" s="51">
        <v>118482</v>
      </c>
      <c r="G3336" s="27"/>
    </row>
    <row r="3337" spans="1:7">
      <c r="A3337" s="27">
        <v>204</v>
      </c>
      <c r="B3337" s="27" t="s">
        <v>114</v>
      </c>
      <c r="C3337" s="27" t="s">
        <v>393</v>
      </c>
      <c r="D3337" s="27" t="s">
        <v>408</v>
      </c>
      <c r="E3337" s="27" t="s">
        <v>1682</v>
      </c>
      <c r="F3337" s="51">
        <v>19936</v>
      </c>
      <c r="G3337" s="27"/>
    </row>
    <row r="3338" spans="1:7">
      <c r="A3338" s="27">
        <v>204</v>
      </c>
      <c r="B3338" s="27" t="s">
        <v>114</v>
      </c>
      <c r="C3338" s="27" t="s">
        <v>393</v>
      </c>
      <c r="D3338" s="27" t="s">
        <v>394</v>
      </c>
      <c r="E3338" s="27" t="s">
        <v>1682</v>
      </c>
      <c r="F3338" s="51">
        <v>130892</v>
      </c>
      <c r="G3338" s="27"/>
    </row>
    <row r="3339" spans="1:7">
      <c r="A3339" s="27">
        <v>204</v>
      </c>
      <c r="B3339" s="27" t="s">
        <v>114</v>
      </c>
      <c r="C3339" s="27" t="s">
        <v>393</v>
      </c>
      <c r="D3339" s="27" t="s">
        <v>396</v>
      </c>
      <c r="E3339" s="27" t="s">
        <v>1682</v>
      </c>
      <c r="F3339" s="51">
        <v>49874</v>
      </c>
      <c r="G3339" s="27"/>
    </row>
    <row r="3340" spans="1:7">
      <c r="A3340" s="27">
        <v>204</v>
      </c>
      <c r="B3340" s="27" t="s">
        <v>114</v>
      </c>
      <c r="C3340" s="27" t="s">
        <v>393</v>
      </c>
      <c r="D3340" s="27" t="s">
        <v>397</v>
      </c>
      <c r="E3340" s="27" t="s">
        <v>1682</v>
      </c>
      <c r="F3340" s="51">
        <v>22688</v>
      </c>
      <c r="G3340" s="27"/>
    </row>
    <row r="3341" spans="1:7">
      <c r="A3341" s="27">
        <v>204</v>
      </c>
      <c r="B3341" s="27" t="s">
        <v>114</v>
      </c>
      <c r="C3341" s="27" t="s">
        <v>393</v>
      </c>
      <c r="D3341" s="27" t="s">
        <v>333</v>
      </c>
      <c r="E3341" s="27" t="s">
        <v>1682</v>
      </c>
      <c r="F3341" s="51">
        <v>2920</v>
      </c>
      <c r="G3341" s="27"/>
    </row>
    <row r="3342" spans="1:7">
      <c r="A3342" s="27">
        <v>204</v>
      </c>
      <c r="B3342" s="27" t="s">
        <v>114</v>
      </c>
      <c r="C3342" s="27" t="s">
        <v>393</v>
      </c>
      <c r="D3342" s="27" t="s">
        <v>411</v>
      </c>
      <c r="E3342" s="27" t="s">
        <v>1682</v>
      </c>
      <c r="F3342" s="51">
        <v>7534</v>
      </c>
      <c r="G3342" s="27"/>
    </row>
    <row r="3343" spans="1:7">
      <c r="A3343" s="27">
        <v>204</v>
      </c>
      <c r="B3343" s="27" t="s">
        <v>114</v>
      </c>
      <c r="C3343" s="27" t="s">
        <v>393</v>
      </c>
      <c r="D3343" s="27" t="s">
        <v>412</v>
      </c>
      <c r="E3343" s="27" t="s">
        <v>1682</v>
      </c>
      <c r="F3343" s="51">
        <v>49400</v>
      </c>
      <c r="G3343" s="27"/>
    </row>
    <row r="3344" spans="1:7">
      <c r="A3344" s="27">
        <v>204</v>
      </c>
      <c r="B3344" s="27" t="s">
        <v>114</v>
      </c>
      <c r="C3344" s="27" t="s">
        <v>393</v>
      </c>
      <c r="D3344" s="27" t="s">
        <v>398</v>
      </c>
      <c r="E3344" s="27" t="s">
        <v>1682</v>
      </c>
      <c r="F3344" s="51">
        <v>8611</v>
      </c>
      <c r="G3344" s="27"/>
    </row>
    <row r="3345" spans="1:7">
      <c r="A3345" s="27">
        <v>204</v>
      </c>
      <c r="B3345" s="27" t="s">
        <v>114</v>
      </c>
      <c r="C3345" s="27" t="s">
        <v>393</v>
      </c>
      <c r="D3345" s="27" t="s">
        <v>415</v>
      </c>
      <c r="E3345" s="27" t="s">
        <v>1682</v>
      </c>
      <c r="F3345" s="51">
        <v>10724</v>
      </c>
      <c r="G3345" s="27"/>
    </row>
    <row r="3346" spans="1:7">
      <c r="A3346" s="27">
        <v>204</v>
      </c>
      <c r="B3346" s="27" t="s">
        <v>114</v>
      </c>
      <c r="C3346" s="27" t="s">
        <v>393</v>
      </c>
      <c r="D3346" s="27" t="s">
        <v>334</v>
      </c>
      <c r="E3346" s="27" t="s">
        <v>1682</v>
      </c>
      <c r="F3346" s="51">
        <v>15652</v>
      </c>
      <c r="G3346" s="27"/>
    </row>
    <row r="3347" spans="1:7">
      <c r="A3347" s="27">
        <v>204</v>
      </c>
      <c r="B3347" s="27" t="s">
        <v>114</v>
      </c>
      <c r="C3347" s="27" t="s">
        <v>393</v>
      </c>
      <c r="D3347" s="27" t="s">
        <v>291</v>
      </c>
      <c r="E3347" s="27" t="s">
        <v>1681</v>
      </c>
      <c r="F3347" s="51">
        <v>2717</v>
      </c>
      <c r="G3347" s="27"/>
    </row>
    <row r="3348" spans="1:7">
      <c r="A3348" s="27">
        <v>204</v>
      </c>
      <c r="B3348" s="27" t="s">
        <v>114</v>
      </c>
      <c r="C3348" s="27" t="s">
        <v>393</v>
      </c>
      <c r="D3348" s="27" t="s">
        <v>307</v>
      </c>
      <c r="E3348" s="27" t="s">
        <v>1681</v>
      </c>
      <c r="F3348" s="51">
        <v>864</v>
      </c>
      <c r="G3348" s="27"/>
    </row>
    <row r="3349" spans="1:7">
      <c r="A3349" s="27">
        <v>204</v>
      </c>
      <c r="B3349" s="27" t="s">
        <v>114</v>
      </c>
      <c r="C3349" s="27" t="s">
        <v>393</v>
      </c>
      <c r="D3349" s="27" t="s">
        <v>295</v>
      </c>
      <c r="E3349" s="27" t="s">
        <v>1681</v>
      </c>
      <c r="F3349" s="51">
        <v>14000</v>
      </c>
      <c r="G3349" s="27"/>
    </row>
    <row r="3350" spans="1:7">
      <c r="A3350" s="27">
        <v>204</v>
      </c>
      <c r="B3350" s="27" t="s">
        <v>114</v>
      </c>
      <c r="C3350" s="27" t="s">
        <v>393</v>
      </c>
      <c r="D3350" s="27" t="s">
        <v>296</v>
      </c>
      <c r="E3350" s="27" t="s">
        <v>1681</v>
      </c>
      <c r="F3350" s="51">
        <v>92454</v>
      </c>
      <c r="G3350" s="27"/>
    </row>
    <row r="3351" spans="1:7">
      <c r="A3351" s="27">
        <v>204</v>
      </c>
      <c r="B3351" s="27" t="s">
        <v>114</v>
      </c>
      <c r="C3351" s="27" t="s">
        <v>393</v>
      </c>
      <c r="D3351" s="27" t="s">
        <v>400</v>
      </c>
      <c r="E3351" s="27" t="s">
        <v>1681</v>
      </c>
      <c r="F3351" s="51">
        <v>139770</v>
      </c>
      <c r="G3351" s="27"/>
    </row>
    <row r="3352" spans="1:7">
      <c r="A3352" s="27">
        <v>204</v>
      </c>
      <c r="B3352" s="27" t="s">
        <v>114</v>
      </c>
      <c r="C3352" s="27" t="s">
        <v>393</v>
      </c>
      <c r="D3352" s="27" t="s">
        <v>298</v>
      </c>
      <c r="E3352" s="27" t="s">
        <v>1681</v>
      </c>
      <c r="F3352" s="51">
        <v>49570</v>
      </c>
      <c r="G3352" s="27"/>
    </row>
    <row r="3353" spans="1:7">
      <c r="A3353" s="27">
        <v>204</v>
      </c>
      <c r="B3353" s="27" t="s">
        <v>114</v>
      </c>
      <c r="C3353" s="27" t="s">
        <v>393</v>
      </c>
      <c r="D3353" s="27" t="s">
        <v>401</v>
      </c>
      <c r="E3353" s="27" t="s">
        <v>1681</v>
      </c>
      <c r="F3353" s="51">
        <v>15000</v>
      </c>
      <c r="G3353" s="27"/>
    </row>
    <row r="3354" spans="1:7">
      <c r="A3354" s="27">
        <v>204</v>
      </c>
      <c r="B3354" s="27" t="s">
        <v>114</v>
      </c>
      <c r="C3354" s="27" t="s">
        <v>393</v>
      </c>
      <c r="D3354" s="27" t="s">
        <v>402</v>
      </c>
      <c r="E3354" s="27" t="s">
        <v>1681</v>
      </c>
      <c r="F3354" s="51">
        <v>12829</v>
      </c>
      <c r="G3354" s="27"/>
    </row>
    <row r="3355" spans="1:7">
      <c r="A3355" s="27">
        <v>205</v>
      </c>
      <c r="B3355" s="27" t="s">
        <v>115</v>
      </c>
      <c r="C3355" s="27" t="s">
        <v>306</v>
      </c>
      <c r="D3355" s="27" t="s">
        <v>406</v>
      </c>
      <c r="E3355" s="27" t="s">
        <v>1682</v>
      </c>
      <c r="F3355" s="51">
        <v>32674</v>
      </c>
      <c r="G3355" s="27"/>
    </row>
    <row r="3356" spans="1:7">
      <c r="A3356" s="27">
        <v>205</v>
      </c>
      <c r="B3356" s="27" t="s">
        <v>115</v>
      </c>
      <c r="C3356" s="27" t="s">
        <v>306</v>
      </c>
      <c r="D3356" s="27" t="s">
        <v>408</v>
      </c>
      <c r="E3356" s="27" t="s">
        <v>1682</v>
      </c>
      <c r="F3356" s="51">
        <v>8909</v>
      </c>
      <c r="G3356" s="27"/>
    </row>
    <row r="3357" spans="1:7">
      <c r="A3357" s="27">
        <v>205</v>
      </c>
      <c r="B3357" s="27" t="s">
        <v>115</v>
      </c>
      <c r="C3357" s="27" t="s">
        <v>306</v>
      </c>
      <c r="D3357" s="27" t="s">
        <v>394</v>
      </c>
      <c r="E3357" s="27" t="s">
        <v>1682</v>
      </c>
      <c r="F3357" s="51">
        <v>253761</v>
      </c>
      <c r="G3357" s="27"/>
    </row>
    <row r="3358" spans="1:7">
      <c r="A3358" s="27">
        <v>205</v>
      </c>
      <c r="B3358" s="27" t="s">
        <v>115</v>
      </c>
      <c r="C3358" s="27" t="s">
        <v>306</v>
      </c>
      <c r="D3358" s="27" t="s">
        <v>397</v>
      </c>
      <c r="E3358" s="27" t="s">
        <v>1682</v>
      </c>
      <c r="F3358" s="51">
        <v>37392</v>
      </c>
      <c r="G3358" s="27"/>
    </row>
    <row r="3359" spans="1:7">
      <c r="A3359" s="27">
        <v>205</v>
      </c>
      <c r="B3359" s="27" t="s">
        <v>115</v>
      </c>
      <c r="C3359" s="27" t="s">
        <v>306</v>
      </c>
      <c r="D3359" s="27" t="s">
        <v>411</v>
      </c>
      <c r="E3359" s="27" t="s">
        <v>1682</v>
      </c>
      <c r="F3359" s="51">
        <v>1083</v>
      </c>
      <c r="G3359" s="27"/>
    </row>
    <row r="3360" spans="1:7">
      <c r="A3360" s="27">
        <v>205</v>
      </c>
      <c r="B3360" s="27" t="s">
        <v>115</v>
      </c>
      <c r="C3360" s="27" t="s">
        <v>306</v>
      </c>
      <c r="D3360" s="27" t="s">
        <v>412</v>
      </c>
      <c r="E3360" s="27" t="s">
        <v>1682</v>
      </c>
      <c r="F3360" s="51">
        <v>32243</v>
      </c>
      <c r="G3360" s="27"/>
    </row>
    <row r="3361" spans="1:7">
      <c r="A3361" s="27">
        <v>205</v>
      </c>
      <c r="B3361" s="27" t="s">
        <v>115</v>
      </c>
      <c r="C3361" s="27" t="s">
        <v>306</v>
      </c>
      <c r="D3361" s="27" t="s">
        <v>398</v>
      </c>
      <c r="E3361" s="27" t="s">
        <v>1682</v>
      </c>
      <c r="F3361" s="51">
        <v>5752</v>
      </c>
      <c r="G3361" s="27"/>
    </row>
    <row r="3362" spans="1:7">
      <c r="A3362" s="27">
        <v>205</v>
      </c>
      <c r="B3362" s="27" t="s">
        <v>115</v>
      </c>
      <c r="C3362" s="27" t="s">
        <v>306</v>
      </c>
      <c r="D3362" s="27" t="s">
        <v>415</v>
      </c>
      <c r="E3362" s="27" t="s">
        <v>1682</v>
      </c>
      <c r="F3362" s="51">
        <v>6851</v>
      </c>
      <c r="G3362" s="27"/>
    </row>
    <row r="3363" spans="1:7">
      <c r="A3363" s="27">
        <v>205</v>
      </c>
      <c r="B3363" s="27" t="s">
        <v>115</v>
      </c>
      <c r="C3363" s="27" t="s">
        <v>306</v>
      </c>
      <c r="D3363" s="27" t="s">
        <v>291</v>
      </c>
      <c r="E3363" s="27" t="s">
        <v>1681</v>
      </c>
      <c r="F3363" s="51">
        <v>2931</v>
      </c>
      <c r="G3363" s="27"/>
    </row>
    <row r="3364" spans="1:7">
      <c r="A3364" s="27">
        <v>205</v>
      </c>
      <c r="B3364" s="27" t="s">
        <v>115</v>
      </c>
      <c r="C3364" s="27" t="s">
        <v>306</v>
      </c>
      <c r="D3364" s="27" t="s">
        <v>293</v>
      </c>
      <c r="E3364" s="27" t="s">
        <v>1681</v>
      </c>
      <c r="F3364" s="51">
        <v>106896</v>
      </c>
      <c r="G3364" s="27"/>
    </row>
    <row r="3365" spans="1:7">
      <c r="A3365" s="27">
        <v>205</v>
      </c>
      <c r="B3365" s="27" t="s">
        <v>115</v>
      </c>
      <c r="C3365" s="27" t="s">
        <v>306</v>
      </c>
      <c r="D3365" s="27" t="s">
        <v>307</v>
      </c>
      <c r="E3365" s="27" t="s">
        <v>1681</v>
      </c>
      <c r="F3365" s="51">
        <v>16709</v>
      </c>
      <c r="G3365" s="27"/>
    </row>
    <row r="3366" spans="1:7">
      <c r="A3366" s="27">
        <v>205</v>
      </c>
      <c r="B3366" s="27" t="s">
        <v>115</v>
      </c>
      <c r="C3366" s="27" t="s">
        <v>306</v>
      </c>
      <c r="D3366" s="27" t="s">
        <v>295</v>
      </c>
      <c r="E3366" s="27" t="s">
        <v>1681</v>
      </c>
      <c r="F3366" s="51">
        <v>22000</v>
      </c>
      <c r="G3366" s="27"/>
    </row>
    <row r="3367" spans="1:7">
      <c r="A3367" s="27">
        <v>205</v>
      </c>
      <c r="B3367" s="27" t="s">
        <v>115</v>
      </c>
      <c r="C3367" s="27" t="s">
        <v>306</v>
      </c>
      <c r="D3367" s="27" t="s">
        <v>296</v>
      </c>
      <c r="E3367" s="27" t="s">
        <v>1681</v>
      </c>
      <c r="F3367" s="51">
        <v>1377987</v>
      </c>
      <c r="G3367" s="27"/>
    </row>
    <row r="3368" spans="1:7">
      <c r="A3368" s="27">
        <v>205</v>
      </c>
      <c r="B3368" s="27" t="s">
        <v>115</v>
      </c>
      <c r="C3368" s="27" t="s">
        <v>306</v>
      </c>
      <c r="D3368" s="27" t="s">
        <v>400</v>
      </c>
      <c r="E3368" s="27" t="s">
        <v>1681</v>
      </c>
      <c r="F3368" s="51">
        <v>124552</v>
      </c>
      <c r="G3368" s="27"/>
    </row>
    <row r="3369" spans="1:7">
      <c r="A3369" s="27">
        <v>205</v>
      </c>
      <c r="B3369" s="27" t="s">
        <v>115</v>
      </c>
      <c r="C3369" s="27" t="s">
        <v>306</v>
      </c>
      <c r="D3369" s="27" t="s">
        <v>401</v>
      </c>
      <c r="E3369" s="27" t="s">
        <v>1681</v>
      </c>
      <c r="F3369" s="51">
        <v>14875</v>
      </c>
      <c r="G3369" s="27"/>
    </row>
    <row r="3370" spans="1:7">
      <c r="A3370" s="27">
        <v>205</v>
      </c>
      <c r="B3370" s="27" t="s">
        <v>115</v>
      </c>
      <c r="C3370" s="27" t="s">
        <v>306</v>
      </c>
      <c r="D3370" s="27" t="s">
        <v>402</v>
      </c>
      <c r="E3370" s="27" t="s">
        <v>1681</v>
      </c>
      <c r="F3370" s="51">
        <v>97585</v>
      </c>
      <c r="G3370" s="27"/>
    </row>
    <row r="3371" spans="1:7">
      <c r="A3371" s="27">
        <v>206</v>
      </c>
      <c r="B3371" s="27" t="s">
        <v>116</v>
      </c>
      <c r="C3371" s="27" t="s">
        <v>302</v>
      </c>
      <c r="D3371" s="27" t="s">
        <v>408</v>
      </c>
      <c r="E3371" s="27" t="s">
        <v>1682</v>
      </c>
      <c r="F3371" s="51">
        <v>36849</v>
      </c>
      <c r="G3371" s="27"/>
    </row>
    <row r="3372" spans="1:7">
      <c r="A3372" s="27">
        <v>206</v>
      </c>
      <c r="B3372" s="27" t="s">
        <v>116</v>
      </c>
      <c r="C3372" s="27" t="s">
        <v>302</v>
      </c>
      <c r="D3372" s="27" t="s">
        <v>394</v>
      </c>
      <c r="E3372" s="27" t="s">
        <v>1682</v>
      </c>
      <c r="F3372" s="51">
        <v>113982</v>
      </c>
      <c r="G3372" s="27"/>
    </row>
    <row r="3373" spans="1:7">
      <c r="A3373" s="27">
        <v>206</v>
      </c>
      <c r="B3373" s="27" t="s">
        <v>116</v>
      </c>
      <c r="C3373" s="27" t="s">
        <v>302</v>
      </c>
      <c r="D3373" s="27" t="s">
        <v>397</v>
      </c>
      <c r="E3373" s="27" t="s">
        <v>1682</v>
      </c>
      <c r="F3373" s="51">
        <v>112939</v>
      </c>
      <c r="G3373" s="27"/>
    </row>
    <row r="3374" spans="1:7">
      <c r="A3374" s="27">
        <v>206</v>
      </c>
      <c r="B3374" s="27" t="s">
        <v>116</v>
      </c>
      <c r="C3374" s="27" t="s">
        <v>302</v>
      </c>
      <c r="D3374" s="27" t="s">
        <v>411</v>
      </c>
      <c r="E3374" s="27" t="s">
        <v>1682</v>
      </c>
      <c r="F3374" s="51">
        <v>8271</v>
      </c>
      <c r="G3374" s="27"/>
    </row>
    <row r="3375" spans="1:7">
      <c r="A3375" s="27">
        <v>206</v>
      </c>
      <c r="B3375" s="27" t="s">
        <v>116</v>
      </c>
      <c r="C3375" s="27" t="s">
        <v>302</v>
      </c>
      <c r="D3375" s="27" t="s">
        <v>412</v>
      </c>
      <c r="E3375" s="27" t="s">
        <v>1682</v>
      </c>
      <c r="F3375" s="51">
        <v>36714</v>
      </c>
      <c r="G3375" s="27"/>
    </row>
    <row r="3376" spans="1:7">
      <c r="A3376" s="27">
        <v>206</v>
      </c>
      <c r="B3376" s="27" t="s">
        <v>116</v>
      </c>
      <c r="C3376" s="27" t="s">
        <v>302</v>
      </c>
      <c r="D3376" s="27" t="s">
        <v>398</v>
      </c>
      <c r="E3376" s="27" t="s">
        <v>1682</v>
      </c>
      <c r="F3376" s="51">
        <v>2800</v>
      </c>
      <c r="G3376" s="27"/>
    </row>
    <row r="3377" spans="1:7">
      <c r="A3377" s="27">
        <v>206</v>
      </c>
      <c r="B3377" s="27" t="s">
        <v>116</v>
      </c>
      <c r="C3377" s="27" t="s">
        <v>302</v>
      </c>
      <c r="D3377" s="27" t="s">
        <v>415</v>
      </c>
      <c r="E3377" s="27" t="s">
        <v>1682</v>
      </c>
      <c r="F3377" s="51">
        <v>2696</v>
      </c>
      <c r="G3377" s="27"/>
    </row>
    <row r="3378" spans="1:7">
      <c r="A3378" s="27">
        <v>206</v>
      </c>
      <c r="B3378" s="27" t="s">
        <v>116</v>
      </c>
      <c r="C3378" s="27" t="s">
        <v>302</v>
      </c>
      <c r="D3378" s="27" t="s">
        <v>291</v>
      </c>
      <c r="E3378" s="27" t="s">
        <v>1681</v>
      </c>
      <c r="F3378" s="51">
        <v>4228</v>
      </c>
      <c r="G3378" s="27"/>
    </row>
    <row r="3379" spans="1:7">
      <c r="A3379" s="27">
        <v>206</v>
      </c>
      <c r="B3379" s="27" t="s">
        <v>116</v>
      </c>
      <c r="C3379" s="27" t="s">
        <v>302</v>
      </c>
      <c r="D3379" s="27" t="s">
        <v>296</v>
      </c>
      <c r="E3379" s="27" t="s">
        <v>1681</v>
      </c>
      <c r="F3379" s="51">
        <v>1130560</v>
      </c>
      <c r="G3379" s="27"/>
    </row>
    <row r="3380" spans="1:7">
      <c r="A3380" s="27">
        <v>206</v>
      </c>
      <c r="B3380" s="27" t="s">
        <v>116</v>
      </c>
      <c r="C3380" s="27" t="s">
        <v>302</v>
      </c>
      <c r="D3380" s="27" t="s">
        <v>400</v>
      </c>
      <c r="E3380" s="27" t="s">
        <v>1681</v>
      </c>
      <c r="F3380" s="51">
        <v>60343</v>
      </c>
      <c r="G3380" s="27"/>
    </row>
    <row r="3381" spans="1:7">
      <c r="A3381" s="27">
        <v>206</v>
      </c>
      <c r="B3381" s="27" t="s">
        <v>116</v>
      </c>
      <c r="C3381" s="27" t="s">
        <v>302</v>
      </c>
      <c r="D3381" s="27" t="s">
        <v>401</v>
      </c>
      <c r="E3381" s="27" t="s">
        <v>1681</v>
      </c>
      <c r="F3381" s="51">
        <v>14941</v>
      </c>
      <c r="G3381" s="27"/>
    </row>
    <row r="3382" spans="1:7">
      <c r="A3382" s="27">
        <v>206</v>
      </c>
      <c r="B3382" s="27" t="s">
        <v>116</v>
      </c>
      <c r="C3382" s="27" t="s">
        <v>302</v>
      </c>
      <c r="D3382" s="27" t="s">
        <v>402</v>
      </c>
      <c r="E3382" s="27" t="s">
        <v>1681</v>
      </c>
      <c r="F3382" s="51">
        <v>58915</v>
      </c>
      <c r="G3382" s="27"/>
    </row>
    <row r="3383" spans="1:7">
      <c r="A3383" s="27">
        <v>206</v>
      </c>
      <c r="B3383" s="27" t="s">
        <v>116</v>
      </c>
      <c r="C3383" s="27" t="s">
        <v>302</v>
      </c>
      <c r="D3383" s="27" t="s">
        <v>320</v>
      </c>
      <c r="E3383" s="27" t="s">
        <v>1681</v>
      </c>
      <c r="F3383" s="51">
        <v>69176</v>
      </c>
      <c r="G3383" s="27"/>
    </row>
    <row r="3384" spans="1:7">
      <c r="A3384" s="27">
        <v>207</v>
      </c>
      <c r="B3384" s="27" t="s">
        <v>117</v>
      </c>
      <c r="C3384" s="27" t="s">
        <v>393</v>
      </c>
      <c r="D3384" s="27" t="s">
        <v>406</v>
      </c>
      <c r="E3384" s="27" t="s">
        <v>1682</v>
      </c>
      <c r="F3384" s="51">
        <v>63777</v>
      </c>
      <c r="G3384" s="27"/>
    </row>
    <row r="3385" spans="1:7">
      <c r="A3385" s="27">
        <v>207</v>
      </c>
      <c r="B3385" s="27" t="s">
        <v>117</v>
      </c>
      <c r="C3385" s="27" t="s">
        <v>393</v>
      </c>
      <c r="D3385" s="27" t="s">
        <v>408</v>
      </c>
      <c r="E3385" s="27" t="s">
        <v>1682</v>
      </c>
      <c r="F3385" s="51">
        <v>4475</v>
      </c>
      <c r="G3385" s="27"/>
    </row>
    <row r="3386" spans="1:7">
      <c r="A3386" s="27">
        <v>207</v>
      </c>
      <c r="B3386" s="27" t="s">
        <v>117</v>
      </c>
      <c r="C3386" s="27" t="s">
        <v>393</v>
      </c>
      <c r="D3386" s="27" t="s">
        <v>333</v>
      </c>
      <c r="E3386" s="27" t="s">
        <v>1682</v>
      </c>
      <c r="F3386" s="51">
        <v>1688</v>
      </c>
      <c r="G3386" s="27"/>
    </row>
    <row r="3387" spans="1:7">
      <c r="A3387" s="27">
        <v>207</v>
      </c>
      <c r="B3387" s="27" t="s">
        <v>117</v>
      </c>
      <c r="C3387" s="27" t="s">
        <v>393</v>
      </c>
      <c r="D3387" s="27" t="s">
        <v>412</v>
      </c>
      <c r="E3387" s="27" t="s">
        <v>1682</v>
      </c>
      <c r="F3387" s="51">
        <v>7100</v>
      </c>
      <c r="G3387" s="27"/>
    </row>
    <row r="3388" spans="1:7">
      <c r="A3388" s="27">
        <v>207</v>
      </c>
      <c r="B3388" s="27" t="s">
        <v>117</v>
      </c>
      <c r="C3388" s="27" t="s">
        <v>393</v>
      </c>
      <c r="D3388" s="27" t="s">
        <v>398</v>
      </c>
      <c r="E3388" s="27" t="s">
        <v>1682</v>
      </c>
      <c r="F3388" s="51">
        <v>4211</v>
      </c>
      <c r="G3388" s="27"/>
    </row>
    <row r="3389" spans="1:7">
      <c r="A3389" s="27">
        <v>207</v>
      </c>
      <c r="B3389" s="27" t="s">
        <v>117</v>
      </c>
      <c r="C3389" s="27" t="s">
        <v>393</v>
      </c>
      <c r="D3389" s="27" t="s">
        <v>415</v>
      </c>
      <c r="E3389" s="27" t="s">
        <v>1682</v>
      </c>
      <c r="F3389" s="51">
        <v>2185</v>
      </c>
      <c r="G3389" s="27"/>
    </row>
    <row r="3390" spans="1:7">
      <c r="A3390" s="27">
        <v>207</v>
      </c>
      <c r="B3390" s="27" t="s">
        <v>117</v>
      </c>
      <c r="C3390" s="27" t="s">
        <v>393</v>
      </c>
      <c r="D3390" s="27" t="s">
        <v>334</v>
      </c>
      <c r="E3390" s="27" t="s">
        <v>1682</v>
      </c>
      <c r="F3390" s="51">
        <v>21441</v>
      </c>
      <c r="G3390" s="27"/>
    </row>
    <row r="3391" spans="1:7">
      <c r="A3391" s="27">
        <v>207</v>
      </c>
      <c r="B3391" s="27" t="s">
        <v>117</v>
      </c>
      <c r="C3391" s="27" t="s">
        <v>393</v>
      </c>
      <c r="D3391" s="27" t="s">
        <v>291</v>
      </c>
      <c r="E3391" s="27" t="s">
        <v>1681</v>
      </c>
      <c r="F3391" s="51">
        <v>469</v>
      </c>
      <c r="G3391" s="27"/>
    </row>
    <row r="3392" spans="1:7">
      <c r="A3392" s="27">
        <v>207</v>
      </c>
      <c r="B3392" s="27" t="s">
        <v>117</v>
      </c>
      <c r="C3392" s="27" t="s">
        <v>393</v>
      </c>
      <c r="D3392" s="27" t="s">
        <v>307</v>
      </c>
      <c r="E3392" s="27" t="s">
        <v>1681</v>
      </c>
      <c r="F3392" s="51">
        <v>3600</v>
      </c>
      <c r="G3392" s="27"/>
    </row>
    <row r="3393" spans="1:7">
      <c r="A3393" s="27">
        <v>207</v>
      </c>
      <c r="B3393" s="27" t="s">
        <v>117</v>
      </c>
      <c r="C3393" s="27" t="s">
        <v>393</v>
      </c>
      <c r="D3393" s="27" t="s">
        <v>296</v>
      </c>
      <c r="E3393" s="27" t="s">
        <v>1681</v>
      </c>
      <c r="F3393" s="51">
        <v>240728</v>
      </c>
      <c r="G3393" s="27"/>
    </row>
    <row r="3394" spans="1:7">
      <c r="A3394" s="27">
        <v>207</v>
      </c>
      <c r="B3394" s="27" t="s">
        <v>117</v>
      </c>
      <c r="C3394" s="27" t="s">
        <v>393</v>
      </c>
      <c r="D3394" s="27" t="s">
        <v>400</v>
      </c>
      <c r="E3394" s="27" t="s">
        <v>1681</v>
      </c>
      <c r="F3394" s="51">
        <v>33072</v>
      </c>
      <c r="G3394" s="27"/>
    </row>
    <row r="3395" spans="1:7">
      <c r="A3395" s="27">
        <v>207</v>
      </c>
      <c r="B3395" s="27" t="s">
        <v>117</v>
      </c>
      <c r="C3395" s="27" t="s">
        <v>393</v>
      </c>
      <c r="D3395" s="27" t="s">
        <v>298</v>
      </c>
      <c r="E3395" s="27" t="s">
        <v>1681</v>
      </c>
      <c r="F3395" s="51">
        <v>48022</v>
      </c>
      <c r="G3395" s="27"/>
    </row>
    <row r="3396" spans="1:7">
      <c r="A3396" s="27">
        <v>207</v>
      </c>
      <c r="B3396" s="27" t="s">
        <v>117</v>
      </c>
      <c r="C3396" s="27" t="s">
        <v>393</v>
      </c>
      <c r="D3396" s="27" t="s">
        <v>401</v>
      </c>
      <c r="E3396" s="27" t="s">
        <v>1681</v>
      </c>
      <c r="F3396" s="51">
        <v>30000</v>
      </c>
      <c r="G3396" s="27"/>
    </row>
    <row r="3397" spans="1:7">
      <c r="A3397" s="27">
        <v>207</v>
      </c>
      <c r="B3397" s="27" t="s">
        <v>117</v>
      </c>
      <c r="C3397" s="27" t="s">
        <v>393</v>
      </c>
      <c r="D3397" s="27" t="s">
        <v>402</v>
      </c>
      <c r="E3397" s="27" t="s">
        <v>1681</v>
      </c>
      <c r="F3397" s="51">
        <v>205517</v>
      </c>
      <c r="G3397" s="27"/>
    </row>
    <row r="3398" spans="1:7">
      <c r="A3398" s="27">
        <v>207</v>
      </c>
      <c r="B3398" s="27" t="s">
        <v>117</v>
      </c>
      <c r="C3398" s="27" t="s">
        <v>393</v>
      </c>
      <c r="D3398" s="27" t="s">
        <v>320</v>
      </c>
      <c r="E3398" s="27" t="s">
        <v>1681</v>
      </c>
      <c r="F3398" s="51">
        <v>47834</v>
      </c>
      <c r="G3398" s="27"/>
    </row>
    <row r="3399" spans="1:7">
      <c r="A3399" s="27">
        <v>208</v>
      </c>
      <c r="B3399" s="27" t="s">
        <v>118</v>
      </c>
      <c r="C3399" s="27" t="s">
        <v>393</v>
      </c>
      <c r="D3399" s="27" t="s">
        <v>406</v>
      </c>
      <c r="E3399" s="27" t="s">
        <v>1682</v>
      </c>
      <c r="F3399" s="51">
        <v>25592</v>
      </c>
      <c r="G3399" s="27"/>
    </row>
    <row r="3400" spans="1:7">
      <c r="A3400" s="27">
        <v>208</v>
      </c>
      <c r="B3400" s="27" t="s">
        <v>118</v>
      </c>
      <c r="C3400" s="27" t="s">
        <v>393</v>
      </c>
      <c r="D3400" s="27" t="s">
        <v>408</v>
      </c>
      <c r="E3400" s="27" t="s">
        <v>1682</v>
      </c>
      <c r="F3400" s="51">
        <v>16613</v>
      </c>
      <c r="G3400" s="27"/>
    </row>
    <row r="3401" spans="1:7">
      <c r="A3401" s="27">
        <v>208</v>
      </c>
      <c r="B3401" s="27" t="s">
        <v>118</v>
      </c>
      <c r="C3401" s="27" t="s">
        <v>393</v>
      </c>
      <c r="D3401" s="27" t="s">
        <v>394</v>
      </c>
      <c r="E3401" s="27" t="s">
        <v>1682</v>
      </c>
      <c r="F3401" s="51">
        <v>139905</v>
      </c>
      <c r="G3401" s="27"/>
    </row>
    <row r="3402" spans="1:7">
      <c r="A3402" s="27">
        <v>208</v>
      </c>
      <c r="B3402" s="27" t="s">
        <v>118</v>
      </c>
      <c r="C3402" s="27" t="s">
        <v>393</v>
      </c>
      <c r="D3402" s="27" t="s">
        <v>397</v>
      </c>
      <c r="E3402" s="27" t="s">
        <v>1682</v>
      </c>
      <c r="F3402" s="51">
        <v>60000</v>
      </c>
      <c r="G3402" s="27"/>
    </row>
    <row r="3403" spans="1:7">
      <c r="A3403" s="27">
        <v>208</v>
      </c>
      <c r="B3403" s="27" t="s">
        <v>118</v>
      </c>
      <c r="C3403" s="27" t="s">
        <v>393</v>
      </c>
      <c r="D3403" s="27" t="s">
        <v>411</v>
      </c>
      <c r="E3403" s="27" t="s">
        <v>1682</v>
      </c>
      <c r="F3403" s="51">
        <v>2099</v>
      </c>
      <c r="G3403" s="27"/>
    </row>
    <row r="3404" spans="1:7">
      <c r="A3404" s="27">
        <v>208</v>
      </c>
      <c r="B3404" s="27" t="s">
        <v>118</v>
      </c>
      <c r="C3404" s="27" t="s">
        <v>393</v>
      </c>
      <c r="D3404" s="27" t="s">
        <v>412</v>
      </c>
      <c r="E3404" s="27" t="s">
        <v>1682</v>
      </c>
      <c r="F3404" s="51">
        <v>15000</v>
      </c>
      <c r="G3404" s="27"/>
    </row>
    <row r="3405" spans="1:7">
      <c r="A3405" s="27">
        <v>208</v>
      </c>
      <c r="B3405" s="27" t="s">
        <v>118</v>
      </c>
      <c r="C3405" s="27" t="s">
        <v>393</v>
      </c>
      <c r="D3405" s="27" t="s">
        <v>398</v>
      </c>
      <c r="E3405" s="27" t="s">
        <v>1682</v>
      </c>
      <c r="F3405" s="51">
        <v>4616</v>
      </c>
      <c r="G3405" s="27"/>
    </row>
    <row r="3406" spans="1:7">
      <c r="A3406" s="27">
        <v>208</v>
      </c>
      <c r="B3406" s="27" t="s">
        <v>118</v>
      </c>
      <c r="C3406" s="27" t="s">
        <v>393</v>
      </c>
      <c r="D3406" s="27" t="s">
        <v>415</v>
      </c>
      <c r="E3406" s="27" t="s">
        <v>1682</v>
      </c>
      <c r="F3406" s="51">
        <v>6031</v>
      </c>
      <c r="G3406" s="27"/>
    </row>
    <row r="3407" spans="1:7">
      <c r="A3407" s="27">
        <v>208</v>
      </c>
      <c r="B3407" s="27" t="s">
        <v>118</v>
      </c>
      <c r="C3407" s="27" t="s">
        <v>393</v>
      </c>
      <c r="D3407" s="27" t="s">
        <v>334</v>
      </c>
      <c r="E3407" s="27" t="s">
        <v>1682</v>
      </c>
      <c r="F3407" s="51">
        <v>8576</v>
      </c>
      <c r="G3407" s="27"/>
    </row>
    <row r="3408" spans="1:7">
      <c r="A3408" s="27">
        <v>208</v>
      </c>
      <c r="B3408" s="27" t="s">
        <v>118</v>
      </c>
      <c r="C3408" s="27" t="s">
        <v>393</v>
      </c>
      <c r="D3408" s="27" t="s">
        <v>291</v>
      </c>
      <c r="E3408" s="27" t="s">
        <v>1681</v>
      </c>
      <c r="F3408" s="51">
        <v>2765</v>
      </c>
      <c r="G3408" s="27"/>
    </row>
    <row r="3409" spans="1:7">
      <c r="A3409" s="27">
        <v>208</v>
      </c>
      <c r="B3409" s="27" t="s">
        <v>118</v>
      </c>
      <c r="C3409" s="27" t="s">
        <v>393</v>
      </c>
      <c r="D3409" s="27" t="s">
        <v>307</v>
      </c>
      <c r="E3409" s="27" t="s">
        <v>1681</v>
      </c>
      <c r="F3409" s="51">
        <v>9600</v>
      </c>
      <c r="G3409" s="27"/>
    </row>
    <row r="3410" spans="1:7">
      <c r="A3410" s="27">
        <v>208</v>
      </c>
      <c r="B3410" s="27" t="s">
        <v>118</v>
      </c>
      <c r="C3410" s="27" t="s">
        <v>393</v>
      </c>
      <c r="D3410" s="27" t="s">
        <v>296</v>
      </c>
      <c r="E3410" s="27" t="s">
        <v>1681</v>
      </c>
      <c r="F3410" s="51">
        <v>11985151</v>
      </c>
      <c r="G3410" s="27"/>
    </row>
    <row r="3411" spans="1:7">
      <c r="A3411" s="27">
        <v>208</v>
      </c>
      <c r="B3411" s="27" t="s">
        <v>118</v>
      </c>
      <c r="C3411" s="27" t="s">
        <v>393</v>
      </c>
      <c r="D3411" s="27" t="s">
        <v>400</v>
      </c>
      <c r="E3411" s="27" t="s">
        <v>1681</v>
      </c>
      <c r="F3411" s="51">
        <v>274614</v>
      </c>
      <c r="G3411" s="27"/>
    </row>
    <row r="3412" spans="1:7">
      <c r="A3412" s="27">
        <v>208</v>
      </c>
      <c r="B3412" s="27" t="s">
        <v>118</v>
      </c>
      <c r="C3412" s="27" t="s">
        <v>393</v>
      </c>
      <c r="D3412" s="27" t="s">
        <v>298</v>
      </c>
      <c r="E3412" s="27" t="s">
        <v>1681</v>
      </c>
      <c r="F3412" s="51">
        <v>105198</v>
      </c>
      <c r="G3412" s="27"/>
    </row>
    <row r="3413" spans="1:7">
      <c r="A3413" s="27">
        <v>208</v>
      </c>
      <c r="B3413" s="27" t="s">
        <v>118</v>
      </c>
      <c r="C3413" s="27" t="s">
        <v>393</v>
      </c>
      <c r="D3413" s="27" t="s">
        <v>401</v>
      </c>
      <c r="E3413" s="27" t="s">
        <v>1681</v>
      </c>
      <c r="F3413" s="51">
        <v>30678</v>
      </c>
      <c r="G3413" s="27"/>
    </row>
    <row r="3414" spans="1:7">
      <c r="A3414" s="27">
        <v>208</v>
      </c>
      <c r="B3414" s="27" t="s">
        <v>118</v>
      </c>
      <c r="C3414" s="27" t="s">
        <v>393</v>
      </c>
      <c r="D3414" s="27" t="s">
        <v>402</v>
      </c>
      <c r="E3414" s="27" t="s">
        <v>1681</v>
      </c>
      <c r="F3414" s="51">
        <v>230462</v>
      </c>
      <c r="G3414" s="27"/>
    </row>
    <row r="3415" spans="1:7">
      <c r="A3415" s="27">
        <v>209</v>
      </c>
      <c r="B3415" s="27" t="s">
        <v>119</v>
      </c>
      <c r="C3415" s="27" t="s">
        <v>227</v>
      </c>
      <c r="D3415" s="27" t="s">
        <v>408</v>
      </c>
      <c r="E3415" s="27" t="s">
        <v>1682</v>
      </c>
      <c r="F3415" s="51">
        <v>25658</v>
      </c>
      <c r="G3415" s="27"/>
    </row>
    <row r="3416" spans="1:7">
      <c r="A3416" s="27">
        <v>209</v>
      </c>
      <c r="B3416" s="27" t="s">
        <v>119</v>
      </c>
      <c r="C3416" s="27" t="s">
        <v>227</v>
      </c>
      <c r="D3416" s="27" t="s">
        <v>394</v>
      </c>
      <c r="E3416" s="27" t="s">
        <v>1682</v>
      </c>
      <c r="F3416" s="51">
        <v>191275</v>
      </c>
      <c r="G3416" s="27"/>
    </row>
    <row r="3417" spans="1:7">
      <c r="A3417" s="27">
        <v>209</v>
      </c>
      <c r="B3417" s="27" t="s">
        <v>119</v>
      </c>
      <c r="C3417" s="27" t="s">
        <v>227</v>
      </c>
      <c r="D3417" s="27" t="s">
        <v>396</v>
      </c>
      <c r="E3417" s="27" t="s">
        <v>1682</v>
      </c>
      <c r="F3417" s="51">
        <v>50000</v>
      </c>
      <c r="G3417" s="27"/>
    </row>
    <row r="3418" spans="1:7">
      <c r="A3418" s="27">
        <v>209</v>
      </c>
      <c r="B3418" s="27" t="s">
        <v>119</v>
      </c>
      <c r="C3418" s="27" t="s">
        <v>227</v>
      </c>
      <c r="D3418" s="27" t="s">
        <v>410</v>
      </c>
      <c r="E3418" s="27" t="s">
        <v>1682</v>
      </c>
      <c r="F3418" s="51">
        <v>28135</v>
      </c>
      <c r="G3418" s="27"/>
    </row>
    <row r="3419" spans="1:7">
      <c r="A3419" s="27">
        <v>209</v>
      </c>
      <c r="B3419" s="27" t="s">
        <v>119</v>
      </c>
      <c r="C3419" s="27" t="s">
        <v>227</v>
      </c>
      <c r="D3419" s="27" t="s">
        <v>397</v>
      </c>
      <c r="E3419" s="27" t="s">
        <v>1682</v>
      </c>
      <c r="F3419" s="51">
        <v>17922</v>
      </c>
      <c r="G3419" s="27"/>
    </row>
    <row r="3420" spans="1:7">
      <c r="A3420" s="27">
        <v>209</v>
      </c>
      <c r="B3420" s="27" t="s">
        <v>119</v>
      </c>
      <c r="C3420" s="27" t="s">
        <v>227</v>
      </c>
      <c r="D3420" s="27" t="s">
        <v>333</v>
      </c>
      <c r="E3420" s="27" t="s">
        <v>1682</v>
      </c>
      <c r="F3420" s="51">
        <v>2318</v>
      </c>
      <c r="G3420" s="27"/>
    </row>
    <row r="3421" spans="1:7">
      <c r="A3421" s="27">
        <v>209</v>
      </c>
      <c r="B3421" s="27" t="s">
        <v>119</v>
      </c>
      <c r="C3421" s="27" t="s">
        <v>227</v>
      </c>
      <c r="D3421" s="27" t="s">
        <v>398</v>
      </c>
      <c r="E3421" s="27" t="s">
        <v>1682</v>
      </c>
      <c r="F3421" s="51">
        <v>2123</v>
      </c>
      <c r="G3421" s="27"/>
    </row>
    <row r="3422" spans="1:7">
      <c r="A3422" s="27">
        <v>209</v>
      </c>
      <c r="B3422" s="27" t="s">
        <v>119</v>
      </c>
      <c r="C3422" s="27" t="s">
        <v>227</v>
      </c>
      <c r="D3422" s="27" t="s">
        <v>415</v>
      </c>
      <c r="E3422" s="27" t="s">
        <v>1682</v>
      </c>
      <c r="F3422" s="51">
        <v>1468</v>
      </c>
      <c r="G3422" s="27"/>
    </row>
    <row r="3423" spans="1:7">
      <c r="A3423" s="27">
        <v>209</v>
      </c>
      <c r="B3423" s="27" t="s">
        <v>119</v>
      </c>
      <c r="C3423" s="27" t="s">
        <v>227</v>
      </c>
      <c r="D3423" s="27" t="s">
        <v>334</v>
      </c>
      <c r="E3423" s="27" t="s">
        <v>1682</v>
      </c>
      <c r="F3423" s="51">
        <v>7333</v>
      </c>
      <c r="G3423" s="27"/>
    </row>
    <row r="3424" spans="1:7">
      <c r="A3424" s="27">
        <v>209</v>
      </c>
      <c r="B3424" s="27" t="s">
        <v>119</v>
      </c>
      <c r="C3424" s="27" t="s">
        <v>227</v>
      </c>
      <c r="D3424" s="27" t="s">
        <v>291</v>
      </c>
      <c r="E3424" s="27" t="s">
        <v>1681</v>
      </c>
      <c r="F3424" s="51">
        <v>7682</v>
      </c>
      <c r="G3424" s="27"/>
    </row>
    <row r="3425" spans="1:7">
      <c r="A3425" s="27">
        <v>209</v>
      </c>
      <c r="B3425" s="27" t="s">
        <v>119</v>
      </c>
      <c r="C3425" s="27" t="s">
        <v>227</v>
      </c>
      <c r="D3425" s="27" t="s">
        <v>296</v>
      </c>
      <c r="E3425" s="27" t="s">
        <v>1681</v>
      </c>
      <c r="F3425" s="51">
        <v>4763317</v>
      </c>
      <c r="G3425" s="27"/>
    </row>
    <row r="3426" spans="1:7">
      <c r="A3426" s="27">
        <v>209</v>
      </c>
      <c r="B3426" s="27" t="s">
        <v>119</v>
      </c>
      <c r="C3426" s="27" t="s">
        <v>227</v>
      </c>
      <c r="D3426" s="27" t="s">
        <v>400</v>
      </c>
      <c r="E3426" s="27" t="s">
        <v>1681</v>
      </c>
      <c r="F3426" s="51">
        <v>31584</v>
      </c>
      <c r="G3426" s="27"/>
    </row>
    <row r="3427" spans="1:7">
      <c r="A3427" s="27">
        <v>209</v>
      </c>
      <c r="B3427" s="27" t="s">
        <v>119</v>
      </c>
      <c r="C3427" s="27" t="s">
        <v>227</v>
      </c>
      <c r="D3427" s="27" t="s">
        <v>298</v>
      </c>
      <c r="E3427" s="27" t="s">
        <v>1681</v>
      </c>
      <c r="F3427" s="51">
        <v>18066</v>
      </c>
      <c r="G3427" s="27"/>
    </row>
    <row r="3428" spans="1:7">
      <c r="A3428" s="27">
        <v>209</v>
      </c>
      <c r="B3428" s="27" t="s">
        <v>119</v>
      </c>
      <c r="C3428" s="27" t="s">
        <v>227</v>
      </c>
      <c r="D3428" s="27" t="s">
        <v>401</v>
      </c>
      <c r="E3428" s="27" t="s">
        <v>1681</v>
      </c>
      <c r="F3428" s="51">
        <v>14981</v>
      </c>
      <c r="G3428" s="27"/>
    </row>
    <row r="3429" spans="1:7">
      <c r="A3429" s="27">
        <v>209</v>
      </c>
      <c r="B3429" s="27" t="s">
        <v>119</v>
      </c>
      <c r="C3429" s="27" t="s">
        <v>227</v>
      </c>
      <c r="D3429" s="27" t="s">
        <v>402</v>
      </c>
      <c r="E3429" s="27" t="s">
        <v>1681</v>
      </c>
      <c r="F3429" s="51">
        <v>11282</v>
      </c>
      <c r="G3429" s="27"/>
    </row>
    <row r="3430" spans="1:7">
      <c r="A3430" s="27">
        <v>210</v>
      </c>
      <c r="B3430" s="27" t="s">
        <v>120</v>
      </c>
      <c r="C3430" s="27" t="s">
        <v>393</v>
      </c>
      <c r="D3430" s="27" t="s">
        <v>408</v>
      </c>
      <c r="E3430" s="27" t="s">
        <v>1682</v>
      </c>
      <c r="F3430" s="51">
        <v>43054</v>
      </c>
      <c r="G3430" s="27"/>
    </row>
    <row r="3431" spans="1:7">
      <c r="A3431" s="27">
        <v>210</v>
      </c>
      <c r="B3431" s="27" t="s">
        <v>120</v>
      </c>
      <c r="C3431" s="27" t="s">
        <v>393</v>
      </c>
      <c r="D3431" s="27" t="s">
        <v>394</v>
      </c>
      <c r="E3431" s="27" t="s">
        <v>1682</v>
      </c>
      <c r="F3431" s="51">
        <v>167832</v>
      </c>
      <c r="G3431" s="27"/>
    </row>
    <row r="3432" spans="1:7">
      <c r="A3432" s="27">
        <v>210</v>
      </c>
      <c r="B3432" s="27" t="s">
        <v>120</v>
      </c>
      <c r="C3432" s="27" t="s">
        <v>393</v>
      </c>
      <c r="D3432" s="27" t="s">
        <v>397</v>
      </c>
      <c r="E3432" s="27" t="s">
        <v>1682</v>
      </c>
      <c r="F3432" s="51">
        <v>62955</v>
      </c>
      <c r="G3432" s="27"/>
    </row>
    <row r="3433" spans="1:7">
      <c r="A3433" s="27">
        <v>210</v>
      </c>
      <c r="B3433" s="27" t="s">
        <v>120</v>
      </c>
      <c r="C3433" s="27" t="s">
        <v>393</v>
      </c>
      <c r="D3433" s="27" t="s">
        <v>333</v>
      </c>
      <c r="E3433" s="27" t="s">
        <v>1682</v>
      </c>
      <c r="F3433" s="51">
        <v>835</v>
      </c>
      <c r="G3433" s="27"/>
    </row>
    <row r="3434" spans="1:7">
      <c r="A3434" s="27">
        <v>210</v>
      </c>
      <c r="B3434" s="27" t="s">
        <v>120</v>
      </c>
      <c r="C3434" s="27" t="s">
        <v>393</v>
      </c>
      <c r="D3434" s="27" t="s">
        <v>411</v>
      </c>
      <c r="E3434" s="27" t="s">
        <v>1682</v>
      </c>
      <c r="F3434" s="51">
        <v>1823</v>
      </c>
      <c r="G3434" s="27"/>
    </row>
    <row r="3435" spans="1:7">
      <c r="A3435" s="27">
        <v>210</v>
      </c>
      <c r="B3435" s="27" t="s">
        <v>120</v>
      </c>
      <c r="C3435" s="27" t="s">
        <v>393</v>
      </c>
      <c r="D3435" s="27" t="s">
        <v>412</v>
      </c>
      <c r="E3435" s="27" t="s">
        <v>1682</v>
      </c>
      <c r="F3435" s="51">
        <v>20000</v>
      </c>
      <c r="G3435" s="27"/>
    </row>
    <row r="3436" spans="1:7">
      <c r="A3436" s="27">
        <v>210</v>
      </c>
      <c r="B3436" s="27" t="s">
        <v>120</v>
      </c>
      <c r="C3436" s="27" t="s">
        <v>393</v>
      </c>
      <c r="D3436" s="27" t="s">
        <v>398</v>
      </c>
      <c r="E3436" s="27" t="s">
        <v>1682</v>
      </c>
      <c r="F3436" s="51">
        <v>10768</v>
      </c>
      <c r="G3436" s="27"/>
    </row>
    <row r="3437" spans="1:7">
      <c r="A3437" s="27">
        <v>210</v>
      </c>
      <c r="B3437" s="27" t="s">
        <v>120</v>
      </c>
      <c r="C3437" s="27" t="s">
        <v>393</v>
      </c>
      <c r="D3437" s="27" t="s">
        <v>415</v>
      </c>
      <c r="E3437" s="27" t="s">
        <v>1682</v>
      </c>
      <c r="F3437" s="51">
        <v>8528</v>
      </c>
      <c r="G3437" s="27"/>
    </row>
    <row r="3438" spans="1:7">
      <c r="A3438" s="27">
        <v>210</v>
      </c>
      <c r="B3438" s="27" t="s">
        <v>120</v>
      </c>
      <c r="C3438" s="27" t="s">
        <v>393</v>
      </c>
      <c r="D3438" s="27" t="s">
        <v>334</v>
      </c>
      <c r="E3438" s="27" t="s">
        <v>1682</v>
      </c>
      <c r="F3438" s="51">
        <v>23406</v>
      </c>
      <c r="G3438" s="27"/>
    </row>
    <row r="3439" spans="1:7">
      <c r="A3439" s="27">
        <v>210</v>
      </c>
      <c r="B3439" s="27" t="s">
        <v>120</v>
      </c>
      <c r="C3439" s="27" t="s">
        <v>393</v>
      </c>
      <c r="D3439" s="27" t="s">
        <v>291</v>
      </c>
      <c r="E3439" s="27" t="s">
        <v>1681</v>
      </c>
      <c r="F3439" s="51">
        <v>8939</v>
      </c>
      <c r="G3439" s="27"/>
    </row>
    <row r="3440" spans="1:7">
      <c r="A3440" s="27">
        <v>210</v>
      </c>
      <c r="B3440" s="27" t="s">
        <v>120</v>
      </c>
      <c r="C3440" s="27" t="s">
        <v>393</v>
      </c>
      <c r="D3440" s="27" t="s">
        <v>293</v>
      </c>
      <c r="E3440" s="27" t="s">
        <v>1681</v>
      </c>
      <c r="F3440" s="51">
        <v>30000</v>
      </c>
      <c r="G3440" s="27"/>
    </row>
    <row r="3441" spans="1:7">
      <c r="A3441" s="27">
        <v>210</v>
      </c>
      <c r="B3441" s="27" t="s">
        <v>120</v>
      </c>
      <c r="C3441" s="27" t="s">
        <v>393</v>
      </c>
      <c r="D3441" s="27" t="s">
        <v>307</v>
      </c>
      <c r="E3441" s="27" t="s">
        <v>1681</v>
      </c>
      <c r="F3441" s="51">
        <v>20400</v>
      </c>
      <c r="G3441" s="27"/>
    </row>
    <row r="3442" spans="1:7">
      <c r="A3442" s="27">
        <v>210</v>
      </c>
      <c r="B3442" s="27" t="s">
        <v>120</v>
      </c>
      <c r="C3442" s="27" t="s">
        <v>393</v>
      </c>
      <c r="D3442" s="27" t="s">
        <v>295</v>
      </c>
      <c r="E3442" s="27" t="s">
        <v>1681</v>
      </c>
      <c r="F3442" s="51">
        <v>10000</v>
      </c>
      <c r="G3442" s="27"/>
    </row>
    <row r="3443" spans="1:7">
      <c r="A3443" s="27">
        <v>210</v>
      </c>
      <c r="B3443" s="27" t="s">
        <v>120</v>
      </c>
      <c r="C3443" s="27" t="s">
        <v>393</v>
      </c>
      <c r="D3443" s="27" t="s">
        <v>296</v>
      </c>
      <c r="E3443" s="27" t="s">
        <v>1681</v>
      </c>
      <c r="F3443" s="51">
        <v>1027708</v>
      </c>
      <c r="G3443" s="27"/>
    </row>
    <row r="3444" spans="1:7">
      <c r="A3444" s="27">
        <v>210</v>
      </c>
      <c r="B3444" s="27" t="s">
        <v>120</v>
      </c>
      <c r="C3444" s="27" t="s">
        <v>393</v>
      </c>
      <c r="D3444" s="27" t="s">
        <v>400</v>
      </c>
      <c r="E3444" s="27" t="s">
        <v>1681</v>
      </c>
      <c r="F3444" s="51">
        <v>135242</v>
      </c>
      <c r="G3444" s="27"/>
    </row>
    <row r="3445" spans="1:7">
      <c r="A3445" s="27">
        <v>210</v>
      </c>
      <c r="B3445" s="27" t="s">
        <v>120</v>
      </c>
      <c r="C3445" s="27" t="s">
        <v>393</v>
      </c>
      <c r="D3445" s="27" t="s">
        <v>298</v>
      </c>
      <c r="E3445" s="27" t="s">
        <v>1681</v>
      </c>
      <c r="F3445" s="51">
        <v>294340</v>
      </c>
      <c r="G3445" s="27"/>
    </row>
    <row r="3446" spans="1:7">
      <c r="A3446" s="27">
        <v>210</v>
      </c>
      <c r="B3446" s="27" t="s">
        <v>120</v>
      </c>
      <c r="C3446" s="27" t="s">
        <v>393</v>
      </c>
      <c r="D3446" s="27" t="s">
        <v>401</v>
      </c>
      <c r="E3446" s="27" t="s">
        <v>1681</v>
      </c>
      <c r="F3446" s="51">
        <v>29749</v>
      </c>
      <c r="G3446" s="27"/>
    </row>
    <row r="3447" spans="1:7">
      <c r="A3447" s="27">
        <v>210</v>
      </c>
      <c r="B3447" s="27" t="s">
        <v>120</v>
      </c>
      <c r="C3447" s="27" t="s">
        <v>393</v>
      </c>
      <c r="D3447" s="27" t="s">
        <v>402</v>
      </c>
      <c r="E3447" s="27" t="s">
        <v>1681</v>
      </c>
      <c r="F3447" s="51">
        <v>295178</v>
      </c>
      <c r="G3447" s="27"/>
    </row>
    <row r="3448" spans="1:7">
      <c r="A3448" s="27">
        <v>211</v>
      </c>
      <c r="B3448" s="27" t="s">
        <v>121</v>
      </c>
      <c r="C3448" s="27" t="s">
        <v>346</v>
      </c>
      <c r="D3448" s="27" t="s">
        <v>408</v>
      </c>
      <c r="E3448" s="27" t="s">
        <v>1682</v>
      </c>
      <c r="F3448" s="51">
        <v>18166</v>
      </c>
      <c r="G3448" s="27"/>
    </row>
    <row r="3449" spans="1:7">
      <c r="A3449" s="27">
        <v>211</v>
      </c>
      <c r="B3449" s="27" t="s">
        <v>121</v>
      </c>
      <c r="C3449" s="27" t="s">
        <v>346</v>
      </c>
      <c r="D3449" s="27" t="s">
        <v>394</v>
      </c>
      <c r="E3449" s="27" t="s">
        <v>1682</v>
      </c>
      <c r="F3449" s="51">
        <v>147340</v>
      </c>
      <c r="G3449" s="27"/>
    </row>
    <row r="3450" spans="1:7">
      <c r="A3450" s="27">
        <v>211</v>
      </c>
      <c r="B3450" s="27" t="s">
        <v>121</v>
      </c>
      <c r="C3450" s="27" t="s">
        <v>346</v>
      </c>
      <c r="D3450" s="27" t="s">
        <v>397</v>
      </c>
      <c r="E3450" s="27" t="s">
        <v>1682</v>
      </c>
      <c r="F3450" s="51">
        <v>22586</v>
      </c>
      <c r="G3450" s="27"/>
    </row>
    <row r="3451" spans="1:7">
      <c r="A3451" s="27">
        <v>211</v>
      </c>
      <c r="B3451" s="27" t="s">
        <v>121</v>
      </c>
      <c r="C3451" s="27" t="s">
        <v>346</v>
      </c>
      <c r="D3451" s="27" t="s">
        <v>411</v>
      </c>
      <c r="E3451" s="27" t="s">
        <v>1682</v>
      </c>
      <c r="F3451" s="51">
        <v>654</v>
      </c>
      <c r="G3451" s="27"/>
    </row>
    <row r="3452" spans="1:7">
      <c r="A3452" s="27">
        <v>211</v>
      </c>
      <c r="B3452" s="27" t="s">
        <v>121</v>
      </c>
      <c r="C3452" s="27" t="s">
        <v>346</v>
      </c>
      <c r="D3452" s="27" t="s">
        <v>412</v>
      </c>
      <c r="E3452" s="27" t="s">
        <v>1682</v>
      </c>
      <c r="F3452" s="51">
        <v>22343</v>
      </c>
      <c r="G3452" s="27"/>
    </row>
    <row r="3453" spans="1:7">
      <c r="A3453" s="27">
        <v>211</v>
      </c>
      <c r="B3453" s="27" t="s">
        <v>121</v>
      </c>
      <c r="C3453" s="27" t="s">
        <v>346</v>
      </c>
      <c r="D3453" s="27" t="s">
        <v>398</v>
      </c>
      <c r="E3453" s="27" t="s">
        <v>1682</v>
      </c>
      <c r="F3453" s="51">
        <v>1297</v>
      </c>
      <c r="G3453" s="27"/>
    </row>
    <row r="3454" spans="1:7">
      <c r="A3454" s="27">
        <v>211</v>
      </c>
      <c r="B3454" s="27" t="s">
        <v>121</v>
      </c>
      <c r="C3454" s="27" t="s">
        <v>346</v>
      </c>
      <c r="D3454" s="27" t="s">
        <v>415</v>
      </c>
      <c r="E3454" s="27" t="s">
        <v>1682</v>
      </c>
      <c r="F3454" s="51">
        <v>2370</v>
      </c>
      <c r="G3454" s="27"/>
    </row>
    <row r="3455" spans="1:7">
      <c r="A3455" s="27">
        <v>211</v>
      </c>
      <c r="B3455" s="27" t="s">
        <v>121</v>
      </c>
      <c r="C3455" s="27" t="s">
        <v>346</v>
      </c>
      <c r="D3455" s="27" t="s">
        <v>291</v>
      </c>
      <c r="E3455" s="27" t="s">
        <v>1681</v>
      </c>
      <c r="F3455" s="51">
        <v>1928</v>
      </c>
      <c r="G3455" s="27"/>
    </row>
    <row r="3456" spans="1:7">
      <c r="A3456" s="27">
        <v>211</v>
      </c>
      <c r="B3456" s="27" t="s">
        <v>121</v>
      </c>
      <c r="C3456" s="27" t="s">
        <v>346</v>
      </c>
      <c r="D3456" s="27" t="s">
        <v>296</v>
      </c>
      <c r="E3456" s="27" t="s">
        <v>1681</v>
      </c>
      <c r="F3456" s="51">
        <v>42625</v>
      </c>
      <c r="G3456" s="27"/>
    </row>
    <row r="3457" spans="1:7">
      <c r="A3457" s="27">
        <v>211</v>
      </c>
      <c r="B3457" s="27" t="s">
        <v>121</v>
      </c>
      <c r="C3457" s="27" t="s">
        <v>346</v>
      </c>
      <c r="D3457" s="27" t="s">
        <v>298</v>
      </c>
      <c r="E3457" s="27" t="s">
        <v>1681</v>
      </c>
      <c r="F3457" s="51">
        <v>21609</v>
      </c>
      <c r="G3457" s="27"/>
    </row>
    <row r="3458" spans="1:7">
      <c r="A3458" s="27">
        <v>211</v>
      </c>
      <c r="B3458" s="27" t="s">
        <v>121</v>
      </c>
      <c r="C3458" s="27" t="s">
        <v>346</v>
      </c>
      <c r="D3458" s="27" t="s">
        <v>401</v>
      </c>
      <c r="E3458" s="27" t="s">
        <v>1681</v>
      </c>
      <c r="F3458" s="51">
        <v>30227</v>
      </c>
      <c r="G3458" s="27"/>
    </row>
    <row r="3459" spans="1:7">
      <c r="A3459" s="27">
        <v>211</v>
      </c>
      <c r="B3459" s="27" t="s">
        <v>121</v>
      </c>
      <c r="C3459" s="27" t="s">
        <v>346</v>
      </c>
      <c r="D3459" s="27" t="s">
        <v>402</v>
      </c>
      <c r="E3459" s="27" t="s">
        <v>1681</v>
      </c>
      <c r="F3459" s="51">
        <v>67138</v>
      </c>
      <c r="G3459" s="27"/>
    </row>
    <row r="3460" spans="1:7">
      <c r="A3460" s="27">
        <v>212</v>
      </c>
      <c r="B3460" s="27" t="s">
        <v>122</v>
      </c>
      <c r="C3460" s="27" t="s">
        <v>393</v>
      </c>
      <c r="D3460" s="27" t="s">
        <v>408</v>
      </c>
      <c r="E3460" s="27" t="s">
        <v>1682</v>
      </c>
      <c r="F3460" s="51">
        <v>11320</v>
      </c>
      <c r="G3460" s="27"/>
    </row>
    <row r="3461" spans="1:7">
      <c r="A3461" s="27">
        <v>212</v>
      </c>
      <c r="B3461" s="27" t="s">
        <v>122</v>
      </c>
      <c r="C3461" s="27" t="s">
        <v>393</v>
      </c>
      <c r="D3461" s="27" t="s">
        <v>394</v>
      </c>
      <c r="E3461" s="27" t="s">
        <v>1682</v>
      </c>
      <c r="F3461" s="51">
        <v>143028</v>
      </c>
      <c r="G3461" s="27"/>
    </row>
    <row r="3462" spans="1:7">
      <c r="A3462" s="27">
        <v>212</v>
      </c>
      <c r="B3462" s="27" t="s">
        <v>122</v>
      </c>
      <c r="C3462" s="27" t="s">
        <v>393</v>
      </c>
      <c r="D3462" s="27" t="s">
        <v>397</v>
      </c>
      <c r="E3462" s="27" t="s">
        <v>1682</v>
      </c>
      <c r="F3462" s="51">
        <v>208363</v>
      </c>
      <c r="G3462" s="27"/>
    </row>
    <row r="3463" spans="1:7">
      <c r="A3463" s="27">
        <v>212</v>
      </c>
      <c r="B3463" s="27" t="s">
        <v>122</v>
      </c>
      <c r="C3463" s="27" t="s">
        <v>393</v>
      </c>
      <c r="D3463" s="27" t="s">
        <v>333</v>
      </c>
      <c r="E3463" s="27" t="s">
        <v>1682</v>
      </c>
      <c r="F3463" s="51">
        <v>99</v>
      </c>
      <c r="G3463" s="27"/>
    </row>
    <row r="3464" spans="1:7">
      <c r="A3464" s="27">
        <v>212</v>
      </c>
      <c r="B3464" s="27" t="s">
        <v>122</v>
      </c>
      <c r="C3464" s="27" t="s">
        <v>393</v>
      </c>
      <c r="D3464" s="27" t="s">
        <v>411</v>
      </c>
      <c r="E3464" s="27" t="s">
        <v>1682</v>
      </c>
      <c r="F3464" s="51">
        <v>5033</v>
      </c>
      <c r="G3464" s="27"/>
    </row>
    <row r="3465" spans="1:7">
      <c r="A3465" s="27">
        <v>212</v>
      </c>
      <c r="B3465" s="27" t="s">
        <v>122</v>
      </c>
      <c r="C3465" s="27" t="s">
        <v>393</v>
      </c>
      <c r="D3465" s="27" t="s">
        <v>412</v>
      </c>
      <c r="E3465" s="27" t="s">
        <v>1682</v>
      </c>
      <c r="F3465" s="51">
        <v>15000</v>
      </c>
      <c r="G3465" s="27"/>
    </row>
    <row r="3466" spans="1:7">
      <c r="A3466" s="27">
        <v>212</v>
      </c>
      <c r="B3466" s="27" t="s">
        <v>122</v>
      </c>
      <c r="C3466" s="27" t="s">
        <v>393</v>
      </c>
      <c r="D3466" s="27" t="s">
        <v>398</v>
      </c>
      <c r="E3466" s="27" t="s">
        <v>1682</v>
      </c>
      <c r="F3466" s="51">
        <v>5396</v>
      </c>
      <c r="G3466" s="27"/>
    </row>
    <row r="3467" spans="1:7">
      <c r="A3467" s="27">
        <v>212</v>
      </c>
      <c r="B3467" s="27" t="s">
        <v>122</v>
      </c>
      <c r="C3467" s="27" t="s">
        <v>393</v>
      </c>
      <c r="D3467" s="27" t="s">
        <v>415</v>
      </c>
      <c r="E3467" s="27" t="s">
        <v>1682</v>
      </c>
      <c r="F3467" s="51">
        <v>1426</v>
      </c>
      <c r="G3467" s="27"/>
    </row>
    <row r="3468" spans="1:7">
      <c r="A3468" s="27">
        <v>212</v>
      </c>
      <c r="B3468" s="27" t="s">
        <v>122</v>
      </c>
      <c r="C3468" s="27" t="s">
        <v>393</v>
      </c>
      <c r="D3468" s="27" t="s">
        <v>334</v>
      </c>
      <c r="E3468" s="27" t="s">
        <v>1682</v>
      </c>
      <c r="F3468" s="51">
        <v>18971</v>
      </c>
      <c r="G3468" s="27"/>
    </row>
    <row r="3469" spans="1:7">
      <c r="A3469" s="27">
        <v>212</v>
      </c>
      <c r="B3469" s="27" t="s">
        <v>122</v>
      </c>
      <c r="C3469" s="27" t="s">
        <v>393</v>
      </c>
      <c r="D3469" s="27" t="s">
        <v>291</v>
      </c>
      <c r="E3469" s="27" t="s">
        <v>1681</v>
      </c>
      <c r="F3469" s="51">
        <v>2176</v>
      </c>
      <c r="G3469" s="27"/>
    </row>
    <row r="3470" spans="1:7">
      <c r="A3470" s="27">
        <v>212</v>
      </c>
      <c r="B3470" s="27" t="s">
        <v>122</v>
      </c>
      <c r="C3470" s="27" t="s">
        <v>393</v>
      </c>
      <c r="D3470" s="27" t="s">
        <v>296</v>
      </c>
      <c r="E3470" s="27" t="s">
        <v>1681</v>
      </c>
      <c r="F3470" s="51">
        <v>215542</v>
      </c>
      <c r="G3470" s="27"/>
    </row>
    <row r="3471" spans="1:7">
      <c r="A3471" s="27">
        <v>212</v>
      </c>
      <c r="B3471" s="27" t="s">
        <v>122</v>
      </c>
      <c r="C3471" s="27" t="s">
        <v>393</v>
      </c>
      <c r="D3471" s="27" t="s">
        <v>400</v>
      </c>
      <c r="E3471" s="27" t="s">
        <v>1681</v>
      </c>
      <c r="F3471" s="51">
        <v>46802</v>
      </c>
      <c r="G3471" s="27"/>
    </row>
    <row r="3472" spans="1:7">
      <c r="A3472" s="27">
        <v>212</v>
      </c>
      <c r="B3472" s="27" t="s">
        <v>122</v>
      </c>
      <c r="C3472" s="27" t="s">
        <v>393</v>
      </c>
      <c r="D3472" s="27" t="s">
        <v>298</v>
      </c>
      <c r="E3472" s="27" t="s">
        <v>1681</v>
      </c>
      <c r="F3472" s="51">
        <v>22673</v>
      </c>
      <c r="G3472" s="27"/>
    </row>
    <row r="3473" spans="1:7">
      <c r="A3473" s="27">
        <v>212</v>
      </c>
      <c r="B3473" s="27" t="s">
        <v>122</v>
      </c>
      <c r="C3473" s="27" t="s">
        <v>393</v>
      </c>
      <c r="D3473" s="27" t="s">
        <v>401</v>
      </c>
      <c r="E3473" s="27" t="s">
        <v>1681</v>
      </c>
      <c r="F3473" s="51">
        <v>15000</v>
      </c>
      <c r="G3473" s="27"/>
    </row>
    <row r="3474" spans="1:7">
      <c r="A3474" s="27">
        <v>212</v>
      </c>
      <c r="B3474" s="27" t="s">
        <v>122</v>
      </c>
      <c r="C3474" s="27" t="s">
        <v>393</v>
      </c>
      <c r="D3474" s="27" t="s">
        <v>402</v>
      </c>
      <c r="E3474" s="27" t="s">
        <v>1681</v>
      </c>
      <c r="F3474" s="51">
        <v>51661</v>
      </c>
      <c r="G3474" s="27"/>
    </row>
    <row r="3475" spans="1:7">
      <c r="A3475" s="27">
        <v>212</v>
      </c>
      <c r="B3475" s="27" t="s">
        <v>122</v>
      </c>
      <c r="C3475" s="27" t="s">
        <v>393</v>
      </c>
      <c r="D3475" s="27" t="s">
        <v>299</v>
      </c>
      <c r="E3475" s="27" t="s">
        <v>1681</v>
      </c>
      <c r="F3475" s="51">
        <v>4929</v>
      </c>
      <c r="G3475" s="27"/>
    </row>
    <row r="3476" spans="1:7">
      <c r="A3476" s="27">
        <v>213</v>
      </c>
      <c r="B3476" s="27" t="s">
        <v>123</v>
      </c>
      <c r="C3476" s="27" t="s">
        <v>393</v>
      </c>
      <c r="D3476" s="27" t="s">
        <v>406</v>
      </c>
      <c r="E3476" s="27" t="s">
        <v>1682</v>
      </c>
      <c r="F3476" s="51">
        <v>39179</v>
      </c>
      <c r="G3476" s="27"/>
    </row>
    <row r="3477" spans="1:7">
      <c r="A3477" s="27">
        <v>213</v>
      </c>
      <c r="B3477" s="27" t="s">
        <v>123</v>
      </c>
      <c r="C3477" s="27" t="s">
        <v>393</v>
      </c>
      <c r="D3477" s="27" t="s">
        <v>408</v>
      </c>
      <c r="E3477" s="27" t="s">
        <v>1682</v>
      </c>
      <c r="F3477" s="51">
        <v>36405</v>
      </c>
      <c r="G3477" s="27"/>
    </row>
    <row r="3478" spans="1:7">
      <c r="A3478" s="27">
        <v>213</v>
      </c>
      <c r="B3478" s="27" t="s">
        <v>123</v>
      </c>
      <c r="C3478" s="27" t="s">
        <v>393</v>
      </c>
      <c r="D3478" s="27" t="s">
        <v>394</v>
      </c>
      <c r="E3478" s="27" t="s">
        <v>1682</v>
      </c>
      <c r="F3478" s="51">
        <v>229740</v>
      </c>
      <c r="G3478" s="27"/>
    </row>
    <row r="3479" spans="1:7">
      <c r="A3479" s="27">
        <v>213</v>
      </c>
      <c r="B3479" s="27" t="s">
        <v>123</v>
      </c>
      <c r="C3479" s="27" t="s">
        <v>393</v>
      </c>
      <c r="D3479" s="27" t="s">
        <v>410</v>
      </c>
      <c r="E3479" s="27" t="s">
        <v>1682</v>
      </c>
      <c r="F3479" s="51">
        <v>10000</v>
      </c>
      <c r="G3479" s="27"/>
    </row>
    <row r="3480" spans="1:7">
      <c r="A3480" s="27">
        <v>213</v>
      </c>
      <c r="B3480" s="27" t="s">
        <v>123</v>
      </c>
      <c r="C3480" s="27" t="s">
        <v>393</v>
      </c>
      <c r="D3480" s="27" t="s">
        <v>397</v>
      </c>
      <c r="E3480" s="27" t="s">
        <v>1682</v>
      </c>
      <c r="F3480" s="51">
        <v>179863</v>
      </c>
      <c r="G3480" s="27"/>
    </row>
    <row r="3481" spans="1:7">
      <c r="A3481" s="27">
        <v>213</v>
      </c>
      <c r="B3481" s="27" t="s">
        <v>123</v>
      </c>
      <c r="C3481" s="27" t="s">
        <v>393</v>
      </c>
      <c r="D3481" s="27" t="s">
        <v>411</v>
      </c>
      <c r="E3481" s="27" t="s">
        <v>1682</v>
      </c>
      <c r="F3481" s="51">
        <v>5209</v>
      </c>
      <c r="G3481" s="27"/>
    </row>
    <row r="3482" spans="1:7">
      <c r="A3482" s="27">
        <v>213</v>
      </c>
      <c r="B3482" s="27" t="s">
        <v>123</v>
      </c>
      <c r="C3482" s="27" t="s">
        <v>393</v>
      </c>
      <c r="D3482" s="27" t="s">
        <v>412</v>
      </c>
      <c r="E3482" s="27" t="s">
        <v>1682</v>
      </c>
      <c r="F3482" s="51">
        <v>50931</v>
      </c>
      <c r="G3482" s="27"/>
    </row>
    <row r="3483" spans="1:7">
      <c r="A3483" s="27">
        <v>213</v>
      </c>
      <c r="B3483" s="27" t="s">
        <v>123</v>
      </c>
      <c r="C3483" s="27" t="s">
        <v>393</v>
      </c>
      <c r="D3483" s="27" t="s">
        <v>398</v>
      </c>
      <c r="E3483" s="27" t="s">
        <v>1682</v>
      </c>
      <c r="F3483" s="51">
        <v>9309</v>
      </c>
      <c r="G3483" s="27"/>
    </row>
    <row r="3484" spans="1:7">
      <c r="A3484" s="27">
        <v>213</v>
      </c>
      <c r="B3484" s="27" t="s">
        <v>123</v>
      </c>
      <c r="C3484" s="27" t="s">
        <v>393</v>
      </c>
      <c r="D3484" s="27" t="s">
        <v>415</v>
      </c>
      <c r="E3484" s="27" t="s">
        <v>1682</v>
      </c>
      <c r="F3484" s="51">
        <v>9822</v>
      </c>
      <c r="G3484" s="27"/>
    </row>
    <row r="3485" spans="1:7">
      <c r="A3485" s="27">
        <v>213</v>
      </c>
      <c r="B3485" s="27" t="s">
        <v>123</v>
      </c>
      <c r="C3485" s="27" t="s">
        <v>393</v>
      </c>
      <c r="D3485" s="27" t="s">
        <v>291</v>
      </c>
      <c r="E3485" s="27" t="s">
        <v>1681</v>
      </c>
      <c r="F3485" s="51">
        <v>5001</v>
      </c>
      <c r="G3485" s="27"/>
    </row>
    <row r="3486" spans="1:7">
      <c r="A3486" s="27">
        <v>213</v>
      </c>
      <c r="B3486" s="27" t="s">
        <v>123</v>
      </c>
      <c r="C3486" s="27" t="s">
        <v>393</v>
      </c>
      <c r="D3486" s="27" t="s">
        <v>293</v>
      </c>
      <c r="E3486" s="27" t="s">
        <v>1681</v>
      </c>
      <c r="F3486" s="51">
        <v>120000</v>
      </c>
      <c r="G3486" s="27"/>
    </row>
    <row r="3487" spans="1:7">
      <c r="A3487" s="27">
        <v>213</v>
      </c>
      <c r="B3487" s="27" t="s">
        <v>123</v>
      </c>
      <c r="C3487" s="27" t="s">
        <v>393</v>
      </c>
      <c r="D3487" s="27" t="s">
        <v>307</v>
      </c>
      <c r="E3487" s="27" t="s">
        <v>1681</v>
      </c>
      <c r="F3487" s="51">
        <v>21600</v>
      </c>
      <c r="G3487" s="27"/>
    </row>
    <row r="3488" spans="1:7">
      <c r="A3488" s="27">
        <v>213</v>
      </c>
      <c r="B3488" s="27" t="s">
        <v>123</v>
      </c>
      <c r="C3488" s="27" t="s">
        <v>393</v>
      </c>
      <c r="D3488" s="27" t="s">
        <v>296</v>
      </c>
      <c r="E3488" s="27" t="s">
        <v>1681</v>
      </c>
      <c r="F3488" s="51">
        <v>10848614</v>
      </c>
      <c r="G3488" s="27"/>
    </row>
    <row r="3489" spans="1:7">
      <c r="A3489" s="27">
        <v>213</v>
      </c>
      <c r="B3489" s="27" t="s">
        <v>123</v>
      </c>
      <c r="C3489" s="27" t="s">
        <v>393</v>
      </c>
      <c r="D3489" s="27" t="s">
        <v>400</v>
      </c>
      <c r="E3489" s="27" t="s">
        <v>1681</v>
      </c>
      <c r="F3489" s="51">
        <v>297056</v>
      </c>
      <c r="G3489" s="27"/>
    </row>
    <row r="3490" spans="1:7">
      <c r="A3490" s="27">
        <v>213</v>
      </c>
      <c r="B3490" s="27" t="s">
        <v>123</v>
      </c>
      <c r="C3490" s="27" t="s">
        <v>393</v>
      </c>
      <c r="D3490" s="27" t="s">
        <v>298</v>
      </c>
      <c r="E3490" s="27" t="s">
        <v>1681</v>
      </c>
      <c r="F3490" s="51">
        <v>49664</v>
      </c>
      <c r="G3490" s="27"/>
    </row>
    <row r="3491" spans="1:7">
      <c r="A3491" s="27">
        <v>213</v>
      </c>
      <c r="B3491" s="27" t="s">
        <v>123</v>
      </c>
      <c r="C3491" s="27" t="s">
        <v>393</v>
      </c>
      <c r="D3491" s="27" t="s">
        <v>401</v>
      </c>
      <c r="E3491" s="27" t="s">
        <v>1681</v>
      </c>
      <c r="F3491" s="51">
        <v>30782</v>
      </c>
      <c r="G3491" s="27"/>
    </row>
    <row r="3492" spans="1:7">
      <c r="A3492" s="27">
        <v>213</v>
      </c>
      <c r="B3492" s="27" t="s">
        <v>123</v>
      </c>
      <c r="C3492" s="27" t="s">
        <v>393</v>
      </c>
      <c r="D3492" s="27" t="s">
        <v>402</v>
      </c>
      <c r="E3492" s="27" t="s">
        <v>1681</v>
      </c>
      <c r="F3492" s="51">
        <v>238301</v>
      </c>
      <c r="G3492" s="27"/>
    </row>
    <row r="3493" spans="1:7">
      <c r="A3493" s="27">
        <v>214</v>
      </c>
      <c r="B3493" s="27" t="s">
        <v>124</v>
      </c>
      <c r="C3493" s="27" t="s">
        <v>393</v>
      </c>
      <c r="D3493" s="27" t="s">
        <v>406</v>
      </c>
      <c r="E3493" s="27" t="s">
        <v>1682</v>
      </c>
      <c r="F3493" s="51">
        <v>23410</v>
      </c>
      <c r="G3493" s="27"/>
    </row>
    <row r="3494" spans="1:7">
      <c r="A3494" s="27">
        <v>214</v>
      </c>
      <c r="B3494" s="27" t="s">
        <v>124</v>
      </c>
      <c r="C3494" s="27" t="s">
        <v>393</v>
      </c>
      <c r="D3494" s="27" t="s">
        <v>408</v>
      </c>
      <c r="E3494" s="27" t="s">
        <v>1682</v>
      </c>
      <c r="F3494" s="51">
        <v>33396</v>
      </c>
      <c r="G3494" s="27"/>
    </row>
    <row r="3495" spans="1:7">
      <c r="A3495" s="27">
        <v>214</v>
      </c>
      <c r="B3495" s="27" t="s">
        <v>124</v>
      </c>
      <c r="C3495" s="27" t="s">
        <v>393</v>
      </c>
      <c r="D3495" s="27" t="s">
        <v>394</v>
      </c>
      <c r="E3495" s="27" t="s">
        <v>1682</v>
      </c>
      <c r="F3495" s="51">
        <v>361301</v>
      </c>
      <c r="G3495" s="27"/>
    </row>
    <row r="3496" spans="1:7">
      <c r="A3496" s="27">
        <v>214</v>
      </c>
      <c r="B3496" s="27" t="s">
        <v>124</v>
      </c>
      <c r="C3496" s="27" t="s">
        <v>393</v>
      </c>
      <c r="D3496" s="27" t="s">
        <v>397</v>
      </c>
      <c r="E3496" s="27" t="s">
        <v>1682</v>
      </c>
      <c r="F3496" s="51">
        <v>347727</v>
      </c>
      <c r="G3496" s="27"/>
    </row>
    <row r="3497" spans="1:7">
      <c r="A3497" s="27">
        <v>214</v>
      </c>
      <c r="B3497" s="27" t="s">
        <v>124</v>
      </c>
      <c r="C3497" s="27" t="s">
        <v>393</v>
      </c>
      <c r="D3497" s="27" t="s">
        <v>333</v>
      </c>
      <c r="E3497" s="27" t="s">
        <v>1682</v>
      </c>
      <c r="F3497" s="51">
        <v>7088</v>
      </c>
      <c r="G3497" s="27"/>
    </row>
    <row r="3498" spans="1:7">
      <c r="A3498" s="27">
        <v>214</v>
      </c>
      <c r="B3498" s="27" t="s">
        <v>124</v>
      </c>
      <c r="C3498" s="27" t="s">
        <v>393</v>
      </c>
      <c r="D3498" s="27" t="s">
        <v>411</v>
      </c>
      <c r="E3498" s="27" t="s">
        <v>1682</v>
      </c>
      <c r="F3498" s="51">
        <v>4032</v>
      </c>
      <c r="G3498" s="27"/>
    </row>
    <row r="3499" spans="1:7">
      <c r="A3499" s="27">
        <v>214</v>
      </c>
      <c r="B3499" s="27" t="s">
        <v>124</v>
      </c>
      <c r="C3499" s="27" t="s">
        <v>393</v>
      </c>
      <c r="D3499" s="27" t="s">
        <v>412</v>
      </c>
      <c r="E3499" s="27" t="s">
        <v>1682</v>
      </c>
      <c r="F3499" s="51">
        <v>32541</v>
      </c>
      <c r="G3499" s="27"/>
    </row>
    <row r="3500" spans="1:7">
      <c r="A3500" s="27">
        <v>214</v>
      </c>
      <c r="B3500" s="27" t="s">
        <v>124</v>
      </c>
      <c r="C3500" s="27" t="s">
        <v>393</v>
      </c>
      <c r="D3500" s="27" t="s">
        <v>398</v>
      </c>
      <c r="E3500" s="27" t="s">
        <v>1682</v>
      </c>
      <c r="F3500" s="51">
        <v>9994</v>
      </c>
      <c r="G3500" s="27"/>
    </row>
    <row r="3501" spans="1:7">
      <c r="A3501" s="27">
        <v>214</v>
      </c>
      <c r="B3501" s="27" t="s">
        <v>124</v>
      </c>
      <c r="C3501" s="27" t="s">
        <v>393</v>
      </c>
      <c r="D3501" s="27" t="s">
        <v>415</v>
      </c>
      <c r="E3501" s="27" t="s">
        <v>1682</v>
      </c>
      <c r="F3501" s="51">
        <v>4001</v>
      </c>
      <c r="G3501" s="27"/>
    </row>
    <row r="3502" spans="1:7">
      <c r="A3502" s="27">
        <v>214</v>
      </c>
      <c r="B3502" s="27" t="s">
        <v>124</v>
      </c>
      <c r="C3502" s="27" t="s">
        <v>393</v>
      </c>
      <c r="D3502" s="27" t="s">
        <v>334</v>
      </c>
      <c r="E3502" s="27" t="s">
        <v>1682</v>
      </c>
      <c r="F3502" s="51">
        <v>35507</v>
      </c>
      <c r="G3502" s="27"/>
    </row>
    <row r="3503" spans="1:7">
      <c r="A3503" s="27">
        <v>214</v>
      </c>
      <c r="B3503" s="27" t="s">
        <v>124</v>
      </c>
      <c r="C3503" s="27" t="s">
        <v>393</v>
      </c>
      <c r="D3503" s="27" t="s">
        <v>291</v>
      </c>
      <c r="E3503" s="27" t="s">
        <v>1681</v>
      </c>
      <c r="F3503" s="51">
        <v>5896</v>
      </c>
      <c r="G3503" s="27"/>
    </row>
    <row r="3504" spans="1:7">
      <c r="A3504" s="27">
        <v>214</v>
      </c>
      <c r="B3504" s="27" t="s">
        <v>124</v>
      </c>
      <c r="C3504" s="27" t="s">
        <v>393</v>
      </c>
      <c r="D3504" s="27" t="s">
        <v>296</v>
      </c>
      <c r="E3504" s="27" t="s">
        <v>1681</v>
      </c>
      <c r="F3504" s="51">
        <v>821478</v>
      </c>
      <c r="G3504" s="27"/>
    </row>
    <row r="3505" spans="1:7">
      <c r="A3505" s="27">
        <v>214</v>
      </c>
      <c r="B3505" s="27" t="s">
        <v>124</v>
      </c>
      <c r="C3505" s="27" t="s">
        <v>393</v>
      </c>
      <c r="D3505" s="27" t="s">
        <v>400</v>
      </c>
      <c r="E3505" s="27" t="s">
        <v>1681</v>
      </c>
      <c r="F3505" s="51">
        <v>209265</v>
      </c>
      <c r="G3505" s="27"/>
    </row>
    <row r="3506" spans="1:7">
      <c r="A3506" s="27">
        <v>214</v>
      </c>
      <c r="B3506" s="27" t="s">
        <v>124</v>
      </c>
      <c r="C3506" s="27" t="s">
        <v>393</v>
      </c>
      <c r="D3506" s="27" t="s">
        <v>298</v>
      </c>
      <c r="E3506" s="27" t="s">
        <v>1681</v>
      </c>
      <c r="F3506" s="51">
        <v>146820</v>
      </c>
      <c r="G3506" s="27"/>
    </row>
    <row r="3507" spans="1:7">
      <c r="A3507" s="27">
        <v>214</v>
      </c>
      <c r="B3507" s="27" t="s">
        <v>124</v>
      </c>
      <c r="C3507" s="27" t="s">
        <v>393</v>
      </c>
      <c r="D3507" s="27" t="s">
        <v>401</v>
      </c>
      <c r="E3507" s="27" t="s">
        <v>1681</v>
      </c>
      <c r="F3507" s="51">
        <v>14993</v>
      </c>
      <c r="G3507" s="27"/>
    </row>
    <row r="3508" spans="1:7">
      <c r="A3508" s="27">
        <v>214</v>
      </c>
      <c r="B3508" s="27" t="s">
        <v>124</v>
      </c>
      <c r="C3508" s="27" t="s">
        <v>393</v>
      </c>
      <c r="D3508" s="27" t="s">
        <v>402</v>
      </c>
      <c r="E3508" s="27" t="s">
        <v>1681</v>
      </c>
      <c r="F3508" s="51">
        <v>117417</v>
      </c>
      <c r="G3508" s="27"/>
    </row>
    <row r="3509" spans="1:7">
      <c r="A3509" s="27">
        <v>214</v>
      </c>
      <c r="B3509" s="27" t="s">
        <v>124</v>
      </c>
      <c r="C3509" s="27" t="s">
        <v>393</v>
      </c>
      <c r="D3509" s="27" t="s">
        <v>320</v>
      </c>
      <c r="E3509" s="27" t="s">
        <v>1681</v>
      </c>
      <c r="F3509" s="51">
        <v>234836</v>
      </c>
      <c r="G3509" s="27"/>
    </row>
    <row r="3510" spans="1:7">
      <c r="A3510" s="27">
        <v>215</v>
      </c>
      <c r="B3510" s="27" t="s">
        <v>125</v>
      </c>
      <c r="C3510" s="27" t="s">
        <v>306</v>
      </c>
      <c r="D3510" s="27" t="s">
        <v>406</v>
      </c>
      <c r="E3510" s="27" t="s">
        <v>1682</v>
      </c>
      <c r="F3510" s="51">
        <v>25140</v>
      </c>
      <c r="G3510" s="27"/>
    </row>
    <row r="3511" spans="1:7">
      <c r="A3511" s="27">
        <v>215</v>
      </c>
      <c r="B3511" s="27" t="s">
        <v>125</v>
      </c>
      <c r="C3511" s="27" t="s">
        <v>306</v>
      </c>
      <c r="D3511" s="27" t="s">
        <v>408</v>
      </c>
      <c r="E3511" s="27" t="s">
        <v>1682</v>
      </c>
      <c r="F3511" s="51">
        <v>61392</v>
      </c>
      <c r="G3511" s="27"/>
    </row>
    <row r="3512" spans="1:7">
      <c r="A3512" s="27">
        <v>215</v>
      </c>
      <c r="B3512" s="27" t="s">
        <v>125</v>
      </c>
      <c r="C3512" s="27" t="s">
        <v>306</v>
      </c>
      <c r="D3512" s="27" t="s">
        <v>394</v>
      </c>
      <c r="E3512" s="27" t="s">
        <v>1682</v>
      </c>
      <c r="F3512" s="51">
        <v>556874</v>
      </c>
      <c r="G3512" s="27"/>
    </row>
    <row r="3513" spans="1:7">
      <c r="A3513" s="27">
        <v>215</v>
      </c>
      <c r="B3513" s="27" t="s">
        <v>125</v>
      </c>
      <c r="C3513" s="27" t="s">
        <v>306</v>
      </c>
      <c r="D3513" s="27" t="s">
        <v>397</v>
      </c>
      <c r="E3513" s="27" t="s">
        <v>1682</v>
      </c>
      <c r="F3513" s="51">
        <v>109675</v>
      </c>
      <c r="G3513" s="27"/>
    </row>
    <row r="3514" spans="1:7">
      <c r="A3514" s="27">
        <v>215</v>
      </c>
      <c r="B3514" s="27" t="s">
        <v>125</v>
      </c>
      <c r="C3514" s="27" t="s">
        <v>306</v>
      </c>
      <c r="D3514" s="27" t="s">
        <v>411</v>
      </c>
      <c r="E3514" s="27" t="s">
        <v>1682</v>
      </c>
      <c r="F3514" s="51">
        <v>3176</v>
      </c>
      <c r="G3514" s="27"/>
    </row>
    <row r="3515" spans="1:7">
      <c r="A3515" s="27">
        <v>215</v>
      </c>
      <c r="B3515" s="27" t="s">
        <v>125</v>
      </c>
      <c r="C3515" s="27" t="s">
        <v>306</v>
      </c>
      <c r="D3515" s="27" t="s">
        <v>412</v>
      </c>
      <c r="E3515" s="27" t="s">
        <v>1682</v>
      </c>
      <c r="F3515" s="51">
        <v>71487</v>
      </c>
      <c r="G3515" s="27"/>
    </row>
    <row r="3516" spans="1:7">
      <c r="A3516" s="27">
        <v>215</v>
      </c>
      <c r="B3516" s="27" t="s">
        <v>125</v>
      </c>
      <c r="C3516" s="27" t="s">
        <v>306</v>
      </c>
      <c r="D3516" s="27" t="s">
        <v>398</v>
      </c>
      <c r="E3516" s="27" t="s">
        <v>1682</v>
      </c>
      <c r="F3516" s="51">
        <v>11890</v>
      </c>
      <c r="G3516" s="27"/>
    </row>
    <row r="3517" spans="1:7">
      <c r="A3517" s="27">
        <v>215</v>
      </c>
      <c r="B3517" s="27" t="s">
        <v>125</v>
      </c>
      <c r="C3517" s="27" t="s">
        <v>306</v>
      </c>
      <c r="D3517" s="27" t="s">
        <v>415</v>
      </c>
      <c r="E3517" s="27" t="s">
        <v>1682</v>
      </c>
      <c r="F3517" s="51">
        <v>11631</v>
      </c>
      <c r="G3517" s="27"/>
    </row>
    <row r="3518" spans="1:7">
      <c r="A3518" s="27">
        <v>215</v>
      </c>
      <c r="B3518" s="27" t="s">
        <v>125</v>
      </c>
      <c r="C3518" s="27" t="s">
        <v>306</v>
      </c>
      <c r="D3518" s="27" t="s">
        <v>291</v>
      </c>
      <c r="E3518" s="27" t="s">
        <v>1681</v>
      </c>
      <c r="F3518" s="51">
        <v>14610</v>
      </c>
      <c r="G3518" s="27"/>
    </row>
    <row r="3519" spans="1:7">
      <c r="A3519" s="27">
        <v>215</v>
      </c>
      <c r="B3519" s="27" t="s">
        <v>125</v>
      </c>
      <c r="C3519" s="27" t="s">
        <v>306</v>
      </c>
      <c r="D3519" s="27" t="s">
        <v>296</v>
      </c>
      <c r="E3519" s="27" t="s">
        <v>1681</v>
      </c>
      <c r="F3519" s="51">
        <v>5743364</v>
      </c>
      <c r="G3519" s="27"/>
    </row>
    <row r="3520" spans="1:7">
      <c r="A3520" s="27">
        <v>215</v>
      </c>
      <c r="B3520" s="27" t="s">
        <v>125</v>
      </c>
      <c r="C3520" s="27" t="s">
        <v>306</v>
      </c>
      <c r="D3520" s="27" t="s">
        <v>400</v>
      </c>
      <c r="E3520" s="27" t="s">
        <v>1681</v>
      </c>
      <c r="F3520" s="51">
        <v>66549</v>
      </c>
      <c r="G3520" s="27"/>
    </row>
    <row r="3521" spans="1:7">
      <c r="A3521" s="27">
        <v>215</v>
      </c>
      <c r="B3521" s="27" t="s">
        <v>125</v>
      </c>
      <c r="C3521" s="27" t="s">
        <v>306</v>
      </c>
      <c r="D3521" s="27" t="s">
        <v>298</v>
      </c>
      <c r="E3521" s="27" t="s">
        <v>1681</v>
      </c>
      <c r="F3521" s="51">
        <v>67180</v>
      </c>
      <c r="G3521" s="27"/>
    </row>
    <row r="3522" spans="1:7">
      <c r="A3522" s="27">
        <v>215</v>
      </c>
      <c r="B3522" s="27" t="s">
        <v>125</v>
      </c>
      <c r="C3522" s="27" t="s">
        <v>306</v>
      </c>
      <c r="D3522" s="27" t="s">
        <v>401</v>
      </c>
      <c r="E3522" s="27" t="s">
        <v>1681</v>
      </c>
      <c r="F3522" s="51">
        <v>14991</v>
      </c>
      <c r="G3522" s="27"/>
    </row>
    <row r="3523" spans="1:7">
      <c r="A3523" s="27">
        <v>215</v>
      </c>
      <c r="B3523" s="27" t="s">
        <v>125</v>
      </c>
      <c r="C3523" s="27" t="s">
        <v>306</v>
      </c>
      <c r="D3523" s="27" t="s">
        <v>402</v>
      </c>
      <c r="E3523" s="27" t="s">
        <v>1681</v>
      </c>
      <c r="F3523" s="51">
        <v>249263</v>
      </c>
      <c r="G3523" s="27"/>
    </row>
    <row r="3524" spans="1:7">
      <c r="A3524" s="27">
        <v>216</v>
      </c>
      <c r="B3524" s="27" t="s">
        <v>126</v>
      </c>
      <c r="C3524" s="27" t="s">
        <v>302</v>
      </c>
      <c r="D3524" s="27" t="s">
        <v>408</v>
      </c>
      <c r="E3524" s="27" t="s">
        <v>1682</v>
      </c>
      <c r="F3524" s="51">
        <v>89371</v>
      </c>
      <c r="G3524" s="27"/>
    </row>
    <row r="3525" spans="1:7">
      <c r="A3525" s="27">
        <v>216</v>
      </c>
      <c r="B3525" s="27" t="s">
        <v>126</v>
      </c>
      <c r="C3525" s="27" t="s">
        <v>302</v>
      </c>
      <c r="D3525" s="27" t="s">
        <v>394</v>
      </c>
      <c r="E3525" s="27" t="s">
        <v>1682</v>
      </c>
      <c r="F3525" s="51">
        <v>219000</v>
      </c>
      <c r="G3525" s="27"/>
    </row>
    <row r="3526" spans="1:7">
      <c r="A3526" s="27">
        <v>216</v>
      </c>
      <c r="B3526" s="27" t="s">
        <v>126</v>
      </c>
      <c r="C3526" s="27" t="s">
        <v>302</v>
      </c>
      <c r="D3526" s="27" t="s">
        <v>397</v>
      </c>
      <c r="E3526" s="27" t="s">
        <v>1682</v>
      </c>
      <c r="F3526" s="51">
        <v>66142</v>
      </c>
      <c r="G3526" s="27"/>
    </row>
    <row r="3527" spans="1:7">
      <c r="A3527" s="27">
        <v>216</v>
      </c>
      <c r="B3527" s="27" t="s">
        <v>126</v>
      </c>
      <c r="C3527" s="27" t="s">
        <v>302</v>
      </c>
      <c r="D3527" s="27" t="s">
        <v>333</v>
      </c>
      <c r="E3527" s="27" t="s">
        <v>1682</v>
      </c>
      <c r="F3527" s="51">
        <v>2000</v>
      </c>
      <c r="G3527" s="27"/>
    </row>
    <row r="3528" spans="1:7">
      <c r="A3528" s="27">
        <v>216</v>
      </c>
      <c r="B3528" s="27" t="s">
        <v>126</v>
      </c>
      <c r="C3528" s="27" t="s">
        <v>302</v>
      </c>
      <c r="D3528" s="27" t="s">
        <v>411</v>
      </c>
      <c r="E3528" s="27" t="s">
        <v>1682</v>
      </c>
      <c r="F3528" s="51">
        <v>1916</v>
      </c>
      <c r="G3528" s="27"/>
    </row>
    <row r="3529" spans="1:7">
      <c r="A3529" s="27">
        <v>216</v>
      </c>
      <c r="B3529" s="27" t="s">
        <v>126</v>
      </c>
      <c r="C3529" s="27" t="s">
        <v>302</v>
      </c>
      <c r="D3529" s="27" t="s">
        <v>412</v>
      </c>
      <c r="E3529" s="27" t="s">
        <v>1682</v>
      </c>
      <c r="F3529" s="51">
        <v>30000</v>
      </c>
      <c r="G3529" s="27"/>
    </row>
    <row r="3530" spans="1:7">
      <c r="A3530" s="27">
        <v>216</v>
      </c>
      <c r="B3530" s="27" t="s">
        <v>126</v>
      </c>
      <c r="C3530" s="27" t="s">
        <v>302</v>
      </c>
      <c r="D3530" s="27" t="s">
        <v>398</v>
      </c>
      <c r="E3530" s="27" t="s">
        <v>1682</v>
      </c>
      <c r="F3530" s="51">
        <v>6000</v>
      </c>
      <c r="G3530" s="27"/>
    </row>
    <row r="3531" spans="1:7">
      <c r="A3531" s="27">
        <v>216</v>
      </c>
      <c r="B3531" s="27" t="s">
        <v>126</v>
      </c>
      <c r="C3531" s="27" t="s">
        <v>302</v>
      </c>
      <c r="D3531" s="27" t="s">
        <v>415</v>
      </c>
      <c r="E3531" s="27" t="s">
        <v>1682</v>
      </c>
      <c r="F3531" s="51">
        <v>12124</v>
      </c>
      <c r="G3531" s="27"/>
    </row>
    <row r="3532" spans="1:7">
      <c r="A3532" s="27">
        <v>216</v>
      </c>
      <c r="B3532" s="27" t="s">
        <v>126</v>
      </c>
      <c r="C3532" s="27" t="s">
        <v>302</v>
      </c>
      <c r="D3532" s="27" t="s">
        <v>334</v>
      </c>
      <c r="E3532" s="27" t="s">
        <v>1682</v>
      </c>
      <c r="F3532" s="51">
        <v>5148</v>
      </c>
      <c r="G3532" s="27"/>
    </row>
    <row r="3533" spans="1:7">
      <c r="A3533" s="27">
        <v>216</v>
      </c>
      <c r="B3533" s="27" t="s">
        <v>126</v>
      </c>
      <c r="C3533" s="27" t="s">
        <v>302</v>
      </c>
      <c r="D3533" s="27" t="s">
        <v>291</v>
      </c>
      <c r="E3533" s="27" t="s">
        <v>1681</v>
      </c>
      <c r="F3533" s="51">
        <v>9784</v>
      </c>
      <c r="G3533" s="27"/>
    </row>
    <row r="3534" spans="1:7">
      <c r="A3534" s="27">
        <v>216</v>
      </c>
      <c r="B3534" s="27" t="s">
        <v>126</v>
      </c>
      <c r="C3534" s="27" t="s">
        <v>302</v>
      </c>
      <c r="D3534" s="27" t="s">
        <v>303</v>
      </c>
      <c r="E3534" s="27" t="s">
        <v>1681</v>
      </c>
      <c r="F3534" s="51">
        <v>13322</v>
      </c>
      <c r="G3534" s="27"/>
    </row>
    <row r="3535" spans="1:7">
      <c r="A3535" s="27">
        <v>216</v>
      </c>
      <c r="B3535" s="27" t="s">
        <v>126</v>
      </c>
      <c r="C3535" s="27" t="s">
        <v>302</v>
      </c>
      <c r="D3535" s="27" t="s">
        <v>296</v>
      </c>
      <c r="E3535" s="27" t="s">
        <v>1681</v>
      </c>
      <c r="F3535" s="51">
        <v>3166821</v>
      </c>
      <c r="G3535" s="27"/>
    </row>
    <row r="3536" spans="1:7">
      <c r="A3536" s="27">
        <v>216</v>
      </c>
      <c r="B3536" s="27" t="s">
        <v>126</v>
      </c>
      <c r="C3536" s="27" t="s">
        <v>302</v>
      </c>
      <c r="D3536" s="27" t="s">
        <v>400</v>
      </c>
      <c r="E3536" s="27" t="s">
        <v>1681</v>
      </c>
      <c r="F3536" s="51">
        <v>210485</v>
      </c>
      <c r="G3536" s="27"/>
    </row>
    <row r="3537" spans="1:7">
      <c r="A3537" s="27">
        <v>216</v>
      </c>
      <c r="B3537" s="27" t="s">
        <v>126</v>
      </c>
      <c r="C3537" s="27" t="s">
        <v>302</v>
      </c>
      <c r="D3537" s="27" t="s">
        <v>298</v>
      </c>
      <c r="E3537" s="27" t="s">
        <v>1681</v>
      </c>
      <c r="F3537" s="51">
        <v>12096</v>
      </c>
      <c r="G3537" s="27"/>
    </row>
    <row r="3538" spans="1:7">
      <c r="A3538" s="27">
        <v>216</v>
      </c>
      <c r="B3538" s="27" t="s">
        <v>126</v>
      </c>
      <c r="C3538" s="27" t="s">
        <v>302</v>
      </c>
      <c r="D3538" s="27" t="s">
        <v>401</v>
      </c>
      <c r="E3538" s="27" t="s">
        <v>1681</v>
      </c>
      <c r="F3538" s="51">
        <v>31265</v>
      </c>
      <c r="G3538" s="27"/>
    </row>
    <row r="3539" spans="1:7">
      <c r="A3539" s="27">
        <v>216</v>
      </c>
      <c r="B3539" s="27" t="s">
        <v>126</v>
      </c>
      <c r="C3539" s="27" t="s">
        <v>302</v>
      </c>
      <c r="D3539" s="27" t="s">
        <v>402</v>
      </c>
      <c r="E3539" s="27" t="s">
        <v>1681</v>
      </c>
      <c r="F3539" s="51">
        <v>466786</v>
      </c>
      <c r="G3539" s="27"/>
    </row>
    <row r="3540" spans="1:7">
      <c r="A3540" s="27">
        <v>216</v>
      </c>
      <c r="B3540" s="27" t="s">
        <v>126</v>
      </c>
      <c r="C3540" s="27" t="s">
        <v>302</v>
      </c>
      <c r="D3540" s="27" t="s">
        <v>299</v>
      </c>
      <c r="E3540" s="27" t="s">
        <v>1681</v>
      </c>
      <c r="F3540" s="51">
        <v>22951</v>
      </c>
      <c r="G3540" s="27"/>
    </row>
    <row r="3541" spans="1:7">
      <c r="A3541" s="27">
        <v>217</v>
      </c>
      <c r="B3541" s="27" t="s">
        <v>127</v>
      </c>
      <c r="C3541" s="27" t="s">
        <v>393</v>
      </c>
      <c r="D3541" s="27" t="s">
        <v>408</v>
      </c>
      <c r="E3541" s="27" t="s">
        <v>1682</v>
      </c>
      <c r="F3541" s="51">
        <v>45402</v>
      </c>
      <c r="G3541" s="27"/>
    </row>
    <row r="3542" spans="1:7">
      <c r="A3542" s="27">
        <v>217</v>
      </c>
      <c r="B3542" s="27" t="s">
        <v>127</v>
      </c>
      <c r="C3542" s="27" t="s">
        <v>393</v>
      </c>
      <c r="D3542" s="27" t="s">
        <v>394</v>
      </c>
      <c r="E3542" s="27" t="s">
        <v>1682</v>
      </c>
      <c r="F3542" s="51">
        <v>257676</v>
      </c>
      <c r="G3542" s="27"/>
    </row>
    <row r="3543" spans="1:7">
      <c r="A3543" s="27">
        <v>217</v>
      </c>
      <c r="B3543" s="27" t="s">
        <v>127</v>
      </c>
      <c r="C3543" s="27" t="s">
        <v>393</v>
      </c>
      <c r="D3543" s="27" t="s">
        <v>397</v>
      </c>
      <c r="E3543" s="27" t="s">
        <v>1682</v>
      </c>
      <c r="F3543" s="51">
        <v>73314</v>
      </c>
      <c r="G3543" s="27"/>
    </row>
    <row r="3544" spans="1:7">
      <c r="A3544" s="27">
        <v>217</v>
      </c>
      <c r="B3544" s="27" t="s">
        <v>127</v>
      </c>
      <c r="C3544" s="27" t="s">
        <v>393</v>
      </c>
      <c r="D3544" s="27" t="s">
        <v>411</v>
      </c>
      <c r="E3544" s="27" t="s">
        <v>1682</v>
      </c>
      <c r="F3544" s="51">
        <v>2123</v>
      </c>
      <c r="G3544" s="27"/>
    </row>
    <row r="3545" spans="1:7">
      <c r="A3545" s="27">
        <v>217</v>
      </c>
      <c r="B3545" s="27" t="s">
        <v>127</v>
      </c>
      <c r="C3545" s="27" t="s">
        <v>393</v>
      </c>
      <c r="D3545" s="27" t="s">
        <v>412</v>
      </c>
      <c r="E3545" s="27" t="s">
        <v>1682</v>
      </c>
      <c r="F3545" s="51">
        <v>24014</v>
      </c>
      <c r="G3545" s="27"/>
    </row>
    <row r="3546" spans="1:7">
      <c r="A3546" s="27">
        <v>217</v>
      </c>
      <c r="B3546" s="27" t="s">
        <v>127</v>
      </c>
      <c r="C3546" s="27" t="s">
        <v>393</v>
      </c>
      <c r="D3546" s="27" t="s">
        <v>398</v>
      </c>
      <c r="E3546" s="27" t="s">
        <v>1682</v>
      </c>
      <c r="F3546" s="51">
        <v>3396</v>
      </c>
      <c r="G3546" s="27"/>
    </row>
    <row r="3547" spans="1:7">
      <c r="A3547" s="27">
        <v>217</v>
      </c>
      <c r="B3547" s="27" t="s">
        <v>127</v>
      </c>
      <c r="C3547" s="27" t="s">
        <v>393</v>
      </c>
      <c r="D3547" s="27" t="s">
        <v>415</v>
      </c>
      <c r="E3547" s="27" t="s">
        <v>1682</v>
      </c>
      <c r="F3547" s="51">
        <v>8058</v>
      </c>
      <c r="G3547" s="27"/>
    </row>
    <row r="3548" spans="1:7">
      <c r="A3548" s="27">
        <v>217</v>
      </c>
      <c r="B3548" s="27" t="s">
        <v>127</v>
      </c>
      <c r="C3548" s="27" t="s">
        <v>393</v>
      </c>
      <c r="D3548" s="27" t="s">
        <v>291</v>
      </c>
      <c r="E3548" s="27" t="s">
        <v>1681</v>
      </c>
      <c r="F3548" s="51">
        <v>6965</v>
      </c>
      <c r="G3548" s="27"/>
    </row>
    <row r="3549" spans="1:7">
      <c r="A3549" s="27">
        <v>217</v>
      </c>
      <c r="B3549" s="27" t="s">
        <v>127</v>
      </c>
      <c r="C3549" s="27" t="s">
        <v>393</v>
      </c>
      <c r="D3549" s="27" t="s">
        <v>296</v>
      </c>
      <c r="E3549" s="27" t="s">
        <v>1681</v>
      </c>
      <c r="F3549" s="51">
        <v>462876</v>
      </c>
      <c r="G3549" s="27"/>
    </row>
    <row r="3550" spans="1:7">
      <c r="A3550" s="27">
        <v>217</v>
      </c>
      <c r="B3550" s="27" t="s">
        <v>127</v>
      </c>
      <c r="C3550" s="27" t="s">
        <v>393</v>
      </c>
      <c r="D3550" s="27" t="s">
        <v>400</v>
      </c>
      <c r="E3550" s="27" t="s">
        <v>1681</v>
      </c>
      <c r="F3550" s="51">
        <v>84356</v>
      </c>
      <c r="G3550" s="27"/>
    </row>
    <row r="3551" spans="1:7">
      <c r="A3551" s="27">
        <v>217</v>
      </c>
      <c r="B3551" s="27" t="s">
        <v>127</v>
      </c>
      <c r="C3551" s="27" t="s">
        <v>393</v>
      </c>
      <c r="D3551" s="27" t="s">
        <v>298</v>
      </c>
      <c r="E3551" s="27" t="s">
        <v>1681</v>
      </c>
      <c r="F3551" s="51">
        <v>44757</v>
      </c>
      <c r="G3551" s="27"/>
    </row>
    <row r="3552" spans="1:7">
      <c r="A3552" s="27">
        <v>217</v>
      </c>
      <c r="B3552" s="27" t="s">
        <v>127</v>
      </c>
      <c r="C3552" s="27" t="s">
        <v>393</v>
      </c>
      <c r="D3552" s="27" t="s">
        <v>401</v>
      </c>
      <c r="E3552" s="27" t="s">
        <v>1681</v>
      </c>
      <c r="F3552" s="51">
        <v>14988</v>
      </c>
      <c r="G3552" s="27"/>
    </row>
    <row r="3553" spans="1:7">
      <c r="A3553" s="27">
        <v>217</v>
      </c>
      <c r="B3553" s="27" t="s">
        <v>127</v>
      </c>
      <c r="C3553" s="27" t="s">
        <v>393</v>
      </c>
      <c r="D3553" s="27" t="s">
        <v>402</v>
      </c>
      <c r="E3553" s="27" t="s">
        <v>1681</v>
      </c>
      <c r="F3553" s="51">
        <v>240099</v>
      </c>
      <c r="G3553" s="27"/>
    </row>
    <row r="3554" spans="1:7">
      <c r="A3554" s="27">
        <v>218</v>
      </c>
      <c r="B3554" s="27" t="s">
        <v>128</v>
      </c>
      <c r="C3554" s="27" t="s">
        <v>393</v>
      </c>
      <c r="D3554" s="27" t="s">
        <v>408</v>
      </c>
      <c r="E3554" s="27" t="s">
        <v>1682</v>
      </c>
      <c r="F3554" s="51">
        <v>27663</v>
      </c>
      <c r="G3554" s="27"/>
    </row>
    <row r="3555" spans="1:7">
      <c r="A3555" s="27">
        <v>218</v>
      </c>
      <c r="B3555" s="27" t="s">
        <v>128</v>
      </c>
      <c r="C3555" s="27" t="s">
        <v>393</v>
      </c>
      <c r="D3555" s="27" t="s">
        <v>394</v>
      </c>
      <c r="E3555" s="27" t="s">
        <v>1682</v>
      </c>
      <c r="F3555" s="51">
        <v>142118</v>
      </c>
      <c r="G3555" s="27"/>
    </row>
    <row r="3556" spans="1:7">
      <c r="A3556" s="27">
        <v>218</v>
      </c>
      <c r="B3556" s="27" t="s">
        <v>128</v>
      </c>
      <c r="C3556" s="27" t="s">
        <v>393</v>
      </c>
      <c r="D3556" s="27" t="s">
        <v>412</v>
      </c>
      <c r="E3556" s="27" t="s">
        <v>1682</v>
      </c>
      <c r="F3556" s="51">
        <v>9580</v>
      </c>
      <c r="G3556" s="27"/>
    </row>
    <row r="3557" spans="1:7">
      <c r="A3557" s="27">
        <v>218</v>
      </c>
      <c r="B3557" s="27" t="s">
        <v>128</v>
      </c>
      <c r="C3557" s="27" t="s">
        <v>393</v>
      </c>
      <c r="D3557" s="27" t="s">
        <v>398</v>
      </c>
      <c r="E3557" s="27" t="s">
        <v>1682</v>
      </c>
      <c r="F3557" s="51">
        <v>732</v>
      </c>
      <c r="G3557" s="27"/>
    </row>
    <row r="3558" spans="1:7">
      <c r="A3558" s="27">
        <v>218</v>
      </c>
      <c r="B3558" s="27" t="s">
        <v>128</v>
      </c>
      <c r="C3558" s="27" t="s">
        <v>393</v>
      </c>
      <c r="D3558" s="27" t="s">
        <v>415</v>
      </c>
      <c r="E3558" s="27" t="s">
        <v>1682</v>
      </c>
      <c r="F3558" s="51">
        <v>3049</v>
      </c>
      <c r="G3558" s="27"/>
    </row>
    <row r="3559" spans="1:7">
      <c r="A3559" s="27">
        <v>218</v>
      </c>
      <c r="B3559" s="27" t="s">
        <v>128</v>
      </c>
      <c r="C3559" s="27" t="s">
        <v>393</v>
      </c>
      <c r="D3559" s="27" t="s">
        <v>291</v>
      </c>
      <c r="E3559" s="27" t="s">
        <v>1681</v>
      </c>
      <c r="F3559" s="51">
        <v>5329</v>
      </c>
      <c r="G3559" s="27"/>
    </row>
    <row r="3560" spans="1:7">
      <c r="A3560" s="27">
        <v>218</v>
      </c>
      <c r="B3560" s="27" t="s">
        <v>128</v>
      </c>
      <c r="C3560" s="27" t="s">
        <v>393</v>
      </c>
      <c r="D3560" s="27" t="s">
        <v>307</v>
      </c>
      <c r="E3560" s="27" t="s">
        <v>1681</v>
      </c>
      <c r="F3560" s="51">
        <v>13200</v>
      </c>
      <c r="G3560" s="27"/>
    </row>
    <row r="3561" spans="1:7">
      <c r="A3561" s="27">
        <v>218</v>
      </c>
      <c r="B3561" s="27" t="s">
        <v>128</v>
      </c>
      <c r="C3561" s="27" t="s">
        <v>393</v>
      </c>
      <c r="D3561" s="27" t="s">
        <v>295</v>
      </c>
      <c r="E3561" s="27" t="s">
        <v>1681</v>
      </c>
      <c r="F3561" s="51">
        <v>6000</v>
      </c>
      <c r="G3561" s="27"/>
    </row>
    <row r="3562" spans="1:7">
      <c r="A3562" s="27">
        <v>218</v>
      </c>
      <c r="B3562" s="27" t="s">
        <v>128</v>
      </c>
      <c r="C3562" s="27" t="s">
        <v>393</v>
      </c>
      <c r="D3562" s="27" t="s">
        <v>296</v>
      </c>
      <c r="E3562" s="27" t="s">
        <v>1681</v>
      </c>
      <c r="F3562" s="51">
        <v>1794309</v>
      </c>
      <c r="G3562" s="27"/>
    </row>
    <row r="3563" spans="1:7">
      <c r="A3563" s="27">
        <v>218</v>
      </c>
      <c r="B3563" s="27" t="s">
        <v>128</v>
      </c>
      <c r="C3563" s="27" t="s">
        <v>393</v>
      </c>
      <c r="D3563" s="27" t="s">
        <v>400</v>
      </c>
      <c r="E3563" s="27" t="s">
        <v>1681</v>
      </c>
      <c r="F3563" s="51">
        <v>269297</v>
      </c>
      <c r="G3563" s="27"/>
    </row>
    <row r="3564" spans="1:7">
      <c r="A3564" s="27">
        <v>218</v>
      </c>
      <c r="B3564" s="27" t="s">
        <v>128</v>
      </c>
      <c r="C3564" s="27" t="s">
        <v>393</v>
      </c>
      <c r="D3564" s="27" t="s">
        <v>298</v>
      </c>
      <c r="E3564" s="27" t="s">
        <v>1681</v>
      </c>
      <c r="F3564" s="51">
        <v>142171</v>
      </c>
      <c r="G3564" s="27"/>
    </row>
    <row r="3565" spans="1:7">
      <c r="A3565" s="27">
        <v>218</v>
      </c>
      <c r="B3565" s="27" t="s">
        <v>128</v>
      </c>
      <c r="C3565" s="27" t="s">
        <v>393</v>
      </c>
      <c r="D3565" s="27" t="s">
        <v>401</v>
      </c>
      <c r="E3565" s="27" t="s">
        <v>1681</v>
      </c>
      <c r="F3565" s="51">
        <v>14888</v>
      </c>
      <c r="G3565" s="27"/>
    </row>
    <row r="3566" spans="1:7">
      <c r="A3566" s="27">
        <v>218</v>
      </c>
      <c r="B3566" s="27" t="s">
        <v>128</v>
      </c>
      <c r="C3566" s="27" t="s">
        <v>393</v>
      </c>
      <c r="D3566" s="27" t="s">
        <v>402</v>
      </c>
      <c r="E3566" s="27" t="s">
        <v>1681</v>
      </c>
      <c r="F3566" s="51">
        <v>89305</v>
      </c>
      <c r="G3566" s="27"/>
    </row>
    <row r="3567" spans="1:7">
      <c r="A3567" s="27">
        <v>219</v>
      </c>
      <c r="B3567" s="27" t="s">
        <v>129</v>
      </c>
      <c r="C3567" s="27" t="s">
        <v>393</v>
      </c>
      <c r="D3567" s="27" t="s">
        <v>394</v>
      </c>
      <c r="E3567" s="27" t="s">
        <v>1682</v>
      </c>
      <c r="F3567" s="51">
        <v>92489</v>
      </c>
      <c r="G3567" s="27"/>
    </row>
    <row r="3568" spans="1:7">
      <c r="A3568" s="27">
        <v>219</v>
      </c>
      <c r="B3568" s="27" t="s">
        <v>129</v>
      </c>
      <c r="C3568" s="27" t="s">
        <v>393</v>
      </c>
      <c r="D3568" s="27" t="s">
        <v>397</v>
      </c>
      <c r="E3568" s="27" t="s">
        <v>1682</v>
      </c>
      <c r="F3568" s="51">
        <v>48935</v>
      </c>
      <c r="G3568" s="27"/>
    </row>
    <row r="3569" spans="1:7">
      <c r="A3569" s="27">
        <v>219</v>
      </c>
      <c r="B3569" s="27" t="s">
        <v>129</v>
      </c>
      <c r="C3569" s="27" t="s">
        <v>393</v>
      </c>
      <c r="D3569" s="27" t="s">
        <v>411</v>
      </c>
      <c r="E3569" s="27" t="s">
        <v>1682</v>
      </c>
      <c r="F3569" s="51">
        <v>709</v>
      </c>
      <c r="G3569" s="27"/>
    </row>
    <row r="3570" spans="1:7">
      <c r="A3570" s="27">
        <v>219</v>
      </c>
      <c r="B3570" s="27" t="s">
        <v>129</v>
      </c>
      <c r="C3570" s="27" t="s">
        <v>393</v>
      </c>
      <c r="D3570" s="27" t="s">
        <v>412</v>
      </c>
      <c r="E3570" s="27" t="s">
        <v>1682</v>
      </c>
      <c r="F3570" s="51">
        <v>11346</v>
      </c>
      <c r="G3570" s="27"/>
    </row>
    <row r="3571" spans="1:7">
      <c r="A3571" s="27">
        <v>219</v>
      </c>
      <c r="B3571" s="27" t="s">
        <v>129</v>
      </c>
      <c r="C3571" s="27" t="s">
        <v>393</v>
      </c>
      <c r="D3571" s="27" t="s">
        <v>398</v>
      </c>
      <c r="E3571" s="27" t="s">
        <v>1682</v>
      </c>
      <c r="F3571" s="51">
        <v>1740</v>
      </c>
      <c r="G3571" s="27"/>
    </row>
    <row r="3572" spans="1:7">
      <c r="A3572" s="27">
        <v>219</v>
      </c>
      <c r="B3572" s="27" t="s">
        <v>129</v>
      </c>
      <c r="C3572" s="27" t="s">
        <v>393</v>
      </c>
      <c r="D3572" s="27" t="s">
        <v>415</v>
      </c>
      <c r="E3572" s="27" t="s">
        <v>1682</v>
      </c>
      <c r="F3572" s="51">
        <v>4857</v>
      </c>
      <c r="G3572" s="27"/>
    </row>
    <row r="3573" spans="1:7">
      <c r="A3573" s="27">
        <v>219</v>
      </c>
      <c r="B3573" s="27" t="s">
        <v>129</v>
      </c>
      <c r="C3573" s="27" t="s">
        <v>393</v>
      </c>
      <c r="D3573" s="27" t="s">
        <v>307</v>
      </c>
      <c r="E3573" s="27" t="s">
        <v>1681</v>
      </c>
      <c r="F3573" s="51">
        <v>2400</v>
      </c>
      <c r="G3573" s="27"/>
    </row>
    <row r="3574" spans="1:7">
      <c r="A3574" s="27">
        <v>219</v>
      </c>
      <c r="B3574" s="27" t="s">
        <v>129</v>
      </c>
      <c r="C3574" s="27" t="s">
        <v>393</v>
      </c>
      <c r="D3574" s="27" t="s">
        <v>296</v>
      </c>
      <c r="E3574" s="27" t="s">
        <v>1681</v>
      </c>
      <c r="F3574" s="51">
        <v>2074482</v>
      </c>
      <c r="G3574" s="27"/>
    </row>
    <row r="3575" spans="1:7">
      <c r="A3575" s="27">
        <v>219</v>
      </c>
      <c r="B3575" s="27" t="s">
        <v>129</v>
      </c>
      <c r="C3575" s="27" t="s">
        <v>393</v>
      </c>
      <c r="D3575" s="27" t="s">
        <v>400</v>
      </c>
      <c r="E3575" s="27" t="s">
        <v>1681</v>
      </c>
      <c r="F3575" s="51">
        <v>13733</v>
      </c>
      <c r="G3575" s="27"/>
    </row>
    <row r="3576" spans="1:7">
      <c r="A3576" s="27">
        <v>219</v>
      </c>
      <c r="B3576" s="27" t="s">
        <v>129</v>
      </c>
      <c r="C3576" s="27" t="s">
        <v>393</v>
      </c>
      <c r="D3576" s="27" t="s">
        <v>298</v>
      </c>
      <c r="E3576" s="27" t="s">
        <v>1681</v>
      </c>
      <c r="F3576" s="51">
        <v>130412</v>
      </c>
      <c r="G3576" s="27"/>
    </row>
    <row r="3577" spans="1:7">
      <c r="A3577" s="27">
        <v>219</v>
      </c>
      <c r="B3577" s="27" t="s">
        <v>129</v>
      </c>
      <c r="C3577" s="27" t="s">
        <v>393</v>
      </c>
      <c r="D3577" s="27" t="s">
        <v>401</v>
      </c>
      <c r="E3577" s="27" t="s">
        <v>1681</v>
      </c>
      <c r="F3577" s="51">
        <v>30614</v>
      </c>
      <c r="G3577" s="27"/>
    </row>
    <row r="3578" spans="1:7">
      <c r="A3578" s="27">
        <v>219</v>
      </c>
      <c r="B3578" s="27" t="s">
        <v>129</v>
      </c>
      <c r="C3578" s="27" t="s">
        <v>393</v>
      </c>
      <c r="D3578" s="27" t="s">
        <v>402</v>
      </c>
      <c r="E3578" s="27" t="s">
        <v>1681</v>
      </c>
      <c r="F3578" s="51">
        <v>282639</v>
      </c>
      <c r="G3578" s="27"/>
    </row>
    <row r="3579" spans="1:7">
      <c r="A3579" s="27">
        <v>219</v>
      </c>
      <c r="B3579" s="27" t="s">
        <v>129</v>
      </c>
      <c r="C3579" s="27" t="s">
        <v>393</v>
      </c>
      <c r="D3579" s="27" t="s">
        <v>320</v>
      </c>
      <c r="E3579" s="27" t="s">
        <v>1681</v>
      </c>
      <c r="F3579" s="51">
        <v>75063</v>
      </c>
      <c r="G3579" s="27"/>
    </row>
    <row r="3580" spans="1:7">
      <c r="A3580" s="27">
        <v>223</v>
      </c>
      <c r="B3580" s="27" t="s">
        <v>130</v>
      </c>
      <c r="C3580" s="27"/>
      <c r="D3580" s="27" t="s">
        <v>394</v>
      </c>
      <c r="E3580" s="27" t="s">
        <v>1682</v>
      </c>
      <c r="F3580" s="51">
        <v>256056</v>
      </c>
      <c r="G3580" s="27"/>
    </row>
    <row r="3581" spans="1:7">
      <c r="A3581" s="27">
        <v>223</v>
      </c>
      <c r="B3581" s="27" t="s">
        <v>130</v>
      </c>
      <c r="C3581" s="27"/>
      <c r="D3581" s="27" t="s">
        <v>397</v>
      </c>
      <c r="E3581" s="27" t="s">
        <v>1682</v>
      </c>
      <c r="F3581" s="51">
        <v>154694</v>
      </c>
      <c r="G3581" s="27"/>
    </row>
    <row r="3582" spans="1:7">
      <c r="A3582" s="27">
        <v>224</v>
      </c>
      <c r="B3582" s="27" t="s">
        <v>131</v>
      </c>
      <c r="C3582" s="27"/>
      <c r="D3582" s="27" t="s">
        <v>296</v>
      </c>
      <c r="E3582" s="27" t="s">
        <v>1681</v>
      </c>
      <c r="F3582" s="51">
        <v>2205625</v>
      </c>
      <c r="G3582" s="27"/>
    </row>
    <row r="3583" spans="1:7">
      <c r="A3583" s="27">
        <v>241</v>
      </c>
      <c r="B3583" s="27" t="s">
        <v>132</v>
      </c>
      <c r="C3583" s="27"/>
      <c r="D3583" s="27" t="s">
        <v>406</v>
      </c>
      <c r="E3583" s="27" t="s">
        <v>1682</v>
      </c>
      <c r="F3583" s="51">
        <v>399787</v>
      </c>
      <c r="G3583" s="27"/>
    </row>
    <row r="3584" spans="1:7">
      <c r="A3584" s="27">
        <v>241</v>
      </c>
      <c r="B3584" s="27" t="s">
        <v>132</v>
      </c>
      <c r="C3584" s="27"/>
      <c r="D3584" s="27" t="s">
        <v>408</v>
      </c>
      <c r="E3584" s="27" t="s">
        <v>1682</v>
      </c>
      <c r="F3584" s="51">
        <v>23656</v>
      </c>
      <c r="G3584" s="27"/>
    </row>
    <row r="3585" spans="1:7">
      <c r="A3585" s="27">
        <v>241</v>
      </c>
      <c r="B3585" s="27" t="s">
        <v>132</v>
      </c>
      <c r="C3585" s="27"/>
      <c r="D3585" s="27" t="s">
        <v>328</v>
      </c>
      <c r="E3585" s="27" t="s">
        <v>1682</v>
      </c>
      <c r="F3585" s="51">
        <v>212490</v>
      </c>
      <c r="G3585" s="27"/>
    </row>
    <row r="3586" spans="1:7">
      <c r="A3586" s="27">
        <v>241</v>
      </c>
      <c r="B3586" s="27" t="s">
        <v>132</v>
      </c>
      <c r="C3586" s="27"/>
      <c r="D3586" s="27" t="s">
        <v>133</v>
      </c>
      <c r="E3586" s="27" t="s">
        <v>1682</v>
      </c>
      <c r="F3586" s="51">
        <v>474135</v>
      </c>
      <c r="G3586" s="27"/>
    </row>
    <row r="3587" spans="1:7">
      <c r="A3587" s="27">
        <v>241</v>
      </c>
      <c r="B3587" s="27" t="s">
        <v>132</v>
      </c>
      <c r="C3587" s="27"/>
      <c r="D3587" s="27" t="s">
        <v>134</v>
      </c>
      <c r="E3587" s="27" t="s">
        <v>1682</v>
      </c>
      <c r="F3587" s="51">
        <v>20000</v>
      </c>
      <c r="G3587" s="27"/>
    </row>
    <row r="3588" spans="1:7">
      <c r="A3588" s="27">
        <v>241</v>
      </c>
      <c r="B3588" s="27" t="s">
        <v>132</v>
      </c>
      <c r="C3588" s="27"/>
      <c r="D3588" s="27" t="s">
        <v>397</v>
      </c>
      <c r="E3588" s="27" t="s">
        <v>1682</v>
      </c>
      <c r="F3588" s="51">
        <v>412715</v>
      </c>
      <c r="G3588" s="27"/>
    </row>
    <row r="3589" spans="1:7">
      <c r="A3589" s="27">
        <v>241</v>
      </c>
      <c r="B3589" s="27" t="s">
        <v>132</v>
      </c>
      <c r="C3589" s="27"/>
      <c r="D3589" s="27" t="s">
        <v>332</v>
      </c>
      <c r="E3589" s="27" t="s">
        <v>1682</v>
      </c>
      <c r="F3589" s="51">
        <v>243000</v>
      </c>
      <c r="G3589" s="27"/>
    </row>
    <row r="3590" spans="1:7">
      <c r="A3590" s="27">
        <v>241</v>
      </c>
      <c r="B3590" s="27" t="s">
        <v>132</v>
      </c>
      <c r="C3590" s="27"/>
      <c r="D3590" s="27" t="s">
        <v>411</v>
      </c>
      <c r="E3590" s="27" t="s">
        <v>1682</v>
      </c>
      <c r="F3590" s="51">
        <v>131132</v>
      </c>
      <c r="G3590" s="27"/>
    </row>
    <row r="3591" spans="1:7">
      <c r="A3591" s="27">
        <v>241</v>
      </c>
      <c r="B3591" s="27" t="s">
        <v>132</v>
      </c>
      <c r="C3591" s="27"/>
      <c r="D3591" s="27" t="s">
        <v>412</v>
      </c>
      <c r="E3591" s="27" t="s">
        <v>1682</v>
      </c>
      <c r="F3591" s="51">
        <v>49990</v>
      </c>
      <c r="G3591" s="27"/>
    </row>
    <row r="3592" spans="1:7">
      <c r="A3592" s="27">
        <v>241</v>
      </c>
      <c r="B3592" s="27" t="s">
        <v>132</v>
      </c>
      <c r="C3592" s="27"/>
      <c r="D3592" s="27" t="s">
        <v>413</v>
      </c>
      <c r="E3592" s="27" t="s">
        <v>1682</v>
      </c>
      <c r="F3592" s="51">
        <v>41771</v>
      </c>
      <c r="G3592" s="27"/>
    </row>
    <row r="3593" spans="1:7">
      <c r="A3593" s="27">
        <v>241</v>
      </c>
      <c r="B3593" s="27" t="s">
        <v>132</v>
      </c>
      <c r="C3593" s="27"/>
      <c r="D3593" s="27" t="s">
        <v>398</v>
      </c>
      <c r="E3593" s="27" t="s">
        <v>1682</v>
      </c>
      <c r="F3593" s="51">
        <v>3261</v>
      </c>
      <c r="G3593" s="27"/>
    </row>
    <row r="3594" spans="1:7">
      <c r="A3594" s="27">
        <v>241</v>
      </c>
      <c r="B3594" s="27" t="s">
        <v>132</v>
      </c>
      <c r="C3594" s="27"/>
      <c r="D3594" s="27" t="s">
        <v>415</v>
      </c>
      <c r="E3594" s="27" t="s">
        <v>1682</v>
      </c>
      <c r="F3594" s="51">
        <v>8971</v>
      </c>
      <c r="G3594" s="27"/>
    </row>
    <row r="3595" spans="1:7">
      <c r="A3595" s="27">
        <v>241</v>
      </c>
      <c r="B3595" s="27" t="s">
        <v>132</v>
      </c>
      <c r="C3595" s="27"/>
      <c r="D3595" s="27" t="s">
        <v>291</v>
      </c>
      <c r="E3595" s="27" t="s">
        <v>1681</v>
      </c>
      <c r="F3595" s="51">
        <v>463</v>
      </c>
      <c r="G3595" s="27"/>
    </row>
    <row r="3596" spans="1:7">
      <c r="A3596" s="27">
        <v>241</v>
      </c>
      <c r="B3596" s="27" t="s">
        <v>132</v>
      </c>
      <c r="C3596" s="27"/>
      <c r="D3596" s="27" t="s">
        <v>293</v>
      </c>
      <c r="E3596" s="27" t="s">
        <v>1681</v>
      </c>
      <c r="F3596" s="51">
        <v>2812690</v>
      </c>
      <c r="G3596" s="27"/>
    </row>
    <row r="3597" spans="1:7">
      <c r="A3597" s="27">
        <v>241</v>
      </c>
      <c r="B3597" s="27" t="s">
        <v>132</v>
      </c>
      <c r="C3597" s="27"/>
      <c r="D3597" s="27" t="s">
        <v>307</v>
      </c>
      <c r="E3597" s="27" t="s">
        <v>1681</v>
      </c>
      <c r="F3597" s="51">
        <v>14346518</v>
      </c>
      <c r="G3597" s="27"/>
    </row>
    <row r="3598" spans="1:7">
      <c r="A3598" s="27">
        <v>241</v>
      </c>
      <c r="B3598" s="27" t="s">
        <v>132</v>
      </c>
      <c r="C3598" s="27"/>
      <c r="D3598" s="27" t="s">
        <v>295</v>
      </c>
      <c r="E3598" s="27" t="s">
        <v>1681</v>
      </c>
      <c r="F3598" s="51">
        <v>1929900</v>
      </c>
      <c r="G3598" s="27"/>
    </row>
    <row r="3599" spans="1:7">
      <c r="A3599" s="27">
        <v>241</v>
      </c>
      <c r="B3599" s="27" t="s">
        <v>132</v>
      </c>
      <c r="C3599" s="27"/>
      <c r="D3599" s="27" t="s">
        <v>135</v>
      </c>
      <c r="E3599" s="27" t="s">
        <v>1681</v>
      </c>
      <c r="F3599" s="51">
        <v>704781</v>
      </c>
      <c r="G3599" s="27"/>
    </row>
    <row r="3600" spans="1:7">
      <c r="A3600" s="27">
        <v>241</v>
      </c>
      <c r="B3600" s="27" t="s">
        <v>132</v>
      </c>
      <c r="C3600" s="27"/>
      <c r="D3600" s="27" t="s">
        <v>136</v>
      </c>
      <c r="E3600" s="27" t="s">
        <v>1681</v>
      </c>
      <c r="F3600" s="51">
        <v>163411</v>
      </c>
      <c r="G3600" s="27"/>
    </row>
    <row r="3601" spans="1:7">
      <c r="A3601" s="27">
        <v>241</v>
      </c>
      <c r="B3601" s="27" t="s">
        <v>132</v>
      </c>
      <c r="C3601" s="27"/>
      <c r="D3601" s="27" t="s">
        <v>296</v>
      </c>
      <c r="E3601" s="27" t="s">
        <v>1681</v>
      </c>
      <c r="F3601" s="51">
        <v>5473848</v>
      </c>
      <c r="G3601" s="27"/>
    </row>
    <row r="3602" spans="1:7">
      <c r="A3602" s="27">
        <v>241</v>
      </c>
      <c r="B3602" s="27" t="s">
        <v>132</v>
      </c>
      <c r="C3602" s="27"/>
      <c r="D3602" s="27" t="s">
        <v>137</v>
      </c>
      <c r="E3602" s="27" t="s">
        <v>1681</v>
      </c>
      <c r="F3602" s="51">
        <v>213000</v>
      </c>
      <c r="G3602" s="27"/>
    </row>
    <row r="3603" spans="1:7">
      <c r="A3603" s="27">
        <v>241</v>
      </c>
      <c r="B3603" s="27" t="s">
        <v>132</v>
      </c>
      <c r="C3603" s="27"/>
      <c r="D3603" s="27" t="s">
        <v>401</v>
      </c>
      <c r="E3603" s="27" t="s">
        <v>1681</v>
      </c>
      <c r="F3603" s="51">
        <v>10547</v>
      </c>
      <c r="G3603" s="27"/>
    </row>
    <row r="3604" spans="1:7">
      <c r="A3604" s="27">
        <v>241</v>
      </c>
      <c r="B3604" s="27" t="s">
        <v>132</v>
      </c>
      <c r="C3604" s="27"/>
      <c r="D3604" s="27" t="s">
        <v>1347</v>
      </c>
      <c r="E3604" s="27" t="s">
        <v>1681</v>
      </c>
      <c r="F3604" s="51">
        <v>3497</v>
      </c>
      <c r="G3604" s="27"/>
    </row>
    <row r="3605" spans="1:7">
      <c r="A3605" s="27">
        <v>242</v>
      </c>
      <c r="B3605" s="27" t="s">
        <v>138</v>
      </c>
      <c r="C3605" s="27"/>
      <c r="D3605" s="27" t="s">
        <v>406</v>
      </c>
      <c r="E3605" s="27" t="s">
        <v>1682</v>
      </c>
      <c r="F3605" s="51">
        <v>61197</v>
      </c>
      <c r="G3605" s="27"/>
    </row>
    <row r="3606" spans="1:7">
      <c r="A3606" s="27">
        <v>242</v>
      </c>
      <c r="B3606" s="27" t="s">
        <v>138</v>
      </c>
      <c r="C3606" s="27"/>
      <c r="D3606" s="27" t="s">
        <v>408</v>
      </c>
      <c r="E3606" s="27" t="s">
        <v>1682</v>
      </c>
      <c r="F3606" s="51">
        <v>107932</v>
      </c>
      <c r="G3606" s="27"/>
    </row>
    <row r="3607" spans="1:7">
      <c r="A3607" s="27">
        <v>242</v>
      </c>
      <c r="B3607" s="27" t="s">
        <v>138</v>
      </c>
      <c r="C3607" s="27"/>
      <c r="D3607" s="27" t="s">
        <v>333</v>
      </c>
      <c r="E3607" s="27" t="s">
        <v>1682</v>
      </c>
      <c r="F3607" s="51">
        <v>25620</v>
      </c>
      <c r="G3607" s="27"/>
    </row>
    <row r="3608" spans="1:7">
      <c r="A3608" s="27">
        <v>242</v>
      </c>
      <c r="B3608" s="27" t="s">
        <v>138</v>
      </c>
      <c r="C3608" s="27"/>
      <c r="D3608" s="27" t="s">
        <v>411</v>
      </c>
      <c r="E3608" s="27" t="s">
        <v>1682</v>
      </c>
      <c r="F3608" s="51">
        <v>944786</v>
      </c>
      <c r="G3608" s="27"/>
    </row>
    <row r="3609" spans="1:7">
      <c r="A3609" s="27">
        <v>242</v>
      </c>
      <c r="B3609" s="27" t="s">
        <v>138</v>
      </c>
      <c r="C3609" s="27"/>
      <c r="D3609" s="27" t="s">
        <v>412</v>
      </c>
      <c r="E3609" s="27" t="s">
        <v>1682</v>
      </c>
      <c r="F3609" s="51">
        <v>40000</v>
      </c>
      <c r="G3609" s="27"/>
    </row>
    <row r="3610" spans="1:7">
      <c r="A3610" s="27">
        <v>242</v>
      </c>
      <c r="B3610" s="27" t="s">
        <v>138</v>
      </c>
      <c r="C3610" s="27"/>
      <c r="D3610" s="27" t="s">
        <v>413</v>
      </c>
      <c r="E3610" s="27" t="s">
        <v>1682</v>
      </c>
      <c r="F3610" s="51">
        <v>20000</v>
      </c>
      <c r="G3610" s="27"/>
    </row>
    <row r="3611" spans="1:7">
      <c r="A3611" s="27">
        <v>242</v>
      </c>
      <c r="B3611" s="27" t="s">
        <v>138</v>
      </c>
      <c r="C3611" s="27"/>
      <c r="D3611" s="27" t="s">
        <v>398</v>
      </c>
      <c r="E3611" s="27" t="s">
        <v>1682</v>
      </c>
      <c r="F3611" s="51">
        <v>3369</v>
      </c>
      <c r="G3611" s="27"/>
    </row>
    <row r="3612" spans="1:7">
      <c r="A3612" s="27">
        <v>242</v>
      </c>
      <c r="B3612" s="27" t="s">
        <v>138</v>
      </c>
      <c r="C3612" s="27"/>
      <c r="D3612" s="27" t="s">
        <v>415</v>
      </c>
      <c r="E3612" s="27" t="s">
        <v>1682</v>
      </c>
      <c r="F3612" s="51">
        <v>3419</v>
      </c>
      <c r="G3612" s="27"/>
    </row>
    <row r="3613" spans="1:7">
      <c r="A3613" s="27">
        <v>242</v>
      </c>
      <c r="B3613" s="27" t="s">
        <v>138</v>
      </c>
      <c r="C3613" s="27"/>
      <c r="D3613" s="27" t="s">
        <v>334</v>
      </c>
      <c r="E3613" s="27" t="s">
        <v>1682</v>
      </c>
      <c r="F3613" s="51">
        <v>5010</v>
      </c>
      <c r="G3613" s="27"/>
    </row>
    <row r="3614" spans="1:7">
      <c r="A3614" s="27">
        <v>242</v>
      </c>
      <c r="B3614" s="27" t="s">
        <v>138</v>
      </c>
      <c r="C3614" s="27"/>
      <c r="D3614" s="27" t="s">
        <v>291</v>
      </c>
      <c r="E3614" s="27" t="s">
        <v>1681</v>
      </c>
      <c r="F3614" s="51">
        <v>4390</v>
      </c>
      <c r="G3614" s="27"/>
    </row>
    <row r="3615" spans="1:7">
      <c r="A3615" s="27">
        <v>242</v>
      </c>
      <c r="B3615" s="27" t="s">
        <v>138</v>
      </c>
      <c r="C3615" s="27"/>
      <c r="D3615" s="27" t="s">
        <v>317</v>
      </c>
      <c r="E3615" s="27" t="s">
        <v>1681</v>
      </c>
      <c r="F3615" s="51">
        <v>172342</v>
      </c>
      <c r="G3615" s="27"/>
    </row>
    <row r="3616" spans="1:7">
      <c r="A3616" s="27">
        <v>242</v>
      </c>
      <c r="B3616" s="27" t="s">
        <v>138</v>
      </c>
      <c r="C3616" s="27"/>
      <c r="D3616" s="27" t="s">
        <v>293</v>
      </c>
      <c r="E3616" s="27" t="s">
        <v>1681</v>
      </c>
      <c r="F3616" s="51">
        <v>680264</v>
      </c>
      <c r="G3616" s="27"/>
    </row>
    <row r="3617" spans="1:7">
      <c r="A3617" s="27">
        <v>242</v>
      </c>
      <c r="B3617" s="27" t="s">
        <v>138</v>
      </c>
      <c r="C3617" s="27"/>
      <c r="D3617" s="27" t="s">
        <v>135</v>
      </c>
      <c r="E3617" s="27" t="s">
        <v>1681</v>
      </c>
      <c r="F3617" s="51">
        <v>219314</v>
      </c>
      <c r="G3617" s="27"/>
    </row>
    <row r="3618" spans="1:7">
      <c r="A3618" s="27">
        <v>242</v>
      </c>
      <c r="B3618" s="27" t="s">
        <v>138</v>
      </c>
      <c r="C3618" s="27"/>
      <c r="D3618" s="27" t="s">
        <v>136</v>
      </c>
      <c r="E3618" s="27" t="s">
        <v>1681</v>
      </c>
      <c r="F3618" s="51">
        <v>108669</v>
      </c>
      <c r="G3618" s="27"/>
    </row>
    <row r="3619" spans="1:7">
      <c r="A3619" s="27">
        <v>242</v>
      </c>
      <c r="B3619" s="27" t="s">
        <v>138</v>
      </c>
      <c r="C3619" s="27"/>
      <c r="D3619" s="27" t="s">
        <v>296</v>
      </c>
      <c r="E3619" s="27" t="s">
        <v>1681</v>
      </c>
      <c r="F3619" s="51">
        <v>760</v>
      </c>
      <c r="G3619" s="27"/>
    </row>
    <row r="3620" spans="1:7">
      <c r="A3620" s="27">
        <v>243</v>
      </c>
      <c r="B3620" s="27" t="s">
        <v>139</v>
      </c>
      <c r="C3620" s="27"/>
      <c r="D3620" s="27" t="s">
        <v>326</v>
      </c>
      <c r="E3620" s="27" t="s">
        <v>1682</v>
      </c>
      <c r="F3620" s="51">
        <v>53635</v>
      </c>
      <c r="G3620" s="27"/>
    </row>
    <row r="3621" spans="1:7">
      <c r="A3621" s="27">
        <v>243</v>
      </c>
      <c r="B3621" s="27" t="s">
        <v>139</v>
      </c>
      <c r="C3621" s="27"/>
      <c r="D3621" s="27" t="s">
        <v>163</v>
      </c>
      <c r="E3621" s="27" t="s">
        <v>1682</v>
      </c>
      <c r="F3621" s="51">
        <v>50000</v>
      </c>
      <c r="G3621" s="27"/>
    </row>
    <row r="3622" spans="1:7">
      <c r="A3622" s="27">
        <v>243</v>
      </c>
      <c r="B3622" s="27" t="s">
        <v>139</v>
      </c>
      <c r="C3622" s="27"/>
      <c r="D3622" s="27" t="s">
        <v>397</v>
      </c>
      <c r="E3622" s="27" t="s">
        <v>1682</v>
      </c>
      <c r="F3622" s="51">
        <v>250141</v>
      </c>
      <c r="G3622" s="27"/>
    </row>
    <row r="3623" spans="1:7">
      <c r="A3623" s="27">
        <v>243</v>
      </c>
      <c r="B3623" s="27" t="s">
        <v>139</v>
      </c>
      <c r="C3623" s="27"/>
      <c r="D3623" s="27" t="s">
        <v>411</v>
      </c>
      <c r="E3623" s="27" t="s">
        <v>1682</v>
      </c>
      <c r="F3623" s="51">
        <v>2900</v>
      </c>
      <c r="G3623" s="27"/>
    </row>
    <row r="3624" spans="1:7">
      <c r="A3624" s="27">
        <v>243</v>
      </c>
      <c r="B3624" s="27" t="s">
        <v>139</v>
      </c>
      <c r="C3624" s="27"/>
      <c r="D3624" s="27" t="s">
        <v>412</v>
      </c>
      <c r="E3624" s="27" t="s">
        <v>1682</v>
      </c>
      <c r="F3624" s="51">
        <v>19064</v>
      </c>
      <c r="G3624" s="27"/>
    </row>
    <row r="3625" spans="1:7">
      <c r="A3625" s="27">
        <v>243</v>
      </c>
      <c r="B3625" s="27" t="s">
        <v>139</v>
      </c>
      <c r="C3625" s="27"/>
      <c r="D3625" s="27" t="s">
        <v>413</v>
      </c>
      <c r="E3625" s="27" t="s">
        <v>1682</v>
      </c>
      <c r="F3625" s="51">
        <v>38957</v>
      </c>
      <c r="G3625" s="27"/>
    </row>
    <row r="3626" spans="1:7">
      <c r="A3626" s="27">
        <v>243</v>
      </c>
      <c r="B3626" s="27" t="s">
        <v>139</v>
      </c>
      <c r="C3626" s="27"/>
      <c r="D3626" s="27" t="s">
        <v>398</v>
      </c>
      <c r="E3626" s="27" t="s">
        <v>1682</v>
      </c>
      <c r="F3626" s="51">
        <v>1629</v>
      </c>
      <c r="G3626" s="27"/>
    </row>
    <row r="3627" spans="1:7">
      <c r="A3627" s="27">
        <v>243</v>
      </c>
      <c r="B3627" s="27" t="s">
        <v>139</v>
      </c>
      <c r="C3627" s="27"/>
      <c r="D3627" s="27" t="s">
        <v>415</v>
      </c>
      <c r="E3627" s="27" t="s">
        <v>1682</v>
      </c>
      <c r="F3627" s="51">
        <v>3690</v>
      </c>
      <c r="G3627" s="27"/>
    </row>
    <row r="3628" spans="1:7">
      <c r="A3628" s="27">
        <v>243</v>
      </c>
      <c r="B3628" s="27" t="s">
        <v>139</v>
      </c>
      <c r="C3628" s="27"/>
      <c r="D3628" s="27" t="s">
        <v>293</v>
      </c>
      <c r="E3628" s="27" t="s">
        <v>1681</v>
      </c>
      <c r="F3628" s="51">
        <v>738499</v>
      </c>
      <c r="G3628" s="27"/>
    </row>
    <row r="3629" spans="1:7">
      <c r="A3629" s="27">
        <v>243</v>
      </c>
      <c r="B3629" s="27" t="s">
        <v>139</v>
      </c>
      <c r="C3629" s="27"/>
      <c r="D3629" s="27" t="s">
        <v>307</v>
      </c>
      <c r="E3629" s="27" t="s">
        <v>1681</v>
      </c>
      <c r="F3629" s="51">
        <v>2346410</v>
      </c>
      <c r="G3629" s="27"/>
    </row>
    <row r="3630" spans="1:7">
      <c r="A3630" s="27">
        <v>243</v>
      </c>
      <c r="B3630" s="27" t="s">
        <v>139</v>
      </c>
      <c r="C3630" s="27"/>
      <c r="D3630" s="27" t="s">
        <v>295</v>
      </c>
      <c r="E3630" s="27" t="s">
        <v>1681</v>
      </c>
      <c r="F3630" s="51">
        <v>478800</v>
      </c>
      <c r="G3630" s="27"/>
    </row>
    <row r="3631" spans="1:7">
      <c r="A3631" s="27">
        <v>243</v>
      </c>
      <c r="B3631" s="27" t="s">
        <v>139</v>
      </c>
      <c r="C3631" s="27"/>
      <c r="D3631" s="27" t="s">
        <v>135</v>
      </c>
      <c r="E3631" s="27" t="s">
        <v>1681</v>
      </c>
      <c r="F3631" s="51">
        <v>456494</v>
      </c>
      <c r="G3631" s="27"/>
    </row>
    <row r="3632" spans="1:7">
      <c r="A3632" s="27">
        <v>243</v>
      </c>
      <c r="B3632" s="27" t="s">
        <v>139</v>
      </c>
      <c r="C3632" s="27"/>
      <c r="D3632" s="27" t="s">
        <v>136</v>
      </c>
      <c r="E3632" s="27" t="s">
        <v>1681</v>
      </c>
      <c r="F3632" s="51">
        <v>272800</v>
      </c>
      <c r="G3632" s="27"/>
    </row>
    <row r="3633" spans="1:7">
      <c r="A3633" s="27">
        <v>243</v>
      </c>
      <c r="B3633" s="27" t="s">
        <v>139</v>
      </c>
      <c r="C3633" s="27"/>
      <c r="D3633" s="27" t="s">
        <v>296</v>
      </c>
      <c r="E3633" s="27" t="s">
        <v>1681</v>
      </c>
      <c r="F3633" s="51">
        <v>1978517</v>
      </c>
      <c r="G3633" s="27"/>
    </row>
    <row r="3634" spans="1:7">
      <c r="A3634" s="27">
        <v>243</v>
      </c>
      <c r="B3634" s="27" t="s">
        <v>139</v>
      </c>
      <c r="C3634" s="27"/>
      <c r="D3634" s="27" t="s">
        <v>401</v>
      </c>
      <c r="E3634" s="27" t="s">
        <v>1681</v>
      </c>
      <c r="F3634" s="51">
        <v>1414</v>
      </c>
      <c r="G3634" s="27"/>
    </row>
    <row r="3635" spans="1:7">
      <c r="A3635" s="27">
        <v>244</v>
      </c>
      <c r="B3635" s="27" t="s">
        <v>140</v>
      </c>
      <c r="C3635" s="27"/>
      <c r="D3635" s="27" t="s">
        <v>408</v>
      </c>
      <c r="E3635" s="27" t="s">
        <v>1682</v>
      </c>
      <c r="F3635" s="51">
        <v>162703</v>
      </c>
      <c r="G3635" s="27"/>
    </row>
    <row r="3636" spans="1:7">
      <c r="A3636" s="27">
        <v>244</v>
      </c>
      <c r="B3636" s="27" t="s">
        <v>140</v>
      </c>
      <c r="C3636" s="27"/>
      <c r="D3636" s="27" t="s">
        <v>328</v>
      </c>
      <c r="E3636" s="27" t="s">
        <v>1682</v>
      </c>
      <c r="F3636" s="51">
        <v>24295</v>
      </c>
      <c r="G3636" s="27"/>
    </row>
    <row r="3637" spans="1:7">
      <c r="A3637" s="27">
        <v>244</v>
      </c>
      <c r="B3637" s="27" t="s">
        <v>140</v>
      </c>
      <c r="C3637" s="27"/>
      <c r="D3637" s="27" t="s">
        <v>396</v>
      </c>
      <c r="E3637" s="27" t="s">
        <v>1682</v>
      </c>
      <c r="F3637" s="51">
        <v>34875</v>
      </c>
      <c r="G3637" s="27"/>
    </row>
    <row r="3638" spans="1:7">
      <c r="A3638" s="27">
        <v>244</v>
      </c>
      <c r="B3638" s="27" t="s">
        <v>140</v>
      </c>
      <c r="C3638" s="27"/>
      <c r="D3638" s="27" t="s">
        <v>397</v>
      </c>
      <c r="E3638" s="27" t="s">
        <v>1682</v>
      </c>
      <c r="F3638" s="51">
        <v>191032</v>
      </c>
      <c r="G3638" s="27"/>
    </row>
    <row r="3639" spans="1:7">
      <c r="A3639" s="27">
        <v>244</v>
      </c>
      <c r="B3639" s="27" t="s">
        <v>140</v>
      </c>
      <c r="C3639" s="27"/>
      <c r="D3639" s="27" t="s">
        <v>411</v>
      </c>
      <c r="E3639" s="27" t="s">
        <v>1682</v>
      </c>
      <c r="F3639" s="51">
        <v>140271</v>
      </c>
      <c r="G3639" s="27"/>
    </row>
    <row r="3640" spans="1:7">
      <c r="A3640" s="27">
        <v>244</v>
      </c>
      <c r="B3640" s="27" t="s">
        <v>140</v>
      </c>
      <c r="C3640" s="27"/>
      <c r="D3640" s="27" t="s">
        <v>412</v>
      </c>
      <c r="E3640" s="27" t="s">
        <v>1682</v>
      </c>
      <c r="F3640" s="51">
        <v>77597</v>
      </c>
      <c r="G3640" s="27"/>
    </row>
    <row r="3641" spans="1:7">
      <c r="A3641" s="27">
        <v>244</v>
      </c>
      <c r="B3641" s="27" t="s">
        <v>140</v>
      </c>
      <c r="C3641" s="27"/>
      <c r="D3641" s="27" t="s">
        <v>398</v>
      </c>
      <c r="E3641" s="27" t="s">
        <v>1682</v>
      </c>
      <c r="F3641" s="51">
        <v>4430</v>
      </c>
      <c r="G3641" s="27"/>
    </row>
    <row r="3642" spans="1:7">
      <c r="A3642" s="27">
        <v>244</v>
      </c>
      <c r="B3642" s="27" t="s">
        <v>140</v>
      </c>
      <c r="C3642" s="27"/>
      <c r="D3642" s="27" t="s">
        <v>415</v>
      </c>
      <c r="E3642" s="27" t="s">
        <v>1682</v>
      </c>
      <c r="F3642" s="51">
        <v>12190</v>
      </c>
      <c r="G3642" s="27"/>
    </row>
    <row r="3643" spans="1:7">
      <c r="A3643" s="27">
        <v>244</v>
      </c>
      <c r="B3643" s="27" t="s">
        <v>140</v>
      </c>
      <c r="C3643" s="27"/>
      <c r="D3643" s="27" t="s">
        <v>291</v>
      </c>
      <c r="E3643" s="27" t="s">
        <v>1681</v>
      </c>
      <c r="F3643" s="51">
        <v>4559</v>
      </c>
      <c r="G3643" s="27"/>
    </row>
    <row r="3644" spans="1:7">
      <c r="A3644" s="27">
        <v>244</v>
      </c>
      <c r="B3644" s="27" t="s">
        <v>140</v>
      </c>
      <c r="C3644" s="27"/>
      <c r="D3644" s="27" t="s">
        <v>317</v>
      </c>
      <c r="E3644" s="27" t="s">
        <v>1681</v>
      </c>
      <c r="F3644" s="51">
        <v>86171</v>
      </c>
      <c r="G3644" s="27"/>
    </row>
    <row r="3645" spans="1:7">
      <c r="A3645" s="27">
        <v>244</v>
      </c>
      <c r="B3645" s="27" t="s">
        <v>140</v>
      </c>
      <c r="C3645" s="27"/>
      <c r="D3645" s="27" t="s">
        <v>141</v>
      </c>
      <c r="E3645" s="27" t="s">
        <v>1681</v>
      </c>
      <c r="F3645" s="51">
        <v>4914</v>
      </c>
      <c r="G3645" s="27"/>
    </row>
    <row r="3646" spans="1:7">
      <c r="A3646" s="27">
        <v>244</v>
      </c>
      <c r="B3646" s="27" t="s">
        <v>140</v>
      </c>
      <c r="C3646" s="27"/>
      <c r="D3646" s="27" t="s">
        <v>293</v>
      </c>
      <c r="E3646" s="27" t="s">
        <v>1681</v>
      </c>
      <c r="F3646" s="51">
        <v>531579</v>
      </c>
      <c r="G3646" s="27"/>
    </row>
    <row r="3647" spans="1:7">
      <c r="A3647" s="27">
        <v>244</v>
      </c>
      <c r="B3647" s="27" t="s">
        <v>140</v>
      </c>
      <c r="C3647" s="27"/>
      <c r="D3647" s="27" t="s">
        <v>142</v>
      </c>
      <c r="E3647" s="27" t="s">
        <v>1681</v>
      </c>
      <c r="F3647" s="51">
        <v>180000</v>
      </c>
      <c r="G3647" s="27"/>
    </row>
    <row r="3648" spans="1:7">
      <c r="A3648" s="27">
        <v>244</v>
      </c>
      <c r="B3648" s="27" t="s">
        <v>140</v>
      </c>
      <c r="C3648" s="27"/>
      <c r="D3648" s="27" t="s">
        <v>307</v>
      </c>
      <c r="E3648" s="27" t="s">
        <v>1681</v>
      </c>
      <c r="F3648" s="51">
        <v>5322168</v>
      </c>
      <c r="G3648" s="27"/>
    </row>
    <row r="3649" spans="1:7">
      <c r="A3649" s="27">
        <v>244</v>
      </c>
      <c r="B3649" s="27" t="s">
        <v>140</v>
      </c>
      <c r="C3649" s="27"/>
      <c r="D3649" s="27" t="s">
        <v>295</v>
      </c>
      <c r="E3649" s="27" t="s">
        <v>1681</v>
      </c>
      <c r="F3649" s="51">
        <v>829500</v>
      </c>
      <c r="G3649" s="27"/>
    </row>
    <row r="3650" spans="1:7">
      <c r="A3650" s="27">
        <v>244</v>
      </c>
      <c r="B3650" s="27" t="s">
        <v>140</v>
      </c>
      <c r="C3650" s="27"/>
      <c r="D3650" s="27" t="s">
        <v>135</v>
      </c>
      <c r="E3650" s="27" t="s">
        <v>1681</v>
      </c>
      <c r="F3650" s="51">
        <v>545342</v>
      </c>
      <c r="G3650" s="27"/>
    </row>
    <row r="3651" spans="1:7">
      <c r="A3651" s="27">
        <v>244</v>
      </c>
      <c r="B3651" s="27" t="s">
        <v>140</v>
      </c>
      <c r="C3651" s="27"/>
      <c r="D3651" s="27" t="s">
        <v>136</v>
      </c>
      <c r="E3651" s="27" t="s">
        <v>1681</v>
      </c>
      <c r="F3651" s="51">
        <v>116449</v>
      </c>
      <c r="G3651" s="27"/>
    </row>
    <row r="3652" spans="1:7">
      <c r="A3652" s="27">
        <v>244</v>
      </c>
      <c r="B3652" s="27" t="s">
        <v>140</v>
      </c>
      <c r="C3652" s="27"/>
      <c r="D3652" s="27" t="s">
        <v>296</v>
      </c>
      <c r="E3652" s="27" t="s">
        <v>1681</v>
      </c>
      <c r="F3652" s="51">
        <v>1884735</v>
      </c>
      <c r="G3652" s="27"/>
    </row>
    <row r="3653" spans="1:7">
      <c r="A3653" s="27">
        <v>244</v>
      </c>
      <c r="B3653" s="27" t="s">
        <v>140</v>
      </c>
      <c r="C3653" s="27"/>
      <c r="D3653" s="27" t="s">
        <v>401</v>
      </c>
      <c r="E3653" s="27" t="s">
        <v>1681</v>
      </c>
      <c r="F3653" s="51">
        <v>7292</v>
      </c>
      <c r="G3653" s="27"/>
    </row>
    <row r="3654" spans="1:7">
      <c r="A3654" s="27">
        <v>244</v>
      </c>
      <c r="B3654" s="27" t="s">
        <v>140</v>
      </c>
      <c r="C3654" s="27"/>
      <c r="D3654" s="27" t="s">
        <v>1347</v>
      </c>
      <c r="E3654" s="27" t="s">
        <v>1681</v>
      </c>
      <c r="F3654" s="51">
        <v>19528</v>
      </c>
      <c r="G3654" s="27"/>
    </row>
    <row r="3655" spans="1:7">
      <c r="A3655" s="27">
        <v>245</v>
      </c>
      <c r="B3655" s="27" t="s">
        <v>143</v>
      </c>
      <c r="C3655" s="27"/>
      <c r="D3655" s="27" t="s">
        <v>406</v>
      </c>
      <c r="E3655" s="27" t="s">
        <v>1682</v>
      </c>
      <c r="F3655" s="51">
        <v>118332</v>
      </c>
      <c r="G3655" s="27"/>
    </row>
    <row r="3656" spans="1:7">
      <c r="A3656" s="27">
        <v>245</v>
      </c>
      <c r="B3656" s="27" t="s">
        <v>143</v>
      </c>
      <c r="C3656" s="27"/>
      <c r="D3656" s="27" t="s">
        <v>407</v>
      </c>
      <c r="E3656" s="27" t="s">
        <v>1682</v>
      </c>
      <c r="F3656" s="51">
        <v>24900</v>
      </c>
      <c r="G3656" s="27"/>
    </row>
    <row r="3657" spans="1:7">
      <c r="A3657" s="27">
        <v>245</v>
      </c>
      <c r="B3657" s="27" t="s">
        <v>143</v>
      </c>
      <c r="C3657" s="27"/>
      <c r="D3657" s="27" t="s">
        <v>134</v>
      </c>
      <c r="E3657" s="27" t="s">
        <v>1682</v>
      </c>
      <c r="F3657" s="51">
        <v>407730</v>
      </c>
      <c r="G3657" s="27"/>
    </row>
    <row r="3658" spans="1:7">
      <c r="A3658" s="27">
        <v>245</v>
      </c>
      <c r="B3658" s="27" t="s">
        <v>143</v>
      </c>
      <c r="C3658" s="27"/>
      <c r="D3658" s="27" t="s">
        <v>397</v>
      </c>
      <c r="E3658" s="27" t="s">
        <v>1682</v>
      </c>
      <c r="F3658" s="51">
        <v>88649</v>
      </c>
      <c r="G3658" s="27"/>
    </row>
    <row r="3659" spans="1:7">
      <c r="A3659" s="27">
        <v>245</v>
      </c>
      <c r="B3659" s="27" t="s">
        <v>143</v>
      </c>
      <c r="C3659" s="27"/>
      <c r="D3659" s="27" t="s">
        <v>411</v>
      </c>
      <c r="E3659" s="27" t="s">
        <v>1682</v>
      </c>
      <c r="F3659" s="51">
        <v>32943</v>
      </c>
      <c r="G3659" s="27"/>
    </row>
    <row r="3660" spans="1:7">
      <c r="A3660" s="27">
        <v>245</v>
      </c>
      <c r="B3660" s="27" t="s">
        <v>143</v>
      </c>
      <c r="C3660" s="27"/>
      <c r="D3660" s="27" t="s">
        <v>412</v>
      </c>
      <c r="E3660" s="27" t="s">
        <v>1682</v>
      </c>
      <c r="F3660" s="51">
        <v>18621</v>
      </c>
      <c r="G3660" s="27"/>
    </row>
    <row r="3661" spans="1:7">
      <c r="A3661" s="27">
        <v>245</v>
      </c>
      <c r="B3661" s="27" t="s">
        <v>143</v>
      </c>
      <c r="C3661" s="27"/>
      <c r="D3661" s="27" t="s">
        <v>398</v>
      </c>
      <c r="E3661" s="27" t="s">
        <v>1682</v>
      </c>
      <c r="F3661" s="51">
        <v>1099</v>
      </c>
      <c r="G3661" s="27"/>
    </row>
    <row r="3662" spans="1:7">
      <c r="A3662" s="27">
        <v>245</v>
      </c>
      <c r="B3662" s="27" t="s">
        <v>143</v>
      </c>
      <c r="C3662" s="27"/>
      <c r="D3662" s="27" t="s">
        <v>415</v>
      </c>
      <c r="E3662" s="27" t="s">
        <v>1682</v>
      </c>
      <c r="F3662" s="51">
        <v>3025</v>
      </c>
      <c r="G3662" s="27"/>
    </row>
    <row r="3663" spans="1:7">
      <c r="A3663" s="27">
        <v>245</v>
      </c>
      <c r="B3663" s="27" t="s">
        <v>143</v>
      </c>
      <c r="C3663" s="27"/>
      <c r="D3663" s="27" t="s">
        <v>335</v>
      </c>
      <c r="E3663" s="27" t="s">
        <v>1681</v>
      </c>
      <c r="F3663" s="51">
        <v>8256</v>
      </c>
      <c r="G3663" s="27"/>
    </row>
    <row r="3664" spans="1:7">
      <c r="A3664" s="27">
        <v>245</v>
      </c>
      <c r="B3664" s="27" t="s">
        <v>143</v>
      </c>
      <c r="C3664" s="27"/>
      <c r="D3664" s="27" t="s">
        <v>317</v>
      </c>
      <c r="E3664" s="27" t="s">
        <v>1681</v>
      </c>
      <c r="F3664" s="51">
        <v>86171</v>
      </c>
      <c r="G3664" s="27"/>
    </row>
    <row r="3665" spans="1:7">
      <c r="A3665" s="27">
        <v>245</v>
      </c>
      <c r="B3665" s="27" t="s">
        <v>143</v>
      </c>
      <c r="C3665" s="27"/>
      <c r="D3665" s="27" t="s">
        <v>293</v>
      </c>
      <c r="E3665" s="27" t="s">
        <v>1681</v>
      </c>
      <c r="F3665" s="51">
        <v>1374395</v>
      </c>
      <c r="G3665" s="27"/>
    </row>
    <row r="3666" spans="1:7">
      <c r="A3666" s="27">
        <v>245</v>
      </c>
      <c r="B3666" s="27" t="s">
        <v>143</v>
      </c>
      <c r="C3666" s="27"/>
      <c r="D3666" s="27" t="s">
        <v>307</v>
      </c>
      <c r="E3666" s="27" t="s">
        <v>1681</v>
      </c>
      <c r="F3666" s="51">
        <v>2214163</v>
      </c>
      <c r="G3666" s="27"/>
    </row>
    <row r="3667" spans="1:7">
      <c r="A3667" s="27">
        <v>245</v>
      </c>
      <c r="B3667" s="27" t="s">
        <v>143</v>
      </c>
      <c r="C3667" s="27"/>
      <c r="D3667" s="27" t="s">
        <v>295</v>
      </c>
      <c r="E3667" s="27" t="s">
        <v>1681</v>
      </c>
      <c r="F3667" s="51">
        <v>241500</v>
      </c>
      <c r="G3667" s="27"/>
    </row>
    <row r="3668" spans="1:7">
      <c r="A3668" s="27">
        <v>245</v>
      </c>
      <c r="B3668" s="27" t="s">
        <v>143</v>
      </c>
      <c r="C3668" s="27"/>
      <c r="D3668" s="27" t="s">
        <v>135</v>
      </c>
      <c r="E3668" s="27" t="s">
        <v>1681</v>
      </c>
      <c r="F3668" s="51">
        <v>317899</v>
      </c>
      <c r="G3668" s="27"/>
    </row>
    <row r="3669" spans="1:7">
      <c r="A3669" s="27">
        <v>245</v>
      </c>
      <c r="B3669" s="27" t="s">
        <v>143</v>
      </c>
      <c r="C3669" s="27"/>
      <c r="D3669" s="27" t="s">
        <v>136</v>
      </c>
      <c r="E3669" s="27" t="s">
        <v>1681</v>
      </c>
      <c r="F3669" s="51">
        <v>165400</v>
      </c>
      <c r="G3669" s="27"/>
    </row>
    <row r="3670" spans="1:7">
      <c r="A3670" s="27">
        <v>245</v>
      </c>
      <c r="B3670" s="27" t="s">
        <v>143</v>
      </c>
      <c r="C3670" s="27"/>
      <c r="D3670" s="27" t="s">
        <v>296</v>
      </c>
      <c r="E3670" s="27" t="s">
        <v>1681</v>
      </c>
      <c r="F3670" s="51">
        <v>10290402</v>
      </c>
      <c r="G3670" s="27"/>
    </row>
    <row r="3671" spans="1:7">
      <c r="A3671" s="27">
        <v>245</v>
      </c>
      <c r="B3671" s="27" t="s">
        <v>143</v>
      </c>
      <c r="C3671" s="27"/>
      <c r="D3671" s="27" t="s">
        <v>401</v>
      </c>
      <c r="E3671" s="27" t="s">
        <v>1681</v>
      </c>
      <c r="F3671" s="51">
        <v>4482</v>
      </c>
      <c r="G3671" s="27"/>
    </row>
    <row r="3672" spans="1:7">
      <c r="A3672" s="27">
        <v>253</v>
      </c>
      <c r="B3672" s="27" t="s">
        <v>144</v>
      </c>
      <c r="C3672" s="27"/>
      <c r="D3672" s="27" t="s">
        <v>405</v>
      </c>
      <c r="E3672" s="27" t="s">
        <v>1682</v>
      </c>
      <c r="F3672" s="51">
        <v>40000</v>
      </c>
      <c r="G3672" s="27"/>
    </row>
    <row r="3673" spans="1:7">
      <c r="A3673" s="27">
        <v>253</v>
      </c>
      <c r="B3673" s="27" t="s">
        <v>144</v>
      </c>
      <c r="C3673" s="27"/>
      <c r="D3673" s="27" t="s">
        <v>145</v>
      </c>
      <c r="E3673" s="27" t="s">
        <v>1682</v>
      </c>
      <c r="F3673" s="51">
        <v>5600</v>
      </c>
      <c r="G3673" s="27"/>
    </row>
    <row r="3674" spans="1:7">
      <c r="A3674" s="27">
        <v>253</v>
      </c>
      <c r="B3674" s="27" t="s">
        <v>144</v>
      </c>
      <c r="C3674" s="27"/>
      <c r="D3674" s="27" t="s">
        <v>326</v>
      </c>
      <c r="E3674" s="27" t="s">
        <v>1682</v>
      </c>
      <c r="F3674" s="51">
        <v>15000</v>
      </c>
      <c r="G3674" s="27"/>
    </row>
    <row r="3675" spans="1:7">
      <c r="A3675" s="27">
        <v>253</v>
      </c>
      <c r="B3675" s="27" t="s">
        <v>144</v>
      </c>
      <c r="C3675" s="27"/>
      <c r="D3675" s="27" t="s">
        <v>408</v>
      </c>
      <c r="E3675" s="27" t="s">
        <v>1682</v>
      </c>
      <c r="F3675" s="51">
        <v>42929</v>
      </c>
      <c r="G3675" s="27"/>
    </row>
    <row r="3676" spans="1:7">
      <c r="A3676" s="27">
        <v>253</v>
      </c>
      <c r="B3676" s="27" t="s">
        <v>144</v>
      </c>
      <c r="C3676" s="27"/>
      <c r="D3676" s="27" t="s">
        <v>146</v>
      </c>
      <c r="E3676" s="27" t="s">
        <v>1682</v>
      </c>
      <c r="F3676" s="51">
        <v>115806</v>
      </c>
      <c r="G3676" s="27"/>
    </row>
    <row r="3677" spans="1:7">
      <c r="A3677" s="27">
        <v>253</v>
      </c>
      <c r="B3677" s="27" t="s">
        <v>144</v>
      </c>
      <c r="C3677" s="27"/>
      <c r="D3677" s="27" t="s">
        <v>163</v>
      </c>
      <c r="E3677" s="27" t="s">
        <v>1682</v>
      </c>
      <c r="F3677" s="51">
        <v>70450</v>
      </c>
      <c r="G3677" s="27"/>
    </row>
    <row r="3678" spans="1:7">
      <c r="A3678" s="27">
        <v>253</v>
      </c>
      <c r="B3678" s="27" t="s">
        <v>144</v>
      </c>
      <c r="C3678" s="27"/>
      <c r="D3678" s="27" t="s">
        <v>328</v>
      </c>
      <c r="E3678" s="27" t="s">
        <v>1682</v>
      </c>
      <c r="F3678" s="51">
        <v>127000</v>
      </c>
      <c r="G3678" s="27"/>
    </row>
    <row r="3679" spans="1:7">
      <c r="A3679" s="27">
        <v>253</v>
      </c>
      <c r="B3679" s="27" t="s">
        <v>144</v>
      </c>
      <c r="C3679" s="27"/>
      <c r="D3679" s="27" t="s">
        <v>329</v>
      </c>
      <c r="E3679" s="27" t="s">
        <v>1682</v>
      </c>
      <c r="F3679" s="51">
        <v>43500</v>
      </c>
      <c r="G3679" s="27"/>
    </row>
    <row r="3680" spans="1:7">
      <c r="A3680" s="27">
        <v>253</v>
      </c>
      <c r="B3680" s="27" t="s">
        <v>144</v>
      </c>
      <c r="C3680" s="27"/>
      <c r="D3680" s="27" t="s">
        <v>134</v>
      </c>
      <c r="E3680" s="27" t="s">
        <v>1682</v>
      </c>
      <c r="F3680" s="51">
        <v>75000</v>
      </c>
      <c r="G3680" s="27"/>
    </row>
    <row r="3681" spans="1:7">
      <c r="A3681" s="27">
        <v>253</v>
      </c>
      <c r="B3681" s="27" t="s">
        <v>144</v>
      </c>
      <c r="C3681" s="27"/>
      <c r="D3681" s="27" t="s">
        <v>397</v>
      </c>
      <c r="E3681" s="27" t="s">
        <v>1682</v>
      </c>
      <c r="F3681" s="51">
        <v>136000</v>
      </c>
      <c r="G3681" s="27"/>
    </row>
    <row r="3682" spans="1:7">
      <c r="A3682" s="27">
        <v>253</v>
      </c>
      <c r="B3682" s="27" t="s">
        <v>144</v>
      </c>
      <c r="C3682" s="27"/>
      <c r="D3682" s="27" t="s">
        <v>332</v>
      </c>
      <c r="E3682" s="27" t="s">
        <v>1682</v>
      </c>
      <c r="F3682" s="51">
        <v>20000</v>
      </c>
      <c r="G3682" s="27"/>
    </row>
    <row r="3683" spans="1:7">
      <c r="A3683" s="27">
        <v>253</v>
      </c>
      <c r="B3683" s="27" t="s">
        <v>144</v>
      </c>
      <c r="C3683" s="27"/>
      <c r="D3683" s="27" t="s">
        <v>147</v>
      </c>
      <c r="E3683" s="27" t="s">
        <v>1682</v>
      </c>
      <c r="F3683" s="51">
        <v>3000</v>
      </c>
      <c r="G3683" s="27"/>
    </row>
    <row r="3684" spans="1:7">
      <c r="A3684" s="27">
        <v>253</v>
      </c>
      <c r="B3684" s="27" t="s">
        <v>144</v>
      </c>
      <c r="C3684" s="27"/>
      <c r="D3684" s="27" t="s">
        <v>333</v>
      </c>
      <c r="E3684" s="27" t="s">
        <v>1682</v>
      </c>
      <c r="F3684" s="51">
        <v>64175</v>
      </c>
      <c r="G3684" s="27"/>
    </row>
    <row r="3685" spans="1:7">
      <c r="A3685" s="27">
        <v>253</v>
      </c>
      <c r="B3685" s="27" t="s">
        <v>144</v>
      </c>
      <c r="C3685" s="27"/>
      <c r="D3685" s="27" t="s">
        <v>411</v>
      </c>
      <c r="E3685" s="27" t="s">
        <v>1682</v>
      </c>
      <c r="F3685" s="51">
        <v>8750</v>
      </c>
      <c r="G3685" s="27"/>
    </row>
    <row r="3686" spans="1:7">
      <c r="A3686" s="27">
        <v>253</v>
      </c>
      <c r="B3686" s="27" t="s">
        <v>144</v>
      </c>
      <c r="C3686" s="27"/>
      <c r="D3686" s="27" t="s">
        <v>412</v>
      </c>
      <c r="E3686" s="27" t="s">
        <v>1682</v>
      </c>
      <c r="F3686" s="51">
        <v>34754</v>
      </c>
      <c r="G3686" s="27"/>
    </row>
    <row r="3687" spans="1:7">
      <c r="A3687" s="27">
        <v>253</v>
      </c>
      <c r="B3687" s="27" t="s">
        <v>144</v>
      </c>
      <c r="C3687" s="27"/>
      <c r="D3687" s="27" t="s">
        <v>413</v>
      </c>
      <c r="E3687" s="27" t="s">
        <v>1682</v>
      </c>
      <c r="F3687" s="51">
        <v>13479</v>
      </c>
      <c r="G3687" s="27"/>
    </row>
    <row r="3688" spans="1:7">
      <c r="A3688" s="27">
        <v>253</v>
      </c>
      <c r="B3688" s="27" t="s">
        <v>144</v>
      </c>
      <c r="C3688" s="27"/>
      <c r="D3688" s="27" t="s">
        <v>398</v>
      </c>
      <c r="E3688" s="27" t="s">
        <v>1682</v>
      </c>
      <c r="F3688" s="51">
        <v>41500</v>
      </c>
      <c r="G3688" s="27"/>
    </row>
    <row r="3689" spans="1:7">
      <c r="A3689" s="27">
        <v>253</v>
      </c>
      <c r="B3689" s="27" t="s">
        <v>144</v>
      </c>
      <c r="C3689" s="27"/>
      <c r="D3689" s="27" t="s">
        <v>334</v>
      </c>
      <c r="E3689" s="27" t="s">
        <v>1682</v>
      </c>
      <c r="F3689" s="51">
        <v>34149</v>
      </c>
      <c r="G3689" s="27"/>
    </row>
    <row r="3690" spans="1:7">
      <c r="A3690" s="27">
        <v>253</v>
      </c>
      <c r="B3690" s="27" t="s">
        <v>144</v>
      </c>
      <c r="C3690" s="27"/>
      <c r="D3690" s="27" t="s">
        <v>293</v>
      </c>
      <c r="E3690" s="27" t="s">
        <v>1681</v>
      </c>
      <c r="F3690" s="51">
        <v>1041183</v>
      </c>
      <c r="G3690" s="27"/>
    </row>
    <row r="3691" spans="1:7">
      <c r="A3691" s="27">
        <v>253</v>
      </c>
      <c r="B3691" s="27" t="s">
        <v>144</v>
      </c>
      <c r="C3691" s="27"/>
      <c r="D3691" s="27" t="s">
        <v>148</v>
      </c>
      <c r="E3691" s="27" t="s">
        <v>1681</v>
      </c>
      <c r="F3691" s="51">
        <v>43854</v>
      </c>
      <c r="G3691" s="27"/>
    </row>
    <row r="3692" spans="1:7">
      <c r="A3692" s="27">
        <v>253</v>
      </c>
      <c r="B3692" s="27" t="s">
        <v>144</v>
      </c>
      <c r="C3692" s="27"/>
      <c r="D3692" s="27" t="s">
        <v>135</v>
      </c>
      <c r="E3692" s="27" t="s">
        <v>1681</v>
      </c>
      <c r="F3692" s="51">
        <v>386988</v>
      </c>
      <c r="G3692" s="27"/>
    </row>
    <row r="3693" spans="1:7">
      <c r="A3693" s="27">
        <v>253</v>
      </c>
      <c r="B3693" s="27" t="s">
        <v>144</v>
      </c>
      <c r="C3693" s="27"/>
      <c r="D3693" s="27" t="s">
        <v>136</v>
      </c>
      <c r="E3693" s="27" t="s">
        <v>1681</v>
      </c>
      <c r="F3693" s="51">
        <v>247274</v>
      </c>
      <c r="G3693" s="27"/>
    </row>
    <row r="3694" spans="1:7">
      <c r="A3694" s="27">
        <v>253</v>
      </c>
      <c r="B3694" s="27" t="s">
        <v>144</v>
      </c>
      <c r="C3694" s="27"/>
      <c r="D3694" s="27" t="s">
        <v>296</v>
      </c>
      <c r="E3694" s="27" t="s">
        <v>1681</v>
      </c>
      <c r="F3694" s="51">
        <v>5059302</v>
      </c>
      <c r="G3694" s="27"/>
    </row>
    <row r="3695" spans="1:7">
      <c r="A3695" s="27">
        <v>261</v>
      </c>
      <c r="B3695" s="27" t="s">
        <v>149</v>
      </c>
      <c r="C3695" s="27"/>
      <c r="D3695" s="27" t="s">
        <v>145</v>
      </c>
      <c r="E3695" s="27" t="s">
        <v>1682</v>
      </c>
      <c r="F3695" s="51">
        <v>21904</v>
      </c>
      <c r="G3695" s="27"/>
    </row>
    <row r="3696" spans="1:7">
      <c r="A3696" s="27">
        <v>261</v>
      </c>
      <c r="B3696" s="27" t="s">
        <v>149</v>
      </c>
      <c r="C3696" s="27"/>
      <c r="D3696" s="27" t="s">
        <v>396</v>
      </c>
      <c r="E3696" s="27" t="s">
        <v>1682</v>
      </c>
      <c r="F3696" s="51">
        <v>142500</v>
      </c>
      <c r="G3696" s="27"/>
    </row>
    <row r="3697" spans="1:7">
      <c r="A3697" s="27">
        <v>261</v>
      </c>
      <c r="B3697" s="27" t="s">
        <v>149</v>
      </c>
      <c r="C3697" s="27"/>
      <c r="D3697" s="27" t="s">
        <v>150</v>
      </c>
      <c r="E3697" s="27" t="s">
        <v>1681</v>
      </c>
      <c r="F3697" s="51">
        <v>1925000</v>
      </c>
      <c r="G3697" s="27"/>
    </row>
    <row r="3698" spans="1:7">
      <c r="A3698" s="27">
        <v>261</v>
      </c>
      <c r="B3698" s="27" t="s">
        <v>149</v>
      </c>
      <c r="C3698" s="27"/>
      <c r="D3698" s="27" t="s">
        <v>296</v>
      </c>
      <c r="E3698" s="27" t="s">
        <v>1681</v>
      </c>
      <c r="F3698" s="51">
        <v>410258</v>
      </c>
      <c r="G3698" s="27"/>
    </row>
    <row r="3699" spans="1:7">
      <c r="A3699" s="27">
        <v>261</v>
      </c>
      <c r="B3699" s="27" t="s">
        <v>149</v>
      </c>
      <c r="C3699" s="27"/>
      <c r="D3699" s="27" t="s">
        <v>401</v>
      </c>
      <c r="E3699" s="27" t="s">
        <v>1681</v>
      </c>
      <c r="F3699" s="51">
        <v>5927</v>
      </c>
      <c r="G3699" s="27"/>
    </row>
    <row r="3700" spans="1:7">
      <c r="A3700" s="27">
        <v>263</v>
      </c>
      <c r="B3700" s="27" t="s">
        <v>151</v>
      </c>
      <c r="C3700" s="27"/>
      <c r="D3700" s="27" t="s">
        <v>145</v>
      </c>
      <c r="E3700" s="27" t="s">
        <v>1682</v>
      </c>
      <c r="F3700" s="51">
        <v>21904</v>
      </c>
      <c r="G3700" s="27"/>
    </row>
    <row r="3701" spans="1:7">
      <c r="A3701" s="27">
        <v>263</v>
      </c>
      <c r="B3701" s="27" t="s">
        <v>151</v>
      </c>
      <c r="C3701" s="27"/>
      <c r="D3701" s="27" t="s">
        <v>150</v>
      </c>
      <c r="E3701" s="27" t="s">
        <v>1681</v>
      </c>
      <c r="F3701" s="51">
        <v>728000</v>
      </c>
      <c r="G3701" s="27"/>
    </row>
    <row r="3702" spans="1:7">
      <c r="A3702" s="27">
        <v>263</v>
      </c>
      <c r="B3702" s="27" t="s">
        <v>151</v>
      </c>
      <c r="C3702" s="27"/>
      <c r="D3702" s="27" t="s">
        <v>296</v>
      </c>
      <c r="E3702" s="27" t="s">
        <v>1681</v>
      </c>
      <c r="F3702" s="51">
        <v>500000</v>
      </c>
      <c r="G3702" s="27"/>
    </row>
    <row r="3703" spans="1:7">
      <c r="A3703" s="27">
        <v>263</v>
      </c>
      <c r="B3703" s="27" t="s">
        <v>151</v>
      </c>
      <c r="C3703" s="27"/>
      <c r="D3703" s="27" t="s">
        <v>401</v>
      </c>
      <c r="E3703" s="27" t="s">
        <v>1681</v>
      </c>
      <c r="F3703" s="51">
        <v>2489</v>
      </c>
      <c r="G3703" s="27"/>
    </row>
    <row r="3704" spans="1:7">
      <c r="A3704" s="27">
        <v>264</v>
      </c>
      <c r="B3704" s="27" t="s">
        <v>152</v>
      </c>
      <c r="C3704" s="27"/>
      <c r="D3704" s="27" t="s">
        <v>145</v>
      </c>
      <c r="E3704" s="27" t="s">
        <v>1682</v>
      </c>
      <c r="F3704" s="51">
        <v>25000</v>
      </c>
      <c r="G3704" s="27"/>
    </row>
    <row r="3705" spans="1:7">
      <c r="A3705" s="27">
        <v>264</v>
      </c>
      <c r="B3705" s="27" t="s">
        <v>152</v>
      </c>
      <c r="C3705" s="27"/>
      <c r="D3705" s="27" t="s">
        <v>408</v>
      </c>
      <c r="E3705" s="27" t="s">
        <v>1682</v>
      </c>
      <c r="F3705" s="51">
        <v>17632</v>
      </c>
      <c r="G3705" s="27"/>
    </row>
    <row r="3706" spans="1:7">
      <c r="A3706" s="27">
        <v>264</v>
      </c>
      <c r="B3706" s="27" t="s">
        <v>152</v>
      </c>
      <c r="C3706" s="27"/>
      <c r="D3706" s="27" t="s">
        <v>396</v>
      </c>
      <c r="E3706" s="27" t="s">
        <v>1682</v>
      </c>
      <c r="F3706" s="51">
        <v>93750</v>
      </c>
      <c r="G3706" s="27"/>
    </row>
    <row r="3707" spans="1:7">
      <c r="A3707" s="27">
        <v>264</v>
      </c>
      <c r="B3707" s="27" t="s">
        <v>152</v>
      </c>
      <c r="C3707" s="27"/>
      <c r="D3707" s="27" t="s">
        <v>150</v>
      </c>
      <c r="E3707" s="27" t="s">
        <v>1681</v>
      </c>
      <c r="F3707" s="51">
        <v>2100000</v>
      </c>
      <c r="G3707" s="27"/>
    </row>
    <row r="3708" spans="1:7">
      <c r="A3708" s="27">
        <v>264</v>
      </c>
      <c r="B3708" s="27" t="s">
        <v>152</v>
      </c>
      <c r="C3708" s="27"/>
      <c r="D3708" s="27" t="s">
        <v>291</v>
      </c>
      <c r="E3708" s="27" t="s">
        <v>1681</v>
      </c>
      <c r="F3708" s="51">
        <v>856</v>
      </c>
      <c r="G3708" s="27"/>
    </row>
    <row r="3709" spans="1:7">
      <c r="A3709" s="27">
        <v>264</v>
      </c>
      <c r="B3709" s="27" t="s">
        <v>152</v>
      </c>
      <c r="C3709" s="27"/>
      <c r="D3709" s="27" t="s">
        <v>293</v>
      </c>
      <c r="E3709" s="27" t="s">
        <v>1681</v>
      </c>
      <c r="F3709" s="51">
        <v>119997</v>
      </c>
      <c r="G3709" s="27"/>
    </row>
    <row r="3710" spans="1:7">
      <c r="A3710" s="27">
        <v>264</v>
      </c>
      <c r="B3710" s="27" t="s">
        <v>152</v>
      </c>
      <c r="C3710" s="27"/>
      <c r="D3710" s="27" t="s">
        <v>401</v>
      </c>
      <c r="E3710" s="27" t="s">
        <v>1681</v>
      </c>
      <c r="F3710" s="51">
        <v>6780</v>
      </c>
      <c r="G3710" s="27"/>
    </row>
    <row r="3711" spans="1:7">
      <c r="A3711" s="27">
        <v>265</v>
      </c>
      <c r="B3711" s="27" t="s">
        <v>153</v>
      </c>
      <c r="C3711" s="27"/>
      <c r="D3711" s="27" t="s">
        <v>145</v>
      </c>
      <c r="E3711" s="27" t="s">
        <v>1682</v>
      </c>
      <c r="F3711" s="51">
        <v>25000</v>
      </c>
      <c r="G3711" s="27"/>
    </row>
    <row r="3712" spans="1:7">
      <c r="A3712" s="27">
        <v>265</v>
      </c>
      <c r="B3712" s="27" t="s">
        <v>153</v>
      </c>
      <c r="C3712" s="27"/>
      <c r="D3712" s="27" t="s">
        <v>326</v>
      </c>
      <c r="E3712" s="27" t="s">
        <v>1682</v>
      </c>
      <c r="F3712" s="51">
        <v>52650</v>
      </c>
      <c r="G3712" s="27"/>
    </row>
    <row r="3713" spans="1:7">
      <c r="A3713" s="27">
        <v>265</v>
      </c>
      <c r="B3713" s="27" t="s">
        <v>153</v>
      </c>
      <c r="C3713" s="27"/>
      <c r="D3713" s="27" t="s">
        <v>396</v>
      </c>
      <c r="E3713" s="27" t="s">
        <v>1682</v>
      </c>
      <c r="F3713" s="51">
        <v>187500</v>
      </c>
      <c r="G3713" s="27"/>
    </row>
    <row r="3714" spans="1:7">
      <c r="A3714" s="27">
        <v>265</v>
      </c>
      <c r="B3714" s="27" t="s">
        <v>153</v>
      </c>
      <c r="C3714" s="27"/>
      <c r="D3714" s="27" t="s">
        <v>150</v>
      </c>
      <c r="E3714" s="27" t="s">
        <v>1681</v>
      </c>
      <c r="F3714" s="51">
        <v>805000</v>
      </c>
      <c r="G3714" s="27"/>
    </row>
    <row r="3715" spans="1:7">
      <c r="A3715" s="27">
        <v>265</v>
      </c>
      <c r="B3715" s="27" t="s">
        <v>153</v>
      </c>
      <c r="C3715" s="27"/>
      <c r="D3715" s="27" t="s">
        <v>296</v>
      </c>
      <c r="E3715" s="27" t="s">
        <v>1681</v>
      </c>
      <c r="F3715" s="51">
        <v>500000</v>
      </c>
      <c r="G3715" s="27"/>
    </row>
    <row r="3716" spans="1:7">
      <c r="A3716" s="27">
        <v>265</v>
      </c>
      <c r="B3716" s="27" t="s">
        <v>153</v>
      </c>
      <c r="C3716" s="27"/>
      <c r="D3716" s="27" t="s">
        <v>401</v>
      </c>
      <c r="E3716" s="27" t="s">
        <v>1681</v>
      </c>
      <c r="F3716" s="51">
        <v>2703</v>
      </c>
      <c r="G3716" s="27"/>
    </row>
    <row r="3717" spans="1:7">
      <c r="A3717" s="27">
        <v>268</v>
      </c>
      <c r="B3717" s="27" t="s">
        <v>154</v>
      </c>
      <c r="C3717" s="27"/>
      <c r="D3717" s="27" t="s">
        <v>405</v>
      </c>
      <c r="E3717" s="27" t="s">
        <v>1682</v>
      </c>
      <c r="F3717" s="51">
        <v>97000</v>
      </c>
      <c r="G3717" s="27"/>
    </row>
    <row r="3718" spans="1:7">
      <c r="A3718" s="27">
        <v>268</v>
      </c>
      <c r="B3718" s="27" t="s">
        <v>154</v>
      </c>
      <c r="C3718" s="27"/>
      <c r="D3718" s="27" t="s">
        <v>145</v>
      </c>
      <c r="E3718" s="27" t="s">
        <v>1682</v>
      </c>
      <c r="F3718" s="51">
        <v>25000</v>
      </c>
      <c r="G3718" s="27"/>
    </row>
    <row r="3719" spans="1:7">
      <c r="A3719" s="27">
        <v>268</v>
      </c>
      <c r="B3719" s="27" t="s">
        <v>154</v>
      </c>
      <c r="C3719" s="27"/>
      <c r="D3719" s="27" t="s">
        <v>326</v>
      </c>
      <c r="E3719" s="27" t="s">
        <v>1682</v>
      </c>
      <c r="F3719" s="51">
        <v>52650</v>
      </c>
      <c r="G3719" s="27"/>
    </row>
    <row r="3720" spans="1:7">
      <c r="A3720" s="27">
        <v>268</v>
      </c>
      <c r="B3720" s="27" t="s">
        <v>154</v>
      </c>
      <c r="C3720" s="27"/>
      <c r="D3720" s="27" t="s">
        <v>408</v>
      </c>
      <c r="E3720" s="27" t="s">
        <v>1682</v>
      </c>
      <c r="F3720" s="51">
        <v>24620</v>
      </c>
      <c r="G3720" s="27"/>
    </row>
    <row r="3721" spans="1:7">
      <c r="A3721" s="27">
        <v>268</v>
      </c>
      <c r="B3721" s="27" t="s">
        <v>154</v>
      </c>
      <c r="C3721" s="27"/>
      <c r="D3721" s="27" t="s">
        <v>396</v>
      </c>
      <c r="E3721" s="27" t="s">
        <v>1682</v>
      </c>
      <c r="F3721" s="51">
        <v>3544</v>
      </c>
      <c r="G3721" s="27"/>
    </row>
    <row r="3722" spans="1:7">
      <c r="A3722" s="27">
        <v>268</v>
      </c>
      <c r="B3722" s="27" t="s">
        <v>154</v>
      </c>
      <c r="C3722" s="27"/>
      <c r="D3722" s="27" t="s">
        <v>150</v>
      </c>
      <c r="E3722" s="27" t="s">
        <v>1681</v>
      </c>
      <c r="F3722" s="51">
        <v>784000</v>
      </c>
      <c r="G3722" s="27"/>
    </row>
    <row r="3723" spans="1:7">
      <c r="A3723" s="27">
        <v>268</v>
      </c>
      <c r="B3723" s="27" t="s">
        <v>154</v>
      </c>
      <c r="C3723" s="27"/>
      <c r="D3723" s="27" t="s">
        <v>291</v>
      </c>
      <c r="E3723" s="27" t="s">
        <v>1681</v>
      </c>
      <c r="F3723" s="51">
        <v>340</v>
      </c>
      <c r="G3723" s="27"/>
    </row>
    <row r="3724" spans="1:7">
      <c r="A3724" s="27">
        <v>268</v>
      </c>
      <c r="B3724" s="27" t="s">
        <v>154</v>
      </c>
      <c r="C3724" s="27"/>
      <c r="D3724" s="27" t="s">
        <v>296</v>
      </c>
      <c r="E3724" s="27" t="s">
        <v>1681</v>
      </c>
      <c r="F3724" s="51">
        <v>460000</v>
      </c>
      <c r="G3724" s="27"/>
    </row>
    <row r="3725" spans="1:7">
      <c r="A3725" s="27">
        <v>268</v>
      </c>
      <c r="B3725" s="27" t="s">
        <v>154</v>
      </c>
      <c r="C3725" s="27"/>
      <c r="D3725" s="27" t="s">
        <v>401</v>
      </c>
      <c r="E3725" s="27" t="s">
        <v>1681</v>
      </c>
      <c r="F3725" s="51">
        <v>2395</v>
      </c>
      <c r="G3725" s="27"/>
    </row>
    <row r="3726" spans="1:7">
      <c r="A3726" s="27">
        <v>268</v>
      </c>
      <c r="B3726" s="27" t="s">
        <v>154</v>
      </c>
      <c r="C3726" s="27"/>
      <c r="D3726" s="27" t="s">
        <v>1347</v>
      </c>
      <c r="E3726" s="27" t="s">
        <v>1681</v>
      </c>
      <c r="F3726" s="51">
        <v>3180</v>
      </c>
      <c r="G3726" s="27"/>
    </row>
    <row r="3727" spans="1:7">
      <c r="A3727" s="27">
        <v>269</v>
      </c>
      <c r="B3727" s="27" t="s">
        <v>155</v>
      </c>
      <c r="C3727" s="27"/>
      <c r="D3727" s="27" t="s">
        <v>145</v>
      </c>
      <c r="E3727" s="27" t="s">
        <v>1682</v>
      </c>
      <c r="F3727" s="51">
        <v>25000</v>
      </c>
      <c r="G3727" s="27"/>
    </row>
    <row r="3728" spans="1:7">
      <c r="A3728" s="27">
        <v>269</v>
      </c>
      <c r="B3728" s="27" t="s">
        <v>155</v>
      </c>
      <c r="C3728" s="27"/>
      <c r="D3728" s="27" t="s">
        <v>326</v>
      </c>
      <c r="E3728" s="27" t="s">
        <v>1682</v>
      </c>
      <c r="F3728" s="51">
        <v>52650</v>
      </c>
      <c r="G3728" s="27"/>
    </row>
    <row r="3729" spans="1:7">
      <c r="A3729" s="27">
        <v>269</v>
      </c>
      <c r="B3729" s="27" t="s">
        <v>155</v>
      </c>
      <c r="C3729" s="27"/>
      <c r="D3729" s="27" t="s">
        <v>407</v>
      </c>
      <c r="E3729" s="27" t="s">
        <v>1682</v>
      </c>
      <c r="F3729" s="51">
        <v>24900</v>
      </c>
      <c r="G3729" s="27"/>
    </row>
    <row r="3730" spans="1:7">
      <c r="A3730" s="27">
        <v>269</v>
      </c>
      <c r="B3730" s="27" t="s">
        <v>155</v>
      </c>
      <c r="C3730" s="27"/>
      <c r="D3730" s="27" t="s">
        <v>408</v>
      </c>
      <c r="E3730" s="27" t="s">
        <v>1682</v>
      </c>
      <c r="F3730" s="51">
        <v>26703</v>
      </c>
      <c r="G3730" s="27"/>
    </row>
    <row r="3731" spans="1:7">
      <c r="A3731" s="27">
        <v>269</v>
      </c>
      <c r="B3731" s="27" t="s">
        <v>155</v>
      </c>
      <c r="C3731" s="27"/>
      <c r="D3731" s="27" t="s">
        <v>396</v>
      </c>
      <c r="E3731" s="27" t="s">
        <v>1682</v>
      </c>
      <c r="F3731" s="51">
        <v>100000</v>
      </c>
      <c r="G3731" s="27"/>
    </row>
    <row r="3732" spans="1:7">
      <c r="A3732" s="27">
        <v>269</v>
      </c>
      <c r="B3732" s="27" t="s">
        <v>155</v>
      </c>
      <c r="C3732" s="27"/>
      <c r="D3732" s="27" t="s">
        <v>150</v>
      </c>
      <c r="E3732" s="27" t="s">
        <v>1681</v>
      </c>
      <c r="F3732" s="51">
        <v>1225000</v>
      </c>
      <c r="G3732" s="27"/>
    </row>
    <row r="3733" spans="1:7">
      <c r="A3733" s="27">
        <v>269</v>
      </c>
      <c r="B3733" s="27" t="s">
        <v>155</v>
      </c>
      <c r="C3733" s="27"/>
      <c r="D3733" s="27" t="s">
        <v>291</v>
      </c>
      <c r="E3733" s="27" t="s">
        <v>1681</v>
      </c>
      <c r="F3733" s="51">
        <v>541</v>
      </c>
      <c r="G3733" s="27"/>
    </row>
    <row r="3734" spans="1:7">
      <c r="A3734" s="27">
        <v>269</v>
      </c>
      <c r="B3734" s="27" t="s">
        <v>155</v>
      </c>
      <c r="C3734" s="27"/>
      <c r="D3734" s="27" t="s">
        <v>401</v>
      </c>
      <c r="E3734" s="27" t="s">
        <v>1681</v>
      </c>
      <c r="F3734" s="51">
        <v>4125</v>
      </c>
      <c r="G3734" s="27"/>
    </row>
    <row r="3735" spans="1:7">
      <c r="A3735" s="27">
        <v>270</v>
      </c>
      <c r="B3735" s="27" t="s">
        <v>156</v>
      </c>
      <c r="C3735" s="27"/>
      <c r="D3735" s="27" t="s">
        <v>145</v>
      </c>
      <c r="E3735" s="27" t="s">
        <v>1682</v>
      </c>
      <c r="F3735" s="51">
        <v>25000</v>
      </c>
      <c r="G3735" s="27"/>
    </row>
    <row r="3736" spans="1:7">
      <c r="A3736" s="27">
        <v>270</v>
      </c>
      <c r="B3736" s="27" t="s">
        <v>156</v>
      </c>
      <c r="C3736" s="27"/>
      <c r="D3736" s="27" t="s">
        <v>150</v>
      </c>
      <c r="E3736" s="27" t="s">
        <v>1681</v>
      </c>
      <c r="F3736" s="51">
        <v>1645000</v>
      </c>
      <c r="G3736" s="27"/>
    </row>
    <row r="3737" spans="1:7">
      <c r="A3737" s="27">
        <v>270</v>
      </c>
      <c r="B3737" s="27" t="s">
        <v>156</v>
      </c>
      <c r="C3737" s="27"/>
      <c r="D3737" s="27" t="s">
        <v>317</v>
      </c>
      <c r="E3737" s="27" t="s">
        <v>1681</v>
      </c>
      <c r="F3737" s="51">
        <v>86171</v>
      </c>
      <c r="G3737" s="27"/>
    </row>
    <row r="3738" spans="1:7">
      <c r="A3738" s="27">
        <v>270</v>
      </c>
      <c r="B3738" s="27" t="s">
        <v>156</v>
      </c>
      <c r="C3738" s="27"/>
      <c r="D3738" s="27" t="s">
        <v>296</v>
      </c>
      <c r="E3738" s="27" t="s">
        <v>1681</v>
      </c>
      <c r="F3738" s="51">
        <v>353333</v>
      </c>
      <c r="G3738" s="27"/>
    </row>
    <row r="3739" spans="1:7">
      <c r="A3739" s="27">
        <v>270</v>
      </c>
      <c r="B3739" s="27" t="s">
        <v>156</v>
      </c>
      <c r="C3739" s="27"/>
      <c r="D3739" s="27" t="s">
        <v>401</v>
      </c>
      <c r="E3739" s="27" t="s">
        <v>1681</v>
      </c>
      <c r="F3739" s="51">
        <v>5145</v>
      </c>
      <c r="G3739" s="27"/>
    </row>
    <row r="3740" spans="1:7">
      <c r="A3740" s="27">
        <v>272</v>
      </c>
      <c r="B3740" s="27" t="s">
        <v>157</v>
      </c>
      <c r="C3740" s="27"/>
      <c r="D3740" s="27" t="s">
        <v>145</v>
      </c>
      <c r="E3740" s="27" t="s">
        <v>1682</v>
      </c>
      <c r="F3740" s="51">
        <v>25000</v>
      </c>
      <c r="G3740" s="27"/>
    </row>
    <row r="3741" spans="1:7">
      <c r="A3741" s="27">
        <v>272</v>
      </c>
      <c r="B3741" s="27" t="s">
        <v>157</v>
      </c>
      <c r="C3741" s="27"/>
      <c r="D3741" s="27" t="s">
        <v>150</v>
      </c>
      <c r="E3741" s="27" t="s">
        <v>1681</v>
      </c>
      <c r="F3741" s="51">
        <v>441000</v>
      </c>
      <c r="G3741" s="27"/>
    </row>
    <row r="3742" spans="1:7">
      <c r="A3742" s="27">
        <v>272</v>
      </c>
      <c r="B3742" s="27" t="s">
        <v>157</v>
      </c>
      <c r="C3742" s="27"/>
      <c r="D3742" s="27" t="s">
        <v>296</v>
      </c>
      <c r="E3742" s="27" t="s">
        <v>1681</v>
      </c>
      <c r="F3742" s="51">
        <v>430000</v>
      </c>
      <c r="G3742" s="27"/>
    </row>
    <row r="3743" spans="1:7">
      <c r="A3743" s="27">
        <v>272</v>
      </c>
      <c r="B3743" s="27" t="s">
        <v>157</v>
      </c>
      <c r="C3743" s="27"/>
      <c r="D3743" s="27" t="s">
        <v>401</v>
      </c>
      <c r="E3743" s="27" t="s">
        <v>1681</v>
      </c>
      <c r="F3743" s="51">
        <v>1446</v>
      </c>
      <c r="G3743" s="27"/>
    </row>
    <row r="3744" spans="1:7">
      <c r="A3744" s="27">
        <v>273</v>
      </c>
      <c r="B3744" s="27" t="s">
        <v>158</v>
      </c>
      <c r="C3744" s="27"/>
      <c r="D3744" s="27" t="s">
        <v>408</v>
      </c>
      <c r="E3744" s="27" t="s">
        <v>1682</v>
      </c>
      <c r="F3744" s="51">
        <v>16069</v>
      </c>
      <c r="G3744" s="27"/>
    </row>
    <row r="3745" spans="1:7">
      <c r="A3745" s="27">
        <v>273</v>
      </c>
      <c r="B3745" s="27" t="s">
        <v>158</v>
      </c>
      <c r="C3745" s="27"/>
      <c r="D3745" s="27" t="s">
        <v>150</v>
      </c>
      <c r="E3745" s="27" t="s">
        <v>1681</v>
      </c>
      <c r="F3745" s="51">
        <v>483000</v>
      </c>
      <c r="G3745" s="27"/>
    </row>
    <row r="3746" spans="1:7">
      <c r="A3746" s="27">
        <v>273</v>
      </c>
      <c r="B3746" s="27" t="s">
        <v>158</v>
      </c>
      <c r="C3746" s="27"/>
      <c r="D3746" s="27" t="s">
        <v>291</v>
      </c>
      <c r="E3746" s="27" t="s">
        <v>1681</v>
      </c>
      <c r="F3746" s="51">
        <v>200</v>
      </c>
      <c r="G3746" s="27"/>
    </row>
    <row r="3747" spans="1:7">
      <c r="A3747" s="27">
        <v>273</v>
      </c>
      <c r="B3747" s="27" t="s">
        <v>158</v>
      </c>
      <c r="C3747" s="27"/>
      <c r="D3747" s="27" t="s">
        <v>401</v>
      </c>
      <c r="E3747" s="27" t="s">
        <v>1681</v>
      </c>
      <c r="F3747" s="51">
        <v>1423</v>
      </c>
      <c r="G3747" s="27"/>
    </row>
    <row r="3748" spans="1:7">
      <c r="A3748" s="27">
        <v>277</v>
      </c>
      <c r="B3748" s="27" t="s">
        <v>159</v>
      </c>
      <c r="C3748" s="27"/>
      <c r="D3748" s="27" t="s">
        <v>408</v>
      </c>
      <c r="E3748" s="27" t="s">
        <v>1682</v>
      </c>
      <c r="F3748" s="51">
        <v>102180</v>
      </c>
      <c r="G3748" s="27"/>
    </row>
    <row r="3749" spans="1:7">
      <c r="A3749" s="27">
        <v>277</v>
      </c>
      <c r="B3749" s="27" t="s">
        <v>159</v>
      </c>
      <c r="C3749" s="27"/>
      <c r="D3749" s="27" t="s">
        <v>150</v>
      </c>
      <c r="E3749" s="27" t="s">
        <v>1681</v>
      </c>
      <c r="F3749" s="51">
        <v>2100000</v>
      </c>
      <c r="G3749" s="27"/>
    </row>
    <row r="3750" spans="1:7">
      <c r="A3750" s="27">
        <v>277</v>
      </c>
      <c r="B3750" s="27" t="s">
        <v>159</v>
      </c>
      <c r="C3750" s="27"/>
      <c r="D3750" s="27" t="s">
        <v>291</v>
      </c>
      <c r="E3750" s="27" t="s">
        <v>1681</v>
      </c>
      <c r="F3750" s="51">
        <v>2053</v>
      </c>
      <c r="G3750" s="27"/>
    </row>
    <row r="3751" spans="1:7">
      <c r="A3751" s="27">
        <v>277</v>
      </c>
      <c r="B3751" s="27" t="s">
        <v>159</v>
      </c>
      <c r="C3751" s="27"/>
      <c r="D3751" s="27" t="s">
        <v>401</v>
      </c>
      <c r="E3751" s="27" t="s">
        <v>1681</v>
      </c>
      <c r="F3751" s="51">
        <v>7112</v>
      </c>
      <c r="G3751" s="27"/>
    </row>
    <row r="3752" spans="1:7">
      <c r="A3752" s="27">
        <v>277</v>
      </c>
      <c r="B3752" s="27" t="s">
        <v>159</v>
      </c>
      <c r="C3752" s="27"/>
      <c r="D3752" s="27" t="s">
        <v>1347</v>
      </c>
      <c r="E3752" s="27" t="s">
        <v>1681</v>
      </c>
      <c r="F3752" s="51">
        <v>6354</v>
      </c>
      <c r="G3752" s="27"/>
    </row>
    <row r="3753" spans="1:7">
      <c r="A3753" s="27">
        <v>278</v>
      </c>
      <c r="B3753" s="27" t="s">
        <v>160</v>
      </c>
      <c r="C3753" s="27"/>
      <c r="D3753" s="27" t="s">
        <v>145</v>
      </c>
      <c r="E3753" s="27" t="s">
        <v>1682</v>
      </c>
      <c r="F3753" s="51">
        <v>15000</v>
      </c>
      <c r="G3753" s="27"/>
    </row>
    <row r="3754" spans="1:7">
      <c r="A3754" s="27">
        <v>278</v>
      </c>
      <c r="B3754" s="27" t="s">
        <v>160</v>
      </c>
      <c r="C3754" s="27"/>
      <c r="D3754" s="27" t="s">
        <v>408</v>
      </c>
      <c r="E3754" s="27" t="s">
        <v>1682</v>
      </c>
      <c r="F3754" s="51">
        <v>48895</v>
      </c>
      <c r="G3754" s="27"/>
    </row>
    <row r="3755" spans="1:7">
      <c r="A3755" s="27">
        <v>278</v>
      </c>
      <c r="B3755" s="27" t="s">
        <v>160</v>
      </c>
      <c r="C3755" s="27"/>
      <c r="D3755" s="27" t="s">
        <v>150</v>
      </c>
      <c r="E3755" s="27" t="s">
        <v>1681</v>
      </c>
      <c r="F3755" s="51">
        <v>756000</v>
      </c>
      <c r="G3755" s="27"/>
    </row>
    <row r="3756" spans="1:7">
      <c r="A3756" s="27">
        <v>278</v>
      </c>
      <c r="B3756" s="27" t="s">
        <v>160</v>
      </c>
      <c r="C3756" s="27"/>
      <c r="D3756" s="27" t="s">
        <v>291</v>
      </c>
      <c r="E3756" s="27" t="s">
        <v>1681</v>
      </c>
      <c r="F3756" s="51">
        <v>771</v>
      </c>
      <c r="G3756" s="27"/>
    </row>
    <row r="3757" spans="1:7">
      <c r="A3757" s="27">
        <v>278</v>
      </c>
      <c r="B3757" s="27" t="s">
        <v>160</v>
      </c>
      <c r="C3757" s="27"/>
      <c r="D3757" s="27" t="s">
        <v>401</v>
      </c>
      <c r="E3757" s="27" t="s">
        <v>1681</v>
      </c>
      <c r="F3757" s="51">
        <v>2560</v>
      </c>
      <c r="G3757" s="27"/>
    </row>
    <row r="3758" spans="1:7">
      <c r="A3758" s="27">
        <v>278</v>
      </c>
      <c r="B3758" s="27" t="s">
        <v>160</v>
      </c>
      <c r="C3758" s="27"/>
      <c r="D3758" s="27" t="s">
        <v>1347</v>
      </c>
      <c r="E3758" s="27" t="s">
        <v>1681</v>
      </c>
      <c r="F3758" s="51">
        <v>46</v>
      </c>
      <c r="G3758" s="27"/>
    </row>
    <row r="3759" spans="1:7">
      <c r="A3759" s="27">
        <v>279</v>
      </c>
      <c r="B3759" s="27" t="s">
        <v>161</v>
      </c>
      <c r="C3759" s="27"/>
      <c r="D3759" s="27" t="s">
        <v>145</v>
      </c>
      <c r="E3759" s="27" t="s">
        <v>1682</v>
      </c>
      <c r="F3759" s="51">
        <v>47650</v>
      </c>
      <c r="G3759" s="27"/>
    </row>
    <row r="3760" spans="1:7">
      <c r="A3760" s="27">
        <v>279</v>
      </c>
      <c r="B3760" s="27" t="s">
        <v>161</v>
      </c>
      <c r="C3760" s="27"/>
      <c r="D3760" s="27" t="s">
        <v>150</v>
      </c>
      <c r="E3760" s="27" t="s">
        <v>1681</v>
      </c>
      <c r="F3760" s="51">
        <v>1540000</v>
      </c>
      <c r="G3760" s="27"/>
    </row>
    <row r="3761" spans="1:7">
      <c r="A3761" s="27">
        <v>279</v>
      </c>
      <c r="B3761" s="27" t="s">
        <v>161</v>
      </c>
      <c r="C3761" s="27"/>
      <c r="D3761" s="27" t="s">
        <v>401</v>
      </c>
      <c r="E3761" s="27" t="s">
        <v>1681</v>
      </c>
      <c r="F3761" s="51">
        <v>4576</v>
      </c>
      <c r="G3761" s="27"/>
    </row>
    <row r="3762" spans="1:7">
      <c r="A3762" s="27">
        <v>280</v>
      </c>
      <c r="B3762" s="27" t="s">
        <v>162</v>
      </c>
      <c r="C3762" s="27"/>
      <c r="D3762" s="27" t="s">
        <v>145</v>
      </c>
      <c r="E3762" s="27" t="s">
        <v>1682</v>
      </c>
      <c r="F3762" s="51">
        <v>190000</v>
      </c>
      <c r="G3762" s="27"/>
    </row>
    <row r="3763" spans="1:7">
      <c r="A3763" s="27">
        <v>280</v>
      </c>
      <c r="B3763" s="27" t="s">
        <v>162</v>
      </c>
      <c r="C3763" s="27"/>
      <c r="D3763" s="27" t="s">
        <v>408</v>
      </c>
      <c r="E3763" s="27" t="s">
        <v>1682</v>
      </c>
      <c r="F3763" s="51">
        <v>25359</v>
      </c>
      <c r="G3763" s="27"/>
    </row>
    <row r="3764" spans="1:7">
      <c r="A3764" s="27">
        <v>280</v>
      </c>
      <c r="B3764" s="27" t="s">
        <v>162</v>
      </c>
      <c r="C3764" s="27"/>
      <c r="D3764" s="27" t="s">
        <v>150</v>
      </c>
      <c r="E3764" s="27" t="s">
        <v>1681</v>
      </c>
      <c r="F3764" s="51">
        <v>994000</v>
      </c>
      <c r="G3764" s="27"/>
    </row>
    <row r="3765" spans="1:7">
      <c r="A3765" s="27">
        <v>280</v>
      </c>
      <c r="B3765" s="27" t="s">
        <v>162</v>
      </c>
      <c r="C3765" s="27"/>
      <c r="D3765" s="27" t="s">
        <v>401</v>
      </c>
      <c r="E3765" s="27" t="s">
        <v>1681</v>
      </c>
      <c r="F3765" s="51">
        <v>3319</v>
      </c>
      <c r="G3765" s="27"/>
    </row>
    <row r="3766" spans="1:7">
      <c r="A3766" s="27">
        <v>301</v>
      </c>
      <c r="B3766" s="27" t="s">
        <v>45</v>
      </c>
      <c r="C3766" s="27"/>
      <c r="D3766" s="27" t="s">
        <v>406</v>
      </c>
      <c r="E3766" s="27" t="s">
        <v>1682</v>
      </c>
      <c r="F3766" s="51">
        <v>284901</v>
      </c>
      <c r="G3766" s="27"/>
    </row>
    <row r="3767" spans="1:7">
      <c r="A3767" s="27">
        <v>301</v>
      </c>
      <c r="B3767" s="27" t="s">
        <v>45</v>
      </c>
      <c r="C3767" s="27"/>
      <c r="D3767" s="27" t="s">
        <v>326</v>
      </c>
      <c r="E3767" s="27" t="s">
        <v>1682</v>
      </c>
      <c r="F3767" s="51">
        <v>52650</v>
      </c>
      <c r="G3767" s="27"/>
    </row>
    <row r="3768" spans="1:7">
      <c r="A3768" s="27">
        <v>301</v>
      </c>
      <c r="B3768" s="27" t="s">
        <v>45</v>
      </c>
      <c r="C3768" s="27"/>
      <c r="D3768" s="27" t="s">
        <v>408</v>
      </c>
      <c r="E3768" s="27" t="s">
        <v>1682</v>
      </c>
      <c r="F3768" s="51">
        <v>685338</v>
      </c>
      <c r="G3768" s="27"/>
    </row>
    <row r="3769" spans="1:7">
      <c r="A3769" s="27">
        <v>301</v>
      </c>
      <c r="B3769" s="27" t="s">
        <v>45</v>
      </c>
      <c r="C3769" s="27"/>
      <c r="D3769" s="27" t="s">
        <v>394</v>
      </c>
      <c r="E3769" s="27" t="s">
        <v>1682</v>
      </c>
      <c r="F3769" s="51">
        <v>1486427</v>
      </c>
      <c r="G3769" s="27"/>
    </row>
    <row r="3770" spans="1:7">
      <c r="A3770" s="27">
        <v>301</v>
      </c>
      <c r="B3770" s="27" t="s">
        <v>45</v>
      </c>
      <c r="C3770" s="27"/>
      <c r="D3770" s="27" t="s">
        <v>397</v>
      </c>
      <c r="E3770" s="27" t="s">
        <v>1682</v>
      </c>
      <c r="F3770" s="51">
        <v>1951279</v>
      </c>
      <c r="G3770" s="27"/>
    </row>
    <row r="3771" spans="1:7">
      <c r="A3771" s="27">
        <v>301</v>
      </c>
      <c r="B3771" s="27" t="s">
        <v>45</v>
      </c>
      <c r="C3771" s="27"/>
      <c r="D3771" s="27" t="s">
        <v>411</v>
      </c>
      <c r="E3771" s="27" t="s">
        <v>1682</v>
      </c>
      <c r="F3771" s="51">
        <v>176515</v>
      </c>
      <c r="G3771" s="27"/>
    </row>
    <row r="3772" spans="1:7">
      <c r="A3772" s="27">
        <v>301</v>
      </c>
      <c r="B3772" s="27" t="s">
        <v>45</v>
      </c>
      <c r="C3772" s="27"/>
      <c r="D3772" s="27" t="s">
        <v>412</v>
      </c>
      <c r="E3772" s="27" t="s">
        <v>1682</v>
      </c>
      <c r="F3772" s="51">
        <v>715108</v>
      </c>
      <c r="G3772" s="27"/>
    </row>
    <row r="3773" spans="1:7">
      <c r="A3773" s="27">
        <v>301</v>
      </c>
      <c r="B3773" s="27" t="s">
        <v>45</v>
      </c>
      <c r="C3773" s="27"/>
      <c r="D3773" s="27" t="s">
        <v>413</v>
      </c>
      <c r="E3773" s="27" t="s">
        <v>1682</v>
      </c>
      <c r="F3773" s="51">
        <v>62508</v>
      </c>
      <c r="G3773" s="27"/>
    </row>
    <row r="3774" spans="1:7">
      <c r="A3774" s="27">
        <v>301</v>
      </c>
      <c r="B3774" s="27" t="s">
        <v>45</v>
      </c>
      <c r="C3774" s="27"/>
      <c r="D3774" s="27" t="s">
        <v>414</v>
      </c>
      <c r="E3774" s="27" t="s">
        <v>1682</v>
      </c>
      <c r="F3774" s="51">
        <v>21630</v>
      </c>
      <c r="G3774" s="27"/>
    </row>
    <row r="3775" spans="1:7">
      <c r="A3775" s="27">
        <v>301</v>
      </c>
      <c r="B3775" s="27" t="s">
        <v>45</v>
      </c>
      <c r="C3775" s="27"/>
      <c r="D3775" s="27" t="s">
        <v>398</v>
      </c>
      <c r="E3775" s="27" t="s">
        <v>1682</v>
      </c>
      <c r="F3775" s="51">
        <v>55087</v>
      </c>
      <c r="G3775" s="27"/>
    </row>
    <row r="3776" spans="1:7">
      <c r="A3776" s="27">
        <v>301</v>
      </c>
      <c r="B3776" s="27" t="s">
        <v>45</v>
      </c>
      <c r="C3776" s="27"/>
      <c r="D3776" s="27" t="s">
        <v>415</v>
      </c>
      <c r="E3776" s="27" t="s">
        <v>1682</v>
      </c>
      <c r="F3776" s="51">
        <v>62263</v>
      </c>
      <c r="G3776" s="27"/>
    </row>
    <row r="3777" spans="1:7">
      <c r="A3777" s="27">
        <v>301</v>
      </c>
      <c r="B3777" s="27" t="s">
        <v>45</v>
      </c>
      <c r="C3777" s="27"/>
      <c r="D3777" s="27" t="s">
        <v>291</v>
      </c>
      <c r="E3777" s="27" t="s">
        <v>1681</v>
      </c>
      <c r="F3777" s="51">
        <v>33980</v>
      </c>
      <c r="G3777" s="27"/>
    </row>
    <row r="3778" spans="1:7">
      <c r="A3778" s="27">
        <v>301</v>
      </c>
      <c r="B3778" s="27" t="s">
        <v>45</v>
      </c>
      <c r="C3778" s="27"/>
      <c r="D3778" s="27" t="s">
        <v>293</v>
      </c>
      <c r="E3778" s="27" t="s">
        <v>1681</v>
      </c>
      <c r="F3778" s="51">
        <v>118700</v>
      </c>
      <c r="G3778" s="27"/>
    </row>
    <row r="3779" spans="1:7">
      <c r="A3779" s="27">
        <v>301</v>
      </c>
      <c r="B3779" s="27" t="s">
        <v>45</v>
      </c>
      <c r="C3779" s="27"/>
      <c r="D3779" s="27" t="s">
        <v>296</v>
      </c>
      <c r="E3779" s="27" t="s">
        <v>1681</v>
      </c>
      <c r="F3779" s="51">
        <v>4618619</v>
      </c>
      <c r="G3779" s="27"/>
    </row>
    <row r="3780" spans="1:7">
      <c r="A3780" s="27">
        <v>301</v>
      </c>
      <c r="B3780" s="27" t="s">
        <v>45</v>
      </c>
      <c r="C3780" s="27"/>
      <c r="D3780" s="27" t="s">
        <v>401</v>
      </c>
      <c r="E3780" s="27" t="s">
        <v>1681</v>
      </c>
      <c r="F3780" s="51">
        <v>100000</v>
      </c>
      <c r="G3780" s="27"/>
    </row>
    <row r="3781" spans="1:7">
      <c r="A3781" s="27">
        <v>305</v>
      </c>
      <c r="B3781" s="27" t="s">
        <v>46</v>
      </c>
      <c r="C3781" s="27"/>
      <c r="D3781" s="27" t="s">
        <v>47</v>
      </c>
      <c r="E3781" s="27" t="s">
        <v>1681</v>
      </c>
      <c r="F3781" s="51">
        <v>7296751</v>
      </c>
      <c r="G3781" s="27"/>
    </row>
    <row r="3782" spans="1:7">
      <c r="A3782" s="27">
        <v>305</v>
      </c>
      <c r="B3782" s="27" t="s">
        <v>46</v>
      </c>
      <c r="C3782" s="27"/>
      <c r="D3782" s="27" t="s">
        <v>291</v>
      </c>
      <c r="E3782" s="27" t="s">
        <v>1681</v>
      </c>
      <c r="F3782" s="51">
        <v>1374</v>
      </c>
      <c r="G3782" s="27"/>
    </row>
    <row r="3783" spans="1:7">
      <c r="A3783" s="27">
        <v>336</v>
      </c>
      <c r="B3783" s="27" t="s">
        <v>48</v>
      </c>
      <c r="C3783" s="27"/>
      <c r="D3783" s="27" t="s">
        <v>406</v>
      </c>
      <c r="E3783" s="27" t="s">
        <v>1682</v>
      </c>
      <c r="F3783" s="51">
        <v>139632</v>
      </c>
      <c r="G3783" s="27"/>
    </row>
    <row r="3784" spans="1:7">
      <c r="A3784" s="27">
        <v>336</v>
      </c>
      <c r="B3784" s="27" t="s">
        <v>48</v>
      </c>
      <c r="C3784" s="27"/>
      <c r="D3784" s="27" t="s">
        <v>408</v>
      </c>
      <c r="E3784" s="27" t="s">
        <v>1682</v>
      </c>
      <c r="F3784" s="51">
        <v>948327</v>
      </c>
      <c r="G3784" s="27"/>
    </row>
    <row r="3785" spans="1:7">
      <c r="A3785" s="27">
        <v>336</v>
      </c>
      <c r="B3785" s="27" t="s">
        <v>48</v>
      </c>
      <c r="C3785" s="27"/>
      <c r="D3785" s="27" t="s">
        <v>394</v>
      </c>
      <c r="E3785" s="27" t="s">
        <v>1682</v>
      </c>
      <c r="F3785" s="51">
        <v>258043</v>
      </c>
      <c r="G3785" s="27"/>
    </row>
    <row r="3786" spans="1:7">
      <c r="A3786" s="27">
        <v>336</v>
      </c>
      <c r="B3786" s="27" t="s">
        <v>48</v>
      </c>
      <c r="C3786" s="27"/>
      <c r="D3786" s="27" t="s">
        <v>147</v>
      </c>
      <c r="E3786" s="27" t="s">
        <v>1682</v>
      </c>
      <c r="F3786" s="51">
        <v>721000</v>
      </c>
      <c r="G3786" s="27"/>
    </row>
    <row r="3787" spans="1:7">
      <c r="A3787" s="27">
        <v>336</v>
      </c>
      <c r="B3787" s="27" t="s">
        <v>48</v>
      </c>
      <c r="C3787" s="27"/>
      <c r="D3787" s="27" t="s">
        <v>412</v>
      </c>
      <c r="E3787" s="27" t="s">
        <v>1682</v>
      </c>
      <c r="F3787" s="51">
        <v>90000</v>
      </c>
      <c r="G3787" s="27"/>
    </row>
    <row r="3788" spans="1:7">
      <c r="A3788" s="27">
        <v>336</v>
      </c>
      <c r="B3788" s="27" t="s">
        <v>48</v>
      </c>
      <c r="C3788" s="27"/>
      <c r="D3788" s="27" t="s">
        <v>398</v>
      </c>
      <c r="E3788" s="27" t="s">
        <v>1682</v>
      </c>
      <c r="F3788" s="51">
        <v>7527</v>
      </c>
      <c r="G3788" s="27"/>
    </row>
    <row r="3789" spans="1:7">
      <c r="A3789" s="27">
        <v>336</v>
      </c>
      <c r="B3789" s="27" t="s">
        <v>48</v>
      </c>
      <c r="C3789" s="27"/>
      <c r="D3789" s="27" t="s">
        <v>415</v>
      </c>
      <c r="E3789" s="27" t="s">
        <v>1682</v>
      </c>
      <c r="F3789" s="51">
        <v>17000</v>
      </c>
      <c r="G3789" s="27"/>
    </row>
    <row r="3790" spans="1:7">
      <c r="A3790" s="27">
        <v>336</v>
      </c>
      <c r="B3790" s="27" t="s">
        <v>48</v>
      </c>
      <c r="C3790" s="27"/>
      <c r="D3790" s="27" t="s">
        <v>291</v>
      </c>
      <c r="E3790" s="27" t="s">
        <v>1681</v>
      </c>
      <c r="F3790" s="51">
        <v>16503</v>
      </c>
      <c r="G3790" s="27"/>
    </row>
    <row r="3791" spans="1:7">
      <c r="A3791" s="27">
        <v>347</v>
      </c>
      <c r="B3791" s="27" t="s">
        <v>49</v>
      </c>
      <c r="C3791" s="27"/>
      <c r="D3791" s="27" t="s">
        <v>406</v>
      </c>
      <c r="E3791" s="27" t="s">
        <v>1682</v>
      </c>
      <c r="F3791" s="51">
        <v>4744</v>
      </c>
      <c r="G3791" s="27"/>
    </row>
    <row r="3792" spans="1:7">
      <c r="A3792" s="27">
        <v>347</v>
      </c>
      <c r="B3792" s="27" t="s">
        <v>49</v>
      </c>
      <c r="C3792" s="27"/>
      <c r="D3792" s="27" t="s">
        <v>408</v>
      </c>
      <c r="E3792" s="27" t="s">
        <v>1682</v>
      </c>
      <c r="F3792" s="51">
        <v>309317</v>
      </c>
      <c r="G3792" s="27"/>
    </row>
    <row r="3793" spans="1:7">
      <c r="A3793" s="27">
        <v>347</v>
      </c>
      <c r="B3793" s="27" t="s">
        <v>49</v>
      </c>
      <c r="C3793" s="27"/>
      <c r="D3793" s="27" t="s">
        <v>394</v>
      </c>
      <c r="E3793" s="27" t="s">
        <v>1682</v>
      </c>
      <c r="F3793" s="51">
        <v>218685</v>
      </c>
      <c r="G3793" s="27"/>
    </row>
    <row r="3794" spans="1:7">
      <c r="A3794" s="27">
        <v>347</v>
      </c>
      <c r="B3794" s="27" t="s">
        <v>49</v>
      </c>
      <c r="C3794" s="27"/>
      <c r="D3794" s="27" t="s">
        <v>147</v>
      </c>
      <c r="E3794" s="27" t="s">
        <v>1682</v>
      </c>
      <c r="F3794" s="51">
        <v>72640</v>
      </c>
      <c r="G3794" s="27"/>
    </row>
    <row r="3795" spans="1:7">
      <c r="A3795" s="27">
        <v>347</v>
      </c>
      <c r="B3795" s="27" t="s">
        <v>49</v>
      </c>
      <c r="C3795" s="27"/>
      <c r="D3795" s="27" t="s">
        <v>412</v>
      </c>
      <c r="E3795" s="27" t="s">
        <v>1682</v>
      </c>
      <c r="F3795" s="51">
        <v>14716</v>
      </c>
      <c r="G3795" s="27"/>
    </row>
    <row r="3796" spans="1:7">
      <c r="A3796" s="27">
        <v>347</v>
      </c>
      <c r="B3796" s="27" t="s">
        <v>49</v>
      </c>
      <c r="C3796" s="27"/>
      <c r="D3796" s="27" t="s">
        <v>398</v>
      </c>
      <c r="E3796" s="27" t="s">
        <v>1682</v>
      </c>
      <c r="F3796" s="51">
        <v>695</v>
      </c>
      <c r="G3796" s="27"/>
    </row>
    <row r="3797" spans="1:7">
      <c r="A3797" s="27">
        <v>347</v>
      </c>
      <c r="B3797" s="27" t="s">
        <v>49</v>
      </c>
      <c r="C3797" s="27"/>
      <c r="D3797" s="27" t="s">
        <v>415</v>
      </c>
      <c r="E3797" s="27" t="s">
        <v>1682</v>
      </c>
      <c r="F3797" s="51">
        <v>1912</v>
      </c>
      <c r="G3797" s="27"/>
    </row>
    <row r="3798" spans="1:7">
      <c r="A3798" s="27">
        <v>347</v>
      </c>
      <c r="B3798" s="27" t="s">
        <v>49</v>
      </c>
      <c r="C3798" s="27"/>
      <c r="D3798" s="27" t="s">
        <v>291</v>
      </c>
      <c r="E3798" s="27" t="s">
        <v>1681</v>
      </c>
      <c r="F3798" s="51">
        <v>6077</v>
      </c>
      <c r="G3798" s="27"/>
    </row>
    <row r="3799" spans="1:7">
      <c r="A3799" s="27">
        <v>901</v>
      </c>
      <c r="B3799" s="27" t="s">
        <v>50</v>
      </c>
      <c r="C3799" s="27" t="s">
        <v>316</v>
      </c>
      <c r="D3799" s="27" t="s">
        <v>406</v>
      </c>
      <c r="E3799" s="27" t="s">
        <v>1682</v>
      </c>
      <c r="F3799" s="51">
        <v>57077</v>
      </c>
      <c r="G3799" s="27"/>
    </row>
    <row r="3800" spans="1:7">
      <c r="A3800" s="27">
        <v>901</v>
      </c>
      <c r="B3800" s="27" t="s">
        <v>50</v>
      </c>
      <c r="C3800" s="27" t="s">
        <v>316</v>
      </c>
      <c r="D3800" s="27" t="s">
        <v>401</v>
      </c>
      <c r="E3800" s="27" t="s">
        <v>1681</v>
      </c>
      <c r="F3800" s="51">
        <v>52602</v>
      </c>
      <c r="G3800" s="27"/>
    </row>
    <row r="3801" spans="1:7">
      <c r="A3801" s="27">
        <v>902</v>
      </c>
      <c r="B3801" s="27" t="s">
        <v>51</v>
      </c>
      <c r="C3801" s="27" t="s">
        <v>316</v>
      </c>
      <c r="D3801" s="27" t="s">
        <v>408</v>
      </c>
      <c r="E3801" s="27" t="s">
        <v>1682</v>
      </c>
      <c r="F3801" s="51">
        <v>23548</v>
      </c>
      <c r="G3801" s="27"/>
    </row>
    <row r="3802" spans="1:7">
      <c r="A3802" s="27">
        <v>902</v>
      </c>
      <c r="B3802" s="27" t="s">
        <v>51</v>
      </c>
      <c r="C3802" s="27" t="s">
        <v>316</v>
      </c>
      <c r="D3802" s="27" t="s">
        <v>291</v>
      </c>
      <c r="E3802" s="27" t="s">
        <v>1681</v>
      </c>
      <c r="F3802" s="51">
        <v>2096</v>
      </c>
      <c r="G3802" s="27"/>
    </row>
    <row r="3803" spans="1:7">
      <c r="A3803" s="27">
        <v>902</v>
      </c>
      <c r="B3803" s="27" t="s">
        <v>51</v>
      </c>
      <c r="C3803" s="27" t="s">
        <v>316</v>
      </c>
      <c r="D3803" s="27" t="s">
        <v>296</v>
      </c>
      <c r="E3803" s="27" t="s">
        <v>1681</v>
      </c>
      <c r="F3803" s="51">
        <v>398294</v>
      </c>
      <c r="G3803" s="27"/>
    </row>
    <row r="3804" spans="1:7">
      <c r="A3804" s="27">
        <v>902</v>
      </c>
      <c r="B3804" s="27" t="s">
        <v>51</v>
      </c>
      <c r="C3804" s="27" t="s">
        <v>316</v>
      </c>
      <c r="D3804" s="27" t="s">
        <v>401</v>
      </c>
      <c r="E3804" s="27" t="s">
        <v>1681</v>
      </c>
      <c r="F3804" s="51">
        <v>15147</v>
      </c>
      <c r="G3804" s="27"/>
    </row>
    <row r="3805" spans="1:7">
      <c r="A3805" s="27">
        <v>903</v>
      </c>
      <c r="B3805" s="27" t="s">
        <v>52</v>
      </c>
      <c r="C3805" s="27" t="s">
        <v>302</v>
      </c>
      <c r="D3805" s="27" t="s">
        <v>296</v>
      </c>
      <c r="E3805" s="27" t="s">
        <v>1681</v>
      </c>
      <c r="F3805" s="51">
        <v>736344</v>
      </c>
      <c r="G3805" s="27"/>
    </row>
    <row r="3806" spans="1:7">
      <c r="A3806" s="27">
        <v>903</v>
      </c>
      <c r="B3806" s="27" t="s">
        <v>52</v>
      </c>
      <c r="C3806" s="27" t="s">
        <v>302</v>
      </c>
      <c r="D3806" s="27" t="s">
        <v>401</v>
      </c>
      <c r="E3806" s="27" t="s">
        <v>1681</v>
      </c>
      <c r="F3806" s="51">
        <v>35614</v>
      </c>
      <c r="G3806" s="27"/>
    </row>
    <row r="3807" spans="1:7">
      <c r="A3807" s="27">
        <v>998</v>
      </c>
      <c r="B3807" s="27" t="s">
        <v>53</v>
      </c>
      <c r="C3807" s="27"/>
      <c r="D3807" s="27" t="s">
        <v>405</v>
      </c>
      <c r="E3807" s="27" t="s">
        <v>1682</v>
      </c>
      <c r="F3807" s="51">
        <v>150000</v>
      </c>
      <c r="G3807" s="27"/>
    </row>
    <row r="3808" spans="1:7">
      <c r="A3808" s="27">
        <v>998</v>
      </c>
      <c r="B3808" s="27" t="s">
        <v>53</v>
      </c>
      <c r="C3808" s="27"/>
      <c r="D3808" s="27" t="s">
        <v>406</v>
      </c>
      <c r="E3808" s="27" t="s">
        <v>1682</v>
      </c>
      <c r="F3808" s="51">
        <v>1310734</v>
      </c>
      <c r="G3808" s="27"/>
    </row>
    <row r="3809" spans="1:7">
      <c r="A3809" s="27">
        <v>998</v>
      </c>
      <c r="B3809" s="27" t="s">
        <v>53</v>
      </c>
      <c r="C3809" s="27"/>
      <c r="D3809" s="27" t="s">
        <v>408</v>
      </c>
      <c r="E3809" s="27" t="s">
        <v>1682</v>
      </c>
      <c r="F3809" s="51">
        <v>2380675</v>
      </c>
      <c r="G3809" s="27"/>
    </row>
    <row r="3810" spans="1:7">
      <c r="A3810" s="27">
        <v>998</v>
      </c>
      <c r="B3810" s="27" t="s">
        <v>53</v>
      </c>
      <c r="C3810" s="27"/>
      <c r="D3810" s="27" t="s">
        <v>409</v>
      </c>
      <c r="E3810" s="27" t="s">
        <v>1682</v>
      </c>
      <c r="F3810" s="51">
        <v>280</v>
      </c>
      <c r="G3810" s="27"/>
    </row>
    <row r="3811" spans="1:7">
      <c r="A3811" s="27">
        <v>998</v>
      </c>
      <c r="B3811" s="27" t="s">
        <v>53</v>
      </c>
      <c r="C3811" s="27"/>
      <c r="D3811" s="27" t="s">
        <v>328</v>
      </c>
      <c r="E3811" s="27" t="s">
        <v>1682</v>
      </c>
      <c r="F3811" s="51">
        <v>156247</v>
      </c>
      <c r="G3811" s="27"/>
    </row>
    <row r="3812" spans="1:7">
      <c r="A3812" s="27">
        <v>998</v>
      </c>
      <c r="B3812" s="27" t="s">
        <v>53</v>
      </c>
      <c r="C3812" s="27"/>
      <c r="D3812" s="27" t="s">
        <v>54</v>
      </c>
      <c r="E3812" s="27" t="s">
        <v>1682</v>
      </c>
      <c r="F3812" s="51">
        <v>466500</v>
      </c>
      <c r="G3812" s="27"/>
    </row>
    <row r="3813" spans="1:7">
      <c r="A3813" s="27">
        <v>998</v>
      </c>
      <c r="B3813" s="27" t="s">
        <v>53</v>
      </c>
      <c r="C3813" s="27"/>
      <c r="D3813" s="27" t="s">
        <v>410</v>
      </c>
      <c r="E3813" s="27" t="s">
        <v>1682</v>
      </c>
      <c r="F3813" s="51">
        <v>159313</v>
      </c>
      <c r="G3813" s="27"/>
    </row>
    <row r="3814" spans="1:7">
      <c r="A3814" s="27">
        <v>998</v>
      </c>
      <c r="B3814" s="27" t="s">
        <v>53</v>
      </c>
      <c r="C3814" s="27"/>
      <c r="D3814" s="27" t="s">
        <v>134</v>
      </c>
      <c r="E3814" s="27" t="s">
        <v>1682</v>
      </c>
      <c r="F3814" s="51">
        <v>78155</v>
      </c>
      <c r="G3814" s="27"/>
    </row>
    <row r="3815" spans="1:7">
      <c r="A3815" s="27">
        <v>998</v>
      </c>
      <c r="B3815" s="27" t="s">
        <v>53</v>
      </c>
      <c r="C3815" s="27"/>
      <c r="D3815" s="27" t="s">
        <v>277</v>
      </c>
      <c r="E3815" s="27" t="s">
        <v>1682</v>
      </c>
      <c r="F3815" s="51">
        <v>652504</v>
      </c>
      <c r="G3815" s="27"/>
    </row>
    <row r="3816" spans="1:7">
      <c r="A3816" s="27">
        <v>998</v>
      </c>
      <c r="B3816" s="27" t="s">
        <v>53</v>
      </c>
      <c r="C3816" s="27"/>
      <c r="D3816" s="27" t="s">
        <v>397</v>
      </c>
      <c r="E3816" s="27" t="s">
        <v>1682</v>
      </c>
      <c r="F3816" s="51">
        <v>50000</v>
      </c>
      <c r="G3816" s="27"/>
    </row>
    <row r="3817" spans="1:7">
      <c r="A3817" s="27">
        <v>998</v>
      </c>
      <c r="B3817" s="27" t="s">
        <v>53</v>
      </c>
      <c r="C3817" s="27"/>
      <c r="D3817" s="27" t="s">
        <v>291</v>
      </c>
      <c r="E3817" s="27" t="s">
        <v>1681</v>
      </c>
      <c r="F3817" s="51">
        <v>16006</v>
      </c>
      <c r="G3817" s="27"/>
    </row>
    <row r="3818" spans="1:7">
      <c r="A3818" s="27">
        <v>998</v>
      </c>
      <c r="B3818" s="27" t="s">
        <v>53</v>
      </c>
      <c r="C3818" s="27"/>
      <c r="D3818" s="27" t="s">
        <v>55</v>
      </c>
      <c r="E3818" s="27" t="s">
        <v>1681</v>
      </c>
      <c r="F3818" s="51">
        <v>75000</v>
      </c>
      <c r="G3818" s="27"/>
    </row>
    <row r="3819" spans="1:7">
      <c r="A3819" s="27">
        <v>998</v>
      </c>
      <c r="B3819" s="27" t="s">
        <v>53</v>
      </c>
      <c r="C3819" s="27"/>
      <c r="D3819" s="27" t="s">
        <v>317</v>
      </c>
      <c r="E3819" s="27" t="s">
        <v>1681</v>
      </c>
      <c r="F3819" s="51">
        <v>603197</v>
      </c>
      <c r="G3819" s="27"/>
    </row>
    <row r="3820" spans="1:7">
      <c r="A3820" s="27">
        <v>998</v>
      </c>
      <c r="B3820" s="27" t="s">
        <v>53</v>
      </c>
      <c r="C3820" s="27"/>
      <c r="D3820" s="27" t="s">
        <v>141</v>
      </c>
      <c r="E3820" s="27" t="s">
        <v>1681</v>
      </c>
      <c r="F3820" s="51">
        <v>130943</v>
      </c>
      <c r="G3820" s="27"/>
    </row>
    <row r="3821" spans="1:7">
      <c r="A3821" s="27">
        <v>998</v>
      </c>
      <c r="B3821" s="27" t="s">
        <v>53</v>
      </c>
      <c r="C3821" s="27"/>
      <c r="D3821" s="27" t="s">
        <v>293</v>
      </c>
      <c r="E3821" s="27" t="s">
        <v>1681</v>
      </c>
      <c r="F3821" s="51">
        <v>350000</v>
      </c>
      <c r="G3821" s="27"/>
    </row>
    <row r="3822" spans="1:7">
      <c r="A3822" s="27">
        <v>998</v>
      </c>
      <c r="B3822" s="27" t="s">
        <v>53</v>
      </c>
      <c r="C3822" s="27"/>
      <c r="D3822" s="27" t="s">
        <v>56</v>
      </c>
      <c r="E3822" s="27" t="s">
        <v>1681</v>
      </c>
      <c r="F3822" s="51">
        <v>150000</v>
      </c>
      <c r="G3822" s="27"/>
    </row>
    <row r="3823" spans="1:7">
      <c r="A3823" s="27">
        <v>998</v>
      </c>
      <c r="B3823" s="27" t="s">
        <v>53</v>
      </c>
      <c r="C3823" s="27"/>
      <c r="D3823" s="27" t="s">
        <v>148</v>
      </c>
      <c r="E3823" s="27" t="s">
        <v>1681</v>
      </c>
      <c r="F3823" s="51">
        <v>361870</v>
      </c>
      <c r="G3823" s="27"/>
    </row>
    <row r="3824" spans="1:7">
      <c r="A3824" s="27">
        <v>998</v>
      </c>
      <c r="B3824" s="27" t="s">
        <v>53</v>
      </c>
      <c r="C3824" s="27"/>
      <c r="D3824" s="27" t="s">
        <v>296</v>
      </c>
      <c r="E3824" s="27" t="s">
        <v>1681</v>
      </c>
      <c r="F3824" s="51">
        <v>31149793</v>
      </c>
      <c r="G3824" s="27"/>
    </row>
    <row r="3825" spans="1:7">
      <c r="A3825" s="27">
        <v>998</v>
      </c>
      <c r="B3825" s="27" t="s">
        <v>53</v>
      </c>
      <c r="C3825" s="27"/>
      <c r="D3825" s="27" t="s">
        <v>57</v>
      </c>
      <c r="E3825" s="27" t="s">
        <v>1681</v>
      </c>
      <c r="F3825" s="51">
        <v>655266</v>
      </c>
      <c r="G3825" s="27"/>
    </row>
    <row r="3826" spans="1:7">
      <c r="A3826" s="27">
        <v>998</v>
      </c>
      <c r="B3826" s="27" t="s">
        <v>53</v>
      </c>
      <c r="C3826" s="27"/>
      <c r="D3826" s="27" t="s">
        <v>300</v>
      </c>
      <c r="E3826" s="27" t="s">
        <v>1681</v>
      </c>
      <c r="F3826" s="51">
        <v>132210</v>
      </c>
      <c r="G3826" s="27"/>
    </row>
  </sheetData>
  <autoFilter ref="A1:G3826"/>
  <pageMargins left="0.7" right="0.7" top="0.75" bottom="0.75" header="0.3" footer="0.3"/>
  <legacyDrawing r:id="rId1"/>
  <extLst>
    <ext xmlns:mx="http://schemas.microsoft.com/office/mac/excel/2008/main" uri="http://schemas.microsoft.com/office/mac/excel/2008/main">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82"/>
  <sheetViews>
    <sheetView topLeftCell="C1" workbookViewId="0">
      <selection activeCell="J16" sqref="J16"/>
    </sheetView>
  </sheetViews>
  <sheetFormatPr baseColWidth="10" defaultColWidth="8.83203125" defaultRowHeight="12"/>
  <cols>
    <col min="1" max="1" width="12.5" customWidth="1"/>
    <col min="2" max="2" width="23.5" bestFit="1" customWidth="1"/>
    <col min="3" max="3" width="21.6640625" style="3" bestFit="1" customWidth="1"/>
    <col min="4" max="4" width="16.5" style="3" customWidth="1"/>
    <col min="5" max="5" width="18.5" style="3" bestFit="1" customWidth="1"/>
    <col min="6" max="6" width="16.6640625" style="3" bestFit="1" customWidth="1"/>
    <col min="7" max="7" width="15.83203125" style="3" bestFit="1" customWidth="1"/>
    <col min="8" max="8" width="10.5" customWidth="1"/>
    <col min="9" max="9" width="12.5" customWidth="1"/>
    <col min="10" max="10" width="9.83203125" customWidth="1"/>
  </cols>
  <sheetData>
    <row r="1" spans="1:11">
      <c r="A1" t="s">
        <v>1674</v>
      </c>
    </row>
    <row r="3" spans="1:11" s="1" customFormat="1">
      <c r="A3" s="1" t="s">
        <v>1676</v>
      </c>
      <c r="B3" s="1" t="s">
        <v>1696</v>
      </c>
      <c r="C3" s="4" t="s">
        <v>1669</v>
      </c>
      <c r="D3" s="4" t="s">
        <v>1670</v>
      </c>
      <c r="E3" s="5" t="s">
        <v>1671</v>
      </c>
      <c r="F3" s="4" t="s">
        <v>1672</v>
      </c>
      <c r="G3" s="5" t="s">
        <v>1673</v>
      </c>
      <c r="H3" s="1" t="s">
        <v>1664</v>
      </c>
      <c r="I3" s="1" t="s">
        <v>1665</v>
      </c>
      <c r="J3" s="2" t="s">
        <v>1666</v>
      </c>
      <c r="K3" s="2" t="s">
        <v>1667</v>
      </c>
    </row>
    <row r="4" spans="1:11">
      <c r="A4">
        <v>1</v>
      </c>
      <c r="B4" t="s">
        <v>1697</v>
      </c>
      <c r="C4" s="3">
        <v>3165184</v>
      </c>
      <c r="D4" s="3">
        <v>1085745</v>
      </c>
      <c r="E4" s="3">
        <v>65112</v>
      </c>
      <c r="F4" s="3">
        <v>10179</v>
      </c>
      <c r="G4" s="3">
        <v>2004148</v>
      </c>
      <c r="H4">
        <v>63.3</v>
      </c>
      <c r="I4">
        <v>2.1</v>
      </c>
      <c r="J4">
        <v>34.299999999999997</v>
      </c>
      <c r="K4">
        <v>0.3</v>
      </c>
    </row>
    <row r="5" spans="1:11">
      <c r="A5">
        <v>2</v>
      </c>
      <c r="B5" t="s">
        <v>1698</v>
      </c>
      <c r="C5" s="3">
        <v>21950002</v>
      </c>
      <c r="D5" s="3">
        <v>12589024</v>
      </c>
      <c r="E5" s="3">
        <v>1050134</v>
      </c>
      <c r="F5" s="3">
        <v>63315</v>
      </c>
      <c r="G5" s="3">
        <v>8247529</v>
      </c>
      <c r="H5">
        <v>37.6</v>
      </c>
      <c r="I5">
        <v>4.8</v>
      </c>
      <c r="J5">
        <v>57.4</v>
      </c>
      <c r="K5">
        <v>0.3</v>
      </c>
    </row>
    <row r="6" spans="1:11">
      <c r="A6">
        <v>3</v>
      </c>
      <c r="B6" t="s">
        <v>1699</v>
      </c>
      <c r="C6" s="3">
        <v>5283291</v>
      </c>
      <c r="D6" s="3">
        <v>2575765</v>
      </c>
      <c r="E6" s="3">
        <v>198305</v>
      </c>
      <c r="F6" s="3">
        <v>9717</v>
      </c>
      <c r="G6" s="3">
        <v>2499504</v>
      </c>
      <c r="H6">
        <v>47.3</v>
      </c>
      <c r="I6">
        <v>3.8</v>
      </c>
      <c r="J6">
        <v>48.8</v>
      </c>
      <c r="K6">
        <v>0.2</v>
      </c>
    </row>
    <row r="7" spans="1:11">
      <c r="A7">
        <v>4</v>
      </c>
      <c r="B7" t="s">
        <v>1700</v>
      </c>
      <c r="C7" s="3">
        <v>30115177</v>
      </c>
      <c r="D7" s="3">
        <v>965282</v>
      </c>
      <c r="E7" s="3">
        <v>399944</v>
      </c>
      <c r="F7" s="3">
        <v>131279</v>
      </c>
      <c r="G7" s="3">
        <v>28618672</v>
      </c>
      <c r="H7">
        <v>95</v>
      </c>
      <c r="I7">
        <v>1.3</v>
      </c>
      <c r="J7">
        <v>3.2</v>
      </c>
      <c r="K7">
        <v>0.4</v>
      </c>
    </row>
    <row r="8" spans="1:11">
      <c r="A8">
        <v>5</v>
      </c>
      <c r="B8" t="s">
        <v>1701</v>
      </c>
      <c r="C8" s="3">
        <v>3147772</v>
      </c>
      <c r="D8" s="3">
        <v>744944</v>
      </c>
      <c r="E8" s="3">
        <v>179849</v>
      </c>
      <c r="F8" s="3">
        <v>450</v>
      </c>
      <c r="G8" s="3">
        <v>2222529</v>
      </c>
      <c r="H8">
        <v>70.599999999999994</v>
      </c>
      <c r="I8">
        <v>5.7</v>
      </c>
      <c r="J8">
        <v>23.7</v>
      </c>
      <c r="K8">
        <v>0</v>
      </c>
    </row>
    <row r="9" spans="1:11">
      <c r="A9">
        <v>7</v>
      </c>
      <c r="B9" t="s">
        <v>1702</v>
      </c>
      <c r="C9" s="3">
        <v>30388846</v>
      </c>
      <c r="D9" s="3">
        <v>4506324</v>
      </c>
      <c r="E9" s="3">
        <v>625336</v>
      </c>
      <c r="F9" s="3">
        <v>13252</v>
      </c>
      <c r="G9" s="3">
        <v>25243934</v>
      </c>
      <c r="H9">
        <v>83.1</v>
      </c>
      <c r="I9">
        <v>2.1</v>
      </c>
      <c r="J9">
        <v>14.8</v>
      </c>
      <c r="K9">
        <v>0</v>
      </c>
    </row>
    <row r="10" spans="1:11">
      <c r="A10">
        <v>8</v>
      </c>
      <c r="B10" t="s">
        <v>1703</v>
      </c>
      <c r="C10" s="3">
        <v>4805718</v>
      </c>
      <c r="D10" s="3">
        <v>998730</v>
      </c>
      <c r="E10" s="3">
        <v>177035</v>
      </c>
      <c r="F10" s="3">
        <v>22200</v>
      </c>
      <c r="G10" s="3">
        <v>3607753</v>
      </c>
      <c r="H10">
        <v>75.099999999999994</v>
      </c>
      <c r="I10">
        <v>3.7</v>
      </c>
      <c r="J10">
        <v>20.8</v>
      </c>
      <c r="K10">
        <v>0.5</v>
      </c>
    </row>
    <row r="11" spans="1:11">
      <c r="A11">
        <v>9</v>
      </c>
      <c r="B11" t="s">
        <v>1704</v>
      </c>
      <c r="C11" s="3">
        <v>32488956</v>
      </c>
      <c r="D11" s="3">
        <v>7794675</v>
      </c>
      <c r="E11" s="3">
        <v>632099</v>
      </c>
      <c r="F11" s="3">
        <v>0</v>
      </c>
      <c r="G11" s="3">
        <v>24062182</v>
      </c>
      <c r="H11">
        <v>74.099999999999994</v>
      </c>
      <c r="I11">
        <v>1.9</v>
      </c>
      <c r="J11">
        <v>24</v>
      </c>
      <c r="K11">
        <v>0</v>
      </c>
    </row>
    <row r="12" spans="1:11">
      <c r="A12">
        <v>11</v>
      </c>
      <c r="B12" t="s">
        <v>1705</v>
      </c>
      <c r="C12" s="3">
        <v>31008515</v>
      </c>
      <c r="D12" s="3">
        <v>3958264</v>
      </c>
      <c r="E12" s="3">
        <v>812305</v>
      </c>
      <c r="F12" s="3">
        <v>258381</v>
      </c>
      <c r="G12" s="3">
        <v>25979565</v>
      </c>
      <c r="H12">
        <v>83.8</v>
      </c>
      <c r="I12">
        <v>2.6</v>
      </c>
      <c r="J12">
        <v>12.8</v>
      </c>
      <c r="K12">
        <v>0.8</v>
      </c>
    </row>
    <row r="13" spans="1:11">
      <c r="A13">
        <v>12</v>
      </c>
      <c r="B13" t="s">
        <v>1706</v>
      </c>
      <c r="C13" s="3">
        <v>10179970</v>
      </c>
      <c r="D13" s="3">
        <v>2836937</v>
      </c>
      <c r="E13" s="3">
        <v>191337</v>
      </c>
      <c r="F13" s="3">
        <v>28682</v>
      </c>
      <c r="G13" s="3">
        <v>7123014</v>
      </c>
      <c r="H13">
        <v>70</v>
      </c>
      <c r="I13">
        <v>1.9</v>
      </c>
      <c r="J13">
        <v>27.9</v>
      </c>
      <c r="K13">
        <v>0.3</v>
      </c>
    </row>
    <row r="14" spans="1:11">
      <c r="A14">
        <v>13</v>
      </c>
      <c r="B14" t="s">
        <v>1707</v>
      </c>
      <c r="C14" s="3">
        <v>3956170</v>
      </c>
      <c r="D14" s="3">
        <v>1192391</v>
      </c>
      <c r="E14" s="3">
        <v>136735</v>
      </c>
      <c r="F14" s="3">
        <v>5615</v>
      </c>
      <c r="G14" s="3">
        <v>2621429</v>
      </c>
      <c r="H14">
        <v>66.3</v>
      </c>
      <c r="I14">
        <v>3.5</v>
      </c>
      <c r="J14">
        <v>30.1</v>
      </c>
      <c r="K14">
        <v>0.1</v>
      </c>
    </row>
    <row r="15" spans="1:11">
      <c r="A15">
        <v>14</v>
      </c>
      <c r="B15" t="s">
        <v>1708</v>
      </c>
      <c r="C15" s="3">
        <v>36830531</v>
      </c>
      <c r="D15" s="3">
        <v>1968773</v>
      </c>
      <c r="E15" s="3">
        <v>915898</v>
      </c>
      <c r="F15" s="3">
        <v>0</v>
      </c>
      <c r="G15" s="3">
        <v>33945860</v>
      </c>
      <c r="H15">
        <v>92.2</v>
      </c>
      <c r="I15">
        <v>2.5</v>
      </c>
      <c r="J15">
        <v>5.3</v>
      </c>
      <c r="K15">
        <v>0</v>
      </c>
    </row>
    <row r="16" spans="1:11">
      <c r="A16">
        <v>15</v>
      </c>
      <c r="B16" t="s">
        <v>1709</v>
      </c>
      <c r="C16" s="3">
        <v>234394492</v>
      </c>
      <c r="D16" s="3">
        <v>156453102</v>
      </c>
      <c r="E16" s="3">
        <v>24851527</v>
      </c>
      <c r="F16" s="3">
        <v>1468571</v>
      </c>
      <c r="G16" s="3">
        <v>51621292</v>
      </c>
      <c r="H16">
        <v>22</v>
      </c>
      <c r="I16">
        <v>10.6</v>
      </c>
      <c r="J16">
        <v>66.7</v>
      </c>
      <c r="K16">
        <v>0.6</v>
      </c>
    </row>
    <row r="17" spans="1:11">
      <c r="A17">
        <v>17</v>
      </c>
      <c r="B17" t="s">
        <v>1710</v>
      </c>
      <c r="C17" s="3">
        <v>78734240</v>
      </c>
      <c r="D17" s="3">
        <v>37338484</v>
      </c>
      <c r="E17" s="3">
        <v>2411579</v>
      </c>
      <c r="F17" s="3">
        <v>300568</v>
      </c>
      <c r="G17" s="3">
        <v>38683609</v>
      </c>
      <c r="H17">
        <v>49.1</v>
      </c>
      <c r="I17">
        <v>3.1</v>
      </c>
      <c r="J17">
        <v>47.4</v>
      </c>
      <c r="K17">
        <v>0.4</v>
      </c>
    </row>
    <row r="18" spans="1:11">
      <c r="A18">
        <v>18</v>
      </c>
      <c r="B18" t="s">
        <v>1711</v>
      </c>
      <c r="C18" s="3">
        <v>28245515</v>
      </c>
      <c r="D18" s="3">
        <v>1389601</v>
      </c>
      <c r="E18" s="3">
        <v>505503</v>
      </c>
      <c r="F18" s="3">
        <v>67493</v>
      </c>
      <c r="G18" s="3">
        <v>26282918</v>
      </c>
      <c r="H18">
        <v>93.1</v>
      </c>
      <c r="I18">
        <v>1.8</v>
      </c>
      <c r="J18">
        <v>4.9000000000000004</v>
      </c>
      <c r="K18">
        <v>0.2</v>
      </c>
    </row>
    <row r="19" spans="1:11">
      <c r="A19">
        <v>19</v>
      </c>
      <c r="B19" t="s">
        <v>1712</v>
      </c>
      <c r="C19" s="3">
        <v>12417363</v>
      </c>
      <c r="D19" s="3">
        <v>6413910</v>
      </c>
      <c r="E19" s="3">
        <v>480035</v>
      </c>
      <c r="F19" s="3">
        <v>15882</v>
      </c>
      <c r="G19" s="3">
        <v>5507536</v>
      </c>
      <c r="H19">
        <v>44.4</v>
      </c>
      <c r="I19">
        <v>3.9</v>
      </c>
      <c r="J19">
        <v>51.7</v>
      </c>
      <c r="K19">
        <v>0.1</v>
      </c>
    </row>
    <row r="20" spans="1:11">
      <c r="A20">
        <v>21</v>
      </c>
      <c r="B20" t="s">
        <v>1713</v>
      </c>
      <c r="C20" s="3">
        <v>1757543</v>
      </c>
      <c r="D20" s="3">
        <v>259581</v>
      </c>
      <c r="E20" s="3">
        <v>142729</v>
      </c>
      <c r="F20" s="3">
        <v>1927</v>
      </c>
      <c r="G20" s="3">
        <v>1353306</v>
      </c>
      <c r="H20">
        <v>77</v>
      </c>
      <c r="I20">
        <v>8.1</v>
      </c>
      <c r="J20">
        <v>14.8</v>
      </c>
      <c r="K20">
        <v>0.1</v>
      </c>
    </row>
    <row r="21" spans="1:11">
      <c r="A21">
        <v>22</v>
      </c>
      <c r="B21" t="s">
        <v>1714</v>
      </c>
      <c r="C21" s="3">
        <v>9161401</v>
      </c>
      <c r="D21" s="3">
        <v>4552015</v>
      </c>
      <c r="E21" s="3">
        <v>242357</v>
      </c>
      <c r="F21" s="3">
        <v>16150</v>
      </c>
      <c r="G21" s="3">
        <v>4350879</v>
      </c>
      <c r="H21">
        <v>47.5</v>
      </c>
      <c r="I21">
        <v>2.6</v>
      </c>
      <c r="J21">
        <v>49.7</v>
      </c>
      <c r="K21">
        <v>0.2</v>
      </c>
    </row>
    <row r="22" spans="1:11">
      <c r="A22">
        <v>23</v>
      </c>
      <c r="B22" t="s">
        <v>1715</v>
      </c>
      <c r="C22" s="3">
        <v>15559124</v>
      </c>
      <c r="D22" s="3">
        <v>2767704</v>
      </c>
      <c r="E22" s="3">
        <v>367384</v>
      </c>
      <c r="F22" s="3">
        <v>90543</v>
      </c>
      <c r="G22" s="3">
        <v>12333493</v>
      </c>
      <c r="H22">
        <v>79.3</v>
      </c>
      <c r="I22">
        <v>2.4</v>
      </c>
      <c r="J22">
        <v>17.8</v>
      </c>
      <c r="K22">
        <v>0.6</v>
      </c>
    </row>
    <row r="23" spans="1:11">
      <c r="A23">
        <v>24</v>
      </c>
      <c r="B23" t="s">
        <v>1716</v>
      </c>
      <c r="C23" s="3">
        <v>2510771</v>
      </c>
      <c r="D23" s="3">
        <v>1157320</v>
      </c>
      <c r="E23" s="3">
        <v>51229</v>
      </c>
      <c r="F23" s="3">
        <v>0</v>
      </c>
      <c r="G23" s="3">
        <v>1302222</v>
      </c>
      <c r="H23">
        <v>51.9</v>
      </c>
      <c r="I23">
        <v>2</v>
      </c>
      <c r="J23">
        <v>46.1</v>
      </c>
      <c r="K23">
        <v>0</v>
      </c>
    </row>
    <row r="24" spans="1:11">
      <c r="A24">
        <v>25</v>
      </c>
      <c r="B24" t="s">
        <v>1717</v>
      </c>
      <c r="C24" s="3">
        <v>48210289</v>
      </c>
      <c r="D24" s="3">
        <v>7954568</v>
      </c>
      <c r="E24" s="3">
        <v>667382</v>
      </c>
      <c r="F24" s="3">
        <v>408749</v>
      </c>
      <c r="G24" s="3">
        <v>39179590</v>
      </c>
      <c r="H24">
        <v>81.3</v>
      </c>
      <c r="I24">
        <v>1.4</v>
      </c>
      <c r="J24">
        <v>16.5</v>
      </c>
      <c r="K24">
        <v>0.8</v>
      </c>
    </row>
    <row r="25" spans="1:11">
      <c r="A25">
        <v>26</v>
      </c>
      <c r="B25" t="s">
        <v>1718</v>
      </c>
      <c r="C25" s="3">
        <v>3154566</v>
      </c>
      <c r="D25" s="3">
        <v>454854</v>
      </c>
      <c r="E25" s="3">
        <v>19823</v>
      </c>
      <c r="F25" s="3">
        <v>0</v>
      </c>
      <c r="G25" s="3">
        <v>2679889</v>
      </c>
      <c r="H25">
        <v>85</v>
      </c>
      <c r="I25">
        <v>0.6</v>
      </c>
      <c r="J25">
        <v>14.4</v>
      </c>
      <c r="K25">
        <v>0</v>
      </c>
    </row>
    <row r="26" spans="1:11">
      <c r="A26">
        <v>27</v>
      </c>
      <c r="B26" t="s">
        <v>1719</v>
      </c>
      <c r="C26" s="3">
        <v>22764922</v>
      </c>
      <c r="D26" s="3">
        <v>6148045</v>
      </c>
      <c r="E26" s="3">
        <v>559680</v>
      </c>
      <c r="F26" s="3">
        <v>0</v>
      </c>
      <c r="G26" s="3">
        <v>16057197</v>
      </c>
      <c r="H26">
        <v>70.5</v>
      </c>
      <c r="I26">
        <v>2.5</v>
      </c>
      <c r="J26">
        <v>27</v>
      </c>
      <c r="K26">
        <v>0</v>
      </c>
    </row>
    <row r="27" spans="1:11">
      <c r="A27">
        <v>28</v>
      </c>
      <c r="B27" t="s">
        <v>1720</v>
      </c>
      <c r="C27" s="3">
        <v>26835519</v>
      </c>
      <c r="D27" s="3">
        <v>11627677</v>
      </c>
      <c r="E27" s="3">
        <v>631794</v>
      </c>
      <c r="F27" s="3">
        <v>56109</v>
      </c>
      <c r="G27" s="3">
        <v>14519939</v>
      </c>
      <c r="H27">
        <v>54.1</v>
      </c>
      <c r="I27">
        <v>2.4</v>
      </c>
      <c r="J27">
        <v>43.3</v>
      </c>
      <c r="K27">
        <v>0.2</v>
      </c>
    </row>
    <row r="28" spans="1:11">
      <c r="A28">
        <v>29</v>
      </c>
      <c r="B28" t="s">
        <v>1721</v>
      </c>
      <c r="C28" s="3">
        <v>1344078</v>
      </c>
      <c r="D28" s="3">
        <v>193270</v>
      </c>
      <c r="E28" s="3">
        <v>40922</v>
      </c>
      <c r="F28" s="3">
        <v>0</v>
      </c>
      <c r="G28" s="3">
        <v>1109886</v>
      </c>
      <c r="H28">
        <v>82.6</v>
      </c>
      <c r="I28">
        <v>3</v>
      </c>
      <c r="J28">
        <v>14.4</v>
      </c>
      <c r="K28">
        <v>0</v>
      </c>
    </row>
    <row r="29" spans="1:11">
      <c r="A29">
        <v>30</v>
      </c>
      <c r="B29" t="s">
        <v>1722</v>
      </c>
      <c r="C29" s="3">
        <v>8227090</v>
      </c>
      <c r="D29" s="3">
        <v>2282326</v>
      </c>
      <c r="E29" s="3">
        <v>142087</v>
      </c>
      <c r="F29" s="3">
        <v>37339</v>
      </c>
      <c r="G29" s="3">
        <v>5765338</v>
      </c>
      <c r="H29">
        <v>70.099999999999994</v>
      </c>
      <c r="I29">
        <v>1.7</v>
      </c>
      <c r="J29">
        <v>27.7</v>
      </c>
      <c r="K29">
        <v>0.5</v>
      </c>
    </row>
    <row r="30" spans="1:11">
      <c r="A30">
        <v>31</v>
      </c>
      <c r="B30" t="s">
        <v>1723</v>
      </c>
      <c r="C30" s="3">
        <v>2273680</v>
      </c>
      <c r="D30" s="3">
        <v>54336</v>
      </c>
      <c r="E30" s="3">
        <v>76351</v>
      </c>
      <c r="F30" s="3">
        <v>4411</v>
      </c>
      <c r="G30" s="3">
        <v>2138582</v>
      </c>
      <c r="H30">
        <v>94.1</v>
      </c>
      <c r="I30">
        <v>3.4</v>
      </c>
      <c r="J30">
        <v>2.4</v>
      </c>
      <c r="K30">
        <v>0.2</v>
      </c>
    </row>
    <row r="31" spans="1:11">
      <c r="A31">
        <v>32</v>
      </c>
      <c r="B31" t="s">
        <v>1724</v>
      </c>
      <c r="C31" s="3">
        <v>17856323</v>
      </c>
      <c r="D31" s="3">
        <v>8053985</v>
      </c>
      <c r="E31" s="3">
        <v>307599</v>
      </c>
      <c r="F31" s="3">
        <v>39637</v>
      </c>
      <c r="G31" s="3">
        <v>9455102</v>
      </c>
      <c r="H31">
        <v>53</v>
      </c>
      <c r="I31">
        <v>1.7</v>
      </c>
      <c r="J31">
        <v>45.1</v>
      </c>
      <c r="K31">
        <v>0.2</v>
      </c>
    </row>
    <row r="32" spans="1:11">
      <c r="A32">
        <v>33</v>
      </c>
      <c r="B32" t="s">
        <v>1725</v>
      </c>
      <c r="C32" s="3">
        <v>18775905</v>
      </c>
      <c r="D32" s="3">
        <v>3608358</v>
      </c>
      <c r="E32" s="3">
        <v>509898</v>
      </c>
      <c r="F32" s="3">
        <v>12926</v>
      </c>
      <c r="G32" s="3">
        <v>14644723</v>
      </c>
      <c r="H32">
        <v>78</v>
      </c>
      <c r="I32">
        <v>2.7</v>
      </c>
      <c r="J32">
        <v>19.2</v>
      </c>
      <c r="K32">
        <v>0.1</v>
      </c>
    </row>
    <row r="33" spans="1:11">
      <c r="A33">
        <v>34</v>
      </c>
      <c r="B33" t="s">
        <v>1726</v>
      </c>
      <c r="C33" s="3">
        <v>90816780</v>
      </c>
      <c r="D33" s="3">
        <v>19821493</v>
      </c>
      <c r="E33" s="3">
        <v>4848111</v>
      </c>
      <c r="F33" s="3">
        <v>483612</v>
      </c>
      <c r="G33" s="3">
        <v>65663564</v>
      </c>
      <c r="H33">
        <v>72.3</v>
      </c>
      <c r="I33">
        <v>5.3</v>
      </c>
      <c r="J33">
        <v>21.8</v>
      </c>
      <c r="K33">
        <v>0.5</v>
      </c>
    </row>
    <row r="34" spans="1:11">
      <c r="A34">
        <v>35</v>
      </c>
      <c r="B34" t="s">
        <v>1727</v>
      </c>
      <c r="C34" s="3">
        <v>46833132</v>
      </c>
      <c r="D34" s="3">
        <v>1833503</v>
      </c>
      <c r="E34" s="3">
        <v>411618</v>
      </c>
      <c r="F34" s="3">
        <v>0</v>
      </c>
      <c r="G34" s="3">
        <v>44588011</v>
      </c>
      <c r="H34">
        <v>95.2</v>
      </c>
      <c r="I34">
        <v>0.9</v>
      </c>
      <c r="J34">
        <v>3.9</v>
      </c>
      <c r="K34">
        <v>0</v>
      </c>
    </row>
    <row r="35" spans="1:11">
      <c r="A35">
        <v>36</v>
      </c>
      <c r="B35" t="s">
        <v>1728</v>
      </c>
      <c r="C35" s="3">
        <v>3838067</v>
      </c>
      <c r="D35" s="3">
        <v>992093</v>
      </c>
      <c r="E35" s="3">
        <v>36122</v>
      </c>
      <c r="F35" s="3">
        <v>0</v>
      </c>
      <c r="G35" s="3">
        <v>2809852</v>
      </c>
      <c r="H35">
        <v>73.2</v>
      </c>
      <c r="I35">
        <v>0.9</v>
      </c>
      <c r="J35">
        <v>25.8</v>
      </c>
      <c r="K35">
        <v>0</v>
      </c>
    </row>
    <row r="36" spans="1:11">
      <c r="A36">
        <v>37</v>
      </c>
      <c r="B36" t="s">
        <v>1729</v>
      </c>
      <c r="C36" s="3">
        <v>14988386</v>
      </c>
      <c r="D36" s="3">
        <v>6285082</v>
      </c>
      <c r="E36" s="3">
        <v>772960</v>
      </c>
      <c r="F36" s="3">
        <v>2580</v>
      </c>
      <c r="G36" s="3">
        <v>7927764</v>
      </c>
      <c r="H36">
        <v>52.9</v>
      </c>
      <c r="I36">
        <v>5.2</v>
      </c>
      <c r="J36">
        <v>41.9</v>
      </c>
      <c r="K36">
        <v>0</v>
      </c>
    </row>
    <row r="37" spans="1:11">
      <c r="A37">
        <v>39</v>
      </c>
      <c r="B37" t="s">
        <v>1730</v>
      </c>
      <c r="C37" s="3">
        <v>3041444</v>
      </c>
      <c r="D37" s="3">
        <v>1005375</v>
      </c>
      <c r="E37" s="3">
        <v>119222</v>
      </c>
      <c r="F37" s="3">
        <v>6540</v>
      </c>
      <c r="G37" s="3">
        <v>1910307</v>
      </c>
      <c r="H37">
        <v>62.8</v>
      </c>
      <c r="I37">
        <v>3.9</v>
      </c>
      <c r="J37">
        <v>33.1</v>
      </c>
      <c r="K37">
        <v>0.2</v>
      </c>
    </row>
    <row r="38" spans="1:11">
      <c r="A38">
        <v>40</v>
      </c>
      <c r="B38" t="s">
        <v>1731</v>
      </c>
      <c r="C38" s="3">
        <v>9169236</v>
      </c>
      <c r="D38" s="3">
        <v>780845</v>
      </c>
      <c r="E38" s="3">
        <v>108549</v>
      </c>
      <c r="F38" s="3">
        <v>39168</v>
      </c>
      <c r="G38" s="3">
        <v>8240674</v>
      </c>
      <c r="H38">
        <v>89.9</v>
      </c>
      <c r="I38">
        <v>1.2</v>
      </c>
      <c r="J38">
        <v>8.5</v>
      </c>
      <c r="K38">
        <v>0.4</v>
      </c>
    </row>
    <row r="39" spans="1:11">
      <c r="A39">
        <v>41</v>
      </c>
      <c r="B39" t="s">
        <v>1732</v>
      </c>
      <c r="C39" s="3">
        <v>14538608</v>
      </c>
      <c r="D39" s="3">
        <v>3383138</v>
      </c>
      <c r="E39" s="3">
        <v>428815</v>
      </c>
      <c r="F39" s="3">
        <v>774056</v>
      </c>
      <c r="G39" s="3">
        <v>9952599</v>
      </c>
      <c r="H39">
        <v>68.5</v>
      </c>
      <c r="I39">
        <v>2.9</v>
      </c>
      <c r="J39">
        <v>23.3</v>
      </c>
      <c r="K39">
        <v>5.3</v>
      </c>
    </row>
    <row r="40" spans="1:11">
      <c r="A40">
        <v>42</v>
      </c>
      <c r="B40" t="s">
        <v>1733</v>
      </c>
      <c r="C40" s="3">
        <v>18893635</v>
      </c>
      <c r="D40" s="3">
        <v>6494939</v>
      </c>
      <c r="E40" s="3">
        <v>356105</v>
      </c>
      <c r="F40" s="3">
        <v>2802</v>
      </c>
      <c r="G40" s="3">
        <v>12039789</v>
      </c>
      <c r="H40">
        <v>63.7</v>
      </c>
      <c r="I40">
        <v>1.9</v>
      </c>
      <c r="J40">
        <v>34.4</v>
      </c>
      <c r="K40">
        <v>0</v>
      </c>
    </row>
    <row r="41" spans="1:11">
      <c r="A41">
        <v>43</v>
      </c>
      <c r="B41" t="s">
        <v>1734</v>
      </c>
      <c r="C41" s="3">
        <v>77487470</v>
      </c>
      <c r="D41" s="3">
        <v>36137262</v>
      </c>
      <c r="E41" s="3">
        <v>4611979</v>
      </c>
      <c r="F41" s="3">
        <v>1588012</v>
      </c>
      <c r="G41" s="3">
        <v>35150217</v>
      </c>
      <c r="H41">
        <v>45.4</v>
      </c>
      <c r="I41">
        <v>6</v>
      </c>
      <c r="J41">
        <v>46.6</v>
      </c>
      <c r="K41">
        <v>2</v>
      </c>
    </row>
    <row r="42" spans="1:11">
      <c r="A42">
        <v>44</v>
      </c>
      <c r="B42" t="s">
        <v>1735</v>
      </c>
      <c r="C42" s="3">
        <v>37616720</v>
      </c>
      <c r="D42" s="3">
        <v>17574599</v>
      </c>
      <c r="E42" s="3">
        <v>771174</v>
      </c>
      <c r="F42" s="3">
        <v>1010133</v>
      </c>
      <c r="G42" s="3">
        <v>18260814</v>
      </c>
      <c r="H42">
        <v>48.5</v>
      </c>
      <c r="I42">
        <v>2.1</v>
      </c>
      <c r="J42">
        <v>46.7</v>
      </c>
      <c r="K42">
        <v>2.7</v>
      </c>
    </row>
    <row r="43" spans="1:11">
      <c r="A43">
        <v>45</v>
      </c>
      <c r="B43" t="s">
        <v>1736</v>
      </c>
      <c r="C43" s="3">
        <v>29580126</v>
      </c>
      <c r="D43" s="3">
        <v>7022391</v>
      </c>
      <c r="E43" s="3">
        <v>591298</v>
      </c>
      <c r="F43" s="3">
        <v>1602839</v>
      </c>
      <c r="G43" s="3">
        <v>20363598</v>
      </c>
      <c r="H43">
        <v>68.8</v>
      </c>
      <c r="I43">
        <v>2</v>
      </c>
      <c r="J43">
        <v>23.7</v>
      </c>
      <c r="K43">
        <v>5.4</v>
      </c>
    </row>
    <row r="44" spans="1:11">
      <c r="A44">
        <v>46</v>
      </c>
      <c r="B44" t="s">
        <v>1737</v>
      </c>
      <c r="C44" s="3">
        <v>10873285</v>
      </c>
      <c r="D44" s="3">
        <v>274510</v>
      </c>
      <c r="E44" s="3">
        <v>110693</v>
      </c>
      <c r="F44" s="3">
        <v>2047</v>
      </c>
      <c r="G44" s="3">
        <v>10486035</v>
      </c>
      <c r="H44">
        <v>96.4</v>
      </c>
      <c r="I44">
        <v>1</v>
      </c>
      <c r="J44">
        <v>2.5</v>
      </c>
      <c r="K44">
        <v>0</v>
      </c>
    </row>
    <row r="45" spans="1:11">
      <c r="A45">
        <v>47</v>
      </c>
      <c r="B45" t="s">
        <v>1738</v>
      </c>
      <c r="C45" s="3">
        <v>14388226</v>
      </c>
      <c r="D45" s="3">
        <v>4871319</v>
      </c>
      <c r="E45" s="3">
        <v>332803</v>
      </c>
      <c r="F45" s="3">
        <v>25078</v>
      </c>
      <c r="G45" s="3">
        <v>9159026</v>
      </c>
      <c r="H45">
        <v>63.7</v>
      </c>
      <c r="I45">
        <v>2.2999999999999998</v>
      </c>
      <c r="J45">
        <v>33.9</v>
      </c>
      <c r="K45">
        <v>0.2</v>
      </c>
    </row>
    <row r="46" spans="1:11">
      <c r="A46">
        <v>48</v>
      </c>
      <c r="B46" t="s">
        <v>1739</v>
      </c>
      <c r="C46" s="3">
        <v>21416560</v>
      </c>
      <c r="D46" s="3">
        <v>8181013</v>
      </c>
      <c r="E46" s="3">
        <v>425196</v>
      </c>
      <c r="F46" s="3">
        <v>16385</v>
      </c>
      <c r="G46" s="3">
        <v>12793966</v>
      </c>
      <c r="H46">
        <v>59.7</v>
      </c>
      <c r="I46">
        <v>2</v>
      </c>
      <c r="J46">
        <v>38.200000000000003</v>
      </c>
      <c r="K46">
        <v>0.1</v>
      </c>
    </row>
    <row r="47" spans="1:11">
      <c r="A47">
        <v>49</v>
      </c>
      <c r="B47" t="s">
        <v>1740</v>
      </c>
      <c r="C47" s="3">
        <v>64545707</v>
      </c>
      <c r="D47" s="3">
        <v>24503274</v>
      </c>
      <c r="E47" s="3">
        <v>2235721</v>
      </c>
      <c r="F47" s="3">
        <v>46591</v>
      </c>
      <c r="G47" s="3">
        <v>37760121</v>
      </c>
      <c r="H47">
        <v>58.5</v>
      </c>
      <c r="I47">
        <v>3.5</v>
      </c>
      <c r="J47">
        <v>38</v>
      </c>
      <c r="K47">
        <v>0.1</v>
      </c>
    </row>
    <row r="48" spans="1:11">
      <c r="A48">
        <v>50</v>
      </c>
      <c r="B48" t="s">
        <v>1741</v>
      </c>
      <c r="C48" s="3">
        <v>5455459</v>
      </c>
      <c r="D48" s="3">
        <v>258925</v>
      </c>
      <c r="E48" s="3">
        <v>61382</v>
      </c>
      <c r="F48" s="3">
        <v>0</v>
      </c>
      <c r="G48" s="3">
        <v>5135152</v>
      </c>
      <c r="H48">
        <v>94.1</v>
      </c>
      <c r="I48">
        <v>1.1000000000000001</v>
      </c>
      <c r="J48">
        <v>4.7</v>
      </c>
      <c r="K48">
        <v>0</v>
      </c>
    </row>
    <row r="49" spans="1:11">
      <c r="A49">
        <v>51</v>
      </c>
      <c r="B49" t="s">
        <v>1742</v>
      </c>
      <c r="C49" s="3">
        <v>98993204</v>
      </c>
      <c r="D49" s="3">
        <v>3198302</v>
      </c>
      <c r="E49" s="3">
        <v>1799928</v>
      </c>
      <c r="F49" s="3">
        <v>228532</v>
      </c>
      <c r="G49" s="3">
        <v>93766442</v>
      </c>
      <c r="H49">
        <v>94.7</v>
      </c>
      <c r="I49">
        <v>1.8</v>
      </c>
      <c r="J49">
        <v>3.2</v>
      </c>
      <c r="K49">
        <v>0.2</v>
      </c>
    </row>
    <row r="50" spans="1:11">
      <c r="A50">
        <v>52</v>
      </c>
      <c r="B50" t="s">
        <v>1743</v>
      </c>
      <c r="C50" s="3">
        <v>40179919</v>
      </c>
      <c r="D50" s="3">
        <v>1469049</v>
      </c>
      <c r="E50" s="3">
        <v>532968</v>
      </c>
      <c r="F50" s="3">
        <v>298567</v>
      </c>
      <c r="G50" s="3">
        <v>37879335</v>
      </c>
      <c r="H50">
        <v>94.3</v>
      </c>
      <c r="I50">
        <v>1.3</v>
      </c>
      <c r="J50">
        <v>3.7</v>
      </c>
      <c r="K50">
        <v>0.7</v>
      </c>
    </row>
    <row r="51" spans="1:11">
      <c r="A51">
        <v>53</v>
      </c>
      <c r="B51" t="s">
        <v>1744</v>
      </c>
      <c r="C51" s="3">
        <v>3380462</v>
      </c>
      <c r="D51" s="3">
        <v>779148</v>
      </c>
      <c r="E51" s="3">
        <v>65358</v>
      </c>
      <c r="F51" s="3">
        <v>1425</v>
      </c>
      <c r="G51" s="3">
        <v>2534531</v>
      </c>
      <c r="H51">
        <v>75</v>
      </c>
      <c r="I51">
        <v>1.9</v>
      </c>
      <c r="J51">
        <v>23</v>
      </c>
      <c r="K51">
        <v>0</v>
      </c>
    </row>
    <row r="52" spans="1:11">
      <c r="A52">
        <v>54</v>
      </c>
      <c r="B52" t="s">
        <v>1745</v>
      </c>
      <c r="C52" s="3">
        <v>58583140</v>
      </c>
      <c r="D52" s="3">
        <v>5031966</v>
      </c>
      <c r="E52" s="3">
        <v>851686</v>
      </c>
      <c r="F52" s="3">
        <v>318916</v>
      </c>
      <c r="G52" s="3">
        <v>52380572</v>
      </c>
      <c r="H52">
        <v>89.4</v>
      </c>
      <c r="I52">
        <v>1.5</v>
      </c>
      <c r="J52">
        <v>8.6</v>
      </c>
      <c r="K52">
        <v>0.5</v>
      </c>
    </row>
    <row r="53" spans="1:11">
      <c r="A53">
        <v>56</v>
      </c>
      <c r="B53" t="s">
        <v>1746</v>
      </c>
      <c r="C53" s="3">
        <v>19663319</v>
      </c>
      <c r="D53" s="3">
        <v>4093435</v>
      </c>
      <c r="E53" s="3">
        <v>270646</v>
      </c>
      <c r="F53" s="3">
        <v>133528</v>
      </c>
      <c r="G53" s="3">
        <v>15165710</v>
      </c>
      <c r="H53">
        <v>77.099999999999994</v>
      </c>
      <c r="I53">
        <v>1.4</v>
      </c>
      <c r="J53">
        <v>20.8</v>
      </c>
      <c r="K53">
        <v>0.7</v>
      </c>
    </row>
    <row r="54" spans="1:11">
      <c r="A54">
        <v>57</v>
      </c>
      <c r="B54" t="s">
        <v>1747</v>
      </c>
      <c r="C54" s="3">
        <v>121971071</v>
      </c>
      <c r="D54" s="3">
        <v>3387927</v>
      </c>
      <c r="E54" s="3">
        <v>2133651</v>
      </c>
      <c r="F54" s="3">
        <v>436846</v>
      </c>
      <c r="G54" s="3">
        <v>116012647</v>
      </c>
      <c r="H54">
        <v>95.1</v>
      </c>
      <c r="I54">
        <v>1.7</v>
      </c>
      <c r="J54">
        <v>2.8</v>
      </c>
      <c r="K54">
        <v>0.4</v>
      </c>
    </row>
    <row r="55" spans="1:11">
      <c r="A55">
        <v>58</v>
      </c>
      <c r="B55" t="s">
        <v>1748</v>
      </c>
      <c r="C55" s="3">
        <v>20020612</v>
      </c>
      <c r="D55" s="3">
        <v>9940318</v>
      </c>
      <c r="E55" s="3">
        <v>623978</v>
      </c>
      <c r="F55" s="3">
        <v>1631781</v>
      </c>
      <c r="G55" s="3">
        <v>7824535</v>
      </c>
      <c r="H55">
        <v>39.1</v>
      </c>
      <c r="I55">
        <v>3.1</v>
      </c>
      <c r="J55">
        <v>49.7</v>
      </c>
      <c r="K55">
        <v>8.1999999999999993</v>
      </c>
    </row>
    <row r="56" spans="1:11">
      <c r="A56">
        <v>59</v>
      </c>
      <c r="B56" t="s">
        <v>1749</v>
      </c>
      <c r="C56" s="3">
        <v>63474951</v>
      </c>
      <c r="D56" s="3">
        <v>23824103</v>
      </c>
      <c r="E56" s="3">
        <v>1905002</v>
      </c>
      <c r="F56" s="3">
        <v>172132</v>
      </c>
      <c r="G56" s="3">
        <v>37573714</v>
      </c>
      <c r="H56">
        <v>59.2</v>
      </c>
      <c r="I56">
        <v>3</v>
      </c>
      <c r="J56">
        <v>37.5</v>
      </c>
      <c r="K56">
        <v>0.3</v>
      </c>
    </row>
    <row r="57" spans="1:11">
      <c r="A57">
        <v>60</v>
      </c>
      <c r="B57" t="s">
        <v>1750</v>
      </c>
      <c r="C57" s="3">
        <v>37718348</v>
      </c>
      <c r="D57" s="3">
        <v>3212995</v>
      </c>
      <c r="E57" s="3">
        <v>786599</v>
      </c>
      <c r="F57" s="3">
        <v>0</v>
      </c>
      <c r="G57" s="3">
        <v>33718754</v>
      </c>
      <c r="H57">
        <v>89.4</v>
      </c>
      <c r="I57">
        <v>2.1</v>
      </c>
      <c r="J57">
        <v>8.5</v>
      </c>
      <c r="K57">
        <v>0</v>
      </c>
    </row>
    <row r="58" spans="1:11">
      <c r="A58">
        <v>62</v>
      </c>
      <c r="B58" t="s">
        <v>1751</v>
      </c>
      <c r="C58" s="3">
        <v>76858367</v>
      </c>
      <c r="D58" s="3">
        <v>19008904</v>
      </c>
      <c r="E58" s="3">
        <v>1825066</v>
      </c>
      <c r="F58" s="3">
        <v>39341</v>
      </c>
      <c r="G58" s="3">
        <v>55985056</v>
      </c>
      <c r="H58">
        <v>72.8</v>
      </c>
      <c r="I58">
        <v>2.4</v>
      </c>
      <c r="J58">
        <v>24.7</v>
      </c>
      <c r="K58">
        <v>0.1</v>
      </c>
    </row>
    <row r="59" spans="1:11">
      <c r="A59">
        <v>63</v>
      </c>
      <c r="B59" t="s">
        <v>1752</v>
      </c>
      <c r="C59" s="3">
        <v>1821379</v>
      </c>
      <c r="D59" s="3">
        <v>748088</v>
      </c>
      <c r="E59" s="3">
        <v>28429</v>
      </c>
      <c r="F59" s="3">
        <v>0</v>
      </c>
      <c r="G59" s="3">
        <v>1044862</v>
      </c>
      <c r="H59">
        <v>57.4</v>
      </c>
      <c r="I59">
        <v>1.6</v>
      </c>
      <c r="J59">
        <v>41.1</v>
      </c>
      <c r="K59">
        <v>0</v>
      </c>
    </row>
    <row r="60" spans="1:11">
      <c r="A60">
        <v>64</v>
      </c>
      <c r="B60" t="s">
        <v>1753</v>
      </c>
      <c r="C60" s="3">
        <v>299055577</v>
      </c>
      <c r="D60" s="3">
        <v>181021483</v>
      </c>
      <c r="E60" s="3">
        <v>36918077</v>
      </c>
      <c r="F60" s="3">
        <v>9105856</v>
      </c>
      <c r="G60" s="3">
        <v>72010161</v>
      </c>
      <c r="H60">
        <v>24.1</v>
      </c>
      <c r="I60">
        <v>12.3</v>
      </c>
      <c r="J60">
        <v>60.5</v>
      </c>
      <c r="K60">
        <v>3</v>
      </c>
    </row>
    <row r="61" spans="1:11">
      <c r="A61">
        <v>65</v>
      </c>
      <c r="B61" t="s">
        <v>1754</v>
      </c>
      <c r="C61" s="3">
        <v>4084949</v>
      </c>
      <c r="D61" s="3">
        <v>1285386</v>
      </c>
      <c r="E61" s="3">
        <v>146270</v>
      </c>
      <c r="F61" s="3">
        <v>2763</v>
      </c>
      <c r="G61" s="3">
        <v>2650530</v>
      </c>
      <c r="H61">
        <v>64.900000000000006</v>
      </c>
      <c r="I61">
        <v>3.6</v>
      </c>
      <c r="J61">
        <v>31.5</v>
      </c>
      <c r="K61">
        <v>0.1</v>
      </c>
    </row>
    <row r="62" spans="1:11">
      <c r="A62">
        <v>67</v>
      </c>
      <c r="B62" t="s">
        <v>1755</v>
      </c>
      <c r="C62" s="3">
        <v>8335732</v>
      </c>
      <c r="D62" s="3">
        <v>3196895</v>
      </c>
      <c r="E62" s="3">
        <v>275895</v>
      </c>
      <c r="F62" s="3">
        <v>0</v>
      </c>
      <c r="G62" s="3">
        <v>4862942</v>
      </c>
      <c r="H62">
        <v>58.3</v>
      </c>
      <c r="I62">
        <v>3.3</v>
      </c>
      <c r="J62">
        <v>38.4</v>
      </c>
      <c r="K62">
        <v>0</v>
      </c>
    </row>
    <row r="63" spans="1:11">
      <c r="A63">
        <v>68</v>
      </c>
      <c r="B63" t="s">
        <v>1756</v>
      </c>
      <c r="C63" s="3">
        <v>3550916</v>
      </c>
      <c r="D63" s="3">
        <v>170598</v>
      </c>
      <c r="E63" s="3">
        <v>111180</v>
      </c>
      <c r="F63" s="3">
        <v>4944</v>
      </c>
      <c r="G63" s="3">
        <v>3264194</v>
      </c>
      <c r="H63">
        <v>91.9</v>
      </c>
      <c r="I63">
        <v>3.1</v>
      </c>
      <c r="J63">
        <v>4.8</v>
      </c>
      <c r="K63">
        <v>0.1</v>
      </c>
    </row>
    <row r="64" spans="1:11">
      <c r="A64">
        <v>69</v>
      </c>
      <c r="B64" t="s">
        <v>1757</v>
      </c>
      <c r="C64" s="3">
        <v>28411479</v>
      </c>
      <c r="D64" s="3">
        <v>14451194</v>
      </c>
      <c r="E64" s="3">
        <v>1442911</v>
      </c>
      <c r="F64" s="3">
        <v>1724599</v>
      </c>
      <c r="G64" s="3">
        <v>10792775</v>
      </c>
      <c r="H64">
        <v>38</v>
      </c>
      <c r="I64">
        <v>5.0999999999999996</v>
      </c>
      <c r="J64">
        <v>50.9</v>
      </c>
      <c r="K64">
        <v>6.1</v>
      </c>
    </row>
    <row r="65" spans="1:11">
      <c r="A65">
        <v>71</v>
      </c>
      <c r="B65" t="s">
        <v>1758</v>
      </c>
      <c r="C65" s="3">
        <v>13191077</v>
      </c>
      <c r="D65" s="3">
        <v>4863880</v>
      </c>
      <c r="E65" s="3">
        <v>394600</v>
      </c>
      <c r="F65" s="3">
        <v>1642991</v>
      </c>
      <c r="G65" s="3">
        <v>6289606</v>
      </c>
      <c r="H65">
        <v>47.7</v>
      </c>
      <c r="I65">
        <v>3</v>
      </c>
      <c r="J65">
        <v>36.9</v>
      </c>
      <c r="K65">
        <v>12.5</v>
      </c>
    </row>
    <row r="66" spans="1:11">
      <c r="A66">
        <v>72</v>
      </c>
      <c r="B66" t="s">
        <v>1759</v>
      </c>
      <c r="C66" s="3">
        <v>27660522</v>
      </c>
      <c r="D66" s="3">
        <v>11281206</v>
      </c>
      <c r="E66" s="3">
        <v>657517</v>
      </c>
      <c r="F66" s="3">
        <v>1397854</v>
      </c>
      <c r="G66" s="3">
        <v>14323945</v>
      </c>
      <c r="H66">
        <v>51.8</v>
      </c>
      <c r="I66">
        <v>2.4</v>
      </c>
      <c r="J66">
        <v>40.799999999999997</v>
      </c>
      <c r="K66">
        <v>5.0999999999999996</v>
      </c>
    </row>
    <row r="67" spans="1:11">
      <c r="A67">
        <v>73</v>
      </c>
      <c r="B67" t="s">
        <v>1760</v>
      </c>
      <c r="C67" s="3">
        <v>7087642</v>
      </c>
      <c r="D67" s="3">
        <v>3532199</v>
      </c>
      <c r="E67" s="3">
        <v>233785</v>
      </c>
      <c r="F67" s="3">
        <v>9051</v>
      </c>
      <c r="G67" s="3">
        <v>3312607</v>
      </c>
      <c r="H67">
        <v>46.7</v>
      </c>
      <c r="I67">
        <v>3.3</v>
      </c>
      <c r="J67">
        <v>49.8</v>
      </c>
      <c r="K67">
        <v>0.1</v>
      </c>
    </row>
    <row r="68" spans="1:11">
      <c r="A68">
        <v>74</v>
      </c>
      <c r="B68" t="s">
        <v>1761</v>
      </c>
      <c r="C68" s="3">
        <v>12931026</v>
      </c>
      <c r="D68" s="3">
        <v>1218419</v>
      </c>
      <c r="E68" s="3">
        <v>269374</v>
      </c>
      <c r="F68" s="3">
        <v>31280</v>
      </c>
      <c r="G68" s="3">
        <v>11411953</v>
      </c>
      <c r="H68">
        <v>88.3</v>
      </c>
      <c r="I68">
        <v>2.1</v>
      </c>
      <c r="J68">
        <v>9.4</v>
      </c>
      <c r="K68">
        <v>0.2</v>
      </c>
    </row>
    <row r="69" spans="1:11">
      <c r="A69">
        <v>76</v>
      </c>
      <c r="B69" t="s">
        <v>1762</v>
      </c>
      <c r="C69" s="3">
        <v>32666656</v>
      </c>
      <c r="D69" s="3">
        <v>1486941</v>
      </c>
      <c r="E69" s="3">
        <v>718477</v>
      </c>
      <c r="F69" s="3">
        <v>157899</v>
      </c>
      <c r="G69" s="3">
        <v>30303339</v>
      </c>
      <c r="H69">
        <v>92.8</v>
      </c>
      <c r="I69">
        <v>2.2000000000000002</v>
      </c>
      <c r="J69">
        <v>4.5999999999999996</v>
      </c>
      <c r="K69">
        <v>0.5</v>
      </c>
    </row>
    <row r="70" spans="1:11">
      <c r="A70">
        <v>77</v>
      </c>
      <c r="B70" t="s">
        <v>1763</v>
      </c>
      <c r="C70" s="3">
        <v>78751410</v>
      </c>
      <c r="D70" s="3">
        <v>26395565</v>
      </c>
      <c r="E70" s="3">
        <v>2899939</v>
      </c>
      <c r="F70" s="3">
        <v>1170058</v>
      </c>
      <c r="G70" s="3">
        <v>48285848</v>
      </c>
      <c r="H70">
        <v>61.3</v>
      </c>
      <c r="I70">
        <v>3.7</v>
      </c>
      <c r="J70">
        <v>33.5</v>
      </c>
      <c r="K70">
        <v>1.5</v>
      </c>
    </row>
    <row r="71" spans="1:11">
      <c r="A71">
        <v>78</v>
      </c>
      <c r="B71" t="s">
        <v>1764</v>
      </c>
      <c r="C71" s="3">
        <v>15961580</v>
      </c>
      <c r="D71" s="3">
        <v>6220037</v>
      </c>
      <c r="E71" s="3">
        <v>473021</v>
      </c>
      <c r="F71" s="3">
        <v>64218</v>
      </c>
      <c r="G71" s="3">
        <v>9204304</v>
      </c>
      <c r="H71">
        <v>57.7</v>
      </c>
      <c r="I71">
        <v>3</v>
      </c>
      <c r="J71">
        <v>39</v>
      </c>
      <c r="K71">
        <v>0.4</v>
      </c>
    </row>
    <row r="72" spans="1:11">
      <c r="A72">
        <v>79</v>
      </c>
      <c r="B72" t="s">
        <v>1765</v>
      </c>
      <c r="C72" s="3">
        <v>5677945</v>
      </c>
      <c r="D72" s="3">
        <v>1594022</v>
      </c>
      <c r="E72" s="3">
        <v>105420</v>
      </c>
      <c r="F72" s="3">
        <v>0</v>
      </c>
      <c r="G72" s="3">
        <v>3978503</v>
      </c>
      <c r="H72">
        <v>70.099999999999994</v>
      </c>
      <c r="I72">
        <v>1.9</v>
      </c>
      <c r="J72">
        <v>28.1</v>
      </c>
      <c r="K72">
        <v>0</v>
      </c>
    </row>
    <row r="73" spans="1:11">
      <c r="A73">
        <v>80</v>
      </c>
      <c r="B73" t="s">
        <v>1766</v>
      </c>
      <c r="C73" s="3">
        <v>92903314</v>
      </c>
      <c r="D73" s="3">
        <v>47787388</v>
      </c>
      <c r="E73" s="3">
        <v>4855769</v>
      </c>
      <c r="F73" s="3">
        <v>1116999</v>
      </c>
      <c r="G73" s="3">
        <v>39143158</v>
      </c>
      <c r="H73">
        <v>42.1</v>
      </c>
      <c r="I73">
        <v>5.2</v>
      </c>
      <c r="J73">
        <v>51.4</v>
      </c>
      <c r="K73">
        <v>1.2</v>
      </c>
    </row>
    <row r="74" spans="1:11">
      <c r="A74">
        <v>83</v>
      </c>
      <c r="B74" t="s">
        <v>1767</v>
      </c>
      <c r="C74" s="3">
        <v>56398419</v>
      </c>
      <c r="D74" s="3">
        <v>15008258</v>
      </c>
      <c r="E74" s="3">
        <v>3109867</v>
      </c>
      <c r="F74" s="3">
        <v>559231</v>
      </c>
      <c r="G74" s="3">
        <v>37721063</v>
      </c>
      <c r="H74">
        <v>66.900000000000006</v>
      </c>
      <c r="I74">
        <v>5.5</v>
      </c>
      <c r="J74">
        <v>26.6</v>
      </c>
      <c r="K74">
        <v>1</v>
      </c>
    </row>
    <row r="75" spans="1:11">
      <c r="A75">
        <v>84</v>
      </c>
      <c r="B75" t="s">
        <v>1768</v>
      </c>
      <c r="C75" s="3">
        <v>76898934</v>
      </c>
      <c r="D75" s="3">
        <v>10719457</v>
      </c>
      <c r="E75" s="3">
        <v>1881006</v>
      </c>
      <c r="F75" s="3">
        <v>160526</v>
      </c>
      <c r="G75" s="3">
        <v>64137945</v>
      </c>
      <c r="H75">
        <v>83.4</v>
      </c>
      <c r="I75">
        <v>2.4</v>
      </c>
      <c r="J75">
        <v>13.9</v>
      </c>
      <c r="K75">
        <v>0.2</v>
      </c>
    </row>
    <row r="76" spans="1:11">
      <c r="A76">
        <v>85</v>
      </c>
      <c r="B76" t="s">
        <v>1769</v>
      </c>
      <c r="C76" s="3">
        <v>37732394</v>
      </c>
      <c r="D76" s="3">
        <v>5938789</v>
      </c>
      <c r="E76" s="3">
        <v>711000</v>
      </c>
      <c r="F76" s="3">
        <v>636686</v>
      </c>
      <c r="G76" s="3">
        <v>30445919</v>
      </c>
      <c r="H76">
        <v>80.7</v>
      </c>
      <c r="I76">
        <v>1.9</v>
      </c>
      <c r="J76">
        <v>15.7</v>
      </c>
      <c r="K76">
        <v>1.7</v>
      </c>
    </row>
    <row r="77" spans="1:11">
      <c r="A77">
        <v>86</v>
      </c>
      <c r="B77" t="s">
        <v>1770</v>
      </c>
      <c r="C77" s="3">
        <v>29663677</v>
      </c>
      <c r="D77" s="3">
        <v>11084165</v>
      </c>
      <c r="E77" s="3">
        <v>1063938</v>
      </c>
      <c r="F77" s="3">
        <v>220243</v>
      </c>
      <c r="G77" s="3">
        <v>17295331</v>
      </c>
      <c r="H77">
        <v>58.3</v>
      </c>
      <c r="I77">
        <v>3.6</v>
      </c>
      <c r="J77">
        <v>37.4</v>
      </c>
      <c r="K77">
        <v>0.7</v>
      </c>
    </row>
    <row r="78" spans="1:11">
      <c r="A78">
        <v>88</v>
      </c>
      <c r="B78" t="s">
        <v>1771</v>
      </c>
      <c r="C78" s="3">
        <v>47695315</v>
      </c>
      <c r="D78" s="3">
        <v>26134109</v>
      </c>
      <c r="E78" s="3">
        <v>2151210</v>
      </c>
      <c r="F78" s="3">
        <v>325451</v>
      </c>
      <c r="G78" s="3">
        <v>19084545</v>
      </c>
      <c r="H78">
        <v>40</v>
      </c>
      <c r="I78">
        <v>4.5</v>
      </c>
      <c r="J78">
        <v>54.8</v>
      </c>
      <c r="K78">
        <v>0.7</v>
      </c>
    </row>
    <row r="79" spans="1:11">
      <c r="A79">
        <v>89</v>
      </c>
      <c r="B79" t="s">
        <v>1772</v>
      </c>
      <c r="C79" s="3">
        <v>112047153</v>
      </c>
      <c r="D79" s="3">
        <v>65618091</v>
      </c>
      <c r="E79" s="3">
        <v>10389724</v>
      </c>
      <c r="F79" s="3">
        <v>1311682</v>
      </c>
      <c r="G79" s="3">
        <v>34727656</v>
      </c>
      <c r="H79">
        <v>31</v>
      </c>
      <c r="I79">
        <v>9.3000000000000007</v>
      </c>
      <c r="J79">
        <v>58.6</v>
      </c>
      <c r="K79">
        <v>1.2</v>
      </c>
    </row>
    <row r="80" spans="1:11">
      <c r="A80">
        <v>90</v>
      </c>
      <c r="B80" t="s">
        <v>1773</v>
      </c>
      <c r="C80" s="3">
        <v>50050141</v>
      </c>
      <c r="D80" s="3">
        <v>1441121</v>
      </c>
      <c r="E80" s="3">
        <v>637975</v>
      </c>
      <c r="F80" s="3">
        <v>0</v>
      </c>
      <c r="G80" s="3">
        <v>47971045</v>
      </c>
      <c r="H80">
        <v>95.8</v>
      </c>
      <c r="I80">
        <v>1.3</v>
      </c>
      <c r="J80">
        <v>2.9</v>
      </c>
      <c r="K80">
        <v>0</v>
      </c>
    </row>
    <row r="81" spans="1:11">
      <c r="A81">
        <v>91</v>
      </c>
      <c r="B81" t="s">
        <v>1774</v>
      </c>
      <c r="C81" s="3">
        <v>26776339</v>
      </c>
      <c r="D81" s="3">
        <v>4215555</v>
      </c>
      <c r="E81" s="3">
        <v>424746</v>
      </c>
      <c r="F81" s="3">
        <v>526220</v>
      </c>
      <c r="G81" s="3">
        <v>21609818</v>
      </c>
      <c r="H81">
        <v>80.7</v>
      </c>
      <c r="I81">
        <v>1.6</v>
      </c>
      <c r="J81">
        <v>15.7</v>
      </c>
      <c r="K81">
        <v>2</v>
      </c>
    </row>
    <row r="82" spans="1:11">
      <c r="A82">
        <v>92</v>
      </c>
      <c r="B82" t="s">
        <v>1775</v>
      </c>
      <c r="C82" s="3">
        <v>5980577</v>
      </c>
      <c r="D82" s="3">
        <v>1714862</v>
      </c>
      <c r="E82" s="3">
        <v>185699</v>
      </c>
      <c r="F82" s="3">
        <v>9500</v>
      </c>
      <c r="G82" s="3">
        <v>4070516</v>
      </c>
      <c r="H82">
        <v>68.099999999999994</v>
      </c>
      <c r="I82">
        <v>3.1</v>
      </c>
      <c r="J82">
        <v>28.7</v>
      </c>
      <c r="K82">
        <v>0.2</v>
      </c>
    </row>
    <row r="83" spans="1:11">
      <c r="A83">
        <v>93</v>
      </c>
      <c r="B83" t="s">
        <v>1776</v>
      </c>
      <c r="C83" s="3">
        <v>253842186</v>
      </c>
      <c r="D83" s="3">
        <v>152582989</v>
      </c>
      <c r="E83" s="3">
        <v>39169193</v>
      </c>
      <c r="F83" s="3">
        <v>2829443</v>
      </c>
      <c r="G83" s="3">
        <v>59260561</v>
      </c>
      <c r="H83">
        <v>23.3</v>
      </c>
      <c r="I83">
        <v>15.4</v>
      </c>
      <c r="J83">
        <v>60.1</v>
      </c>
      <c r="K83">
        <v>1.1000000000000001</v>
      </c>
    </row>
    <row r="84" spans="1:11">
      <c r="A84">
        <v>94</v>
      </c>
      <c r="B84" t="s">
        <v>1777</v>
      </c>
      <c r="C84" s="3">
        <v>43130216</v>
      </c>
      <c r="D84" s="3">
        <v>9780165</v>
      </c>
      <c r="E84" s="3">
        <v>537917</v>
      </c>
      <c r="F84" s="3">
        <v>74315</v>
      </c>
      <c r="G84" s="3">
        <v>32737819</v>
      </c>
      <c r="H84">
        <v>75.900000000000006</v>
      </c>
      <c r="I84">
        <v>1.2</v>
      </c>
      <c r="J84">
        <v>22.7</v>
      </c>
      <c r="K84">
        <v>0.2</v>
      </c>
    </row>
    <row r="85" spans="1:11">
      <c r="A85">
        <v>95</v>
      </c>
      <c r="B85" t="s">
        <v>1778</v>
      </c>
      <c r="C85" s="3">
        <v>43303243</v>
      </c>
      <c r="D85" s="3">
        <v>22479908</v>
      </c>
      <c r="E85" s="3">
        <v>5189577</v>
      </c>
      <c r="F85" s="3">
        <v>361933</v>
      </c>
      <c r="G85" s="3">
        <v>15271825</v>
      </c>
      <c r="H85">
        <v>35.299999999999997</v>
      </c>
      <c r="I85">
        <v>12</v>
      </c>
      <c r="J85">
        <v>51.9</v>
      </c>
      <c r="K85">
        <v>0.8</v>
      </c>
    </row>
    <row r="86" spans="1:11">
      <c r="A86">
        <v>96</v>
      </c>
      <c r="B86" t="s">
        <v>1779</v>
      </c>
      <c r="C86" s="3">
        <v>44512853</v>
      </c>
      <c r="D86" s="3">
        <v>11377245</v>
      </c>
      <c r="E86" s="3">
        <v>509711</v>
      </c>
      <c r="F86" s="3">
        <v>667797</v>
      </c>
      <c r="G86" s="3">
        <v>31958100</v>
      </c>
      <c r="H86">
        <v>71.8</v>
      </c>
      <c r="I86">
        <v>1.1000000000000001</v>
      </c>
      <c r="J86">
        <v>25.6</v>
      </c>
      <c r="K86">
        <v>1.5</v>
      </c>
    </row>
    <row r="87" spans="1:11">
      <c r="A87">
        <v>97</v>
      </c>
      <c r="B87" t="s">
        <v>1780</v>
      </c>
      <c r="C87" s="3">
        <v>47597186</v>
      </c>
      <c r="D87" s="3">
        <v>4805374</v>
      </c>
      <c r="E87" s="3">
        <v>800118</v>
      </c>
      <c r="F87" s="3">
        <v>146361</v>
      </c>
      <c r="G87" s="3">
        <v>41845333</v>
      </c>
      <c r="H87">
        <v>87.9</v>
      </c>
      <c r="I87">
        <v>1.7</v>
      </c>
      <c r="J87">
        <v>10.1</v>
      </c>
      <c r="K87">
        <v>0.3</v>
      </c>
    </row>
    <row r="88" spans="1:11">
      <c r="A88">
        <v>98</v>
      </c>
      <c r="B88" t="s">
        <v>1781</v>
      </c>
      <c r="C88" s="3">
        <v>1974028</v>
      </c>
      <c r="D88" s="3">
        <v>261768</v>
      </c>
      <c r="E88" s="3">
        <v>77394</v>
      </c>
      <c r="F88" s="3">
        <v>10122</v>
      </c>
      <c r="G88" s="3">
        <v>1624744</v>
      </c>
      <c r="H88">
        <v>82.3</v>
      </c>
      <c r="I88">
        <v>3.9</v>
      </c>
      <c r="J88">
        <v>13.3</v>
      </c>
      <c r="K88">
        <v>0.5</v>
      </c>
    </row>
    <row r="89" spans="1:11">
      <c r="A89">
        <v>99</v>
      </c>
      <c r="B89" t="s">
        <v>1782</v>
      </c>
      <c r="C89" s="3">
        <v>22413130</v>
      </c>
      <c r="D89" s="3">
        <v>7491170</v>
      </c>
      <c r="E89" s="3">
        <v>470616</v>
      </c>
      <c r="F89" s="3">
        <v>0</v>
      </c>
      <c r="G89" s="3">
        <v>14451344</v>
      </c>
      <c r="H89">
        <v>64.5</v>
      </c>
      <c r="I89">
        <v>2.1</v>
      </c>
      <c r="J89">
        <v>33.4</v>
      </c>
      <c r="K89">
        <v>0</v>
      </c>
    </row>
    <row r="90" spans="1:11">
      <c r="A90">
        <v>100</v>
      </c>
      <c r="B90" t="s">
        <v>1783</v>
      </c>
      <c r="C90" s="3">
        <v>3992991</v>
      </c>
      <c r="D90" s="3">
        <v>1384142</v>
      </c>
      <c r="E90" s="3">
        <v>111609</v>
      </c>
      <c r="F90" s="3">
        <v>5706</v>
      </c>
      <c r="G90" s="3">
        <v>2491534</v>
      </c>
      <c r="H90">
        <v>62.4</v>
      </c>
      <c r="I90">
        <v>2.8</v>
      </c>
      <c r="J90">
        <v>34.700000000000003</v>
      </c>
      <c r="K90">
        <v>0.1</v>
      </c>
    </row>
    <row r="91" spans="1:11">
      <c r="A91">
        <v>101</v>
      </c>
      <c r="B91" t="s">
        <v>1784</v>
      </c>
      <c r="C91" s="3">
        <v>35353171</v>
      </c>
      <c r="D91" s="3">
        <v>2261434</v>
      </c>
      <c r="E91" s="3">
        <v>657981</v>
      </c>
      <c r="F91" s="3">
        <v>0</v>
      </c>
      <c r="G91" s="3">
        <v>32433756</v>
      </c>
      <c r="H91">
        <v>91.7</v>
      </c>
      <c r="I91">
        <v>1.9</v>
      </c>
      <c r="J91">
        <v>6.4</v>
      </c>
      <c r="K91">
        <v>0</v>
      </c>
    </row>
    <row r="92" spans="1:11">
      <c r="A92">
        <v>102</v>
      </c>
      <c r="B92" t="s">
        <v>1785</v>
      </c>
      <c r="C92" s="3">
        <v>10155254</v>
      </c>
      <c r="D92" s="3">
        <v>2813852</v>
      </c>
      <c r="E92" s="3">
        <v>302048</v>
      </c>
      <c r="F92" s="3">
        <v>129541</v>
      </c>
      <c r="G92" s="3">
        <v>6909813</v>
      </c>
      <c r="H92">
        <v>68</v>
      </c>
      <c r="I92">
        <v>3</v>
      </c>
      <c r="J92">
        <v>27.7</v>
      </c>
      <c r="K92">
        <v>1.3</v>
      </c>
    </row>
    <row r="93" spans="1:11">
      <c r="A93">
        <v>103</v>
      </c>
      <c r="B93" t="s">
        <v>1786</v>
      </c>
      <c r="C93" s="3">
        <v>130100219</v>
      </c>
      <c r="D93" s="3">
        <v>13372902</v>
      </c>
      <c r="E93" s="3">
        <v>3601675</v>
      </c>
      <c r="F93" s="3">
        <v>476693</v>
      </c>
      <c r="G93" s="3">
        <v>112648949</v>
      </c>
      <c r="H93">
        <v>86.6</v>
      </c>
      <c r="I93">
        <v>2.8</v>
      </c>
      <c r="J93">
        <v>10.3</v>
      </c>
      <c r="K93">
        <v>0.4</v>
      </c>
    </row>
    <row r="94" spans="1:11">
      <c r="A94">
        <v>104</v>
      </c>
      <c r="B94" t="s">
        <v>1787</v>
      </c>
      <c r="C94" s="3">
        <v>55430809</v>
      </c>
      <c r="D94" s="3">
        <v>29361704</v>
      </c>
      <c r="E94" s="3">
        <v>4034302</v>
      </c>
      <c r="F94" s="3">
        <v>215019</v>
      </c>
      <c r="G94" s="3">
        <v>21819784</v>
      </c>
      <c r="H94">
        <v>39.4</v>
      </c>
      <c r="I94">
        <v>7.3</v>
      </c>
      <c r="J94">
        <v>53</v>
      </c>
      <c r="K94">
        <v>0.4</v>
      </c>
    </row>
    <row r="95" spans="1:11">
      <c r="A95">
        <v>106</v>
      </c>
      <c r="B95" t="s">
        <v>1788</v>
      </c>
      <c r="C95" s="3">
        <v>15098926</v>
      </c>
      <c r="D95" s="3">
        <v>670023</v>
      </c>
      <c r="E95" s="3">
        <v>354443</v>
      </c>
      <c r="F95" s="3">
        <v>188656</v>
      </c>
      <c r="G95" s="3">
        <v>13885804</v>
      </c>
      <c r="H95">
        <v>92</v>
      </c>
      <c r="I95">
        <v>2.2999999999999998</v>
      </c>
      <c r="J95">
        <v>4.4000000000000004</v>
      </c>
      <c r="K95">
        <v>1.2</v>
      </c>
    </row>
    <row r="96" spans="1:11">
      <c r="A96">
        <v>107</v>
      </c>
      <c r="B96" t="s">
        <v>1789</v>
      </c>
      <c r="C96" s="3">
        <v>12098333</v>
      </c>
      <c r="D96" s="3">
        <v>576911</v>
      </c>
      <c r="E96" s="3">
        <v>272845</v>
      </c>
      <c r="F96" s="3">
        <v>0</v>
      </c>
      <c r="G96" s="3">
        <v>11248577</v>
      </c>
      <c r="H96">
        <v>93</v>
      </c>
      <c r="I96">
        <v>2.2999999999999998</v>
      </c>
      <c r="J96">
        <v>4.8</v>
      </c>
      <c r="K96">
        <v>0</v>
      </c>
    </row>
    <row r="97" spans="1:11">
      <c r="A97">
        <v>108</v>
      </c>
      <c r="B97" t="s">
        <v>1790</v>
      </c>
      <c r="C97" s="3">
        <v>16343556</v>
      </c>
      <c r="D97" s="3">
        <v>4131825</v>
      </c>
      <c r="E97" s="3">
        <v>213878</v>
      </c>
      <c r="F97" s="3">
        <v>2000</v>
      </c>
      <c r="G97" s="3">
        <v>11995853</v>
      </c>
      <c r="H97">
        <v>73.400000000000006</v>
      </c>
      <c r="I97">
        <v>1.3</v>
      </c>
      <c r="J97">
        <v>25.3</v>
      </c>
      <c r="K97">
        <v>0</v>
      </c>
    </row>
    <row r="98" spans="1:11">
      <c r="A98">
        <v>109</v>
      </c>
      <c r="B98" t="s">
        <v>1791</v>
      </c>
      <c r="C98" s="3">
        <v>26515269</v>
      </c>
      <c r="D98" s="3">
        <v>14358092</v>
      </c>
      <c r="E98" s="3">
        <v>1129889</v>
      </c>
      <c r="F98" s="3">
        <v>874873</v>
      </c>
      <c r="G98" s="3">
        <v>10152415</v>
      </c>
      <c r="H98">
        <v>38.299999999999997</v>
      </c>
      <c r="I98">
        <v>4.3</v>
      </c>
      <c r="J98">
        <v>54.2</v>
      </c>
      <c r="K98">
        <v>3.3</v>
      </c>
    </row>
    <row r="99" spans="1:11">
      <c r="A99">
        <v>110</v>
      </c>
      <c r="B99" t="s">
        <v>1792</v>
      </c>
      <c r="C99" s="3">
        <v>27517335</v>
      </c>
      <c r="D99" s="3">
        <v>9825551</v>
      </c>
      <c r="E99" s="3">
        <v>581366</v>
      </c>
      <c r="F99" s="3">
        <v>239886</v>
      </c>
      <c r="G99" s="3">
        <v>16870532</v>
      </c>
      <c r="H99">
        <v>61.3</v>
      </c>
      <c r="I99">
        <v>2.1</v>
      </c>
      <c r="J99">
        <v>35.700000000000003</v>
      </c>
      <c r="K99">
        <v>0.9</v>
      </c>
    </row>
    <row r="100" spans="1:11">
      <c r="A100">
        <v>111</v>
      </c>
      <c r="B100" t="s">
        <v>1793</v>
      </c>
      <c r="C100" s="3">
        <v>18551336</v>
      </c>
      <c r="D100" s="3">
        <v>8924746</v>
      </c>
      <c r="E100" s="3">
        <v>531219</v>
      </c>
      <c r="F100" s="3">
        <v>48792</v>
      </c>
      <c r="G100" s="3">
        <v>9046579</v>
      </c>
      <c r="H100">
        <v>48.8</v>
      </c>
      <c r="I100">
        <v>2.9</v>
      </c>
      <c r="J100">
        <v>48.1</v>
      </c>
      <c r="K100">
        <v>0.3</v>
      </c>
    </row>
    <row r="101" spans="1:11">
      <c r="A101">
        <v>112</v>
      </c>
      <c r="B101" t="s">
        <v>1794</v>
      </c>
      <c r="C101" s="3">
        <v>6658231</v>
      </c>
      <c r="D101" s="3">
        <v>2770004</v>
      </c>
      <c r="E101" s="3">
        <v>190618</v>
      </c>
      <c r="F101" s="3">
        <v>24900</v>
      </c>
      <c r="G101" s="3">
        <v>3672709</v>
      </c>
      <c r="H101">
        <v>55.2</v>
      </c>
      <c r="I101">
        <v>2.9</v>
      </c>
      <c r="J101">
        <v>41.6</v>
      </c>
      <c r="K101">
        <v>0.4</v>
      </c>
    </row>
    <row r="102" spans="1:11">
      <c r="A102">
        <v>113</v>
      </c>
      <c r="B102" t="s">
        <v>1795</v>
      </c>
      <c r="C102" s="3">
        <v>14110823</v>
      </c>
      <c r="D102" s="3">
        <v>3626141</v>
      </c>
      <c r="E102" s="3">
        <v>341389</v>
      </c>
      <c r="F102" s="3">
        <v>6143</v>
      </c>
      <c r="G102" s="3">
        <v>10137150</v>
      </c>
      <c r="H102">
        <v>71.8</v>
      </c>
      <c r="I102">
        <v>2.4</v>
      </c>
      <c r="J102">
        <v>25.7</v>
      </c>
      <c r="K102">
        <v>0</v>
      </c>
    </row>
    <row r="103" spans="1:11">
      <c r="A103">
        <v>114</v>
      </c>
      <c r="B103" t="s">
        <v>1796</v>
      </c>
      <c r="C103" s="3">
        <v>8623028</v>
      </c>
      <c r="D103" s="3">
        <v>2777343</v>
      </c>
      <c r="E103" s="3">
        <v>317578</v>
      </c>
      <c r="F103" s="3">
        <v>9676</v>
      </c>
      <c r="G103" s="3">
        <v>5518431</v>
      </c>
      <c r="H103">
        <v>64</v>
      </c>
      <c r="I103">
        <v>3.7</v>
      </c>
      <c r="J103">
        <v>32.200000000000003</v>
      </c>
      <c r="K103">
        <v>0.1</v>
      </c>
    </row>
    <row r="104" spans="1:11">
      <c r="A104">
        <v>116</v>
      </c>
      <c r="B104" t="s">
        <v>1797</v>
      </c>
      <c r="C104" s="3">
        <v>15687765</v>
      </c>
      <c r="D104" s="3">
        <v>8587157</v>
      </c>
      <c r="E104" s="3">
        <v>1444288</v>
      </c>
      <c r="F104" s="3">
        <v>178452</v>
      </c>
      <c r="G104" s="3">
        <v>5477868</v>
      </c>
      <c r="H104">
        <v>34.9</v>
      </c>
      <c r="I104">
        <v>9.1999999999999993</v>
      </c>
      <c r="J104">
        <v>54.7</v>
      </c>
      <c r="K104">
        <v>1.1000000000000001</v>
      </c>
    </row>
    <row r="105" spans="1:11">
      <c r="A105">
        <v>117</v>
      </c>
      <c r="B105" t="s">
        <v>1798</v>
      </c>
      <c r="C105" s="3">
        <v>14887274</v>
      </c>
      <c r="D105" s="3">
        <v>405106</v>
      </c>
      <c r="E105" s="3">
        <v>235278</v>
      </c>
      <c r="F105" s="3">
        <v>5178</v>
      </c>
      <c r="G105" s="3">
        <v>14241712</v>
      </c>
      <c r="H105">
        <v>95.7</v>
      </c>
      <c r="I105">
        <v>1.6</v>
      </c>
      <c r="J105">
        <v>2.7</v>
      </c>
      <c r="K105">
        <v>0</v>
      </c>
    </row>
    <row r="106" spans="1:11">
      <c r="A106">
        <v>118</v>
      </c>
      <c r="B106" t="s">
        <v>1799</v>
      </c>
      <c r="C106" s="3">
        <v>52787037</v>
      </c>
      <c r="D106" s="3">
        <v>1528590</v>
      </c>
      <c r="E106" s="3">
        <v>788500</v>
      </c>
      <c r="F106" s="3">
        <v>104193</v>
      </c>
      <c r="G106" s="3">
        <v>50365754</v>
      </c>
      <c r="H106">
        <v>95.4</v>
      </c>
      <c r="I106">
        <v>1.5</v>
      </c>
      <c r="J106">
        <v>2.9</v>
      </c>
      <c r="K106">
        <v>0.2</v>
      </c>
    </row>
    <row r="107" spans="1:11">
      <c r="A107">
        <v>119</v>
      </c>
      <c r="B107" t="s">
        <v>1800</v>
      </c>
      <c r="C107" s="3">
        <v>23590606</v>
      </c>
      <c r="D107" s="3">
        <v>2633110</v>
      </c>
      <c r="E107" s="3">
        <v>460308</v>
      </c>
      <c r="F107" s="3">
        <v>28303</v>
      </c>
      <c r="G107" s="3">
        <v>20468885</v>
      </c>
      <c r="H107">
        <v>86.8</v>
      </c>
      <c r="I107">
        <v>2</v>
      </c>
      <c r="J107">
        <v>11.2</v>
      </c>
      <c r="K107">
        <v>0.1</v>
      </c>
    </row>
    <row r="108" spans="1:11">
      <c r="A108">
        <v>121</v>
      </c>
      <c r="B108" t="s">
        <v>1801</v>
      </c>
      <c r="C108" s="3">
        <v>7575466</v>
      </c>
      <c r="D108" s="3">
        <v>2907621</v>
      </c>
      <c r="E108" s="3">
        <v>113432</v>
      </c>
      <c r="F108" s="3">
        <v>22225</v>
      </c>
      <c r="G108" s="3">
        <v>4532188</v>
      </c>
      <c r="H108">
        <v>59.8</v>
      </c>
      <c r="I108">
        <v>1.5</v>
      </c>
      <c r="J108">
        <v>38.4</v>
      </c>
      <c r="K108">
        <v>0.3</v>
      </c>
    </row>
    <row r="109" spans="1:11">
      <c r="A109">
        <v>122</v>
      </c>
      <c r="B109" t="s">
        <v>1802</v>
      </c>
      <c r="C109" s="3">
        <v>4484747</v>
      </c>
      <c r="D109" s="3">
        <v>102336</v>
      </c>
      <c r="E109" s="3">
        <v>143331</v>
      </c>
      <c r="F109" s="3">
        <v>11703</v>
      </c>
      <c r="G109" s="3">
        <v>4227377</v>
      </c>
      <c r="H109">
        <v>94.3</v>
      </c>
      <c r="I109">
        <v>3.2</v>
      </c>
      <c r="J109">
        <v>2.2999999999999998</v>
      </c>
      <c r="K109">
        <v>0.3</v>
      </c>
    </row>
    <row r="110" spans="1:11">
      <c r="A110">
        <v>123</v>
      </c>
      <c r="B110" t="s">
        <v>1803</v>
      </c>
      <c r="C110" s="3">
        <v>1622228</v>
      </c>
      <c r="D110" s="3">
        <v>823063</v>
      </c>
      <c r="E110" s="3">
        <v>16166</v>
      </c>
      <c r="F110" s="3">
        <v>19060</v>
      </c>
      <c r="G110" s="3">
        <v>763939</v>
      </c>
      <c r="H110">
        <v>47.1</v>
      </c>
      <c r="I110">
        <v>1</v>
      </c>
      <c r="J110">
        <v>50.7</v>
      </c>
      <c r="K110">
        <v>1.2</v>
      </c>
    </row>
    <row r="111" spans="1:11">
      <c r="A111">
        <v>124</v>
      </c>
      <c r="B111" t="s">
        <v>1804</v>
      </c>
      <c r="C111" s="3">
        <v>23117001</v>
      </c>
      <c r="D111" s="3">
        <v>8425516</v>
      </c>
      <c r="E111" s="3">
        <v>607126</v>
      </c>
      <c r="F111" s="3">
        <v>2398060</v>
      </c>
      <c r="G111" s="3">
        <v>11686299</v>
      </c>
      <c r="H111">
        <v>50.6</v>
      </c>
      <c r="I111">
        <v>2.6</v>
      </c>
      <c r="J111">
        <v>36.4</v>
      </c>
      <c r="K111">
        <v>10.4</v>
      </c>
    </row>
    <row r="112" spans="1:11">
      <c r="A112">
        <v>125</v>
      </c>
      <c r="B112" t="s">
        <v>1805</v>
      </c>
      <c r="C112" s="3">
        <v>3355497</v>
      </c>
      <c r="D112" s="3">
        <v>83103</v>
      </c>
      <c r="E112" s="3">
        <v>87636</v>
      </c>
      <c r="F112" s="3">
        <v>16959</v>
      </c>
      <c r="G112" s="3">
        <v>3167799</v>
      </c>
      <c r="H112">
        <v>94.4</v>
      </c>
      <c r="I112">
        <v>2.6</v>
      </c>
      <c r="J112">
        <v>2.5</v>
      </c>
      <c r="K112">
        <v>0.5</v>
      </c>
    </row>
    <row r="113" spans="1:11">
      <c r="A113">
        <v>126</v>
      </c>
      <c r="B113" t="s">
        <v>1806</v>
      </c>
      <c r="C113" s="3">
        <v>52309053</v>
      </c>
      <c r="D113" s="3">
        <v>5080291</v>
      </c>
      <c r="E113" s="3">
        <v>1457234</v>
      </c>
      <c r="F113" s="3">
        <v>944180</v>
      </c>
      <c r="G113" s="3">
        <v>44827348</v>
      </c>
      <c r="H113">
        <v>85.7</v>
      </c>
      <c r="I113">
        <v>2.8</v>
      </c>
      <c r="J113">
        <v>9.6999999999999993</v>
      </c>
      <c r="K113">
        <v>1.8</v>
      </c>
    </row>
    <row r="114" spans="1:11">
      <c r="A114">
        <v>127</v>
      </c>
      <c r="B114" t="s">
        <v>1807</v>
      </c>
      <c r="C114" s="3">
        <v>5734758</v>
      </c>
      <c r="D114" s="3">
        <v>165835</v>
      </c>
      <c r="E114" s="3">
        <v>86868</v>
      </c>
      <c r="F114" s="3">
        <v>6485</v>
      </c>
      <c r="G114" s="3">
        <v>5475570</v>
      </c>
      <c r="H114">
        <v>95.5</v>
      </c>
      <c r="I114">
        <v>1.5</v>
      </c>
      <c r="J114">
        <v>2.9</v>
      </c>
      <c r="K114">
        <v>0.1</v>
      </c>
    </row>
    <row r="115" spans="1:11">
      <c r="A115">
        <v>128</v>
      </c>
      <c r="B115" t="s">
        <v>1808</v>
      </c>
      <c r="C115" s="3">
        <v>46758104</v>
      </c>
      <c r="D115" s="3">
        <v>2651592</v>
      </c>
      <c r="E115" s="3">
        <v>715103</v>
      </c>
      <c r="F115" s="3">
        <v>18944</v>
      </c>
      <c r="G115" s="3">
        <v>43372465</v>
      </c>
      <c r="H115">
        <v>92.8</v>
      </c>
      <c r="I115">
        <v>1.5</v>
      </c>
      <c r="J115">
        <v>5.7</v>
      </c>
      <c r="K115">
        <v>0</v>
      </c>
    </row>
    <row r="116" spans="1:11">
      <c r="A116">
        <v>129</v>
      </c>
      <c r="B116" t="s">
        <v>1809</v>
      </c>
      <c r="C116" s="3">
        <v>15050816</v>
      </c>
      <c r="D116" s="3">
        <v>4882209</v>
      </c>
      <c r="E116" s="3">
        <v>317058</v>
      </c>
      <c r="F116" s="3">
        <v>36910</v>
      </c>
      <c r="G116" s="3">
        <v>9814639</v>
      </c>
      <c r="H116">
        <v>65.2</v>
      </c>
      <c r="I116">
        <v>2.1</v>
      </c>
      <c r="J116">
        <v>32.4</v>
      </c>
      <c r="K116">
        <v>0.2</v>
      </c>
    </row>
    <row r="117" spans="1:11">
      <c r="A117">
        <v>131</v>
      </c>
      <c r="B117" t="s">
        <v>1810</v>
      </c>
      <c r="C117" s="3">
        <v>61404060</v>
      </c>
      <c r="D117" s="3">
        <v>17181275</v>
      </c>
      <c r="E117" s="3">
        <v>1602627</v>
      </c>
      <c r="F117" s="3">
        <v>1867981</v>
      </c>
      <c r="G117" s="3">
        <v>40752177</v>
      </c>
      <c r="H117">
        <v>66.400000000000006</v>
      </c>
      <c r="I117">
        <v>2.6</v>
      </c>
      <c r="J117">
        <v>28</v>
      </c>
      <c r="K117">
        <v>3</v>
      </c>
    </row>
    <row r="118" spans="1:11">
      <c r="A118">
        <v>132</v>
      </c>
      <c r="B118" t="s">
        <v>1811</v>
      </c>
      <c r="C118" s="3">
        <v>46071066</v>
      </c>
      <c r="D118" s="3">
        <v>10091564</v>
      </c>
      <c r="E118" s="3">
        <v>567055</v>
      </c>
      <c r="F118" s="3">
        <v>121430</v>
      </c>
      <c r="G118" s="3">
        <v>35291017</v>
      </c>
      <c r="H118">
        <v>76.599999999999994</v>
      </c>
      <c r="I118">
        <v>1.2</v>
      </c>
      <c r="J118">
        <v>21.9</v>
      </c>
      <c r="K118">
        <v>0.3</v>
      </c>
    </row>
    <row r="119" spans="1:11">
      <c r="A119">
        <v>133</v>
      </c>
      <c r="B119" t="s">
        <v>1812</v>
      </c>
      <c r="C119" s="3">
        <v>5329523</v>
      </c>
      <c r="D119" s="3">
        <v>2722786</v>
      </c>
      <c r="E119" s="3">
        <v>160445</v>
      </c>
      <c r="F119" s="3">
        <v>25000</v>
      </c>
      <c r="G119" s="3">
        <v>2421292</v>
      </c>
      <c r="H119">
        <v>45.4</v>
      </c>
      <c r="I119">
        <v>3</v>
      </c>
      <c r="J119">
        <v>51.1</v>
      </c>
      <c r="K119">
        <v>0.5</v>
      </c>
    </row>
    <row r="120" spans="1:11">
      <c r="A120">
        <v>134</v>
      </c>
      <c r="B120" t="s">
        <v>1813</v>
      </c>
      <c r="C120" s="3">
        <v>19816659</v>
      </c>
      <c r="D120" s="3">
        <v>9589150</v>
      </c>
      <c r="E120" s="3">
        <v>726350</v>
      </c>
      <c r="F120" s="3">
        <v>108357</v>
      </c>
      <c r="G120" s="3">
        <v>9392802</v>
      </c>
      <c r="H120">
        <v>47.4</v>
      </c>
      <c r="I120">
        <v>3.7</v>
      </c>
      <c r="J120">
        <v>48.4</v>
      </c>
      <c r="K120">
        <v>0.5</v>
      </c>
    </row>
    <row r="121" spans="1:11">
      <c r="A121">
        <v>135</v>
      </c>
      <c r="B121" t="s">
        <v>1814</v>
      </c>
      <c r="C121" s="3">
        <v>178070703</v>
      </c>
      <c r="D121" s="3">
        <v>10860575</v>
      </c>
      <c r="E121" s="3">
        <v>6771826</v>
      </c>
      <c r="F121" s="3">
        <v>549618</v>
      </c>
      <c r="G121" s="3">
        <v>159888684</v>
      </c>
      <c r="H121">
        <v>89.8</v>
      </c>
      <c r="I121">
        <v>3.8</v>
      </c>
      <c r="J121">
        <v>6.1</v>
      </c>
      <c r="K121">
        <v>0.3</v>
      </c>
    </row>
    <row r="122" spans="1:11">
      <c r="A122">
        <v>136</v>
      </c>
      <c r="B122" t="s">
        <v>1815</v>
      </c>
      <c r="C122" s="3">
        <v>5545238</v>
      </c>
      <c r="D122" s="3">
        <v>2862773</v>
      </c>
      <c r="E122" s="3">
        <v>161872</v>
      </c>
      <c r="F122" s="3">
        <v>0</v>
      </c>
      <c r="G122" s="3">
        <v>2520593</v>
      </c>
      <c r="H122">
        <v>45.5</v>
      </c>
      <c r="I122">
        <v>2.9</v>
      </c>
      <c r="J122">
        <v>51.6</v>
      </c>
      <c r="K122">
        <v>0</v>
      </c>
    </row>
    <row r="123" spans="1:11">
      <c r="A123">
        <v>137</v>
      </c>
      <c r="B123" t="s">
        <v>1816</v>
      </c>
      <c r="C123" s="3">
        <v>24173463</v>
      </c>
      <c r="D123" s="3">
        <v>2501130</v>
      </c>
      <c r="E123" s="3">
        <v>669452</v>
      </c>
      <c r="F123" s="3">
        <v>91572</v>
      </c>
      <c r="G123" s="3">
        <v>20911309</v>
      </c>
      <c r="H123">
        <v>86.5</v>
      </c>
      <c r="I123">
        <v>2.8</v>
      </c>
      <c r="J123">
        <v>10.3</v>
      </c>
      <c r="K123">
        <v>0.4</v>
      </c>
    </row>
    <row r="124" spans="1:11">
      <c r="A124">
        <v>138</v>
      </c>
      <c r="B124" t="s">
        <v>1817</v>
      </c>
      <c r="C124" s="3">
        <v>70781048</v>
      </c>
      <c r="D124" s="3">
        <v>14899436</v>
      </c>
      <c r="E124" s="3">
        <v>1733681</v>
      </c>
      <c r="F124" s="3">
        <v>5254</v>
      </c>
      <c r="G124" s="3">
        <v>54142677</v>
      </c>
      <c r="H124">
        <v>76.5</v>
      </c>
      <c r="I124">
        <v>2.4</v>
      </c>
      <c r="J124">
        <v>21.1</v>
      </c>
      <c r="K124">
        <v>0</v>
      </c>
    </row>
    <row r="125" spans="1:11">
      <c r="A125">
        <v>139</v>
      </c>
      <c r="B125" t="s">
        <v>1818</v>
      </c>
      <c r="C125" s="3">
        <v>19676749</v>
      </c>
      <c r="D125" s="3">
        <v>4128519</v>
      </c>
      <c r="E125" s="3">
        <v>448337</v>
      </c>
      <c r="F125" s="3">
        <v>480625</v>
      </c>
      <c r="G125" s="3">
        <v>14619268</v>
      </c>
      <c r="H125">
        <v>74.3</v>
      </c>
      <c r="I125">
        <v>2.2999999999999998</v>
      </c>
      <c r="J125">
        <v>21</v>
      </c>
      <c r="K125">
        <v>2.4</v>
      </c>
    </row>
    <row r="126" spans="1:11">
      <c r="A126">
        <v>140</v>
      </c>
      <c r="B126" t="s">
        <v>1819</v>
      </c>
      <c r="C126" s="3">
        <v>12033718</v>
      </c>
      <c r="D126" s="3">
        <v>4894487</v>
      </c>
      <c r="E126" s="3">
        <v>317318</v>
      </c>
      <c r="F126" s="3">
        <v>22418</v>
      </c>
      <c r="G126" s="3">
        <v>6799495</v>
      </c>
      <c r="H126">
        <v>56.5</v>
      </c>
      <c r="I126">
        <v>2.6</v>
      </c>
      <c r="J126">
        <v>40.700000000000003</v>
      </c>
      <c r="K126">
        <v>0.2</v>
      </c>
    </row>
    <row r="127" spans="1:11">
      <c r="A127">
        <v>141</v>
      </c>
      <c r="B127" t="s">
        <v>1820</v>
      </c>
      <c r="C127" s="3">
        <v>12546757</v>
      </c>
      <c r="D127" s="3">
        <v>6900150</v>
      </c>
      <c r="E127" s="3">
        <v>704400</v>
      </c>
      <c r="F127" s="3">
        <v>111846</v>
      </c>
      <c r="G127" s="3">
        <v>4830361</v>
      </c>
      <c r="H127">
        <v>38.5</v>
      </c>
      <c r="I127">
        <v>5.6</v>
      </c>
      <c r="J127">
        <v>55</v>
      </c>
      <c r="K127">
        <v>0.9</v>
      </c>
    </row>
    <row r="128" spans="1:11">
      <c r="A128">
        <v>142</v>
      </c>
      <c r="B128" t="s">
        <v>1821</v>
      </c>
      <c r="C128" s="3">
        <v>26217384</v>
      </c>
      <c r="D128" s="3">
        <v>9251971</v>
      </c>
      <c r="E128" s="3">
        <v>467418</v>
      </c>
      <c r="F128" s="3">
        <v>52667</v>
      </c>
      <c r="G128" s="3">
        <v>16445328</v>
      </c>
      <c r="H128">
        <v>62.7</v>
      </c>
      <c r="I128">
        <v>1.8</v>
      </c>
      <c r="J128">
        <v>35.299999999999997</v>
      </c>
      <c r="K128">
        <v>0.2</v>
      </c>
    </row>
    <row r="129" spans="1:11">
      <c r="A129">
        <v>143</v>
      </c>
      <c r="B129" t="s">
        <v>1822</v>
      </c>
      <c r="C129" s="3">
        <v>47143597</v>
      </c>
      <c r="D129" s="3">
        <v>20947599</v>
      </c>
      <c r="E129" s="3">
        <v>1658930</v>
      </c>
      <c r="F129" s="3">
        <v>168336</v>
      </c>
      <c r="G129" s="3">
        <v>24368732</v>
      </c>
      <c r="H129">
        <v>51.7</v>
      </c>
      <c r="I129">
        <v>3.5</v>
      </c>
      <c r="J129">
        <v>44.4</v>
      </c>
      <c r="K129">
        <v>0.4</v>
      </c>
    </row>
    <row r="130" spans="1:11">
      <c r="A130">
        <v>144</v>
      </c>
      <c r="B130" t="s">
        <v>1823</v>
      </c>
      <c r="C130" s="3">
        <v>61313370</v>
      </c>
      <c r="D130" s="3">
        <v>3299289</v>
      </c>
      <c r="E130" s="3">
        <v>1059065</v>
      </c>
      <c r="F130" s="3">
        <v>991337</v>
      </c>
      <c r="G130" s="3">
        <v>55963679</v>
      </c>
      <c r="H130">
        <v>91.3</v>
      </c>
      <c r="I130">
        <v>1.7</v>
      </c>
      <c r="J130">
        <v>5.4</v>
      </c>
      <c r="K130">
        <v>1.6</v>
      </c>
    </row>
    <row r="131" spans="1:11">
      <c r="A131">
        <v>145</v>
      </c>
      <c r="B131" t="s">
        <v>1824</v>
      </c>
      <c r="C131" s="3">
        <v>988998</v>
      </c>
      <c r="D131" s="3">
        <v>260596</v>
      </c>
      <c r="E131" s="3">
        <v>24791</v>
      </c>
      <c r="F131" s="3">
        <v>2614</v>
      </c>
      <c r="G131" s="3">
        <v>700997</v>
      </c>
      <c r="H131">
        <v>70.900000000000006</v>
      </c>
      <c r="I131">
        <v>2.5</v>
      </c>
      <c r="J131">
        <v>26.3</v>
      </c>
      <c r="K131">
        <v>0.3</v>
      </c>
    </row>
    <row r="132" spans="1:11">
      <c r="A132">
        <v>146</v>
      </c>
      <c r="B132" t="s">
        <v>1825</v>
      </c>
      <c r="C132" s="3">
        <v>40664817</v>
      </c>
      <c r="D132" s="3">
        <v>16324407</v>
      </c>
      <c r="E132" s="3">
        <v>1536651</v>
      </c>
      <c r="F132" s="3">
        <v>623787</v>
      </c>
      <c r="G132" s="3">
        <v>22179972</v>
      </c>
      <c r="H132">
        <v>54.5</v>
      </c>
      <c r="I132">
        <v>3.8</v>
      </c>
      <c r="J132">
        <v>40.1</v>
      </c>
      <c r="K132">
        <v>1.5</v>
      </c>
    </row>
    <row r="133" spans="1:11">
      <c r="A133">
        <v>147</v>
      </c>
      <c r="B133" t="s">
        <v>1826</v>
      </c>
      <c r="C133" s="3">
        <v>5020018</v>
      </c>
      <c r="D133" s="3">
        <v>2518468</v>
      </c>
      <c r="E133" s="3">
        <v>116856</v>
      </c>
      <c r="F133" s="3">
        <v>4050</v>
      </c>
      <c r="G133" s="3">
        <v>2380644</v>
      </c>
      <c r="H133">
        <v>47.4</v>
      </c>
      <c r="I133">
        <v>2.2999999999999998</v>
      </c>
      <c r="J133">
        <v>50.2</v>
      </c>
      <c r="K133">
        <v>0.1</v>
      </c>
    </row>
    <row r="134" spans="1:11">
      <c r="A134">
        <v>148</v>
      </c>
      <c r="B134" t="s">
        <v>1827</v>
      </c>
      <c r="C134" s="3">
        <v>66961781</v>
      </c>
      <c r="D134" s="3">
        <v>20079772</v>
      </c>
      <c r="E134" s="3">
        <v>1274783</v>
      </c>
      <c r="F134" s="3">
        <v>999131</v>
      </c>
      <c r="G134" s="3">
        <v>44608095</v>
      </c>
      <c r="H134">
        <v>66.599999999999994</v>
      </c>
      <c r="I134">
        <v>1.9</v>
      </c>
      <c r="J134">
        <v>30</v>
      </c>
      <c r="K134">
        <v>1.5</v>
      </c>
    </row>
    <row r="135" spans="1:11">
      <c r="A135">
        <v>151</v>
      </c>
      <c r="B135" t="s">
        <v>1611</v>
      </c>
      <c r="C135" s="3">
        <v>186569753</v>
      </c>
      <c r="D135" s="3">
        <v>104775266</v>
      </c>
      <c r="E135" s="3">
        <v>16922196</v>
      </c>
      <c r="F135" s="3">
        <v>704518</v>
      </c>
      <c r="G135" s="3">
        <v>64167773</v>
      </c>
      <c r="H135">
        <v>34.4</v>
      </c>
      <c r="I135">
        <v>9.1</v>
      </c>
      <c r="J135">
        <v>56.2</v>
      </c>
      <c r="K135">
        <v>0.4</v>
      </c>
    </row>
    <row r="136" spans="1:11">
      <c r="A136">
        <v>152</v>
      </c>
      <c r="B136" t="s">
        <v>1612</v>
      </c>
      <c r="C136" s="3">
        <v>33696908</v>
      </c>
      <c r="D136" s="3">
        <v>1099047</v>
      </c>
      <c r="E136" s="3">
        <v>738853</v>
      </c>
      <c r="F136" s="3">
        <v>135448</v>
      </c>
      <c r="G136" s="3">
        <v>31723560</v>
      </c>
      <c r="H136">
        <v>94.1</v>
      </c>
      <c r="I136">
        <v>2.2000000000000002</v>
      </c>
      <c r="J136">
        <v>3.3</v>
      </c>
      <c r="K136">
        <v>0.4</v>
      </c>
    </row>
    <row r="137" spans="1:11">
      <c r="A137">
        <v>153</v>
      </c>
      <c r="B137" t="s">
        <v>1613</v>
      </c>
      <c r="C137" s="3">
        <v>29139941</v>
      </c>
      <c r="D137" s="3">
        <v>10270366</v>
      </c>
      <c r="E137" s="3">
        <v>767626</v>
      </c>
      <c r="F137" s="3">
        <v>162643</v>
      </c>
      <c r="G137" s="3">
        <v>17939306</v>
      </c>
      <c r="H137">
        <v>61.6</v>
      </c>
      <c r="I137">
        <v>2.6</v>
      </c>
      <c r="J137">
        <v>35.200000000000003</v>
      </c>
      <c r="K137">
        <v>0.6</v>
      </c>
    </row>
    <row r="138" spans="1:11">
      <c r="A138">
        <v>154</v>
      </c>
      <c r="B138" t="s">
        <v>1614</v>
      </c>
      <c r="C138" s="3">
        <v>9848067</v>
      </c>
      <c r="D138" s="3">
        <v>409779</v>
      </c>
      <c r="E138" s="3">
        <v>197228</v>
      </c>
      <c r="F138" s="3">
        <v>0</v>
      </c>
      <c r="G138" s="3">
        <v>9241060</v>
      </c>
      <c r="H138">
        <v>93.8</v>
      </c>
      <c r="I138">
        <v>2</v>
      </c>
      <c r="J138">
        <v>4.2</v>
      </c>
      <c r="K138">
        <v>0</v>
      </c>
    </row>
    <row r="139" spans="1:11">
      <c r="A139">
        <v>155</v>
      </c>
      <c r="B139" t="s">
        <v>1615</v>
      </c>
      <c r="C139" s="3">
        <v>94072627</v>
      </c>
      <c r="D139" s="3">
        <v>9849840</v>
      </c>
      <c r="E139" s="3">
        <v>2259466</v>
      </c>
      <c r="F139" s="3">
        <v>249783</v>
      </c>
      <c r="G139" s="3">
        <v>81713538</v>
      </c>
      <c r="H139">
        <v>86.9</v>
      </c>
      <c r="I139">
        <v>2.4</v>
      </c>
      <c r="J139">
        <v>10.5</v>
      </c>
      <c r="K139">
        <v>0.3</v>
      </c>
    </row>
    <row r="140" spans="1:11">
      <c r="A140">
        <v>156</v>
      </c>
      <c r="B140" t="s">
        <v>1616</v>
      </c>
      <c r="C140" s="3">
        <v>72876883</v>
      </c>
      <c r="D140" s="3">
        <v>39206512</v>
      </c>
      <c r="E140" s="3">
        <v>2164051</v>
      </c>
      <c r="F140" s="3">
        <v>280379</v>
      </c>
      <c r="G140" s="3">
        <v>31225941</v>
      </c>
      <c r="H140">
        <v>42.8</v>
      </c>
      <c r="I140">
        <v>3</v>
      </c>
      <c r="J140">
        <v>53.8</v>
      </c>
      <c r="K140">
        <v>0.4</v>
      </c>
    </row>
    <row r="141" spans="1:11">
      <c r="A141">
        <v>157</v>
      </c>
      <c r="B141" t="s">
        <v>1617</v>
      </c>
      <c r="C141" s="3">
        <v>32523100</v>
      </c>
      <c r="D141" s="3">
        <v>1097241</v>
      </c>
      <c r="E141" s="3">
        <v>358326</v>
      </c>
      <c r="F141" s="3">
        <v>169544</v>
      </c>
      <c r="G141" s="3">
        <v>30897989</v>
      </c>
      <c r="H141">
        <v>95</v>
      </c>
      <c r="I141">
        <v>1.1000000000000001</v>
      </c>
      <c r="J141">
        <v>3.4</v>
      </c>
      <c r="K141">
        <v>0.5</v>
      </c>
    </row>
    <row r="142" spans="1:11">
      <c r="A142">
        <v>158</v>
      </c>
      <c r="B142" t="s">
        <v>1618</v>
      </c>
      <c r="C142" s="3">
        <v>68942955</v>
      </c>
      <c r="D142" s="3">
        <v>1753233</v>
      </c>
      <c r="E142" s="3">
        <v>1046801</v>
      </c>
      <c r="F142" s="3">
        <v>933123</v>
      </c>
      <c r="G142" s="3">
        <v>65209798</v>
      </c>
      <c r="H142">
        <v>94.6</v>
      </c>
      <c r="I142">
        <v>1.5</v>
      </c>
      <c r="J142">
        <v>2.5</v>
      </c>
      <c r="K142">
        <v>1.4</v>
      </c>
    </row>
    <row r="143" spans="1:11">
      <c r="A143">
        <v>159</v>
      </c>
      <c r="B143" t="s">
        <v>1619</v>
      </c>
      <c r="C143" s="3">
        <v>34706914</v>
      </c>
      <c r="D143" s="3">
        <v>4533286</v>
      </c>
      <c r="E143" s="3">
        <v>652173</v>
      </c>
      <c r="F143" s="3">
        <v>37664</v>
      </c>
      <c r="G143" s="3">
        <v>29483791</v>
      </c>
      <c r="H143">
        <v>85</v>
      </c>
      <c r="I143">
        <v>1.9</v>
      </c>
      <c r="J143">
        <v>13.1</v>
      </c>
      <c r="K143">
        <v>0.1</v>
      </c>
    </row>
    <row r="144" spans="1:11">
      <c r="A144">
        <v>160</v>
      </c>
      <c r="B144" t="s">
        <v>1620</v>
      </c>
      <c r="C144" s="3">
        <v>6407133</v>
      </c>
      <c r="D144" s="3">
        <v>2252806</v>
      </c>
      <c r="E144" s="3">
        <v>214285</v>
      </c>
      <c r="F144" s="3">
        <v>0</v>
      </c>
      <c r="G144" s="3">
        <v>3940042</v>
      </c>
      <c r="H144">
        <v>61.5</v>
      </c>
      <c r="I144">
        <v>3.3</v>
      </c>
      <c r="J144">
        <v>35.200000000000003</v>
      </c>
      <c r="K144">
        <v>0</v>
      </c>
    </row>
    <row r="145" spans="1:11">
      <c r="A145">
        <v>161</v>
      </c>
      <c r="B145" t="s">
        <v>1621</v>
      </c>
      <c r="C145" s="3">
        <v>46266955</v>
      </c>
      <c r="D145" s="3">
        <v>1555542</v>
      </c>
      <c r="E145" s="3">
        <v>741565</v>
      </c>
      <c r="F145" s="3">
        <v>211972</v>
      </c>
      <c r="G145" s="3">
        <v>43757876</v>
      </c>
      <c r="H145">
        <v>94.6</v>
      </c>
      <c r="I145">
        <v>1.6</v>
      </c>
      <c r="J145">
        <v>3.4</v>
      </c>
      <c r="K145">
        <v>0.5</v>
      </c>
    </row>
    <row r="146" spans="1:11">
      <c r="A146">
        <v>162</v>
      </c>
      <c r="B146" t="s">
        <v>1622</v>
      </c>
      <c r="C146" s="3">
        <v>17446299</v>
      </c>
      <c r="D146" s="3">
        <v>6798903</v>
      </c>
      <c r="E146" s="3">
        <v>529229</v>
      </c>
      <c r="F146" s="3">
        <v>33430</v>
      </c>
      <c r="G146" s="3">
        <v>10084737</v>
      </c>
      <c r="H146">
        <v>57.8</v>
      </c>
      <c r="I146">
        <v>3</v>
      </c>
      <c r="J146">
        <v>39</v>
      </c>
      <c r="K146">
        <v>0.2</v>
      </c>
    </row>
    <row r="147" spans="1:11">
      <c r="A147">
        <v>163</v>
      </c>
      <c r="B147" t="s">
        <v>1623</v>
      </c>
      <c r="C147" s="3">
        <v>42027892</v>
      </c>
      <c r="D147" s="3">
        <v>23789409</v>
      </c>
      <c r="E147" s="3">
        <v>5863873</v>
      </c>
      <c r="F147" s="3">
        <v>1579819</v>
      </c>
      <c r="G147" s="3">
        <v>10794791</v>
      </c>
      <c r="H147">
        <v>25.7</v>
      </c>
      <c r="I147">
        <v>14</v>
      </c>
      <c r="J147">
        <v>56.6</v>
      </c>
      <c r="K147">
        <v>3.8</v>
      </c>
    </row>
    <row r="148" spans="1:11">
      <c r="A148">
        <v>164</v>
      </c>
      <c r="B148" t="s">
        <v>1624</v>
      </c>
      <c r="C148" s="3">
        <v>48211748</v>
      </c>
      <c r="D148" s="3">
        <v>9311917</v>
      </c>
      <c r="E148" s="3">
        <v>906578</v>
      </c>
      <c r="F148" s="3">
        <v>153398</v>
      </c>
      <c r="G148" s="3">
        <v>37839855</v>
      </c>
      <c r="H148">
        <v>78.5</v>
      </c>
      <c r="I148">
        <v>1.9</v>
      </c>
      <c r="J148">
        <v>19.3</v>
      </c>
      <c r="K148">
        <v>0.3</v>
      </c>
    </row>
    <row r="149" spans="1:11">
      <c r="A149">
        <v>165</v>
      </c>
      <c r="B149" t="s">
        <v>1625</v>
      </c>
      <c r="C149" s="3">
        <v>20661452</v>
      </c>
      <c r="D149" s="3">
        <v>2900992</v>
      </c>
      <c r="E149" s="3">
        <v>381833</v>
      </c>
      <c r="F149" s="3">
        <v>111176</v>
      </c>
      <c r="G149" s="3">
        <v>17267451</v>
      </c>
      <c r="H149">
        <v>83.6</v>
      </c>
      <c r="I149">
        <v>1.8</v>
      </c>
      <c r="J149">
        <v>14</v>
      </c>
      <c r="K149">
        <v>0.5</v>
      </c>
    </row>
    <row r="150" spans="1:11">
      <c r="A150">
        <v>166</v>
      </c>
      <c r="B150" t="s">
        <v>1626</v>
      </c>
      <c r="C150" s="3">
        <v>25571351</v>
      </c>
      <c r="D150" s="3">
        <v>11290135</v>
      </c>
      <c r="E150" s="3">
        <v>430548</v>
      </c>
      <c r="F150" s="3">
        <v>480102</v>
      </c>
      <c r="G150" s="3">
        <v>13370566</v>
      </c>
      <c r="H150">
        <v>52.3</v>
      </c>
      <c r="I150">
        <v>1.7</v>
      </c>
      <c r="J150">
        <v>44.2</v>
      </c>
      <c r="K150">
        <v>1.9</v>
      </c>
    </row>
    <row r="151" spans="1:11">
      <c r="A151">
        <v>167</v>
      </c>
      <c r="B151" t="s">
        <v>1627</v>
      </c>
      <c r="C151" s="3">
        <v>9617816</v>
      </c>
      <c r="D151" s="3">
        <v>374749</v>
      </c>
      <c r="E151" s="3">
        <v>144534</v>
      </c>
      <c r="F151" s="3">
        <v>8528</v>
      </c>
      <c r="G151" s="3">
        <v>9090005</v>
      </c>
      <c r="H151">
        <v>94.5</v>
      </c>
      <c r="I151">
        <v>1.5</v>
      </c>
      <c r="J151">
        <v>3.9</v>
      </c>
      <c r="K151">
        <v>0.1</v>
      </c>
    </row>
    <row r="152" spans="1:11">
      <c r="A152">
        <v>169</v>
      </c>
      <c r="B152" t="s">
        <v>1628</v>
      </c>
      <c r="C152" s="3">
        <v>11868802</v>
      </c>
      <c r="D152" s="3">
        <v>4456641</v>
      </c>
      <c r="E152" s="3">
        <v>289106</v>
      </c>
      <c r="F152" s="3">
        <v>28061</v>
      </c>
      <c r="G152" s="3">
        <v>7094994</v>
      </c>
      <c r="H152">
        <v>59.8</v>
      </c>
      <c r="I152">
        <v>2.4</v>
      </c>
      <c r="J152">
        <v>37.5</v>
      </c>
      <c r="K152">
        <v>0.2</v>
      </c>
    </row>
    <row r="153" spans="1:11">
      <c r="A153">
        <v>201</v>
      </c>
      <c r="B153" t="s">
        <v>1629</v>
      </c>
      <c r="C153" s="3">
        <v>7249177</v>
      </c>
      <c r="D153" s="3">
        <v>862292</v>
      </c>
      <c r="E153" s="3">
        <v>202351</v>
      </c>
      <c r="F153" s="3">
        <v>8439</v>
      </c>
      <c r="G153" s="3">
        <v>6176095</v>
      </c>
      <c r="H153">
        <v>85.2</v>
      </c>
      <c r="I153">
        <v>2.8</v>
      </c>
      <c r="J153">
        <v>11.9</v>
      </c>
      <c r="K153">
        <v>0.1</v>
      </c>
    </row>
    <row r="154" spans="1:11">
      <c r="A154">
        <v>204</v>
      </c>
      <c r="B154" t="s">
        <v>1630</v>
      </c>
      <c r="C154" s="3">
        <v>10938023</v>
      </c>
      <c r="D154" s="3">
        <v>1195785</v>
      </c>
      <c r="E154" s="3">
        <v>152482</v>
      </c>
      <c r="F154" s="3">
        <v>0</v>
      </c>
      <c r="G154" s="3">
        <v>9589756</v>
      </c>
      <c r="H154">
        <v>87.7</v>
      </c>
      <c r="I154">
        <v>1.4</v>
      </c>
      <c r="J154">
        <v>10.9</v>
      </c>
      <c r="K154">
        <v>0</v>
      </c>
    </row>
    <row r="155" spans="1:11">
      <c r="A155">
        <v>205</v>
      </c>
      <c r="B155" t="s">
        <v>1631</v>
      </c>
      <c r="C155" s="3">
        <v>27745709</v>
      </c>
      <c r="D155" s="3">
        <v>1485413</v>
      </c>
      <c r="E155" s="3">
        <v>360804</v>
      </c>
      <c r="F155" s="3">
        <v>26944</v>
      </c>
      <c r="G155" s="3">
        <v>25872548</v>
      </c>
      <c r="H155">
        <v>93.2</v>
      </c>
      <c r="I155">
        <v>1.3</v>
      </c>
      <c r="J155">
        <v>5.4</v>
      </c>
      <c r="K155">
        <v>0.1</v>
      </c>
    </row>
    <row r="156" spans="1:11">
      <c r="A156">
        <v>206</v>
      </c>
      <c r="B156" t="s">
        <v>1632</v>
      </c>
      <c r="C156" s="3">
        <v>12046785</v>
      </c>
      <c r="D156" s="3">
        <v>1007744</v>
      </c>
      <c r="E156" s="3">
        <v>296102</v>
      </c>
      <c r="F156" s="3">
        <v>509470</v>
      </c>
      <c r="G156" s="3">
        <v>10233469</v>
      </c>
      <c r="H156">
        <v>84.9</v>
      </c>
      <c r="I156">
        <v>2.5</v>
      </c>
      <c r="J156">
        <v>8.4</v>
      </c>
      <c r="K156">
        <v>4.2</v>
      </c>
    </row>
    <row r="157" spans="1:11">
      <c r="A157">
        <v>207</v>
      </c>
      <c r="B157" t="s">
        <v>1633</v>
      </c>
      <c r="C157" s="3">
        <v>12878762</v>
      </c>
      <c r="D157" s="3">
        <v>2386503</v>
      </c>
      <c r="E157" s="3">
        <v>274406</v>
      </c>
      <c r="F157" s="3">
        <v>494201</v>
      </c>
      <c r="G157" s="3">
        <v>9723652</v>
      </c>
      <c r="H157">
        <v>75.5</v>
      </c>
      <c r="I157">
        <v>2.1</v>
      </c>
      <c r="J157">
        <v>18.5</v>
      </c>
      <c r="K157">
        <v>3.8</v>
      </c>
    </row>
    <row r="158" spans="1:11">
      <c r="A158">
        <v>208</v>
      </c>
      <c r="B158" t="s">
        <v>1634</v>
      </c>
      <c r="C158" s="3">
        <v>15314503</v>
      </c>
      <c r="D158" s="3">
        <v>4759366</v>
      </c>
      <c r="E158" s="3">
        <v>273606</v>
      </c>
      <c r="F158" s="3">
        <v>31207</v>
      </c>
      <c r="G158" s="3">
        <v>10250324</v>
      </c>
      <c r="H158">
        <v>66.900000000000006</v>
      </c>
      <c r="I158">
        <v>1.8</v>
      </c>
      <c r="J158">
        <v>31.1</v>
      </c>
      <c r="K158">
        <v>0.2</v>
      </c>
    </row>
    <row r="159" spans="1:11">
      <c r="A159">
        <v>209</v>
      </c>
      <c r="B159" t="s">
        <v>1635</v>
      </c>
      <c r="C159" s="3">
        <v>12808975</v>
      </c>
      <c r="D159" s="3">
        <v>306269</v>
      </c>
      <c r="E159" s="3">
        <v>247794</v>
      </c>
      <c r="F159" s="3">
        <v>4888</v>
      </c>
      <c r="G159" s="3">
        <v>12250024</v>
      </c>
      <c r="H159">
        <v>95.6</v>
      </c>
      <c r="I159">
        <v>1.9</v>
      </c>
      <c r="J159">
        <v>2.4</v>
      </c>
      <c r="K159">
        <v>0</v>
      </c>
    </row>
    <row r="160" spans="1:11">
      <c r="A160">
        <v>210</v>
      </c>
      <c r="B160" t="s">
        <v>1636</v>
      </c>
      <c r="C160" s="3">
        <v>24104926</v>
      </c>
      <c r="D160" s="3">
        <v>6492746</v>
      </c>
      <c r="E160" s="3">
        <v>317921</v>
      </c>
      <c r="F160" s="3">
        <v>6850</v>
      </c>
      <c r="G160" s="3">
        <v>17287409</v>
      </c>
      <c r="H160">
        <v>71.7</v>
      </c>
      <c r="I160">
        <v>1.3</v>
      </c>
      <c r="J160">
        <v>26.9</v>
      </c>
      <c r="K160">
        <v>0</v>
      </c>
    </row>
    <row r="161" spans="1:11">
      <c r="A161">
        <v>211</v>
      </c>
      <c r="B161" t="s">
        <v>1637</v>
      </c>
      <c r="C161" s="3">
        <v>5436345</v>
      </c>
      <c r="D161" s="3">
        <v>1844793</v>
      </c>
      <c r="E161" s="3">
        <v>116441</v>
      </c>
      <c r="F161" s="3">
        <v>49533</v>
      </c>
      <c r="G161" s="3">
        <v>3425578</v>
      </c>
      <c r="H161">
        <v>63</v>
      </c>
      <c r="I161">
        <v>2.1</v>
      </c>
      <c r="J161">
        <v>33.9</v>
      </c>
      <c r="K161">
        <v>0.9</v>
      </c>
    </row>
    <row r="162" spans="1:11">
      <c r="A162">
        <v>212</v>
      </c>
      <c r="B162" t="s">
        <v>1638</v>
      </c>
      <c r="C162" s="3">
        <v>15288992</v>
      </c>
      <c r="D162" s="3">
        <v>479594</v>
      </c>
      <c r="E162" s="3">
        <v>317059</v>
      </c>
      <c r="F162" s="3">
        <v>328200</v>
      </c>
      <c r="G162" s="3">
        <v>14164139</v>
      </c>
      <c r="H162">
        <v>92.6</v>
      </c>
      <c r="I162">
        <v>2.1</v>
      </c>
      <c r="J162">
        <v>3.1</v>
      </c>
      <c r="K162">
        <v>2.1</v>
      </c>
    </row>
    <row r="163" spans="1:11">
      <c r="A163">
        <v>213</v>
      </c>
      <c r="B163" t="s">
        <v>1639</v>
      </c>
      <c r="C163" s="3">
        <v>22492022</v>
      </c>
      <c r="D163" s="3">
        <v>5552206</v>
      </c>
      <c r="E163" s="3">
        <v>467832</v>
      </c>
      <c r="F163" s="3">
        <v>34354</v>
      </c>
      <c r="G163" s="3">
        <v>16437630</v>
      </c>
      <c r="H163">
        <v>73.099999999999994</v>
      </c>
      <c r="I163">
        <v>2.1</v>
      </c>
      <c r="J163">
        <v>24.7</v>
      </c>
      <c r="K163">
        <v>0.2</v>
      </c>
    </row>
    <row r="164" spans="1:11">
      <c r="A164">
        <v>214</v>
      </c>
      <c r="B164" t="s">
        <v>1640</v>
      </c>
      <c r="C164" s="3">
        <v>21782821</v>
      </c>
      <c r="D164" s="3">
        <v>2579166</v>
      </c>
      <c r="E164" s="3">
        <v>577451</v>
      </c>
      <c r="F164" s="3">
        <v>1154007</v>
      </c>
      <c r="G164" s="3">
        <v>17472197</v>
      </c>
      <c r="H164">
        <v>80.2</v>
      </c>
      <c r="I164">
        <v>2.7</v>
      </c>
      <c r="J164">
        <v>11.8</v>
      </c>
      <c r="K164">
        <v>5.3</v>
      </c>
    </row>
    <row r="165" spans="1:11">
      <c r="A165">
        <v>215</v>
      </c>
      <c r="B165" t="s">
        <v>1641</v>
      </c>
      <c r="C165" s="3">
        <v>42020038</v>
      </c>
      <c r="D165" s="3">
        <v>1896041</v>
      </c>
      <c r="E165" s="3">
        <v>672385</v>
      </c>
      <c r="F165" s="3">
        <v>220706</v>
      </c>
      <c r="G165" s="3">
        <v>39230906</v>
      </c>
      <c r="H165">
        <v>93.4</v>
      </c>
      <c r="I165">
        <v>1.6</v>
      </c>
      <c r="J165">
        <v>4.5</v>
      </c>
      <c r="K165">
        <v>0.5</v>
      </c>
    </row>
    <row r="166" spans="1:11">
      <c r="A166">
        <v>216</v>
      </c>
      <c r="B166" t="s">
        <v>1642</v>
      </c>
      <c r="C166" s="3">
        <v>22830754</v>
      </c>
      <c r="D166" s="3">
        <v>7928926</v>
      </c>
      <c r="E166" s="3">
        <v>299668</v>
      </c>
      <c r="F166" s="3">
        <v>14721</v>
      </c>
      <c r="G166" s="3">
        <v>14587439</v>
      </c>
      <c r="H166">
        <v>63.9</v>
      </c>
      <c r="I166">
        <v>1.3</v>
      </c>
      <c r="J166">
        <v>34.700000000000003</v>
      </c>
      <c r="K166">
        <v>0.1</v>
      </c>
    </row>
    <row r="167" spans="1:11">
      <c r="A167">
        <v>217</v>
      </c>
      <c r="B167" t="s">
        <v>1643</v>
      </c>
      <c r="C167" s="3">
        <v>24532720</v>
      </c>
      <c r="D167" s="3">
        <v>2974483</v>
      </c>
      <c r="E167" s="3">
        <v>446897</v>
      </c>
      <c r="F167" s="3">
        <v>16960</v>
      </c>
      <c r="G167" s="3">
        <v>21094380</v>
      </c>
      <c r="H167">
        <v>86</v>
      </c>
      <c r="I167">
        <v>1.8</v>
      </c>
      <c r="J167">
        <v>12.1</v>
      </c>
      <c r="K167">
        <v>0.1</v>
      </c>
    </row>
    <row r="168" spans="1:11">
      <c r="A168">
        <v>218</v>
      </c>
      <c r="B168" t="s">
        <v>1644</v>
      </c>
      <c r="C168" s="3">
        <v>20078831</v>
      </c>
      <c r="D168" s="3">
        <v>1003408</v>
      </c>
      <c r="E168" s="3">
        <v>191982</v>
      </c>
      <c r="F168" s="3">
        <v>54841</v>
      </c>
      <c r="G168" s="3">
        <v>18828600</v>
      </c>
      <c r="H168">
        <v>93.8</v>
      </c>
      <c r="I168">
        <v>1</v>
      </c>
      <c r="J168">
        <v>5</v>
      </c>
      <c r="K168">
        <v>0.3</v>
      </c>
    </row>
    <row r="169" spans="1:11">
      <c r="A169">
        <v>219</v>
      </c>
      <c r="B169" t="s">
        <v>1645</v>
      </c>
      <c r="C169" s="3">
        <v>13133437</v>
      </c>
      <c r="D169" s="3">
        <v>5350315</v>
      </c>
      <c r="E169" s="3">
        <v>272741</v>
      </c>
      <c r="F169" s="3">
        <v>499402</v>
      </c>
      <c r="G169" s="3">
        <v>7010979</v>
      </c>
      <c r="H169">
        <v>53.4</v>
      </c>
      <c r="I169">
        <v>2.1</v>
      </c>
      <c r="J169">
        <v>40.700000000000003</v>
      </c>
      <c r="K169">
        <v>3.8</v>
      </c>
    </row>
    <row r="170" spans="1:11">
      <c r="A170">
        <v>261</v>
      </c>
      <c r="B170" t="s">
        <v>1646</v>
      </c>
      <c r="C170" s="3">
        <v>2224829</v>
      </c>
      <c r="D170" s="3">
        <v>1888274</v>
      </c>
      <c r="E170" s="3">
        <v>280516</v>
      </c>
      <c r="F170" s="3">
        <v>56039</v>
      </c>
      <c r="G170" s="3">
        <v>0</v>
      </c>
      <c r="H170">
        <v>0</v>
      </c>
      <c r="I170">
        <v>12.6</v>
      </c>
      <c r="J170">
        <v>84.9</v>
      </c>
      <c r="K170">
        <v>2.5</v>
      </c>
    </row>
    <row r="171" spans="1:11">
      <c r="A171">
        <v>263</v>
      </c>
      <c r="B171" t="s">
        <v>1647</v>
      </c>
      <c r="C171" s="3">
        <v>927383</v>
      </c>
      <c r="D171" s="3">
        <v>730489</v>
      </c>
      <c r="E171" s="3">
        <v>25457</v>
      </c>
      <c r="F171" s="3">
        <v>150767</v>
      </c>
      <c r="G171" s="3">
        <v>20670</v>
      </c>
      <c r="H171">
        <v>2.2000000000000002</v>
      </c>
      <c r="I171">
        <v>2.7</v>
      </c>
      <c r="J171">
        <v>78.8</v>
      </c>
      <c r="K171">
        <v>16.3</v>
      </c>
    </row>
    <row r="172" spans="1:11">
      <c r="A172">
        <v>264</v>
      </c>
      <c r="B172" t="s">
        <v>1648</v>
      </c>
      <c r="C172" s="3">
        <v>2365082</v>
      </c>
      <c r="D172" s="3">
        <v>1959239</v>
      </c>
      <c r="E172" s="3">
        <v>130213</v>
      </c>
      <c r="F172" s="3">
        <v>274362</v>
      </c>
      <c r="G172" s="3">
        <v>1268</v>
      </c>
      <c r="H172">
        <v>0.1</v>
      </c>
      <c r="I172">
        <v>5.5</v>
      </c>
      <c r="J172">
        <v>82.8</v>
      </c>
      <c r="K172">
        <v>11.6</v>
      </c>
    </row>
    <row r="173" spans="1:11">
      <c r="A173">
        <v>265</v>
      </c>
      <c r="B173" t="s">
        <v>1649</v>
      </c>
      <c r="C173" s="3">
        <v>1117111</v>
      </c>
      <c r="D173" s="3">
        <v>807703</v>
      </c>
      <c r="E173" s="3">
        <v>84919</v>
      </c>
      <c r="F173" s="3">
        <v>209970</v>
      </c>
      <c r="G173" s="3">
        <v>14519</v>
      </c>
      <c r="H173">
        <v>1.3</v>
      </c>
      <c r="I173">
        <v>7.6</v>
      </c>
      <c r="J173">
        <v>72.3</v>
      </c>
      <c r="K173">
        <v>18.8</v>
      </c>
    </row>
    <row r="174" spans="1:11">
      <c r="A174">
        <v>268</v>
      </c>
      <c r="B174" t="s">
        <v>1650</v>
      </c>
      <c r="C174" s="3">
        <v>1079662</v>
      </c>
      <c r="D174" s="3">
        <v>789575</v>
      </c>
      <c r="E174" s="3">
        <v>223947</v>
      </c>
      <c r="F174" s="3">
        <v>66140</v>
      </c>
      <c r="G174" s="3">
        <v>0</v>
      </c>
      <c r="H174">
        <v>0</v>
      </c>
      <c r="I174">
        <v>20.7</v>
      </c>
      <c r="J174">
        <v>73.099999999999994</v>
      </c>
      <c r="K174">
        <v>6.1</v>
      </c>
    </row>
    <row r="175" spans="1:11">
      <c r="A175">
        <v>269</v>
      </c>
      <c r="B175" t="s">
        <v>1651</v>
      </c>
      <c r="C175" s="3">
        <v>1596033</v>
      </c>
      <c r="D175" s="3">
        <v>1229666</v>
      </c>
      <c r="E175" s="3">
        <v>243925</v>
      </c>
      <c r="F175" s="3">
        <v>93321</v>
      </c>
      <c r="G175" s="3">
        <v>29121</v>
      </c>
      <c r="H175">
        <v>1.8</v>
      </c>
      <c r="I175">
        <v>15.3</v>
      </c>
      <c r="J175">
        <v>77</v>
      </c>
      <c r="K175">
        <v>5.8</v>
      </c>
    </row>
    <row r="176" spans="1:11">
      <c r="A176">
        <v>270</v>
      </c>
      <c r="B176" t="s">
        <v>1652</v>
      </c>
      <c r="C176" s="3">
        <v>2142766</v>
      </c>
      <c r="D176" s="3">
        <v>1737117</v>
      </c>
      <c r="E176" s="3">
        <v>60453</v>
      </c>
      <c r="F176" s="3">
        <v>221129</v>
      </c>
      <c r="G176" s="3">
        <v>124067</v>
      </c>
      <c r="H176">
        <v>5.8</v>
      </c>
      <c r="I176">
        <v>2.8</v>
      </c>
      <c r="J176">
        <v>81.099999999999994</v>
      </c>
      <c r="K176">
        <v>10.3</v>
      </c>
    </row>
    <row r="177" spans="1:11">
      <c r="A177">
        <v>272</v>
      </c>
      <c r="B177" t="s">
        <v>1653</v>
      </c>
      <c r="C177" s="3">
        <v>602495</v>
      </c>
      <c r="D177" s="3">
        <v>467446</v>
      </c>
      <c r="E177" s="3">
        <v>28266</v>
      </c>
      <c r="F177" s="3">
        <v>82833</v>
      </c>
      <c r="G177" s="3">
        <v>23950</v>
      </c>
      <c r="H177">
        <v>4</v>
      </c>
      <c r="I177">
        <v>4.7</v>
      </c>
      <c r="J177">
        <v>77.599999999999994</v>
      </c>
      <c r="K177">
        <v>13.7</v>
      </c>
    </row>
    <row r="178" spans="1:11">
      <c r="A178">
        <v>273</v>
      </c>
      <c r="B178" t="s">
        <v>1662</v>
      </c>
      <c r="C178" s="3">
        <v>0</v>
      </c>
      <c r="D178" s="3">
        <v>0</v>
      </c>
      <c r="E178" s="3">
        <v>0</v>
      </c>
      <c r="F178" s="3">
        <v>0</v>
      </c>
      <c r="G178" s="3">
        <v>0</v>
      </c>
    </row>
    <row r="179" spans="1:11">
      <c r="A179">
        <v>277</v>
      </c>
      <c r="B179" t="s">
        <v>1654</v>
      </c>
      <c r="C179" s="3">
        <v>2378894</v>
      </c>
      <c r="D179" s="3">
        <v>2115519</v>
      </c>
      <c r="E179" s="3">
        <v>241185</v>
      </c>
      <c r="F179" s="3">
        <v>22190</v>
      </c>
      <c r="G179" s="3">
        <v>0</v>
      </c>
      <c r="H179">
        <v>0</v>
      </c>
      <c r="I179">
        <v>10.1</v>
      </c>
      <c r="J179">
        <v>88.9</v>
      </c>
      <c r="K179">
        <v>0.9</v>
      </c>
    </row>
    <row r="180" spans="1:11">
      <c r="A180">
        <v>278</v>
      </c>
      <c r="B180" t="s">
        <v>1655</v>
      </c>
      <c r="C180" s="3">
        <v>1584899</v>
      </c>
      <c r="D180" s="3">
        <v>759421</v>
      </c>
      <c r="E180" s="3">
        <v>76937</v>
      </c>
      <c r="F180" s="3">
        <v>748541</v>
      </c>
      <c r="G180" s="3">
        <v>0</v>
      </c>
      <c r="H180">
        <v>0</v>
      </c>
      <c r="I180">
        <v>4.9000000000000004</v>
      </c>
      <c r="J180">
        <v>47.9</v>
      </c>
      <c r="K180">
        <v>47.2</v>
      </c>
    </row>
    <row r="181" spans="1:11">
      <c r="A181">
        <v>279</v>
      </c>
      <c r="B181" t="s">
        <v>1656</v>
      </c>
      <c r="C181" s="3">
        <v>2436679</v>
      </c>
      <c r="D181" s="3">
        <v>1544402</v>
      </c>
      <c r="E181" s="3">
        <v>214757</v>
      </c>
      <c r="F181" s="3">
        <v>677520</v>
      </c>
      <c r="G181" s="3">
        <v>0</v>
      </c>
      <c r="H181">
        <v>0</v>
      </c>
      <c r="I181">
        <v>8.8000000000000007</v>
      </c>
      <c r="J181">
        <v>63.4</v>
      </c>
      <c r="K181">
        <v>27.8</v>
      </c>
    </row>
    <row r="182" spans="1:11">
      <c r="A182">
        <v>280</v>
      </c>
      <c r="B182" t="s">
        <v>1657</v>
      </c>
      <c r="C182" s="3">
        <v>2012615</v>
      </c>
      <c r="D182" s="3">
        <v>997319</v>
      </c>
      <c r="E182" s="3">
        <v>336588</v>
      </c>
      <c r="F182" s="3">
        <v>616211</v>
      </c>
      <c r="G182" s="3">
        <v>62497</v>
      </c>
      <c r="H182">
        <v>3.1</v>
      </c>
      <c r="I182">
        <v>16.7</v>
      </c>
      <c r="J182">
        <v>49.6</v>
      </c>
      <c r="K182">
        <v>30.6</v>
      </c>
    </row>
  </sheetData>
  <phoneticPr fontId="2"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Legend</vt:lpstr>
      <vt:lpstr>2006-07 without school constr</vt:lpstr>
      <vt:lpstr>2006-07 St Dist w school constr</vt:lpstr>
      <vt:lpstr>FY07 Figures 1,2,4</vt:lpstr>
      <vt:lpstr>Figure 3</vt:lpstr>
      <vt:lpstr>Figure 5</vt:lpstr>
      <vt:lpstr>Figure 6</vt:lpstr>
      <vt:lpstr>FY07 St Charter w Const</vt:lpstr>
      <vt:lpstr>2007 ST Fed Grants</vt:lpstr>
      <vt:lpstr>FY03 Figures 1,2,4</vt:lpstr>
      <vt:lpstr>FY03 Dist w school constr</vt:lpstr>
      <vt:lpstr>FY03 Charter w school const</vt:lpstr>
      <vt:lpstr>FY03 ST Fed Grants</vt:lpstr>
      <vt:lpstr>2002-03 without school constr </vt:lpstr>
    </vt:vector>
  </TitlesOfParts>
  <Company>CSDE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csde</dc:creator>
  <cp:lastModifiedBy>Holmes Finch</cp:lastModifiedBy>
  <dcterms:created xsi:type="dcterms:W3CDTF">2008-05-22T18:50:21Z</dcterms:created>
  <dcterms:modified xsi:type="dcterms:W3CDTF">2010-05-20T16:40:28Z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915089791</vt:i4>
  </property>
  <property fmtid="{D5CDD505-2E9C-101B-9397-08002B2CF9AE}" pid="3" name="_EmailSubject">
    <vt:lpwstr>02-03 and 06-07 Revenue Request</vt:lpwstr>
  </property>
  <property fmtid="{D5CDD505-2E9C-101B-9397-08002B2CF9AE}" pid="4" name="_AuthorEmail">
    <vt:lpwstr>Mark.Stange@ct.gov</vt:lpwstr>
  </property>
  <property fmtid="{D5CDD505-2E9C-101B-9397-08002B2CF9AE}" pid="5" name="_AuthorEmailDisplayName">
    <vt:lpwstr>Stange, Mark</vt:lpwstr>
  </property>
  <property fmtid="{D5CDD505-2E9C-101B-9397-08002B2CF9AE}" pid="6" name="_ReviewingToolsShownOnce">
    <vt:lpwstr/>
  </property>
  <property fmtid="{D5CDD505-2E9C-101B-9397-08002B2CF9AE}" pid="7" name="_MarkAsFinal">
    <vt:bool>true</vt:bool>
  </property>
</Properties>
</file>