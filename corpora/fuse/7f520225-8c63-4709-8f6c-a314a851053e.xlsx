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425" windowHeight="6405" tabRatio="838" activeTab="2"/>
  </bookViews>
  <sheets>
    <sheet name="Non-shuttle Bids" sheetId="3" r:id="rId1"/>
    <sheet name="Shuttle Bids" sheetId="4" r:id="rId2"/>
    <sheet name="New Fig. 4" sheetId="14" r:id="rId3"/>
    <sheet name="New Fig. 5" sheetId="18" r:id="rId4"/>
    <sheet name="New Fig. 6" sheetId="19" r:id="rId5"/>
    <sheet name="Prior 3-yr.Avg for Week" sheetId="7" r:id="rId6"/>
    <sheet name="MinMaxAvg" sheetId="1" r:id="rId7"/>
    <sheet name="Weekly Comparisons" sheetId="13" r:id="rId8"/>
    <sheet name="Range-Avg bid figure" sheetId="17" r:id="rId9"/>
    <sheet name="Sheet1" sheetId="20" r:id="rId10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AM11" i="13" l="1"/>
  <c r="AM23" i="13"/>
  <c r="AI11" i="13"/>
  <c r="AI23" i="13"/>
  <c r="AE23" i="13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C11" i="13"/>
  <c r="C8" i="13" l="1"/>
  <c r="C7" i="13"/>
  <c r="C6" i="13"/>
  <c r="E5" i="13"/>
  <c r="D5" i="13"/>
  <c r="C5" i="13"/>
  <c r="E4" i="13"/>
  <c r="D4" i="13"/>
  <c r="C4" i="13"/>
  <c r="E3" i="13"/>
  <c r="D3" i="13"/>
  <c r="C3" i="13"/>
  <c r="AU8" i="13"/>
  <c r="AU7" i="13"/>
  <c r="AU6" i="13"/>
  <c r="AW5" i="13"/>
  <c r="AV5" i="13"/>
  <c r="AU5" i="13"/>
  <c r="AW4" i="13"/>
  <c r="AV4" i="13"/>
  <c r="AU4" i="13"/>
  <c r="AW3" i="13"/>
  <c r="AV3" i="13"/>
  <c r="AU3" i="13"/>
  <c r="K20" i="13"/>
  <c r="K19" i="13"/>
  <c r="K18" i="13"/>
  <c r="M17" i="13"/>
  <c r="L17" i="13"/>
  <c r="K17" i="13"/>
  <c r="M16" i="13"/>
  <c r="L16" i="13"/>
  <c r="K16" i="13"/>
  <c r="M15" i="13"/>
  <c r="L15" i="13"/>
  <c r="K15" i="13"/>
  <c r="G20" i="13"/>
  <c r="G19" i="13"/>
  <c r="G18" i="13"/>
  <c r="I17" i="13"/>
  <c r="H17" i="13"/>
  <c r="G17" i="13"/>
  <c r="I16" i="13"/>
  <c r="H16" i="13"/>
  <c r="G16" i="13"/>
  <c r="I15" i="13"/>
  <c r="H15" i="13"/>
  <c r="G15" i="13"/>
  <c r="C20" i="13"/>
  <c r="C19" i="13"/>
  <c r="C18" i="13"/>
  <c r="E17" i="13"/>
  <c r="D17" i="13"/>
  <c r="C17" i="13"/>
  <c r="E16" i="13"/>
  <c r="D16" i="13"/>
  <c r="C16" i="13"/>
  <c r="E15" i="13"/>
  <c r="D15" i="13"/>
  <c r="C15" i="13"/>
  <c r="AU20" i="13"/>
  <c r="AU19" i="13"/>
  <c r="AU18" i="13"/>
  <c r="AW17" i="13"/>
  <c r="AV17" i="13"/>
  <c r="AU17" i="13"/>
  <c r="AW16" i="13"/>
  <c r="AV16" i="13"/>
  <c r="AU16" i="13"/>
  <c r="AW15" i="13"/>
  <c r="AV15" i="13"/>
  <c r="AU15" i="13"/>
  <c r="AS17" i="13"/>
  <c r="AR17" i="13"/>
  <c r="AS16" i="13"/>
  <c r="AR16" i="13"/>
  <c r="AS15" i="13"/>
  <c r="AR15" i="13"/>
  <c r="AQ20" i="13"/>
  <c r="AQ19" i="13"/>
  <c r="AQ18" i="13"/>
  <c r="AQ17" i="13"/>
  <c r="AQ16" i="13"/>
  <c r="AQ15" i="13"/>
  <c r="AS5" i="13"/>
  <c r="AR5" i="13"/>
  <c r="AS4" i="13"/>
  <c r="AR4" i="13"/>
  <c r="AS3" i="13"/>
  <c r="AR3" i="13"/>
  <c r="AQ8" i="13"/>
  <c r="AQ7" i="13"/>
  <c r="AQ6" i="13"/>
  <c r="AQ5" i="13"/>
  <c r="AQ4" i="13"/>
  <c r="AQ3" i="13"/>
  <c r="BX11" i="7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W28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Q45" i="7"/>
  <c r="BR45" i="7"/>
  <c r="BQ46" i="7"/>
  <c r="BR46" i="7"/>
  <c r="BP47" i="7"/>
  <c r="BQ47" i="7"/>
  <c r="BR47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P67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N41" i="7"/>
  <c r="BO41" i="7"/>
  <c r="BN42" i="7"/>
  <c r="BO42" i="7"/>
  <c r="BM43" i="7"/>
  <c r="BN43" i="7"/>
  <c r="BO43" i="7"/>
  <c r="BN44" i="7"/>
  <c r="BO44" i="7"/>
  <c r="BM47" i="7"/>
  <c r="BO47" i="7"/>
  <c r="BM49" i="7"/>
  <c r="BO49" i="7"/>
  <c r="BN50" i="7"/>
  <c r="BO50" i="7"/>
  <c r="BN51" i="7"/>
  <c r="BO51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N59" i="7"/>
  <c r="BO59" i="7"/>
  <c r="BN60" i="7"/>
  <c r="BO60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O40" i="7"/>
  <c r="BN40" i="7"/>
  <c r="BJ36" i="7"/>
  <c r="BK36" i="7"/>
  <c r="BJ37" i="7"/>
  <c r="BK37" i="7"/>
  <c r="BJ38" i="7"/>
  <c r="BK38" i="7"/>
  <c r="BJ39" i="7"/>
  <c r="BK39" i="7"/>
  <c r="BJ40" i="7"/>
  <c r="BK40" i="7"/>
  <c r="BJ41" i="7"/>
  <c r="BK41" i="7"/>
  <c r="BJ42" i="7"/>
  <c r="BK42" i="7"/>
  <c r="BJ43" i="7"/>
  <c r="BK43" i="7"/>
  <c r="BJ44" i="7"/>
  <c r="BK44" i="7"/>
  <c r="BJ48" i="7"/>
  <c r="BK48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G35" i="7"/>
  <c r="BH35" i="7"/>
  <c r="BG36" i="7"/>
  <c r="BH36" i="7"/>
  <c r="BG37" i="7"/>
  <c r="BH37" i="7"/>
  <c r="BG38" i="7"/>
  <c r="BH38" i="7"/>
  <c r="BG39" i="7"/>
  <c r="BH39" i="7"/>
  <c r="BG40" i="7"/>
  <c r="BH40" i="7"/>
  <c r="BG41" i="7"/>
  <c r="BH41" i="7"/>
  <c r="BG42" i="7"/>
  <c r="BH42" i="7"/>
  <c r="BG43" i="7"/>
  <c r="BH43" i="7"/>
  <c r="BG48" i="7"/>
  <c r="BH48" i="7"/>
  <c r="BG49" i="7"/>
  <c r="BH49" i="7"/>
  <c r="BG50" i="7"/>
  <c r="BH50" i="7"/>
  <c r="BG51" i="7"/>
  <c r="BH51" i="7"/>
  <c r="BG52" i="7"/>
  <c r="BH52" i="7"/>
  <c r="BF53" i="7"/>
  <c r="BG53" i="7"/>
  <c r="BH53" i="7"/>
  <c r="BF54" i="7"/>
  <c r="BG54" i="7"/>
  <c r="BH54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D39" i="7"/>
  <c r="BE39" i="7"/>
  <c r="BD40" i="7"/>
  <c r="BE40" i="7"/>
  <c r="BD41" i="7"/>
  <c r="BE41" i="7"/>
  <c r="BD43" i="7"/>
  <c r="BE43" i="7"/>
  <c r="BC46" i="7"/>
  <c r="BD46" i="7"/>
  <c r="BE46" i="7"/>
  <c r="BC47" i="7"/>
  <c r="BD47" i="7"/>
  <c r="BE47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BD35" i="7"/>
  <c r="BE35" i="7"/>
  <c r="BD36" i="7"/>
  <c r="BE36" i="7"/>
  <c r="BC37" i="7"/>
  <c r="BD37" i="7"/>
  <c r="BE37" i="7"/>
  <c r="BD38" i="7"/>
  <c r="BE38" i="7"/>
  <c r="BC29" i="7"/>
  <c r="BE29" i="7"/>
  <c r="AZ35" i="7"/>
  <c r="BA35" i="7"/>
  <c r="AY36" i="7"/>
  <c r="AZ36" i="7"/>
  <c r="BA36" i="7"/>
  <c r="AZ37" i="7"/>
  <c r="BA37" i="7"/>
  <c r="AZ38" i="7"/>
  <c r="BA38" i="7"/>
  <c r="AY39" i="7"/>
  <c r="AZ39" i="7"/>
  <c r="BA39" i="7"/>
  <c r="AY40" i="7"/>
  <c r="AZ40" i="7"/>
  <c r="BA40" i="7"/>
  <c r="AZ41" i="7"/>
  <c r="BA41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29" i="7"/>
  <c r="AX29" i="7"/>
  <c r="AW36" i="7"/>
  <c r="AX36" i="7"/>
  <c r="AW37" i="7"/>
  <c r="AX37" i="7"/>
  <c r="AW38" i="7"/>
  <c r="AX38" i="7"/>
  <c r="AW39" i="7"/>
  <c r="AX39" i="7"/>
  <c r="AV40" i="7"/>
  <c r="AW40" i="7"/>
  <c r="AX40" i="7"/>
  <c r="AV41" i="7"/>
  <c r="AW41" i="7"/>
  <c r="AX41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S28" i="7"/>
  <c r="AU28" i="7"/>
  <c r="AS31" i="7"/>
  <c r="AT31" i="7"/>
  <c r="AU31" i="7"/>
  <c r="AT32" i="7"/>
  <c r="AU32" i="7"/>
  <c r="AS33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G25" i="7"/>
  <c r="AH25" i="7"/>
  <c r="AG26" i="7"/>
  <c r="AH26" i="7"/>
  <c r="AG27" i="7"/>
  <c r="AH27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Z66" i="7"/>
  <c r="AA66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60" i="7"/>
  <c r="X60" i="7"/>
  <c r="V61" i="7"/>
  <c r="X61" i="7"/>
  <c r="V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R54" i="7"/>
  <c r="T54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O49" i="7"/>
  <c r="Q49" i="7"/>
  <c r="O50" i="7"/>
  <c r="Q50" i="7"/>
  <c r="O51" i="7"/>
  <c r="Q51" i="7"/>
  <c r="O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L49" i="7"/>
  <c r="N49" i="7"/>
  <c r="L50" i="7"/>
  <c r="N50" i="7"/>
  <c r="L51" i="7"/>
  <c r="M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H38" i="7"/>
  <c r="J38" i="7"/>
  <c r="H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E38" i="7"/>
  <c r="G38" i="7"/>
  <c r="E39" i="7"/>
  <c r="G39" i="7"/>
  <c r="E40" i="7"/>
  <c r="G40" i="7"/>
  <c r="E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3" i="7"/>
  <c r="D33" i="7"/>
  <c r="B34" i="7"/>
  <c r="D34" i="7"/>
  <c r="B35" i="7"/>
  <c r="D35" i="7"/>
  <c r="B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D32" i="7"/>
  <c r="B32" i="7"/>
  <c r="D31" i="7"/>
  <c r="B31" i="7"/>
  <c r="J919" i="4" l="1"/>
  <c r="F919" i="4"/>
  <c r="AX919" i="4"/>
  <c r="AT919" i="4"/>
  <c r="AX919" i="3"/>
  <c r="AT919" i="3"/>
  <c r="AO5" i="13" l="1"/>
  <c r="AN5" i="13"/>
  <c r="AO4" i="13"/>
  <c r="AN4" i="13"/>
  <c r="AO3" i="13"/>
  <c r="AN3" i="13"/>
  <c r="AN17" i="13"/>
  <c r="AN16" i="13"/>
  <c r="AN15" i="13"/>
  <c r="AM17" i="13"/>
  <c r="AM16" i="13"/>
  <c r="AM15" i="13"/>
  <c r="AM8" i="13"/>
  <c r="AM7" i="13"/>
  <c r="AM6" i="13"/>
  <c r="AM5" i="13"/>
  <c r="AM4" i="13"/>
  <c r="AM3" i="13"/>
  <c r="F914" i="4"/>
  <c r="F915" i="4"/>
  <c r="F916" i="4"/>
  <c r="F918" i="4"/>
  <c r="AX918" i="4"/>
  <c r="AT918" i="4"/>
  <c r="AP918" i="4"/>
  <c r="AO15" i="13" l="1"/>
  <c r="AM18" i="13"/>
  <c r="AO17" i="13"/>
  <c r="AX917" i="4"/>
  <c r="AT917" i="4"/>
  <c r="AP917" i="4"/>
  <c r="AO16" i="13" s="1"/>
  <c r="AT917" i="3"/>
  <c r="AP917" i="3"/>
  <c r="AM19" i="13" l="1"/>
  <c r="O20" i="13"/>
  <c r="O19" i="13"/>
  <c r="O18" i="13"/>
  <c r="Q17" i="13"/>
  <c r="P17" i="13"/>
  <c r="O17" i="13"/>
  <c r="Q16" i="13"/>
  <c r="P16" i="13"/>
  <c r="O16" i="13"/>
  <c r="Q15" i="13"/>
  <c r="P15" i="13"/>
  <c r="O15" i="13"/>
  <c r="AX916" i="4"/>
  <c r="AT916" i="4"/>
  <c r="AP916" i="4"/>
  <c r="AP916" i="3"/>
  <c r="AX915" i="4" l="1"/>
  <c r="AT915" i="4"/>
  <c r="AP915" i="4"/>
  <c r="AK17" i="13" l="1"/>
  <c r="AJ17" i="13"/>
  <c r="AK16" i="13"/>
  <c r="AJ16" i="13"/>
  <c r="AK15" i="13"/>
  <c r="AJ15" i="13"/>
  <c r="AI20" i="13"/>
  <c r="AI19" i="13"/>
  <c r="AI18" i="13"/>
  <c r="AI17" i="13"/>
  <c r="AI16" i="13"/>
  <c r="AI15" i="13"/>
  <c r="AK5" i="13"/>
  <c r="AJ5" i="13"/>
  <c r="AK4" i="13"/>
  <c r="AJ4" i="13"/>
  <c r="AK3" i="13"/>
  <c r="AJ3" i="13"/>
  <c r="AI8" i="13"/>
  <c r="AI7" i="13"/>
  <c r="AI6" i="13"/>
  <c r="AI5" i="13"/>
  <c r="AI4" i="13"/>
  <c r="AI3" i="13"/>
  <c r="AX914" i="4"/>
  <c r="AT914" i="4"/>
  <c r="AP914" i="4"/>
  <c r="AM20" i="13" s="1"/>
  <c r="AL914" i="4"/>
  <c r="AX913" i="4" l="1"/>
  <c r="AT913" i="4"/>
  <c r="AP913" i="4"/>
  <c r="AL913" i="4"/>
  <c r="AL913" i="3"/>
  <c r="AX912" i="4" l="1"/>
  <c r="AT912" i="4"/>
  <c r="AP912" i="4"/>
  <c r="AL912" i="4"/>
  <c r="AL912" i="3"/>
  <c r="W20" i="13" l="1"/>
  <c r="W19" i="13"/>
  <c r="W18" i="13"/>
  <c r="Y17" i="13"/>
  <c r="X17" i="13"/>
  <c r="W17" i="13"/>
  <c r="Y16" i="13"/>
  <c r="X16" i="13"/>
  <c r="W16" i="13"/>
  <c r="Y15" i="13"/>
  <c r="X15" i="13"/>
  <c r="W15" i="13"/>
  <c r="S20" i="13"/>
  <c r="S19" i="13"/>
  <c r="S18" i="13"/>
  <c r="U17" i="13"/>
  <c r="T17" i="13"/>
  <c r="S17" i="13"/>
  <c r="U16" i="13"/>
  <c r="T16" i="13"/>
  <c r="S16" i="13"/>
  <c r="U15" i="13"/>
  <c r="T15" i="13"/>
  <c r="S15" i="13"/>
  <c r="W8" i="13"/>
  <c r="W7" i="13"/>
  <c r="W6" i="13"/>
  <c r="Y5" i="13"/>
  <c r="X5" i="13"/>
  <c r="W5" i="13"/>
  <c r="Y4" i="13"/>
  <c r="X4" i="13"/>
  <c r="W4" i="13"/>
  <c r="Y3" i="13"/>
  <c r="X3" i="13"/>
  <c r="W3" i="13"/>
  <c r="S8" i="13"/>
  <c r="S7" i="13"/>
  <c r="S6" i="13"/>
  <c r="U5" i="13"/>
  <c r="T5" i="13"/>
  <c r="S5" i="13"/>
  <c r="U4" i="13"/>
  <c r="T4" i="13"/>
  <c r="S4" i="13"/>
  <c r="U3" i="13"/>
  <c r="T3" i="13"/>
  <c r="S3" i="13"/>
  <c r="O8" i="13"/>
  <c r="O7" i="13"/>
  <c r="O6" i="13"/>
  <c r="Q5" i="13"/>
  <c r="P5" i="13"/>
  <c r="O5" i="13"/>
  <c r="Q4" i="13"/>
  <c r="P4" i="13"/>
  <c r="O4" i="13"/>
  <c r="Q3" i="13"/>
  <c r="P3" i="13"/>
  <c r="O3" i="13"/>
  <c r="K8" i="13"/>
  <c r="K7" i="13"/>
  <c r="K6" i="13"/>
  <c r="M5" i="13"/>
  <c r="L5" i="13"/>
  <c r="K5" i="13"/>
  <c r="M4" i="13"/>
  <c r="L4" i="13"/>
  <c r="K4" i="13"/>
  <c r="M3" i="13"/>
  <c r="L3" i="13"/>
  <c r="K3" i="13"/>
  <c r="G8" i="13"/>
  <c r="G7" i="13"/>
  <c r="G6" i="13"/>
  <c r="I5" i="13"/>
  <c r="H5" i="13"/>
  <c r="G5" i="13"/>
  <c r="I4" i="13"/>
  <c r="H4" i="13"/>
  <c r="G4" i="13"/>
  <c r="I3" i="13"/>
  <c r="H3" i="13"/>
  <c r="G3" i="13"/>
  <c r="AX911" i="4" l="1"/>
  <c r="AT911" i="4"/>
  <c r="AP911" i="4"/>
  <c r="AL911" i="4"/>
  <c r="AL911" i="3"/>
  <c r="AE20" i="13" l="1"/>
  <c r="AE19" i="13"/>
  <c r="AE18" i="13"/>
  <c r="AG17" i="13"/>
  <c r="AF17" i="13"/>
  <c r="AG16" i="13"/>
  <c r="AF16" i="13"/>
  <c r="AG15" i="13"/>
  <c r="AF15" i="13"/>
  <c r="AE17" i="13"/>
  <c r="AE16" i="13"/>
  <c r="AE15" i="13"/>
  <c r="AG5" i="13"/>
  <c r="AF5" i="13"/>
  <c r="AG4" i="13"/>
  <c r="AF4" i="13"/>
  <c r="AG3" i="13"/>
  <c r="AF3" i="13"/>
  <c r="AE8" i="13"/>
  <c r="AE7" i="13"/>
  <c r="AE6" i="13"/>
  <c r="AE5" i="13"/>
  <c r="AE4" i="13"/>
  <c r="AE3" i="13"/>
  <c r="AX910" i="4"/>
  <c r="AT910" i="4"/>
  <c r="AP910" i="4"/>
  <c r="AL910" i="4"/>
  <c r="AL910" i="3"/>
  <c r="AH910" i="4"/>
  <c r="AL909" i="4" l="1"/>
  <c r="AX909" i="4"/>
  <c r="AT909" i="4"/>
  <c r="AP909" i="4"/>
  <c r="AH909" i="4"/>
  <c r="AL909" i="3"/>
  <c r="AH909" i="3"/>
  <c r="AX908" i="4" l="1"/>
  <c r="AT908" i="4"/>
  <c r="AP908" i="4"/>
  <c r="AL908" i="4"/>
  <c r="AH908" i="4"/>
  <c r="AL908" i="3"/>
  <c r="AH908" i="3"/>
  <c r="AX907" i="4" l="1"/>
  <c r="AT907" i="4"/>
  <c r="AP907" i="4"/>
  <c r="AL907" i="4"/>
  <c r="AH907" i="4"/>
  <c r="AL907" i="3"/>
  <c r="AH907" i="3"/>
  <c r="AX906" i="4" l="1"/>
  <c r="AP906" i="4"/>
  <c r="AH906" i="4"/>
  <c r="AL906" i="3"/>
  <c r="AH906" i="3"/>
  <c r="AC17" i="13" l="1"/>
  <c r="AB17" i="13"/>
  <c r="AC16" i="13"/>
  <c r="AB16" i="13"/>
  <c r="AC15" i="13"/>
  <c r="AB15" i="13"/>
  <c r="AA20" i="13"/>
  <c r="AA19" i="13"/>
  <c r="AA18" i="13"/>
  <c r="AA17" i="13"/>
  <c r="AA16" i="13"/>
  <c r="AA15" i="13"/>
  <c r="AA8" i="13"/>
  <c r="AA7" i="13"/>
  <c r="AA6" i="13"/>
  <c r="AC5" i="13"/>
  <c r="AB5" i="13"/>
  <c r="AC4" i="13"/>
  <c r="AB4" i="13"/>
  <c r="AC3" i="13"/>
  <c r="AB3" i="13"/>
  <c r="AA5" i="13"/>
  <c r="AA4" i="13"/>
  <c r="AA3" i="13"/>
  <c r="AX905" i="4"/>
  <c r="AX903" i="4"/>
  <c r="AT905" i="4"/>
  <c r="AP905" i="4"/>
  <c r="AH905" i="4"/>
  <c r="AD905" i="4"/>
  <c r="AH905" i="3"/>
  <c r="AD905" i="3"/>
  <c r="AH904" i="4" l="1"/>
  <c r="AD904" i="4"/>
  <c r="AH904" i="3"/>
  <c r="AD904" i="3"/>
  <c r="AT903" i="4" l="1"/>
  <c r="AP903" i="4"/>
  <c r="AL903" i="4"/>
  <c r="AH903" i="4"/>
  <c r="AD903" i="4"/>
  <c r="AD903" i="3"/>
  <c r="AX902" i="4" l="1"/>
  <c r="AT902" i="4"/>
  <c r="AP902" i="4"/>
  <c r="AH902" i="4"/>
  <c r="AD902" i="4"/>
  <c r="AD902" i="3"/>
  <c r="AX901" i="4" l="1"/>
  <c r="AT901" i="4"/>
  <c r="AP901" i="4"/>
  <c r="AL901" i="4"/>
  <c r="AH901" i="4"/>
  <c r="AD901" i="4"/>
  <c r="Z901" i="4"/>
  <c r="AD901" i="3"/>
  <c r="Z901" i="3"/>
  <c r="AX900" i="4" l="1"/>
  <c r="AT900" i="4"/>
  <c r="AP900" i="4"/>
  <c r="AH900" i="4"/>
  <c r="AD900" i="4"/>
  <c r="Z900" i="4"/>
  <c r="AD900" i="3"/>
  <c r="Z900" i="3"/>
  <c r="AX899" i="4" l="1"/>
  <c r="AT899" i="4"/>
  <c r="AL899" i="4"/>
  <c r="AH899" i="4"/>
  <c r="Z899" i="4"/>
  <c r="AD899" i="3"/>
  <c r="Z899" i="3"/>
  <c r="AT898" i="4" l="1"/>
  <c r="AL898" i="4"/>
  <c r="AH898" i="4"/>
  <c r="Z898" i="4"/>
  <c r="AD898" i="3"/>
  <c r="Z898" i="3"/>
  <c r="AT897" i="4" l="1"/>
  <c r="AL897" i="4"/>
  <c r="AH897" i="4"/>
  <c r="AD897" i="4"/>
  <c r="Z897" i="4"/>
  <c r="Z897" i="3"/>
  <c r="AT896" i="4" l="1"/>
  <c r="AL896" i="4"/>
  <c r="AH896" i="4"/>
  <c r="AD896" i="4"/>
  <c r="Z896" i="4"/>
  <c r="V896" i="4"/>
  <c r="Z896" i="3"/>
  <c r="V896" i="3"/>
  <c r="AL895" i="4" l="1"/>
  <c r="AH895" i="4"/>
  <c r="AD895" i="4"/>
  <c r="Z895" i="4"/>
  <c r="V895" i="4"/>
  <c r="Z895" i="3"/>
  <c r="V895" i="3"/>
  <c r="Z894" i="4" l="1"/>
  <c r="AD894" i="4"/>
  <c r="V894" i="4"/>
  <c r="Z894" i="3"/>
  <c r="V894" i="3"/>
  <c r="AP893" i="4" l="1"/>
  <c r="AL893" i="4"/>
  <c r="AD893" i="4"/>
  <c r="Z893" i="4"/>
  <c r="V893" i="4"/>
  <c r="V893" i="3"/>
  <c r="E211" i="1" l="1"/>
  <c r="AP892" i="4"/>
  <c r="AL892" i="4"/>
  <c r="AD892" i="4"/>
  <c r="Z892" i="4"/>
  <c r="V892" i="4"/>
  <c r="R892" i="4"/>
  <c r="V892" i="3"/>
  <c r="R892" i="3"/>
  <c r="AP891" i="4" l="1"/>
  <c r="AL891" i="4"/>
  <c r="Z891" i="4"/>
  <c r="V891" i="4"/>
  <c r="R891" i="4"/>
  <c r="R891" i="3"/>
  <c r="V891" i="3"/>
  <c r="AP890" i="4" l="1"/>
  <c r="AL890" i="4"/>
  <c r="V890" i="4"/>
  <c r="R890" i="4"/>
  <c r="Z890" i="3"/>
  <c r="V890" i="3"/>
  <c r="R890" i="3"/>
  <c r="AP889" i="4" l="1"/>
  <c r="AL889" i="4"/>
  <c r="V889" i="4"/>
  <c r="R889" i="4"/>
  <c r="V889" i="3"/>
  <c r="R889" i="3"/>
  <c r="V888" i="4" l="1"/>
  <c r="R888" i="4"/>
  <c r="N888" i="4"/>
  <c r="V888" i="3"/>
  <c r="R888" i="3"/>
  <c r="N888" i="3"/>
  <c r="AL887" i="4" l="1"/>
  <c r="AD887" i="4"/>
  <c r="V887" i="4"/>
  <c r="R887" i="4"/>
  <c r="N887" i="4"/>
  <c r="V887" i="3"/>
  <c r="R887" i="3"/>
  <c r="N887" i="3"/>
  <c r="AL886" i="4" l="1"/>
  <c r="R886" i="4"/>
  <c r="N886" i="4"/>
  <c r="V886" i="3"/>
  <c r="R886" i="3"/>
  <c r="N886" i="3"/>
  <c r="AL885" i="4" l="1"/>
  <c r="V885" i="4"/>
  <c r="R885" i="4"/>
  <c r="N885" i="4"/>
  <c r="Z884" i="4" l="1"/>
  <c r="N884" i="4"/>
  <c r="J884" i="4"/>
  <c r="R883" i="4" l="1"/>
  <c r="N883" i="4"/>
  <c r="J883" i="4"/>
  <c r="N883" i="3"/>
  <c r="J883" i="3"/>
  <c r="N882" i="4" l="1"/>
  <c r="J882" i="4"/>
  <c r="N882" i="3"/>
  <c r="J882" i="3"/>
  <c r="N881" i="4" l="1"/>
  <c r="J881" i="4"/>
  <c r="N881" i="3"/>
  <c r="J881" i="3"/>
  <c r="AH880" i="4" l="1"/>
  <c r="AD880" i="4"/>
  <c r="Z880" i="4"/>
  <c r="V880" i="4"/>
  <c r="R880" i="4"/>
  <c r="N880" i="4"/>
  <c r="J880" i="4"/>
  <c r="J880" i="3"/>
  <c r="AD879" i="4" l="1"/>
  <c r="Z879" i="4"/>
  <c r="V879" i="4"/>
  <c r="N879" i="4"/>
  <c r="J879" i="4"/>
  <c r="F879" i="4"/>
  <c r="J879" i="3"/>
  <c r="J217" i="1" l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E217" i="1"/>
  <c r="E216" i="1"/>
  <c r="E215" i="1"/>
  <c r="E214" i="1"/>
  <c r="E213" i="1"/>
  <c r="E212" i="1"/>
  <c r="E210" i="1"/>
  <c r="E209" i="1"/>
  <c r="E208" i="1"/>
  <c r="D217" i="1"/>
  <c r="D216" i="1"/>
  <c r="D215" i="1"/>
  <c r="D214" i="1"/>
  <c r="D213" i="1"/>
  <c r="D212" i="1"/>
  <c r="D211" i="1"/>
  <c r="D210" i="1"/>
  <c r="D209" i="1"/>
  <c r="D208" i="1"/>
  <c r="C217" i="1" l="1"/>
  <c r="C216" i="1"/>
  <c r="C215" i="1"/>
  <c r="C214" i="1"/>
  <c r="C213" i="1"/>
  <c r="C212" i="1"/>
  <c r="C211" i="1"/>
  <c r="C210" i="1"/>
  <c r="C209" i="1"/>
  <c r="C208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J206" i="1"/>
  <c r="I206" i="1"/>
  <c r="H206" i="1"/>
  <c r="G206" i="1"/>
  <c r="E206" i="1"/>
  <c r="D206" i="1"/>
  <c r="C206" i="1"/>
  <c r="B206" i="1"/>
  <c r="F878" i="4" l="1"/>
  <c r="F877" i="4"/>
  <c r="AD878" i="4"/>
  <c r="Z878" i="4"/>
  <c r="V878" i="4"/>
  <c r="R878" i="4"/>
  <c r="N878" i="4"/>
  <c r="J878" i="4"/>
  <c r="F878" i="3"/>
  <c r="Z873" i="4" l="1"/>
  <c r="Z874" i="4"/>
  <c r="Z875" i="4"/>
  <c r="Z876" i="4"/>
  <c r="Z877" i="4"/>
  <c r="Z872" i="4"/>
  <c r="V877" i="4"/>
  <c r="V873" i="4"/>
  <c r="V874" i="4"/>
  <c r="V875" i="4"/>
  <c r="V876" i="4"/>
  <c r="V872" i="4"/>
  <c r="R873" i="4"/>
  <c r="R874" i="4"/>
  <c r="R875" i="4"/>
  <c r="R876" i="4"/>
  <c r="R877" i="4"/>
  <c r="R872" i="4"/>
  <c r="N873" i="4"/>
  <c r="N874" i="4"/>
  <c r="N875" i="4"/>
  <c r="N876" i="4"/>
  <c r="N877" i="4"/>
  <c r="N872" i="4"/>
  <c r="J873" i="4"/>
  <c r="J874" i="4"/>
  <c r="J875" i="4"/>
  <c r="J876" i="4"/>
  <c r="J877" i="4"/>
  <c r="J872" i="4"/>
  <c r="AD877" i="4"/>
  <c r="J877" i="3"/>
  <c r="F877" i="3"/>
  <c r="AN15" i="7" l="1"/>
  <c r="AP15" i="7"/>
  <c r="AN16" i="7"/>
  <c r="AP16" i="7"/>
  <c r="AN17" i="7"/>
  <c r="AP17" i="7"/>
  <c r="AN18" i="7"/>
  <c r="AP18" i="7"/>
  <c r="AN19" i="7"/>
  <c r="AP19" i="7"/>
  <c r="AN20" i="7"/>
  <c r="AP20" i="7"/>
  <c r="AN27" i="7"/>
  <c r="AP27" i="7"/>
  <c r="AN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N38" i="7"/>
  <c r="AO38" i="7"/>
  <c r="AP38" i="7"/>
  <c r="CE9" i="7"/>
  <c r="CG9" i="7"/>
  <c r="CE16" i="7"/>
  <c r="CF16" i="7"/>
  <c r="CG16" i="7"/>
  <c r="CF17" i="7"/>
  <c r="CG17" i="7"/>
  <c r="CF18" i="7"/>
  <c r="CG18" i="7"/>
  <c r="CF19" i="7"/>
  <c r="CG19" i="7"/>
  <c r="CF20" i="7"/>
  <c r="CG20" i="7"/>
  <c r="CF21" i="7"/>
  <c r="CG21" i="7"/>
  <c r="CF22" i="7"/>
  <c r="CG22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AU11" i="13"/>
  <c r="AU23" i="13"/>
  <c r="AD876" i="4" l="1"/>
  <c r="F876" i="4"/>
  <c r="J876" i="3"/>
  <c r="F876" i="3"/>
  <c r="F875" i="4" l="1"/>
  <c r="AX875" i="4"/>
  <c r="J875" i="3"/>
  <c r="F875" i="3"/>
  <c r="AX875" i="3"/>
  <c r="F874" i="4" l="1"/>
  <c r="AX874" i="4"/>
  <c r="N874" i="3"/>
  <c r="F874" i="3"/>
  <c r="AX874" i="3"/>
  <c r="F873" i="4" l="1"/>
  <c r="AX873" i="4"/>
  <c r="F873" i="3"/>
  <c r="AX873" i="3"/>
  <c r="AJ22" i="7" l="1"/>
  <c r="AL22" i="7"/>
  <c r="AJ23" i="7"/>
  <c r="AL23" i="7"/>
  <c r="AJ24" i="7"/>
  <c r="AL24" i="7"/>
  <c r="AJ25" i="7"/>
  <c r="AL25" i="7"/>
  <c r="AJ26" i="7"/>
  <c r="AL26" i="7"/>
  <c r="AJ27" i="7"/>
  <c r="AL27" i="7"/>
  <c r="AJ32" i="7"/>
  <c r="AL32" i="7"/>
  <c r="AJ33" i="7"/>
  <c r="AL33" i="7"/>
  <c r="AJ34" i="7"/>
  <c r="AL34" i="7"/>
  <c r="AJ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CA12" i="7"/>
  <c r="CC12" i="7"/>
  <c r="CA13" i="7"/>
  <c r="CC13" i="7"/>
  <c r="CA14" i="7"/>
  <c r="CC14" i="7"/>
  <c r="CA15" i="7"/>
  <c r="CC15" i="7"/>
  <c r="CA16" i="7"/>
  <c r="CC16" i="7"/>
  <c r="CA22" i="7"/>
  <c r="CC22" i="7"/>
  <c r="CA23" i="7"/>
  <c r="CB23" i="7"/>
  <c r="CC23" i="7"/>
  <c r="CA24" i="7"/>
  <c r="CB24" i="7"/>
  <c r="CC24" i="7"/>
  <c r="CB26" i="7"/>
  <c r="CC26" i="7"/>
  <c r="CB27" i="7"/>
  <c r="CC27" i="7"/>
  <c r="CA28" i="7"/>
  <c r="CB28" i="7"/>
  <c r="CC28" i="7"/>
  <c r="CA29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Q23" i="13"/>
  <c r="AQ11" i="13"/>
  <c r="F872" i="4" l="1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F868" i="4" l="1"/>
  <c r="AX868" i="4"/>
  <c r="AT868" i="4"/>
  <c r="F868" i="3"/>
  <c r="AX868" i="3"/>
  <c r="AT868" i="3"/>
  <c r="AJ195" i="1" l="1"/>
  <c r="AI195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BD195" i="1" s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AT195" i="1" s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P195" i="1" s="1"/>
  <c r="C194" i="1"/>
  <c r="O195" i="1" s="1"/>
  <c r="B194" i="1"/>
  <c r="N195" i="1" s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BD194" i="1" s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AT194" i="1" s="1"/>
  <c r="C188" i="1"/>
  <c r="AS194" i="1" s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AI194" i="1" s="1"/>
  <c r="B186" i="1"/>
  <c r="AH194" i="1" s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L841" i="4" l="1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<sst xmlns="http://schemas.openxmlformats.org/spreadsheetml/2006/main" count="740" uniqueCount="308">
  <si>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</si>
  <si>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</si>
  <si>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</si>
  <si>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</si>
  <si>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</si>
  <si>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</si>
  <si>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</si>
  <si>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</si>
  <si>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</si>
  <si>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</si>
  <si>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</si>
  <si>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</si>
  <si>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</si>
  <si>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</si>
  <si>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</si>
  <si>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</si>
  <si>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</si>
  <si>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</si>
  <si>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</si>
  <si>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</si>
  <si>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</si>
  <si>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</si>
  <si>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</si>
  <si>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</si>
  <si>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</si>
  <si>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</si>
  <si>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</si>
  <si>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</si>
  <si>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</si>
  <si>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</si>
  <si>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</si>
  <si>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</si>
  <si>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</si>
  <si>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</si>
  <si>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</si>
  <si>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</si>
  <si>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</si>
  <si>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</si>
  <si>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</si>
  <si>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</si>
  <si>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</si>
  <si>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</si>
  <si>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</si>
  <si>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</si>
  <si>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</si>
  <si>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</si>
  <si>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</si>
  <si>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</si>
  <si>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</si>
  <si>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</si>
  <si>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</si>
  <si>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</si>
  <si>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</si>
  <si>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</si>
  <si>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</si>
  <si>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</si>
  <si>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</si>
  <si>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</si>
  <si>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</si>
  <si>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</si>
  <si>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</si>
  <si>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</si>
  <si>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</si>
  <si>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</si>
  <si>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</si>
  <si>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</si>
  <si>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</si>
  <si>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</si>
  <si>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</si>
  <si>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</si>
  <si>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</si>
  <si>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</si>
  <si>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</si>
  <si>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</si>
  <si>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</si>
  <si>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</si>
  <si>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</si>
  <si>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</si>
  <si>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</si>
  <si>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</si>
  <si>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</si>
  <si>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</si>
  <si>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</si>
  <si>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</si>
  <si>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</si>
  <si>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</si>
  <si>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</si>
  <si>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</si>
  <si>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</si>
  <si>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</si>
  <si>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</si>
  <si>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</si>
  <si>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</si>
  <si>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</si>
  <si>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</si>
  <si>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</si>
  <si>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</si>
  <si>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</si>
  <si>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</si>
  <si>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</si>
  <si>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</si>
  <si>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</si>
  <si>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</si>
  <si>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</si>
  <si>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</si>
  <si>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</si>
  <si>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</si>
  <si>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</si>
  <si>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</si>
  <si>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</si>
  <si>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</si>
  <si>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</si>
  <si>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</si>
  <si>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</si>
  <si>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</si>
  <si>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</si>
  <si>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</si>
  <si>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</si>
  <si>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</si>
  <si>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</si>
  <si>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</si>
  <si>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</si>
  <si>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</si>
  <si>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</si>
  <si>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</si>
  <si>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</si>
  <si>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</si>
  <si>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</si>
  <si>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</si>
  <si>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</si>
  <si>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</si>
  <si>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</si>
  <si>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</si>
  <si>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</si>
  <si>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</si>
  <si>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</si>
  <si>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</si>
  <si>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</si>
  <si>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</si>
  <si>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</si>
  <si>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</si>
  <si>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</si>
  <si>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</si>
  <si>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</si>
  <si>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</si>
  <si>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</si>
  <si>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</si>
  <si>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</si>
  <si>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</si>
  <si>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</si>
  <si>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</si>
  <si>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</si>
  <si>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</si>
  <si>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</si>
  <si>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</si>
  <si>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</si>
  <si>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</si>
  <si>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</si>
  <si>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</si>
  <si>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</si>
  <si>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</si>
  <si>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</si>
  <si>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</si>
  <si>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</si>
  <si>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</si>
  <si>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</si>
  <si>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</si>
  <si>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</si>
  <si>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</si>
  <si>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</si>
  <si>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</si>
  <si>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</si>
  <si>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</si>
  <si>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</si>
  <si>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</si>
  <si>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</si>
  <si>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</si>
  <si>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</si>
  <si>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</si>
  <si>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</si>
  <si>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</si>
  <si>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</si>
  <si>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</si>
  <si>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</si>
  <si>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</si>
  <si>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</si>
  <si>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</si>
  <si>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</si>
  <si>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</si>
  <si>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</si>
  <si>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</si>
  <si>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</si>
  <si>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</si>
  <si>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</si>
  <si>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</si>
  <si>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</si>
  <si>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</si>
  <si>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</si>
  <si>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</si>
  <si>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</si>
  <si>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</si>
  <si>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</si>
  <si>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</si>
  <si>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</si>
  <si>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</si>
  <si>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</si>
  <si>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</si>
  <si>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</si>
  <si>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</si>
  <si>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</si>
  <si>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</si>
  <si>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</si>
  <si>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</si>
  <si>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</si>
  <si>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</si>
  <si>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</si>
  <si>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</si>
  <si>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</si>
  <si>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</si>
  <si>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</si>
  <si>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</si>
  <si>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</si>
  <si>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</si>
  <si>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</si>
  <si>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</si>
  <si>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</si>
  <si>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</si>
  <si>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</si>
  <si>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</si>
  <si>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</si>
  <si>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</si>
  <si>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</si>
  <si>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</si>
  <si>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</si>
  <si>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</si>
  <si>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</si>
  <si>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</si>
  <si>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</si>
  <si>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</si>
  <si>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</si>
  <si>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</si>
  <si>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</si>
  <si>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</si>
  <si>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</si>
  <si>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</si>
  <si>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</si>
  <si>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</si>
  <si>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</si>
  <si>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</si>
  <si>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</si>
  <si>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</si>
  <si>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</si>
  <si>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</si>
  <si>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</si>
  <si>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</si>
  <si>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</si>
  <si>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</si>
  <si>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</si>
  <si>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</si>
  <si>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</si>
  <si>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</si>
  <si>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</si>
  <si>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</si>
  <si>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</si>
  <si>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</si>
  <si>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</si>
  <si>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Nov. 2014</t>
  </si>
  <si>
    <t>Nov. 2011-13</t>
  </si>
  <si>
    <t>Dec. 2014</t>
  </si>
  <si>
    <t>Dec. 2011-13</t>
  </si>
  <si>
    <t>Jan. 14</t>
  </si>
  <si>
    <t>Feb. 14</t>
  </si>
  <si>
    <t>Mar. 14</t>
  </si>
  <si>
    <t>Apr. 14</t>
  </si>
  <si>
    <t>May. 14</t>
  </si>
  <si>
    <t>Jun. 14</t>
  </si>
  <si>
    <t>Jul. 14</t>
  </si>
  <si>
    <t>Aug. 14</t>
  </si>
  <si>
    <t>Sept. 14</t>
  </si>
  <si>
    <t>Oct. 14</t>
  </si>
  <si>
    <t>Nov. 14</t>
  </si>
  <si>
    <t>Dec. 14</t>
  </si>
  <si>
    <t>Bids/Offers for Railcars to be Delivered in November 2014, Secondary Market</t>
  </si>
  <si>
    <t>Bids/Offers for Railcars to be Delivered in December 2014, Secondary Market</t>
  </si>
  <si>
    <t>Bids/Offers for Railcars to be Delivered in January 2015, Secondary Market</t>
  </si>
  <si>
    <t>Jan. 2012-14</t>
  </si>
  <si>
    <t>Feb. 2012-14</t>
  </si>
  <si>
    <t>Mar. 2012-14</t>
  </si>
  <si>
    <t>Apr. 2012-14</t>
  </si>
  <si>
    <t>May 2012-14</t>
  </si>
  <si>
    <t>June 2012-14</t>
  </si>
  <si>
    <t>Jul. 2012-14</t>
  </si>
  <si>
    <t>Aug. 2012-14</t>
  </si>
  <si>
    <t>Sep. 2012-14</t>
  </si>
  <si>
    <t>Oct.  2012-14</t>
  </si>
  <si>
    <t>May. 2012-14</t>
  </si>
  <si>
    <t>Jun. 2012-14</t>
  </si>
  <si>
    <t>Oct. 2012-14</t>
  </si>
  <si>
    <t>Jan. 2015</t>
  </si>
  <si>
    <t>Feb. 2015</t>
  </si>
  <si>
    <t>Mar. 2015</t>
  </si>
  <si>
    <t>Apr. 2015</t>
  </si>
  <si>
    <t>May. 2015</t>
  </si>
  <si>
    <t>Jun. 2015</t>
  </si>
  <si>
    <t>Jul. 2015</t>
  </si>
  <si>
    <t>Aug. 2015</t>
  </si>
  <si>
    <t>Sep. 2015</t>
  </si>
  <si>
    <t>Oct.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</si>
</sst>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3" fillId="0" borderId="0" xfId="0" applyNumberFormat="1" applyFont="1" applyFill="1" applyAlignment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71934856654302"/>
          <c:y val="3.3897889629467957E-2"/>
          <c:w val="0.8406933546616655"/>
          <c:h val="0.68141530816110674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'Non-shuttle Bids'!$AT$893:$AT$923</c:f>
              <c:numCache>
                <c:formatCode>General</c:formatCode>
                <c:ptCount val="31"/>
                <c:pt idx="24" formatCode="0.00">
                  <c:v>1500</c:v>
                </c:pt>
                <c:pt idx="26" formatCode="0.00">
                  <c:v>2150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'Shuttle Bids'!$AT$893:$AT$923</c:f>
              <c:numCache>
                <c:formatCode>0.00</c:formatCode>
                <c:ptCount val="31"/>
                <c:pt idx="3">
                  <c:v>250</c:v>
                </c:pt>
                <c:pt idx="4">
                  <c:v>625</c:v>
                </c:pt>
                <c:pt idx="5">
                  <c:v>600</c:v>
                </c:pt>
                <c:pt idx="6">
                  <c:v>550</c:v>
                </c:pt>
                <c:pt idx="7">
                  <c:v>300</c:v>
                </c:pt>
                <c:pt idx="8">
                  <c:v>400</c:v>
                </c:pt>
                <c:pt idx="9">
                  <c:v>1150</c:v>
                </c:pt>
                <c:pt idx="10">
                  <c:v>800</c:v>
                </c:pt>
                <c:pt idx="12">
                  <c:v>1750</c:v>
                </c:pt>
                <c:pt idx="14">
                  <c:v>2000</c:v>
                </c:pt>
                <c:pt idx="15">
                  <c:v>2750</c:v>
                </c:pt>
                <c:pt idx="16">
                  <c:v>2075</c:v>
                </c:pt>
                <c:pt idx="17">
                  <c:v>2512.5</c:v>
                </c:pt>
                <c:pt idx="18">
                  <c:v>2100</c:v>
                </c:pt>
                <c:pt idx="19">
                  <c:v>1650</c:v>
                </c:pt>
                <c:pt idx="20">
                  <c:v>1700</c:v>
                </c:pt>
                <c:pt idx="21">
                  <c:v>1600</c:v>
                </c:pt>
                <c:pt idx="22">
                  <c:v>1550</c:v>
                </c:pt>
                <c:pt idx="23">
                  <c:v>3100</c:v>
                </c:pt>
                <c:pt idx="24">
                  <c:v>2500</c:v>
                </c:pt>
                <c:pt idx="25">
                  <c:v>2775</c:v>
                </c:pt>
                <c:pt idx="26" formatCode="General">
                  <c:v>2173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'Prior 3-yr.Avg for Week'!$AL$11:$AL$41</c:f>
              <c:numCache>
                <c:formatCode>0.00</c:formatCode>
                <c:ptCount val="31"/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21">
                  <c:v>100</c:v>
                </c:pt>
                <c:pt idx="22">
                  <c:v>25</c:v>
                </c:pt>
                <c:pt idx="23">
                  <c:v>8.3333333333333339</c:v>
                </c:pt>
                <c:pt idx="24">
                  <c:v>75</c:v>
                </c:pt>
                <c:pt idx="25">
                  <c:v>172.33333333333334</c:v>
                </c:pt>
                <c:pt idx="26">
                  <c:v>72.333333333333329</c:v>
                </c:pt>
                <c:pt idx="27">
                  <c:v>125.5</c:v>
                </c:pt>
                <c:pt idx="28">
                  <c:v>287.16666666666669</c:v>
                </c:pt>
                <c:pt idx="29">
                  <c:v>158.5</c:v>
                </c:pt>
                <c:pt idx="30">
                  <c:v>425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'Prior 3-yr.Avg for Week'!$CC$11:$CC$41</c:f>
              <c:numCache>
                <c:formatCode>0.00</c:formatCode>
                <c:ptCount val="31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575</c:v>
                </c:pt>
                <c:pt idx="4">
                  <c:v>575</c:v>
                </c:pt>
                <c:pt idx="5">
                  <c:v>600</c:v>
                </c:pt>
                <c:pt idx="11">
                  <c:v>450</c:v>
                </c:pt>
                <c:pt idx="12">
                  <c:v>290.75</c:v>
                </c:pt>
                <c:pt idx="13">
                  <c:v>325</c:v>
                </c:pt>
                <c:pt idx="15">
                  <c:v>250</c:v>
                </c:pt>
                <c:pt idx="16">
                  <c:v>250</c:v>
                </c:pt>
                <c:pt idx="17">
                  <c:v>287.5</c:v>
                </c:pt>
                <c:pt idx="18">
                  <c:v>325</c:v>
                </c:pt>
                <c:pt idx="19">
                  <c:v>350</c:v>
                </c:pt>
                <c:pt idx="20">
                  <c:v>175</c:v>
                </c:pt>
                <c:pt idx="21">
                  <c:v>200</c:v>
                </c:pt>
                <c:pt idx="22">
                  <c:v>41.666666666666664</c:v>
                </c:pt>
                <c:pt idx="23">
                  <c:v>60.333333333333336</c:v>
                </c:pt>
                <c:pt idx="24">
                  <c:v>102.83333333333333</c:v>
                </c:pt>
                <c:pt idx="25">
                  <c:v>102</c:v>
                </c:pt>
                <c:pt idx="26">
                  <c:v>135.33333333333334</c:v>
                </c:pt>
                <c:pt idx="27">
                  <c:v>160.33333333333334</c:v>
                </c:pt>
                <c:pt idx="28">
                  <c:v>352.16666666666669</c:v>
                </c:pt>
                <c:pt idx="29">
                  <c:v>153</c:v>
                </c:pt>
                <c:pt idx="30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16128"/>
        <c:axId val="92817664"/>
      </c:lineChart>
      <c:dateAx>
        <c:axId val="92816128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817664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92817664"/>
        <c:scaling>
          <c:orientation val="minMax"/>
          <c:max val="3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816128"/>
        <c:crosses val="autoZero"/>
        <c:crossBetween val="between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'Non-shuttle Bids'!$AX$897:$AX$927</c:f>
              <c:numCache>
                <c:formatCode>General</c:formatCode>
                <c:ptCount val="31"/>
                <c:pt idx="22" formatCode="0.00">
                  <c:v>750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'Shuttle Bids'!$AX$897:$AX$927</c:f>
              <c:numCache>
                <c:formatCode>General</c:formatCode>
                <c:ptCount val="31"/>
                <c:pt idx="2" formatCode="0.00">
                  <c:v>700</c:v>
                </c:pt>
                <c:pt idx="3" formatCode="0.00">
                  <c:v>400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500</c:v>
                </c:pt>
                <c:pt idx="8" formatCode="0.00">
                  <c:v>1275</c:v>
                </c:pt>
                <c:pt idx="9" formatCode="0.00">
                  <c:v>800</c:v>
                </c:pt>
                <c:pt idx="10" formatCode="0.00">
                  <c:v>1750</c:v>
                </c:pt>
                <c:pt idx="11" formatCode="0.00">
                  <c:v>2500</c:v>
                </c:pt>
                <c:pt idx="12" formatCode="0.00">
                  <c:v>1275</c:v>
                </c:pt>
                <c:pt idx="13" formatCode="0.00">
                  <c:v>1150</c:v>
                </c:pt>
                <c:pt idx="14">
                  <c:v>1400</c:v>
                </c:pt>
                <c:pt idx="15">
                  <c:v>1025</c:v>
                </c:pt>
                <c:pt idx="16">
                  <c:v>725</c:v>
                </c:pt>
                <c:pt idx="17">
                  <c:v>1150</c:v>
                </c:pt>
                <c:pt idx="18">
                  <c:v>1150</c:v>
                </c:pt>
                <c:pt idx="19">
                  <c:v>2050</c:v>
                </c:pt>
                <c:pt idx="20">
                  <c:v>1917</c:v>
                </c:pt>
                <c:pt idx="21">
                  <c:v>1525</c:v>
                </c:pt>
                <c:pt idx="22" formatCode="0.00">
                  <c:v>1400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'Prior 3-yr.Avg for Week'!$AP$8:$AP$38</c:f>
              <c:numCache>
                <c:formatCode>0.00</c:formatCode>
                <c:ptCount val="31"/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9">
                  <c:v>0</c:v>
                </c:pt>
                <c:pt idx="20">
                  <c:v>0</c:v>
                </c:pt>
                <c:pt idx="21">
                  <c:v>90.5</c:v>
                </c:pt>
                <c:pt idx="22">
                  <c:v>108.5</c:v>
                </c:pt>
                <c:pt idx="23">
                  <c:v>77.833333333333329</c:v>
                </c:pt>
                <c:pt idx="24">
                  <c:v>379.16666666666669</c:v>
                </c:pt>
                <c:pt idx="25">
                  <c:v>319.5</c:v>
                </c:pt>
                <c:pt idx="26">
                  <c:v>99.333333333333329</c:v>
                </c:pt>
                <c:pt idx="27">
                  <c:v>48.666666666666664</c:v>
                </c:pt>
                <c:pt idx="28">
                  <c:v>49</c:v>
                </c:pt>
                <c:pt idx="29">
                  <c:v>163.33333333333334</c:v>
                </c:pt>
                <c:pt idx="30">
                  <c:v>297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'Prior 3-yr.Avg for Week'!$CG$8:$CG$38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8">
                  <c:v>-106.25</c:v>
                </c:pt>
                <c:pt idx="9">
                  <c:v>0</c:v>
                </c:pt>
                <c:pt idx="10">
                  <c:v>0</c:v>
                </c:pt>
                <c:pt idx="11">
                  <c:v>-100</c:v>
                </c:pt>
                <c:pt idx="12">
                  <c:v>-100</c:v>
                </c:pt>
                <c:pt idx="13">
                  <c:v>-125</c:v>
                </c:pt>
                <c:pt idx="14">
                  <c:v>-125</c:v>
                </c:pt>
                <c:pt idx="15">
                  <c:v>-150</c:v>
                </c:pt>
                <c:pt idx="16">
                  <c:v>-50</c:v>
                </c:pt>
                <c:pt idx="17">
                  <c:v>-81.333333333333329</c:v>
                </c:pt>
                <c:pt idx="18">
                  <c:v>-129.33333333333334</c:v>
                </c:pt>
                <c:pt idx="19">
                  <c:v>-123</c:v>
                </c:pt>
                <c:pt idx="20">
                  <c:v>-133.33333333333334</c:v>
                </c:pt>
                <c:pt idx="21">
                  <c:v>-127</c:v>
                </c:pt>
                <c:pt idx="22">
                  <c:v>-145.83333333333334</c:v>
                </c:pt>
                <c:pt idx="23">
                  <c:v>-100</c:v>
                </c:pt>
                <c:pt idx="24">
                  <c:v>54.166666666666664</c:v>
                </c:pt>
                <c:pt idx="25">
                  <c:v>-64.666666666666671</c:v>
                </c:pt>
                <c:pt idx="26">
                  <c:v>-138.5</c:v>
                </c:pt>
                <c:pt idx="27">
                  <c:v>29</c:v>
                </c:pt>
                <c:pt idx="28">
                  <c:v>99.333333333333329</c:v>
                </c:pt>
                <c:pt idx="29">
                  <c:v>470</c:v>
                </c:pt>
                <c:pt idx="30">
                  <c:v>987.5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73216"/>
        <c:axId val="92474752"/>
      </c:lineChart>
      <c:dateAx>
        <c:axId val="9247321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47475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92474752"/>
        <c:scaling>
          <c:orientation val="minMax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47321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'Non-shuttle Bids'!$F$902:$F$932</c:f>
              <c:numCache>
                <c:formatCode>General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'Shuttle Bids'!$F$902:$F$932</c:f>
              <c:numCache>
                <c:formatCode>General</c:formatCode>
                <c:ptCount val="31"/>
                <c:pt idx="12">
                  <c:v>950</c:v>
                </c:pt>
                <c:pt idx="13">
                  <c:v>950</c:v>
                </c:pt>
                <c:pt idx="14">
                  <c:v>1300</c:v>
                </c:pt>
                <c:pt idx="16">
                  <c:v>2000</c:v>
                </c:pt>
                <c:pt idx="17">
                  <c:v>900</c:v>
                </c:pt>
              </c:numCache>
            </c:numRef>
          </c:val>
          <c:smooth val="0"/>
        </c:ser>
        <c:ser>
          <c:idx val="2"/>
          <c:order val="2"/>
          <c:tx>
            <c:v>Non-shuttle avg. 2012-14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'Prior 3-yr.Avg for Week'!$D$13:$D$42</c:f>
              <c:numCache>
                <c:formatCode>0.00</c:formatCode>
                <c:ptCount val="30"/>
                <c:pt idx="18">
                  <c:v>6.5</c:v>
                </c:pt>
                <c:pt idx="19">
                  <c:v>62.5</c:v>
                </c:pt>
                <c:pt idx="20">
                  <c:v>62.5</c:v>
                </c:pt>
                <c:pt idx="21">
                  <c:v>96</c:v>
                </c:pt>
                <c:pt idx="22">
                  <c:v>130</c:v>
                </c:pt>
                <c:pt idx="23">
                  <c:v>175</c:v>
                </c:pt>
                <c:pt idx="24">
                  <c:v>116.66666666666667</c:v>
                </c:pt>
                <c:pt idx="25">
                  <c:v>139.16666666666666</c:v>
                </c:pt>
                <c:pt idx="26">
                  <c:v>225</c:v>
                </c:pt>
                <c:pt idx="27">
                  <c:v>223</c:v>
                </c:pt>
                <c:pt idx="28">
                  <c:v>139.5</c:v>
                </c:pt>
                <c:pt idx="29">
                  <c:v>-9.5</c:v>
                </c:pt>
              </c:numCache>
            </c:numRef>
          </c:val>
          <c:smooth val="0"/>
        </c:ser>
        <c:ser>
          <c:idx val="3"/>
          <c:order val="3"/>
          <c:tx>
            <c:v>Shuttle avg. 2012-14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'Prior 3-yr.Avg for Week'!$AU$13:$AU$42</c:f>
              <c:numCache>
                <c:formatCode>0.00</c:formatCode>
                <c:ptCount val="30"/>
                <c:pt idx="15">
                  <c:v>-50</c:v>
                </c:pt>
                <c:pt idx="18">
                  <c:v>150</c:v>
                </c:pt>
                <c:pt idx="19">
                  <c:v>0</c:v>
                </c:pt>
                <c:pt idx="20">
                  <c:v>-87.666666666666671</c:v>
                </c:pt>
                <c:pt idx="21">
                  <c:v>-100</c:v>
                </c:pt>
                <c:pt idx="22">
                  <c:v>-90.5</c:v>
                </c:pt>
                <c:pt idx="23">
                  <c:v>-104</c:v>
                </c:pt>
                <c:pt idx="24">
                  <c:v>2</c:v>
                </c:pt>
                <c:pt idx="25">
                  <c:v>247.66666666666666</c:v>
                </c:pt>
                <c:pt idx="26">
                  <c:v>504.33333333333331</c:v>
                </c:pt>
                <c:pt idx="27">
                  <c:v>530.66666666666663</c:v>
                </c:pt>
                <c:pt idx="28">
                  <c:v>470.66666666666669</c:v>
                </c:pt>
                <c:pt idx="29">
                  <c:v>539.5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58144"/>
        <c:axId val="55959936"/>
      </c:lineChart>
      <c:dateAx>
        <c:axId val="5595814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95993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55959936"/>
        <c:scaling>
          <c:orientation val="minMax"/>
          <c:max val="26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95814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440.57142857142856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93876224"/>
        <c:axId val="93877760"/>
      </c:stockChart>
      <c:catAx>
        <c:axId val="938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93877760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93877760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93876224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2825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485.57692307692309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93933952"/>
        <c:axId val="93935488"/>
      </c:stockChart>
      <c:catAx>
        <c:axId val="939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935488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93935488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933952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0592"/>
        <c:axId val="95236480"/>
      </c:lineChart>
      <c:catAx>
        <c:axId val="9523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236480"/>
        <c:crosses val="autoZero"/>
        <c:auto val="1"/>
        <c:lblAlgn val="ctr"/>
        <c:lblOffset val="100"/>
        <c:noMultiLvlLbl val="0"/>
      </c:catAx>
      <c:valAx>
        <c:axId val="952364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952305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3744"/>
        <c:axId val="95277824"/>
      </c:lineChart>
      <c:catAx>
        <c:axId val="9526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277824"/>
        <c:crosses val="autoZero"/>
        <c:auto val="1"/>
        <c:lblAlgn val="ctr"/>
        <c:lblOffset val="100"/>
        <c:noMultiLvlLbl val="0"/>
      </c:catAx>
      <c:valAx>
        <c:axId val="952778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952637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52352"/>
        <c:axId val="101653888"/>
      </c:lineChart>
      <c:dateAx>
        <c:axId val="101652352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101653888"/>
        <c:crosses val="autoZero"/>
        <c:auto val="1"/>
        <c:lblOffset val="100"/>
        <c:baseTimeUnit val="days"/>
        <c:majorUnit val="7"/>
        <c:majorTimeUnit val="days"/>
      </c:dateAx>
      <c:valAx>
        <c:axId val="101653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165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0.14928</cdr:x>
      <cdr:y>0.1516</cdr:y>
    </cdr:from>
    <cdr:to>
      <cdr:x>0.39048</cdr:x>
      <cdr:y>0.28976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1900" y="451502"/>
          <a:ext cx="1311833" cy="4114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$3,000    $1,300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 $2,438   $1,908</a:t>
          </a:r>
        </a:p>
      </cdr:txBody>
    </cdr:sp>
  </cdr:relSizeAnchor>
  <cdr:relSizeAnchor xmlns:cdr="http://schemas.openxmlformats.org/drawingml/2006/chartDrawing">
    <cdr:from>
      <cdr:x>0.0035</cdr:x>
      <cdr:y>0.05014</cdr:y>
    </cdr:from>
    <cdr:to>
      <cdr:x>0.07356</cdr:x>
      <cdr:y>0.77391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0" y="149324"/>
          <a:ext cx="381000" cy="215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0.14996</cdr:x>
      <cdr:y>0.03935</cdr:y>
    </cdr:from>
    <cdr:to>
      <cdr:x>0.74496</cdr:x>
      <cdr:y>0.13305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3030" y="117178"/>
          <a:ext cx="3146510" cy="2790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bids/offers are $2,150 above tariff this week and are at the peak.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bids/offers fell $602 this week and are $927 below the peak.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0.15214</cdr:x>
      <cdr:y>0.15982</cdr:y>
    </cdr:from>
    <cdr:to>
      <cdr:x>0.40692</cdr:x>
      <cdr:y>0.3029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2913" y="475954"/>
          <a:ext cx="1361361" cy="4261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 n/a           $750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  n/a          $1,400</a:t>
          </a:r>
        </a:p>
      </cdr:txBody>
    </cdr:sp>
  </cdr:relSizeAnchor>
  <cdr:relSizeAnchor xmlns:cdr="http://schemas.openxmlformats.org/drawingml/2006/chartDrawing">
    <cdr:from>
      <cdr:x>0</cdr:x>
      <cdr:y>0.05288</cdr:y>
    </cdr:from>
    <cdr:to>
      <cdr:x>0.07665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57485"/>
          <a:ext cx="409576" cy="21430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0.14605</cdr:x>
      <cdr:y>0.03915</cdr:y>
    </cdr:from>
    <cdr:to>
      <cdr:x>0.74335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0385" y="116595"/>
          <a:ext cx="3191539" cy="2910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are $902 above tariff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fell $125 this week and are $1,100 below the peak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n/a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n/a         $900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0.00178</cdr:x>
      <cdr:y>0.05288</cdr:y>
    </cdr:from>
    <cdr:to>
      <cdr:x>0.07309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6" y="157149"/>
          <a:ext cx="381000" cy="2138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0.1522</cdr:x>
      <cdr:y>0.03895</cdr:y>
    </cdr:from>
    <cdr:to>
      <cdr:x>0.72018</cdr:x>
      <cdr:y>0.14103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247" y="115752"/>
          <a:ext cx="3034853" cy="3033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fell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$1,100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this week and are $1,100 below the peak.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R895" activePane="bottomRight" state="frozen"/>
      <selection pane="topRight" activeCell="D1" sqref="D1"/>
      <selection pane="bottomLeft" activeCell="A8" sqref="A8"/>
      <selection pane="bottomRight" activeCell="F880" sqref="F850:F880"/>
    </sheetView>
  </sheetViews>
  <sheetFormatPr defaultRowHeight="15" x14ac:dyDescent="0.2"/>
  <cols>
    <col min="1" max="1" width="5.21875" customWidth="1"/>
    <col min="2" max="3" width="9.77734375" customWidth="1"/>
    <col min="4" max="6" width="6.77734375" customWidth="1"/>
    <col min="7" max="7" width="0.77734375" customWidth="1"/>
    <col min="8" max="10" width="6.77734375" customWidth="1"/>
    <col min="11" max="11" width="1" customWidth="1"/>
    <col min="12" max="12" width="7.109375" customWidth="1"/>
    <col min="13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5546875" customWidth="1"/>
    <col min="32" max="32" width="7.109375" customWidth="1"/>
    <col min="33" max="34" width="6.77734375" customWidth="1"/>
    <col min="35" max="35" width="1.21875" customWidth="1"/>
    <col min="36" max="36" width="6.5546875" customWidth="1"/>
    <col min="37" max="37" width="6.21875" customWidth="1"/>
    <col min="38" max="38" width="6.44140625" customWidth="1"/>
    <col min="39" max="39" width="1.44140625" customWidth="1"/>
    <col min="40" max="42" width="6.77734375" customWidth="1"/>
    <col min="43" max="43" width="1.109375" customWidth="1"/>
    <col min="44" max="46" width="6.77734375" customWidth="1"/>
    <col min="47" max="47" width="1.21875" customWidth="1"/>
    <col min="48" max="50" width="6.77734375" customWidth="1"/>
  </cols>
  <sheetData>
    <row r="1" spans="1:50" ht="15.75" x14ac:dyDescent="0.25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">
      <c r="B2" s="16" t="s">
        <v>86</v>
      </c>
      <c r="C2" s="16"/>
    </row>
    <row r="3" spans="1:50" ht="11.25" customHeight="1" x14ac:dyDescent="0.2">
      <c r="B3" s="16" t="s">
        <v>87</v>
      </c>
      <c r="C3" s="16"/>
    </row>
    <row r="4" spans="1:50" ht="11.25" customHeight="1" x14ac:dyDescent="0.2">
      <c r="B4" s="12" t="s">
        <v>239</v>
      </c>
      <c r="C4" s="16"/>
    </row>
    <row r="5" spans="1:50" ht="11.25" customHeight="1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139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26"/>
      <c r="W6" s="26"/>
      <c r="X6" s="143" t="s">
        <v>83</v>
      </c>
      <c r="Y6" s="143"/>
      <c r="Z6" s="25"/>
      <c r="AA6" s="25"/>
      <c r="AB6" s="143" t="s">
        <v>82</v>
      </c>
      <c r="AC6" s="143"/>
      <c r="AD6" s="25"/>
      <c r="AE6" s="25"/>
      <c r="AF6" s="143" t="s">
        <v>81</v>
      </c>
      <c r="AG6" s="143"/>
      <c r="AH6" s="25"/>
      <c r="AI6" s="25"/>
      <c r="AJ6" s="143" t="s">
        <v>80</v>
      </c>
      <c r="AK6" s="143"/>
      <c r="AL6" s="25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5" customHeight="1" x14ac:dyDescent="0.2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5" customHeight="1" x14ac:dyDescent="0.2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5" customHeight="1" x14ac:dyDescent="0.2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5" customHeight="1" x14ac:dyDescent="0.2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5" customHeight="1" x14ac:dyDescent="0.2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5" customHeight="1" x14ac:dyDescent="0.2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5" customHeight="1" x14ac:dyDescent="0.2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5" customHeight="1" x14ac:dyDescent="0.2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5" customHeight="1" x14ac:dyDescent="0.2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5" customHeight="1" x14ac:dyDescent="0.2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5" customHeight="1" x14ac:dyDescent="0.2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5" customHeight="1" x14ac:dyDescent="0.2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5" customHeight="1" x14ac:dyDescent="0.2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5" customHeight="1" x14ac:dyDescent="0.2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5" customHeight="1" x14ac:dyDescent="0.2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5" customHeight="1" x14ac:dyDescent="0.2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5" customHeight="1" x14ac:dyDescent="0.2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5" customHeight="1" x14ac:dyDescent="0.2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5" customHeight="1" x14ac:dyDescent="0.2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5" customHeight="1" x14ac:dyDescent="0.2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5" customHeight="1" x14ac:dyDescent="0.2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5" customHeight="1" x14ac:dyDescent="0.2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5" customHeight="1" x14ac:dyDescent="0.2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5" customHeight="1" x14ac:dyDescent="0.2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5" customHeight="1" x14ac:dyDescent="0.2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5" customHeight="1" x14ac:dyDescent="0.2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5" customHeight="1" x14ac:dyDescent="0.2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5" customHeight="1" x14ac:dyDescent="0.2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5" customHeight="1" x14ac:dyDescent="0.2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5" customHeight="1" x14ac:dyDescent="0.2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5" customHeight="1" x14ac:dyDescent="0.2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5" customHeight="1" x14ac:dyDescent="0.2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5" customHeight="1" x14ac:dyDescent="0.2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5" customHeight="1" x14ac:dyDescent="0.2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5" customHeight="1" x14ac:dyDescent="0.2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5" customHeight="1" x14ac:dyDescent="0.2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5" customHeight="1" x14ac:dyDescent="0.2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5" customHeight="1" x14ac:dyDescent="0.2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5" customHeight="1" x14ac:dyDescent="0.2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5" customHeight="1" x14ac:dyDescent="0.2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5" customHeight="1" x14ac:dyDescent="0.2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5" customHeight="1" x14ac:dyDescent="0.2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5" customHeight="1" x14ac:dyDescent="0.2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5" customHeight="1" x14ac:dyDescent="0.2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5" customHeight="1" x14ac:dyDescent="0.2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5" customHeight="1" x14ac:dyDescent="0.2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5" customHeight="1" x14ac:dyDescent="0.2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5" customHeight="1" x14ac:dyDescent="0.2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5" customHeight="1" x14ac:dyDescent="0.2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5" customHeight="1" x14ac:dyDescent="0.2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5" customHeight="1" x14ac:dyDescent="0.2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5" customHeight="1" x14ac:dyDescent="0.2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5" customHeight="1" x14ac:dyDescent="0.2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5" customHeight="1" x14ac:dyDescent="0.2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5" customHeight="1" x14ac:dyDescent="0.2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5" customHeight="1" x14ac:dyDescent="0.2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5" customHeight="1" x14ac:dyDescent="0.2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5" customHeight="1" x14ac:dyDescent="0.2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5" customHeight="1" x14ac:dyDescent="0.2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5" customHeight="1" x14ac:dyDescent="0.2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5" customHeight="1" x14ac:dyDescent="0.2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5" customHeight="1" x14ac:dyDescent="0.2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5" customHeight="1" x14ac:dyDescent="0.2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5" customHeight="1" x14ac:dyDescent="0.2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5" customHeight="1" x14ac:dyDescent="0.2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5" customHeight="1" x14ac:dyDescent="0.2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5" customHeight="1" x14ac:dyDescent="0.2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5" customHeight="1" x14ac:dyDescent="0.2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5" customHeight="1" x14ac:dyDescent="0.2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5" customHeight="1" x14ac:dyDescent="0.2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5" customHeight="1" x14ac:dyDescent="0.2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5" customHeight="1" x14ac:dyDescent="0.2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5" customHeight="1" x14ac:dyDescent="0.2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5" customHeight="1" x14ac:dyDescent="0.2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5" customHeight="1" x14ac:dyDescent="0.2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5" customHeight="1" x14ac:dyDescent="0.2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5" customHeight="1" x14ac:dyDescent="0.2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5" customHeight="1" x14ac:dyDescent="0.2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5" customHeight="1" x14ac:dyDescent="0.2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5" customHeight="1" x14ac:dyDescent="0.2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5" customHeight="1" x14ac:dyDescent="0.2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5" customHeight="1" x14ac:dyDescent="0.2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5" customHeight="1" x14ac:dyDescent="0.2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5" customHeight="1" x14ac:dyDescent="0.2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5" customHeight="1" x14ac:dyDescent="0.2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5" customHeight="1" x14ac:dyDescent="0.2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5" customHeight="1" x14ac:dyDescent="0.2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5" customHeight="1" x14ac:dyDescent="0.2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5" customHeight="1" x14ac:dyDescent="0.2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5" customHeight="1" x14ac:dyDescent="0.2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5" customHeight="1" x14ac:dyDescent="0.2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5" customHeight="1" x14ac:dyDescent="0.2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5" customHeight="1" x14ac:dyDescent="0.2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5" customHeight="1" x14ac:dyDescent="0.2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5" customHeight="1" x14ac:dyDescent="0.2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5" customHeight="1" x14ac:dyDescent="0.2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5" customHeight="1" x14ac:dyDescent="0.2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5" customHeight="1" x14ac:dyDescent="0.2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5" customHeight="1" x14ac:dyDescent="0.2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5" customHeight="1" x14ac:dyDescent="0.2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5" customHeight="1" x14ac:dyDescent="0.2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5" customHeight="1" x14ac:dyDescent="0.2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5" customHeight="1" x14ac:dyDescent="0.2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5" customHeight="1" x14ac:dyDescent="0.2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5" customHeight="1" x14ac:dyDescent="0.2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5" customHeight="1" x14ac:dyDescent="0.2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5" customHeight="1" x14ac:dyDescent="0.2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5" customHeight="1" x14ac:dyDescent="0.2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5" customHeight="1" x14ac:dyDescent="0.2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5" customHeight="1" x14ac:dyDescent="0.2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5" customHeight="1" x14ac:dyDescent="0.2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5" customHeight="1" x14ac:dyDescent="0.2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5" customHeight="1" x14ac:dyDescent="0.2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5" customHeight="1" x14ac:dyDescent="0.2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5" customHeight="1" x14ac:dyDescent="0.2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5" customHeight="1" x14ac:dyDescent="0.2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5" customHeight="1" x14ac:dyDescent="0.2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5" customHeight="1" x14ac:dyDescent="0.2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5" customHeight="1" x14ac:dyDescent="0.2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5" customHeight="1" x14ac:dyDescent="0.2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5" customHeight="1" x14ac:dyDescent="0.2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5" customHeight="1" x14ac:dyDescent="0.2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5" customHeight="1" x14ac:dyDescent="0.2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5" customHeight="1" x14ac:dyDescent="0.2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5" customHeight="1" x14ac:dyDescent="0.2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5" customHeight="1" x14ac:dyDescent="0.2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5" customHeight="1" x14ac:dyDescent="0.2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5" customHeight="1" x14ac:dyDescent="0.2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5" customHeight="1" x14ac:dyDescent="0.2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5" customHeight="1" x14ac:dyDescent="0.2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5" customHeight="1" x14ac:dyDescent="0.2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5" customHeight="1" x14ac:dyDescent="0.2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5" customHeight="1" x14ac:dyDescent="0.2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5" customHeight="1" x14ac:dyDescent="0.2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5" customHeight="1" x14ac:dyDescent="0.2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5" customHeight="1" x14ac:dyDescent="0.2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5" customHeight="1" x14ac:dyDescent="0.2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5" customHeight="1" x14ac:dyDescent="0.2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5" customHeight="1" x14ac:dyDescent="0.2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5" customHeight="1" x14ac:dyDescent="0.2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5" customHeight="1" x14ac:dyDescent="0.2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5" customHeight="1" x14ac:dyDescent="0.2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5" customHeight="1" x14ac:dyDescent="0.2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5" customHeight="1" x14ac:dyDescent="0.2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5" customHeight="1" x14ac:dyDescent="0.2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5" customHeight="1" x14ac:dyDescent="0.2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5" customHeight="1" x14ac:dyDescent="0.2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5" customHeight="1" x14ac:dyDescent="0.2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5" customHeight="1" x14ac:dyDescent="0.2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5" customHeight="1" x14ac:dyDescent="0.2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5" customHeight="1" x14ac:dyDescent="0.2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5" customHeight="1" x14ac:dyDescent="0.2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5" customHeight="1" x14ac:dyDescent="0.2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5" customHeight="1" x14ac:dyDescent="0.2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5" customHeight="1" x14ac:dyDescent="0.2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5" customHeight="1" x14ac:dyDescent="0.2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5" customHeight="1" x14ac:dyDescent="0.2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5" customHeight="1" x14ac:dyDescent="0.2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5" customHeight="1" x14ac:dyDescent="0.2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5" customHeight="1" x14ac:dyDescent="0.2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5" customHeight="1" x14ac:dyDescent="0.2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5" customHeight="1" x14ac:dyDescent="0.2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5" customHeight="1" x14ac:dyDescent="0.2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5" customHeight="1" x14ac:dyDescent="0.2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5" customHeight="1" x14ac:dyDescent="0.2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5" customHeight="1" x14ac:dyDescent="0.2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5" customHeight="1" x14ac:dyDescent="0.2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5" customHeight="1" x14ac:dyDescent="0.2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5" customHeight="1" x14ac:dyDescent="0.2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5" customHeight="1" x14ac:dyDescent="0.2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5" customHeight="1" x14ac:dyDescent="0.2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5" customHeight="1" x14ac:dyDescent="0.2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5" customHeight="1" x14ac:dyDescent="0.2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5" customHeight="1" x14ac:dyDescent="0.2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5" customHeight="1" x14ac:dyDescent="0.2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5" customHeight="1" x14ac:dyDescent="0.2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5" customHeight="1" x14ac:dyDescent="0.2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5" customHeight="1" x14ac:dyDescent="0.2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5" customHeight="1" x14ac:dyDescent="0.2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5" customHeight="1" x14ac:dyDescent="0.2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5" customHeight="1" x14ac:dyDescent="0.2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5" customHeight="1" x14ac:dyDescent="0.2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5" customHeight="1" x14ac:dyDescent="0.2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5" customHeight="1" x14ac:dyDescent="0.2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5" customHeight="1" x14ac:dyDescent="0.2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5" customHeight="1" x14ac:dyDescent="0.2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5" customHeight="1" x14ac:dyDescent="0.2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5" customHeight="1" x14ac:dyDescent="0.2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5" customHeight="1" x14ac:dyDescent="0.2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5" customHeight="1" x14ac:dyDescent="0.2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5" customHeight="1" x14ac:dyDescent="0.2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5" customHeight="1" x14ac:dyDescent="0.2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5" customHeight="1" x14ac:dyDescent="0.2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5" customHeight="1" x14ac:dyDescent="0.2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5" customHeight="1" x14ac:dyDescent="0.2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5" customHeight="1" x14ac:dyDescent="0.2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5" customHeight="1" x14ac:dyDescent="0.2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5" customHeight="1" x14ac:dyDescent="0.2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5" customHeight="1" x14ac:dyDescent="0.2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5" customHeight="1" x14ac:dyDescent="0.2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5" customHeight="1" x14ac:dyDescent="0.2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5" customHeight="1" x14ac:dyDescent="0.2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5" customHeight="1" x14ac:dyDescent="0.2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5" customHeight="1" x14ac:dyDescent="0.2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5" customHeight="1" x14ac:dyDescent="0.2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5" customHeight="1" x14ac:dyDescent="0.2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5" customHeight="1" x14ac:dyDescent="0.2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5" customHeight="1" x14ac:dyDescent="0.2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5" customHeight="1" x14ac:dyDescent="0.2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5" customHeight="1" x14ac:dyDescent="0.2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5" customHeight="1" x14ac:dyDescent="0.2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5" customHeight="1" x14ac:dyDescent="0.2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5" customHeight="1" x14ac:dyDescent="0.2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5" customHeight="1" x14ac:dyDescent="0.2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5" customHeight="1" x14ac:dyDescent="0.2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5" customHeight="1" x14ac:dyDescent="0.2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5" customHeight="1" x14ac:dyDescent="0.2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5" customHeight="1" x14ac:dyDescent="0.2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5" customHeight="1" x14ac:dyDescent="0.2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5" customHeight="1" x14ac:dyDescent="0.2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5" customHeight="1" x14ac:dyDescent="0.2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5" customHeight="1" x14ac:dyDescent="0.2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5" customHeight="1" x14ac:dyDescent="0.2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5" customHeight="1" x14ac:dyDescent="0.2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5" customHeight="1" x14ac:dyDescent="0.2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5" customHeight="1" x14ac:dyDescent="0.2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5" customHeight="1" x14ac:dyDescent="0.2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5" customHeight="1" x14ac:dyDescent="0.2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5" customHeight="1" x14ac:dyDescent="0.2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5" customHeight="1" x14ac:dyDescent="0.2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5" customHeight="1" x14ac:dyDescent="0.2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5" customHeight="1" x14ac:dyDescent="0.2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5" customHeight="1" x14ac:dyDescent="0.2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5" customHeight="1" x14ac:dyDescent="0.2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5" customHeight="1" x14ac:dyDescent="0.2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5" customHeight="1" x14ac:dyDescent="0.2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5" customHeight="1" x14ac:dyDescent="0.2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5" customHeight="1" x14ac:dyDescent="0.2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5" customHeight="1" x14ac:dyDescent="0.2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5" customHeight="1" x14ac:dyDescent="0.2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5" customHeight="1" x14ac:dyDescent="0.2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5" customHeight="1" x14ac:dyDescent="0.2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5" customHeight="1" x14ac:dyDescent="0.2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5" customHeight="1" x14ac:dyDescent="0.2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5" customHeight="1" x14ac:dyDescent="0.2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5" customHeight="1" x14ac:dyDescent="0.2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5" customHeight="1" x14ac:dyDescent="0.2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5" customHeight="1" x14ac:dyDescent="0.2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5" customHeight="1" x14ac:dyDescent="0.2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5" customHeight="1" x14ac:dyDescent="0.2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5" customHeight="1" x14ac:dyDescent="0.2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5" customHeight="1" x14ac:dyDescent="0.2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5" customHeight="1" x14ac:dyDescent="0.2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5" customHeight="1" x14ac:dyDescent="0.2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5" customHeight="1" x14ac:dyDescent="0.2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5" customHeight="1" x14ac:dyDescent="0.2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5" customHeight="1" x14ac:dyDescent="0.2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5" customHeight="1" x14ac:dyDescent="0.2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5" customHeight="1" x14ac:dyDescent="0.2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5" customHeight="1" x14ac:dyDescent="0.2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5" customHeight="1" x14ac:dyDescent="0.2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5" customHeight="1" x14ac:dyDescent="0.2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5" customHeight="1" x14ac:dyDescent="0.2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5" customHeight="1" x14ac:dyDescent="0.2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5" customHeight="1" x14ac:dyDescent="0.2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5" customHeight="1" x14ac:dyDescent="0.2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5" customHeight="1" x14ac:dyDescent="0.2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5" customHeight="1" x14ac:dyDescent="0.2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5" customHeight="1" x14ac:dyDescent="0.2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5" customHeight="1" x14ac:dyDescent="0.2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5" customHeight="1" x14ac:dyDescent="0.2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5" customHeight="1" x14ac:dyDescent="0.2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5" customHeight="1" x14ac:dyDescent="0.2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5" customHeight="1" x14ac:dyDescent="0.2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5" customHeight="1" x14ac:dyDescent="0.2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5" customHeight="1" x14ac:dyDescent="0.2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5" customHeight="1" x14ac:dyDescent="0.2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5" customHeight="1" x14ac:dyDescent="0.2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5" customHeight="1" x14ac:dyDescent="0.2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5" customHeight="1" x14ac:dyDescent="0.2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5" customHeight="1" x14ac:dyDescent="0.2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5" customHeight="1" x14ac:dyDescent="0.2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5" customHeight="1" x14ac:dyDescent="0.2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5" customHeight="1" x14ac:dyDescent="0.2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5" customHeight="1" x14ac:dyDescent="0.2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5" customHeight="1" x14ac:dyDescent="0.2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5" customHeight="1" x14ac:dyDescent="0.2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5" customHeight="1" x14ac:dyDescent="0.2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5" customHeight="1" x14ac:dyDescent="0.2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5" customHeight="1" x14ac:dyDescent="0.2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5" customHeight="1" x14ac:dyDescent="0.2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5" customHeight="1" x14ac:dyDescent="0.2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5" customHeight="1" x14ac:dyDescent="0.2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5" customHeight="1" x14ac:dyDescent="0.2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5" customHeight="1" x14ac:dyDescent="0.2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5" customHeight="1" x14ac:dyDescent="0.2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5" customHeight="1" x14ac:dyDescent="0.2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5" customHeight="1" x14ac:dyDescent="0.2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5" customHeight="1" x14ac:dyDescent="0.2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5" customHeight="1" x14ac:dyDescent="0.2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5" customHeight="1" x14ac:dyDescent="0.2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5" customHeight="1" x14ac:dyDescent="0.2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5" customHeight="1" x14ac:dyDescent="0.2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5" customHeight="1" x14ac:dyDescent="0.2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5" customHeight="1" x14ac:dyDescent="0.2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5" customHeight="1" x14ac:dyDescent="0.2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5" customHeight="1" x14ac:dyDescent="0.2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5" customHeight="1" x14ac:dyDescent="0.2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5" customHeight="1" x14ac:dyDescent="0.2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5" customHeight="1" x14ac:dyDescent="0.2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5" customHeight="1" x14ac:dyDescent="0.2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5" customHeight="1" x14ac:dyDescent="0.2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5" customHeight="1" x14ac:dyDescent="0.2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5" customHeight="1" x14ac:dyDescent="0.2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5" customHeight="1" x14ac:dyDescent="0.2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5" customHeight="1" x14ac:dyDescent="0.2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5" customHeight="1" x14ac:dyDescent="0.2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5" customHeight="1" x14ac:dyDescent="0.2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5" customHeight="1" x14ac:dyDescent="0.2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5" customHeight="1" x14ac:dyDescent="0.2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5" customHeight="1" x14ac:dyDescent="0.2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5" customHeight="1" x14ac:dyDescent="0.2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5" customHeight="1" x14ac:dyDescent="0.2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5" customHeight="1" x14ac:dyDescent="0.2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5" customHeight="1" x14ac:dyDescent="0.2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5" customHeight="1" x14ac:dyDescent="0.2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5" customHeight="1" x14ac:dyDescent="0.2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5" customHeight="1" x14ac:dyDescent="0.2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5" customHeight="1" x14ac:dyDescent="0.2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5" customHeight="1" x14ac:dyDescent="0.2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5" customHeight="1" x14ac:dyDescent="0.2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5" customHeight="1" x14ac:dyDescent="0.2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5" customHeight="1" x14ac:dyDescent="0.2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5" customHeight="1" x14ac:dyDescent="0.2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5" customHeight="1" x14ac:dyDescent="0.2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5" customHeight="1" x14ac:dyDescent="0.2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5" customHeight="1" x14ac:dyDescent="0.2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5" customHeight="1" x14ac:dyDescent="0.2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5" customHeight="1" x14ac:dyDescent="0.2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5" customHeight="1" x14ac:dyDescent="0.2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5" customHeight="1" x14ac:dyDescent="0.2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5" customHeight="1" x14ac:dyDescent="0.2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5" customHeight="1" x14ac:dyDescent="0.2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5" customHeight="1" x14ac:dyDescent="0.2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5" customHeight="1" x14ac:dyDescent="0.2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5" customHeight="1" x14ac:dyDescent="0.2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5" customHeight="1" x14ac:dyDescent="0.2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5" customHeight="1" x14ac:dyDescent="0.2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5" customHeight="1" x14ac:dyDescent="0.2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5" customHeight="1" x14ac:dyDescent="0.2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5" customHeight="1" x14ac:dyDescent="0.2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5" customHeight="1" x14ac:dyDescent="0.2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5" customHeight="1" x14ac:dyDescent="0.2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5" customHeight="1" x14ac:dyDescent="0.2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5" customHeight="1" x14ac:dyDescent="0.2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5" customHeight="1" x14ac:dyDescent="0.2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5" customHeight="1" x14ac:dyDescent="0.2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5" customHeight="1" x14ac:dyDescent="0.2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5" customHeight="1" x14ac:dyDescent="0.2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5" customHeight="1" x14ac:dyDescent="0.2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5" customHeight="1" x14ac:dyDescent="0.2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5" customHeight="1" x14ac:dyDescent="0.2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5" customHeight="1" x14ac:dyDescent="0.2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5" customHeight="1" x14ac:dyDescent="0.2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5" customHeight="1" x14ac:dyDescent="0.2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5" customHeight="1" x14ac:dyDescent="0.2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5" customHeight="1" x14ac:dyDescent="0.2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5" customHeight="1" x14ac:dyDescent="0.2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5" customHeight="1" x14ac:dyDescent="0.2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5" customHeight="1" x14ac:dyDescent="0.2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5" customHeight="1" x14ac:dyDescent="0.2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5" customHeight="1" x14ac:dyDescent="0.2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5" customHeight="1" x14ac:dyDescent="0.2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5" customHeight="1" x14ac:dyDescent="0.2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5" customHeight="1" x14ac:dyDescent="0.2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5" customHeight="1" x14ac:dyDescent="0.2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5" customHeight="1" x14ac:dyDescent="0.2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5" customHeight="1" x14ac:dyDescent="0.2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5" customHeight="1" x14ac:dyDescent="0.2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5" customHeight="1" x14ac:dyDescent="0.2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5" customHeight="1" x14ac:dyDescent="0.2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5" customHeight="1" x14ac:dyDescent="0.2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5" customHeight="1" x14ac:dyDescent="0.2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5" customHeight="1" x14ac:dyDescent="0.2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5" customHeight="1" x14ac:dyDescent="0.2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5" customHeight="1" x14ac:dyDescent="0.2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5" customHeight="1" x14ac:dyDescent="0.2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5" customHeight="1" x14ac:dyDescent="0.2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5" customHeight="1" x14ac:dyDescent="0.2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5" customHeight="1" x14ac:dyDescent="0.2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5" customHeight="1" x14ac:dyDescent="0.2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5" customHeight="1" x14ac:dyDescent="0.2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5" customHeight="1" x14ac:dyDescent="0.2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5" customHeight="1" x14ac:dyDescent="0.2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5" customHeight="1" x14ac:dyDescent="0.2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5" customHeight="1" x14ac:dyDescent="0.2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5" customHeight="1" x14ac:dyDescent="0.2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5" customHeight="1" x14ac:dyDescent="0.2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5" customHeight="1" x14ac:dyDescent="0.2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5" customHeight="1" x14ac:dyDescent="0.2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5" customHeight="1" x14ac:dyDescent="0.2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5" customHeight="1" x14ac:dyDescent="0.2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5" customHeight="1" x14ac:dyDescent="0.2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5" customHeight="1" x14ac:dyDescent="0.2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5" customHeight="1" x14ac:dyDescent="0.2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5" customHeight="1" x14ac:dyDescent="0.2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5" customHeight="1" x14ac:dyDescent="0.2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5" customHeight="1" x14ac:dyDescent="0.2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5" customHeight="1" x14ac:dyDescent="0.2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5" customHeight="1" x14ac:dyDescent="0.2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5" customHeight="1" x14ac:dyDescent="0.2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5" customHeight="1" x14ac:dyDescent="0.2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5" customHeight="1" x14ac:dyDescent="0.2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5" customHeight="1" x14ac:dyDescent="0.2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5" customHeight="1" x14ac:dyDescent="0.2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5" customHeight="1" x14ac:dyDescent="0.2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5" customHeight="1" x14ac:dyDescent="0.2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5" customHeight="1" x14ac:dyDescent="0.2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5" customHeight="1" x14ac:dyDescent="0.2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5" customHeight="1" x14ac:dyDescent="0.2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5" customHeight="1" x14ac:dyDescent="0.2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5" customHeight="1" x14ac:dyDescent="0.2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5" customHeight="1" x14ac:dyDescent="0.2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5" customHeight="1" x14ac:dyDescent="0.2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5" customHeight="1" x14ac:dyDescent="0.2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5" customHeight="1" x14ac:dyDescent="0.2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5" customHeight="1" x14ac:dyDescent="0.2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5" customHeight="1" x14ac:dyDescent="0.2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5" customHeight="1" x14ac:dyDescent="0.2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5" customHeight="1" x14ac:dyDescent="0.2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5" customHeight="1" x14ac:dyDescent="0.2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5" customHeight="1" x14ac:dyDescent="0.2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5" customHeight="1" x14ac:dyDescent="0.2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5" customHeight="1" x14ac:dyDescent="0.2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5" customHeight="1" x14ac:dyDescent="0.2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5" customHeight="1" x14ac:dyDescent="0.2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5" customHeight="1" x14ac:dyDescent="0.2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5" customHeight="1" x14ac:dyDescent="0.2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5" customHeight="1" x14ac:dyDescent="0.2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5" customHeight="1" x14ac:dyDescent="0.2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5" customHeight="1" x14ac:dyDescent="0.2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5" customHeight="1" x14ac:dyDescent="0.2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5" customHeight="1" x14ac:dyDescent="0.2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5" customHeight="1" x14ac:dyDescent="0.2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5" customHeight="1" x14ac:dyDescent="0.2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5" customHeight="1" x14ac:dyDescent="0.2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5" customHeight="1" x14ac:dyDescent="0.2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5" customHeight="1" x14ac:dyDescent="0.2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5" customHeight="1" x14ac:dyDescent="0.2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5" customHeight="1" x14ac:dyDescent="0.2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5" customHeight="1" x14ac:dyDescent="0.2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5" customHeight="1" x14ac:dyDescent="0.2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5" customHeight="1" x14ac:dyDescent="0.2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5" customHeight="1" x14ac:dyDescent="0.2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5" customHeight="1" x14ac:dyDescent="0.2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5" customHeight="1" x14ac:dyDescent="0.2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5" customHeight="1" x14ac:dyDescent="0.2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5" customHeight="1" x14ac:dyDescent="0.2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5" customHeight="1" x14ac:dyDescent="0.2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5" customHeight="1" x14ac:dyDescent="0.2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5" customHeight="1" x14ac:dyDescent="0.2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5" customHeight="1" x14ac:dyDescent="0.2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5" customHeight="1" x14ac:dyDescent="0.2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5" customHeight="1" x14ac:dyDescent="0.2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5" customHeight="1" x14ac:dyDescent="0.2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5" customHeight="1" x14ac:dyDescent="0.2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5" customHeight="1" x14ac:dyDescent="0.2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5" customHeight="1" x14ac:dyDescent="0.2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5" customHeight="1" x14ac:dyDescent="0.2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5" customHeight="1" x14ac:dyDescent="0.2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5" customHeight="1" x14ac:dyDescent="0.2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5" customHeight="1" x14ac:dyDescent="0.2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5" customHeight="1" x14ac:dyDescent="0.2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5" customHeight="1" x14ac:dyDescent="0.2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5" customHeight="1" x14ac:dyDescent="0.2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5" customHeight="1" x14ac:dyDescent="0.2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5" customHeight="1" x14ac:dyDescent="0.2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5" customHeight="1" x14ac:dyDescent="0.2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5" customHeight="1" x14ac:dyDescent="0.2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5" customHeight="1" x14ac:dyDescent="0.2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5" customHeight="1" x14ac:dyDescent="0.2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5" customHeight="1" x14ac:dyDescent="0.2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5" customHeight="1" x14ac:dyDescent="0.2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5" customHeight="1" x14ac:dyDescent="0.2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5" customHeight="1" x14ac:dyDescent="0.2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5" customHeight="1" x14ac:dyDescent="0.2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5" customHeight="1" x14ac:dyDescent="0.2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4"/>
      <c r="AG757" s="14"/>
      <c r="AH757" s="48"/>
      <c r="AI757" s="135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5" customHeight="1" x14ac:dyDescent="0.2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6"/>
      <c r="AG758" s="48"/>
      <c r="AH758" s="48"/>
      <c r="AI758" s="137"/>
      <c r="AJ758" s="137"/>
      <c r="AK758" s="137"/>
      <c r="AL758" s="137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5" customHeight="1" x14ac:dyDescent="0.2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6"/>
      <c r="AG759" s="137"/>
      <c r="AH759" s="48"/>
      <c r="AI759" s="137"/>
      <c r="AJ759" s="137"/>
      <c r="AK759" s="137"/>
      <c r="AL759" s="139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5" customHeight="1" x14ac:dyDescent="0.2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5" customHeight="1" x14ac:dyDescent="0.2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5" customHeight="1" x14ac:dyDescent="0.2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5" customHeight="1" x14ac:dyDescent="0.2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5" customHeight="1" x14ac:dyDescent="0.2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5" customHeight="1" x14ac:dyDescent="0.2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5" customHeight="1" x14ac:dyDescent="0.2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5" customHeight="1" x14ac:dyDescent="0.2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5" customHeight="1" x14ac:dyDescent="0.2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5" customHeight="1" x14ac:dyDescent="0.2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5" customHeight="1" x14ac:dyDescent="0.2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5" customHeight="1" x14ac:dyDescent="0.2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5" customHeight="1" x14ac:dyDescent="0.2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5" customHeight="1" x14ac:dyDescent="0.2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5" customHeight="1" x14ac:dyDescent="0.2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5" customHeight="1" x14ac:dyDescent="0.2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5" customHeight="1" x14ac:dyDescent="0.2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5" customHeight="1" x14ac:dyDescent="0.2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5" customHeight="1" x14ac:dyDescent="0.2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5" customHeight="1" x14ac:dyDescent="0.2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5" customHeight="1" x14ac:dyDescent="0.2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5" customHeight="1" x14ac:dyDescent="0.2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5" customHeight="1" x14ac:dyDescent="0.2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5" customHeight="1" x14ac:dyDescent="0.2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5" customHeight="1" x14ac:dyDescent="0.2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5" customHeight="1" x14ac:dyDescent="0.2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5" customHeight="1" x14ac:dyDescent="0.2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5" customHeight="1" x14ac:dyDescent="0.2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5" customHeight="1" x14ac:dyDescent="0.2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5" customHeight="1" x14ac:dyDescent="0.2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5" customHeight="1" x14ac:dyDescent="0.2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5" customHeight="1" x14ac:dyDescent="0.2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5" customHeight="1" x14ac:dyDescent="0.2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5" customHeight="1" x14ac:dyDescent="0.2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5" customHeight="1" x14ac:dyDescent="0.2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5" customHeight="1" x14ac:dyDescent="0.2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5" customHeight="1" x14ac:dyDescent="0.2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5" customHeight="1" x14ac:dyDescent="0.2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5" customHeight="1" x14ac:dyDescent="0.2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5" customHeight="1" x14ac:dyDescent="0.2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5" customHeight="1" x14ac:dyDescent="0.2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5" customHeight="1" x14ac:dyDescent="0.2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5" customHeight="1" x14ac:dyDescent="0.2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5" customHeight="1" x14ac:dyDescent="0.2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5" customHeight="1" x14ac:dyDescent="0.2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5" customHeight="1" x14ac:dyDescent="0.2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5" customHeight="1" x14ac:dyDescent="0.2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5" customHeight="1" x14ac:dyDescent="0.2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5" customHeight="1" x14ac:dyDescent="0.2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5" customHeight="1" x14ac:dyDescent="0.2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5" customHeight="1" x14ac:dyDescent="0.2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5" customHeight="1" x14ac:dyDescent="0.2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5" customHeight="1" x14ac:dyDescent="0.2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5" customHeight="1" x14ac:dyDescent="0.2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5" customHeight="1" x14ac:dyDescent="0.2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5" customHeight="1" x14ac:dyDescent="0.2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5" customHeight="1" x14ac:dyDescent="0.2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5" customHeight="1" x14ac:dyDescent="0.2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5" customHeight="1" x14ac:dyDescent="0.2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5" customHeight="1" x14ac:dyDescent="0.2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5" customHeight="1" x14ac:dyDescent="0.2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5" customHeight="1" x14ac:dyDescent="0.2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5" customHeight="1" x14ac:dyDescent="0.2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5" customHeight="1" x14ac:dyDescent="0.2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5" customHeight="1" x14ac:dyDescent="0.2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5" customHeight="1" x14ac:dyDescent="0.2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5" customHeight="1" x14ac:dyDescent="0.2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5" customHeight="1" x14ac:dyDescent="0.2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5" customHeight="1" x14ac:dyDescent="0.2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5" customHeight="1" x14ac:dyDescent="0.2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5" customHeight="1" x14ac:dyDescent="0.2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5" customHeight="1" x14ac:dyDescent="0.2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5" customHeight="1" x14ac:dyDescent="0.2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5" customHeight="1" x14ac:dyDescent="0.2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5" customHeight="1" x14ac:dyDescent="0.2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5" customHeight="1" x14ac:dyDescent="0.2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5" customHeight="1" x14ac:dyDescent="0.2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5" customHeight="1" x14ac:dyDescent="0.2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5" customHeight="1" x14ac:dyDescent="0.2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5" customHeight="1" x14ac:dyDescent="0.2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5" customHeight="1" x14ac:dyDescent="0.2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5" customHeight="1" x14ac:dyDescent="0.2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5" customHeight="1" x14ac:dyDescent="0.2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5" customHeight="1" x14ac:dyDescent="0.2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5" customHeight="1" x14ac:dyDescent="0.2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5" customHeight="1" x14ac:dyDescent="0.2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5" customHeight="1" x14ac:dyDescent="0.2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5" customHeight="1" x14ac:dyDescent="0.2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5" customHeight="1" x14ac:dyDescent="0.2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5" customHeight="1" x14ac:dyDescent="0.2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5" customHeight="1" x14ac:dyDescent="0.2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5" customHeight="1" x14ac:dyDescent="0.2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5" customHeight="1" x14ac:dyDescent="0.2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5" customHeight="1" x14ac:dyDescent="0.2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5" customHeight="1" x14ac:dyDescent="0.2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5" customHeight="1" x14ac:dyDescent="0.2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5" customHeight="1" x14ac:dyDescent="0.2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5" customHeight="1" x14ac:dyDescent="0.2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5" customHeight="1" x14ac:dyDescent="0.2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5" customHeight="1" x14ac:dyDescent="0.2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5" customHeight="1" x14ac:dyDescent="0.2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5" customHeight="1" x14ac:dyDescent="0.2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5" si="240">AVERAGE(AV866:AW866)</f>
        <v>263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 t="shared" ref="F868:F876" si="241"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 t="shared" si="241"/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 t="shared" si="241"/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 t="shared" si="241"/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 t="shared" si="241"/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 t="shared" si="241"/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>
        <v>350</v>
      </c>
      <c r="E874" s="14"/>
      <c r="F874" s="14">
        <f t="shared" si="241"/>
        <v>350</v>
      </c>
      <c r="G874" s="12"/>
      <c r="H874" s="12"/>
      <c r="I874" s="12"/>
      <c r="J874" s="100"/>
      <c r="K874" s="12"/>
      <c r="L874" s="14">
        <v>200</v>
      </c>
      <c r="M874" s="14"/>
      <c r="N874" s="14">
        <f>AVERAGE(L874:M874)</f>
        <v>200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>
        <v>900</v>
      </c>
      <c r="AW874" s="48">
        <v>75</v>
      </c>
      <c r="AX874" s="48">
        <f t="shared" si="240"/>
        <v>487.5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>
        <v>700</v>
      </c>
      <c r="E875" s="14">
        <v>150</v>
      </c>
      <c r="F875" s="14">
        <f t="shared" si="241"/>
        <v>425</v>
      </c>
      <c r="G875" s="12"/>
      <c r="H875" s="14">
        <v>800</v>
      </c>
      <c r="I875" s="14"/>
      <c r="J875" s="14">
        <f>AVERAGE(H875:I875)</f>
        <v>800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>
        <v>900</v>
      </c>
      <c r="AW875" s="48">
        <v>288</v>
      </c>
      <c r="AX875" s="48">
        <f t="shared" si="240"/>
        <v>594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900</v>
      </c>
      <c r="E876" s="14">
        <v>400</v>
      </c>
      <c r="F876" s="14">
        <f t="shared" si="241"/>
        <v>650</v>
      </c>
      <c r="G876" s="12"/>
      <c r="H876" s="14">
        <v>800</v>
      </c>
      <c r="I876" s="12"/>
      <c r="J876" s="14">
        <f>AVERAGE(H876:I876)</f>
        <v>800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900</v>
      </c>
      <c r="E877" s="14">
        <v>400</v>
      </c>
      <c r="F877" s="14">
        <f t="shared" ref="F877" si="242">AVERAGE(D877:E877)</f>
        <v>650</v>
      </c>
      <c r="G877" s="12"/>
      <c r="H877" s="14">
        <v>800</v>
      </c>
      <c r="I877" s="12"/>
      <c r="J877" s="14">
        <f>AVERAGE(H877:I877)</f>
        <v>800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/>
      <c r="E878" s="14">
        <v>400</v>
      </c>
      <c r="F878" s="14">
        <f>AVERAGE(D878:E878)</f>
        <v>400</v>
      </c>
      <c r="G878" s="12"/>
      <c r="H878" s="14"/>
      <c r="I878" s="12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4">
        <v>800</v>
      </c>
      <c r="I879" s="12"/>
      <c r="J879" s="14">
        <f t="shared" ref="J879:J883" si="243">AVERAGE(H879:I879)</f>
        <v>800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4">
        <v>1500</v>
      </c>
      <c r="I880" s="14">
        <v>450</v>
      </c>
      <c r="J880" s="14">
        <f t="shared" si="243"/>
        <v>975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4">
        <v>1500</v>
      </c>
      <c r="I881" s="14">
        <v>500</v>
      </c>
      <c r="J881" s="14">
        <f t="shared" si="243"/>
        <v>1000</v>
      </c>
      <c r="K881" s="12"/>
      <c r="L881" s="14"/>
      <c r="M881" s="14">
        <v>600</v>
      </c>
      <c r="N881" s="14">
        <f>AVERAGE(L881:M881)</f>
        <v>600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4">
        <v>1000</v>
      </c>
      <c r="I882" s="14">
        <v>600</v>
      </c>
      <c r="J882" s="14">
        <f t="shared" si="243"/>
        <v>800</v>
      </c>
      <c r="K882" s="12"/>
      <c r="L882" s="12"/>
      <c r="M882" s="14">
        <v>600</v>
      </c>
      <c r="N882" s="14">
        <f>AVERAGE(L882:M882)</f>
        <v>600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4">
        <v>1300</v>
      </c>
      <c r="I883" s="14">
        <v>500</v>
      </c>
      <c r="J883" s="14">
        <f t="shared" si="243"/>
        <v>900</v>
      </c>
      <c r="K883" s="12"/>
      <c r="L883" s="14">
        <v>1500</v>
      </c>
      <c r="M883" s="14">
        <v>500</v>
      </c>
      <c r="N883" s="14">
        <f>AVERAGE(L883:M883)</f>
        <v>1000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4">
        <v>1600</v>
      </c>
      <c r="M886" s="14">
        <v>650</v>
      </c>
      <c r="N886" s="14">
        <f t="shared" ref="N886:N888" si="244">AVERAGE(L886:M886)</f>
        <v>1125</v>
      </c>
      <c r="O886" s="12"/>
      <c r="P886" s="14">
        <v>1000</v>
      </c>
      <c r="Q886" s="12"/>
      <c r="R886" s="14">
        <f t="shared" ref="R886:R892" si="245">AVERAGE(P886:Q886)</f>
        <v>1000</v>
      </c>
      <c r="S886" s="12"/>
      <c r="T886" s="14">
        <v>800</v>
      </c>
      <c r="U886" s="12"/>
      <c r="V886" s="14">
        <f t="shared" ref="V886:V896" si="246">AVERAGE(T886:U886)</f>
        <v>800</v>
      </c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4">
        <v>1600</v>
      </c>
      <c r="M887" s="14">
        <v>800</v>
      </c>
      <c r="N887" s="14">
        <f t="shared" si="244"/>
        <v>1200</v>
      </c>
      <c r="O887" s="12"/>
      <c r="P887" s="14">
        <v>1600</v>
      </c>
      <c r="Q887" s="12"/>
      <c r="R887" s="14">
        <f t="shared" si="245"/>
        <v>1600</v>
      </c>
      <c r="S887" s="12"/>
      <c r="T887" s="14">
        <v>1000</v>
      </c>
      <c r="U887" s="12"/>
      <c r="V887" s="14">
        <f t="shared" si="246"/>
        <v>1000</v>
      </c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4">
        <v>1800</v>
      </c>
      <c r="M888" s="14">
        <v>1200</v>
      </c>
      <c r="N888" s="14">
        <f t="shared" si="244"/>
        <v>1500</v>
      </c>
      <c r="O888" s="12"/>
      <c r="P888" s="14">
        <v>2500</v>
      </c>
      <c r="Q888" s="14">
        <v>1000</v>
      </c>
      <c r="R888" s="14">
        <f t="shared" si="245"/>
        <v>1750</v>
      </c>
      <c r="S888" s="12"/>
      <c r="T888" s="14">
        <v>1800</v>
      </c>
      <c r="U888" s="12"/>
      <c r="V888" s="14">
        <f t="shared" si="246"/>
        <v>1800</v>
      </c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5" customHeight="1" x14ac:dyDescent="0.2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4">
        <v>2750</v>
      </c>
      <c r="Q889" s="14">
        <v>1000</v>
      </c>
      <c r="R889" s="14">
        <f t="shared" si="245"/>
        <v>1875</v>
      </c>
      <c r="S889" s="12"/>
      <c r="T889" s="14">
        <v>1800</v>
      </c>
      <c r="U889" s="12"/>
      <c r="V889" s="14">
        <f t="shared" si="246"/>
        <v>1800</v>
      </c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5" customHeight="1" x14ac:dyDescent="0.2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4">
        <v>2000</v>
      </c>
      <c r="Q890" s="14">
        <v>1750</v>
      </c>
      <c r="R890" s="14">
        <f t="shared" si="245"/>
        <v>1875</v>
      </c>
      <c r="S890" s="12"/>
      <c r="T890" s="14">
        <v>1500</v>
      </c>
      <c r="U890" s="14">
        <v>1250</v>
      </c>
      <c r="V890" s="14">
        <f t="shared" si="246"/>
        <v>1375</v>
      </c>
      <c r="W890" s="12"/>
      <c r="X890" s="14">
        <v>1500</v>
      </c>
      <c r="Y890" s="12"/>
      <c r="Z890" s="14">
        <f t="shared" ref="Z890" si="247">AVERAGE(X890:Y890)</f>
        <v>1500</v>
      </c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5" customHeight="1" x14ac:dyDescent="0.2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>
        <v>1325</v>
      </c>
      <c r="R891" s="14">
        <f t="shared" si="245"/>
        <v>1325</v>
      </c>
      <c r="S891" s="12"/>
      <c r="T891" s="12"/>
      <c r="U891" s="14">
        <v>1500</v>
      </c>
      <c r="V891" s="14">
        <f t="shared" si="246"/>
        <v>1500</v>
      </c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5" customHeight="1" x14ac:dyDescent="0.2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>
        <v>1000</v>
      </c>
      <c r="R892" s="14">
        <f t="shared" si="245"/>
        <v>1000</v>
      </c>
      <c r="S892" s="12"/>
      <c r="T892" s="12"/>
      <c r="U892" s="14">
        <v>775</v>
      </c>
      <c r="V892" s="14">
        <f t="shared" si="246"/>
        <v>775</v>
      </c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5" customHeight="1" x14ac:dyDescent="0.2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4">
        <v>2500</v>
      </c>
      <c r="U893" s="12"/>
      <c r="V893" s="14">
        <f t="shared" si="246"/>
        <v>2500</v>
      </c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5" customHeight="1" x14ac:dyDescent="0.2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4">
        <v>1500</v>
      </c>
      <c r="U894" s="14">
        <v>250</v>
      </c>
      <c r="V894" s="14">
        <f t="shared" si="246"/>
        <v>875</v>
      </c>
      <c r="W894" s="14"/>
      <c r="X894" s="14">
        <v>500</v>
      </c>
      <c r="Y894" s="12"/>
      <c r="Z894" s="14">
        <f t="shared" ref="Z894:Z901" si="248">AVERAGE(X894:Y894)</f>
        <v>500</v>
      </c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5" customHeight="1" x14ac:dyDescent="0.2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4">
        <v>1200</v>
      </c>
      <c r="U895" s="14">
        <v>200</v>
      </c>
      <c r="V895" s="14">
        <f t="shared" si="246"/>
        <v>700</v>
      </c>
      <c r="W895" s="12"/>
      <c r="X895" s="14">
        <v>850</v>
      </c>
      <c r="Y895" s="12"/>
      <c r="Z895" s="14">
        <f t="shared" si="248"/>
        <v>850</v>
      </c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5" customHeight="1" x14ac:dyDescent="0.2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4">
        <v>200</v>
      </c>
      <c r="V896" s="14">
        <f t="shared" si="246"/>
        <v>200</v>
      </c>
      <c r="W896" s="12"/>
      <c r="X896" s="14">
        <v>925</v>
      </c>
      <c r="Y896" s="14">
        <v>200</v>
      </c>
      <c r="Z896" s="14">
        <f t="shared" si="248"/>
        <v>562.5</v>
      </c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5" customHeight="1" x14ac:dyDescent="0.2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4">
        <v>800</v>
      </c>
      <c r="Y897" s="14">
        <v>100</v>
      </c>
      <c r="Z897" s="14">
        <f t="shared" si="248"/>
        <v>450</v>
      </c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5" customHeight="1" x14ac:dyDescent="0.2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4"/>
      <c r="Y898" s="14">
        <v>75</v>
      </c>
      <c r="Z898" s="14">
        <f t="shared" si="248"/>
        <v>75</v>
      </c>
      <c r="AA898" s="12"/>
      <c r="AB898" s="14">
        <v>700</v>
      </c>
      <c r="AC898" s="12"/>
      <c r="AD898" s="14">
        <f t="shared" ref="AD898:AD905" si="249">AVERAGE(AB898:AC898)</f>
        <v>700</v>
      </c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5" customHeight="1" x14ac:dyDescent="0.2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4">
        <v>800</v>
      </c>
      <c r="Y899" s="14">
        <v>0</v>
      </c>
      <c r="Z899" s="14">
        <f t="shared" si="248"/>
        <v>400</v>
      </c>
      <c r="AA899" s="12"/>
      <c r="AB899" s="14">
        <v>650</v>
      </c>
      <c r="AC899" s="12"/>
      <c r="AD899" s="14">
        <f t="shared" si="249"/>
        <v>650</v>
      </c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5" customHeight="1" x14ac:dyDescent="0.2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4"/>
      <c r="Y900" s="14">
        <v>0</v>
      </c>
      <c r="Z900" s="14">
        <f t="shared" si="248"/>
        <v>0</v>
      </c>
      <c r="AA900" s="14"/>
      <c r="AB900" s="14">
        <v>700</v>
      </c>
      <c r="AC900" s="14"/>
      <c r="AD900" s="14">
        <f t="shared" si="249"/>
        <v>700</v>
      </c>
      <c r="AE900" s="14"/>
      <c r="AF900" s="14"/>
      <c r="AG900" s="14"/>
      <c r="AH900" s="14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5" customHeight="1" x14ac:dyDescent="0.2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4"/>
      <c r="Y901" s="14">
        <v>-50</v>
      </c>
      <c r="Z901" s="14">
        <f t="shared" si="248"/>
        <v>-50</v>
      </c>
      <c r="AA901" s="14"/>
      <c r="AB901" s="14">
        <v>500</v>
      </c>
      <c r="AC901" s="14"/>
      <c r="AD901" s="14">
        <f t="shared" si="249"/>
        <v>500</v>
      </c>
      <c r="AE901" s="14"/>
      <c r="AF901" s="14"/>
      <c r="AG901" s="14"/>
      <c r="AH901" s="14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5" customHeight="1" x14ac:dyDescent="0.2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4"/>
      <c r="Y902" s="14"/>
      <c r="Z902" s="14"/>
      <c r="AA902" s="14"/>
      <c r="AB902" s="14">
        <v>400</v>
      </c>
      <c r="AC902" s="14"/>
      <c r="AD902" s="14">
        <f t="shared" si="249"/>
        <v>400</v>
      </c>
      <c r="AE902" s="14"/>
      <c r="AF902" s="14"/>
      <c r="AG902" s="14"/>
      <c r="AH902" s="14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5" customHeight="1" x14ac:dyDescent="0.2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4"/>
      <c r="Y903" s="14"/>
      <c r="Z903" s="14"/>
      <c r="AA903" s="14"/>
      <c r="AB903" s="14">
        <v>600</v>
      </c>
      <c r="AC903" s="14">
        <v>75</v>
      </c>
      <c r="AD903" s="14">
        <f t="shared" si="249"/>
        <v>337.5</v>
      </c>
      <c r="AE903" s="14"/>
      <c r="AF903" s="14"/>
      <c r="AG903" s="14"/>
      <c r="AH903" s="14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5" customHeight="1" x14ac:dyDescent="0.2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4"/>
      <c r="Y904" s="14"/>
      <c r="Z904" s="14"/>
      <c r="AA904" s="14"/>
      <c r="AB904" s="14">
        <v>800</v>
      </c>
      <c r="AC904" s="14">
        <v>200</v>
      </c>
      <c r="AD904" s="14">
        <f t="shared" si="249"/>
        <v>500</v>
      </c>
      <c r="AE904" s="14"/>
      <c r="AF904" s="14">
        <v>800</v>
      </c>
      <c r="AG904" s="14">
        <v>200</v>
      </c>
      <c r="AH904" s="14">
        <f t="shared" ref="AH904:AH909" si="250">AVERAGE(AF904:AG904)</f>
        <v>500</v>
      </c>
      <c r="AI904" s="12"/>
      <c r="AJ904" s="48"/>
      <c r="AK904" s="48"/>
      <c r="AL904" s="48"/>
      <c r="AM904" s="12"/>
      <c r="AN904" s="12"/>
      <c r="AO904" s="14"/>
      <c r="AP904" s="14"/>
      <c r="AQ904" s="12"/>
      <c r="AR904" s="12"/>
      <c r="AS904" s="12"/>
      <c r="AT904" s="12"/>
      <c r="AU904" s="12"/>
      <c r="AV904" s="12"/>
      <c r="AW904" s="12"/>
    </row>
    <row r="905" spans="1:49" ht="10.15" customHeight="1" x14ac:dyDescent="0.2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4"/>
      <c r="Y905" s="14"/>
      <c r="Z905" s="14"/>
      <c r="AA905" s="14"/>
      <c r="AB905" s="14">
        <v>900</v>
      </c>
      <c r="AC905" s="14">
        <v>800</v>
      </c>
      <c r="AD905" s="14">
        <f t="shared" si="249"/>
        <v>850</v>
      </c>
      <c r="AE905" s="14"/>
      <c r="AF905" s="14">
        <v>900</v>
      </c>
      <c r="AG905" s="14">
        <v>500</v>
      </c>
      <c r="AH905" s="14">
        <f t="shared" si="250"/>
        <v>700</v>
      </c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5" customHeight="1" x14ac:dyDescent="0.2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4"/>
      <c r="Y906" s="14"/>
      <c r="Z906" s="14"/>
      <c r="AA906" s="14"/>
      <c r="AB906" s="14"/>
      <c r="AC906" s="14"/>
      <c r="AD906" s="14"/>
      <c r="AE906" s="14"/>
      <c r="AF906" s="14"/>
      <c r="AG906" s="14">
        <v>750</v>
      </c>
      <c r="AH906" s="14">
        <f t="shared" si="250"/>
        <v>750</v>
      </c>
      <c r="AI906" s="12"/>
      <c r="AJ906" s="48"/>
      <c r="AK906" s="48">
        <v>1000</v>
      </c>
      <c r="AL906" s="14">
        <f t="shared" ref="AL906:AL913" si="251">AVERAGE(AJ906:AK906)</f>
        <v>1000</v>
      </c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5" customHeight="1" x14ac:dyDescent="0.2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4"/>
      <c r="Y907" s="14"/>
      <c r="Z907" s="14"/>
      <c r="AA907" s="14"/>
      <c r="AB907" s="14"/>
      <c r="AC907" s="14"/>
      <c r="AD907" s="14"/>
      <c r="AE907" s="14"/>
      <c r="AF907" s="14"/>
      <c r="AG907" s="14">
        <v>1100</v>
      </c>
      <c r="AH907" s="14">
        <f t="shared" si="250"/>
        <v>1100</v>
      </c>
      <c r="AI907" s="12"/>
      <c r="AJ907" s="48"/>
      <c r="AK907" s="48">
        <v>1100</v>
      </c>
      <c r="AL907" s="14">
        <f t="shared" si="251"/>
        <v>1100</v>
      </c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5" customHeight="1" x14ac:dyDescent="0.2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4"/>
      <c r="Y908" s="14"/>
      <c r="Z908" s="14"/>
      <c r="AA908" s="14"/>
      <c r="AB908" s="14"/>
      <c r="AC908" s="14"/>
      <c r="AD908" s="14"/>
      <c r="AE908" s="14"/>
      <c r="AF908" s="14"/>
      <c r="AG908" s="14">
        <v>950</v>
      </c>
      <c r="AH908" s="14">
        <f t="shared" si="250"/>
        <v>950</v>
      </c>
      <c r="AI908" s="12"/>
      <c r="AJ908" s="48"/>
      <c r="AK908" s="48">
        <v>1500</v>
      </c>
      <c r="AL908" s="14">
        <f t="shared" si="251"/>
        <v>1500</v>
      </c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5" customHeight="1" x14ac:dyDescent="0.2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4"/>
      <c r="Y909" s="14"/>
      <c r="Z909" s="14"/>
      <c r="AA909" s="14"/>
      <c r="AB909" s="14"/>
      <c r="AC909" s="14"/>
      <c r="AD909" s="14"/>
      <c r="AE909" s="14"/>
      <c r="AF909" s="14">
        <v>2400</v>
      </c>
      <c r="AG909" s="14">
        <v>1250</v>
      </c>
      <c r="AH909" s="14">
        <f t="shared" si="250"/>
        <v>1825</v>
      </c>
      <c r="AI909" s="12"/>
      <c r="AJ909" s="48"/>
      <c r="AK909" s="48">
        <v>1500</v>
      </c>
      <c r="AL909" s="14">
        <f t="shared" si="251"/>
        <v>1500</v>
      </c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5" customHeight="1" x14ac:dyDescent="0.2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2"/>
      <c r="AJ910" s="48">
        <v>1600</v>
      </c>
      <c r="AK910" s="48">
        <v>1000</v>
      </c>
      <c r="AL910" s="14">
        <f t="shared" si="251"/>
        <v>1300</v>
      </c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5" customHeight="1" x14ac:dyDescent="0.2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2"/>
      <c r="AJ911" s="48"/>
      <c r="AK911" s="48">
        <v>1000</v>
      </c>
      <c r="AL911" s="14">
        <f t="shared" si="251"/>
        <v>1000</v>
      </c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5" customHeight="1" x14ac:dyDescent="0.2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2"/>
      <c r="AJ912" s="48"/>
      <c r="AK912" s="48">
        <v>600</v>
      </c>
      <c r="AL912" s="48">
        <f t="shared" si="251"/>
        <v>600</v>
      </c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2"/>
      <c r="AJ913" s="48"/>
      <c r="AK913" s="48">
        <v>1033</v>
      </c>
      <c r="AL913" s="48">
        <f t="shared" si="251"/>
        <v>1033</v>
      </c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50" ht="10.15" customHeight="1" x14ac:dyDescent="0.2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2"/>
      <c r="AM916" s="12"/>
      <c r="AN916" s="48">
        <v>3500</v>
      </c>
      <c r="AO916" s="48">
        <v>2500</v>
      </c>
      <c r="AP916" s="48">
        <f>AVERAGE(AN916:AO916)</f>
        <v>3000</v>
      </c>
      <c r="AQ916" s="12"/>
      <c r="AR916" s="12"/>
      <c r="AS916" s="12"/>
      <c r="AT916" s="12"/>
      <c r="AU916" s="12"/>
      <c r="AV916" s="12"/>
      <c r="AW916" s="12"/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2"/>
      <c r="AJ917" s="48"/>
      <c r="AK917" s="48"/>
      <c r="AL917" s="48"/>
      <c r="AM917" s="12"/>
      <c r="AN917" s="48">
        <v>3750</v>
      </c>
      <c r="AO917" s="48">
        <v>1500</v>
      </c>
      <c r="AP917" s="48">
        <f>AVERAGE(AN917:AO917)</f>
        <v>2625</v>
      </c>
      <c r="AQ917" s="12"/>
      <c r="AR917" s="12"/>
      <c r="AS917" s="48">
        <v>1500</v>
      </c>
      <c r="AT917" s="48">
        <f>AVERAGE(AR917:AS917)</f>
        <v>1500</v>
      </c>
      <c r="AU917" s="12"/>
      <c r="AV917" s="12"/>
      <c r="AW917" s="12"/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48"/>
      <c r="AU918" s="12"/>
      <c r="AV918" s="12"/>
      <c r="AW918" s="12"/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2"/>
      <c r="AJ919" s="48"/>
      <c r="AK919" s="48"/>
      <c r="AL919" s="48"/>
      <c r="AM919" s="12"/>
      <c r="AN919" s="12"/>
      <c r="AO919" s="12"/>
      <c r="AP919" s="12"/>
      <c r="AQ919" s="12"/>
      <c r="AR919" s="48">
        <v>3000</v>
      </c>
      <c r="AS919" s="48">
        <v>1300</v>
      </c>
      <c r="AT919" s="48">
        <f t="shared" ref="AT918:AT919" si="252">AVERAGE(AR919:AS919)</f>
        <v>2150</v>
      </c>
      <c r="AU919" s="12"/>
      <c r="AV919" s="12"/>
      <c r="AW919" s="48">
        <v>750</v>
      </c>
      <c r="AX919" s="48">
        <f t="shared" ref="AX919" si="253">AVERAGE(AV919:AW919)</f>
        <v>750</v>
      </c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ht="10.15" customHeight="1" x14ac:dyDescent="0.2">
      <c r="A929" s="14">
        <v>1</v>
      </c>
      <c r="B929" s="103">
        <v>42005</v>
      </c>
      <c r="C929" s="103">
        <v>41998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1:49" ht="10.15" customHeight="1" x14ac:dyDescent="0.2">
      <c r="A930" s="14">
        <v>2</v>
      </c>
      <c r="B930" s="103">
        <v>42012</v>
      </c>
      <c r="C930" s="103">
        <v>42005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ht="10.15" customHeight="1" x14ac:dyDescent="0.2">
      <c r="A931" s="14">
        <v>3</v>
      </c>
      <c r="B931" s="103">
        <v>42019</v>
      </c>
      <c r="C931" s="103">
        <v>42012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1:49" ht="10.15" customHeight="1" x14ac:dyDescent="0.2">
      <c r="A932" s="14">
        <v>4</v>
      </c>
      <c r="B932" s="103">
        <v>42026</v>
      </c>
      <c r="C932" s="103">
        <v>42019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ht="10.15" customHeight="1" x14ac:dyDescent="0.2">
      <c r="A933" s="14">
        <v>5</v>
      </c>
      <c r="B933" s="103">
        <v>42033</v>
      </c>
      <c r="C933" s="103">
        <v>42026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1:49" ht="10.15" customHeight="1" x14ac:dyDescent="0.2">
      <c r="A934" s="14">
        <v>6</v>
      </c>
      <c r="B934" s="103">
        <v>42040</v>
      </c>
      <c r="C934" s="103">
        <v>42033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1:49" ht="10.15" customHeight="1" x14ac:dyDescent="0.2">
      <c r="A935" s="14">
        <v>7</v>
      </c>
      <c r="B935" s="103">
        <v>42047</v>
      </c>
      <c r="C935" s="103">
        <v>42040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1:49" ht="10.15" customHeight="1" x14ac:dyDescent="0.2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1:49" ht="10.15" customHeight="1" x14ac:dyDescent="0.2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1:49" ht="10.15" customHeight="1" x14ac:dyDescent="0.2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1:49" ht="10.15" customHeight="1" x14ac:dyDescent="0.2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1:49" ht="10.15" customHeight="1" x14ac:dyDescent="0.2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1:49" ht="10.15" customHeight="1" x14ac:dyDescent="0.2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1:49" ht="10.15" customHeight="1" x14ac:dyDescent="0.2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1:49" ht="10.15" customHeight="1" x14ac:dyDescent="0.2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1:49" ht="10.15" customHeight="1" x14ac:dyDescent="0.2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ht="10.15" customHeight="1" x14ac:dyDescent="0.2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1:49" ht="10.15" customHeight="1" x14ac:dyDescent="0.2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ht="10.15" customHeight="1" x14ac:dyDescent="0.2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1:49" ht="10.15" customHeight="1" x14ac:dyDescent="0.2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ht="10.15" customHeight="1" x14ac:dyDescent="0.2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1:49" ht="10.15" customHeight="1" x14ac:dyDescent="0.2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ht="10.15" customHeight="1" x14ac:dyDescent="0.2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1:49" ht="10.15" customHeight="1" x14ac:dyDescent="0.2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1:49" ht="10.15" customHeight="1" x14ac:dyDescent="0.2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1:49" ht="10.15" customHeight="1" x14ac:dyDescent="0.2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5" customHeight="1" x14ac:dyDescent="0.2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5" customHeight="1" x14ac:dyDescent="0.2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5" customHeight="1" x14ac:dyDescent="0.2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5" customHeight="1" x14ac:dyDescent="0.2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5" customHeight="1" x14ac:dyDescent="0.2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5" customHeight="1" x14ac:dyDescent="0.2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5" customHeight="1" x14ac:dyDescent="0.2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5" customHeight="1" x14ac:dyDescent="0.2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5" customHeight="1" x14ac:dyDescent="0.2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5" customHeight="1" x14ac:dyDescent="0.2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5" customHeight="1" x14ac:dyDescent="0.2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5" customHeight="1" x14ac:dyDescent="0.2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5" customHeight="1" x14ac:dyDescent="0.2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5" customHeight="1" x14ac:dyDescent="0.2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5" customHeight="1" x14ac:dyDescent="0.2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5" customHeight="1" x14ac:dyDescent="0.2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5" customHeight="1" x14ac:dyDescent="0.2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5" customHeight="1" x14ac:dyDescent="0.2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5" customHeight="1" x14ac:dyDescent="0.2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5" customHeight="1" x14ac:dyDescent="0.2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5" customHeight="1" x14ac:dyDescent="0.2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5" customHeight="1" x14ac:dyDescent="0.2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5" customHeight="1" x14ac:dyDescent="0.2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5" customHeight="1" x14ac:dyDescent="0.2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5" customHeight="1" x14ac:dyDescent="0.2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5" customHeight="1" x14ac:dyDescent="0.2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5" customHeight="1" x14ac:dyDescent="0.2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5" customHeight="1" x14ac:dyDescent="0.2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5" customHeight="1" x14ac:dyDescent="0.2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5" customHeight="1" x14ac:dyDescent="0.2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5" customHeight="1" x14ac:dyDescent="0.2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5" customHeight="1" x14ac:dyDescent="0.2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5" customHeight="1" x14ac:dyDescent="0.2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5" customHeight="1" x14ac:dyDescent="0.2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5" customHeight="1" x14ac:dyDescent="0.2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5" customHeight="1" x14ac:dyDescent="0.2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5" customHeight="1" x14ac:dyDescent="0.2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5" customHeight="1" x14ac:dyDescent="0.2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5" customHeight="1" x14ac:dyDescent="0.2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5" customHeight="1" x14ac:dyDescent="0.2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5" customHeight="1" x14ac:dyDescent="0.2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5" customHeight="1" x14ac:dyDescent="0.2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5" customHeight="1" x14ac:dyDescent="0.2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5" customHeight="1" x14ac:dyDescent="0.2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5" customHeight="1" x14ac:dyDescent="0.2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5" customHeight="1" x14ac:dyDescent="0.2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5" customHeight="1" x14ac:dyDescent="0.2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5" customHeight="1" x14ac:dyDescent="0.2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5" customHeight="1" x14ac:dyDescent="0.2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5" customHeight="1" x14ac:dyDescent="0.2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5" customHeight="1" x14ac:dyDescent="0.2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5" customHeight="1" x14ac:dyDescent="0.2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5" customHeight="1" x14ac:dyDescent="0.2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5" customHeight="1" x14ac:dyDescent="0.2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5" customHeight="1" x14ac:dyDescent="0.2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5" customHeight="1" x14ac:dyDescent="0.2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5" customHeight="1" x14ac:dyDescent="0.2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5" customHeight="1" x14ac:dyDescent="0.2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5" customHeight="1" x14ac:dyDescent="0.2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5" customHeight="1" x14ac:dyDescent="0.2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5" customHeight="1" x14ac:dyDescent="0.2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5" customHeight="1" x14ac:dyDescent="0.2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5" customHeight="1" x14ac:dyDescent="0.2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5" customHeight="1" x14ac:dyDescent="0.2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5" customHeight="1" x14ac:dyDescent="0.2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5" customHeight="1" x14ac:dyDescent="0.2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5" customHeight="1" x14ac:dyDescent="0.2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5" customHeight="1" x14ac:dyDescent="0.2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5" customHeight="1" x14ac:dyDescent="0.2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5" customHeight="1" x14ac:dyDescent="0.2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5" customHeight="1" x14ac:dyDescent="0.2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5" customHeight="1" x14ac:dyDescent="0.2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5" customHeight="1" x14ac:dyDescent="0.2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5" customHeight="1" x14ac:dyDescent="0.2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5" customHeight="1" x14ac:dyDescent="0.2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5" customHeight="1" x14ac:dyDescent="0.2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5" customHeight="1" x14ac:dyDescent="0.2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5" customHeight="1" x14ac:dyDescent="0.2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5" customHeight="1" x14ac:dyDescent="0.2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5" customHeight="1" x14ac:dyDescent="0.2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5" customHeight="1" x14ac:dyDescent="0.2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5" customHeight="1" x14ac:dyDescent="0.2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5" customHeight="1" x14ac:dyDescent="0.2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5" customHeight="1" x14ac:dyDescent="0.2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5" customHeight="1" x14ac:dyDescent="0.2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5" customHeight="1" x14ac:dyDescent="0.2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5" customHeight="1" x14ac:dyDescent="0.2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5" customHeight="1" x14ac:dyDescent="0.2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5" customHeight="1" x14ac:dyDescent="0.2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5" customHeight="1" x14ac:dyDescent="0.2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5" customHeight="1" x14ac:dyDescent="0.2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5" customHeight="1" x14ac:dyDescent="0.2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5" customHeight="1" x14ac:dyDescent="0.2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5" customHeight="1" x14ac:dyDescent="0.2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5" customHeight="1" x14ac:dyDescent="0.2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5" customHeight="1" x14ac:dyDescent="0.2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5" customHeight="1" x14ac:dyDescent="0.2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5" customHeight="1" x14ac:dyDescent="0.2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5" customHeight="1" x14ac:dyDescent="0.2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5" customHeight="1" x14ac:dyDescent="0.2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5" customHeight="1" x14ac:dyDescent="0.2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5" customHeight="1" x14ac:dyDescent="0.2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5" customHeight="1" x14ac:dyDescent="0.2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5" customHeight="1" x14ac:dyDescent="0.2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5" customHeight="1" x14ac:dyDescent="0.2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5" customHeight="1" x14ac:dyDescent="0.2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5" customHeight="1" x14ac:dyDescent="0.2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5" customHeight="1" x14ac:dyDescent="0.2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5" customHeight="1" x14ac:dyDescent="0.2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5" customHeight="1" x14ac:dyDescent="0.2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5" customHeight="1" x14ac:dyDescent="0.2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5" customHeight="1" x14ac:dyDescent="0.2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5" customHeight="1" x14ac:dyDescent="0.2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5" customHeight="1" x14ac:dyDescent="0.2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5" customHeight="1" x14ac:dyDescent="0.2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5" customHeight="1" x14ac:dyDescent="0.2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5" customHeight="1" x14ac:dyDescent="0.2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5" customHeight="1" x14ac:dyDescent="0.2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5" customHeight="1" x14ac:dyDescent="0.2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5" customHeight="1" x14ac:dyDescent="0.2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5" customHeight="1" x14ac:dyDescent="0.2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5" customHeight="1" x14ac:dyDescent="0.2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5" customHeight="1" x14ac:dyDescent="0.2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5" customHeight="1" x14ac:dyDescent="0.2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5" customHeight="1" x14ac:dyDescent="0.2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5" customHeight="1" x14ac:dyDescent="0.2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5" customHeight="1" x14ac:dyDescent="0.2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5" customHeight="1" x14ac:dyDescent="0.2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5" customHeight="1" x14ac:dyDescent="0.2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5" customHeight="1" x14ac:dyDescent="0.2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5" customHeight="1" x14ac:dyDescent="0.2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78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X881" activePane="bottomRight" state="frozen"/>
      <selection pane="topRight" activeCell="D1" sqref="D1"/>
      <selection pane="bottomLeft" activeCell="A7" sqref="A7"/>
      <selection pane="bottomRight" activeCell="AG922" sqref="AG922"/>
    </sheetView>
  </sheetViews>
  <sheetFormatPr defaultRowHeight="15" x14ac:dyDescent="0.2"/>
  <cols>
    <col min="1" max="1" width="5.5546875" style="14" customWidth="1"/>
    <col min="2" max="2" width="12.21875" customWidth="1"/>
    <col min="3" max="3" width="9.21875" customWidth="1"/>
    <col min="4" max="6" width="6.77734375" customWidth="1"/>
    <col min="7" max="7" width="1.21875" customWidth="1"/>
    <col min="8" max="10" width="6.77734375" customWidth="1"/>
    <col min="11" max="11" width="1.21875" customWidth="1"/>
    <col min="12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21875" customWidth="1"/>
    <col min="32" max="34" width="6.77734375" customWidth="1"/>
    <col min="35" max="35" width="1.21875" customWidth="1"/>
    <col min="36" max="38" width="6.77734375" customWidth="1"/>
    <col min="39" max="39" width="1.21875" customWidth="1"/>
    <col min="40" max="42" width="6.77734375" customWidth="1"/>
    <col min="43" max="43" width="1.21875" customWidth="1"/>
    <col min="44" max="45" width="6.77734375" customWidth="1"/>
    <col min="46" max="46" width="6.77734375" style="49" customWidth="1"/>
    <col min="47" max="47" width="1.21875" customWidth="1"/>
    <col min="48" max="50" width="6.77734375" customWidth="1"/>
  </cols>
  <sheetData>
    <row r="1" spans="1:50" ht="15.75" x14ac:dyDescent="0.25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">
      <c r="B2" s="16" t="s">
        <v>86</v>
      </c>
      <c r="C2" s="16"/>
    </row>
    <row r="3" spans="1:50" x14ac:dyDescent="0.2">
      <c r="B3" s="16" t="s">
        <v>87</v>
      </c>
      <c r="C3" s="16"/>
    </row>
    <row r="4" spans="1:50" x14ac:dyDescent="0.2">
      <c r="B4" s="12" t="s">
        <v>239</v>
      </c>
      <c r="C4" s="16"/>
    </row>
    <row r="5" spans="1:50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148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144"/>
      <c r="W6" s="26"/>
      <c r="X6" s="143" t="s">
        <v>83</v>
      </c>
      <c r="Y6" s="143"/>
      <c r="Z6" s="143"/>
      <c r="AA6" s="25"/>
      <c r="AB6" s="143" t="s">
        <v>82</v>
      </c>
      <c r="AC6" s="143"/>
      <c r="AD6" s="143"/>
      <c r="AE6" s="25"/>
      <c r="AF6" s="143" t="s">
        <v>81</v>
      </c>
      <c r="AG6" s="143"/>
      <c r="AH6" s="143"/>
      <c r="AI6" s="25"/>
      <c r="AJ6" s="143" t="s">
        <v>80</v>
      </c>
      <c r="AK6" s="143"/>
      <c r="AL6" s="143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5" customHeight="1" x14ac:dyDescent="0.2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5" customHeight="1" x14ac:dyDescent="0.2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5" customHeight="1" x14ac:dyDescent="0.2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5" customHeight="1" x14ac:dyDescent="0.2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5" customHeight="1" x14ac:dyDescent="0.2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5" customHeight="1" x14ac:dyDescent="0.2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5" customHeight="1" x14ac:dyDescent="0.2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5" customHeight="1" x14ac:dyDescent="0.2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5" customHeight="1" x14ac:dyDescent="0.2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5" customHeight="1" x14ac:dyDescent="0.2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5" customHeight="1" x14ac:dyDescent="0.2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5" customHeight="1" x14ac:dyDescent="0.2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5" customHeight="1" x14ac:dyDescent="0.2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5" customHeight="1" x14ac:dyDescent="0.2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5" customHeight="1" x14ac:dyDescent="0.2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5" customHeight="1" x14ac:dyDescent="0.2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5" customHeight="1" x14ac:dyDescent="0.2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5" customHeight="1" x14ac:dyDescent="0.2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5" customHeight="1" x14ac:dyDescent="0.2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5" customHeight="1" x14ac:dyDescent="0.2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5" customHeight="1" x14ac:dyDescent="0.2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5" customHeight="1" x14ac:dyDescent="0.2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5" customHeight="1" x14ac:dyDescent="0.2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5" customHeight="1" x14ac:dyDescent="0.2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5" customHeight="1" x14ac:dyDescent="0.2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5" customHeight="1" x14ac:dyDescent="0.2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5" customHeight="1" x14ac:dyDescent="0.2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5" customHeight="1" x14ac:dyDescent="0.2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5" customHeight="1" x14ac:dyDescent="0.2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5" customHeight="1" x14ac:dyDescent="0.2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5" customHeight="1" x14ac:dyDescent="0.2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5" customHeight="1" x14ac:dyDescent="0.2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5" customHeight="1" x14ac:dyDescent="0.2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5" customHeight="1" x14ac:dyDescent="0.2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5" customHeight="1" x14ac:dyDescent="0.2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5" customHeight="1" x14ac:dyDescent="0.2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5" customHeight="1" x14ac:dyDescent="0.2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5" customHeight="1" x14ac:dyDescent="0.2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5" customHeight="1" x14ac:dyDescent="0.2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5" customHeight="1" x14ac:dyDescent="0.2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5" customHeight="1" x14ac:dyDescent="0.2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5" customHeight="1" x14ac:dyDescent="0.2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5" customHeight="1" x14ac:dyDescent="0.2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5" customHeight="1" x14ac:dyDescent="0.2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5" customHeight="1" x14ac:dyDescent="0.2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5" customHeight="1" x14ac:dyDescent="0.2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5" customHeight="1" x14ac:dyDescent="0.2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5" customHeight="1" x14ac:dyDescent="0.2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5" customHeight="1" x14ac:dyDescent="0.2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5" customHeight="1" x14ac:dyDescent="0.2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5" customHeight="1" x14ac:dyDescent="0.2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5" customHeight="1" x14ac:dyDescent="0.2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5" customHeight="1" x14ac:dyDescent="0.2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5" customHeight="1" x14ac:dyDescent="0.2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5" customHeight="1" x14ac:dyDescent="0.2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5" customHeight="1" x14ac:dyDescent="0.2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5" customHeight="1" x14ac:dyDescent="0.2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5" customHeight="1" x14ac:dyDescent="0.2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5" customHeight="1" x14ac:dyDescent="0.2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5" customHeight="1" x14ac:dyDescent="0.2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5" customHeight="1" x14ac:dyDescent="0.2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5" customHeight="1" x14ac:dyDescent="0.2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5" customHeight="1" x14ac:dyDescent="0.2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5" customHeight="1" x14ac:dyDescent="0.2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5" customHeight="1" x14ac:dyDescent="0.2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5" customHeight="1" x14ac:dyDescent="0.2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5" customHeight="1" x14ac:dyDescent="0.2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5" customHeight="1" x14ac:dyDescent="0.2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5" customHeight="1" x14ac:dyDescent="0.2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5" customHeight="1" x14ac:dyDescent="0.2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5" customHeight="1" x14ac:dyDescent="0.2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5" customHeight="1" x14ac:dyDescent="0.2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5" customHeight="1" x14ac:dyDescent="0.2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5" customHeight="1" x14ac:dyDescent="0.2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5" customHeight="1" x14ac:dyDescent="0.2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5" customHeight="1" x14ac:dyDescent="0.2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5" customHeight="1" x14ac:dyDescent="0.2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5" customHeight="1" x14ac:dyDescent="0.2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5" customHeight="1" x14ac:dyDescent="0.2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5" customHeight="1" x14ac:dyDescent="0.2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5" customHeight="1" x14ac:dyDescent="0.2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5" customHeight="1" x14ac:dyDescent="0.2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5" customHeight="1" x14ac:dyDescent="0.2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5" customHeight="1" x14ac:dyDescent="0.2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5" customHeight="1" x14ac:dyDescent="0.2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5" customHeight="1" x14ac:dyDescent="0.2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5" customHeight="1" x14ac:dyDescent="0.2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5" customHeight="1" x14ac:dyDescent="0.2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5" customHeight="1" x14ac:dyDescent="0.2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5" customHeight="1" x14ac:dyDescent="0.2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5" customHeight="1" x14ac:dyDescent="0.2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5" customHeight="1" x14ac:dyDescent="0.2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5" customHeight="1" x14ac:dyDescent="0.2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5" customHeight="1" x14ac:dyDescent="0.2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5" customHeight="1" x14ac:dyDescent="0.2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5" customHeight="1" x14ac:dyDescent="0.2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5" customHeight="1" x14ac:dyDescent="0.2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5" customHeight="1" x14ac:dyDescent="0.2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5" customHeight="1" x14ac:dyDescent="0.2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5" customHeight="1" x14ac:dyDescent="0.2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5" customHeight="1" x14ac:dyDescent="0.2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5" customHeight="1" x14ac:dyDescent="0.2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5" customHeight="1" x14ac:dyDescent="0.2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5" customHeight="1" x14ac:dyDescent="0.2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5" customHeight="1" x14ac:dyDescent="0.2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5" customHeight="1" x14ac:dyDescent="0.2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5" customHeight="1" x14ac:dyDescent="0.2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5" customHeight="1" x14ac:dyDescent="0.2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5" customHeight="1" x14ac:dyDescent="0.2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5" customHeight="1" x14ac:dyDescent="0.2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5" customHeight="1" x14ac:dyDescent="0.2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5" customHeight="1" x14ac:dyDescent="0.2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5" customHeight="1" x14ac:dyDescent="0.2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5" customHeight="1" x14ac:dyDescent="0.2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5" customHeight="1" x14ac:dyDescent="0.2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5" customHeight="1" x14ac:dyDescent="0.2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5" customHeight="1" x14ac:dyDescent="0.2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5" customHeight="1" x14ac:dyDescent="0.2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5" customHeight="1" x14ac:dyDescent="0.2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5" customHeight="1" x14ac:dyDescent="0.2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5" customHeight="1" x14ac:dyDescent="0.2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5" customHeight="1" x14ac:dyDescent="0.2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5" customHeight="1" x14ac:dyDescent="0.2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5" customHeight="1" x14ac:dyDescent="0.2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5" customHeight="1" x14ac:dyDescent="0.2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5" customHeight="1" x14ac:dyDescent="0.2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5" customHeight="1" x14ac:dyDescent="0.2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5" customHeight="1" x14ac:dyDescent="0.2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5" customHeight="1" x14ac:dyDescent="0.2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5" customHeight="1" x14ac:dyDescent="0.2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5" customHeight="1" x14ac:dyDescent="0.2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5" customHeight="1" x14ac:dyDescent="0.2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5" customHeight="1" x14ac:dyDescent="0.2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5" customHeight="1" x14ac:dyDescent="0.2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5" customHeight="1" x14ac:dyDescent="0.2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5" customHeight="1" x14ac:dyDescent="0.2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5" customHeight="1" x14ac:dyDescent="0.2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5" customHeight="1" x14ac:dyDescent="0.2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5" customHeight="1" x14ac:dyDescent="0.2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5" customHeight="1" x14ac:dyDescent="0.2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5" customHeight="1" x14ac:dyDescent="0.2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5" customHeight="1" x14ac:dyDescent="0.2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5" customHeight="1" x14ac:dyDescent="0.2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5" customHeight="1" x14ac:dyDescent="0.2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5" customHeight="1" x14ac:dyDescent="0.2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5" customHeight="1" x14ac:dyDescent="0.2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5" customHeight="1" x14ac:dyDescent="0.2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5" customHeight="1" x14ac:dyDescent="0.2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5" customHeight="1" x14ac:dyDescent="0.2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5" customHeight="1" x14ac:dyDescent="0.2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5" customHeight="1" x14ac:dyDescent="0.2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5" customHeight="1" x14ac:dyDescent="0.2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5" customHeight="1" x14ac:dyDescent="0.2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5" customHeight="1" x14ac:dyDescent="0.2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5" customHeight="1" x14ac:dyDescent="0.2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5" customHeight="1" x14ac:dyDescent="0.2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5" customHeight="1" x14ac:dyDescent="0.2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5" customHeight="1" x14ac:dyDescent="0.2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5" customHeight="1" x14ac:dyDescent="0.2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5" customHeight="1" x14ac:dyDescent="0.2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5" customHeight="1" x14ac:dyDescent="0.2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5" customHeight="1" x14ac:dyDescent="0.2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5" customHeight="1" x14ac:dyDescent="0.2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5" customHeight="1" x14ac:dyDescent="0.2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5" customHeight="1" x14ac:dyDescent="0.2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5" customHeight="1" x14ac:dyDescent="0.2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5" customHeight="1" x14ac:dyDescent="0.2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5" customHeight="1" x14ac:dyDescent="0.2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5" customHeight="1" x14ac:dyDescent="0.2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5" customHeight="1" x14ac:dyDescent="0.2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5" customHeight="1" x14ac:dyDescent="0.2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5" customHeight="1" x14ac:dyDescent="0.2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5" customHeight="1" x14ac:dyDescent="0.2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5" customHeight="1" x14ac:dyDescent="0.2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5" customHeight="1" x14ac:dyDescent="0.2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5" customHeight="1" x14ac:dyDescent="0.2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5" customHeight="1" x14ac:dyDescent="0.2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5" customHeight="1" x14ac:dyDescent="0.2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5" customHeight="1" x14ac:dyDescent="0.2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5" customHeight="1" x14ac:dyDescent="0.2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5" customHeight="1" x14ac:dyDescent="0.2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5" customHeight="1" x14ac:dyDescent="0.2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5" customHeight="1" x14ac:dyDescent="0.2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5" customHeight="1" x14ac:dyDescent="0.2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5" customHeight="1" x14ac:dyDescent="0.2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5" customHeight="1" x14ac:dyDescent="0.2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5" customHeight="1" x14ac:dyDescent="0.2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5" customHeight="1" x14ac:dyDescent="0.2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5" customHeight="1" x14ac:dyDescent="0.2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5" customHeight="1" x14ac:dyDescent="0.2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5" customHeight="1" x14ac:dyDescent="0.2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5" customHeight="1" x14ac:dyDescent="0.2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5" customHeight="1" x14ac:dyDescent="0.2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5" customHeight="1" x14ac:dyDescent="0.2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5" customHeight="1" x14ac:dyDescent="0.2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5" customHeight="1" x14ac:dyDescent="0.2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5" customHeight="1" x14ac:dyDescent="0.2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5" customHeight="1" x14ac:dyDescent="0.2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5" customHeight="1" x14ac:dyDescent="0.2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5" customHeight="1" x14ac:dyDescent="0.2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5" customHeight="1" x14ac:dyDescent="0.2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5" customHeight="1" x14ac:dyDescent="0.2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5" customHeight="1" x14ac:dyDescent="0.2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5" customHeight="1" x14ac:dyDescent="0.2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5" customHeight="1" x14ac:dyDescent="0.2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5" customHeight="1" x14ac:dyDescent="0.2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5" customHeight="1" x14ac:dyDescent="0.2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5" customHeight="1" x14ac:dyDescent="0.2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5" customHeight="1" x14ac:dyDescent="0.2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5" customHeight="1" x14ac:dyDescent="0.2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5" customHeight="1" x14ac:dyDescent="0.2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5" customHeight="1" x14ac:dyDescent="0.2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5" customHeight="1" x14ac:dyDescent="0.2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5" customHeight="1" x14ac:dyDescent="0.2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5" customHeight="1" x14ac:dyDescent="0.2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5" customHeight="1" x14ac:dyDescent="0.2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5" customHeight="1" x14ac:dyDescent="0.2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5" customHeight="1" x14ac:dyDescent="0.2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5" customHeight="1" x14ac:dyDescent="0.2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5" customHeight="1" x14ac:dyDescent="0.2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5" customHeight="1" x14ac:dyDescent="0.2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5" customHeight="1" x14ac:dyDescent="0.2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5" customHeight="1" x14ac:dyDescent="0.2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5" customHeight="1" x14ac:dyDescent="0.2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5" customHeight="1" x14ac:dyDescent="0.2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5" customHeight="1" x14ac:dyDescent="0.2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5" customHeight="1" x14ac:dyDescent="0.2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5" customHeight="1" x14ac:dyDescent="0.2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5" customHeight="1" x14ac:dyDescent="0.2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5" customHeight="1" x14ac:dyDescent="0.2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5" customHeight="1" x14ac:dyDescent="0.2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5" customHeight="1" x14ac:dyDescent="0.2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5" customHeight="1" x14ac:dyDescent="0.2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5" customHeight="1" x14ac:dyDescent="0.2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5" customHeight="1" x14ac:dyDescent="0.2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5" customHeight="1" x14ac:dyDescent="0.2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5" customHeight="1" x14ac:dyDescent="0.2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5" customHeight="1" x14ac:dyDescent="0.2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5" customHeight="1" x14ac:dyDescent="0.2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5" customHeight="1" x14ac:dyDescent="0.2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5" customHeight="1" x14ac:dyDescent="0.2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5" customHeight="1" x14ac:dyDescent="0.2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5" customHeight="1" x14ac:dyDescent="0.2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5" customHeight="1" x14ac:dyDescent="0.2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5" customHeight="1" x14ac:dyDescent="0.2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5" customHeight="1" x14ac:dyDescent="0.2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5" customHeight="1" x14ac:dyDescent="0.2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5" customHeight="1" x14ac:dyDescent="0.2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5" customHeight="1" x14ac:dyDescent="0.2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5" customHeight="1" x14ac:dyDescent="0.2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5" customHeight="1" x14ac:dyDescent="0.2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5" customHeight="1" x14ac:dyDescent="0.2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5" customHeight="1" x14ac:dyDescent="0.2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5" customHeight="1" x14ac:dyDescent="0.2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5" customHeight="1" x14ac:dyDescent="0.2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5" customHeight="1" x14ac:dyDescent="0.2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5" customHeight="1" x14ac:dyDescent="0.2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5" customHeight="1" x14ac:dyDescent="0.2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5" customHeight="1" x14ac:dyDescent="0.2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5" customHeight="1" x14ac:dyDescent="0.2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5" customHeight="1" x14ac:dyDescent="0.2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5" customHeight="1" x14ac:dyDescent="0.2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5" customHeight="1" x14ac:dyDescent="0.2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5" customHeight="1" x14ac:dyDescent="0.2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5" customHeight="1" x14ac:dyDescent="0.2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5" customHeight="1" x14ac:dyDescent="0.2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5" customHeight="1" x14ac:dyDescent="0.2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5" customHeight="1" x14ac:dyDescent="0.2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5" customHeight="1" x14ac:dyDescent="0.2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5" customHeight="1" x14ac:dyDescent="0.2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5" customHeight="1" x14ac:dyDescent="0.2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5" customHeight="1" x14ac:dyDescent="0.2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5" customHeight="1" x14ac:dyDescent="0.2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5" customHeight="1" x14ac:dyDescent="0.2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5" customHeight="1" x14ac:dyDescent="0.2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5" customHeight="1" x14ac:dyDescent="0.2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5" customHeight="1" x14ac:dyDescent="0.2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5" customHeight="1" x14ac:dyDescent="0.2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5" customHeight="1" x14ac:dyDescent="0.2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5" customHeight="1" x14ac:dyDescent="0.2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5" customHeight="1" x14ac:dyDescent="0.2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5" customHeight="1" x14ac:dyDescent="0.2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5" customHeight="1" x14ac:dyDescent="0.2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5" customHeight="1" x14ac:dyDescent="0.2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5" customHeight="1" x14ac:dyDescent="0.2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5" customHeight="1" x14ac:dyDescent="0.2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5" customHeight="1" x14ac:dyDescent="0.2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5" customHeight="1" x14ac:dyDescent="0.2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5" customHeight="1" x14ac:dyDescent="0.2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5" customHeight="1" x14ac:dyDescent="0.2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5" customHeight="1" x14ac:dyDescent="0.2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5" customHeight="1" x14ac:dyDescent="0.2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5" customHeight="1" x14ac:dyDescent="0.2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5" customHeight="1" x14ac:dyDescent="0.2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5" customHeight="1" x14ac:dyDescent="0.2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5" customHeight="1" x14ac:dyDescent="0.2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5" customHeight="1" x14ac:dyDescent="0.2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5" customHeight="1" x14ac:dyDescent="0.2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5" customHeight="1" x14ac:dyDescent="0.2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5" customHeight="1" x14ac:dyDescent="0.2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5" customHeight="1" x14ac:dyDescent="0.2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5" customHeight="1" x14ac:dyDescent="0.2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5" customHeight="1" x14ac:dyDescent="0.2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5" customHeight="1" x14ac:dyDescent="0.2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5" customHeight="1" x14ac:dyDescent="0.2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5" customHeight="1" x14ac:dyDescent="0.2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5" customHeight="1" x14ac:dyDescent="0.2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5" customHeight="1" x14ac:dyDescent="0.2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5" customHeight="1" x14ac:dyDescent="0.2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5" customHeight="1" x14ac:dyDescent="0.2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5" customHeight="1" x14ac:dyDescent="0.2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5" customHeight="1" x14ac:dyDescent="0.2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5" customHeight="1" x14ac:dyDescent="0.2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5" customHeight="1" x14ac:dyDescent="0.2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5" customHeight="1" x14ac:dyDescent="0.2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5" customHeight="1" x14ac:dyDescent="0.2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5" customHeight="1" x14ac:dyDescent="0.2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5" customHeight="1" x14ac:dyDescent="0.2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5" customHeight="1" x14ac:dyDescent="0.2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5" customHeight="1" x14ac:dyDescent="0.2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5" customHeight="1" x14ac:dyDescent="0.2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5" customHeight="1" x14ac:dyDescent="0.2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5" customHeight="1" x14ac:dyDescent="0.2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5" customHeight="1" x14ac:dyDescent="0.2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5" customHeight="1" x14ac:dyDescent="0.2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5" customHeight="1" x14ac:dyDescent="0.2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5" customHeight="1" x14ac:dyDescent="0.2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5" customHeight="1" x14ac:dyDescent="0.2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5" customHeight="1" x14ac:dyDescent="0.2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5" customHeight="1" x14ac:dyDescent="0.2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5" customHeight="1" x14ac:dyDescent="0.2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5" customHeight="1" x14ac:dyDescent="0.2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5" customHeight="1" x14ac:dyDescent="0.2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5" customHeight="1" x14ac:dyDescent="0.2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5" customHeight="1" x14ac:dyDescent="0.2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5" customHeight="1" x14ac:dyDescent="0.2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5" customHeight="1" x14ac:dyDescent="0.2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5" customHeight="1" x14ac:dyDescent="0.2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5" customHeight="1" x14ac:dyDescent="0.2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5" customHeight="1" x14ac:dyDescent="0.2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5" customHeight="1" x14ac:dyDescent="0.2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5" customHeight="1" x14ac:dyDescent="0.2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5" customHeight="1" x14ac:dyDescent="0.2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5" customHeight="1" x14ac:dyDescent="0.2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5" customHeight="1" x14ac:dyDescent="0.2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5" customHeight="1" x14ac:dyDescent="0.2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5" customHeight="1" x14ac:dyDescent="0.2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5" customHeight="1" x14ac:dyDescent="0.2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5" customHeight="1" x14ac:dyDescent="0.2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5" customHeight="1" x14ac:dyDescent="0.2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5" customHeight="1" x14ac:dyDescent="0.2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5" customHeight="1" x14ac:dyDescent="0.2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5" customHeight="1" x14ac:dyDescent="0.2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5" customHeight="1" x14ac:dyDescent="0.2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5" customHeight="1" x14ac:dyDescent="0.2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5" customHeight="1" x14ac:dyDescent="0.2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5" customHeight="1" x14ac:dyDescent="0.2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5" customHeight="1" x14ac:dyDescent="0.2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5" customHeight="1" x14ac:dyDescent="0.2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5" customHeight="1" x14ac:dyDescent="0.2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5" customHeight="1" x14ac:dyDescent="0.2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5" customHeight="1" x14ac:dyDescent="0.2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5" customHeight="1" x14ac:dyDescent="0.2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5" customHeight="1" x14ac:dyDescent="0.2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5" customHeight="1" x14ac:dyDescent="0.2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5" customHeight="1" x14ac:dyDescent="0.2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5" customHeight="1" x14ac:dyDescent="0.2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5" customHeight="1" x14ac:dyDescent="0.2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5" customHeight="1" x14ac:dyDescent="0.2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5" customHeight="1" x14ac:dyDescent="0.2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5" customHeight="1" x14ac:dyDescent="0.2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5" customHeight="1" x14ac:dyDescent="0.2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5" customHeight="1" x14ac:dyDescent="0.2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5" customHeight="1" x14ac:dyDescent="0.2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5" customHeight="1" x14ac:dyDescent="0.2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5" customHeight="1" x14ac:dyDescent="0.2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5" customHeight="1" x14ac:dyDescent="0.2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5" customHeight="1" x14ac:dyDescent="0.2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5" customHeight="1" x14ac:dyDescent="0.2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5" customHeight="1" x14ac:dyDescent="0.2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5" customHeight="1" x14ac:dyDescent="0.2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5" customHeight="1" x14ac:dyDescent="0.2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5" customHeight="1" x14ac:dyDescent="0.2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5" customHeight="1" x14ac:dyDescent="0.2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5" customHeight="1" x14ac:dyDescent="0.2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5" customHeight="1" x14ac:dyDescent="0.2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5" customHeight="1" x14ac:dyDescent="0.2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5" customHeight="1" x14ac:dyDescent="0.2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5" customHeight="1" x14ac:dyDescent="0.2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5" customHeight="1" x14ac:dyDescent="0.2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5" customHeight="1" x14ac:dyDescent="0.2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5" customHeight="1" x14ac:dyDescent="0.2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5" customHeight="1" x14ac:dyDescent="0.2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5" customHeight="1" x14ac:dyDescent="0.2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5" customHeight="1" x14ac:dyDescent="0.2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5" customHeight="1" x14ac:dyDescent="0.2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5" customHeight="1" x14ac:dyDescent="0.2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5" customHeight="1" x14ac:dyDescent="0.2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5" customHeight="1" x14ac:dyDescent="0.2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5" customHeight="1" x14ac:dyDescent="0.2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5" customHeight="1" x14ac:dyDescent="0.2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5" customHeight="1" x14ac:dyDescent="0.2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5" customHeight="1" x14ac:dyDescent="0.2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5" customHeight="1" x14ac:dyDescent="0.2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5" customHeight="1" x14ac:dyDescent="0.2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5" customHeight="1" x14ac:dyDescent="0.2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5" customHeight="1" x14ac:dyDescent="0.2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5" customHeight="1" x14ac:dyDescent="0.2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5" customHeight="1" x14ac:dyDescent="0.2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5" customHeight="1" x14ac:dyDescent="0.2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5" customHeight="1" x14ac:dyDescent="0.2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5" customHeight="1" x14ac:dyDescent="0.2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5" customHeight="1" x14ac:dyDescent="0.2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5" customHeight="1" x14ac:dyDescent="0.2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5" customHeight="1" x14ac:dyDescent="0.2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5" customHeight="1" x14ac:dyDescent="0.2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5" customHeight="1" x14ac:dyDescent="0.2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5" customHeight="1" x14ac:dyDescent="0.2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5" customHeight="1" x14ac:dyDescent="0.2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5" customHeight="1" x14ac:dyDescent="0.2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5" customHeight="1" x14ac:dyDescent="0.2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5" customHeight="1" x14ac:dyDescent="0.2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5" customHeight="1" x14ac:dyDescent="0.2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5" customHeight="1" x14ac:dyDescent="0.2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5" customHeight="1" x14ac:dyDescent="0.2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5" customHeight="1" x14ac:dyDescent="0.2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5" customHeight="1" x14ac:dyDescent="0.2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5" customHeight="1" x14ac:dyDescent="0.2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5" customHeight="1" x14ac:dyDescent="0.2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5" customHeight="1" x14ac:dyDescent="0.2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5" customHeight="1" x14ac:dyDescent="0.2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5" customHeight="1" x14ac:dyDescent="0.2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5" customHeight="1" x14ac:dyDescent="0.2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5" customHeight="1" x14ac:dyDescent="0.2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5" customHeight="1" x14ac:dyDescent="0.2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5" customHeight="1" x14ac:dyDescent="0.2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5" customHeight="1" x14ac:dyDescent="0.2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5" customHeight="1" x14ac:dyDescent="0.2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5" customHeight="1" x14ac:dyDescent="0.2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5" customHeight="1" x14ac:dyDescent="0.2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5" customHeight="1" x14ac:dyDescent="0.2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3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5" customHeight="1" x14ac:dyDescent="0.2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5" customHeight="1" x14ac:dyDescent="0.2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5" customHeight="1" x14ac:dyDescent="0.2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5" customHeight="1" x14ac:dyDescent="0.2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5" customHeight="1" x14ac:dyDescent="0.2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5" customHeight="1" x14ac:dyDescent="0.2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5" customHeight="1" x14ac:dyDescent="0.2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5" customHeight="1" x14ac:dyDescent="0.2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5" customHeight="1" x14ac:dyDescent="0.2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5" customHeight="1" x14ac:dyDescent="0.2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5" customHeight="1" x14ac:dyDescent="0.2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5" customHeight="1" x14ac:dyDescent="0.2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5" customHeight="1" x14ac:dyDescent="0.2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5"/>
      <c r="AG757" s="135"/>
      <c r="AH757" s="135"/>
      <c r="AI757" s="135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38"/>
      <c r="AG758" s="138"/>
      <c r="AH758" s="138"/>
      <c r="AI758" s="138"/>
      <c r="AJ758" s="138"/>
      <c r="AK758" s="138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38"/>
      <c r="AG759" s="138"/>
      <c r="AH759" s="138"/>
      <c r="AI759" s="138"/>
      <c r="AJ759" s="138"/>
      <c r="AK759" s="138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5" customHeight="1" x14ac:dyDescent="0.2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5" customHeight="1" x14ac:dyDescent="0.2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5" customHeight="1" x14ac:dyDescent="0.2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5" customHeight="1" x14ac:dyDescent="0.2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5" customHeight="1" x14ac:dyDescent="0.2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5" customHeight="1" x14ac:dyDescent="0.2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5" customHeight="1" x14ac:dyDescent="0.2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5" customHeight="1" x14ac:dyDescent="0.2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5" customHeight="1" x14ac:dyDescent="0.2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5" customHeight="1" x14ac:dyDescent="0.2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5" customHeight="1" x14ac:dyDescent="0.2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5" customHeight="1" x14ac:dyDescent="0.2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5" customHeight="1" x14ac:dyDescent="0.2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5" customHeight="1" x14ac:dyDescent="0.2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5" customHeight="1" x14ac:dyDescent="0.2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5" customHeight="1" x14ac:dyDescent="0.2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5" customHeight="1" x14ac:dyDescent="0.2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5" customHeight="1" x14ac:dyDescent="0.2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5" customHeight="1" x14ac:dyDescent="0.2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5" customHeight="1" x14ac:dyDescent="0.2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5" customHeight="1" x14ac:dyDescent="0.2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5" customHeight="1" x14ac:dyDescent="0.2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5" customHeight="1" x14ac:dyDescent="0.2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5" customHeight="1" x14ac:dyDescent="0.2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5" customHeight="1" x14ac:dyDescent="0.2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5" customHeight="1" x14ac:dyDescent="0.2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5" customHeight="1" x14ac:dyDescent="0.2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5" customHeight="1" x14ac:dyDescent="0.2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5" customHeight="1" x14ac:dyDescent="0.2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5" customHeight="1" x14ac:dyDescent="0.2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5" customHeight="1" x14ac:dyDescent="0.2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5" customHeight="1" x14ac:dyDescent="0.2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5" customHeight="1" x14ac:dyDescent="0.2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5" customHeight="1" x14ac:dyDescent="0.2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5" customHeight="1" x14ac:dyDescent="0.2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5" si="129">AVERAGE(AV862:AW862)</f>
        <v>-50</v>
      </c>
    </row>
    <row r="863" spans="1:51" ht="10.15" customHeight="1" x14ac:dyDescent="0.2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5" customHeight="1" x14ac:dyDescent="0.2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6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AVERAGE(H872:I872)</f>
        <v>100</v>
      </c>
      <c r="K872" s="14"/>
      <c r="L872" s="14"/>
      <c r="M872" s="14">
        <v>0</v>
      </c>
      <c r="N872" s="14">
        <f>AVERAGE(L872:M872)</f>
        <v>0</v>
      </c>
      <c r="O872" s="14"/>
      <c r="P872" s="14"/>
      <c r="Q872" s="14">
        <v>-100</v>
      </c>
      <c r="R872" s="14">
        <f>AVERAGE(P872:Q872)</f>
        <v>-100</v>
      </c>
      <c r="S872" s="14"/>
      <c r="T872" s="14"/>
      <c r="U872" s="14">
        <v>-100</v>
      </c>
      <c r="V872" s="14">
        <f>AVERAGE(T872:U872)</f>
        <v>-100</v>
      </c>
      <c r="W872" s="14"/>
      <c r="X872" s="14"/>
      <c r="Y872" s="14">
        <v>-100</v>
      </c>
      <c r="Z872" s="14">
        <f>AVERAGE(X872:Y872)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 t="shared" ref="J873:J884" si="131">AVERAGE(H873:I873)</f>
        <v>100</v>
      </c>
      <c r="K873" s="14"/>
      <c r="L873" s="14"/>
      <c r="M873" s="14">
        <v>0</v>
      </c>
      <c r="N873" s="14">
        <f t="shared" ref="N873:N888" si="132">AVERAGE(L873:M873)</f>
        <v>0</v>
      </c>
      <c r="O873" s="14"/>
      <c r="P873" s="14"/>
      <c r="Q873" s="14">
        <v>-100</v>
      </c>
      <c r="R873" s="14">
        <f t="shared" ref="R873:R892" si="133">AVERAGE(P873:Q873)</f>
        <v>-100</v>
      </c>
      <c r="S873" s="14"/>
      <c r="T873" s="14"/>
      <c r="U873" s="14">
        <v>-100</v>
      </c>
      <c r="V873" s="14">
        <f t="shared" ref="V873:V876" si="134">AVERAGE(T873:U873)</f>
        <v>-100</v>
      </c>
      <c r="W873" s="14"/>
      <c r="X873" s="14"/>
      <c r="Y873" s="14">
        <v>-100</v>
      </c>
      <c r="Z873" s="14">
        <f t="shared" ref="Z873:Z884" si="135">AVERAGE(X873:Y873)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/>
      <c r="E874" s="14">
        <v>100</v>
      </c>
      <c r="F874" s="14">
        <f t="shared" si="130"/>
        <v>100</v>
      </c>
      <c r="G874" s="14"/>
      <c r="H874" s="14"/>
      <c r="I874" s="14">
        <v>250</v>
      </c>
      <c r="J874" s="14">
        <f t="shared" si="131"/>
        <v>250</v>
      </c>
      <c r="K874" s="14"/>
      <c r="L874" s="14"/>
      <c r="M874" s="14">
        <v>150</v>
      </c>
      <c r="N874" s="14">
        <f t="shared" si="132"/>
        <v>150</v>
      </c>
      <c r="O874" s="14"/>
      <c r="P874" s="14"/>
      <c r="Q874" s="14">
        <v>-100</v>
      </c>
      <c r="R874" s="14">
        <f t="shared" si="133"/>
        <v>-100</v>
      </c>
      <c r="S874" s="14"/>
      <c r="T874" s="14"/>
      <c r="U874" s="14">
        <v>-100</v>
      </c>
      <c r="V874" s="14">
        <f t="shared" si="134"/>
        <v>-100</v>
      </c>
      <c r="W874" s="14"/>
      <c r="X874" s="14"/>
      <c r="Y874" s="14">
        <v>-100</v>
      </c>
      <c r="Z874" s="14">
        <f t="shared" si="135"/>
        <v>-100</v>
      </c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>
        <v>2825</v>
      </c>
      <c r="AW874" s="48">
        <v>300</v>
      </c>
      <c r="AX874" s="48">
        <f t="shared" si="129"/>
        <v>1562.5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/>
      <c r="E875" s="14">
        <v>775</v>
      </c>
      <c r="F875" s="14">
        <f t="shared" si="130"/>
        <v>775</v>
      </c>
      <c r="G875" s="14"/>
      <c r="H875" s="14"/>
      <c r="I875" s="14">
        <v>250</v>
      </c>
      <c r="J875" s="14">
        <f t="shared" si="131"/>
        <v>250</v>
      </c>
      <c r="K875" s="14"/>
      <c r="L875" s="14"/>
      <c r="M875" s="14">
        <v>300</v>
      </c>
      <c r="N875" s="14">
        <f t="shared" si="132"/>
        <v>300</v>
      </c>
      <c r="O875" s="14"/>
      <c r="P875" s="14"/>
      <c r="Q875" s="14">
        <v>-125</v>
      </c>
      <c r="R875" s="14">
        <f t="shared" si="133"/>
        <v>-125</v>
      </c>
      <c r="S875" s="14"/>
      <c r="T875" s="14"/>
      <c r="U875" s="14">
        <v>-150</v>
      </c>
      <c r="V875" s="14">
        <f t="shared" si="134"/>
        <v>-150</v>
      </c>
      <c r="W875" s="14"/>
      <c r="X875" s="14"/>
      <c r="Y875" s="14">
        <v>-100</v>
      </c>
      <c r="Z875" s="14">
        <f t="shared" si="135"/>
        <v>-100</v>
      </c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>
        <v>2750</v>
      </c>
      <c r="AW875" s="48">
        <v>1150</v>
      </c>
      <c r="AX875" s="48">
        <f t="shared" si="129"/>
        <v>1950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2750</v>
      </c>
      <c r="E876" s="14">
        <v>650</v>
      </c>
      <c r="F876" s="14">
        <f t="shared" si="130"/>
        <v>1700</v>
      </c>
      <c r="G876" s="14"/>
      <c r="H876" s="14"/>
      <c r="I876" s="14">
        <v>325</v>
      </c>
      <c r="J876" s="14">
        <f t="shared" si="131"/>
        <v>325</v>
      </c>
      <c r="K876" s="14"/>
      <c r="L876" s="14">
        <v>500</v>
      </c>
      <c r="M876" s="14">
        <v>150</v>
      </c>
      <c r="N876" s="14">
        <f t="shared" si="132"/>
        <v>325</v>
      </c>
      <c r="O876" s="14"/>
      <c r="P876" s="14"/>
      <c r="Q876" s="14">
        <v>-100</v>
      </c>
      <c r="R876" s="14">
        <f t="shared" si="133"/>
        <v>-100</v>
      </c>
      <c r="S876" s="14"/>
      <c r="T876" s="14"/>
      <c r="U876" s="14">
        <v>-100</v>
      </c>
      <c r="V876" s="14">
        <f t="shared" si="134"/>
        <v>-100</v>
      </c>
      <c r="W876" s="14"/>
      <c r="X876" s="14"/>
      <c r="Y876" s="14">
        <v>-100</v>
      </c>
      <c r="Z876" s="14">
        <f t="shared" si="135"/>
        <v>-100</v>
      </c>
      <c r="AA876" s="14"/>
      <c r="AB876" s="14"/>
      <c r="AC876" s="14">
        <v>-100</v>
      </c>
      <c r="AD876" s="14">
        <f>AVERAGE(AB876:AC876)</f>
        <v>-100</v>
      </c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2400</v>
      </c>
      <c r="E877" s="14">
        <v>1063</v>
      </c>
      <c r="F877" s="14">
        <f>AVERAGE(D877:E877)</f>
        <v>1731.5</v>
      </c>
      <c r="G877" s="14"/>
      <c r="H877" s="14">
        <v>1300</v>
      </c>
      <c r="I877" s="14">
        <v>450</v>
      </c>
      <c r="J877" s="14">
        <f t="shared" si="131"/>
        <v>875</v>
      </c>
      <c r="K877" s="14"/>
      <c r="L877" s="14">
        <v>500</v>
      </c>
      <c r="M877" s="14">
        <v>150</v>
      </c>
      <c r="N877" s="14">
        <f t="shared" si="132"/>
        <v>325</v>
      </c>
      <c r="O877" s="14"/>
      <c r="P877" s="14"/>
      <c r="Q877" s="14">
        <v>0</v>
      </c>
      <c r="R877" s="14">
        <f t="shared" si="133"/>
        <v>0</v>
      </c>
      <c r="S877" s="14"/>
      <c r="T877" s="14"/>
      <c r="U877" s="14">
        <v>-50</v>
      </c>
      <c r="V877" s="14">
        <f>AVERAGE(T877:U877)</f>
        <v>-50</v>
      </c>
      <c r="W877" s="14"/>
      <c r="X877" s="14"/>
      <c r="Y877" s="14">
        <v>-100</v>
      </c>
      <c r="Z877" s="14">
        <f t="shared" si="135"/>
        <v>-100</v>
      </c>
      <c r="AA877" s="14"/>
      <c r="AB877" s="14"/>
      <c r="AC877" s="14">
        <v>-100</v>
      </c>
      <c r="AD877" s="14">
        <f>AVERAGE(AB877:AC877)</f>
        <v>-100</v>
      </c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>
        <v>2833</v>
      </c>
      <c r="E878" s="14">
        <v>525</v>
      </c>
      <c r="F878" s="14">
        <f>AVERAGE(D878:E878)</f>
        <v>1679</v>
      </c>
      <c r="G878" s="14"/>
      <c r="H878" s="14"/>
      <c r="I878" s="14">
        <v>300</v>
      </c>
      <c r="J878" s="14">
        <f t="shared" si="131"/>
        <v>300</v>
      </c>
      <c r="K878" s="14"/>
      <c r="L878" s="14"/>
      <c r="M878" s="14">
        <v>200</v>
      </c>
      <c r="N878" s="14">
        <f t="shared" si="132"/>
        <v>200</v>
      </c>
      <c r="O878" s="14"/>
      <c r="P878" s="14"/>
      <c r="Q878" s="14">
        <v>-50</v>
      </c>
      <c r="R878" s="14">
        <f t="shared" si="133"/>
        <v>-50</v>
      </c>
      <c r="S878" s="14"/>
      <c r="T878" s="14"/>
      <c r="U878" s="14">
        <v>-100</v>
      </c>
      <c r="V878" s="14">
        <f>AVERAGE(T878:U878)</f>
        <v>-100</v>
      </c>
      <c r="W878" s="14"/>
      <c r="X878" s="14"/>
      <c r="Y878" s="14">
        <v>-100</v>
      </c>
      <c r="Z878" s="14">
        <f t="shared" si="135"/>
        <v>-100</v>
      </c>
      <c r="AA878" s="14"/>
      <c r="AB878" s="14"/>
      <c r="AC878" s="14">
        <v>-100</v>
      </c>
      <c r="AD878" s="14">
        <f>AVERAGE(AB878:AC878)</f>
        <v>-100</v>
      </c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>
        <v>3250</v>
      </c>
      <c r="E879" s="14">
        <v>750</v>
      </c>
      <c r="F879" s="14">
        <f>AVERAGE(D879:E879)</f>
        <v>2000</v>
      </c>
      <c r="G879" s="14"/>
      <c r="H879" s="14">
        <v>2500</v>
      </c>
      <c r="I879" s="14">
        <v>700</v>
      </c>
      <c r="J879" s="14">
        <f t="shared" si="131"/>
        <v>1600</v>
      </c>
      <c r="K879" s="14"/>
      <c r="L879" s="14"/>
      <c r="M879" s="14">
        <v>325</v>
      </c>
      <c r="N879" s="14">
        <f t="shared" si="132"/>
        <v>325</v>
      </c>
      <c r="O879" s="14"/>
      <c r="P879" s="14"/>
      <c r="Q879" s="14"/>
      <c r="R879" s="14"/>
      <c r="S879" s="14"/>
      <c r="T879" s="14"/>
      <c r="U879" s="14">
        <v>0</v>
      </c>
      <c r="V879" s="14">
        <f>AVERAGE(T879:U879)</f>
        <v>0</v>
      </c>
      <c r="W879" s="14"/>
      <c r="X879" s="14"/>
      <c r="Y879" s="14">
        <v>-100</v>
      </c>
      <c r="Z879" s="14">
        <f t="shared" si="135"/>
        <v>-100</v>
      </c>
      <c r="AA879" s="14"/>
      <c r="AB879" s="14"/>
      <c r="AC879" s="14">
        <v>-100</v>
      </c>
      <c r="AD879" s="14">
        <f>AVERAGE(AB879:AC879)</f>
        <v>-100</v>
      </c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>
        <v>2700</v>
      </c>
      <c r="I880" s="14">
        <v>775</v>
      </c>
      <c r="J880" s="14">
        <f t="shared" si="131"/>
        <v>1737.5</v>
      </c>
      <c r="K880" s="14"/>
      <c r="L880" s="14">
        <v>1150</v>
      </c>
      <c r="M880" s="14">
        <v>250</v>
      </c>
      <c r="N880" s="14">
        <f t="shared" si="132"/>
        <v>700</v>
      </c>
      <c r="O880" s="14"/>
      <c r="P880" s="14"/>
      <c r="Q880" s="14">
        <v>50</v>
      </c>
      <c r="R880" s="14">
        <f t="shared" si="133"/>
        <v>50</v>
      </c>
      <c r="S880" s="14"/>
      <c r="T880" s="14"/>
      <c r="U880" s="14">
        <v>100</v>
      </c>
      <c r="V880" s="14">
        <f>AVERAGE(T880:U880)</f>
        <v>100</v>
      </c>
      <c r="W880" s="14"/>
      <c r="X880" s="14"/>
      <c r="Y880" s="14">
        <v>0</v>
      </c>
      <c r="Z880" s="14">
        <f t="shared" si="135"/>
        <v>0</v>
      </c>
      <c r="AA880" s="14"/>
      <c r="AB880" s="14"/>
      <c r="AC880" s="14">
        <v>0</v>
      </c>
      <c r="AD880" s="14">
        <f>AVERAGE(AB880:AC880)</f>
        <v>0</v>
      </c>
      <c r="AE880" s="14"/>
      <c r="AF880" s="48"/>
      <c r="AG880" s="48">
        <v>100</v>
      </c>
      <c r="AH880" s="48">
        <f>AVERAGE(AF880:AG880)</f>
        <v>100</v>
      </c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>
        <v>1600</v>
      </c>
      <c r="I881" s="14">
        <v>788</v>
      </c>
      <c r="J881" s="14">
        <f t="shared" si="131"/>
        <v>1194</v>
      </c>
      <c r="K881" s="14"/>
      <c r="L881" s="14">
        <v>700</v>
      </c>
      <c r="M881" s="14">
        <v>308</v>
      </c>
      <c r="N881" s="14">
        <f t="shared" si="132"/>
        <v>504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>
        <v>1367</v>
      </c>
      <c r="I882" s="14">
        <v>925</v>
      </c>
      <c r="J882" s="14">
        <f t="shared" si="131"/>
        <v>1146</v>
      </c>
      <c r="K882" s="14"/>
      <c r="L882" s="14">
        <v>950</v>
      </c>
      <c r="M882" s="14">
        <v>375</v>
      </c>
      <c r="N882" s="14">
        <f t="shared" si="132"/>
        <v>662.5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>
        <v>3100</v>
      </c>
      <c r="I883" s="14">
        <v>600</v>
      </c>
      <c r="J883" s="14">
        <f t="shared" si="131"/>
        <v>1850</v>
      </c>
      <c r="K883" s="14"/>
      <c r="L883" s="14"/>
      <c r="M883" s="14">
        <v>563</v>
      </c>
      <c r="N883" s="14">
        <f t="shared" si="132"/>
        <v>563</v>
      </c>
      <c r="O883" s="14"/>
      <c r="P883" s="14"/>
      <c r="Q883" s="14">
        <v>-100</v>
      </c>
      <c r="R883" s="14">
        <f t="shared" si="133"/>
        <v>-100</v>
      </c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>
        <v>2500</v>
      </c>
      <c r="I884" s="14">
        <v>600</v>
      </c>
      <c r="J884" s="14">
        <f t="shared" si="131"/>
        <v>1550</v>
      </c>
      <c r="K884" s="14"/>
      <c r="L884" s="14">
        <v>1650</v>
      </c>
      <c r="M884" s="14">
        <v>550</v>
      </c>
      <c r="N884" s="14">
        <f t="shared" si="132"/>
        <v>1100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>
        <v>-50</v>
      </c>
      <c r="Z884" s="14">
        <f t="shared" si="135"/>
        <v>-50</v>
      </c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>
        <v>2800</v>
      </c>
      <c r="M885" s="14">
        <v>625</v>
      </c>
      <c r="N885" s="14">
        <f t="shared" si="132"/>
        <v>1712.5</v>
      </c>
      <c r="O885" s="14"/>
      <c r="P885" s="14"/>
      <c r="Q885" s="14">
        <v>325</v>
      </c>
      <c r="R885" s="14">
        <f t="shared" si="133"/>
        <v>325</v>
      </c>
      <c r="S885" s="14"/>
      <c r="T885" s="14"/>
      <c r="U885" s="14">
        <v>0</v>
      </c>
      <c r="V885" s="14">
        <f t="shared" ref="V885:V896" si="136">AVERAGE(T885:U885)</f>
        <v>0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>
        <v>1200</v>
      </c>
      <c r="AK885" s="48"/>
      <c r="AL885" s="48">
        <f>AVERAGE(AJ885:AK885)</f>
        <v>1200</v>
      </c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>
        <v>2717</v>
      </c>
      <c r="M886" s="14">
        <v>750</v>
      </c>
      <c r="N886" s="14">
        <f t="shared" si="132"/>
        <v>1733.5</v>
      </c>
      <c r="O886" s="14"/>
      <c r="P886" s="14"/>
      <c r="Q886" s="14">
        <v>350</v>
      </c>
      <c r="R886" s="14">
        <f t="shared" si="133"/>
        <v>350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>
        <v>1200</v>
      </c>
      <c r="AK886" s="48"/>
      <c r="AL886" s="48">
        <f>AVERAGE(AJ886:AK886)</f>
        <v>1200</v>
      </c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>
        <v>3875</v>
      </c>
      <c r="M887" s="14">
        <v>1500</v>
      </c>
      <c r="N887" s="14">
        <f t="shared" si="132"/>
        <v>2687.5</v>
      </c>
      <c r="O887" s="14"/>
      <c r="P887" s="14">
        <v>2500</v>
      </c>
      <c r="Q887" s="14">
        <v>1000</v>
      </c>
      <c r="R887" s="14">
        <f t="shared" si="133"/>
        <v>1750</v>
      </c>
      <c r="S887" s="14"/>
      <c r="T887" s="14"/>
      <c r="U887" s="14">
        <v>250</v>
      </c>
      <c r="V887" s="14">
        <f t="shared" si="136"/>
        <v>250</v>
      </c>
      <c r="W887" s="14"/>
      <c r="X887" s="14"/>
      <c r="Y887" s="14"/>
      <c r="Z887" s="14"/>
      <c r="AA887" s="14"/>
      <c r="AB887" s="14"/>
      <c r="AC887" s="14">
        <v>200</v>
      </c>
      <c r="AD887" s="14">
        <f t="shared" ref="AD887:AD897" si="137">AVERAGE(AB887:AC887)</f>
        <v>200</v>
      </c>
      <c r="AE887" s="14"/>
      <c r="AF887" s="48"/>
      <c r="AG887" s="48"/>
      <c r="AH887" s="48"/>
      <c r="AI887" s="48"/>
      <c r="AJ887" s="48">
        <v>1300</v>
      </c>
      <c r="AK887" s="48"/>
      <c r="AL887" s="48">
        <f>AVERAGE(AJ887:AK887)</f>
        <v>1300</v>
      </c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>
        <v>5875</v>
      </c>
      <c r="M888" s="14">
        <v>1800</v>
      </c>
      <c r="N888" s="14">
        <f t="shared" si="132"/>
        <v>3837.5</v>
      </c>
      <c r="O888" s="14"/>
      <c r="P888" s="14">
        <v>3500</v>
      </c>
      <c r="Q888" s="14">
        <v>1000</v>
      </c>
      <c r="R888" s="14">
        <f t="shared" si="133"/>
        <v>2250</v>
      </c>
      <c r="S888" s="14"/>
      <c r="T888" s="14"/>
      <c r="U888" s="14">
        <v>600</v>
      </c>
      <c r="V888" s="14">
        <f t="shared" si="136"/>
        <v>600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5" customHeight="1" x14ac:dyDescent="0.2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2567</v>
      </c>
      <c r="Q889" s="14">
        <v>1750</v>
      </c>
      <c r="R889" s="14">
        <f t="shared" si="133"/>
        <v>2158.5</v>
      </c>
      <c r="S889" s="14"/>
      <c r="T889" s="14"/>
      <c r="U889" s="14">
        <v>1000</v>
      </c>
      <c r="V889" s="14">
        <f t="shared" si="136"/>
        <v>1000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48">
        <v>1500</v>
      </c>
      <c r="AK889" s="14"/>
      <c r="AL889" s="48">
        <f t="shared" ref="AL889:AL914" si="138">AVERAGE(AJ889:AK889)</f>
        <v>1500</v>
      </c>
      <c r="AM889" s="14"/>
      <c r="AN889" s="14"/>
      <c r="AO889" s="14">
        <v>1300</v>
      </c>
      <c r="AP889" s="14">
        <f t="shared" ref="AP889:AP893" si="139">AVERAGE(AN889:AO889)</f>
        <v>1300</v>
      </c>
      <c r="AQ889" s="14"/>
      <c r="AR889" s="14"/>
      <c r="AS889" s="14"/>
      <c r="AT889" s="48"/>
      <c r="AU889" s="14"/>
      <c r="AV889" s="14"/>
      <c r="AW889" s="14"/>
      <c r="AX889" s="14"/>
    </row>
    <row r="890" spans="1:50" ht="10.15" customHeight="1" x14ac:dyDescent="0.2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3200</v>
      </c>
      <c r="Q890" s="14">
        <v>1875</v>
      </c>
      <c r="R890" s="14">
        <f t="shared" si="133"/>
        <v>2537.5</v>
      </c>
      <c r="S890" s="14"/>
      <c r="T890" s="14"/>
      <c r="U890" s="14">
        <v>800</v>
      </c>
      <c r="V890" s="14">
        <f t="shared" si="136"/>
        <v>800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48">
        <v>1500</v>
      </c>
      <c r="AK890" s="14"/>
      <c r="AL890" s="48">
        <f t="shared" si="138"/>
        <v>1500</v>
      </c>
      <c r="AM890" s="14"/>
      <c r="AN890" s="14"/>
      <c r="AO890" s="14">
        <v>1300</v>
      </c>
      <c r="AP890" s="14">
        <f t="shared" si="139"/>
        <v>1300</v>
      </c>
      <c r="AQ890" s="14"/>
      <c r="AR890" s="14"/>
      <c r="AS890" s="14"/>
      <c r="AT890" s="48"/>
      <c r="AU890" s="14"/>
      <c r="AV890" s="14"/>
      <c r="AW890" s="14"/>
      <c r="AX890" s="14"/>
    </row>
    <row r="891" spans="1:50" ht="10.15" customHeight="1" x14ac:dyDescent="0.2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2467</v>
      </c>
      <c r="Q891" s="14">
        <v>1400</v>
      </c>
      <c r="R891" s="14">
        <f t="shared" si="133"/>
        <v>1933.5</v>
      </c>
      <c r="S891" s="14"/>
      <c r="T891" s="14"/>
      <c r="U891" s="14">
        <v>900</v>
      </c>
      <c r="V891" s="14">
        <f t="shared" si="136"/>
        <v>900</v>
      </c>
      <c r="W891" s="14"/>
      <c r="X891" s="14"/>
      <c r="Y891" s="14">
        <v>850</v>
      </c>
      <c r="Z891" s="14">
        <f t="shared" ref="Z891:Z901" si="140">AVERAGE(X891:Y891)</f>
        <v>850</v>
      </c>
      <c r="AA891" s="14"/>
      <c r="AB891" s="14"/>
      <c r="AC891" s="14"/>
      <c r="AD891" s="14"/>
      <c r="AE891" s="14"/>
      <c r="AF891" s="14"/>
      <c r="AG891" s="14"/>
      <c r="AH891" s="14"/>
      <c r="AI891" s="14"/>
      <c r="AJ891" s="48">
        <v>1800</v>
      </c>
      <c r="AK891" s="14"/>
      <c r="AL891" s="48">
        <f t="shared" si="138"/>
        <v>1800</v>
      </c>
      <c r="AM891" s="14"/>
      <c r="AN891" s="14"/>
      <c r="AO891" s="14">
        <v>2075</v>
      </c>
      <c r="AP891" s="14">
        <f t="shared" si="139"/>
        <v>2075</v>
      </c>
      <c r="AQ891" s="14"/>
      <c r="AR891" s="14"/>
      <c r="AS891" s="14"/>
      <c r="AT891" s="48"/>
      <c r="AU891" s="14"/>
      <c r="AV891" s="14"/>
      <c r="AW891" s="14"/>
      <c r="AX891" s="14"/>
    </row>
    <row r="892" spans="1:50" ht="10.15" customHeight="1" x14ac:dyDescent="0.2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1900</v>
      </c>
      <c r="Q892" s="14">
        <v>650</v>
      </c>
      <c r="R892" s="14">
        <f t="shared" si="133"/>
        <v>1275</v>
      </c>
      <c r="S892" s="14"/>
      <c r="T892" s="14"/>
      <c r="U892" s="14">
        <v>550</v>
      </c>
      <c r="V892" s="14">
        <f t="shared" si="136"/>
        <v>550</v>
      </c>
      <c r="W892" s="14"/>
      <c r="X892" s="14"/>
      <c r="Y892" s="14">
        <v>450</v>
      </c>
      <c r="Z892" s="14">
        <f t="shared" si="140"/>
        <v>450</v>
      </c>
      <c r="AA892" s="14"/>
      <c r="AB892" s="14"/>
      <c r="AC892" s="14">
        <v>400</v>
      </c>
      <c r="AD892" s="14">
        <f t="shared" si="137"/>
        <v>400</v>
      </c>
      <c r="AE892" s="14"/>
      <c r="AF892" s="14"/>
      <c r="AG892" s="14"/>
      <c r="AH892" s="14"/>
      <c r="AI892" s="14"/>
      <c r="AJ892" s="48">
        <v>1700</v>
      </c>
      <c r="AK892" s="14"/>
      <c r="AL892" s="48">
        <f t="shared" si="138"/>
        <v>1700</v>
      </c>
      <c r="AM892" s="14"/>
      <c r="AN892" s="14"/>
      <c r="AO892" s="14">
        <v>1978</v>
      </c>
      <c r="AP892" s="14">
        <f t="shared" si="139"/>
        <v>1978</v>
      </c>
      <c r="AQ892" s="14"/>
      <c r="AR892" s="14"/>
      <c r="AS892" s="14"/>
      <c r="AT892" s="48"/>
      <c r="AU892" s="14"/>
      <c r="AV892" s="14"/>
      <c r="AW892" s="14"/>
      <c r="AX892" s="14"/>
    </row>
    <row r="893" spans="1:50" ht="10.15" customHeight="1" x14ac:dyDescent="0.2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>
        <v>2500</v>
      </c>
      <c r="U893" s="14">
        <v>500</v>
      </c>
      <c r="V893" s="14">
        <f t="shared" si="136"/>
        <v>1500</v>
      </c>
      <c r="W893" s="14"/>
      <c r="X893" s="14"/>
      <c r="Y893" s="14">
        <v>300</v>
      </c>
      <c r="Z893" s="14">
        <f t="shared" si="140"/>
        <v>300</v>
      </c>
      <c r="AA893" s="14"/>
      <c r="AB893" s="14"/>
      <c r="AC893" s="14">
        <v>250</v>
      </c>
      <c r="AD893" s="14">
        <f t="shared" si="137"/>
        <v>250</v>
      </c>
      <c r="AE893" s="14"/>
      <c r="AF893" s="14"/>
      <c r="AG893" s="14"/>
      <c r="AH893" s="14"/>
      <c r="AI893" s="14"/>
      <c r="AJ893" s="48">
        <v>1700</v>
      </c>
      <c r="AK893" s="14"/>
      <c r="AL893" s="48">
        <f t="shared" si="138"/>
        <v>1700</v>
      </c>
      <c r="AM893" s="14"/>
      <c r="AN893" s="14"/>
      <c r="AO893" s="14">
        <v>1950</v>
      </c>
      <c r="AP893" s="14">
        <f t="shared" si="139"/>
        <v>1950</v>
      </c>
      <c r="AQ893" s="14"/>
      <c r="AR893" s="14"/>
      <c r="AS893" s="14"/>
      <c r="AT893" s="48"/>
      <c r="AU893" s="14"/>
      <c r="AV893" s="14"/>
      <c r="AW893" s="14"/>
      <c r="AX893" s="14"/>
    </row>
    <row r="894" spans="1:50" ht="10.15" customHeight="1" x14ac:dyDescent="0.2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>
        <v>1500</v>
      </c>
      <c r="U894" s="14">
        <v>200</v>
      </c>
      <c r="V894" s="14">
        <f t="shared" si="136"/>
        <v>850</v>
      </c>
      <c r="W894" s="14"/>
      <c r="X894" s="14">
        <v>1500</v>
      </c>
      <c r="Y894" s="14">
        <v>100</v>
      </c>
      <c r="Z894" s="14">
        <f t="shared" si="140"/>
        <v>800</v>
      </c>
      <c r="AA894" s="14"/>
      <c r="AB894" s="14"/>
      <c r="AC894" s="14">
        <v>100</v>
      </c>
      <c r="AD894" s="14">
        <f t="shared" si="137"/>
        <v>100</v>
      </c>
      <c r="AE894" s="14"/>
      <c r="AF894" s="14"/>
      <c r="AG894" s="14"/>
      <c r="AH894" s="14"/>
      <c r="AI894" s="14"/>
      <c r="AJ894" s="14"/>
      <c r="AK894" s="14"/>
      <c r="AL894" s="48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5" customHeight="1" x14ac:dyDescent="0.2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>
        <v>1025</v>
      </c>
      <c r="U895" s="14">
        <v>50</v>
      </c>
      <c r="V895" s="14">
        <f t="shared" si="136"/>
        <v>537.5</v>
      </c>
      <c r="W895" s="14"/>
      <c r="X895" s="14"/>
      <c r="Y895" s="14">
        <v>0</v>
      </c>
      <c r="Z895" s="14">
        <f t="shared" si="140"/>
        <v>0</v>
      </c>
      <c r="AA895" s="14"/>
      <c r="AB895" s="14"/>
      <c r="AC895" s="14">
        <v>0</v>
      </c>
      <c r="AD895" s="14">
        <f t="shared" si="137"/>
        <v>0</v>
      </c>
      <c r="AE895" s="14"/>
      <c r="AF895" s="14"/>
      <c r="AG895" s="14">
        <v>200</v>
      </c>
      <c r="AH895" s="14">
        <f t="shared" ref="AH895:AH910" si="141">AVERAGE(AF895:AG895)</f>
        <v>200</v>
      </c>
      <c r="AI895" s="14"/>
      <c r="AJ895" s="14">
        <v>500</v>
      </c>
      <c r="AK895" s="14"/>
      <c r="AL895" s="48">
        <f t="shared" si="138"/>
        <v>500</v>
      </c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5" customHeight="1" x14ac:dyDescent="0.2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>
        <v>0</v>
      </c>
      <c r="U896" s="14"/>
      <c r="V896" s="14">
        <f t="shared" si="136"/>
        <v>0</v>
      </c>
      <c r="W896" s="14"/>
      <c r="X896" s="14"/>
      <c r="Y896" s="14">
        <v>-100</v>
      </c>
      <c r="Z896" s="14">
        <f t="shared" si="140"/>
        <v>-100</v>
      </c>
      <c r="AA896" s="14"/>
      <c r="AB896" s="14"/>
      <c r="AC896" s="14">
        <v>-100</v>
      </c>
      <c r="AD896" s="14">
        <f t="shared" si="137"/>
        <v>-100</v>
      </c>
      <c r="AE896" s="14"/>
      <c r="AF896" s="14"/>
      <c r="AG896" s="14">
        <v>-300</v>
      </c>
      <c r="AH896" s="14">
        <f t="shared" si="141"/>
        <v>-300</v>
      </c>
      <c r="AI896" s="14"/>
      <c r="AJ896" s="14"/>
      <c r="AK896" s="14">
        <v>100</v>
      </c>
      <c r="AL896" s="48">
        <f t="shared" si="138"/>
        <v>100</v>
      </c>
      <c r="AM896" s="14"/>
      <c r="AN896" s="14"/>
      <c r="AO896" s="14"/>
      <c r="AP896" s="14"/>
      <c r="AQ896" s="14"/>
      <c r="AR896" s="14"/>
      <c r="AS896" s="14">
        <v>250</v>
      </c>
      <c r="AT896" s="48">
        <f t="shared" ref="AT896:AT919" si="142">AVERAGE(AR896:AS896)</f>
        <v>250</v>
      </c>
      <c r="AU896" s="14"/>
      <c r="AV896" s="14"/>
      <c r="AW896" s="14"/>
      <c r="AX896" s="14"/>
    </row>
    <row r="897" spans="1:50" ht="10.15" customHeight="1" x14ac:dyDescent="0.2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>
        <v>-188</v>
      </c>
      <c r="Z897" s="14">
        <f t="shared" si="140"/>
        <v>-188</v>
      </c>
      <c r="AA897" s="14"/>
      <c r="AB897" s="14"/>
      <c r="AC897" s="14">
        <v>-300</v>
      </c>
      <c r="AD897" s="14">
        <f t="shared" si="137"/>
        <v>-300</v>
      </c>
      <c r="AE897" s="14"/>
      <c r="AF897" s="14"/>
      <c r="AG897" s="14">
        <v>-300</v>
      </c>
      <c r="AH897" s="14">
        <f t="shared" si="141"/>
        <v>-300</v>
      </c>
      <c r="AI897" s="14"/>
      <c r="AJ897" s="14"/>
      <c r="AK897" s="14">
        <v>100</v>
      </c>
      <c r="AL897" s="48">
        <f t="shared" si="138"/>
        <v>100</v>
      </c>
      <c r="AM897" s="14"/>
      <c r="AN897" s="14"/>
      <c r="AO897" s="14"/>
      <c r="AP897" s="14"/>
      <c r="AQ897" s="14"/>
      <c r="AR897" s="14"/>
      <c r="AS897" s="14">
        <v>625</v>
      </c>
      <c r="AT897" s="48">
        <f t="shared" si="142"/>
        <v>625</v>
      </c>
      <c r="AU897" s="14"/>
      <c r="AV897" s="14"/>
      <c r="AW897" s="14"/>
      <c r="AX897" s="14"/>
    </row>
    <row r="898" spans="1:50" ht="10.15" customHeight="1" x14ac:dyDescent="0.2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>
        <v>650</v>
      </c>
      <c r="Y898" s="14">
        <v>-200</v>
      </c>
      <c r="Z898" s="14">
        <f t="shared" si="140"/>
        <v>225</v>
      </c>
      <c r="AA898" s="14"/>
      <c r="AB898" s="14"/>
      <c r="AC898" s="14"/>
      <c r="AD898" s="14"/>
      <c r="AE898" s="14"/>
      <c r="AF898" s="14"/>
      <c r="AG898" s="14">
        <v>-100</v>
      </c>
      <c r="AH898" s="14">
        <f t="shared" si="141"/>
        <v>-100</v>
      </c>
      <c r="AI898" s="14"/>
      <c r="AJ898" s="14"/>
      <c r="AK898" s="14">
        <v>200</v>
      </c>
      <c r="AL898" s="48">
        <f t="shared" si="138"/>
        <v>200</v>
      </c>
      <c r="AM898" s="14"/>
      <c r="AN898" s="14"/>
      <c r="AO898" s="14"/>
      <c r="AP898" s="14"/>
      <c r="AQ898" s="14"/>
      <c r="AR898" s="14"/>
      <c r="AS898" s="14">
        <v>600</v>
      </c>
      <c r="AT898" s="48">
        <f t="shared" si="142"/>
        <v>600</v>
      </c>
      <c r="AU898" s="14"/>
      <c r="AV898" s="14"/>
      <c r="AW898" s="14"/>
      <c r="AX898" s="14"/>
    </row>
    <row r="899" spans="1:50" ht="10.15" customHeight="1" x14ac:dyDescent="0.2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>
        <v>650</v>
      </c>
      <c r="Y899" s="14">
        <v>-313</v>
      </c>
      <c r="Z899" s="14">
        <f t="shared" si="140"/>
        <v>168.5</v>
      </c>
      <c r="AA899" s="14"/>
      <c r="AB899" s="14"/>
      <c r="AC899" s="14"/>
      <c r="AD899" s="14"/>
      <c r="AE899" s="14"/>
      <c r="AF899" s="14"/>
      <c r="AG899" s="14">
        <v>-200</v>
      </c>
      <c r="AH899" s="14">
        <f t="shared" si="141"/>
        <v>-200</v>
      </c>
      <c r="AI899" s="14"/>
      <c r="AJ899" s="14"/>
      <c r="AK899" s="14">
        <v>200</v>
      </c>
      <c r="AL899" s="48">
        <f t="shared" si="138"/>
        <v>200</v>
      </c>
      <c r="AM899" s="14"/>
      <c r="AN899" s="14"/>
      <c r="AO899" s="14"/>
      <c r="AP899" s="14"/>
      <c r="AQ899" s="14"/>
      <c r="AR899" s="14"/>
      <c r="AS899" s="14">
        <v>550</v>
      </c>
      <c r="AT899" s="48">
        <f t="shared" si="142"/>
        <v>550</v>
      </c>
      <c r="AU899" s="14"/>
      <c r="AV899" s="14"/>
      <c r="AW899" s="14">
        <v>700</v>
      </c>
      <c r="AX899" s="48">
        <f t="shared" ref="AX899:AX919" si="143">AVERAGE(AV899:AW899)</f>
        <v>700</v>
      </c>
    </row>
    <row r="900" spans="1:50" ht="10.15" customHeight="1" x14ac:dyDescent="0.2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>
        <v>1150</v>
      </c>
      <c r="Y900" s="14">
        <v>-300</v>
      </c>
      <c r="Z900" s="14">
        <f t="shared" si="140"/>
        <v>425</v>
      </c>
      <c r="AA900" s="14"/>
      <c r="AB900" s="14">
        <v>600</v>
      </c>
      <c r="AC900" s="14">
        <v>-275</v>
      </c>
      <c r="AD900" s="14">
        <f t="shared" ref="AD900:AD905" si="144">AVERAGE(AB900:AC900)</f>
        <v>162.5</v>
      </c>
      <c r="AE900" s="14"/>
      <c r="AF900" s="14"/>
      <c r="AG900" s="14">
        <v>-150</v>
      </c>
      <c r="AH900" s="14">
        <f t="shared" si="141"/>
        <v>-150</v>
      </c>
      <c r="AI900" s="14"/>
      <c r="AJ900" s="14"/>
      <c r="AK900" s="14"/>
      <c r="AL900" s="48"/>
      <c r="AM900" s="14"/>
      <c r="AN900" s="14"/>
      <c r="AO900" s="14">
        <v>1350</v>
      </c>
      <c r="AP900" s="14">
        <f t="shared" ref="AP900:AP919" si="145">AVERAGE(AN900:AO900)</f>
        <v>1350</v>
      </c>
      <c r="AQ900" s="14"/>
      <c r="AR900" s="14"/>
      <c r="AS900" s="14">
        <v>300</v>
      </c>
      <c r="AT900" s="48">
        <f t="shared" si="142"/>
        <v>300</v>
      </c>
      <c r="AU900" s="14"/>
      <c r="AV900" s="14"/>
      <c r="AW900" s="14">
        <v>400</v>
      </c>
      <c r="AX900" s="48">
        <f t="shared" si="143"/>
        <v>400</v>
      </c>
    </row>
    <row r="901" spans="1:50" ht="10.15" customHeight="1" x14ac:dyDescent="0.2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>
        <v>800</v>
      </c>
      <c r="Y901" s="14"/>
      <c r="Z901" s="14">
        <f t="shared" si="140"/>
        <v>800</v>
      </c>
      <c r="AA901" s="14"/>
      <c r="AB901" s="14"/>
      <c r="AC901" s="14">
        <v>0</v>
      </c>
      <c r="AD901" s="14">
        <f t="shared" si="144"/>
        <v>0</v>
      </c>
      <c r="AE901" s="14"/>
      <c r="AF901" s="14"/>
      <c r="AG901" s="14">
        <v>50</v>
      </c>
      <c r="AH901" s="14">
        <f t="shared" si="141"/>
        <v>50</v>
      </c>
      <c r="AI901" s="14"/>
      <c r="AJ901" s="14"/>
      <c r="AK901" s="14">
        <v>-100</v>
      </c>
      <c r="AL901" s="48">
        <f t="shared" si="138"/>
        <v>-100</v>
      </c>
      <c r="AM901" s="14"/>
      <c r="AN901" s="14"/>
      <c r="AO901" s="14">
        <v>975</v>
      </c>
      <c r="AP901" s="14">
        <f t="shared" si="145"/>
        <v>975</v>
      </c>
      <c r="AQ901" s="14"/>
      <c r="AR901" s="14"/>
      <c r="AS901" s="14">
        <v>400</v>
      </c>
      <c r="AT901" s="48">
        <f t="shared" si="142"/>
        <v>400</v>
      </c>
      <c r="AU901" s="14"/>
      <c r="AV901" s="14"/>
      <c r="AW901" s="14">
        <v>0</v>
      </c>
      <c r="AX901" s="48">
        <f t="shared" si="143"/>
        <v>0</v>
      </c>
    </row>
    <row r="902" spans="1:50" ht="10.15" customHeight="1" x14ac:dyDescent="0.2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>
        <v>925</v>
      </c>
      <c r="AC902" s="14">
        <v>350</v>
      </c>
      <c r="AD902" s="14">
        <f t="shared" si="144"/>
        <v>637.5</v>
      </c>
      <c r="AE902" s="14"/>
      <c r="AF902" s="14"/>
      <c r="AG902" s="14">
        <v>375</v>
      </c>
      <c r="AH902" s="14">
        <f t="shared" si="141"/>
        <v>375</v>
      </c>
      <c r="AI902" s="14"/>
      <c r="AJ902" s="14"/>
      <c r="AK902" s="14"/>
      <c r="AL902" s="48"/>
      <c r="AM902" s="14"/>
      <c r="AN902" s="14"/>
      <c r="AO902" s="14">
        <v>1000</v>
      </c>
      <c r="AP902" s="14">
        <f t="shared" si="145"/>
        <v>1000</v>
      </c>
      <c r="AQ902" s="14"/>
      <c r="AR902" s="14"/>
      <c r="AS902" s="14">
        <v>1150</v>
      </c>
      <c r="AT902" s="48">
        <f t="shared" si="142"/>
        <v>1150</v>
      </c>
      <c r="AU902" s="14"/>
      <c r="AV902" s="14"/>
      <c r="AW902" s="14">
        <v>0</v>
      </c>
      <c r="AX902" s="48">
        <f t="shared" si="143"/>
        <v>0</v>
      </c>
    </row>
    <row r="903" spans="1:50" ht="10.15" customHeight="1" x14ac:dyDescent="0.2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>
        <v>1500</v>
      </c>
      <c r="AC903" s="14">
        <v>400</v>
      </c>
      <c r="AD903" s="14">
        <f t="shared" si="144"/>
        <v>950</v>
      </c>
      <c r="AE903" s="14"/>
      <c r="AF903" s="14">
        <v>1500</v>
      </c>
      <c r="AG903" s="14">
        <v>400</v>
      </c>
      <c r="AH903" s="14">
        <f t="shared" si="141"/>
        <v>950</v>
      </c>
      <c r="AI903" s="14"/>
      <c r="AJ903" s="14"/>
      <c r="AK903" s="14">
        <v>400</v>
      </c>
      <c r="AL903" s="48">
        <f t="shared" si="138"/>
        <v>400</v>
      </c>
      <c r="AM903" s="14"/>
      <c r="AN903" s="14"/>
      <c r="AO903" s="14">
        <v>1200</v>
      </c>
      <c r="AP903" s="14">
        <f t="shared" si="145"/>
        <v>1200</v>
      </c>
      <c r="AQ903" s="14"/>
      <c r="AR903" s="14"/>
      <c r="AS903" s="14">
        <v>800</v>
      </c>
      <c r="AT903" s="48">
        <f t="shared" si="142"/>
        <v>800</v>
      </c>
      <c r="AU903" s="14"/>
      <c r="AV903" s="14"/>
      <c r="AW903" s="14">
        <v>500</v>
      </c>
      <c r="AX903" s="48">
        <f t="shared" si="143"/>
        <v>500</v>
      </c>
    </row>
    <row r="904" spans="1:50" ht="10.15" customHeight="1" x14ac:dyDescent="0.2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>
        <v>400</v>
      </c>
      <c r="AC904" s="14">
        <v>200</v>
      </c>
      <c r="AD904" s="14">
        <f t="shared" si="144"/>
        <v>300</v>
      </c>
      <c r="AE904" s="14"/>
      <c r="AF904" s="14"/>
      <c r="AG904" s="14">
        <v>200</v>
      </c>
      <c r="AH904" s="14">
        <f t="shared" si="141"/>
        <v>200</v>
      </c>
      <c r="AI904" s="14"/>
      <c r="AJ904" s="14"/>
      <c r="AK904" s="14"/>
      <c r="AL904" s="48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48"/>
    </row>
    <row r="905" spans="1:50" ht="10.15" customHeight="1" x14ac:dyDescent="0.2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>
        <v>1900</v>
      </c>
      <c r="AC905" s="14"/>
      <c r="AD905" s="14">
        <f t="shared" si="144"/>
        <v>1900</v>
      </c>
      <c r="AE905" s="14"/>
      <c r="AF905" s="14">
        <v>1600</v>
      </c>
      <c r="AG905" s="14">
        <v>700</v>
      </c>
      <c r="AH905" s="14">
        <f t="shared" si="141"/>
        <v>1150</v>
      </c>
      <c r="AI905" s="14"/>
      <c r="AJ905" s="14"/>
      <c r="AK905" s="14"/>
      <c r="AL905" s="48"/>
      <c r="AM905" s="14"/>
      <c r="AN905" s="14">
        <v>3500</v>
      </c>
      <c r="AO905" s="14">
        <v>2813</v>
      </c>
      <c r="AP905" s="14">
        <f t="shared" si="145"/>
        <v>3156.5</v>
      </c>
      <c r="AQ905" s="14"/>
      <c r="AR905" s="14">
        <v>2500</v>
      </c>
      <c r="AS905" s="14">
        <v>1000</v>
      </c>
      <c r="AT905" s="48">
        <f t="shared" si="142"/>
        <v>1750</v>
      </c>
      <c r="AU905" s="14"/>
      <c r="AV905" s="14">
        <v>2100</v>
      </c>
      <c r="AW905" s="14">
        <v>450</v>
      </c>
      <c r="AX905" s="48">
        <f t="shared" si="143"/>
        <v>1275</v>
      </c>
    </row>
    <row r="906" spans="1:50" ht="10.15" customHeight="1" x14ac:dyDescent="0.2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>
        <v>2000</v>
      </c>
      <c r="AG906" s="14">
        <v>1538</v>
      </c>
      <c r="AH906" s="14">
        <f t="shared" si="141"/>
        <v>1769</v>
      </c>
      <c r="AI906" s="14"/>
      <c r="AJ906" s="14"/>
      <c r="AK906" s="14"/>
      <c r="AL906" s="48"/>
      <c r="AM906" s="14"/>
      <c r="AN906" s="14">
        <v>3500</v>
      </c>
      <c r="AO906" s="14">
        <v>3000</v>
      </c>
      <c r="AP906" s="14">
        <f t="shared" si="145"/>
        <v>3250</v>
      </c>
      <c r="AQ906" s="14"/>
      <c r="AR906" s="14"/>
      <c r="AS906" s="14"/>
      <c r="AT906" s="48"/>
      <c r="AU906" s="14"/>
      <c r="AV906" s="14"/>
      <c r="AW906" s="14">
        <v>800</v>
      </c>
      <c r="AX906" s="48">
        <f t="shared" si="143"/>
        <v>800</v>
      </c>
    </row>
    <row r="907" spans="1:50" ht="10.15" customHeight="1" x14ac:dyDescent="0.2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>
        <v>3433</v>
      </c>
      <c r="AG907" s="14">
        <v>1500</v>
      </c>
      <c r="AH907" s="14">
        <f t="shared" si="141"/>
        <v>2466.5</v>
      </c>
      <c r="AI907" s="14"/>
      <c r="AJ907" s="14">
        <v>2750</v>
      </c>
      <c r="AK907" s="14"/>
      <c r="AL907" s="48">
        <f t="shared" si="138"/>
        <v>2750</v>
      </c>
      <c r="AM907" s="14"/>
      <c r="AN907" s="14">
        <v>3500</v>
      </c>
      <c r="AO907" s="14">
        <v>2500</v>
      </c>
      <c r="AP907" s="14">
        <f t="shared" si="145"/>
        <v>3000</v>
      </c>
      <c r="AQ907" s="14"/>
      <c r="AR907" s="14"/>
      <c r="AS907" s="14">
        <v>2000</v>
      </c>
      <c r="AT907" s="48">
        <f t="shared" si="142"/>
        <v>2000</v>
      </c>
      <c r="AU907" s="14"/>
      <c r="AV907" s="14">
        <v>2500</v>
      </c>
      <c r="AW907" s="14">
        <v>1000</v>
      </c>
      <c r="AX907" s="48">
        <f t="shared" si="143"/>
        <v>1750</v>
      </c>
    </row>
    <row r="908" spans="1:50" ht="10.15" customHeight="1" x14ac:dyDescent="0.2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>
        <v>2533</v>
      </c>
      <c r="AG908" s="14">
        <v>1500</v>
      </c>
      <c r="AH908" s="14">
        <f t="shared" si="141"/>
        <v>2016.5</v>
      </c>
      <c r="AI908" s="14"/>
      <c r="AJ908" s="14"/>
      <c r="AK908" s="14">
        <v>1500</v>
      </c>
      <c r="AL908" s="48">
        <f t="shared" si="138"/>
        <v>1500</v>
      </c>
      <c r="AM908" s="14"/>
      <c r="AN908" s="14"/>
      <c r="AO908" s="14">
        <v>3250</v>
      </c>
      <c r="AP908" s="14">
        <f t="shared" si="145"/>
        <v>3250</v>
      </c>
      <c r="AQ908" s="14"/>
      <c r="AR908" s="14"/>
      <c r="AS908" s="14">
        <v>2750</v>
      </c>
      <c r="AT908" s="48">
        <f t="shared" si="142"/>
        <v>2750</v>
      </c>
      <c r="AU908" s="14"/>
      <c r="AV908" s="14"/>
      <c r="AW908" s="14">
        <v>2500</v>
      </c>
      <c r="AX908" s="48">
        <f t="shared" si="143"/>
        <v>2500</v>
      </c>
    </row>
    <row r="909" spans="1:50" ht="10.15" customHeight="1" x14ac:dyDescent="0.2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>
        <v>2450</v>
      </c>
      <c r="AG909" s="14">
        <v>200</v>
      </c>
      <c r="AH909" s="14">
        <f t="shared" si="141"/>
        <v>1325</v>
      </c>
      <c r="AI909" s="14"/>
      <c r="AJ909" s="14"/>
      <c r="AK909" s="14">
        <v>325</v>
      </c>
      <c r="AL909" s="48">
        <f t="shared" si="138"/>
        <v>325</v>
      </c>
      <c r="AM909" s="14"/>
      <c r="AN909" s="14">
        <v>5500</v>
      </c>
      <c r="AO909" s="14">
        <v>2900</v>
      </c>
      <c r="AP909" s="14">
        <f t="shared" si="145"/>
        <v>4200</v>
      </c>
      <c r="AQ909" s="14"/>
      <c r="AR909" s="14">
        <v>2300</v>
      </c>
      <c r="AS909" s="14">
        <v>1850</v>
      </c>
      <c r="AT909" s="48">
        <f t="shared" si="142"/>
        <v>2075</v>
      </c>
      <c r="AU909" s="14"/>
      <c r="AV909" s="14">
        <v>1500</v>
      </c>
      <c r="AW909" s="14">
        <v>1050</v>
      </c>
      <c r="AX909" s="48">
        <f t="shared" si="143"/>
        <v>1275</v>
      </c>
    </row>
    <row r="910" spans="1:50" ht="10.15" customHeight="1" x14ac:dyDescent="0.2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>
        <v>2000</v>
      </c>
      <c r="AG910" s="14">
        <v>300</v>
      </c>
      <c r="AH910" s="14">
        <f t="shared" si="141"/>
        <v>1150</v>
      </c>
      <c r="AI910" s="14"/>
      <c r="AJ910" s="14">
        <v>2245</v>
      </c>
      <c r="AK910" s="14">
        <v>275</v>
      </c>
      <c r="AL910" s="48">
        <f t="shared" si="138"/>
        <v>1260</v>
      </c>
      <c r="AM910" s="14"/>
      <c r="AN910" s="14">
        <v>3500</v>
      </c>
      <c r="AO910" s="14">
        <v>3350</v>
      </c>
      <c r="AP910" s="14">
        <f t="shared" si="145"/>
        <v>3425</v>
      </c>
      <c r="AQ910" s="14"/>
      <c r="AR910" s="14">
        <v>3000</v>
      </c>
      <c r="AS910" s="14">
        <v>2025</v>
      </c>
      <c r="AT910" s="48">
        <f t="shared" si="142"/>
        <v>2512.5</v>
      </c>
      <c r="AU910" s="14"/>
      <c r="AV910" s="14"/>
      <c r="AW910" s="14">
        <v>1150</v>
      </c>
      <c r="AX910" s="48">
        <f t="shared" si="143"/>
        <v>1150</v>
      </c>
    </row>
    <row r="911" spans="1:50" ht="10.15" customHeight="1" x14ac:dyDescent="0.2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>
        <v>1573</v>
      </c>
      <c r="AK911" s="14">
        <v>275</v>
      </c>
      <c r="AL911" s="48">
        <f t="shared" si="138"/>
        <v>924</v>
      </c>
      <c r="AM911" s="14"/>
      <c r="AN911" s="14">
        <v>4000</v>
      </c>
      <c r="AO911" s="14">
        <v>3350</v>
      </c>
      <c r="AP911" s="14">
        <f t="shared" si="145"/>
        <v>3675</v>
      </c>
      <c r="AQ911" s="14"/>
      <c r="AR911" s="14"/>
      <c r="AS911" s="14">
        <v>2100</v>
      </c>
      <c r="AT911" s="48">
        <f t="shared" si="142"/>
        <v>2100</v>
      </c>
      <c r="AU911" s="14"/>
      <c r="AV911" s="14"/>
      <c r="AW911" s="14">
        <v>1400</v>
      </c>
      <c r="AX911" s="14">
        <f t="shared" si="143"/>
        <v>1400</v>
      </c>
    </row>
    <row r="912" spans="1:50" ht="10.15" customHeight="1" x14ac:dyDescent="0.2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>
        <v>1623</v>
      </c>
      <c r="AK912" s="14">
        <v>613</v>
      </c>
      <c r="AL912" s="48">
        <f t="shared" si="138"/>
        <v>1118</v>
      </c>
      <c r="AM912" s="14"/>
      <c r="AN912" s="14">
        <v>3550</v>
      </c>
      <c r="AO912" s="14">
        <v>3000</v>
      </c>
      <c r="AP912" s="14">
        <f t="shared" si="145"/>
        <v>3275</v>
      </c>
      <c r="AQ912" s="14"/>
      <c r="AR912" s="14"/>
      <c r="AS912" s="14">
        <v>1650</v>
      </c>
      <c r="AT912" s="48">
        <f t="shared" si="142"/>
        <v>1650</v>
      </c>
      <c r="AU912" s="14"/>
      <c r="AV912" s="14"/>
      <c r="AW912" s="14">
        <v>1025</v>
      </c>
      <c r="AX912" s="14">
        <f t="shared" si="143"/>
        <v>1025</v>
      </c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>
        <v>2035</v>
      </c>
      <c r="AK913" s="14">
        <v>250</v>
      </c>
      <c r="AL913" s="14">
        <f t="shared" si="138"/>
        <v>1142.5</v>
      </c>
      <c r="AM913" s="14"/>
      <c r="AN913" s="14">
        <v>4100</v>
      </c>
      <c r="AO913" s="14">
        <v>3000</v>
      </c>
      <c r="AP913" s="14">
        <f t="shared" si="145"/>
        <v>3550</v>
      </c>
      <c r="AQ913" s="14"/>
      <c r="AR913" s="14"/>
      <c r="AS913" s="14">
        <v>1700</v>
      </c>
      <c r="AT913" s="48">
        <f t="shared" si="142"/>
        <v>1700</v>
      </c>
      <c r="AU913" s="14"/>
      <c r="AV913" s="14"/>
      <c r="AW913" s="14">
        <v>725</v>
      </c>
      <c r="AX913" s="14">
        <f t="shared" si="143"/>
        <v>725</v>
      </c>
    </row>
    <row r="914" spans="1:50" ht="10.15" customHeight="1" x14ac:dyDescent="0.2">
      <c r="A914" s="14">
        <v>38</v>
      </c>
      <c r="B914" s="103">
        <v>41900</v>
      </c>
      <c r="C914" s="103">
        <v>41893</v>
      </c>
      <c r="E914" s="14">
        <v>950</v>
      </c>
      <c r="F914" s="14">
        <f>AVERAGE(D914:E914)</f>
        <v>950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>
        <v>3000</v>
      </c>
      <c r="AK914" s="14"/>
      <c r="AL914" s="14">
        <f t="shared" si="138"/>
        <v>3000</v>
      </c>
      <c r="AM914" s="14"/>
      <c r="AN914" s="14">
        <v>4000</v>
      </c>
      <c r="AO914" s="14">
        <v>3250</v>
      </c>
      <c r="AP914" s="14">
        <f t="shared" si="145"/>
        <v>3625</v>
      </c>
      <c r="AQ914" s="14"/>
      <c r="AR914" s="14"/>
      <c r="AS914" s="14">
        <v>1600</v>
      </c>
      <c r="AT914" s="48">
        <f t="shared" si="142"/>
        <v>1600</v>
      </c>
      <c r="AU914" s="14"/>
      <c r="AV914" s="14"/>
      <c r="AW914" s="14">
        <v>1150</v>
      </c>
      <c r="AX914" s="14">
        <f t="shared" si="143"/>
        <v>1150</v>
      </c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4"/>
      <c r="E915" s="14">
        <v>950</v>
      </c>
      <c r="F915" s="14">
        <f t="shared" ref="F915:F916" si="146">AVERAGE(D915:E915)</f>
        <v>950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>
        <v>4100</v>
      </c>
      <c r="AO915" s="14">
        <v>2750</v>
      </c>
      <c r="AP915" s="14">
        <f t="shared" si="145"/>
        <v>3425</v>
      </c>
      <c r="AQ915" s="14"/>
      <c r="AR915" s="14"/>
      <c r="AS915" s="14">
        <v>1550</v>
      </c>
      <c r="AT915" s="48">
        <f t="shared" si="142"/>
        <v>1550</v>
      </c>
      <c r="AU915" s="14"/>
      <c r="AV915" s="14"/>
      <c r="AW915" s="14">
        <v>1150</v>
      </c>
      <c r="AX915" s="14">
        <f t="shared" si="143"/>
        <v>1150</v>
      </c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4"/>
      <c r="E916" s="14">
        <v>1300</v>
      </c>
      <c r="F916" s="14">
        <f t="shared" si="146"/>
        <v>1300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>
        <v>5750</v>
      </c>
      <c r="AO916" s="14">
        <v>3500</v>
      </c>
      <c r="AP916" s="14">
        <f t="shared" si="145"/>
        <v>4625</v>
      </c>
      <c r="AQ916" s="14"/>
      <c r="AR916" s="14">
        <v>3750</v>
      </c>
      <c r="AS916" s="14">
        <v>2450</v>
      </c>
      <c r="AT916" s="48">
        <f t="shared" si="142"/>
        <v>3100</v>
      </c>
      <c r="AU916" s="14"/>
      <c r="AV916" s="14"/>
      <c r="AW916" s="14">
        <v>2050</v>
      </c>
      <c r="AX916" s="14">
        <f t="shared" si="143"/>
        <v>2050</v>
      </c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>
        <v>4750</v>
      </c>
      <c r="AO917" s="14">
        <v>3250</v>
      </c>
      <c r="AP917" s="14">
        <f t="shared" si="145"/>
        <v>4000</v>
      </c>
      <c r="AQ917" s="14"/>
      <c r="AR917" s="14"/>
      <c r="AS917" s="14">
        <v>2500</v>
      </c>
      <c r="AT917" s="48">
        <f t="shared" si="142"/>
        <v>2500</v>
      </c>
      <c r="AU917" s="14"/>
      <c r="AV917" s="14"/>
      <c r="AW917" s="14">
        <v>1917</v>
      </c>
      <c r="AX917" s="14">
        <f t="shared" si="143"/>
        <v>1917</v>
      </c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4">
        <v>2000</v>
      </c>
      <c r="E918" s="14"/>
      <c r="F918" s="14">
        <f>AVERAGE(D918:E918)</f>
        <v>2000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>
        <v>5875</v>
      </c>
      <c r="AO918" s="14">
        <v>2500</v>
      </c>
      <c r="AP918" s="14">
        <f t="shared" si="145"/>
        <v>4187.5</v>
      </c>
      <c r="AQ918" s="14"/>
      <c r="AR918" s="14">
        <v>3500</v>
      </c>
      <c r="AS918" s="14">
        <v>2050</v>
      </c>
      <c r="AT918" s="48">
        <f t="shared" si="142"/>
        <v>2775</v>
      </c>
      <c r="AU918" s="14"/>
      <c r="AV918" s="14"/>
      <c r="AW918" s="14">
        <v>1525</v>
      </c>
      <c r="AX918" s="14">
        <f t="shared" si="143"/>
        <v>1525</v>
      </c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4"/>
      <c r="E919" s="14">
        <v>900</v>
      </c>
      <c r="F919" s="14">
        <f>AVERAGE(D919:E919)</f>
        <v>900</v>
      </c>
      <c r="G919" s="14"/>
      <c r="H919" s="14"/>
      <c r="I919" s="14">
        <v>400</v>
      </c>
      <c r="J919" s="14">
        <f>AVERAGE(H919:I919)</f>
        <v>400</v>
      </c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R919" s="14">
        <v>2438</v>
      </c>
      <c r="AS919" s="14">
        <v>1908</v>
      </c>
      <c r="AT919" s="14">
        <f>AVERAGE(AR919:AS919)</f>
        <v>2173</v>
      </c>
      <c r="AU919" s="14"/>
      <c r="AV919" s="14"/>
      <c r="AW919" s="14">
        <v>1400</v>
      </c>
      <c r="AX919" s="48">
        <f>AVERAGE(AV919:AW919)</f>
        <v>1400</v>
      </c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48"/>
      <c r="AU920" s="14"/>
      <c r="AV920" s="14"/>
      <c r="AW920" s="14"/>
      <c r="AX920" s="14"/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48"/>
      <c r="AU921" s="14"/>
      <c r="AV921" s="14"/>
      <c r="AW921" s="14"/>
      <c r="AX921" s="14"/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48"/>
      <c r="AU922" s="14"/>
      <c r="AV922" s="14"/>
      <c r="AW922" s="14"/>
      <c r="AX922" s="14"/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48"/>
      <c r="AU923" s="14"/>
      <c r="AV923" s="14"/>
      <c r="AW923" s="14"/>
      <c r="AX923" s="14"/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/>
      <c r="AW924" s="14"/>
      <c r="AX924" s="14"/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/>
      <c r="AW925" s="14"/>
      <c r="AX925" s="14"/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/>
      <c r="AW926" s="14"/>
      <c r="AX926" s="14"/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/>
      <c r="AW927" s="14"/>
      <c r="AX927" s="14"/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5" customHeight="1" x14ac:dyDescent="0.2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5" customHeight="1" x14ac:dyDescent="0.2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5" customHeight="1" x14ac:dyDescent="0.2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5" customHeight="1" x14ac:dyDescent="0.2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5" customHeight="1" x14ac:dyDescent="0.2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5" customHeight="1" x14ac:dyDescent="0.2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5" customHeight="1" x14ac:dyDescent="0.2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5" customHeight="1" x14ac:dyDescent="0.2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5" customHeight="1" x14ac:dyDescent="0.2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5" customHeight="1" x14ac:dyDescent="0.2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5" customHeight="1" x14ac:dyDescent="0.2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5" customHeight="1" x14ac:dyDescent="0.2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5" customHeight="1" x14ac:dyDescent="0.2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5" customHeight="1" x14ac:dyDescent="0.2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5" customHeight="1" x14ac:dyDescent="0.2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5" customHeight="1" x14ac:dyDescent="0.2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5" customHeight="1" x14ac:dyDescent="0.2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5" customHeight="1" x14ac:dyDescent="0.2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5" customHeight="1" x14ac:dyDescent="0.2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5" customHeight="1" x14ac:dyDescent="0.2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5" customHeight="1" x14ac:dyDescent="0.2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5" customHeight="1" x14ac:dyDescent="0.2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5" customHeight="1" x14ac:dyDescent="0.2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5" customHeight="1" x14ac:dyDescent="0.2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5" customHeight="1" x14ac:dyDescent="0.2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5" customHeight="1" x14ac:dyDescent="0.2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5" customHeight="1" x14ac:dyDescent="0.2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5" customHeight="1" x14ac:dyDescent="0.2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5" customHeight="1" x14ac:dyDescent="0.2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5" customHeight="1" x14ac:dyDescent="0.2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5" customHeight="1" x14ac:dyDescent="0.2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5" customHeight="1" x14ac:dyDescent="0.2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5" customHeight="1" x14ac:dyDescent="0.2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5" customHeight="1" x14ac:dyDescent="0.2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5" customHeight="1" x14ac:dyDescent="0.2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5" customHeight="1" x14ac:dyDescent="0.2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5" customHeight="1" x14ac:dyDescent="0.2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5" customHeight="1" x14ac:dyDescent="0.2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5" customHeight="1" x14ac:dyDescent="0.2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5" customHeight="1" x14ac:dyDescent="0.2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5" customHeight="1" x14ac:dyDescent="0.2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5" customHeight="1" x14ac:dyDescent="0.2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5" customHeight="1" x14ac:dyDescent="0.2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5" customHeight="1" x14ac:dyDescent="0.2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5" customHeight="1" x14ac:dyDescent="0.2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5" customHeight="1" x14ac:dyDescent="0.2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5" customHeight="1" x14ac:dyDescent="0.2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5" customHeight="1" x14ac:dyDescent="0.2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5" customHeight="1" x14ac:dyDescent="0.2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5" customHeight="1" x14ac:dyDescent="0.2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5" customHeight="1" x14ac:dyDescent="0.2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5" customHeight="1" x14ac:dyDescent="0.2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5" customHeight="1" x14ac:dyDescent="0.2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5" customHeight="1" x14ac:dyDescent="0.2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5" customHeight="1" x14ac:dyDescent="0.2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5" customHeight="1" x14ac:dyDescent="0.2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5" customHeight="1" x14ac:dyDescent="0.2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5" customHeight="1" x14ac:dyDescent="0.2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5" customHeight="1" x14ac:dyDescent="0.2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5" customHeight="1" x14ac:dyDescent="0.2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5" customHeight="1" x14ac:dyDescent="0.2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5" customHeight="1" x14ac:dyDescent="0.2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5" customHeight="1" x14ac:dyDescent="0.2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5" customHeight="1" x14ac:dyDescent="0.2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5" customHeight="1" x14ac:dyDescent="0.2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5" customHeight="1" x14ac:dyDescent="0.2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5" customHeight="1" x14ac:dyDescent="0.2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5" customHeight="1" x14ac:dyDescent="0.2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5" customHeight="1" x14ac:dyDescent="0.2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5" customHeight="1" x14ac:dyDescent="0.2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5" customHeight="1" x14ac:dyDescent="0.2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5" customHeight="1" x14ac:dyDescent="0.2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5" customHeight="1" x14ac:dyDescent="0.2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5" customHeight="1" x14ac:dyDescent="0.2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5" customHeight="1" x14ac:dyDescent="0.2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5" customHeight="1" x14ac:dyDescent="0.2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5" customHeight="1" x14ac:dyDescent="0.2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5" customHeight="1" x14ac:dyDescent="0.2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5" customHeight="1" x14ac:dyDescent="0.2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5" customHeight="1" x14ac:dyDescent="0.2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5" customHeight="1" x14ac:dyDescent="0.2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5" customHeight="1" x14ac:dyDescent="0.2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5" customHeight="1" x14ac:dyDescent="0.2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5" customHeight="1" x14ac:dyDescent="0.2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5" customHeight="1" x14ac:dyDescent="0.2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5" customHeight="1" x14ac:dyDescent="0.2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5" customHeight="1" x14ac:dyDescent="0.2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5" customHeight="1" x14ac:dyDescent="0.2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5" customHeight="1" x14ac:dyDescent="0.2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5" customHeight="1" x14ac:dyDescent="0.2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5" customHeight="1" x14ac:dyDescent="0.2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5" customHeight="1" x14ac:dyDescent="0.2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5" customHeight="1" x14ac:dyDescent="0.2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5" customHeight="1" x14ac:dyDescent="0.2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5" customHeight="1" x14ac:dyDescent="0.2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5" customHeight="1" x14ac:dyDescent="0.2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5" customHeight="1" x14ac:dyDescent="0.2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5" customHeight="1" x14ac:dyDescent="0.2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5" customHeight="1" x14ac:dyDescent="0.2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5" customHeight="1" x14ac:dyDescent="0.2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5" customHeight="1" x14ac:dyDescent="0.2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5" customHeight="1" x14ac:dyDescent="0.2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5" customHeight="1" x14ac:dyDescent="0.2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5" customHeight="1" x14ac:dyDescent="0.2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5" customHeight="1" x14ac:dyDescent="0.2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5" customHeight="1" x14ac:dyDescent="0.2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5" customHeight="1" x14ac:dyDescent="0.2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5" customHeight="1" x14ac:dyDescent="0.2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5" customHeight="1" x14ac:dyDescent="0.2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5" customHeight="1" x14ac:dyDescent="0.2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5" customHeight="1" x14ac:dyDescent="0.2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5" customHeight="1" x14ac:dyDescent="0.2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5" customHeight="1" x14ac:dyDescent="0.2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5" customHeight="1" x14ac:dyDescent="0.2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5" customHeight="1" x14ac:dyDescent="0.2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5" customHeight="1" x14ac:dyDescent="0.2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5" customHeight="1" x14ac:dyDescent="0.2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5" customHeight="1" x14ac:dyDescent="0.2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5" customHeight="1" x14ac:dyDescent="0.2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5" customHeight="1" x14ac:dyDescent="0.2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5" customHeight="1" x14ac:dyDescent="0.2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5" customHeight="1" x14ac:dyDescent="0.2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5" customHeight="1" x14ac:dyDescent="0.2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5" customHeight="1" x14ac:dyDescent="0.2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5" customHeight="1" x14ac:dyDescent="0.2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5" customHeight="1" x14ac:dyDescent="0.2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5" customHeight="1" x14ac:dyDescent="0.2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5" customHeight="1" x14ac:dyDescent="0.2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5" customHeight="1" x14ac:dyDescent="0.2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5" customHeight="1" x14ac:dyDescent="0.2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5" customHeight="1" x14ac:dyDescent="0.2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5" customHeight="1" x14ac:dyDescent="0.2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5" customHeight="1" x14ac:dyDescent="0.2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5" customHeight="1" x14ac:dyDescent="0.2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5" customHeight="1" x14ac:dyDescent="0.2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5" customHeight="1" x14ac:dyDescent="0.2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5" customHeight="1" x14ac:dyDescent="0.2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5" customHeight="1" x14ac:dyDescent="0.2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5" customHeight="1" x14ac:dyDescent="0.2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5" customHeight="1" x14ac:dyDescent="0.2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5" customHeight="1" x14ac:dyDescent="0.2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5" customHeight="1" x14ac:dyDescent="0.2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5" customHeight="1" x14ac:dyDescent="0.2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5" customHeight="1" x14ac:dyDescent="0.2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5" customHeight="1" x14ac:dyDescent="0.2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5" customHeight="1" x14ac:dyDescent="0.2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5" customHeight="1" x14ac:dyDescent="0.2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5" customHeight="1" x14ac:dyDescent="0.2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5" customHeight="1" x14ac:dyDescent="0.2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5" customHeight="1" x14ac:dyDescent="0.2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5" customHeight="1" x14ac:dyDescent="0.2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5" customHeight="1" x14ac:dyDescent="0.2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5" customHeight="1" x14ac:dyDescent="0.2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5" customHeight="1" x14ac:dyDescent="0.2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5" customHeight="1" x14ac:dyDescent="0.2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5" customHeight="1" x14ac:dyDescent="0.2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5" customHeight="1" x14ac:dyDescent="0.2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T6:V6"/>
    <mergeCell ref="AB6:AD6"/>
    <mergeCell ref="D6:F6"/>
    <mergeCell ref="L6:N6"/>
    <mergeCell ref="H6:J6"/>
    <mergeCell ref="P6:R6"/>
    <mergeCell ref="X6:Z6"/>
    <mergeCell ref="AF6:AH6"/>
    <mergeCell ref="AJ6:AL6"/>
    <mergeCell ref="AV6:AX6"/>
    <mergeCell ref="AR6:AT6"/>
    <mergeCell ref="AN6:AP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9 F914:F9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tabSelected="1" zoomScaleNormal="100" workbookViewId="0">
      <selection activeCell="L25" sqref="L25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0</v>
      </c>
      <c r="B1" s="42"/>
      <c r="C1" s="42"/>
      <c r="D1" s="42"/>
      <c r="E1" s="42"/>
      <c r="F1" s="42"/>
      <c r="G1" s="30"/>
    </row>
    <row r="2" spans="1:11" x14ac:dyDescent="0.2">
      <c r="A2" s="43" t="s">
        <v>282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D43" sqref="D43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183</v>
      </c>
      <c r="B1" s="42"/>
      <c r="C1" s="42"/>
      <c r="D1" s="42"/>
      <c r="E1" s="42"/>
      <c r="F1" s="42"/>
      <c r="G1" s="30"/>
    </row>
    <row r="2" spans="1:11" x14ac:dyDescent="0.2">
      <c r="A2" s="43" t="s">
        <v>283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J22" sqref="J22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149</v>
      </c>
      <c r="B1" s="42"/>
      <c r="C1" s="42"/>
      <c r="D1" s="42"/>
      <c r="E1" s="42"/>
      <c r="F1" s="42"/>
      <c r="G1" s="30"/>
    </row>
    <row r="2" spans="1:11" x14ac:dyDescent="0.2">
      <c r="A2" s="43" t="s">
        <v>284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BN1" zoomScaleNormal="100" workbookViewId="0">
      <pane ySplit="7" topLeftCell="A8" activePane="bottomLeft" state="frozen"/>
      <selection pane="bottomLeft" activeCell="BR22" sqref="BR22"/>
    </sheetView>
  </sheetViews>
  <sheetFormatPr defaultRowHeight="15" x14ac:dyDescent="0.2"/>
  <cols>
    <col min="4" max="7" width="8.77734375" style="34"/>
    <col min="8" max="8" width="9.77734375" style="34" bestFit="1" customWidth="1"/>
    <col min="9" max="9" width="9.44140625" style="34" bestFit="1" customWidth="1"/>
    <col min="10" max="11" width="8.77734375" style="34"/>
    <col min="12" max="12" width="9.77734375" bestFit="1" customWidth="1"/>
    <col min="14" max="14" width="8.77734375" style="34"/>
    <col min="32" max="32" width="9" bestFit="1" customWidth="1"/>
    <col min="36" max="36" width="14.44140625" bestFit="1" customWidth="1"/>
    <col min="74" max="74" width="8.77734375" style="34"/>
    <col min="78" max="78" width="8.77734375" style="34"/>
    <col min="82" max="82" width="8.77734375" style="34"/>
  </cols>
  <sheetData>
    <row r="1" spans="1:85" ht="15.75" x14ac:dyDescent="0.25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">
      <c r="D3"/>
      <c r="E3"/>
      <c r="F3"/>
      <c r="G3"/>
      <c r="H3"/>
      <c r="I3"/>
      <c r="J3"/>
      <c r="K3"/>
      <c r="N3"/>
    </row>
    <row r="4" spans="1:85" ht="15.75" x14ac:dyDescent="0.25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75" x14ac:dyDescent="0.25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75" x14ac:dyDescent="0.25">
      <c r="B6" s="143" t="s">
        <v>285</v>
      </c>
      <c r="C6" s="143"/>
      <c r="D6" s="25"/>
      <c r="E6" s="143" t="s">
        <v>286</v>
      </c>
      <c r="F6" s="143"/>
      <c r="G6" s="25"/>
      <c r="H6" s="143" t="s">
        <v>287</v>
      </c>
      <c r="I6" s="143"/>
      <c r="J6" s="25"/>
      <c r="K6" s="96"/>
      <c r="L6" s="143" t="s">
        <v>288</v>
      </c>
      <c r="M6" s="143"/>
      <c r="N6" s="25"/>
      <c r="O6" s="143" t="s">
        <v>289</v>
      </c>
      <c r="P6" s="143"/>
      <c r="Q6" s="26"/>
      <c r="R6" s="143" t="s">
        <v>290</v>
      </c>
      <c r="S6" s="143"/>
      <c r="T6" s="25"/>
      <c r="U6" s="96"/>
      <c r="V6" s="143" t="s">
        <v>291</v>
      </c>
      <c r="W6" s="143"/>
      <c r="X6" s="25"/>
      <c r="Y6" s="143" t="s">
        <v>292</v>
      </c>
      <c r="Z6" s="143"/>
      <c r="AA6" s="25"/>
      <c r="AB6" s="143" t="s">
        <v>293</v>
      </c>
      <c r="AC6" s="143"/>
      <c r="AD6" s="25"/>
      <c r="AE6" s="25"/>
      <c r="AF6" s="143" t="s">
        <v>294</v>
      </c>
      <c r="AG6" s="143"/>
      <c r="AH6" s="25"/>
      <c r="AI6" s="25"/>
      <c r="AJ6" s="143" t="s">
        <v>267</v>
      </c>
      <c r="AK6" s="143"/>
      <c r="AL6" s="25"/>
      <c r="AM6" s="25"/>
      <c r="AN6" s="143" t="s">
        <v>269</v>
      </c>
      <c r="AO6" s="143"/>
      <c r="AP6" s="25"/>
      <c r="AS6" s="143" t="s">
        <v>285</v>
      </c>
      <c r="AT6" s="143"/>
      <c r="AU6" s="25"/>
      <c r="AV6" s="143" t="s">
        <v>286</v>
      </c>
      <c r="AW6" s="143"/>
      <c r="AX6" s="25"/>
      <c r="AY6" s="143" t="s">
        <v>287</v>
      </c>
      <c r="AZ6" s="143"/>
      <c r="BA6" s="25"/>
      <c r="BB6" s="96"/>
      <c r="BC6" s="143" t="s">
        <v>288</v>
      </c>
      <c r="BD6" s="143"/>
      <c r="BE6" s="25"/>
      <c r="BF6" s="144" t="s">
        <v>295</v>
      </c>
      <c r="BG6" s="144"/>
      <c r="BH6" s="26"/>
      <c r="BI6" s="143" t="s">
        <v>296</v>
      </c>
      <c r="BJ6" s="143"/>
      <c r="BK6" s="25"/>
      <c r="BL6" s="96"/>
      <c r="BM6" s="143" t="s">
        <v>291</v>
      </c>
      <c r="BN6" s="143"/>
      <c r="BO6" s="25"/>
      <c r="BP6" s="143" t="s">
        <v>292</v>
      </c>
      <c r="BQ6" s="143"/>
      <c r="BR6" s="25"/>
      <c r="BS6" s="143" t="s">
        <v>293</v>
      </c>
      <c r="BT6" s="143"/>
      <c r="BU6" s="25"/>
      <c r="BV6" s="88"/>
      <c r="BW6" s="143" t="s">
        <v>297</v>
      </c>
      <c r="BX6" s="143"/>
      <c r="BY6" s="25"/>
      <c r="BZ6" s="88"/>
      <c r="CA6" s="143" t="s">
        <v>267</v>
      </c>
      <c r="CB6" s="143"/>
      <c r="CC6" s="25"/>
      <c r="CD6" s="88"/>
      <c r="CE6" s="143" t="s">
        <v>269</v>
      </c>
      <c r="CF6" s="143"/>
    </row>
    <row r="7" spans="1:85" ht="15.75" thickBot="1" x14ac:dyDescent="0.25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8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Bids'!AV845,'Shuttle Bids'!AV793)</f>
        <v>0</v>
      </c>
      <c r="CF8" s="77"/>
      <c r="CG8" s="78">
        <f>AVERAGE('Shuttle Bids'!AX741,'Shuttle Bids'!AX845,'Shuttle Bids'!AX793)</f>
        <v>0</v>
      </c>
    </row>
    <row r="9" spans="1:85" x14ac:dyDescent="0.2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8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Bids'!AV846,'Shuttle Bids'!AV794)</f>
        <v>0</v>
      </c>
      <c r="CF9" s="77"/>
      <c r="CG9" s="78">
        <f>AVERAGE('Shuttle Bids'!AX742,'Shuttle Bids'!AX846,'Shuttle Bids'!AX794)</f>
        <v>0</v>
      </c>
    </row>
    <row r="10" spans="1:85" x14ac:dyDescent="0.2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8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Bids'!AN889,'Shuttle Bids'!AN837,'Shuttle Bids'!AN785)</f>
        <v>550</v>
      </c>
      <c r="BX10" s="77">
        <f>AVERAGE('Shuttle Bids'!AO889,'Shuttle Bids'!AO837,'Shuttle Bids'!AO785)</f>
        <v>800</v>
      </c>
      <c r="BY10" s="78">
        <f>AVERAGE('Shuttle Bids'!AP889,'Shuttle Bids'!AP837,'Shuttle Bids'!AP785)</f>
        <v>716.66666666666663</v>
      </c>
      <c r="BZ10" s="87"/>
      <c r="CA10" s="27"/>
      <c r="CB10" s="27"/>
      <c r="CC10" s="27"/>
      <c r="CD10" s="72">
        <v>23</v>
      </c>
      <c r="CE10" s="77"/>
      <c r="CF10" s="77"/>
      <c r="CG10" s="78"/>
    </row>
    <row r="11" spans="1:85" x14ac:dyDescent="0.2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8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Bids'!AO890,'Shuttle Bids'!AO838,'Shuttle Bids'!AO786)</f>
        <v>825</v>
      </c>
      <c r="BY11" s="78">
        <f>AVERAGE('Shuttle Bids'!AP890,'Shuttle Bids'!AP838,'Shuttle Bids'!AP786)</f>
        <v>825</v>
      </c>
      <c r="BZ11" s="12">
        <v>17</v>
      </c>
      <c r="CA11" s="77">
        <f>AVERAGE('Shuttle Bids'!AR737,'Shuttle Bids'!AR841,'Shuttle Bids'!AR789)</f>
        <v>400</v>
      </c>
      <c r="CB11" s="77"/>
      <c r="CC11" s="78">
        <f>AVERAGE('Shuttle Bids'!AT737,'Shuttle Bids'!AT841,'Shuttle Bids'!AT789)</f>
        <v>400</v>
      </c>
      <c r="CD11" s="72">
        <v>24</v>
      </c>
      <c r="CE11" s="77"/>
      <c r="CF11" s="77"/>
      <c r="CG11" s="78"/>
    </row>
    <row r="12" spans="1:85" x14ac:dyDescent="0.2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8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Bids'!AO891,'Shuttle Bids'!AO839,'Shuttle Bids'!AO787)</f>
        <v>1212.5</v>
      </c>
      <c r="BY12" s="78">
        <f>AVERAGE('Shuttle Bids'!AP891,'Shuttle Bids'!AP839,'Shuttle Bids'!AP787)</f>
        <v>1212.5</v>
      </c>
      <c r="BZ12" s="72">
        <v>18</v>
      </c>
      <c r="CA12" s="77">
        <f>AVERAGE('Shuttle Bids'!AR738,'Shuttle Bids'!AR842,'Shuttle Bids'!AR790)</f>
        <v>500</v>
      </c>
      <c r="CB12" s="77"/>
      <c r="CC12" s="78">
        <f>AVERAGE('Shuttle Bids'!AT738,'Shuttle Bids'!AT842,'Shuttle Bids'!AT790)</f>
        <v>500</v>
      </c>
      <c r="CD12" s="72">
        <v>25</v>
      </c>
      <c r="CE12" s="77"/>
      <c r="CF12" s="77"/>
      <c r="CG12" s="78"/>
    </row>
    <row r="13" spans="1:85" x14ac:dyDescent="0.2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8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Bids'!AN892,'Shuttle Bids'!AN840,'Shuttle Bids'!AN788)</f>
        <v>250</v>
      </c>
      <c r="BX13" s="77">
        <f>AVERAGE('Shuttle Bids'!AO892,'Shuttle Bids'!AO840,'Shuttle Bids'!AO788)</f>
        <v>1226.5</v>
      </c>
      <c r="BY13" s="78">
        <f>AVERAGE('Shuttle Bids'!AP892,'Shuttle Bids'!AP840,'Shuttle Bids'!AP788)</f>
        <v>1170.25</v>
      </c>
      <c r="BZ13" s="72">
        <v>19</v>
      </c>
      <c r="CA13" s="77">
        <f>AVERAGE('Shuttle Bids'!AR739,'Shuttle Bids'!AR843,'Shuttle Bids'!AR791)</f>
        <v>600</v>
      </c>
      <c r="CB13" s="77"/>
      <c r="CC13" s="78">
        <f>AVERAGE('Shuttle Bids'!AT739,'Shuttle Bids'!AT843,'Shuttle Bids'!AT791)</f>
        <v>600</v>
      </c>
      <c r="CD13" s="72">
        <v>26</v>
      </c>
      <c r="CE13" s="77"/>
      <c r="CF13" s="77"/>
      <c r="CG13" s="78"/>
    </row>
    <row r="14" spans="1:85" x14ac:dyDescent="0.2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8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Bids'!AN893,'Shuttle Bids'!AN841,'Shuttle Bids'!AN789)</f>
        <v>200</v>
      </c>
      <c r="BX14" s="77">
        <f>AVERAGE('Shuttle Bids'!AO893,'Shuttle Bids'!AO841,'Shuttle Bids'!AO789)</f>
        <v>1212.5</v>
      </c>
      <c r="BY14" s="78">
        <f>AVERAGE('Shuttle Bids'!AP893,'Shuttle Bids'!AP841,'Shuttle Bids'!AP789)</f>
        <v>1143.75</v>
      </c>
      <c r="BZ14" s="72">
        <v>20</v>
      </c>
      <c r="CA14" s="77">
        <f>AVERAGE('Shuttle Bids'!AR740,'Shuttle Bids'!AR844,'Shuttle Bids'!AR792)</f>
        <v>575</v>
      </c>
      <c r="CB14" s="77"/>
      <c r="CC14" s="78">
        <f>AVERAGE('Shuttle Bids'!AT740,'Shuttle Bids'!AT844,'Shuttle Bids'!AT792)</f>
        <v>575</v>
      </c>
      <c r="CD14" s="72">
        <f>+CD13+1</f>
        <v>27</v>
      </c>
      <c r="CE14" s="77"/>
      <c r="CF14" s="77"/>
      <c r="CG14" s="78"/>
    </row>
    <row r="15" spans="1:85" x14ac:dyDescent="0.2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Bids'!AO894,'Non-shuttle Bids'!AO842,'Non-shuttle Bids'!AO790)</f>
        <v>93</v>
      </c>
      <c r="AH15" s="78">
        <f>AVERAGE('Non-shuttle Bids'!AP894,'Non-shuttle Bids'!AP842,'Non-shuttle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Bids'!AV800,'Non-shuttle Bids'!AV852,'Non-shuttle Bids'!AV748)</f>
        <v>200</v>
      </c>
      <c r="AO15" s="77"/>
      <c r="AP15" s="78">
        <f>AVERAGE('Non-shuttle Bids'!AX800,'Non-shuttle Bids'!AX852,'Non-shuttle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Bids'!AN894,'Shuttle Bids'!AN842,'Shuttle Bids'!AN790)</f>
        <v>500</v>
      </c>
      <c r="BX15" s="77">
        <f>AVERAGE('Shuttle Bids'!AO894,'Shuttle Bids'!AO842,'Shuttle Bids'!AO790)</f>
        <v>500</v>
      </c>
      <c r="BY15" s="78">
        <f>AVERAGE('Shuttle Bids'!AP894,'Shuttle Bids'!AP842,'Shuttle Bids'!AP790)</f>
        <v>500</v>
      </c>
      <c r="BZ15" s="72">
        <v>21</v>
      </c>
      <c r="CA15" s="77">
        <f>AVERAGE('Shuttle Bids'!AR741,'Shuttle Bids'!AR845,'Shuttle Bids'!AR793)</f>
        <v>575</v>
      </c>
      <c r="CB15" s="77"/>
      <c r="CC15" s="78">
        <f>AVERAGE('Shuttle Bids'!AT741,'Shuttle Bids'!AT845,'Shuttle Bids'!AT793)</f>
        <v>575</v>
      </c>
      <c r="CD15" s="72">
        <f t="shared" ref="CD15:CD35" si="2">+CD14+1</f>
        <v>28</v>
      </c>
      <c r="CE15" s="77"/>
      <c r="CF15" s="77"/>
      <c r="CG15" s="78"/>
    </row>
    <row r="16" spans="1:85" x14ac:dyDescent="0.2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Bids'!AO895,'Non-shuttle Bids'!AO843,'Non-shuttle Bids'!AO791)</f>
        <v>93</v>
      </c>
      <c r="AH16" s="78">
        <f>AVERAGE('Non-shuttle Bids'!AP895,'Non-shuttle Bids'!AP843,'Non-shuttle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Bids'!AV801,'Non-shuttle Bids'!AV853,'Non-shuttle Bids'!AV749)</f>
        <v>200</v>
      </c>
      <c r="AO16" s="77"/>
      <c r="AP16" s="78">
        <f>AVERAGE('Non-shuttle Bids'!AX801,'Non-shuttle Bids'!AX853,'Non-shuttle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Bids'!AN895,'Shuttle Bids'!AN843,'Shuttle Bids'!AN791)</f>
        <v>700</v>
      </c>
      <c r="BX16" s="77">
        <f>AVERAGE('Shuttle Bids'!AO895,'Shuttle Bids'!AO843,'Shuttle Bids'!AO791)</f>
        <v>500</v>
      </c>
      <c r="BY16" s="78">
        <f>AVERAGE('Shuttle Bids'!AP895,'Shuttle Bids'!AP843,'Shuttle Bids'!AP791)</f>
        <v>600</v>
      </c>
      <c r="BZ16" s="72">
        <f>+BZ15+1</f>
        <v>22</v>
      </c>
      <c r="CA16" s="77">
        <f>AVERAGE('Shuttle Bids'!AR742,'Shuttle Bids'!AR846,'Shuttle Bids'!AR794)</f>
        <v>600</v>
      </c>
      <c r="CB16" s="77"/>
      <c r="CC16" s="78">
        <f>AVERAGE('Shuttle Bids'!AT742,'Shuttle Bids'!AT846,'Shuttle Bids'!AT794)</f>
        <v>600</v>
      </c>
      <c r="CD16" s="72">
        <f t="shared" si="2"/>
        <v>29</v>
      </c>
      <c r="CE16" s="77">
        <f>AVERAGE('Shuttle Bids'!AV749,'Shuttle Bids'!AV853,'Shuttle Bids'!AV801)</f>
        <v>-112.5</v>
      </c>
      <c r="CF16" s="77">
        <f>AVERAGE('Shuttle Bids'!AW749,'Shuttle Bids'!AW853,'Shuttle Bids'!AW801)</f>
        <v>0</v>
      </c>
      <c r="CG16" s="78">
        <f>AVERAGE('Shuttle Bids'!AX749,'Shuttle Bids'!AX853,'Shuttle Bids'!AX801)</f>
        <v>-106.25</v>
      </c>
    </row>
    <row r="17" spans="1:85" x14ac:dyDescent="0.2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Bids'!AO896,'Non-shuttle Bids'!AO844,'Non-shuttle Bids'!AO792)</f>
        <v>93</v>
      </c>
      <c r="AH17" s="78">
        <f>AVERAGE('Non-shuttle Bids'!AP896,'Non-shuttle Bids'!AP844,'Non-shuttle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Bids'!AV802,'Non-shuttle Bids'!AV854,'Non-shuttle Bids'!AV750)</f>
        <v>200</v>
      </c>
      <c r="AO17" s="77"/>
      <c r="AP17" s="78">
        <f>AVERAGE('Non-shuttle Bids'!AX802,'Non-shuttle Bids'!AX854,'Non-shuttle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Bids'!AO896,'Shuttle Bids'!AO844,'Shuttle Bids'!AO792)</f>
        <v>500</v>
      </c>
      <c r="BY17" s="78">
        <f>AVERAGE('Shuttle Bids'!AP896,'Shuttle Bids'!AP844,'Shuttle Bids'!AP792)</f>
        <v>500</v>
      </c>
      <c r="BZ17" s="72">
        <f t="shared" ref="BZ17:BZ38" si="6">+BZ16+1</f>
        <v>23</v>
      </c>
      <c r="CA17" s="77"/>
      <c r="CB17" s="77"/>
      <c r="CC17" s="78"/>
      <c r="CD17" s="72">
        <f t="shared" si="2"/>
        <v>30</v>
      </c>
      <c r="CE17" s="77"/>
      <c r="CF17" s="77">
        <f>AVERAGE('Shuttle Bids'!AW750,'Shuttle Bids'!AW854,'Shuttle Bids'!AW802)</f>
        <v>0</v>
      </c>
      <c r="CG17" s="78">
        <f>AVERAGE('Shuttle Bids'!AX750,'Shuttle Bids'!AX854,'Shuttle Bids'!AX802)</f>
        <v>0</v>
      </c>
    </row>
    <row r="18" spans="1:85" x14ac:dyDescent="0.2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Bids'!AO897,'Non-shuttle Bids'!AO845,'Non-shuttle Bids'!AO793)</f>
        <v>93</v>
      </c>
      <c r="AH18" s="78">
        <f>AVERAGE('Non-shuttle Bids'!AP897,'Non-shuttle Bids'!AP845,'Non-shuttle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Bids'!AV803,'Non-shuttle Bids'!AV855,'Non-shuttle Bids'!AV751)</f>
        <v>200</v>
      </c>
      <c r="AO18" s="77"/>
      <c r="AP18" s="78">
        <f>AVERAGE('Non-shuttle Bids'!AX803,'Non-shuttle Bids'!AX855,'Non-shuttle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Bids'!AO897,'Shuttle Bids'!AO845,'Shuttle Bids'!AO793)</f>
        <v>500</v>
      </c>
      <c r="BY18" s="78">
        <f>AVERAGE('Shuttle Bids'!AP897,'Shuttle Bids'!AP845,'Shuttle Bids'!AP793)</f>
        <v>500</v>
      </c>
      <c r="BZ18" s="72">
        <f t="shared" si="6"/>
        <v>24</v>
      </c>
      <c r="CA18" s="77"/>
      <c r="CB18" s="77"/>
      <c r="CC18" s="78"/>
      <c r="CD18" s="72">
        <f t="shared" si="2"/>
        <v>31</v>
      </c>
      <c r="CE18" s="77"/>
      <c r="CF18" s="77">
        <f>AVERAGE('Shuttle Bids'!AW751,'Shuttle Bids'!AW855,'Shuttle Bids'!AW803)</f>
        <v>0</v>
      </c>
      <c r="CG18" s="78">
        <f>AVERAGE('Shuttle Bids'!AX751,'Shuttle Bids'!AX855,'Shuttle Bids'!AX803)</f>
        <v>0</v>
      </c>
    </row>
    <row r="19" spans="1:85" x14ac:dyDescent="0.2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Bids'!AO898,'Non-shuttle Bids'!AO846,'Non-shuttle Bids'!AO794)</f>
        <v>100</v>
      </c>
      <c r="AH19" s="78">
        <f>AVERAGE('Non-shuttle Bids'!AP898,'Non-shuttle Bids'!AP846,'Non-shuttle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Bids'!AV804,'Non-shuttle Bids'!AV856,'Non-shuttle Bids'!AV752)</f>
        <v>200</v>
      </c>
      <c r="AO19" s="77"/>
      <c r="AP19" s="78">
        <f>AVERAGE('Non-shuttle Bids'!AX804,'Non-shuttle Bids'!AX856,'Non-shuttle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Bids'!AO898,'Shuttle Bids'!AO846,'Shuttle Bids'!AO794)</f>
        <v>475</v>
      </c>
      <c r="BY19" s="78">
        <f>AVERAGE('Shuttle Bids'!AP898,'Shuttle Bids'!AP846,'Shuttle Bids'!AP794)</f>
        <v>475</v>
      </c>
      <c r="BZ19" s="72">
        <f t="shared" si="6"/>
        <v>25</v>
      </c>
      <c r="CA19" s="77"/>
      <c r="CB19" s="77"/>
      <c r="CC19" s="78"/>
      <c r="CD19" s="72">
        <f t="shared" si="2"/>
        <v>32</v>
      </c>
      <c r="CE19" s="77"/>
      <c r="CF19" s="77">
        <f>AVERAGE('Shuttle Bids'!AW752,'Shuttle Bids'!AW856,'Shuttle Bids'!AW804)</f>
        <v>-100</v>
      </c>
      <c r="CG19" s="78">
        <f>AVERAGE('Shuttle Bids'!AX752,'Shuttle Bids'!AX856,'Shuttle Bids'!AX804)</f>
        <v>-100</v>
      </c>
    </row>
    <row r="20" spans="1:85" x14ac:dyDescent="0.2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Bids'!AO899,'Non-shuttle Bids'!AO847,'Non-shuttle Bids'!AO795)</f>
        <v>100</v>
      </c>
      <c r="AH20" s="78">
        <f>AVERAGE('Non-shuttle Bids'!AP899,'Non-shuttle Bids'!AP847,'Non-shuttle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Bids'!AV805,'Non-shuttle Bids'!AV857,'Non-shuttle Bids'!AV753)</f>
        <v>200</v>
      </c>
      <c r="AO20" s="77"/>
      <c r="AP20" s="78">
        <f>AVERAGE('Non-shuttle Bids'!AX805,'Non-shuttle Bids'!AX857,'Non-shuttle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Bids'!AO899,'Shuttle Bids'!AO847,'Shuttle Bids'!AO795)</f>
        <v>450</v>
      </c>
      <c r="BY20" s="78">
        <f>AVERAGE('Shuttle Bids'!AP899,'Shuttle Bids'!AP847,'Shuttle Bids'!AP795)</f>
        <v>450</v>
      </c>
      <c r="BZ20" s="72">
        <f t="shared" si="6"/>
        <v>26</v>
      </c>
      <c r="CA20" s="77"/>
      <c r="CB20" s="77"/>
      <c r="CC20" s="78"/>
      <c r="CD20" s="72">
        <f t="shared" si="2"/>
        <v>33</v>
      </c>
      <c r="CE20" s="77"/>
      <c r="CF20" s="77">
        <f>AVERAGE('Shuttle Bids'!AW753,'Shuttle Bids'!AW857,'Shuttle Bids'!AW805)</f>
        <v>-100</v>
      </c>
      <c r="CG20" s="78">
        <f>AVERAGE('Shuttle Bids'!AX753,'Shuttle Bids'!AX857,'Shuttle Bids'!AX805)</f>
        <v>-100</v>
      </c>
    </row>
    <row r="21" spans="1:85" x14ac:dyDescent="0.2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Bids'!AO900,'Non-shuttle Bids'!AO848,'Non-shuttle Bids'!AO796)</f>
        <v>138</v>
      </c>
      <c r="AH21" s="78">
        <f>AVERAGE('Non-shuttle Bids'!AP900,'Non-shuttle Bids'!AP848,'Non-shuttle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8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Bids'!AO900,'Shuttle Bids'!AO848,'Shuttle Bids'!AO796)</f>
        <v>887.5</v>
      </c>
      <c r="BY21" s="78">
        <f>AVERAGE('Shuttle Bids'!AP900,'Shuttle Bids'!AP848,'Shuttle Bids'!AP796)</f>
        <v>887.5</v>
      </c>
      <c r="BZ21" s="72">
        <f t="shared" si="6"/>
        <v>27</v>
      </c>
      <c r="CA21" s="77"/>
      <c r="CB21" s="77"/>
      <c r="CC21" s="78"/>
      <c r="CD21" s="72">
        <f t="shared" si="2"/>
        <v>34</v>
      </c>
      <c r="CE21" s="77"/>
      <c r="CF21" s="77">
        <f>AVERAGE('Shuttle Bids'!AW754,'Shuttle Bids'!AW858,'Shuttle Bids'!AW806)</f>
        <v>-125</v>
      </c>
      <c r="CG21" s="78">
        <f>AVERAGE('Shuttle Bids'!AX754,'Shuttle Bids'!AX858,'Shuttle Bids'!AX806)</f>
        <v>-125</v>
      </c>
    </row>
    <row r="22" spans="1:85" x14ac:dyDescent="0.2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Bids'!AO901,'Non-shuttle Bids'!AO849,'Non-shuttle Bids'!AO797)</f>
        <v>100</v>
      </c>
      <c r="AH22" s="78">
        <f>AVERAGE('Non-shuttle Bids'!AP901,'Non-shuttle Bids'!AP849,'Non-shuttle Bids'!AP797)</f>
        <v>100</v>
      </c>
      <c r="AI22" s="72">
        <f t="shared" si="5"/>
        <v>28</v>
      </c>
      <c r="AJ22" s="77">
        <f>AVERAGE('Non-shuttle Bids'!AR800,'Non-shuttle Bids'!AR852,'Non-shuttle Bids'!AR748)</f>
        <v>300</v>
      </c>
      <c r="AK22" s="77"/>
      <c r="AL22" s="78">
        <f>AVERAGE('Non-shuttle Bids'!AT800,'Non-shuttle Bids'!AT852,'Non-shuttle Bids'!AT748)</f>
        <v>300</v>
      </c>
      <c r="AM22" s="72">
        <f t="shared" si="1"/>
        <v>35</v>
      </c>
      <c r="AN22" s="77"/>
      <c r="AO22" s="77"/>
      <c r="AP22" s="78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Bids'!AO901,'Shuttle Bids'!AO849,'Shuttle Bids'!AO797)</f>
        <v>650</v>
      </c>
      <c r="BY22" s="78">
        <f>AVERAGE('Shuttle Bids'!AP901,'Shuttle Bids'!AP849,'Shuttle Bids'!AP797)</f>
        <v>650</v>
      </c>
      <c r="BZ22" s="72">
        <f t="shared" si="6"/>
        <v>28</v>
      </c>
      <c r="CA22" s="77">
        <f>AVERAGE('Shuttle Bids'!AR748,'Shuttle Bids'!AR852,'Shuttle Bids'!AR800)</f>
        <v>450</v>
      </c>
      <c r="CB22" s="77"/>
      <c r="CC22" s="78">
        <f>AVERAGE('Shuttle Bids'!AT748,'Shuttle Bids'!AT852,'Shuttle Bids'!AT800)</f>
        <v>450</v>
      </c>
      <c r="CD22" s="72">
        <f t="shared" si="2"/>
        <v>35</v>
      </c>
      <c r="CE22" s="77"/>
      <c r="CF22" s="77">
        <f>AVERAGE('Shuttle Bids'!AW755,'Shuttle Bids'!AW859,'Shuttle Bids'!AW807)</f>
        <v>-125</v>
      </c>
      <c r="CG22" s="78">
        <f>AVERAGE('Shuttle Bids'!AX755,'Shuttle Bids'!AX859,'Shuttle Bids'!AX807)</f>
        <v>-125</v>
      </c>
    </row>
    <row r="23" spans="1:85" x14ac:dyDescent="0.2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Bids'!AO902,'Non-shuttle Bids'!AO850,'Non-shuttle Bids'!AO798)</f>
        <v>100</v>
      </c>
      <c r="AH23" s="78">
        <f>AVERAGE('Non-shuttle Bids'!AP902,'Non-shuttle Bids'!AP850,'Non-shuttle Bids'!AP798)</f>
        <v>100</v>
      </c>
      <c r="AI23" s="72">
        <f t="shared" si="5"/>
        <v>29</v>
      </c>
      <c r="AJ23" s="77">
        <f>AVERAGE('Non-shuttle Bids'!AR801,'Non-shuttle Bids'!AR853,'Non-shuttle Bids'!AR749)</f>
        <v>300</v>
      </c>
      <c r="AK23" s="77"/>
      <c r="AL23" s="78">
        <f>AVERAGE('Non-shuttle Bids'!AT801,'Non-shuttle Bids'!AT853,'Non-shuttle Bids'!AT749)</f>
        <v>300</v>
      </c>
      <c r="AM23" s="72">
        <f t="shared" si="1"/>
        <v>36</v>
      </c>
      <c r="AN23" s="77"/>
      <c r="AO23" s="77"/>
      <c r="AP23" s="78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Bids'!AO902,'Shuttle Bids'!AO850,'Shuttle Bids'!AO798)</f>
        <v>644</v>
      </c>
      <c r="BY23" s="78">
        <f>AVERAGE('Shuttle Bids'!AP902,'Shuttle Bids'!AP850,'Shuttle Bids'!AP798)</f>
        <v>644</v>
      </c>
      <c r="BZ23" s="72">
        <f t="shared" si="6"/>
        <v>29</v>
      </c>
      <c r="CA23" s="77">
        <f>AVERAGE('Shuttle Bids'!AR749,'Shuttle Bids'!AR853,'Shuttle Bids'!AR801)</f>
        <v>325</v>
      </c>
      <c r="CB23" s="77">
        <f>AVERAGE('Shuttle Bids'!AS749,'Shuttle Bids'!AS853,'Shuttle Bids'!AS801)</f>
        <v>263</v>
      </c>
      <c r="CC23" s="78">
        <f>AVERAGE('Shuttle Bids'!AT749,'Shuttle Bids'!AT853,'Shuttle Bids'!AT801)</f>
        <v>290.75</v>
      </c>
      <c r="CD23" s="72">
        <f t="shared" si="2"/>
        <v>36</v>
      </c>
      <c r="CE23" s="77"/>
      <c r="CF23" s="77">
        <f>AVERAGE('Shuttle Bids'!AW756,'Shuttle Bids'!AW860,'Shuttle Bids'!AW808)</f>
        <v>-150</v>
      </c>
      <c r="CG23" s="78">
        <f>AVERAGE('Shuttle Bids'!AX756,'Shuttle Bids'!AX860,'Shuttle Bids'!AX808)</f>
        <v>-150</v>
      </c>
    </row>
    <row r="24" spans="1:85" x14ac:dyDescent="0.2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Bids'!AO903,'Non-shuttle Bids'!AO851,'Non-shuttle Bids'!AO799)</f>
        <v>100</v>
      </c>
      <c r="AH24" s="78">
        <f>AVERAGE('Non-shuttle Bids'!AP903,'Non-shuttle Bids'!AP851,'Non-shuttle Bids'!AP799)</f>
        <v>100</v>
      </c>
      <c r="AI24" s="72">
        <f t="shared" si="5"/>
        <v>30</v>
      </c>
      <c r="AJ24" s="77">
        <f>AVERAGE('Non-shuttle Bids'!AR802,'Non-shuttle Bids'!AR854,'Non-shuttle Bids'!AR750)</f>
        <v>300</v>
      </c>
      <c r="AK24" s="77"/>
      <c r="AL24" s="78">
        <f>AVERAGE('Non-shuttle Bids'!AT802,'Non-shuttle Bids'!AT854,'Non-shuttle Bids'!AT750)</f>
        <v>300</v>
      </c>
      <c r="AM24" s="72">
        <f t="shared" si="1"/>
        <v>37</v>
      </c>
      <c r="AN24" s="77"/>
      <c r="AO24" s="77"/>
      <c r="AP24" s="78"/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Bids'!AN903,'Shuttle Bids'!AN851,'Shuttle Bids'!AN799)</f>
        <v>100</v>
      </c>
      <c r="BX24" s="77">
        <f>AVERAGE('Shuttle Bids'!AO903,'Shuttle Bids'!AO851,'Shuttle Bids'!AO799)</f>
        <v>700</v>
      </c>
      <c r="BY24" s="78">
        <f>AVERAGE('Shuttle Bids'!AP903,'Shuttle Bids'!AP851,'Shuttle Bids'!AP799)</f>
        <v>666.66666666666663</v>
      </c>
      <c r="BZ24" s="72">
        <f t="shared" si="6"/>
        <v>30</v>
      </c>
      <c r="CA24" s="77">
        <f>AVERAGE('Shuttle Bids'!AR750,'Shuttle Bids'!AR854,'Shuttle Bids'!AR802)</f>
        <v>400</v>
      </c>
      <c r="CB24" s="77">
        <f>AVERAGE('Shuttle Bids'!AS750,'Shuttle Bids'!AS854,'Shuttle Bids'!AS802)</f>
        <v>250</v>
      </c>
      <c r="CC24" s="78">
        <f>AVERAGE('Shuttle Bids'!AT750,'Shuttle Bids'!AT854,'Shuttle Bids'!AT802)</f>
        <v>325</v>
      </c>
      <c r="CD24" s="72">
        <f t="shared" si="2"/>
        <v>37</v>
      </c>
      <c r="CE24" s="77"/>
      <c r="CF24" s="77">
        <f>AVERAGE('Shuttle Bids'!AW757,'Shuttle Bids'!AW861,'Shuttle Bids'!AW809)</f>
        <v>-50</v>
      </c>
      <c r="CG24" s="78">
        <f>AVERAGE('Shuttle Bids'!AX757,'Shuttle Bids'!AX861,'Shuttle Bids'!AX809)</f>
        <v>-50</v>
      </c>
    </row>
    <row r="25" spans="1:85" x14ac:dyDescent="0.2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/>
      <c r="AG25" s="77">
        <f>AVERAGE('Non-shuttle Bids'!AO904,'Non-shuttle Bids'!AO852,'Non-shuttle Bids'!AO800)</f>
        <v>100</v>
      </c>
      <c r="AH25" s="78">
        <f>AVERAGE('Non-shuttle Bids'!AP904,'Non-shuttle Bids'!AP852,'Non-shuttle Bids'!AP800)</f>
        <v>100</v>
      </c>
      <c r="AI25" s="72">
        <f t="shared" si="5"/>
        <v>31</v>
      </c>
      <c r="AJ25" s="77">
        <f>AVERAGE('Non-shuttle Bids'!AR803,'Non-shuttle Bids'!AR855,'Non-shuttle Bids'!AR751)</f>
        <v>300</v>
      </c>
      <c r="AK25" s="77"/>
      <c r="AL25" s="78">
        <f>AVERAGE('Non-shuttle Bids'!AT803,'Non-shuttle Bids'!AT855,'Non-shuttle Bids'!AT751)</f>
        <v>300</v>
      </c>
      <c r="AM25" s="72">
        <f t="shared" si="1"/>
        <v>38</v>
      </c>
      <c r="AN25" s="77"/>
      <c r="AO25" s="77"/>
      <c r="AP25" s="78"/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Bids'!AO904,'Shuttle Bids'!AO852,'Shuttle Bids'!AO800)</f>
        <v>375</v>
      </c>
      <c r="BY25" s="78">
        <f>AVERAGE('Shuttle Bids'!AP904,'Shuttle Bids'!AP852,'Shuttle Bids'!AP800)</f>
        <v>375</v>
      </c>
      <c r="BZ25" s="72">
        <f t="shared" si="6"/>
        <v>31</v>
      </c>
      <c r="CA25" s="77"/>
      <c r="CB25" s="77"/>
      <c r="CC25" s="78"/>
      <c r="CD25" s="72">
        <f t="shared" si="2"/>
        <v>38</v>
      </c>
      <c r="CE25" s="77">
        <f>AVERAGE('Shuttle Bids'!AV758,'Shuttle Bids'!AV862,'Shuttle Bids'!AV810)</f>
        <v>-138</v>
      </c>
      <c r="CF25" s="77">
        <f>AVERAGE('Shuttle Bids'!AW758,'Shuttle Bids'!AW862,'Shuttle Bids'!AW810)</f>
        <v>-50</v>
      </c>
      <c r="CG25" s="78">
        <f>AVERAGE('Shuttle Bids'!AX758,'Shuttle Bids'!AX862,'Shuttle Bids'!AX810)</f>
        <v>-81.333333333333329</v>
      </c>
    </row>
    <row r="26" spans="1:85" x14ac:dyDescent="0.2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/>
      <c r="AG26" s="77">
        <f>AVERAGE('Non-shuttle Bids'!AO905,'Non-shuttle Bids'!AO853,'Non-shuttle Bids'!AO801)</f>
        <v>100</v>
      </c>
      <c r="AH26" s="78">
        <f>AVERAGE('Non-shuttle Bids'!AP905,'Non-shuttle Bids'!AP853,'Non-shuttle Bids'!AP801)</f>
        <v>100</v>
      </c>
      <c r="AI26" s="72">
        <f t="shared" si="5"/>
        <v>32</v>
      </c>
      <c r="AJ26" s="77">
        <f>AVERAGE('Non-shuttle Bids'!AR804,'Non-shuttle Bids'!AR856,'Non-shuttle Bids'!AR752)</f>
        <v>300</v>
      </c>
      <c r="AK26" s="77"/>
      <c r="AL26" s="78">
        <f>AVERAGE('Non-shuttle Bids'!AT804,'Non-shuttle Bids'!AT856,'Non-shuttle Bids'!AT752)</f>
        <v>300</v>
      </c>
      <c r="AM26" s="72">
        <f t="shared" si="1"/>
        <v>39</v>
      </c>
      <c r="AN26" s="77"/>
      <c r="AO26" s="77"/>
      <c r="AP26" s="78"/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Bids'!AN905,'Shuttle Bids'!AN853,'Shuttle Bids'!AN801)</f>
        <v>1900</v>
      </c>
      <c r="BX26" s="77">
        <f>AVERAGE('Shuttle Bids'!AO905,'Shuttle Bids'!AO853,'Shuttle Bids'!AO801)</f>
        <v>1129.3333333333333</v>
      </c>
      <c r="BY26" s="78">
        <f>AVERAGE('Shuttle Bids'!AP905,'Shuttle Bids'!AP853,'Shuttle Bids'!AP801)</f>
        <v>1218.8333333333333</v>
      </c>
      <c r="BZ26" s="72">
        <f t="shared" si="6"/>
        <v>32</v>
      </c>
      <c r="CA26" s="77"/>
      <c r="CB26" s="77">
        <f>AVERAGE('Shuttle Bids'!AS752,'Shuttle Bids'!AS856,'Shuttle Bids'!AS804)</f>
        <v>250</v>
      </c>
      <c r="CC26" s="78">
        <f>AVERAGE('Shuttle Bids'!AT752,'Shuttle Bids'!AT856,'Shuttle Bids'!AT804)</f>
        <v>250</v>
      </c>
      <c r="CD26" s="72">
        <f t="shared" si="2"/>
        <v>39</v>
      </c>
      <c r="CE26" s="77">
        <f>AVERAGE('Shuttle Bids'!AV759,'Shuttle Bids'!AV863,'Shuttle Bids'!AV811)</f>
        <v>-200</v>
      </c>
      <c r="CF26" s="77">
        <f>AVERAGE('Shuttle Bids'!AW759,'Shuttle Bids'!AW863,'Shuttle Bids'!AW811)</f>
        <v>-104.33333333333333</v>
      </c>
      <c r="CG26" s="78">
        <f>AVERAGE('Shuttle Bids'!AX759,'Shuttle Bids'!AX863,'Shuttle Bids'!AX811)</f>
        <v>-129.33333333333334</v>
      </c>
    </row>
    <row r="27" spans="1:85" x14ac:dyDescent="0.2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/>
      <c r="AG27" s="77">
        <f>AVERAGE('Non-shuttle Bids'!AO906,'Non-shuttle Bids'!AO854,'Non-shuttle Bids'!AO802)</f>
        <v>100</v>
      </c>
      <c r="AH27" s="78">
        <f>AVERAGE('Non-shuttle Bids'!AP906,'Non-shuttle Bids'!AP854,'Non-shuttle Bids'!AP802)</f>
        <v>100</v>
      </c>
      <c r="AI27" s="72">
        <f t="shared" si="5"/>
        <v>33</v>
      </c>
      <c r="AJ27" s="77">
        <f>AVERAGE('Non-shuttle Bids'!AR805,'Non-shuttle Bids'!AR857,'Non-shuttle Bids'!AR753)</f>
        <v>300</v>
      </c>
      <c r="AK27" s="77"/>
      <c r="AL27" s="78">
        <f>AVERAGE('Non-shuttle Bids'!AT805,'Non-shuttle Bids'!AT857,'Non-shuttle Bids'!AT753)</f>
        <v>300</v>
      </c>
      <c r="AM27" s="72">
        <f t="shared" si="1"/>
        <v>40</v>
      </c>
      <c r="AN27" s="77">
        <f>AVERAGE('Non-shuttle Bids'!AV812,'Non-shuttle Bids'!AV864,'Non-shuttle Bids'!AV760)</f>
        <v>0</v>
      </c>
      <c r="AO27" s="77"/>
      <c r="AP27" s="78">
        <f>AVERAGE('Non-shuttle Bids'!AX812,'Non-shuttle Bids'!AX864,'Non-shuttle Bids'!AX760)</f>
        <v>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Bids'!AN906,'Shuttle Bids'!AN854,'Shuttle Bids'!AN802)</f>
        <v>2037.5</v>
      </c>
      <c r="BX27" s="77">
        <f>AVERAGE('Shuttle Bids'!AO906,'Shuttle Bids'!AO854,'Shuttle Bids'!AO802)</f>
        <v>1175</v>
      </c>
      <c r="BY27" s="78">
        <f>AVERAGE('Shuttle Bids'!AP906,'Shuttle Bids'!AP854,'Shuttle Bids'!AP802)</f>
        <v>1287.5</v>
      </c>
      <c r="BZ27" s="72">
        <f t="shared" si="6"/>
        <v>33</v>
      </c>
      <c r="CA27" s="77"/>
      <c r="CB27" s="77">
        <f>AVERAGE('Shuttle Bids'!AS753,'Shuttle Bids'!AS857,'Shuttle Bids'!AS805)</f>
        <v>250</v>
      </c>
      <c r="CC27" s="78">
        <f>AVERAGE('Shuttle Bids'!AT753,'Shuttle Bids'!AT857,'Shuttle Bids'!AT805)</f>
        <v>250</v>
      </c>
      <c r="CD27" s="72">
        <f t="shared" si="2"/>
        <v>40</v>
      </c>
      <c r="CE27" s="77">
        <f>AVERAGE('Shuttle Bids'!AV760,'Shuttle Bids'!AV864,'Shuttle Bids'!AV812)</f>
        <v>-112.5</v>
      </c>
      <c r="CF27" s="77">
        <f>AVERAGE('Shuttle Bids'!AW760,'Shuttle Bids'!AW864,'Shuttle Bids'!AW812)</f>
        <v>-112.66666666666667</v>
      </c>
      <c r="CG27" s="78">
        <f>AVERAGE('Shuttle Bids'!AX760,'Shuttle Bids'!AX864,'Shuttle Bids'!AX812)</f>
        <v>-123</v>
      </c>
    </row>
    <row r="28" spans="1:85" x14ac:dyDescent="0.2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/>
      <c r="AG28" s="77">
        <f>AVERAGE('Non-shuttle Bids'!AO907,'Non-shuttle Bids'!AO855,'Non-shuttle Bids'!AO803)</f>
        <v>100</v>
      </c>
      <c r="AH28" s="78">
        <f>AVERAGE('Non-shuttle Bids'!AP907,'Non-shuttle Bids'!AP855,'Non-shuttle Bids'!AP803)</f>
        <v>100</v>
      </c>
      <c r="AI28" s="72">
        <f t="shared" si="5"/>
        <v>34</v>
      </c>
      <c r="AJ28" s="77"/>
      <c r="AK28" s="77"/>
      <c r="AL28" s="78"/>
      <c r="AM28" s="72">
        <f t="shared" si="1"/>
        <v>41</v>
      </c>
      <c r="AN28" s="77">
        <f>AVERAGE('Non-shuttle Bids'!AV813,'Non-shuttle Bids'!AV865,'Non-shuttle Bids'!AV761)</f>
        <v>0</v>
      </c>
      <c r="AO28" s="77"/>
      <c r="AP28" s="78">
        <f>AVERAGE('Non-shuttle Bids'!AX813,'Non-shuttle Bids'!AX865,'Non-shuttle Bids'!AX761)</f>
        <v>0</v>
      </c>
      <c r="AR28" s="12">
        <v>40</v>
      </c>
      <c r="AS28" s="100">
        <f>AVERAGE('Shuttle Bids'!D865,'Shuttle Bids'!D761,'Shuttle Bids'!D813)</f>
        <v>-50</v>
      </c>
      <c r="AT28" s="100"/>
      <c r="AU28" s="78">
        <f>AVERAGE('Shuttle Bids'!F865,'Shuttle Bids'!F761,'Shuttle Bids'!F813)</f>
        <v>-50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>
        <f>AVERAGE('Shuttle Bids'!AN907,'Shuttle Bids'!AN855,'Shuttle Bids'!AN803)</f>
        <v>3500</v>
      </c>
      <c r="BX28" s="77">
        <f>AVERAGE('Shuttle Bids'!AO907,'Shuttle Bids'!AO855,'Shuttle Bids'!AO803)</f>
        <v>1075</v>
      </c>
      <c r="BY28" s="78">
        <f>AVERAGE('Shuttle Bids'!AP907,'Shuttle Bids'!AP855,'Shuttle Bids'!AP803)</f>
        <v>1241.6666666666667</v>
      </c>
      <c r="BZ28" s="72">
        <f t="shared" si="6"/>
        <v>34</v>
      </c>
      <c r="CA28" s="77">
        <f>AVERAGE('Shuttle Bids'!AR754,'Shuttle Bids'!AR858,'Shuttle Bids'!AR806)</f>
        <v>275</v>
      </c>
      <c r="CB28" s="77">
        <f>AVERAGE('Shuttle Bids'!AS754,'Shuttle Bids'!AS858,'Shuttle Bids'!AS806)</f>
        <v>250</v>
      </c>
      <c r="CC28" s="78">
        <f>AVERAGE('Shuttle Bids'!AT754,'Shuttle Bids'!AT858,'Shuttle Bids'!AT806)</f>
        <v>287.5</v>
      </c>
      <c r="CD28" s="72">
        <f t="shared" si="2"/>
        <v>41</v>
      </c>
      <c r="CE28" s="77">
        <f>AVERAGE('Shuttle Bids'!AV761,'Shuttle Bids'!AV865,'Shuttle Bids'!AV813)</f>
        <v>-158.33333333333334</v>
      </c>
      <c r="CF28" s="77">
        <f>AVERAGE('Shuttle Bids'!AW761,'Shuttle Bids'!AW865,'Shuttle Bids'!AW813)</f>
        <v>-108.33333333333333</v>
      </c>
      <c r="CG28" s="78">
        <f>AVERAGE('Shuttle Bids'!AX761,'Shuttle Bids'!AX865,'Shuttle Bids'!AX813)</f>
        <v>-133.33333333333334</v>
      </c>
    </row>
    <row r="29" spans="1:85" x14ac:dyDescent="0.2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Bids'!AN908,'Non-shuttle Bids'!AN856,'Non-shuttle Bids'!AN804)</f>
        <v>-50</v>
      </c>
      <c r="AG29" s="77">
        <f>AVERAGE('Non-shuttle Bids'!AO908,'Non-shuttle Bids'!AO856,'Non-shuttle Bids'!AO804)</f>
        <v>100</v>
      </c>
      <c r="AH29" s="78">
        <f>AVERAGE('Non-shuttle Bids'!AP908,'Non-shuttle Bids'!AP856,'Non-shuttle Bids'!AP804)</f>
        <v>25</v>
      </c>
      <c r="AI29" s="72">
        <f t="shared" si="5"/>
        <v>35</v>
      </c>
      <c r="AJ29" s="77"/>
      <c r="AK29" s="77"/>
      <c r="AL29" s="78"/>
      <c r="AM29" s="72">
        <f t="shared" si="1"/>
        <v>42</v>
      </c>
      <c r="AN29" s="77">
        <f>AVERAGE('Non-shuttle Bids'!AV814,'Non-shuttle Bids'!AV866,'Non-shuttle Bids'!AV762)</f>
        <v>96</v>
      </c>
      <c r="AO29" s="77">
        <f>AVERAGE('Non-shuttle Bids'!AW814,'Non-shuttle Bids'!AW866,'Non-shuttle Bids'!AW762)</f>
        <v>-33</v>
      </c>
      <c r="AP29" s="78">
        <f>AVERAGE('Non-shuttle Bids'!AX814,'Non-shuttle Bids'!AX866,'Non-shuttle Bids'!AX762)</f>
        <v>90.5</v>
      </c>
      <c r="AR29" s="12">
        <v>41</v>
      </c>
      <c r="AS29" s="100"/>
      <c r="AT29" s="100"/>
      <c r="AU29" s="78"/>
      <c r="AV29" s="100">
        <f>AVERAGE('Shuttle Bids'!H865,'Shuttle Bids'!H761,'Shuttle Bids'!H813)</f>
        <v>-50</v>
      </c>
      <c r="AW29" s="100"/>
      <c r="AX29" s="78">
        <f>AVERAGE('Shuttle Bids'!J865,'Shuttle Bids'!J761,'Shuttle Bids'!J813)</f>
        <v>-50</v>
      </c>
      <c r="AY29" s="100"/>
      <c r="AZ29" s="100"/>
      <c r="BA29" s="78"/>
      <c r="BB29" s="12">
        <v>41</v>
      </c>
      <c r="BC29" s="100">
        <f>AVERAGE('Shuttle Bids'!P866,'Shuttle Bids'!P762,'Shuttle Bids'!P814)</f>
        <v>-400</v>
      </c>
      <c r="BD29" s="100"/>
      <c r="BE29" s="78">
        <f>AVERAGE('Shuttle Bids'!R866,'Shuttle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Bids'!AN908,'Shuttle Bids'!AN856,'Shuttle Bids'!AN804)</f>
        <v>-112</v>
      </c>
      <c r="BX29" s="77">
        <f>AVERAGE('Shuttle Bids'!AO908,'Shuttle Bids'!AO856,'Shuttle Bids'!AO804)</f>
        <v>1262.6666666666667</v>
      </c>
      <c r="BY29" s="78">
        <f>AVERAGE('Shuttle Bids'!AP908,'Shuttle Bids'!AP856,'Shuttle Bids'!AP804)</f>
        <v>1196</v>
      </c>
      <c r="BZ29" s="72">
        <f t="shared" si="6"/>
        <v>35</v>
      </c>
      <c r="CA29" s="77">
        <f>AVERAGE('Shuttle Bids'!AR755,'Shuttle Bids'!AR859,'Shuttle Bids'!AR807)</f>
        <v>400</v>
      </c>
      <c r="CB29" s="77">
        <f>AVERAGE('Shuttle Bids'!AS755,'Shuttle Bids'!AS859,'Shuttle Bids'!AS807)</f>
        <v>250</v>
      </c>
      <c r="CC29" s="78">
        <f>AVERAGE('Shuttle Bids'!AT755,'Shuttle Bids'!AT859,'Shuttle Bids'!AT807)</f>
        <v>325</v>
      </c>
      <c r="CD29" s="72">
        <f t="shared" si="2"/>
        <v>42</v>
      </c>
      <c r="CE29" s="77">
        <f>AVERAGE('Shuttle Bids'!AV762,'Shuttle Bids'!AV866,'Shuttle Bids'!AV814)</f>
        <v>-56</v>
      </c>
      <c r="CF29" s="77">
        <f>AVERAGE('Shuttle Bids'!AW762,'Shuttle Bids'!AW866,'Shuttle Bids'!AW814)</f>
        <v>-150</v>
      </c>
      <c r="CG29" s="78">
        <f>AVERAGE('Shuttle Bids'!AX762,'Shuttle Bids'!AX866,'Shuttle Bids'!AX814)</f>
        <v>-127</v>
      </c>
    </row>
    <row r="30" spans="1:85" x14ac:dyDescent="0.2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Bids'!AN909,'Non-shuttle Bids'!AN857,'Non-shuttle Bids'!AN805)</f>
        <v>-50</v>
      </c>
      <c r="AG30" s="77"/>
      <c r="AH30" s="78">
        <f>AVERAGE('Non-shuttle Bids'!AP909,'Non-shuttle Bids'!AP857,'Non-shuttle Bids'!AP805)</f>
        <v>-50</v>
      </c>
      <c r="AI30" s="72">
        <f t="shared" si="5"/>
        <v>36</v>
      </c>
      <c r="AJ30" s="77"/>
      <c r="AK30" s="77"/>
      <c r="AL30" s="78"/>
      <c r="AM30" s="72">
        <f t="shared" si="1"/>
        <v>43</v>
      </c>
      <c r="AN30" s="77">
        <f>AVERAGE('Non-shuttle Bids'!AV815,'Non-shuttle Bids'!AV867,'Non-shuttle Bids'!AV763)</f>
        <v>114</v>
      </c>
      <c r="AO30" s="77">
        <f>AVERAGE('Non-shuttle Bids'!AW815,'Non-shuttle Bids'!AW867,'Non-shuttle Bids'!AW763)</f>
        <v>-33</v>
      </c>
      <c r="AP30" s="78">
        <f>AVERAGE('Non-shuttle Bids'!AX815,'Non-shuttle Bids'!AX867,'Non-shuttle Bids'!AX763)</f>
        <v>108.5</v>
      </c>
      <c r="AR30" s="12">
        <v>42</v>
      </c>
      <c r="AS30" s="100"/>
      <c r="AT30" s="100"/>
      <c r="AU30" s="78"/>
      <c r="AV30" s="100"/>
      <c r="AW30" s="100"/>
      <c r="AX30" s="78"/>
      <c r="AY30" s="100"/>
      <c r="AZ30" s="100"/>
      <c r="BA30" s="78"/>
      <c r="BB30" s="12">
        <v>42</v>
      </c>
      <c r="BC30" s="100"/>
      <c r="BD30" s="100"/>
      <c r="BE30" s="78"/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Bids'!AN909,'Shuttle Bids'!AN857,'Shuttle Bids'!AN805)</f>
        <v>5500</v>
      </c>
      <c r="BX30" s="77">
        <f>AVERAGE('Shuttle Bids'!AO909,'Shuttle Bids'!AO857,'Shuttle Bids'!AO805)</f>
        <v>1166.6666666666667</v>
      </c>
      <c r="BY30" s="78">
        <f>AVERAGE('Shuttle Bids'!AP909,'Shuttle Bids'!AP857,'Shuttle Bids'!AP805)</f>
        <v>1600</v>
      </c>
      <c r="BZ30" s="72">
        <f t="shared" si="6"/>
        <v>36</v>
      </c>
      <c r="CA30" s="77">
        <f>AVERAGE('Shuttle Bids'!AR756,'Shuttle Bids'!AR860,'Shuttle Bids'!AR808)</f>
        <v>350</v>
      </c>
      <c r="CB30" s="77">
        <f>AVERAGE('Shuttle Bids'!AS756,'Shuttle Bids'!AS860,'Shuttle Bids'!AS808)</f>
        <v>200</v>
      </c>
      <c r="CC30" s="78">
        <f>AVERAGE('Shuttle Bids'!AT756,'Shuttle Bids'!AT860,'Shuttle Bids'!AT808)</f>
        <v>350</v>
      </c>
      <c r="CD30" s="72">
        <f t="shared" si="2"/>
        <v>43</v>
      </c>
      <c r="CE30" s="77">
        <f>AVERAGE('Shuttle Bids'!AV763,'Shuttle Bids'!AV867,'Shuttle Bids'!AV815)</f>
        <v>-325</v>
      </c>
      <c r="CF30" s="77">
        <f>AVERAGE('Shuttle Bids'!AW763,'Shuttle Bids'!AW867,'Shuttle Bids'!AW815)</f>
        <v>-125</v>
      </c>
      <c r="CG30" s="78">
        <f>AVERAGE('Shuttle Bids'!AX763,'Shuttle Bids'!AX867,'Shuttle Bids'!AX815)</f>
        <v>-145.83333333333334</v>
      </c>
    </row>
    <row r="31" spans="1:85" x14ac:dyDescent="0.2">
      <c r="A31" s="12">
        <f>+'Non-shuttle Bids'!A137</f>
        <v>43</v>
      </c>
      <c r="B31" s="85">
        <f>AVERAGE('Non-shuttle Bids'!D868,'Non-shuttle Bids'!D764,'Non-shuttle Bids'!D816)</f>
        <v>6.5</v>
      </c>
      <c r="C31" s="85"/>
      <c r="D31" s="83">
        <f>AVERAGE('Non-shuttle Bids'!F868,'Non-shuttle Bids'!F764,'Non-shuttle Bids'!F816)</f>
        <v>6.5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Bids'!AN910,'Non-shuttle Bids'!AN858,'Non-shuttle Bids'!AN806)</f>
        <v>-50</v>
      </c>
      <c r="AG31" s="77"/>
      <c r="AH31" s="78">
        <f>AVERAGE('Non-shuttle Bids'!AP910,'Non-shuttle Bids'!AP858,'Non-shuttle Bids'!AP806)</f>
        <v>-50</v>
      </c>
      <c r="AI31" s="72">
        <f t="shared" si="5"/>
        <v>37</v>
      </c>
      <c r="AJ31" s="77"/>
      <c r="AK31" s="77"/>
      <c r="AL31" s="78"/>
      <c r="AM31" s="72">
        <f t="shared" si="1"/>
        <v>44</v>
      </c>
      <c r="AN31" s="77">
        <f>AVERAGE('Non-shuttle Bids'!AV816,'Non-shuttle Bids'!AV868,'Non-shuttle Bids'!AV764)</f>
        <v>83.333333333333329</v>
      </c>
      <c r="AO31" s="77">
        <f>AVERAGE('Non-shuttle Bids'!AW816,'Non-shuttle Bids'!AW868,'Non-shuttle Bids'!AW764)</f>
        <v>-33</v>
      </c>
      <c r="AP31" s="78">
        <f>AVERAGE('Non-shuttle Bids'!AX816,'Non-shuttle Bids'!AX868,'Non-shuttle Bids'!AX764)</f>
        <v>77.833333333333329</v>
      </c>
      <c r="AR31" s="12">
        <v>43</v>
      </c>
      <c r="AS31" s="100">
        <f>AVERAGE('Shuttle Bids'!D868,'Shuttle Bids'!D764,'Shuttle Bids'!D816)</f>
        <v>200</v>
      </c>
      <c r="AT31" s="100">
        <f>AVERAGE('Shuttle Bids'!E868,'Shuttle Bids'!E764,'Shuttle Bids'!E816)</f>
        <v>100</v>
      </c>
      <c r="AU31" s="78">
        <f>AVERAGE('Shuttle Bids'!F868,'Shuttle Bids'!F764,'Shuttle Bids'!F816)</f>
        <v>150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/>
      <c r="BG31" s="100"/>
      <c r="BH31" s="78"/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Bids'!AN910,'Shuttle Bids'!AN858,'Shuttle Bids'!AN806)</f>
        <v>2125</v>
      </c>
      <c r="BX31" s="77">
        <f>AVERAGE('Shuttle Bids'!AO910,'Shuttle Bids'!AO858,'Shuttle Bids'!AO806)</f>
        <v>1300</v>
      </c>
      <c r="BY31" s="78">
        <f>AVERAGE('Shuttle Bids'!AP910,'Shuttle Bids'!AP858,'Shuttle Bids'!AP806)</f>
        <v>1408.3333333333333</v>
      </c>
      <c r="BZ31" s="72">
        <f t="shared" si="6"/>
        <v>37</v>
      </c>
      <c r="CA31" s="77"/>
      <c r="CB31" s="77">
        <f>AVERAGE('Shuttle Bids'!AS757,'Shuttle Bids'!AS861,'Shuttle Bids'!AS809)</f>
        <v>175</v>
      </c>
      <c r="CC31" s="78">
        <f>AVERAGE('Shuttle Bids'!AT757,'Shuttle Bids'!AT861,'Shuttle Bids'!AT809)</f>
        <v>175</v>
      </c>
      <c r="CD31" s="72">
        <f t="shared" si="2"/>
        <v>44</v>
      </c>
      <c r="CE31" s="77">
        <f>AVERAGE('Shuttle Bids'!AV764,'Shuttle Bids'!AV868,'Shuttle Bids'!AV816)</f>
        <v>87.5</v>
      </c>
      <c r="CF31" s="77">
        <f>AVERAGE('Shuttle Bids'!AW764,'Shuttle Bids'!AW868,'Shuttle Bids'!AW816)</f>
        <v>-150</v>
      </c>
      <c r="CG31" s="78">
        <f>AVERAGE('Shuttle Bids'!AX764,'Shuttle Bids'!AX868,'Shuttle Bids'!AX816)</f>
        <v>-100</v>
      </c>
    </row>
    <row r="32" spans="1:85" x14ac:dyDescent="0.2">
      <c r="A32" s="12">
        <f>+'Non-shuttle Bids'!A138</f>
        <v>44</v>
      </c>
      <c r="B32" s="85">
        <f>AVERAGE('Non-shuttle Bids'!D869,'Non-shuttle Bids'!D765,'Non-shuttle Bids'!D817)</f>
        <v>62.5</v>
      </c>
      <c r="C32" s="85"/>
      <c r="D32" s="83">
        <f>AVERAGE('Non-shuttle Bids'!F869,'Non-shuttle Bids'!F765,'Non-shuttle Bids'!F817)</f>
        <v>62.5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Bids'!AN911,'Non-shuttle Bids'!AN859,'Non-shuttle Bids'!AN807)</f>
        <v>25</v>
      </c>
      <c r="AG32" s="77"/>
      <c r="AH32" s="78">
        <f>AVERAGE('Non-shuttle Bids'!AP911,'Non-shuttle Bids'!AP859,'Non-shuttle Bids'!AP807)</f>
        <v>25</v>
      </c>
      <c r="AI32" s="72">
        <f t="shared" si="5"/>
        <v>38</v>
      </c>
      <c r="AJ32" s="77">
        <f>AVERAGE('Non-shuttle Bids'!AR810,'Non-shuttle Bids'!AR862,'Non-shuttle Bids'!AR758)</f>
        <v>100</v>
      </c>
      <c r="AK32" s="77"/>
      <c r="AL32" s="78">
        <f>AVERAGE('Non-shuttle Bids'!AT810,'Non-shuttle Bids'!AT862,'Non-shuttle Bids'!AT758)</f>
        <v>100</v>
      </c>
      <c r="AM32" s="72">
        <f t="shared" si="1"/>
        <v>45</v>
      </c>
      <c r="AN32" s="77">
        <f>AVERAGE('Non-shuttle Bids'!AV817,'Non-shuttle Bids'!AV869,'Non-shuttle Bids'!AV765)</f>
        <v>391.66666666666669</v>
      </c>
      <c r="AO32" s="77">
        <f>AVERAGE('Non-shuttle Bids'!AW817,'Non-shuttle Bids'!AW869,'Non-shuttle Bids'!AW765)</f>
        <v>-75</v>
      </c>
      <c r="AP32" s="78">
        <f>AVERAGE('Non-shuttle Bids'!AX817,'Non-shuttle Bids'!AX869,'Non-shuttle Bids'!AX765)</f>
        <v>379.16666666666669</v>
      </c>
      <c r="AR32" s="12">
        <v>44</v>
      </c>
      <c r="AS32" s="100"/>
      <c r="AT32" s="100">
        <f>AVERAGE('Shuttle Bids'!E869,'Shuttle Bids'!E765,'Shuttle Bids'!E817)</f>
        <v>0</v>
      </c>
      <c r="AU32" s="78">
        <f>AVERAGE('Shuttle Bids'!F869,'Shuttle Bids'!F765,'Shuttle Bids'!F817)</f>
        <v>0</v>
      </c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/>
      <c r="BG32" s="100"/>
      <c r="BH32" s="78"/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Bids'!AN911,'Shuttle Bids'!AN859,'Shuttle Bids'!AN807)</f>
        <v>2100</v>
      </c>
      <c r="BX32" s="77">
        <f>AVERAGE('Shuttle Bids'!AO911,'Shuttle Bids'!AO859,'Shuttle Bids'!AO807)</f>
        <v>1283.3333333333333</v>
      </c>
      <c r="BY32" s="78">
        <f>AVERAGE('Shuttle Bids'!AP911,'Shuttle Bids'!AP859,'Shuttle Bids'!AP807)</f>
        <v>1383.3333333333333</v>
      </c>
      <c r="BZ32" s="72">
        <f t="shared" si="6"/>
        <v>38</v>
      </c>
      <c r="CA32" s="77"/>
      <c r="CB32" s="77">
        <f>AVERAGE('Shuttle Bids'!AS758,'Shuttle Bids'!AS862,'Shuttle Bids'!AS810)</f>
        <v>200</v>
      </c>
      <c r="CC32" s="78">
        <f>AVERAGE('Shuttle Bids'!AT758,'Shuttle Bids'!AT862,'Shuttle Bids'!AT810)</f>
        <v>200</v>
      </c>
      <c r="CD32" s="72">
        <f t="shared" si="2"/>
        <v>45</v>
      </c>
      <c r="CE32" s="77">
        <f>AVERAGE('Shuttle Bids'!AV765,'Shuttle Bids'!AV869,'Shuttle Bids'!AV817)</f>
        <v>275</v>
      </c>
      <c r="CF32" s="77">
        <f>AVERAGE('Shuttle Bids'!AW765,'Shuttle Bids'!AW869,'Shuttle Bids'!AW817)</f>
        <v>-166.66666666666666</v>
      </c>
      <c r="CG32" s="78">
        <f>AVERAGE('Shuttle Bids'!AX765,'Shuttle Bids'!AX869,'Shuttle Bids'!AX817)</f>
        <v>54.166666666666664</v>
      </c>
    </row>
    <row r="33" spans="1:85" x14ac:dyDescent="0.2">
      <c r="A33" s="12">
        <f>+'Non-shuttle Bids'!A139</f>
        <v>45</v>
      </c>
      <c r="B33" s="85">
        <f>AVERAGE('Non-shuttle Bids'!D870,'Non-shuttle Bids'!D766,'Non-shuttle Bids'!D818)</f>
        <v>62.5</v>
      </c>
      <c r="C33" s="85"/>
      <c r="D33" s="83">
        <f>AVERAGE('Non-shuttle Bids'!F870,'Non-shuttle Bids'!F766,'Non-shuttle Bids'!F818)</f>
        <v>62.5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Bids'!AN912,'Non-shuttle Bids'!AN860,'Non-shuttle Bids'!AN808)</f>
        <v>300</v>
      </c>
      <c r="AG33" s="77"/>
      <c r="AH33" s="78">
        <f>AVERAGE('Non-shuttle Bids'!AP912,'Non-shuttle Bids'!AP860,'Non-shuttle Bids'!AP808)</f>
        <v>300</v>
      </c>
      <c r="AI33" s="72">
        <f t="shared" si="5"/>
        <v>39</v>
      </c>
      <c r="AJ33" s="77">
        <f>AVERAGE('Non-shuttle Bids'!AR811,'Non-shuttle Bids'!AR863,'Non-shuttle Bids'!AR759)</f>
        <v>25</v>
      </c>
      <c r="AK33" s="77"/>
      <c r="AL33" s="78">
        <f>AVERAGE('Non-shuttle Bids'!AT811,'Non-shuttle Bids'!AT863,'Non-shuttle Bids'!AT759)</f>
        <v>25</v>
      </c>
      <c r="AM33" s="72">
        <f t="shared" si="1"/>
        <v>46</v>
      </c>
      <c r="AN33" s="77">
        <f>AVERAGE('Non-shuttle Bids'!AV818,'Non-shuttle Bids'!AV870,'Non-shuttle Bids'!AV766)</f>
        <v>322.33333333333331</v>
      </c>
      <c r="AO33" s="77">
        <f>AVERAGE('Non-shuttle Bids'!AW818,'Non-shuttle Bids'!AW870,'Non-shuttle Bids'!AW766)</f>
        <v>-25</v>
      </c>
      <c r="AP33" s="78">
        <f>AVERAGE('Non-shuttle Bids'!AX818,'Non-shuttle Bids'!AX870,'Non-shuttle Bids'!AX766)</f>
        <v>319.5</v>
      </c>
      <c r="AR33" s="12">
        <v>45</v>
      </c>
      <c r="AS33" s="100">
        <f>AVERAGE('Shuttle Bids'!D870,'Shuttle Bids'!D766,'Shuttle Bids'!D818)</f>
        <v>750</v>
      </c>
      <c r="AT33" s="100">
        <f>AVERAGE('Shuttle Bids'!E870,'Shuttle Bids'!E766,'Shuttle Bids'!E818)</f>
        <v>-229.33333333333334</v>
      </c>
      <c r="AU33" s="78">
        <f>AVERAGE('Shuttle Bids'!F870,'Shuttle Bids'!F766,'Shuttle Bids'!F818)</f>
        <v>-87.666666666666671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/>
      <c r="BG33" s="100"/>
      <c r="BH33" s="78"/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Bids'!AN912,'Shuttle Bids'!AN860,'Shuttle Bids'!AN808)</f>
        <v>2075</v>
      </c>
      <c r="BX33" s="77">
        <f>AVERAGE('Shuttle Bids'!AO912,'Shuttle Bids'!AO860,'Shuttle Bids'!AO808)</f>
        <v>1358.3333333333333</v>
      </c>
      <c r="BY33" s="78">
        <f>AVERAGE('Shuttle Bids'!AP912,'Shuttle Bids'!AP860,'Shuttle Bids'!AP808)</f>
        <v>1416.6666666666667</v>
      </c>
      <c r="BZ33" s="72">
        <f t="shared" si="6"/>
        <v>39</v>
      </c>
      <c r="CA33" s="77"/>
      <c r="CB33" s="77">
        <f>AVERAGE('Shuttle Bids'!AS759,'Shuttle Bids'!AS863,'Shuttle Bids'!AS811)</f>
        <v>41.666666666666664</v>
      </c>
      <c r="CC33" s="78">
        <f>AVERAGE('Shuttle Bids'!AT759,'Shuttle Bids'!AT863,'Shuttle Bids'!AT811)</f>
        <v>41.666666666666664</v>
      </c>
      <c r="CD33" s="72">
        <f t="shared" si="2"/>
        <v>46</v>
      </c>
      <c r="CE33" s="77">
        <f>AVERAGE('Shuttle Bids'!AV766,'Shuttle Bids'!AV870,'Shuttle Bids'!AV818)</f>
        <v>287.5</v>
      </c>
      <c r="CF33" s="77">
        <f>AVERAGE('Shuttle Bids'!AW766,'Shuttle Bids'!AW870,'Shuttle Bids'!AW818)</f>
        <v>-171</v>
      </c>
      <c r="CG33" s="78">
        <f>AVERAGE('Shuttle Bids'!AX766,'Shuttle Bids'!AX870,'Shuttle Bids'!AX818)</f>
        <v>-64.666666666666671</v>
      </c>
    </row>
    <row r="34" spans="1:85" x14ac:dyDescent="0.2">
      <c r="A34" s="12">
        <f>+'Non-shuttle Bids'!A140</f>
        <v>46</v>
      </c>
      <c r="B34" s="85">
        <f>AVERAGE('Non-shuttle Bids'!D871,'Non-shuttle Bids'!D767,'Non-shuttle Bids'!D819)</f>
        <v>96</v>
      </c>
      <c r="C34" s="85"/>
      <c r="D34" s="83">
        <f>AVERAGE('Non-shuttle Bids'!F871,'Non-shuttle Bids'!F767,'Non-shuttle Bids'!F819)</f>
        <v>96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Bids'!AN913,'Non-shuttle Bids'!AN861,'Non-shuttle Bids'!AN809)</f>
        <v>162.5</v>
      </c>
      <c r="AG34" s="77">
        <f>AVERAGE('Non-shuttle Bids'!AO913,'Non-shuttle Bids'!AO861,'Non-shuttle Bids'!AO809)</f>
        <v>0</v>
      </c>
      <c r="AH34" s="78">
        <f>AVERAGE('Non-shuttle Bids'!AP913,'Non-shuttle Bids'!AP861,'Non-shuttle Bids'!AP809)</f>
        <v>156.25</v>
      </c>
      <c r="AI34" s="72">
        <f t="shared" si="5"/>
        <v>40</v>
      </c>
      <c r="AJ34" s="77">
        <f>AVERAGE('Non-shuttle Bids'!AR812,'Non-shuttle Bids'!AR864,'Non-shuttle Bids'!AR760)</f>
        <v>8.3333333333333339</v>
      </c>
      <c r="AK34" s="77"/>
      <c r="AL34" s="78">
        <f>AVERAGE('Non-shuttle Bids'!AT812,'Non-shuttle Bids'!AT864,'Non-shuttle Bids'!AT760)</f>
        <v>8.3333333333333339</v>
      </c>
      <c r="AM34" s="72">
        <f t="shared" si="1"/>
        <v>47</v>
      </c>
      <c r="AN34" s="77">
        <f>AVERAGE('Non-shuttle Bids'!AV819,'Non-shuttle Bids'!AV871,'Non-shuttle Bids'!AV767)</f>
        <v>101.33333333333333</v>
      </c>
      <c r="AO34" s="77">
        <f>AVERAGE('Non-shuttle Bids'!AW819,'Non-shuttle Bids'!AW871,'Non-shuttle Bids'!AW767)</f>
        <v>-4</v>
      </c>
      <c r="AP34" s="78">
        <f>AVERAGE('Non-shuttle Bids'!AX819,'Non-shuttle Bids'!AX871,'Non-shuttle Bids'!AX767)</f>
        <v>99.333333333333329</v>
      </c>
      <c r="AR34" s="12">
        <v>46</v>
      </c>
      <c r="AS34" s="100"/>
      <c r="AT34" s="100">
        <f>AVERAGE('Shuttle Bids'!E871,'Shuttle Bids'!E767,'Shuttle Bids'!E819)</f>
        <v>-100</v>
      </c>
      <c r="AU34" s="78">
        <f>AVERAGE('Shuttle Bids'!F871,'Shuttle Bids'!F767,'Shuttle Bids'!F819)</f>
        <v>-100</v>
      </c>
      <c r="AV34" s="100"/>
      <c r="AW34" s="100"/>
      <c r="AX34" s="78"/>
      <c r="AY34" s="100"/>
      <c r="AZ34" s="100"/>
      <c r="BA34" s="78"/>
      <c r="BB34" s="12">
        <v>46</v>
      </c>
      <c r="BC34" s="100"/>
      <c r="BD34" s="100"/>
      <c r="BE34" s="78"/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Bids'!AN913,'Shuttle Bids'!AN861,'Shuttle Bids'!AN809)</f>
        <v>1683.3333333333333</v>
      </c>
      <c r="BX34" s="77">
        <f>AVERAGE('Shuttle Bids'!AO913,'Shuttle Bids'!AO861,'Shuttle Bids'!AO809)</f>
        <v>1250</v>
      </c>
      <c r="BY34" s="78">
        <f>AVERAGE('Shuttle Bids'!AP913,'Shuttle Bids'!AP861,'Shuttle Bids'!AP809)</f>
        <v>1466.6666666666667</v>
      </c>
      <c r="BZ34" s="72">
        <f t="shared" si="6"/>
        <v>40</v>
      </c>
      <c r="CA34" s="77">
        <f>AVERAGE('Shuttle Bids'!AR760,'Shuttle Bids'!AR864,'Shuttle Bids'!AR812)</f>
        <v>162.5</v>
      </c>
      <c r="CB34" s="77">
        <f>AVERAGE('Shuttle Bids'!AS760,'Shuttle Bids'!AS864,'Shuttle Bids'!AS812)</f>
        <v>20.666666666666668</v>
      </c>
      <c r="CC34" s="78">
        <f>AVERAGE('Shuttle Bids'!AT760,'Shuttle Bids'!AT864,'Shuttle Bids'!AT812)</f>
        <v>60.333333333333336</v>
      </c>
      <c r="CD34" s="72">
        <f t="shared" si="2"/>
        <v>47</v>
      </c>
      <c r="CE34" s="77">
        <f>AVERAGE('Shuttle Bids'!AV767,'Shuttle Bids'!AV871,'Shuttle Bids'!AV819)</f>
        <v>-33.333333333333336</v>
      </c>
      <c r="CF34" s="77">
        <f>AVERAGE('Shuttle Bids'!AW767,'Shuttle Bids'!AW871,'Shuttle Bids'!AW819)</f>
        <v>-243.66666666666666</v>
      </c>
      <c r="CG34" s="78">
        <f>AVERAGE('Shuttle Bids'!AX767,'Shuttle Bids'!AX871,'Shuttle Bids'!AX819)</f>
        <v>-138.5</v>
      </c>
    </row>
    <row r="35" spans="1:85" x14ac:dyDescent="0.2">
      <c r="A35" s="12">
        <f>+'Non-shuttle Bids'!A141</f>
        <v>47</v>
      </c>
      <c r="B35" s="85">
        <f>AVERAGE('Non-shuttle Bids'!D872,'Non-shuttle Bids'!D768,'Non-shuttle Bids'!D820)</f>
        <v>130</v>
      </c>
      <c r="C35" s="85"/>
      <c r="D35" s="83">
        <f>AVERAGE('Non-shuttle Bids'!F872,'Non-shuttle Bids'!F768,'Non-shuttle Bids'!F820)</f>
        <v>130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Bids'!AN914,'Non-shuttle Bids'!AN862,'Non-shuttle Bids'!AN810)</f>
        <v>206.5</v>
      </c>
      <c r="AG35" s="77">
        <f>AVERAGE('Non-shuttle Bids'!AO914,'Non-shuttle Bids'!AO862,'Non-shuttle Bids'!AO810)</f>
        <v>8</v>
      </c>
      <c r="AH35" s="78">
        <f>AVERAGE('Non-shuttle Bids'!AP914,'Non-shuttle Bids'!AP862,'Non-shuttle Bids'!AP810)</f>
        <v>205.25</v>
      </c>
      <c r="AI35" s="72">
        <f t="shared" si="5"/>
        <v>41</v>
      </c>
      <c r="AJ35" s="77">
        <f>AVERAGE('Non-shuttle Bids'!AR813,'Non-shuttle Bids'!AR865,'Non-shuttle Bids'!AR761)</f>
        <v>75</v>
      </c>
      <c r="AK35" s="77"/>
      <c r="AL35" s="78">
        <f>AVERAGE('Non-shuttle Bids'!AT813,'Non-shuttle Bids'!AT865,'Non-shuttle Bids'!AT761)</f>
        <v>75</v>
      </c>
      <c r="AM35" s="72">
        <f t="shared" si="1"/>
        <v>48</v>
      </c>
      <c r="AN35" s="77">
        <f>AVERAGE('Non-shuttle Bids'!AV820,'Non-shuttle Bids'!AV872,'Non-shuttle Bids'!AV768)</f>
        <v>83.333333333333329</v>
      </c>
      <c r="AO35" s="77">
        <f>AVERAGE('Non-shuttle Bids'!AW820,'Non-shuttle Bids'!AW872,'Non-shuttle Bids'!AW768)</f>
        <v>14</v>
      </c>
      <c r="AP35" s="78">
        <f>AVERAGE('Non-shuttle Bids'!AX820,'Non-shuttle Bids'!AX872,'Non-shuttle Bids'!AX768)</f>
        <v>48.666666666666664</v>
      </c>
      <c r="AR35" s="12">
        <v>47</v>
      </c>
      <c r="AS35" s="100"/>
      <c r="AT35" s="100">
        <f>AVERAGE('Shuttle Bids'!E872,'Shuttle Bids'!E768,'Shuttle Bids'!E820)</f>
        <v>-90.5</v>
      </c>
      <c r="AU35" s="78">
        <f>AVERAGE('Shuttle Bids'!F872,'Shuttle Bids'!F768,'Shuttle Bids'!F820)</f>
        <v>-90.5</v>
      </c>
      <c r="AV35" s="100"/>
      <c r="AW35" s="100"/>
      <c r="AX35" s="78"/>
      <c r="AY35" s="100"/>
      <c r="AZ35" s="100">
        <f>AVERAGE('Shuttle Bids'!M872,'Shuttle Bids'!M768,'Shuttle Bids'!M820)</f>
        <v>0</v>
      </c>
      <c r="BA35" s="78">
        <f>AVERAGE('Shuttle Bids'!N872,'Shuttle Bids'!N768,'Shuttle Bids'!N820)</f>
        <v>0</v>
      </c>
      <c r="BB35" s="12">
        <v>47</v>
      </c>
      <c r="BC35" s="100"/>
      <c r="BD35" s="100">
        <f>AVERAGE('Shuttle Bids'!Q872,'Shuttle Bids'!Q768,'Shuttle Bids'!Q820)</f>
        <v>-100</v>
      </c>
      <c r="BE35" s="78">
        <f>AVERAGE('Shuttle Bids'!R872,'Shuttle Bids'!R768,'Shuttle Bids'!R820)</f>
        <v>-100</v>
      </c>
      <c r="BF35" s="100"/>
      <c r="BG35" s="100">
        <f>AVERAGE('Shuttle Bids'!U872,'Shuttle Bids'!U768,'Shuttle Bids'!U820)</f>
        <v>-100</v>
      </c>
      <c r="BH35" s="78">
        <f>AVERAGE('Shuttle Bids'!V872,'Shuttle Bids'!V768,'Shuttle Bids'!V820)</f>
        <v>-100</v>
      </c>
      <c r="BI35" s="100"/>
      <c r="BJ35" s="100">
        <f>AVERAGE('Shuttle Bids'!Y871,'Shuttle Bids'!Y767,'Shuttle Bids'!Y819)</f>
        <v>-125</v>
      </c>
      <c r="BK35" s="78">
        <f>AVERAGE('Shuttle Bids'!Z871,'Shuttle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Bids'!AN914,'Shuttle Bids'!AN862,'Shuttle Bids'!AN810)</f>
        <v>1841.6666666666667</v>
      </c>
      <c r="BX35" s="77">
        <f>AVERAGE('Shuttle Bids'!AO914,'Shuttle Bids'!AO862,'Shuttle Bids'!AO810)</f>
        <v>1383.3333333333333</v>
      </c>
      <c r="BY35" s="78">
        <f>AVERAGE('Shuttle Bids'!AP914,'Shuttle Bids'!AP862,'Shuttle Bids'!AP810)</f>
        <v>1612.5</v>
      </c>
      <c r="BZ35" s="72">
        <f t="shared" si="6"/>
        <v>41</v>
      </c>
      <c r="CA35" s="77">
        <f>AVERAGE('Shuttle Bids'!AR761,'Shuttle Bids'!AR865,'Shuttle Bids'!AR813)</f>
        <v>155.66666666666666</v>
      </c>
      <c r="CB35" s="77">
        <f>AVERAGE('Shuttle Bids'!AS761,'Shuttle Bids'!AS865,'Shuttle Bids'!AS813)</f>
        <v>50</v>
      </c>
      <c r="CC35" s="78">
        <f>AVERAGE('Shuttle Bids'!AT761,'Shuttle Bids'!AT865,'Shuttle Bids'!AT813)</f>
        <v>102.83333333333333</v>
      </c>
      <c r="CD35" s="72">
        <f t="shared" si="2"/>
        <v>48</v>
      </c>
      <c r="CE35" s="77">
        <f>AVERAGE('Shuttle Bids'!AV768,'Shuttle Bids'!AV872,'Shuttle Bids'!AV820)</f>
        <v>181.66666666666666</v>
      </c>
      <c r="CF35" s="77">
        <f>AVERAGE('Shuttle Bids'!AW768,'Shuttle Bids'!AW872,'Shuttle Bids'!AW820)</f>
        <v>-123.66666666666667</v>
      </c>
      <c r="CG35" s="78">
        <f>AVERAGE('Shuttle Bids'!AX768,'Shuttle Bids'!AX872,'Shuttle Bids'!AX820)</f>
        <v>29</v>
      </c>
    </row>
    <row r="36" spans="1:85" x14ac:dyDescent="0.2">
      <c r="A36" s="12">
        <f>+'Non-shuttle Bids'!A142</f>
        <v>48</v>
      </c>
      <c r="B36" s="85">
        <f>AVERAGE('Non-shuttle Bids'!D873,'Non-shuttle Bids'!D769,'Non-shuttle Bids'!D821)</f>
        <v>175</v>
      </c>
      <c r="C36" s="85"/>
      <c r="D36" s="83">
        <f>AVERAGE('Non-shuttle Bids'!F873,'Non-shuttle Bids'!F769,'Non-shuttle Bids'!F821)</f>
        <v>175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Bids'!AN915,'Non-shuttle Bids'!AN863,'Non-shuttle Bids'!AN811)</f>
        <v>112.5</v>
      </c>
      <c r="AG36" s="77">
        <f>AVERAGE('Non-shuttle Bids'!AO915,'Non-shuttle Bids'!AO863,'Non-shuttle Bids'!AO811)</f>
        <v>9</v>
      </c>
      <c r="AH36" s="78">
        <f>AVERAGE('Non-shuttle Bids'!AP915,'Non-shuttle Bids'!AP863,'Non-shuttle Bids'!AP811)</f>
        <v>108.5</v>
      </c>
      <c r="AI36" s="72">
        <f t="shared" si="5"/>
        <v>42</v>
      </c>
      <c r="AJ36" s="77">
        <f>AVERAGE('Non-shuttle Bids'!AR814,'Non-shuttle Bids'!AR866,'Non-shuttle Bids'!AR762)</f>
        <v>172.33333333333334</v>
      </c>
      <c r="AK36" s="77">
        <f>AVERAGE('Non-shuttle Bids'!AS814,'Non-shuttle Bids'!AS866,'Non-shuttle Bids'!AS762)</f>
        <v>-16.5</v>
      </c>
      <c r="AL36" s="78">
        <f>AVERAGE('Non-shuttle Bids'!AT814,'Non-shuttle Bids'!AT866,'Non-shuttle Bids'!AT762)</f>
        <v>172.33333333333334</v>
      </c>
      <c r="AM36" s="72">
        <f>+AM35+1</f>
        <v>49</v>
      </c>
      <c r="AN36" s="77">
        <f>AVERAGE('Non-shuttle Bids'!AV821,'Non-shuttle Bids'!AV873,'Non-shuttle Bids'!AV769)</f>
        <v>89.666666666666671</v>
      </c>
      <c r="AO36" s="77">
        <f>AVERAGE('Non-shuttle Bids'!AW821,'Non-shuttle Bids'!AW873,'Non-shuttle Bids'!AW769)</f>
        <v>8.3333333333333339</v>
      </c>
      <c r="AP36" s="78">
        <f>AVERAGE('Non-shuttle Bids'!AX821,'Non-shuttle Bids'!AX873,'Non-shuttle Bids'!AX769)</f>
        <v>49</v>
      </c>
      <c r="AR36" s="12">
        <v>48</v>
      </c>
      <c r="AS36" s="100">
        <f>AVERAGE('Shuttle Bids'!D873,'Shuttle Bids'!D769,'Shuttle Bids'!D821)</f>
        <v>-200</v>
      </c>
      <c r="AT36" s="100">
        <f>AVERAGE('Shuttle Bids'!E873,'Shuttle Bids'!E769,'Shuttle Bids'!E821)</f>
        <v>-112.33333333333333</v>
      </c>
      <c r="AU36" s="78">
        <f>AVERAGE('Shuttle Bids'!F873,'Shuttle Bids'!F769,'Shuttle Bids'!F821)</f>
        <v>-104</v>
      </c>
      <c r="AV36" s="100"/>
      <c r="AW36" s="100">
        <f>AVERAGE('Shuttle Bids'!I872,'Shuttle Bids'!I768,'Shuttle Bids'!I820)</f>
        <v>100</v>
      </c>
      <c r="AX36" s="78">
        <f>AVERAGE('Shuttle Bids'!J872,'Shuttle Bids'!J768,'Shuttle Bids'!J820)</f>
        <v>100</v>
      </c>
      <c r="AY36" s="100">
        <f>AVERAGE('Shuttle Bids'!L873,'Shuttle Bids'!L769,'Shuttle Bids'!L821)</f>
        <v>13</v>
      </c>
      <c r="AZ36" s="100">
        <f>AVERAGE('Shuttle Bids'!M873,'Shuttle Bids'!M769,'Shuttle Bids'!M821)</f>
        <v>-75</v>
      </c>
      <c r="BA36" s="78">
        <f>AVERAGE('Shuttle Bids'!N873,'Shuttle Bids'!N769,'Shuttle Bids'!N821)</f>
        <v>-34.25</v>
      </c>
      <c r="BB36" s="12">
        <v>48</v>
      </c>
      <c r="BC36" s="100"/>
      <c r="BD36" s="100">
        <f>AVERAGE('Shuttle Bids'!Q873,'Shuttle Bids'!Q769,'Shuttle Bids'!Q821)</f>
        <v>-100</v>
      </c>
      <c r="BE36" s="78">
        <f>AVERAGE('Shuttle Bids'!R873,'Shuttle Bids'!R769,'Shuttle Bids'!R821)</f>
        <v>-100</v>
      </c>
      <c r="BF36" s="100"/>
      <c r="BG36" s="100">
        <f>AVERAGE('Shuttle Bids'!U873,'Shuttle Bids'!U769,'Shuttle Bids'!U821)</f>
        <v>-100</v>
      </c>
      <c r="BH36" s="78">
        <f>AVERAGE('Shuttle Bids'!V873,'Shuttle Bids'!V769,'Shuttle Bids'!V821)</f>
        <v>-100</v>
      </c>
      <c r="BI36" s="100"/>
      <c r="BJ36" s="100">
        <f>AVERAGE('Shuttle Bids'!Y872,'Shuttle Bids'!Y768,'Shuttle Bids'!Y820)</f>
        <v>-112.5</v>
      </c>
      <c r="BK36" s="78">
        <f>AVERAGE('Shuttle Bids'!Z872,'Shuttle Bids'!Z768,'Shuttle Bids'!Z820)</f>
        <v>-112.5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Bids'!AN915,'Shuttle Bids'!AN863,'Shuttle Bids'!AN811)</f>
        <v>1802.6666666666667</v>
      </c>
      <c r="BX36" s="77">
        <f>AVERAGE('Shuttle Bids'!AO915,'Shuttle Bids'!AO863,'Shuttle Bids'!AO811)</f>
        <v>1146</v>
      </c>
      <c r="BY36" s="78">
        <f>AVERAGE('Shuttle Bids'!AP915,'Shuttle Bids'!AP863,'Shuttle Bids'!AP811)</f>
        <v>1474.3333333333333</v>
      </c>
      <c r="BZ36" s="72">
        <f t="shared" si="6"/>
        <v>42</v>
      </c>
      <c r="CA36" s="77">
        <f>AVERAGE('Shuttle Bids'!AR762,'Shuttle Bids'!AR866,'Shuttle Bids'!AR814)</f>
        <v>356</v>
      </c>
      <c r="CB36" s="77">
        <f>AVERAGE('Shuttle Bids'!AS762,'Shuttle Bids'!AS866,'Shuttle Bids'!AS814)</f>
        <v>33.333333333333336</v>
      </c>
      <c r="CC36" s="78">
        <f>AVERAGE('Shuttle Bids'!AT762,'Shuttle Bids'!AT866,'Shuttle Bids'!AT814)</f>
        <v>102</v>
      </c>
      <c r="CD36" s="72">
        <f>+CD35+1</f>
        <v>49</v>
      </c>
      <c r="CE36" s="77">
        <f>AVERAGE('Shuttle Bids'!AV769,'Shuttle Bids'!AV873,'Shuttle Bids'!AV821)</f>
        <v>273.66666666666669</v>
      </c>
      <c r="CF36" s="77">
        <f>AVERAGE('Shuttle Bids'!AW769,'Shuttle Bids'!AW873,'Shuttle Bids'!AW821)</f>
        <v>-75</v>
      </c>
      <c r="CG36" s="78">
        <f>AVERAGE('Shuttle Bids'!AX769,'Shuttle Bids'!AX873,'Shuttle Bids'!AX821)</f>
        <v>99.333333333333329</v>
      </c>
    </row>
    <row r="37" spans="1:85" x14ac:dyDescent="0.2">
      <c r="A37" s="12">
        <f>+'Non-shuttle Bids'!A143</f>
        <v>49</v>
      </c>
      <c r="B37" s="85">
        <f>AVERAGE('Non-shuttle Bids'!D874,'Non-shuttle Bids'!D770,'Non-shuttle Bids'!D822)</f>
        <v>125</v>
      </c>
      <c r="C37" s="85">
        <f>AVERAGE('Non-shuttle Bids'!E874,'Non-shuttle Bids'!E770,'Non-shuttle Bids'!E822)</f>
        <v>-50</v>
      </c>
      <c r="D37" s="83">
        <f>AVERAGE('Non-shuttle Bids'!F874,'Non-shuttle Bids'!F770,'Non-shuttle Bids'!F822)</f>
        <v>116.66666666666667</v>
      </c>
      <c r="E37" s="100"/>
      <c r="F37" s="100"/>
      <c r="G37" s="83"/>
      <c r="H37" s="77"/>
      <c r="I37" s="77"/>
      <c r="J37" s="78"/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Bids'!AN916,'Non-shuttle Bids'!AN864,'Non-shuttle Bids'!AN812)</f>
        <v>1762.5</v>
      </c>
      <c r="AG37" s="77">
        <f>AVERAGE('Non-shuttle Bids'!AO916,'Non-shuttle Bids'!AO864,'Non-shuttle Bids'!AO812)</f>
        <v>1254.5</v>
      </c>
      <c r="AH37" s="78">
        <f>AVERAGE('Non-shuttle Bids'!AP916,'Non-shuttle Bids'!AP864,'Non-shuttle Bids'!AP812)</f>
        <v>1508.5</v>
      </c>
      <c r="AI37" s="72">
        <f t="shared" si="5"/>
        <v>43</v>
      </c>
      <c r="AJ37" s="77">
        <f>AVERAGE('Non-shuttle Bids'!AR815,'Non-shuttle Bids'!AR867,'Non-shuttle Bids'!AR763)</f>
        <v>122.33333333333333</v>
      </c>
      <c r="AK37" s="77">
        <f>AVERAGE('Non-shuttle Bids'!AS815,'Non-shuttle Bids'!AS867,'Non-shuttle Bids'!AS763)</f>
        <v>22.333333333333332</v>
      </c>
      <c r="AL37" s="78">
        <f>AVERAGE('Non-shuttle Bids'!AT815,'Non-shuttle Bids'!AT867,'Non-shuttle Bids'!AT763)</f>
        <v>72.333333333333329</v>
      </c>
      <c r="AM37" s="72">
        <v>50</v>
      </c>
      <c r="AN37" s="77">
        <f>AVERAGE('Non-shuttle Bids'!AV822,'Non-shuttle Bids'!AV874,'Non-shuttle Bids'!AV770)</f>
        <v>452.5</v>
      </c>
      <c r="AO37" s="77">
        <f>AVERAGE('Non-shuttle Bids'!AW822,'Non-shuttle Bids'!AW874,'Non-shuttle Bids'!AW770)</f>
        <v>25</v>
      </c>
      <c r="AP37" s="78">
        <f>AVERAGE('Non-shuttle Bids'!AX822,'Non-shuttle Bids'!AX874,'Non-shuttle Bids'!AX770)</f>
        <v>163.33333333333334</v>
      </c>
      <c r="AR37" s="12">
        <v>49</v>
      </c>
      <c r="AS37" s="100">
        <f>AVERAGE('Shuttle Bids'!D874,'Shuttle Bids'!D770,'Shuttle Bids'!D822)</f>
        <v>-44</v>
      </c>
      <c r="AT37" s="100">
        <f>AVERAGE('Shuttle Bids'!E874,'Shuttle Bids'!E770,'Shuttle Bids'!E822)</f>
        <v>0</v>
      </c>
      <c r="AU37" s="78">
        <f>AVERAGE('Shuttle Bids'!F874,'Shuttle Bids'!F770,'Shuttle Bids'!F822)</f>
        <v>2</v>
      </c>
      <c r="AV37" s="100"/>
      <c r="AW37" s="100">
        <f>AVERAGE('Shuttle Bids'!I873,'Shuttle Bids'!I769,'Shuttle Bids'!I821)</f>
        <v>100</v>
      </c>
      <c r="AX37" s="78">
        <f>AVERAGE('Shuttle Bids'!J873,'Shuttle Bids'!J769,'Shuttle Bids'!J821)</f>
        <v>100</v>
      </c>
      <c r="AY37" s="100"/>
      <c r="AZ37" s="100">
        <f>AVERAGE('Shuttle Bids'!M874,'Shuttle Bids'!M770,'Shuttle Bids'!M822)</f>
        <v>-58.333333333333336</v>
      </c>
      <c r="BA37" s="78">
        <f>AVERAGE('Shuttle Bids'!N874,'Shuttle Bids'!N770,'Shuttle Bids'!N822)</f>
        <v>-58.333333333333336</v>
      </c>
      <c r="BB37" s="12">
        <v>49</v>
      </c>
      <c r="BC37" s="100">
        <f>AVERAGE('Shuttle Bids'!P874,'Shuttle Bids'!P770,'Shuttle Bids'!P822)</f>
        <v>-200</v>
      </c>
      <c r="BD37" s="100">
        <f>AVERAGE('Shuttle Bids'!Q874,'Shuttle Bids'!Q770,'Shuttle Bids'!Q822)</f>
        <v>-100</v>
      </c>
      <c r="BE37" s="78">
        <f>AVERAGE('Shuttle Bids'!R874,'Shuttle Bids'!R770,'Shuttle Bids'!R822)</f>
        <v>-150</v>
      </c>
      <c r="BF37" s="100"/>
      <c r="BG37" s="100">
        <f>AVERAGE('Shuttle Bids'!U874,'Shuttle Bids'!U770,'Shuttle Bids'!U822)</f>
        <v>-100</v>
      </c>
      <c r="BH37" s="78">
        <f>AVERAGE('Shuttle Bids'!V874,'Shuttle Bids'!V770,'Shuttle Bids'!V822)</f>
        <v>-100</v>
      </c>
      <c r="BI37" s="100"/>
      <c r="BJ37" s="100">
        <f>AVERAGE('Shuttle Bids'!Y873,'Shuttle Bids'!Y769,'Shuttle Bids'!Y821)</f>
        <v>-100</v>
      </c>
      <c r="BK37" s="78">
        <f>AVERAGE('Shuttle Bids'!Z873,'Shuttle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Bids'!AN916,'Shuttle Bids'!AN864,'Shuttle Bids'!AN812)</f>
        <v>2551.3333333333335</v>
      </c>
      <c r="BX37" s="77">
        <f>AVERAGE('Shuttle Bids'!AO916,'Shuttle Bids'!AO864,'Shuttle Bids'!AO812)</f>
        <v>1400</v>
      </c>
      <c r="BY37" s="78">
        <f>AVERAGE('Shuttle Bids'!AP916,'Shuttle Bids'!AP864,'Shuttle Bids'!AP812)</f>
        <v>1975.6666666666667</v>
      </c>
      <c r="BZ37" s="72">
        <f t="shared" si="6"/>
        <v>43</v>
      </c>
      <c r="CA37" s="77">
        <f>AVERAGE('Shuttle Bids'!AR763,'Shuttle Bids'!AR867,'Shuttle Bids'!AR815)</f>
        <v>270.66666666666669</v>
      </c>
      <c r="CB37" s="77">
        <f>AVERAGE('Shuttle Bids'!AS763,'Shuttle Bids'!AS867,'Shuttle Bids'!AS815)</f>
        <v>0</v>
      </c>
      <c r="CC37" s="78">
        <f>AVERAGE('Shuttle Bids'!AT763,'Shuttle Bids'!AT867,'Shuttle Bids'!AT815)</f>
        <v>135.33333333333334</v>
      </c>
      <c r="CD37" s="72">
        <v>50</v>
      </c>
      <c r="CE37" s="77">
        <f>AVERAGE('Shuttle Bids'!AV770,'Shuttle Bids'!AV874,'Shuttle Bids'!AV822)</f>
        <v>852.66666666666663</v>
      </c>
      <c r="CF37" s="77">
        <f>AVERAGE('Shuttle Bids'!AW770,'Shuttle Bids'!AW874,'Shuttle Bids'!AW822)</f>
        <v>87.333333333333329</v>
      </c>
      <c r="CG37" s="78">
        <f>AVERAGE('Shuttle Bids'!AX770,'Shuttle Bids'!AX874,'Shuttle Bids'!AX822)</f>
        <v>470</v>
      </c>
    </row>
    <row r="38" spans="1:85" x14ac:dyDescent="0.2">
      <c r="A38" s="12">
        <f>+'Non-shuttle Bids'!A144</f>
        <v>50</v>
      </c>
      <c r="B38" s="85">
        <f>AVERAGE('Non-shuttle Bids'!D875,'Non-shuttle Bids'!D771,'Non-shuttle Bids'!D823)</f>
        <v>232.33333333333334</v>
      </c>
      <c r="C38" s="85">
        <f>AVERAGE('Non-shuttle Bids'!E875,'Non-shuttle Bids'!E771,'Non-shuttle Bids'!E823)</f>
        <v>62.5</v>
      </c>
      <c r="D38" s="83">
        <f>AVERAGE('Non-shuttle Bids'!F875,'Non-shuttle Bids'!F771,'Non-shuttle Bids'!F823)</f>
        <v>139.16666666666666</v>
      </c>
      <c r="E38" s="100">
        <f>AVERAGE('Non-shuttle Bids'!H822,'Non-shuttle Bids'!H770,'Non-shuttle Bids'!H874)</f>
        <v>0</v>
      </c>
      <c r="F38" s="100"/>
      <c r="G38" s="83">
        <f>AVERAGE('Non-shuttle Bids'!J822,'Non-shuttle Bids'!J770,'Non-shuttle Bids'!J874)</f>
        <v>0</v>
      </c>
      <c r="H38" s="77">
        <f>AVERAGE('Non-shuttle Bids'!L822,'Non-shuttle Bids'!L770,'Non-shuttle Bids'!L874)</f>
        <v>200</v>
      </c>
      <c r="I38" s="77"/>
      <c r="J38" s="78">
        <f>AVERAGE('Non-shuttle Bids'!N822,'Non-shuttle Bids'!N770,'Non-shuttle Bids'!N874)</f>
        <v>200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Bids'!AN917,'Non-shuttle Bids'!AN865,'Non-shuttle Bids'!AN813)</f>
        <v>1508.3333333333333</v>
      </c>
      <c r="AG38" s="77">
        <f>AVERAGE('Non-shuttle Bids'!AO917,'Non-shuttle Bids'!AO865,'Non-shuttle Bids'!AO813)</f>
        <v>537.66666666666663</v>
      </c>
      <c r="AH38" s="78">
        <f>AVERAGE('Non-shuttle Bids'!AP917,'Non-shuttle Bids'!AP865,'Non-shuttle Bids'!AP813)</f>
        <v>1023</v>
      </c>
      <c r="AI38" s="72">
        <f t="shared" si="5"/>
        <v>44</v>
      </c>
      <c r="AJ38" s="77">
        <f>AVERAGE('Non-shuttle Bids'!AR816,'Non-shuttle Bids'!AR868,'Non-shuttle Bids'!AR764)</f>
        <v>229.66666666666666</v>
      </c>
      <c r="AK38" s="77">
        <f>AVERAGE('Non-shuttle Bids'!AS816,'Non-shuttle Bids'!AS868,'Non-shuttle Bids'!AS764)</f>
        <v>21.333333333333332</v>
      </c>
      <c r="AL38" s="78">
        <f>AVERAGE('Non-shuttle Bids'!AT816,'Non-shuttle Bids'!AT868,'Non-shuttle Bids'!AT764)</f>
        <v>125.5</v>
      </c>
      <c r="AM38" s="72">
        <v>51</v>
      </c>
      <c r="AN38" s="77">
        <f>AVERAGE('Non-shuttle Bids'!AV823,'Non-shuttle Bids'!AV875,'Non-shuttle Bids'!AV771)</f>
        <v>900</v>
      </c>
      <c r="AO38" s="77">
        <f>AVERAGE('Non-shuttle Bids'!AW823,'Non-shuttle Bids'!AW875,'Non-shuttle Bids'!AW771)</f>
        <v>144</v>
      </c>
      <c r="AP38" s="78">
        <f>AVERAGE('Non-shuttle Bids'!AX823,'Non-shuttle Bids'!AX875,'Non-shuttle Bids'!AX771)</f>
        <v>297</v>
      </c>
      <c r="AR38" s="12">
        <v>50</v>
      </c>
      <c r="AS38" s="100">
        <f>AVERAGE('Shuttle Bids'!D875,'Shuttle Bids'!D771,'Shuttle Bids'!D823)</f>
        <v>-113</v>
      </c>
      <c r="AT38" s="100">
        <f>AVERAGE('Shuttle Bids'!E875,'Shuttle Bids'!E771,'Shuttle Bids'!E823)</f>
        <v>247.66666666666666</v>
      </c>
      <c r="AU38" s="78">
        <f>AVERAGE('Shuttle Bids'!F875,'Shuttle Bids'!F771,'Shuttle Bids'!F823)</f>
        <v>247.66666666666666</v>
      </c>
      <c r="AV38" s="100"/>
      <c r="AW38" s="100">
        <f>AVERAGE('Shuttle Bids'!I874,'Shuttle Bids'!I770,'Shuttle Bids'!I822)</f>
        <v>25</v>
      </c>
      <c r="AX38" s="78">
        <f>AVERAGE('Shuttle Bids'!J874,'Shuttle Bids'!J770,'Shuttle Bids'!J822)</f>
        <v>25</v>
      </c>
      <c r="AY38" s="100"/>
      <c r="AZ38" s="100">
        <f>AVERAGE('Shuttle Bids'!M875,'Shuttle Bids'!M771,'Shuttle Bids'!M823)</f>
        <v>8.3333333333333339</v>
      </c>
      <c r="BA38" s="78">
        <f>AVERAGE('Shuttle Bids'!N875,'Shuttle Bids'!N771,'Shuttle Bids'!N823)</f>
        <v>8.3333333333333339</v>
      </c>
      <c r="BB38" s="12">
        <v>50</v>
      </c>
      <c r="BC38" s="100"/>
      <c r="BD38" s="100">
        <f>AVERAGE('Shuttle Bids'!Q875,'Shuttle Bids'!Q771,'Shuttle Bids'!Q823)</f>
        <v>-262.5</v>
      </c>
      <c r="BE38" s="78">
        <f>AVERAGE('Shuttle Bids'!R875,'Shuttle Bids'!R771,'Shuttle Bids'!R823)</f>
        <v>-262.5</v>
      </c>
      <c r="BF38" s="100"/>
      <c r="BG38" s="100">
        <f>AVERAGE('Shuttle Bids'!U875,'Shuttle Bids'!U771,'Shuttle Bids'!U823)</f>
        <v>-150</v>
      </c>
      <c r="BH38" s="78">
        <f>AVERAGE('Shuttle Bids'!V875,'Shuttle Bids'!V771,'Shuttle Bids'!V823)</f>
        <v>-150</v>
      </c>
      <c r="BI38" s="100"/>
      <c r="BJ38" s="100">
        <f>AVERAGE('Shuttle Bids'!Y874,'Shuttle Bids'!Y770,'Shuttle Bids'!Y822)</f>
        <v>-87.5</v>
      </c>
      <c r="BK38" s="78">
        <f>AVERAGE('Shuttle Bids'!Z874,'Shuttle Bids'!Z770,'Shuttle Bids'!Z822)</f>
        <v>-87.5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Bids'!AN917,'Shuttle Bids'!AN865,'Shuttle Bids'!AN813)</f>
        <v>2114</v>
      </c>
      <c r="BX38" s="77">
        <f>AVERAGE('Shuttle Bids'!AO917,'Shuttle Bids'!AO865,'Shuttle Bids'!AO813)</f>
        <v>1358.3333333333333</v>
      </c>
      <c r="BY38" s="78">
        <f>AVERAGE('Shuttle Bids'!AP917,'Shuttle Bids'!AP865,'Shuttle Bids'!AP813)</f>
        <v>1736.1666666666667</v>
      </c>
      <c r="BZ38" s="72">
        <f t="shared" si="6"/>
        <v>44</v>
      </c>
      <c r="CA38" s="77">
        <f>AVERAGE('Shuttle Bids'!AR764,'Shuttle Bids'!AR868,'Shuttle Bids'!AR816)</f>
        <v>379</v>
      </c>
      <c r="CB38" s="77">
        <f>AVERAGE('Shuttle Bids'!AS764,'Shuttle Bids'!AS868,'Shuttle Bids'!AS816)</f>
        <v>-58.333333333333336</v>
      </c>
      <c r="CC38" s="78">
        <f>AVERAGE('Shuttle Bids'!AT764,'Shuttle Bids'!AT868,'Shuttle Bids'!AT816)</f>
        <v>160.33333333333334</v>
      </c>
      <c r="CD38" s="72">
        <v>51</v>
      </c>
      <c r="CE38" s="77">
        <f>AVERAGE('Shuttle Bids'!AV771,'Shuttle Bids'!AV875,'Shuttle Bids'!AV823)</f>
        <v>1362.5</v>
      </c>
      <c r="CF38" s="77">
        <f>AVERAGE('Shuttle Bids'!AW771,'Shuttle Bids'!AW875,'Shuttle Bids'!AW823)</f>
        <v>612.5</v>
      </c>
      <c r="CG38" s="78">
        <f>AVERAGE('Shuttle Bids'!AX771,'Shuttle Bids'!AX875,'Shuttle Bids'!AX823)</f>
        <v>987.5</v>
      </c>
    </row>
    <row r="39" spans="1:85" x14ac:dyDescent="0.2">
      <c r="A39" s="12">
        <f>+'Non-shuttle Bids'!A145</f>
        <v>51</v>
      </c>
      <c r="B39" s="85">
        <f>AVERAGE('Non-shuttle Bids'!D876,'Non-shuttle Bids'!D772,'Non-shuttle Bids'!D824)</f>
        <v>308.33333333333331</v>
      </c>
      <c r="C39" s="85">
        <f>AVERAGE('Non-shuttle Bids'!E876,'Non-shuttle Bids'!E772,'Non-shuttle Bids'!E824)</f>
        <v>141.66666666666666</v>
      </c>
      <c r="D39" s="83">
        <f>AVERAGE('Non-shuttle Bids'!F876,'Non-shuttle Bids'!F772,'Non-shuttle Bids'!F824)</f>
        <v>225</v>
      </c>
      <c r="E39" s="100">
        <f>AVERAGE('Non-shuttle Bids'!H823,'Non-shuttle Bids'!H771,'Non-shuttle Bids'!H875)</f>
        <v>400</v>
      </c>
      <c r="F39" s="100"/>
      <c r="G39" s="83">
        <f>AVERAGE('Non-shuttle Bids'!J823,'Non-shuttle Bids'!J771,'Non-shuttle Bids'!J875)</f>
        <v>400</v>
      </c>
      <c r="H39" s="77"/>
      <c r="I39" s="77"/>
      <c r="J39" s="78"/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Bids'!AN918,'Non-shuttle Bids'!AN866,'Non-shuttle Bids'!AN814)</f>
        <v>308.5</v>
      </c>
      <c r="AG39" s="77">
        <f>AVERAGE('Non-shuttle Bids'!AO918,'Non-shuttle Bids'!AO866,'Non-shuttle Bids'!AO814)</f>
        <v>0</v>
      </c>
      <c r="AH39" s="78">
        <f>AVERAGE('Non-shuttle Bids'!AP918,'Non-shuttle Bids'!AP866,'Non-shuttle Bids'!AP814)</f>
        <v>154.25</v>
      </c>
      <c r="AI39" s="72">
        <v>45</v>
      </c>
      <c r="AJ39" s="77">
        <f>AVERAGE('Non-shuttle Bids'!AR817,'Non-shuttle Bids'!AR869,'Non-shuttle Bids'!AR765)</f>
        <v>516</v>
      </c>
      <c r="AK39" s="77">
        <f>AVERAGE('Non-shuttle Bids'!AS817,'Non-shuttle Bids'!AS869,'Non-shuttle Bids'!AS765)</f>
        <v>58.333333333333336</v>
      </c>
      <c r="AL39" s="78">
        <f>AVERAGE('Non-shuttle Bids'!AT817,'Non-shuttle Bids'!AT869,'Non-shuttle Bids'!AT765)</f>
        <v>287.16666666666669</v>
      </c>
      <c r="AM39" s="72"/>
      <c r="AN39" s="77"/>
      <c r="AO39" s="77"/>
      <c r="AP39" s="87"/>
      <c r="AR39" s="12">
        <v>51</v>
      </c>
      <c r="AS39" s="100">
        <f>AVERAGE('Shuttle Bids'!D876,'Shuttle Bids'!D772,'Shuttle Bids'!D824)</f>
        <v>812.66666666666663</v>
      </c>
      <c r="AT39" s="100">
        <f>AVERAGE('Shuttle Bids'!E876,'Shuttle Bids'!E772,'Shuttle Bids'!E824)</f>
        <v>196</v>
      </c>
      <c r="AU39" s="78">
        <f>AVERAGE('Shuttle Bids'!F876,'Shuttle Bids'!F772,'Shuttle Bids'!F824)</f>
        <v>504.33333333333331</v>
      </c>
      <c r="AV39" s="100"/>
      <c r="AW39" s="100">
        <f>AVERAGE('Shuttle Bids'!I875,'Shuttle Bids'!I771,'Shuttle Bids'!I823)</f>
        <v>33.333333333333336</v>
      </c>
      <c r="AX39" s="78">
        <f>AVERAGE('Shuttle Bids'!J875,'Shuttle Bids'!J771,'Shuttle Bids'!J823)</f>
        <v>33.333333333333336</v>
      </c>
      <c r="AY39" s="100">
        <f>AVERAGE('Shuttle Bids'!L876,'Shuttle Bids'!L772,'Shuttle Bids'!L824)</f>
        <v>500</v>
      </c>
      <c r="AZ39" s="100">
        <f>AVERAGE('Shuttle Bids'!M876,'Shuttle Bids'!M772,'Shuttle Bids'!M824)</f>
        <v>-33.333333333333336</v>
      </c>
      <c r="BA39" s="78">
        <f>AVERAGE('Shuttle Bids'!N876,'Shuttle Bids'!N772,'Shuttle Bids'!N824)</f>
        <v>25</v>
      </c>
      <c r="BB39" s="12">
        <v>51</v>
      </c>
      <c r="BC39" s="100"/>
      <c r="BD39" s="100">
        <f>AVERAGE('Shuttle Bids'!Q876,'Shuttle Bids'!Q772,'Shuttle Bids'!Q824)</f>
        <v>-100</v>
      </c>
      <c r="BE39" s="78">
        <f>AVERAGE('Shuttle Bids'!R876,'Shuttle Bids'!R772,'Shuttle Bids'!R824)</f>
        <v>-100</v>
      </c>
      <c r="BF39" s="100"/>
      <c r="BG39" s="100">
        <f>AVERAGE('Shuttle Bids'!U876,'Shuttle Bids'!U772,'Shuttle Bids'!U824)</f>
        <v>-100</v>
      </c>
      <c r="BH39" s="78">
        <f>AVERAGE('Shuttle Bids'!V876,'Shuttle Bids'!V772,'Shuttle Bids'!V824)</f>
        <v>-100</v>
      </c>
      <c r="BI39" s="100"/>
      <c r="BJ39" s="100">
        <f>AVERAGE('Shuttle Bids'!Y875,'Shuttle Bids'!Y771,'Shuttle Bids'!Y823)</f>
        <v>-100</v>
      </c>
      <c r="BK39" s="78">
        <f>AVERAGE('Shuttle Bids'!Z875,'Shuttle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Bids'!AN918,'Shuttle Bids'!AN866,'Shuttle Bids'!AN814)</f>
        <v>2397.3333333333335</v>
      </c>
      <c r="BX39" s="77">
        <f>AVERAGE('Shuttle Bids'!AO918,'Shuttle Bids'!AO866,'Shuttle Bids'!AO814)</f>
        <v>1016.6666666666666</v>
      </c>
      <c r="BY39" s="78">
        <f>AVERAGE('Shuttle Bids'!AP918,'Shuttle Bids'!AP866,'Shuttle Bids'!AP814)</f>
        <v>1707</v>
      </c>
      <c r="BZ39" s="72">
        <v>45</v>
      </c>
      <c r="CA39" s="77">
        <f>AVERAGE('Shuttle Bids'!AR765,'Shuttle Bids'!AR869,'Shuttle Bids'!AR817)</f>
        <v>654.33333333333337</v>
      </c>
      <c r="CB39" s="77">
        <f>AVERAGE('Shuttle Bids'!AS765,'Shuttle Bids'!AS869,'Shuttle Bids'!AS817)</f>
        <v>50</v>
      </c>
      <c r="CC39" s="78">
        <f>AVERAGE('Shuttle Bids'!AT765,'Shuttle Bids'!AT869,'Shuttle Bids'!AT817)</f>
        <v>352.16666666666669</v>
      </c>
      <c r="CD39" s="87"/>
      <c r="CE39" s="27"/>
      <c r="CF39" s="27"/>
    </row>
    <row r="40" spans="1:85" x14ac:dyDescent="0.2">
      <c r="A40" s="12">
        <f>+'Non-shuttle Bids'!A146</f>
        <v>52</v>
      </c>
      <c r="B40" s="85">
        <f>AVERAGE('Non-shuttle Bids'!D877,'Non-shuttle Bids'!D773,'Non-shuttle Bids'!D825)</f>
        <v>308.33333333333331</v>
      </c>
      <c r="C40" s="85">
        <f>AVERAGE('Non-shuttle Bids'!E877,'Non-shuttle Bids'!E773,'Non-shuttle Bids'!E825)</f>
        <v>137.66666666666666</v>
      </c>
      <c r="D40" s="83">
        <f>AVERAGE('Non-shuttle Bids'!F877,'Non-shuttle Bids'!F773,'Non-shuttle Bids'!F825)</f>
        <v>223</v>
      </c>
      <c r="E40" s="100">
        <f>AVERAGE('Non-shuttle Bids'!H824,'Non-shuttle Bids'!H772,'Non-shuttle Bids'!H876)</f>
        <v>400</v>
      </c>
      <c r="F40" s="100"/>
      <c r="G40" s="83">
        <f>AVERAGE('Non-shuttle Bids'!J824,'Non-shuttle Bids'!J772,'Non-shuttle Bids'!J876)</f>
        <v>400</v>
      </c>
      <c r="H40" s="77"/>
      <c r="I40" s="77"/>
      <c r="J40" s="78"/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Bids'!AR766)</f>
        <v>208.66666666666666</v>
      </c>
      <c r="AK40" s="77">
        <f>AVERAGE('Non-shuttle Bids'!AS818,'Non-shuttle Bids'!AS870,'Non-shuttle Bids'!AS766)</f>
        <v>108.33333333333333</v>
      </c>
      <c r="AL40" s="78">
        <f>AVERAGE('Non-shuttle Bids'!AT818,'Non-shuttle Bids'!AT870,'Non-shuttle Bids'!AT766)</f>
        <v>158.5</v>
      </c>
      <c r="AM40" s="79"/>
      <c r="AN40" s="77"/>
      <c r="AO40" s="77"/>
      <c r="AP40" s="87"/>
      <c r="AR40" s="12">
        <v>52</v>
      </c>
      <c r="AS40" s="100">
        <f>AVERAGE('Shuttle Bids'!D877,'Shuttle Bids'!D773,'Shuttle Bids'!D825)</f>
        <v>698.66666666666663</v>
      </c>
      <c r="AT40" s="100">
        <f>AVERAGE('Shuttle Bids'!E877,'Shuttle Bids'!E773,'Shuttle Bids'!E825)</f>
        <v>362.66666666666669</v>
      </c>
      <c r="AU40" s="78">
        <f>AVERAGE('Shuttle Bids'!F877,'Shuttle Bids'!F773,'Shuttle Bids'!F825)</f>
        <v>530.66666666666663</v>
      </c>
      <c r="AV40" s="100">
        <f>AVERAGE('Shuttle Bids'!H876,'Shuttle Bids'!H772,'Shuttle Bids'!H824)</f>
        <v>-325</v>
      </c>
      <c r="AW40" s="100">
        <f>AVERAGE('Shuttle Bids'!I876,'Shuttle Bids'!I772,'Shuttle Bids'!I824)</f>
        <v>58.333333333333336</v>
      </c>
      <c r="AX40" s="78">
        <f>AVERAGE('Shuttle Bids'!J876,'Shuttle Bids'!J772,'Shuttle Bids'!J824)</f>
        <v>33.333333333333336</v>
      </c>
      <c r="AY40" s="100">
        <f>AVERAGE('Shuttle Bids'!L877,'Shuttle Bids'!L773,'Shuttle Bids'!L825)</f>
        <v>200</v>
      </c>
      <c r="AZ40" s="100">
        <f>AVERAGE('Shuttle Bids'!M877,'Shuttle Bids'!M773,'Shuttle Bids'!M825)</f>
        <v>-33.333333333333336</v>
      </c>
      <c r="BA40" s="78">
        <f>AVERAGE('Shuttle Bids'!N877,'Shuttle Bids'!N773,'Shuttle Bids'!N825)</f>
        <v>8.3333333333333339</v>
      </c>
      <c r="BB40" s="12">
        <v>52</v>
      </c>
      <c r="BC40" s="100"/>
      <c r="BD40" s="100">
        <f>AVERAGE('Shuttle Bids'!Q877,'Shuttle Bids'!Q773,'Shuttle Bids'!Q825)</f>
        <v>0</v>
      </c>
      <c r="BE40" s="78">
        <f>AVERAGE('Shuttle Bids'!R877,'Shuttle Bids'!R773,'Shuttle Bids'!R825)</f>
        <v>0</v>
      </c>
      <c r="BF40" s="100"/>
      <c r="BG40" s="100">
        <f>AVERAGE('Shuttle Bids'!U877,'Shuttle Bids'!U773,'Shuttle Bids'!U825)</f>
        <v>-50</v>
      </c>
      <c r="BH40" s="78">
        <f>AVERAGE('Shuttle Bids'!V877,'Shuttle Bids'!V773,'Shuttle Bids'!V825)</f>
        <v>-50</v>
      </c>
      <c r="BI40" s="100"/>
      <c r="BJ40" s="100">
        <f>AVERAGE('Shuttle Bids'!Y876,'Shuttle Bids'!Y772,'Shuttle Bids'!Y824)</f>
        <v>-100</v>
      </c>
      <c r="BK40" s="78">
        <f>AVERAGE('Shuttle Bids'!Z876,'Shuttle Bids'!Z772,'Shuttle Bids'!Z824)</f>
        <v>-100</v>
      </c>
      <c r="BL40" s="12">
        <v>52</v>
      </c>
      <c r="BM40" s="100"/>
      <c r="BN40" s="100">
        <f>AVERAGE('Shuttle Bids'!AC876,'Shuttle Bids'!AC772,'Shuttle Bids'!AC824)</f>
        <v>-100</v>
      </c>
      <c r="BO40" s="78">
        <f>AVERAGE('Shuttle Bids'!AD876,'Shuttle Bids'!AD772,'Shuttle Bids'!AD824)</f>
        <v>-100</v>
      </c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Bids'!AR766,'Shuttle Bids'!AR870,'Shuttle Bids'!AR818)</f>
        <v>364.33333333333331</v>
      </c>
      <c r="CB40" s="77">
        <f>AVERAGE('Shuttle Bids'!AS766,'Shuttle Bids'!AS870,'Shuttle Bids'!AS818)</f>
        <v>-58.333333333333336</v>
      </c>
      <c r="CC40" s="78">
        <f>AVERAGE('Shuttle Bids'!AT766,'Shuttle Bids'!AT870,'Shuttle Bids'!AT818)</f>
        <v>153</v>
      </c>
      <c r="CD40" s="87"/>
      <c r="CE40" s="27"/>
      <c r="CF40" s="27"/>
    </row>
    <row r="41" spans="1:85" x14ac:dyDescent="0.2">
      <c r="A41" s="12">
        <v>1</v>
      </c>
      <c r="B41" s="85">
        <f>AVERAGE('Non-shuttle Bids'!D878,'Non-shuttle Bids'!D774,'Non-shuttle Bids'!D826)</f>
        <v>6</v>
      </c>
      <c r="C41" s="85">
        <f>AVERAGE('Non-shuttle Bids'!E878,'Non-shuttle Bids'!E774,'Non-shuttle Bids'!E826)</f>
        <v>141.66666666666666</v>
      </c>
      <c r="D41" s="83">
        <f>AVERAGE('Non-shuttle Bids'!F878,'Non-shuttle Bids'!F774,'Non-shuttle Bids'!F826)</f>
        <v>139.5</v>
      </c>
      <c r="E41" s="100">
        <f>AVERAGE('Non-shuttle Bids'!H825,'Non-shuttle Bids'!H773,'Non-shuttle Bids'!H877)</f>
        <v>400</v>
      </c>
      <c r="F41" s="100"/>
      <c r="G41" s="83">
        <f>AVERAGE('Non-shuttle Bids'!J825,'Non-shuttle Bids'!J773,'Non-shuttle Bids'!J877)</f>
        <v>400</v>
      </c>
      <c r="H41" s="77"/>
      <c r="I41" s="77"/>
      <c r="J41" s="78"/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Bids'!AR767)</f>
        <v>500</v>
      </c>
      <c r="AK41" s="77">
        <f>AVERAGE('Non-shuttle Bids'!AS819,'Non-shuttle Bids'!AS871,'Non-shuttle Bids'!AS767)</f>
        <v>350</v>
      </c>
      <c r="AL41" s="78">
        <f>AVERAGE('Non-shuttle Bids'!AT819,'Non-shuttle Bids'!AT871,'Non-shuttle Bids'!AT767)</f>
        <v>425</v>
      </c>
      <c r="AM41" s="79"/>
      <c r="AN41" s="77"/>
      <c r="AO41" s="77"/>
      <c r="AP41" s="87"/>
      <c r="AR41" s="12">
        <v>1</v>
      </c>
      <c r="AS41" s="100">
        <f>AVERAGE('Shuttle Bids'!D878,'Shuttle Bids'!D774,'Shuttle Bids'!D826)</f>
        <v>779</v>
      </c>
      <c r="AT41" s="100">
        <f>AVERAGE('Shuttle Bids'!E878,'Shuttle Bids'!E774,'Shuttle Bids'!E826)</f>
        <v>162.33333333333334</v>
      </c>
      <c r="AU41" s="78">
        <f>AVERAGE('Shuttle Bids'!F878,'Shuttle Bids'!F774,'Shuttle Bids'!F826)</f>
        <v>470.66666666666669</v>
      </c>
      <c r="AV41" s="100">
        <f>AVERAGE('Shuttle Bids'!H877,'Shuttle Bids'!H773,'Shuttle Bids'!H825)</f>
        <v>600</v>
      </c>
      <c r="AW41" s="100">
        <f>AVERAGE('Shuttle Bids'!I877,'Shuttle Bids'!I773,'Shuttle Bids'!I825)</f>
        <v>87.333333333333329</v>
      </c>
      <c r="AX41" s="78">
        <f>AVERAGE('Shuttle Bids'!J877,'Shuttle Bids'!J773,'Shuttle Bids'!J825)</f>
        <v>208.16666666666666</v>
      </c>
      <c r="AY41" s="100"/>
      <c r="AZ41" s="100">
        <f>AVERAGE('Shuttle Bids'!M878,'Shuttle Bids'!M774,'Shuttle Bids'!M826)</f>
        <v>-16.666666666666668</v>
      </c>
      <c r="BA41" s="78">
        <f>AVERAGE('Shuttle Bids'!N878,'Shuttle Bids'!N774,'Shuttle Bids'!N826)</f>
        <v>-16.666666666666668</v>
      </c>
      <c r="BB41" s="12">
        <v>1</v>
      </c>
      <c r="BC41" s="100"/>
      <c r="BD41" s="100">
        <f>AVERAGE('Shuttle Bids'!Q878,'Shuttle Bids'!Q774,'Shuttle Bids'!Q826)</f>
        <v>-50</v>
      </c>
      <c r="BE41" s="78">
        <f>AVERAGE('Shuttle Bids'!R878,'Shuttle Bids'!R774,'Shuttle Bids'!R826)</f>
        <v>-50</v>
      </c>
      <c r="BF41" s="100"/>
      <c r="BG41" s="100">
        <f>AVERAGE('Shuttle Bids'!U878,'Shuttle Bids'!U774,'Shuttle Bids'!U826)</f>
        <v>-100</v>
      </c>
      <c r="BH41" s="78">
        <f>AVERAGE('Shuttle Bids'!V878,'Shuttle Bids'!V774,'Shuttle Bids'!V826)</f>
        <v>-100</v>
      </c>
      <c r="BI41" s="100"/>
      <c r="BJ41" s="100">
        <f>AVERAGE('Shuttle Bids'!Y877,'Shuttle Bids'!Y773,'Shuttle Bids'!Y825)</f>
        <v>-100</v>
      </c>
      <c r="BK41" s="78">
        <f>AVERAGE('Shuttle Bids'!Z877,'Shuttle Bids'!Z773,'Shuttle Bids'!Z825)</f>
        <v>-100</v>
      </c>
      <c r="BL41" s="12">
        <v>1</v>
      </c>
      <c r="BM41" s="100"/>
      <c r="BN41" s="100">
        <f>AVERAGE('Shuttle Bids'!AC877,'Shuttle Bids'!AC773,'Shuttle Bids'!AC825)</f>
        <v>-100</v>
      </c>
      <c r="BO41" s="78">
        <f>AVERAGE('Shuttle Bids'!AD877,'Shuttle Bids'!AD773,'Shuttle Bids'!AD825)</f>
        <v>-100</v>
      </c>
      <c r="BP41" s="49"/>
      <c r="BQ41" s="49"/>
      <c r="BW41" s="77"/>
      <c r="BX41" s="77"/>
      <c r="BY41" s="77"/>
      <c r="BZ41" s="72">
        <v>47</v>
      </c>
      <c r="CA41" s="77">
        <f>AVERAGE('Shuttle Bids'!AR767,'Shuttle Bids'!AR871,'Shuttle Bids'!AR819)</f>
        <v>500</v>
      </c>
      <c r="CB41" s="77"/>
      <c r="CC41" s="78">
        <f>AVERAGE('Shuttle Bids'!AT767,'Shuttle Bids'!AT871,'Shuttle Bids'!AT819)</f>
        <v>500</v>
      </c>
      <c r="CD41" s="87"/>
    </row>
    <row r="42" spans="1:85" x14ac:dyDescent="0.2">
      <c r="A42" s="12">
        <f>+A41+1</f>
        <v>2</v>
      </c>
      <c r="B42" s="85">
        <f>AVERAGE('Non-shuttle Bids'!D879,'Non-shuttle Bids'!D775,'Non-shuttle Bids'!D827)</f>
        <v>-19</v>
      </c>
      <c r="C42" s="85">
        <f>AVERAGE('Non-shuttle Bids'!E879,'Non-shuttle Bids'!E775,'Non-shuttle Bids'!E827)</f>
        <v>0</v>
      </c>
      <c r="D42" s="83">
        <f>AVERAGE('Non-shuttle Bids'!F879,'Non-shuttle Bids'!F775,'Non-shuttle Bids'!F827)</f>
        <v>-9.5</v>
      </c>
      <c r="E42" s="100">
        <f>AVERAGE('Non-shuttle Bids'!H826,'Non-shuttle Bids'!H774,'Non-shuttle Bids'!H878)</f>
        <v>0</v>
      </c>
      <c r="F42" s="100">
        <f>AVERAGE('Non-shuttle Bids'!I826,'Non-shuttle Bids'!I774,'Non-shuttle Bids'!I878)</f>
        <v>25</v>
      </c>
      <c r="G42" s="83">
        <f>AVERAGE('Non-shuttle Bids'!J826,'Non-shuttle Bids'!J774,'Non-shuttle Bids'!J878)</f>
        <v>12.5</v>
      </c>
      <c r="H42" s="77"/>
      <c r="I42" s="77"/>
      <c r="J42" s="78"/>
      <c r="K42" s="12">
        <f>+K41+1</f>
        <v>2</v>
      </c>
      <c r="L42" s="77"/>
      <c r="M42" s="77"/>
      <c r="N42" s="78"/>
      <c r="O42" s="106"/>
      <c r="P42" s="106"/>
      <c r="Q42" s="107"/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Bids'!D879,'Shuttle Bids'!D775,'Shuttle Bids'!D827)</f>
        <v>912.33333333333337</v>
      </c>
      <c r="AT42" s="100">
        <f>AVERAGE('Shuttle Bids'!E879,'Shuttle Bids'!E775,'Shuttle Bids'!E827)</f>
        <v>166.66666666666666</v>
      </c>
      <c r="AU42" s="78">
        <f>AVERAGE('Shuttle Bids'!F879,'Shuttle Bids'!F775,'Shuttle Bids'!F827)</f>
        <v>539.5</v>
      </c>
      <c r="AV42" s="100"/>
      <c r="AW42" s="100">
        <f>AVERAGE('Shuttle Bids'!I878,'Shuttle Bids'!I774,'Shuttle Bids'!I826)</f>
        <v>20.666666666666668</v>
      </c>
      <c r="AX42" s="78">
        <f>AVERAGE('Shuttle Bids'!J878,'Shuttle Bids'!J774,'Shuttle Bids'!J826)</f>
        <v>20.666666666666668</v>
      </c>
      <c r="AY42" s="100"/>
      <c r="AZ42" s="100">
        <f>AVERAGE('Shuttle Bids'!M879,'Shuttle Bids'!M775,'Shuttle Bids'!M827)</f>
        <v>25</v>
      </c>
      <c r="BA42" s="78">
        <f>AVERAGE('Shuttle Bids'!N879,'Shuttle Bids'!N775,'Shuttle Bids'!N827)</f>
        <v>25</v>
      </c>
      <c r="BB42" s="12">
        <v>2</v>
      </c>
      <c r="BC42" s="100"/>
      <c r="BD42" s="100"/>
      <c r="BE42" s="78"/>
      <c r="BF42" s="100"/>
      <c r="BG42" s="100">
        <f>AVERAGE('Shuttle Bids'!U879,'Shuttle Bids'!U775,'Shuttle Bids'!U827)</f>
        <v>0</v>
      </c>
      <c r="BH42" s="78">
        <f>AVERAGE('Shuttle Bids'!V879,'Shuttle Bids'!V775,'Shuttle Bids'!V827)</f>
        <v>0</v>
      </c>
      <c r="BI42" s="100"/>
      <c r="BJ42" s="100">
        <f>AVERAGE('Shuttle Bids'!Y878,'Shuttle Bids'!Y774,'Shuttle Bids'!Y826)</f>
        <v>-100</v>
      </c>
      <c r="BK42" s="78">
        <f>AVERAGE('Shuttle Bids'!Z878,'Shuttle Bids'!Z774,'Shuttle Bids'!Z826)</f>
        <v>-100</v>
      </c>
      <c r="BL42" s="12">
        <v>2</v>
      </c>
      <c r="BM42" s="100"/>
      <c r="BN42" s="100">
        <f>AVERAGE('Shuttle Bids'!AC878,'Shuttle Bids'!AC774,'Shuttle Bids'!AC826)</f>
        <v>-100</v>
      </c>
      <c r="BO42" s="78">
        <f>AVERAGE('Shuttle Bids'!AD878,'Shuttle Bids'!AD774,'Shuttle Bids'!AD826)</f>
        <v>-100</v>
      </c>
      <c r="BP42" s="49"/>
      <c r="BQ42" s="49"/>
    </row>
    <row r="43" spans="1:85" x14ac:dyDescent="0.2">
      <c r="A43" s="12">
        <f>+A42+1</f>
        <v>3</v>
      </c>
      <c r="B43" s="100"/>
      <c r="C43" s="100"/>
      <c r="D43" s="85"/>
      <c r="E43" s="100">
        <f>AVERAGE('Non-shuttle Bids'!H827,'Non-shuttle Bids'!H775,'Non-shuttle Bids'!H879)</f>
        <v>375</v>
      </c>
      <c r="F43" s="100">
        <f>AVERAGE('Non-shuttle Bids'!I827,'Non-shuttle Bids'!I775,'Non-shuttle Bids'!I879)</f>
        <v>25</v>
      </c>
      <c r="G43" s="83">
        <f>AVERAGE('Non-shuttle Bids'!J827,'Non-shuttle Bids'!J775,'Non-shuttle Bids'!J879)</f>
        <v>393.75</v>
      </c>
      <c r="H43" s="77"/>
      <c r="I43" s="77"/>
      <c r="J43" s="78"/>
      <c r="K43" s="12">
        <f>+K42+1</f>
        <v>3</v>
      </c>
      <c r="L43" s="77"/>
      <c r="M43" s="77"/>
      <c r="N43" s="78"/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Bids'!H879,'Shuttle Bids'!H775,'Shuttle Bids'!H827)</f>
        <v>2500</v>
      </c>
      <c r="AW43" s="100">
        <f>AVERAGE('Shuttle Bids'!I879,'Shuttle Bids'!I775,'Shuttle Bids'!I827)</f>
        <v>166.66666666666666</v>
      </c>
      <c r="AX43" s="78">
        <f>AVERAGE('Shuttle Bids'!J879,'Shuttle Bids'!J775,'Shuttle Bids'!J827)</f>
        <v>466.66666666666669</v>
      </c>
      <c r="AY43" s="100">
        <f>AVERAGE('Shuttle Bids'!L880,'Shuttle Bids'!L776,'Shuttle Bids'!L828)</f>
        <v>1150</v>
      </c>
      <c r="AZ43" s="100">
        <f>AVERAGE('Shuttle Bids'!M880,'Shuttle Bids'!M776,'Shuttle Bids'!M828)</f>
        <v>-8.3333333333333339</v>
      </c>
      <c r="BA43" s="78">
        <f>AVERAGE('Shuttle Bids'!N880,'Shuttle Bids'!N776,'Shuttle Bids'!N828)</f>
        <v>141.66666666666666</v>
      </c>
      <c r="BB43" s="12">
        <v>3</v>
      </c>
      <c r="BC43" s="100"/>
      <c r="BD43" s="100">
        <f>AVERAGE('Shuttle Bids'!Q880,'Shuttle Bids'!Q776,'Shuttle Bids'!Q828)</f>
        <v>50</v>
      </c>
      <c r="BE43" s="78">
        <f>AVERAGE('Shuttle Bids'!R880,'Shuttle Bids'!R776,'Shuttle Bids'!R828)</f>
        <v>50</v>
      </c>
      <c r="BF43" s="100"/>
      <c r="BG43" s="100">
        <f>AVERAGE('Shuttle Bids'!U880,'Shuttle Bids'!U776,'Shuttle Bids'!U828)</f>
        <v>100</v>
      </c>
      <c r="BH43" s="78">
        <f>AVERAGE('Shuttle Bids'!V880,'Shuttle Bids'!V776,'Shuttle Bids'!V828)</f>
        <v>100</v>
      </c>
      <c r="BI43" s="100"/>
      <c r="BJ43" s="100">
        <f>AVERAGE('Shuttle Bids'!Y879,'Shuttle Bids'!Y775,'Shuttle Bids'!Y827)</f>
        <v>-100</v>
      </c>
      <c r="BK43" s="78">
        <f>AVERAGE('Shuttle Bids'!Z879,'Shuttle Bids'!Z775,'Shuttle Bids'!Z827)</f>
        <v>-100</v>
      </c>
      <c r="BL43" s="12">
        <v>3</v>
      </c>
      <c r="BM43" s="100">
        <f>AVERAGE('Shuttle Bids'!AB879,'Shuttle Bids'!AB775,'Shuttle Bids'!AB827)</f>
        <v>-300</v>
      </c>
      <c r="BN43" s="100">
        <f>AVERAGE('Shuttle Bids'!AC879,'Shuttle Bids'!AC775,'Shuttle Bids'!AC827)</f>
        <v>-187.5</v>
      </c>
      <c r="BO43" s="78">
        <f>AVERAGE('Shuttle Bids'!AD879,'Shuttle Bids'!AD775,'Shuttle Bids'!AD827)</f>
        <v>-193.75</v>
      </c>
      <c r="BP43" s="49"/>
      <c r="BQ43" s="49"/>
    </row>
    <row r="44" spans="1:85" x14ac:dyDescent="0.2">
      <c r="A44" s="12">
        <v>4</v>
      </c>
      <c r="B44" s="100"/>
      <c r="C44" s="100"/>
      <c r="D44" s="85"/>
      <c r="E44" s="100">
        <f>AVERAGE('Non-shuttle Bids'!H828,'Non-shuttle Bids'!H776,'Non-shuttle Bids'!H880)</f>
        <v>737.5</v>
      </c>
      <c r="F44" s="100">
        <f>AVERAGE('Non-shuttle Bids'!I828,'Non-shuttle Bids'!I776,'Non-shuttle Bids'!I880)</f>
        <v>234</v>
      </c>
      <c r="G44" s="83">
        <f>AVERAGE('Non-shuttle Bids'!J828,'Non-shuttle Bids'!J776,'Non-shuttle Bids'!J880)</f>
        <v>485.75</v>
      </c>
      <c r="H44" s="77">
        <f>AVERAGE('Non-shuttle Bids'!L828,'Non-shuttle Bids'!L776,'Non-shuttle Bids'!L880)</f>
        <v>0</v>
      </c>
      <c r="I44" s="77"/>
      <c r="J44" s="78">
        <f>AVERAGE('Non-shuttle Bids'!N828,'Non-shuttle Bids'!N776,'Non-shuttle Bids'!N880)</f>
        <v>0</v>
      </c>
      <c r="K44" s="12">
        <v>4</v>
      </c>
      <c r="L44" s="77"/>
      <c r="M44" s="77"/>
      <c r="N44" s="78"/>
      <c r="O44" s="106"/>
      <c r="P44" s="106"/>
      <c r="Q44" s="107"/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Bids'!H880,'Shuttle Bids'!H776,'Shuttle Bids'!H828)</f>
        <v>789</v>
      </c>
      <c r="AW44" s="100">
        <f>AVERAGE('Shuttle Bids'!I880,'Shuttle Bids'!I776,'Shuttle Bids'!I828)</f>
        <v>152</v>
      </c>
      <c r="AX44" s="78">
        <f>AVERAGE('Shuttle Bids'!J880,'Shuttle Bids'!J776,'Shuttle Bids'!J828)</f>
        <v>470.5</v>
      </c>
      <c r="AY44" s="100">
        <f>AVERAGE('Shuttle Bids'!L881,'Shuttle Bids'!L777,'Shuttle Bids'!L829)</f>
        <v>700</v>
      </c>
      <c r="AZ44" s="100">
        <f>AVERAGE('Shuttle Bids'!M881,'Shuttle Bids'!M777,'Shuttle Bids'!M829)</f>
        <v>2.6666666666666665</v>
      </c>
      <c r="BA44" s="78">
        <f>AVERAGE('Shuttle Bids'!N881,'Shuttle Bids'!N777,'Shuttle Bids'!N829)</f>
        <v>68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>
        <f>AVERAGE('Shuttle Bids'!Y880,'Shuttle Bids'!Y776,'Shuttle Bids'!Y828)</f>
        <v>0</v>
      </c>
      <c r="BK44" s="78">
        <f>AVERAGE('Shuttle Bids'!Z880,'Shuttle Bids'!Z776,'Shuttle Bids'!Z828)</f>
        <v>0</v>
      </c>
      <c r="BL44" s="12">
        <v>4</v>
      </c>
      <c r="BM44" s="100"/>
      <c r="BN44" s="100">
        <f>AVERAGE('Shuttle Bids'!AC880,'Shuttle Bids'!AC776,'Shuttle Bids'!AC828)</f>
        <v>0</v>
      </c>
      <c r="BO44" s="78">
        <f>AVERAGE('Shuttle Bids'!AD880,'Shuttle Bids'!AD776,'Shuttle Bids'!AD828)</f>
        <v>0</v>
      </c>
      <c r="BP44" s="100"/>
      <c r="BQ44" s="100">
        <f>AVERAGE('Shuttle Bids'!AG880,'Shuttle Bids'!AG776,'Shuttle Bids'!AG828)</f>
        <v>25</v>
      </c>
      <c r="BR44" s="78">
        <f>AVERAGE('Shuttle Bids'!AH880,'Shuttle Bids'!AH776,'Shuttle Bids'!AH828)</f>
        <v>25</v>
      </c>
    </row>
    <row r="45" spans="1:85" x14ac:dyDescent="0.2">
      <c r="A45" s="12">
        <v>5</v>
      </c>
      <c r="B45" s="100"/>
      <c r="C45" s="100"/>
      <c r="D45" s="85"/>
      <c r="E45" s="100">
        <f>AVERAGE('Non-shuttle Bids'!H829,'Non-shuttle Bids'!H777,'Non-shuttle Bids'!H881)</f>
        <v>737.5</v>
      </c>
      <c r="F45" s="100">
        <f>AVERAGE('Non-shuttle Bids'!I829,'Non-shuttle Bids'!I777,'Non-shuttle Bids'!I881)</f>
        <v>171.66666666666666</v>
      </c>
      <c r="G45" s="83">
        <f>AVERAGE('Non-shuttle Bids'!J829,'Non-shuttle Bids'!J777,'Non-shuttle Bids'!J881)</f>
        <v>333.33333333333331</v>
      </c>
      <c r="H45" s="77">
        <f>AVERAGE('Non-shuttle Bids'!L829,'Non-shuttle Bids'!L777,'Non-shuttle Bids'!L881)</f>
        <v>0</v>
      </c>
      <c r="I45" s="77">
        <f>AVERAGE('Non-shuttle Bids'!M829,'Non-shuttle Bids'!M777,'Non-shuttle Bids'!M881)</f>
        <v>300</v>
      </c>
      <c r="J45" s="78">
        <f>AVERAGE('Non-shuttle Bids'!N829,'Non-shuttle Bids'!N777,'Non-shuttle Bids'!N881)</f>
        <v>300</v>
      </c>
      <c r="K45" s="12">
        <v>5</v>
      </c>
      <c r="L45" s="77"/>
      <c r="M45" s="77"/>
      <c r="N45" s="78"/>
      <c r="O45" s="106"/>
      <c r="P45" s="106"/>
      <c r="Q45" s="107"/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Bids'!H881,'Shuttle Bids'!H777,'Shuttle Bids'!H829)</f>
        <v>394.33333333333331</v>
      </c>
      <c r="AW45" s="100">
        <f>AVERAGE('Shuttle Bids'!I881,'Shuttle Bids'!I777,'Shuttle Bids'!I829)</f>
        <v>162.33333333333334</v>
      </c>
      <c r="AX45" s="78">
        <f>AVERAGE('Shuttle Bids'!J881,'Shuttle Bids'!J777,'Shuttle Bids'!J829)</f>
        <v>278.33333333333331</v>
      </c>
      <c r="AY45" s="100">
        <f>AVERAGE('Shuttle Bids'!L882,'Shuttle Bids'!L778,'Shuttle Bids'!L830)</f>
        <v>950</v>
      </c>
      <c r="AZ45" s="100">
        <f>AVERAGE('Shuttle Bids'!M882,'Shuttle Bids'!M778,'Shuttle Bids'!M830)</f>
        <v>-8.3333333333333339</v>
      </c>
      <c r="BA45" s="78">
        <f>AVERAGE('Shuttle Bids'!N882,'Shuttle Bids'!N778,'Shuttle Bids'!N830)</f>
        <v>87.5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Bids'!AG881,'Shuttle Bids'!AG777,'Shuttle Bids'!AG829)</f>
        <v>-50</v>
      </c>
      <c r="BR45" s="78">
        <f>AVERAGE('Shuttle Bids'!AH881,'Shuttle Bids'!AH777,'Shuttle Bids'!AH829)</f>
        <v>-50</v>
      </c>
    </row>
    <row r="46" spans="1:85" x14ac:dyDescent="0.2">
      <c r="A46" s="12">
        <v>6</v>
      </c>
      <c r="B46" s="100"/>
      <c r="C46" s="100"/>
      <c r="D46" s="85"/>
      <c r="E46" s="100">
        <f>AVERAGE('Non-shuttle Bids'!H830,'Non-shuttle Bids'!H778,'Non-shuttle Bids'!H882)</f>
        <v>324.66666666666669</v>
      </c>
      <c r="F46" s="100">
        <f>AVERAGE('Non-shuttle Bids'!I830,'Non-shuttle Bids'!I778,'Non-shuttle Bids'!I882)</f>
        <v>300</v>
      </c>
      <c r="G46" s="83">
        <f>AVERAGE('Non-shuttle Bids'!J830,'Non-shuttle Bids'!J778,'Non-shuttle Bids'!J882)</f>
        <v>260.16666666666669</v>
      </c>
      <c r="H46" s="77">
        <f>AVERAGE('Non-shuttle Bids'!L830,'Non-shuttle Bids'!L778,'Non-shuttle Bids'!L882)</f>
        <v>-5</v>
      </c>
      <c r="I46" s="77">
        <f>AVERAGE('Non-shuttle Bids'!M830,'Non-shuttle Bids'!M778,'Non-shuttle Bids'!M882)</f>
        <v>200</v>
      </c>
      <c r="J46" s="78">
        <f>AVERAGE('Non-shuttle Bids'!N830,'Non-shuttle Bids'!N778,'Non-shuttle Bids'!N882)</f>
        <v>199.16666666666666</v>
      </c>
      <c r="K46" s="12">
        <v>6</v>
      </c>
      <c r="L46" s="77"/>
      <c r="M46" s="77"/>
      <c r="N46" s="78"/>
      <c r="O46" s="106"/>
      <c r="P46" s="106"/>
      <c r="Q46" s="107"/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Bids'!H882,'Shuttle Bids'!H778,'Shuttle Bids'!H830)</f>
        <v>388</v>
      </c>
      <c r="AW46" s="100">
        <f>AVERAGE('Shuttle Bids'!I882,'Shuttle Bids'!I778,'Shuttle Bids'!I830)</f>
        <v>233.33333333333334</v>
      </c>
      <c r="AX46" s="78">
        <f>AVERAGE('Shuttle Bids'!J882,'Shuttle Bids'!J778,'Shuttle Bids'!J830)</f>
        <v>310.66666666666669</v>
      </c>
      <c r="AY46" s="100">
        <f>AVERAGE('Shuttle Bids'!L883,'Shuttle Bids'!L779,'Shuttle Bids'!L831)</f>
        <v>-187.5</v>
      </c>
      <c r="AZ46" s="100">
        <f>AVERAGE('Shuttle Bids'!M883,'Shuttle Bids'!M779,'Shuttle Bids'!M831)</f>
        <v>87.666666666666671</v>
      </c>
      <c r="BA46" s="78">
        <f>AVERAGE('Shuttle Bids'!N883,'Shuttle Bids'!N779,'Shuttle Bids'!N831)</f>
        <v>75.166666666666671</v>
      </c>
      <c r="BB46" s="12">
        <v>6</v>
      </c>
      <c r="BC46" s="100">
        <f>AVERAGE('Shuttle Bids'!P883,'Shuttle Bids'!P779,'Shuttle Bids'!P831)</f>
        <v>-375</v>
      </c>
      <c r="BD46" s="100">
        <f>AVERAGE('Shuttle Bids'!Q883,'Shuttle Bids'!Q779,'Shuttle Bids'!Q831)</f>
        <v>-100</v>
      </c>
      <c r="BE46" s="78">
        <f>AVERAGE('Shuttle Bids'!R883,'Shuttle Bids'!R779,'Shuttle Bids'!R831)</f>
        <v>-237.5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Bids'!AG882,'Shuttle Bids'!AG778,'Shuttle Bids'!AG830)</f>
        <v>-50</v>
      </c>
      <c r="BR46" s="78">
        <f>AVERAGE('Shuttle Bids'!AH882,'Shuttle Bids'!AH778,'Shuttle Bids'!AH830)</f>
        <v>-50</v>
      </c>
    </row>
    <row r="47" spans="1:85" x14ac:dyDescent="0.2">
      <c r="A47" s="12">
        <v>7</v>
      </c>
      <c r="B47" s="100"/>
      <c r="C47" s="100"/>
      <c r="D47" s="85"/>
      <c r="E47" s="100">
        <f>AVERAGE('Non-shuttle Bids'!H831,'Non-shuttle Bids'!H779,'Non-shuttle Bids'!H883)</f>
        <v>424.66666666666669</v>
      </c>
      <c r="F47" s="100">
        <f>AVERAGE('Non-shuttle Bids'!I831,'Non-shuttle Bids'!I779,'Non-shuttle Bids'!I883)</f>
        <v>179.33333333333334</v>
      </c>
      <c r="G47" s="83">
        <f>AVERAGE('Non-shuttle Bids'!J831,'Non-shuttle Bids'!J779,'Non-shuttle Bids'!J883)</f>
        <v>302</v>
      </c>
      <c r="H47" s="77">
        <f>AVERAGE('Non-shuttle Bids'!L831,'Non-shuttle Bids'!L779,'Non-shuttle Bids'!L883)</f>
        <v>747.5</v>
      </c>
      <c r="I47" s="77">
        <f>AVERAGE('Non-shuttle Bids'!M831,'Non-shuttle Bids'!M779,'Non-shuttle Bids'!M883)</f>
        <v>171</v>
      </c>
      <c r="J47" s="78">
        <f>AVERAGE('Non-shuttle Bids'!N831,'Non-shuttle Bids'!N779,'Non-shuttle Bids'!N883)</f>
        <v>336.83333333333331</v>
      </c>
      <c r="K47" s="12">
        <v>7</v>
      </c>
      <c r="L47" s="77"/>
      <c r="M47" s="77"/>
      <c r="N47" s="78"/>
      <c r="O47" s="106"/>
      <c r="P47" s="106"/>
      <c r="Q47" s="107"/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Bids'!H883,'Shuttle Bids'!H779,'Shuttle Bids'!H831)</f>
        <v>986</v>
      </c>
      <c r="AW47" s="100">
        <f>AVERAGE('Shuttle Bids'!I883,'Shuttle Bids'!I779,'Shuttle Bids'!I831)</f>
        <v>137.33333333333334</v>
      </c>
      <c r="AX47" s="78">
        <f>AVERAGE('Shuttle Bids'!J883,'Shuttle Bids'!J779,'Shuttle Bids'!J831)</f>
        <v>561.66666666666663</v>
      </c>
      <c r="AY47" s="100">
        <f>AVERAGE('Shuttle Bids'!L884,'Shuttle Bids'!L780,'Shuttle Bids'!L832)</f>
        <v>514</v>
      </c>
      <c r="AZ47" s="100">
        <f>AVERAGE('Shuttle Bids'!M884,'Shuttle Bids'!M780,'Shuttle Bids'!M832)</f>
        <v>87.333333333333329</v>
      </c>
      <c r="BA47" s="78">
        <f>AVERAGE('Shuttle Bids'!N884,'Shuttle Bids'!N780,'Shuttle Bids'!N832)</f>
        <v>300.66666666666669</v>
      </c>
      <c r="BB47" s="12">
        <v>7</v>
      </c>
      <c r="BC47" s="100">
        <f>AVERAGE('Shuttle Bids'!P884,'Shuttle Bids'!P780,'Shuttle Bids'!P832)</f>
        <v>-219</v>
      </c>
      <c r="BD47" s="100">
        <f>AVERAGE('Shuttle Bids'!Q884,'Shuttle Bids'!Q780,'Shuttle Bids'!Q832)</f>
        <v>-200</v>
      </c>
      <c r="BE47" s="78">
        <f>AVERAGE('Shuttle Bids'!R884,'Shuttle Bids'!R780,'Shuttle Bids'!R832)</f>
        <v>-240.75</v>
      </c>
      <c r="BF47" s="100"/>
      <c r="BG47" s="100"/>
      <c r="BH47" s="78"/>
      <c r="BI47" s="100"/>
      <c r="BJ47" s="100"/>
      <c r="BK47" s="78"/>
      <c r="BL47" s="12">
        <v>7</v>
      </c>
      <c r="BM47" s="100">
        <f>AVERAGE('Shuttle Bids'!AB883,'Shuttle Bids'!AB779,'Shuttle Bids'!AB831)</f>
        <v>-300</v>
      </c>
      <c r="BN47" s="100"/>
      <c r="BO47" s="78">
        <f>AVERAGE('Shuttle Bids'!AD883,'Shuttle Bids'!AD779,'Shuttle Bids'!AD831)</f>
        <v>-300</v>
      </c>
      <c r="BP47" s="100">
        <f>AVERAGE('Shuttle Bids'!AF883,'Shuttle Bids'!AF779,'Shuttle Bids'!AF831)</f>
        <v>-300</v>
      </c>
      <c r="BQ47" s="100">
        <f>AVERAGE('Shuttle Bids'!AG883,'Shuttle Bids'!AG779,'Shuttle Bids'!AG831)</f>
        <v>-50</v>
      </c>
      <c r="BR47" s="78">
        <f>AVERAGE('Shuttle Bids'!AH883,'Shuttle Bids'!AH779,'Shuttle Bids'!AH831)</f>
        <v>-175</v>
      </c>
      <c r="BS47" s="49"/>
      <c r="BT47" s="49"/>
      <c r="BU47" s="49"/>
    </row>
    <row r="48" spans="1:85" x14ac:dyDescent="0.2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Bids'!L884)</f>
        <v>13</v>
      </c>
      <c r="I48" s="77">
        <f>AVERAGE('Non-shuttle Bids'!M832,'Non-shuttle Bids'!M780,'Non-shuttle Bids'!M884)</f>
        <v>2.5</v>
      </c>
      <c r="J48" s="78">
        <f>AVERAGE('Non-shuttle Bids'!N832,'Non-shuttle Bids'!N780,'Non-shuttle Bids'!N884)</f>
        <v>5.75</v>
      </c>
      <c r="K48" s="12">
        <v>8</v>
      </c>
      <c r="L48" s="77"/>
      <c r="M48" s="77"/>
      <c r="N48" s="78"/>
      <c r="O48" s="106"/>
      <c r="P48" s="106"/>
      <c r="Q48" s="107"/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Bids'!L885,'Shuttle Bids'!L781,'Shuttle Bids'!L833)</f>
        <v>866.66666666666663</v>
      </c>
      <c r="AZ48" s="100">
        <f>AVERAGE('Shuttle Bids'!M885,'Shuttle Bids'!M781,'Shuttle Bids'!M833)</f>
        <v>124.33333333333333</v>
      </c>
      <c r="BA48" s="78">
        <f>AVERAGE('Shuttle Bids'!N885,'Shuttle Bids'!N781,'Shuttle Bids'!N833)</f>
        <v>495.5</v>
      </c>
      <c r="BB48" s="12">
        <v>8</v>
      </c>
      <c r="BC48" s="100"/>
      <c r="BD48" s="100">
        <f>AVERAGE('Shuttle Bids'!Q885,'Shuttle Bids'!Q781,'Shuttle Bids'!Q833)</f>
        <v>87.5</v>
      </c>
      <c r="BE48" s="78">
        <f>AVERAGE('Shuttle Bids'!R885,'Shuttle Bids'!R781,'Shuttle Bids'!R833)</f>
        <v>87.5</v>
      </c>
      <c r="BF48" s="100"/>
      <c r="BG48" s="100">
        <f>AVERAGE('Shuttle Bids'!U885,'Shuttle Bids'!U781,'Shuttle Bids'!U833)</f>
        <v>-75</v>
      </c>
      <c r="BH48" s="78">
        <f>AVERAGE('Shuttle Bids'!V885,'Shuttle Bids'!V781,'Shuttle Bids'!V833)</f>
        <v>-75</v>
      </c>
      <c r="BI48" s="100"/>
      <c r="BJ48" s="100">
        <f>AVERAGE('Shuttle Bids'!Y884,'Shuttle Bids'!Y780,'Shuttle Bids'!Y832)</f>
        <v>-50</v>
      </c>
      <c r="BK48" s="78">
        <f>AVERAGE('Shuttle Bids'!Z884,'Shuttle Bids'!Z780,'Shuttle Bids'!Z832)</f>
        <v>-50</v>
      </c>
      <c r="BL48" s="12">
        <v>8</v>
      </c>
      <c r="BM48" s="100"/>
      <c r="BN48" s="100"/>
      <c r="BO48" s="78"/>
      <c r="BP48" s="100"/>
      <c r="BQ48" s="100">
        <f>AVERAGE('Shuttle Bids'!AG884,'Shuttle Bids'!AG780,'Shuttle Bids'!AG832)</f>
        <v>-50</v>
      </c>
      <c r="BR48" s="78">
        <f>AVERAGE('Shuttle Bids'!AH884,'Shuttle Bids'!AH780,'Shuttle Bids'!AH832)</f>
        <v>-50</v>
      </c>
      <c r="BS48" s="100"/>
      <c r="BT48" s="100"/>
      <c r="BU48" s="78"/>
      <c r="BV48" s="80"/>
    </row>
    <row r="49" spans="1:74" x14ac:dyDescent="0.2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Bids'!L885)</f>
        <v>-25</v>
      </c>
      <c r="I49" s="77">
        <f>AVERAGE('Non-shuttle Bids'!M833,'Non-shuttle Bids'!M781,'Non-shuttle Bids'!M885)</f>
        <v>-2.5</v>
      </c>
      <c r="J49" s="78">
        <f>AVERAGE('Non-shuttle Bids'!N833,'Non-shuttle Bids'!N781,'Non-shuttle Bids'!N885)</f>
        <v>-13.75</v>
      </c>
      <c r="K49" s="12">
        <v>9</v>
      </c>
      <c r="L49" s="77">
        <f>AVERAGE('Non-shuttle Bids'!P834,'Non-shuttle Bids'!P886,'Non-shuttle Bids'!P782)</f>
        <v>1000</v>
      </c>
      <c r="M49" s="77"/>
      <c r="N49" s="78">
        <f>AVERAGE('Non-shuttle Bids'!R834,'Non-shuttle Bids'!R886,'Non-shuttle Bids'!R782)</f>
        <v>1000</v>
      </c>
      <c r="O49" s="106">
        <f>AVERAGE('Non-shuttle Bids'!T834,'Non-shuttle Bids'!T886,'Non-shuttle Bids'!T782)</f>
        <v>800</v>
      </c>
      <c r="P49" s="106"/>
      <c r="Q49" s="107">
        <f>AVERAGE('Non-shuttle Bids'!V834,'Non-shuttle Bids'!V886,'Non-shuttle Bids'!V782)</f>
        <v>800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Bids'!L886,'Shuttle Bids'!L782,'Shuttle Bids'!L834)</f>
        <v>842.33333333333337</v>
      </c>
      <c r="AZ49" s="100">
        <f>AVERAGE('Shuttle Bids'!M886,'Shuttle Bids'!M782,'Shuttle Bids'!M834)</f>
        <v>187.33333333333334</v>
      </c>
      <c r="BA49" s="78">
        <f>AVERAGE('Shuttle Bids'!N886,'Shuttle Bids'!N782,'Shuttle Bids'!N834)</f>
        <v>514.83333333333337</v>
      </c>
      <c r="BB49" s="12">
        <v>9</v>
      </c>
      <c r="BC49" s="100">
        <f>AVERAGE('Shuttle Bids'!P886,'Shuttle Bids'!P782,'Shuttle Bids'!P834)</f>
        <v>-256</v>
      </c>
      <c r="BD49" s="100">
        <f>AVERAGE('Shuttle Bids'!Q886,'Shuttle Bids'!Q782,'Shuttle Bids'!Q834)</f>
        <v>-29.333333333333332</v>
      </c>
      <c r="BE49" s="78">
        <f>AVERAGE('Shuttle Bids'!R886,'Shuttle Bids'!R782,'Shuttle Bids'!R834)</f>
        <v>-22</v>
      </c>
      <c r="BF49" s="100"/>
      <c r="BG49" s="100">
        <f>AVERAGE('Shuttle Bids'!U886,'Shuttle Bids'!U782,'Shuttle Bids'!U834)</f>
        <v>-150</v>
      </c>
      <c r="BH49" s="78">
        <f>AVERAGE('Shuttle Bids'!V886,'Shuttle Bids'!V782,'Shuttle Bids'!V834)</f>
        <v>-150</v>
      </c>
      <c r="BI49" s="100"/>
      <c r="BJ49" s="100"/>
      <c r="BK49" s="78"/>
      <c r="BL49" s="12">
        <v>9</v>
      </c>
      <c r="BM49" s="100">
        <f>AVERAGE('Shuttle Bids'!AB885,'Shuttle Bids'!AB781,'Shuttle Bids'!AB833)</f>
        <v>-125</v>
      </c>
      <c r="BN49" s="100"/>
      <c r="BO49" s="78">
        <f>AVERAGE('Shuttle Bids'!AD885,'Shuttle Bids'!AD781,'Shuttle Bids'!AD833)</f>
        <v>-125</v>
      </c>
      <c r="BP49" s="100">
        <f>AVERAGE('Shuttle Bids'!AF885,'Shuttle Bids'!AF781,'Shuttle Bids'!AF833)</f>
        <v>-125</v>
      </c>
      <c r="BQ49" s="100">
        <f>AVERAGE('Shuttle Bids'!AG885,'Shuttle Bids'!AG781,'Shuttle Bids'!AG833)</f>
        <v>-50</v>
      </c>
      <c r="BR49" s="78">
        <f>AVERAGE('Shuttle Bids'!AH885,'Shuttle Bids'!AH781,'Shuttle Bids'!AH833)</f>
        <v>-87.5</v>
      </c>
      <c r="BS49" s="100">
        <f>AVERAGE('Shuttle Bids'!AJ885,'Shuttle Bids'!AJ781,'Shuttle Bids'!AJ833)</f>
        <v>316.66666666666669</v>
      </c>
      <c r="BT49" s="100">
        <f>AVERAGE('Shuttle Bids'!AK885,'Shuttle Bids'!AK781,'Shuttle Bids'!AK833)</f>
        <v>-100</v>
      </c>
      <c r="BU49" s="78">
        <f>AVERAGE('Shuttle Bids'!AL885,'Shuttle Bids'!AL781,'Shuttle Bids'!AL833)</f>
        <v>308.33333333333331</v>
      </c>
      <c r="BV49" s="80"/>
    </row>
    <row r="50" spans="1:74" x14ac:dyDescent="0.2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Bids'!L886)</f>
        <v>520.66666666666663</v>
      </c>
      <c r="I50" s="77">
        <f>AVERAGE('Non-shuttle Bids'!M834,'Non-shuttle Bids'!M782,'Non-shuttle Bids'!M886)</f>
        <v>215</v>
      </c>
      <c r="J50" s="78">
        <f>AVERAGE('Non-shuttle Bids'!N834,'Non-shuttle Bids'!N782,'Non-shuttle Bids'!N886)</f>
        <v>367.83333333333331</v>
      </c>
      <c r="K50" s="12">
        <v>10</v>
      </c>
      <c r="L50" s="77">
        <f>AVERAGE('Non-shuttle Bids'!P835,'Non-shuttle Bids'!P887,'Non-shuttle Bids'!P783)</f>
        <v>800</v>
      </c>
      <c r="M50" s="77"/>
      <c r="N50" s="78">
        <f>AVERAGE('Non-shuttle Bids'!R835,'Non-shuttle Bids'!R887,'Non-shuttle Bids'!R783)</f>
        <v>800</v>
      </c>
      <c r="O50" s="106">
        <f>AVERAGE('Non-shuttle Bids'!T835,'Non-shuttle Bids'!T887,'Non-shuttle Bids'!T783)</f>
        <v>1000</v>
      </c>
      <c r="P50" s="106"/>
      <c r="Q50" s="107">
        <f>AVERAGE('Non-shuttle Bids'!V835,'Non-shuttle Bids'!V887,'Non-shuttle Bids'!V783)</f>
        <v>1000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Bids'!L887,'Shuttle Bids'!L783,'Shuttle Bids'!L835)</f>
        <v>1218.6666666666667</v>
      </c>
      <c r="AZ50" s="100">
        <f>AVERAGE('Shuttle Bids'!M887,'Shuttle Bids'!M783,'Shuttle Bids'!M835)</f>
        <v>474.66666666666669</v>
      </c>
      <c r="BA50" s="78">
        <f>AVERAGE('Shuttle Bids'!N887,'Shuttle Bids'!N783,'Shuttle Bids'!N835)</f>
        <v>846.66666666666663</v>
      </c>
      <c r="BB50" s="12">
        <v>10</v>
      </c>
      <c r="BC50" s="100">
        <f>AVERAGE('Shuttle Bids'!P887,'Shuttle Bids'!P783,'Shuttle Bids'!P835)</f>
        <v>2500</v>
      </c>
      <c r="BD50" s="100">
        <f>AVERAGE('Shuttle Bids'!Q887,'Shuttle Bids'!Q783,'Shuttle Bids'!Q835)</f>
        <v>195.66666666666666</v>
      </c>
      <c r="BE50" s="78">
        <f>AVERAGE('Shuttle Bids'!R887,'Shuttle Bids'!R783,'Shuttle Bids'!R835)</f>
        <v>445.66666666666669</v>
      </c>
      <c r="BF50" s="100"/>
      <c r="BG50" s="100">
        <f>AVERAGE('Shuttle Bids'!U887,'Shuttle Bids'!U783,'Shuttle Bids'!U835)</f>
        <v>-91.666666666666671</v>
      </c>
      <c r="BH50" s="78">
        <f>AVERAGE('Shuttle Bids'!V887,'Shuttle Bids'!V783,'Shuttle Bids'!V835)</f>
        <v>-91.666666666666671</v>
      </c>
      <c r="BI50" s="100"/>
      <c r="BJ50" s="100"/>
      <c r="BK50" s="78"/>
      <c r="BL50" s="12">
        <v>10</v>
      </c>
      <c r="BM50" s="100"/>
      <c r="BN50" s="100">
        <f>AVERAGE('Shuttle Bids'!AC886,'Shuttle Bids'!AC782,'Shuttle Bids'!AC834)</f>
        <v>-250</v>
      </c>
      <c r="BO50" s="78">
        <f>AVERAGE('Shuttle Bids'!AD886,'Shuttle Bids'!AD782,'Shuttle Bids'!AD834)</f>
        <v>-250</v>
      </c>
      <c r="BP50" s="100"/>
      <c r="BQ50" s="100">
        <f>AVERAGE('Shuttle Bids'!AG886,'Shuttle Bids'!AG782,'Shuttle Bids'!AG834)</f>
        <v>-100</v>
      </c>
      <c r="BR50" s="78">
        <f>AVERAGE('Shuttle Bids'!AH886,'Shuttle Bids'!AH782,'Shuttle Bids'!AH834)</f>
        <v>-100</v>
      </c>
      <c r="BS50" s="100">
        <f>AVERAGE('Shuttle Bids'!AJ886,'Shuttle Bids'!AJ782,'Shuttle Bids'!AJ834)</f>
        <v>500</v>
      </c>
      <c r="BT50" s="100">
        <f>AVERAGE('Shuttle Bids'!AK886,'Shuttle Bids'!AK782,'Shuttle Bids'!AK834)</f>
        <v>-100</v>
      </c>
      <c r="BU50" s="78">
        <f>AVERAGE('Shuttle Bids'!AL886,'Shuttle Bids'!AL782,'Shuttle Bids'!AL834)</f>
        <v>300</v>
      </c>
      <c r="BV50" s="80"/>
    </row>
    <row r="51" spans="1:74" x14ac:dyDescent="0.2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Bids'!L887)</f>
        <v>527.66666666666663</v>
      </c>
      <c r="I51" s="77">
        <f>AVERAGE('Non-shuttle Bids'!M835,'Non-shuttle Bids'!M783,'Non-shuttle Bids'!M887)</f>
        <v>400</v>
      </c>
      <c r="J51" s="78">
        <f>AVERAGE('Non-shuttle Bids'!N835,'Non-shuttle Bids'!N783,'Non-shuttle Bids'!N887)</f>
        <v>396.5</v>
      </c>
      <c r="K51" s="12">
        <v>11</v>
      </c>
      <c r="L51" s="77">
        <f>AVERAGE('Non-shuttle Bids'!P836,'Non-shuttle Bids'!P888,'Non-shuttle Bids'!P784)</f>
        <v>2500</v>
      </c>
      <c r="M51" s="77">
        <f>AVERAGE('Non-shuttle Bids'!Q836,'Non-shuttle Bids'!Q888,'Non-shuttle Bids'!Q784)</f>
        <v>1000</v>
      </c>
      <c r="N51" s="78">
        <f>AVERAGE('Non-shuttle Bids'!R836,'Non-shuttle Bids'!R888,'Non-shuttle Bids'!R784)</f>
        <v>1750</v>
      </c>
      <c r="O51" s="106">
        <f>AVERAGE('Non-shuttle Bids'!T836,'Non-shuttle Bids'!T888,'Non-shuttle Bids'!T784)</f>
        <v>1800</v>
      </c>
      <c r="P51" s="106"/>
      <c r="Q51" s="107">
        <f>AVERAGE('Non-shuttle Bids'!V836,'Non-shuttle Bids'!V888,'Non-shuttle Bids'!V784)</f>
        <v>1800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Bids'!P888,'Shuttle Bids'!P784,'Shuttle Bids'!P836)</f>
        <v>1085.3333333333333</v>
      </c>
      <c r="BD51" s="100">
        <f>AVERAGE('Shuttle Bids'!Q888,'Shuttle Bids'!Q784,'Shuttle Bids'!Q836)</f>
        <v>220.66666666666666</v>
      </c>
      <c r="BE51" s="78">
        <f>AVERAGE('Shuttle Bids'!R888,'Shuttle Bids'!R784,'Shuttle Bids'!R836)</f>
        <v>653</v>
      </c>
      <c r="BF51" s="100"/>
      <c r="BG51" s="100">
        <f>AVERAGE('Shuttle Bids'!U888,'Shuttle Bids'!U784,'Shuttle Bids'!U836)</f>
        <v>58.333333333333336</v>
      </c>
      <c r="BH51" s="78">
        <f>AVERAGE('Shuttle Bids'!V888,'Shuttle Bids'!V784,'Shuttle Bids'!V836)</f>
        <v>58.333333333333336</v>
      </c>
      <c r="BI51" s="100"/>
      <c r="BJ51" s="100"/>
      <c r="BK51" s="78"/>
      <c r="BL51" s="12">
        <v>11</v>
      </c>
      <c r="BM51" s="100"/>
      <c r="BN51" s="100">
        <f>AVERAGE('Shuttle Bids'!AC887,'Shuttle Bids'!AC783,'Shuttle Bids'!AC835)</f>
        <v>-37.5</v>
      </c>
      <c r="BO51" s="78">
        <f>AVERAGE('Shuttle Bids'!AD887,'Shuttle Bids'!AD783,'Shuttle Bids'!AD835)</f>
        <v>-37.5</v>
      </c>
      <c r="BP51" s="100"/>
      <c r="BQ51" s="100">
        <f>AVERAGE('Shuttle Bids'!AG887,'Shuttle Bids'!AG783,'Shuttle Bids'!AG835)</f>
        <v>-125</v>
      </c>
      <c r="BR51" s="78">
        <f>AVERAGE('Shuttle Bids'!AH887,'Shuttle Bids'!AH783,'Shuttle Bids'!AH835)</f>
        <v>-125</v>
      </c>
      <c r="BS51" s="100">
        <f>AVERAGE('Shuttle Bids'!AJ887,'Shuttle Bids'!AJ783,'Shuttle Bids'!AJ835)</f>
        <v>366.66666666666669</v>
      </c>
      <c r="BT51" s="100">
        <f>AVERAGE('Shuttle Bids'!AK887,'Shuttle Bids'!AK783,'Shuttle Bids'!AK835)</f>
        <v>-175</v>
      </c>
      <c r="BU51" s="78">
        <f>AVERAGE('Shuttle Bids'!AL887,'Shuttle Bids'!AL783,'Shuttle Bids'!AL835)</f>
        <v>341.66666666666669</v>
      </c>
      <c r="BV51" s="80"/>
    </row>
    <row r="52" spans="1:74" x14ac:dyDescent="0.2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Bids'!P889,'Non-shuttle Bids'!P785)</f>
        <v>920</v>
      </c>
      <c r="M52" s="77">
        <f>AVERAGE('Non-shuttle Bids'!Q837,'Non-shuttle Bids'!Q889,'Non-shuttle Bids'!Q785)</f>
        <v>512.5</v>
      </c>
      <c r="N52" s="78">
        <f>AVERAGE('Non-shuttle Bids'!R837,'Non-shuttle Bids'!R889,'Non-shuttle Bids'!R785)</f>
        <v>630.83333333333337</v>
      </c>
      <c r="O52" s="106">
        <f>AVERAGE('Non-shuttle Bids'!T837,'Non-shuttle Bids'!T889,'Non-shuttle Bids'!T785)</f>
        <v>900</v>
      </c>
      <c r="P52" s="106"/>
      <c r="Q52" s="107">
        <f>AVERAGE('Non-shuttle Bids'!V837,'Non-shuttle Bids'!V889,'Non-shuttle Bids'!V785)</f>
        <v>900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Bids'!P889,'Shuttle Bids'!P785,'Shuttle Bids'!P837)</f>
        <v>758.33333333333337</v>
      </c>
      <c r="BD52" s="100">
        <f>AVERAGE('Shuttle Bids'!Q889,'Shuttle Bids'!Q785,'Shuttle Bids'!Q837)</f>
        <v>458.33333333333331</v>
      </c>
      <c r="BE52" s="78">
        <f>AVERAGE('Shuttle Bids'!R889,'Shuttle Bids'!R785,'Shuttle Bids'!R837)</f>
        <v>608.33333333333337</v>
      </c>
      <c r="BF52" s="100"/>
      <c r="BG52" s="100">
        <f>AVERAGE('Shuttle Bids'!U889,'Shuttle Bids'!U785,'Shuttle Bids'!U837)</f>
        <v>180.66666666666666</v>
      </c>
      <c r="BH52" s="78">
        <f>AVERAGE('Shuttle Bids'!V889,'Shuttle Bids'!V785,'Shuttle Bids'!V837)</f>
        <v>180.66666666666666</v>
      </c>
      <c r="BI52" s="100"/>
      <c r="BJ52" s="100"/>
      <c r="BK52" s="78"/>
      <c r="BL52" s="12">
        <v>12</v>
      </c>
      <c r="BM52" s="100"/>
      <c r="BN52" s="100">
        <f>AVERAGE('Shuttle Bids'!AC888,'Shuttle Bids'!AC784,'Shuttle Bids'!AC836)</f>
        <v>-300</v>
      </c>
      <c r="BO52" s="78">
        <f>AVERAGE('Shuttle Bids'!AD888,'Shuttle Bids'!AD784,'Shuttle Bids'!AD836)</f>
        <v>-300</v>
      </c>
      <c r="BP52" s="100"/>
      <c r="BQ52" s="100">
        <f>AVERAGE('Shuttle Bids'!AG888,'Shuttle Bids'!AG784,'Shuttle Bids'!AG836)</f>
        <v>-100</v>
      </c>
      <c r="BR52" s="78">
        <f>AVERAGE('Shuttle Bids'!AH888,'Shuttle Bids'!AH784,'Shuttle Bids'!AH836)</f>
        <v>-100</v>
      </c>
      <c r="BS52" s="100">
        <f>AVERAGE('Shuttle Bids'!AJ888,'Shuttle Bids'!AJ784,'Shuttle Bids'!AJ836)</f>
        <v>-200</v>
      </c>
      <c r="BT52" s="100">
        <f>AVERAGE('Shuttle Bids'!AK888,'Shuttle Bids'!AK784,'Shuttle Bids'!AK836)</f>
        <v>-150</v>
      </c>
      <c r="BU52" s="78">
        <f>AVERAGE('Shuttle Bids'!AL888,'Shuttle Bids'!AL784,'Shuttle Bids'!AL836)</f>
        <v>-150</v>
      </c>
      <c r="BV52" s="80"/>
    </row>
    <row r="53" spans="1:74" x14ac:dyDescent="0.2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Bids'!P890,'Non-shuttle Bids'!P786)</f>
        <v>666.66666666666663</v>
      </c>
      <c r="M53" s="77">
        <f>AVERAGE('Non-shuttle Bids'!Q838,'Non-shuttle Bids'!Q890,'Non-shuttle Bids'!Q786)</f>
        <v>591.66666666666663</v>
      </c>
      <c r="N53" s="78">
        <f>AVERAGE('Non-shuttle Bids'!R838,'Non-shuttle Bids'!R890,'Non-shuttle Bids'!R786)</f>
        <v>629.16666666666663</v>
      </c>
      <c r="O53" s="106">
        <f>AVERAGE('Non-shuttle Bids'!T838,'Non-shuttle Bids'!T890,'Non-shuttle Bids'!T786)</f>
        <v>750</v>
      </c>
      <c r="P53" s="106">
        <f>AVERAGE('Non-shuttle Bids'!U838,'Non-shuttle Bids'!U890,'Non-shuttle Bids'!U786)</f>
        <v>1250</v>
      </c>
      <c r="Q53" s="107">
        <f>AVERAGE('Non-shuttle Bids'!V838,'Non-shuttle Bids'!V890,'Non-shuttle Bids'!V786)</f>
        <v>687.5</v>
      </c>
      <c r="R53" s="106"/>
      <c r="S53" s="106"/>
      <c r="T53" s="107"/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Bids'!P890,'Shuttle Bids'!P786,'Shuttle Bids'!P838)</f>
        <v>943.66666666666663</v>
      </c>
      <c r="BD53" s="100">
        <f>AVERAGE('Shuttle Bids'!Q890,'Shuttle Bids'!Q786,'Shuttle Bids'!Q838)</f>
        <v>487.33333333333331</v>
      </c>
      <c r="BE53" s="78">
        <f>AVERAGE('Shuttle Bids'!R890,'Shuttle Bids'!R786,'Shuttle Bids'!R838)</f>
        <v>715.5</v>
      </c>
      <c r="BF53" s="100">
        <f>AVERAGE('Shuttle Bids'!T890,'Shuttle Bids'!T786,'Shuttle Bids'!T838)</f>
        <v>-244</v>
      </c>
      <c r="BG53" s="100">
        <f>AVERAGE('Shuttle Bids'!U890,'Shuttle Bids'!U786,'Shuttle Bids'!U838)</f>
        <v>75</v>
      </c>
      <c r="BH53" s="78">
        <f>AVERAGE('Shuttle Bids'!V890,'Shuttle Bids'!V786,'Shuttle Bids'!V838)</f>
        <v>89.5</v>
      </c>
      <c r="BI53" s="100"/>
      <c r="BJ53" s="100"/>
      <c r="BK53" s="78"/>
      <c r="BL53" s="12">
        <v>13</v>
      </c>
      <c r="BM53" s="100">
        <f>AVERAGE('Shuttle Bids'!AB889,'Shuttle Bids'!AB785,'Shuttle Bids'!AB837)</f>
        <v>-350</v>
      </c>
      <c r="BN53" s="100">
        <f>AVERAGE('Shuttle Bids'!AC889,'Shuttle Bids'!AC785,'Shuttle Bids'!AC837)</f>
        <v>-300</v>
      </c>
      <c r="BO53" s="78">
        <f>AVERAGE('Shuttle Bids'!AD889,'Shuttle Bids'!AD785,'Shuttle Bids'!AD837)</f>
        <v>-325</v>
      </c>
      <c r="BP53" s="100"/>
      <c r="BQ53" s="100">
        <f>AVERAGE('Shuttle Bids'!AG889,'Shuttle Bids'!AG785,'Shuttle Bids'!AG837)</f>
        <v>-125</v>
      </c>
      <c r="BR53" s="78">
        <f>AVERAGE('Shuttle Bids'!AH889,'Shuttle Bids'!AH785,'Shuttle Bids'!AH837)</f>
        <v>-125</v>
      </c>
      <c r="BS53" s="100">
        <f>AVERAGE('Shuttle Bids'!AJ889,'Shuttle Bids'!AJ785,'Shuttle Bids'!AJ837)</f>
        <v>668.5</v>
      </c>
      <c r="BT53" s="100">
        <f>AVERAGE('Shuttle Bids'!AK889,'Shuttle Bids'!AK785,'Shuttle Bids'!AK837)</f>
        <v>-162.5</v>
      </c>
      <c r="BU53" s="78">
        <f>AVERAGE('Shuttle Bids'!AL889,'Shuttle Bids'!AL785,'Shuttle Bids'!AL837)</f>
        <v>397.83333333333331</v>
      </c>
      <c r="BV53" s="80"/>
    </row>
    <row r="54" spans="1:74" x14ac:dyDescent="0.2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Bids'!P891,'Non-shuttle Bids'!P787)</f>
        <v>2</v>
      </c>
      <c r="M54" s="77">
        <f>AVERAGE('Non-shuttle Bids'!Q839,'Non-shuttle Bids'!Q891,'Non-shuttle Bids'!Q787)</f>
        <v>447.66666666666669</v>
      </c>
      <c r="N54" s="78">
        <f>AVERAGE('Non-shuttle Bids'!R839,'Non-shuttle Bids'!R891,'Non-shuttle Bids'!R787)</f>
        <v>445.33333333333331</v>
      </c>
      <c r="O54" s="106">
        <f>AVERAGE('Non-shuttle Bids'!T839,'Non-shuttle Bids'!T891,'Non-shuttle Bids'!T787)</f>
        <v>0</v>
      </c>
      <c r="P54" s="106">
        <f>AVERAGE('Non-shuttle Bids'!U839,'Non-shuttle Bids'!U891,'Non-shuttle Bids'!U787)</f>
        <v>1500</v>
      </c>
      <c r="Q54" s="107">
        <f>AVERAGE('Non-shuttle Bids'!V839,'Non-shuttle Bids'!V891,'Non-shuttle Bids'!V787)</f>
        <v>750</v>
      </c>
      <c r="R54" s="106">
        <f>AVERAGE('Non-shuttle Bids'!X890,'Non-shuttle Bids'!X838,'Non-shuttle Bids'!X786)</f>
        <v>1500</v>
      </c>
      <c r="S54" s="106"/>
      <c r="T54" s="107">
        <f>AVERAGE('Non-shuttle Bids'!Z890,'Non-shuttle Bids'!Z838,'Non-shuttle Bids'!Z786)</f>
        <v>1500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Bids'!P891,'Shuttle Bids'!P787,'Shuttle Bids'!P839)</f>
        <v>670.66666666666663</v>
      </c>
      <c r="BD54" s="100">
        <f>AVERAGE('Shuttle Bids'!Q891,'Shuttle Bids'!Q787,'Shuttle Bids'!Q839)</f>
        <v>341.66666666666669</v>
      </c>
      <c r="BE54" s="78">
        <f>AVERAGE('Shuttle Bids'!R891,'Shuttle Bids'!R787,'Shuttle Bids'!R839)</f>
        <v>506.16666666666669</v>
      </c>
      <c r="BF54" s="100">
        <f>AVERAGE('Shuttle Bids'!T891,'Shuttle Bids'!T787,'Shuttle Bids'!T839)</f>
        <v>-275</v>
      </c>
      <c r="BG54" s="100">
        <f>AVERAGE('Shuttle Bids'!U891,'Shuttle Bids'!U787,'Shuttle Bids'!U839)</f>
        <v>102.66666666666667</v>
      </c>
      <c r="BH54" s="78">
        <f>AVERAGE('Shuttle Bids'!V891,'Shuttle Bids'!V787,'Shuttle Bids'!V839)</f>
        <v>119.33333333333333</v>
      </c>
      <c r="BI54" s="100"/>
      <c r="BJ54" s="100"/>
      <c r="BK54" s="78"/>
      <c r="BL54" s="12">
        <v>14</v>
      </c>
      <c r="BM54" s="100">
        <f>AVERAGE('Shuttle Bids'!AB890,'Shuttle Bids'!AB786,'Shuttle Bids'!AB838)</f>
        <v>-300</v>
      </c>
      <c r="BN54" s="100">
        <f>AVERAGE('Shuttle Bids'!AC890,'Shuttle Bids'!AC786,'Shuttle Bids'!AC838)</f>
        <v>-300</v>
      </c>
      <c r="BO54" s="78">
        <f>AVERAGE('Shuttle Bids'!AD890,'Shuttle Bids'!AD786,'Shuttle Bids'!AD838)</f>
        <v>-300</v>
      </c>
      <c r="BP54" s="100"/>
      <c r="BQ54" s="100">
        <f>AVERAGE('Shuttle Bids'!AG890,'Shuttle Bids'!AG786,'Shuttle Bids'!AG838)</f>
        <v>-150</v>
      </c>
      <c r="BR54" s="78">
        <f>AVERAGE('Shuttle Bids'!AH890,'Shuttle Bids'!AH786,'Shuttle Bids'!AH838)</f>
        <v>-150</v>
      </c>
      <c r="BS54" s="100">
        <f>AVERAGE('Shuttle Bids'!AJ890,'Shuttle Bids'!AJ786,'Shuttle Bids'!AJ838)</f>
        <v>429</v>
      </c>
      <c r="BT54" s="100">
        <f>AVERAGE('Shuttle Bids'!AK890,'Shuttle Bids'!AK786,'Shuttle Bids'!AK838)</f>
        <v>-125</v>
      </c>
      <c r="BU54" s="78">
        <f>AVERAGE('Shuttle Bids'!AL890,'Shuttle Bids'!AL786,'Shuttle Bids'!AL838)</f>
        <v>414.5</v>
      </c>
      <c r="BV54" s="80"/>
    </row>
    <row r="55" spans="1:74" x14ac:dyDescent="0.2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Bids'!P892,'Non-shuttle Bids'!P788)</f>
        <v>-13</v>
      </c>
      <c r="M55" s="77">
        <f>AVERAGE('Non-shuttle Bids'!Q840,'Non-shuttle Bids'!Q892,'Non-shuttle Bids'!Q788)</f>
        <v>333.33333333333331</v>
      </c>
      <c r="N55" s="78">
        <f>AVERAGE('Non-shuttle Bids'!R840,'Non-shuttle Bids'!R892,'Non-shuttle Bids'!R788)</f>
        <v>329</v>
      </c>
      <c r="O55" s="106">
        <f>AVERAGE('Non-shuttle Bids'!T840,'Non-shuttle Bids'!T892,'Non-shuttle Bids'!T788)</f>
        <v>0</v>
      </c>
      <c r="P55" s="106">
        <f>AVERAGE('Non-shuttle Bids'!U840,'Non-shuttle Bids'!U892,'Non-shuttle Bids'!U788)</f>
        <v>775</v>
      </c>
      <c r="Q55" s="107">
        <f>AVERAGE('Non-shuttle Bids'!V840,'Non-shuttle Bids'!V892,'Non-shuttle Bids'!V788)</f>
        <v>387.5</v>
      </c>
      <c r="R55" s="106"/>
      <c r="S55" s="106"/>
      <c r="T55" s="107"/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Bids'!P892,'Shuttle Bids'!P788,'Shuttle Bids'!P840)</f>
        <v>403</v>
      </c>
      <c r="BD55" s="100">
        <f>AVERAGE('Shuttle Bids'!Q892,'Shuttle Bids'!Q788,'Shuttle Bids'!Q840)</f>
        <v>58.333333333333336</v>
      </c>
      <c r="BE55" s="78">
        <f>AVERAGE('Shuttle Bids'!R892,'Shuttle Bids'!R788,'Shuttle Bids'!R840)</f>
        <v>230.66666666666666</v>
      </c>
      <c r="BF55" s="100"/>
      <c r="BG55" s="100">
        <f>AVERAGE('Shuttle Bids'!U892,'Shuttle Bids'!U788,'Shuttle Bids'!U840)</f>
        <v>0.66666666666666663</v>
      </c>
      <c r="BH55" s="78">
        <f>AVERAGE('Shuttle Bids'!V892,'Shuttle Bids'!V788,'Shuttle Bids'!V840)</f>
        <v>0.66666666666666663</v>
      </c>
      <c r="BI55" s="100">
        <f>AVERAGE('Shuttle Bids'!X891,'Shuttle Bids'!X787,'Shuttle Bids'!X839)</f>
        <v>-213</v>
      </c>
      <c r="BJ55" s="100">
        <f>AVERAGE('Shuttle Bids'!Y891,'Shuttle Bids'!Y787,'Shuttle Bids'!Y839)</f>
        <v>850</v>
      </c>
      <c r="BK55" s="78">
        <f>AVERAGE('Shuttle Bids'!Z891,'Shuttle Bids'!Z787,'Shuttle Bids'!Z839)</f>
        <v>318.5</v>
      </c>
      <c r="BL55" s="12">
        <v>15</v>
      </c>
      <c r="BM55" s="100">
        <f>AVERAGE('Shuttle Bids'!AB891,'Shuttle Bids'!AB787,'Shuttle Bids'!AB839)</f>
        <v>-300</v>
      </c>
      <c r="BN55" s="100">
        <f>AVERAGE('Shuttle Bids'!AC891,'Shuttle Bids'!AC787,'Shuttle Bids'!AC839)</f>
        <v>-300</v>
      </c>
      <c r="BO55" s="78">
        <f>AVERAGE('Shuttle Bids'!AD891,'Shuttle Bids'!AD787,'Shuttle Bids'!AD839)</f>
        <v>-300</v>
      </c>
      <c r="BP55" s="100"/>
      <c r="BQ55" s="100">
        <f>AVERAGE('Shuttle Bids'!AG891,'Shuttle Bids'!AG787,'Shuttle Bids'!AG839)</f>
        <v>-150</v>
      </c>
      <c r="BR55" s="78">
        <f>AVERAGE('Shuttle Bids'!AH891,'Shuttle Bids'!AH787,'Shuttle Bids'!AH839)</f>
        <v>-150</v>
      </c>
      <c r="BS55" s="100">
        <f>AVERAGE('Shuttle Bids'!AJ891,'Shuttle Bids'!AJ787,'Shuttle Bids'!AJ839)</f>
        <v>800</v>
      </c>
      <c r="BT55" s="100">
        <f>AVERAGE('Shuttle Bids'!AK891,'Shuttle Bids'!AK787,'Shuttle Bids'!AK839)</f>
        <v>-150</v>
      </c>
      <c r="BU55" s="78">
        <f>AVERAGE('Shuttle Bids'!AL891,'Shuttle Bids'!AL787,'Shuttle Bids'!AL839)</f>
        <v>483.33333333333331</v>
      </c>
      <c r="BV55" s="80"/>
    </row>
    <row r="56" spans="1:74" x14ac:dyDescent="0.2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Bids'!T893,'Non-shuttle Bids'!T789)</f>
        <v>1250</v>
      </c>
      <c r="P56" s="106">
        <f>AVERAGE('Non-shuttle Bids'!U841,'Non-shuttle Bids'!U893,'Non-shuttle Bids'!U789)</f>
        <v>0</v>
      </c>
      <c r="Q56" s="107">
        <f>AVERAGE('Non-shuttle Bids'!V841,'Non-shuttle Bids'!V893,'Non-shuttle Bids'!V789)</f>
        <v>1250</v>
      </c>
      <c r="R56" s="106"/>
      <c r="S56" s="106"/>
      <c r="T56" s="107"/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Bids'!T893,'Shuttle Bids'!T789,'Shuttle Bids'!T841)</f>
        <v>677</v>
      </c>
      <c r="BG56" s="100">
        <f>AVERAGE('Shuttle Bids'!U893,'Shuttle Bids'!U789,'Shuttle Bids'!U841)</f>
        <v>16.666666666666668</v>
      </c>
      <c r="BH56" s="78">
        <f>AVERAGE('Shuttle Bids'!V893,'Shuttle Bids'!V789,'Shuttle Bids'!V841)</f>
        <v>346.83333333333331</v>
      </c>
      <c r="BI56" s="100">
        <f>AVERAGE('Shuttle Bids'!X892,'Shuttle Bids'!X788,'Shuttle Bids'!X840)</f>
        <v>-213</v>
      </c>
      <c r="BJ56" s="100">
        <f>AVERAGE('Shuttle Bids'!Y892,'Shuttle Bids'!Y788,'Shuttle Bids'!Y840)</f>
        <v>450</v>
      </c>
      <c r="BK56" s="78">
        <f>AVERAGE('Shuttle Bids'!Z892,'Shuttle Bids'!Z788,'Shuttle Bids'!Z840)</f>
        <v>118.5</v>
      </c>
      <c r="BL56" s="12">
        <v>16</v>
      </c>
      <c r="BM56" s="100">
        <f>AVERAGE('Shuttle Bids'!AB892,'Shuttle Bids'!AB788,'Shuttle Bids'!AB840)</f>
        <v>-300</v>
      </c>
      <c r="BN56" s="100">
        <f>AVERAGE('Shuttle Bids'!AC892,'Shuttle Bids'!AC788,'Shuttle Bids'!AC840)</f>
        <v>400</v>
      </c>
      <c r="BO56" s="78">
        <f>AVERAGE('Shuttle Bids'!AD892,'Shuttle Bids'!AD788,'Shuttle Bids'!AD840)</f>
        <v>50</v>
      </c>
      <c r="BP56" s="100"/>
      <c r="BQ56" s="100">
        <f>AVERAGE('Shuttle Bids'!AG892,'Shuttle Bids'!AG788,'Shuttle Bids'!AG840)</f>
        <v>-150</v>
      </c>
      <c r="BR56" s="78">
        <f>AVERAGE('Shuttle Bids'!AH892,'Shuttle Bids'!AH788,'Shuttle Bids'!AH840)</f>
        <v>-150</v>
      </c>
      <c r="BS56" s="100">
        <f>AVERAGE('Shuttle Bids'!AJ892,'Shuttle Bids'!AJ788,'Shuttle Bids'!AJ840)</f>
        <v>737.5</v>
      </c>
      <c r="BT56" s="100">
        <f>AVERAGE('Shuttle Bids'!AK892,'Shuttle Bids'!AK788,'Shuttle Bids'!AK840)</f>
        <v>-150</v>
      </c>
      <c r="BU56" s="78">
        <f>AVERAGE('Shuttle Bids'!AL892,'Shuttle Bids'!AL788,'Shuttle Bids'!AL840)</f>
        <v>441.66666666666669</v>
      </c>
      <c r="BV56" s="80"/>
    </row>
    <row r="57" spans="1:74" x14ac:dyDescent="0.2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Bids'!T894,'Non-shuttle Bids'!T790)</f>
        <v>496.66666666666669</v>
      </c>
      <c r="P57" s="106">
        <f>AVERAGE('Non-shuttle Bids'!U842,'Non-shuttle Bids'!U894,'Non-shuttle Bids'!U790)</f>
        <v>83.333333333333329</v>
      </c>
      <c r="Q57" s="107">
        <f>AVERAGE('Non-shuttle Bids'!V842,'Non-shuttle Bids'!V894,'Non-shuttle Bids'!V790)</f>
        <v>290</v>
      </c>
      <c r="R57" s="106"/>
      <c r="S57" s="106"/>
      <c r="T57" s="107"/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Bids'!T894,'Shuttle Bids'!T790,'Shuttle Bids'!T842)</f>
        <v>366.66666666666669</v>
      </c>
      <c r="BG57" s="100">
        <f>AVERAGE('Shuttle Bids'!U894,'Shuttle Bids'!U790,'Shuttle Bids'!U842)</f>
        <v>-89</v>
      </c>
      <c r="BH57" s="78">
        <f>AVERAGE('Shuttle Bids'!V894,'Shuttle Bids'!V790,'Shuttle Bids'!V842)</f>
        <v>138.83333333333334</v>
      </c>
      <c r="BI57" s="100">
        <f>AVERAGE('Shuttle Bids'!X893,'Shuttle Bids'!X789,'Shuttle Bids'!X841)</f>
        <v>-225</v>
      </c>
      <c r="BJ57" s="100">
        <f>AVERAGE('Shuttle Bids'!Y893,'Shuttle Bids'!Y789,'Shuttle Bids'!Y841)</f>
        <v>-33.333333333333336</v>
      </c>
      <c r="BK57" s="78">
        <f>AVERAGE('Shuttle Bids'!Z893,'Shuttle Bids'!Z789,'Shuttle Bids'!Z841)</f>
        <v>-45.833333333333336</v>
      </c>
      <c r="BL57" s="12">
        <v>17</v>
      </c>
      <c r="BM57" s="100"/>
      <c r="BN57" s="100">
        <f>AVERAGE('Shuttle Bids'!AC893,'Shuttle Bids'!AC789,'Shuttle Bids'!AC841)</f>
        <v>50</v>
      </c>
      <c r="BO57" s="78">
        <f>AVERAGE('Shuttle Bids'!AD893,'Shuttle Bids'!AD789,'Shuttle Bids'!AD841)</f>
        <v>50</v>
      </c>
      <c r="BP57" s="100"/>
      <c r="BQ57" s="100">
        <f>AVERAGE('Shuttle Bids'!AG893,'Shuttle Bids'!AG789,'Shuttle Bids'!AG841)</f>
        <v>-150</v>
      </c>
      <c r="BR57" s="78">
        <f>AVERAGE('Shuttle Bids'!AH893,'Shuttle Bids'!AH789,'Shuttle Bids'!AH841)</f>
        <v>-150</v>
      </c>
      <c r="BS57" s="100">
        <f>AVERAGE('Shuttle Bids'!AJ893,'Shuttle Bids'!AJ789,'Shuttle Bids'!AJ841)</f>
        <v>750</v>
      </c>
      <c r="BT57" s="100">
        <f>AVERAGE('Shuttle Bids'!AK893,'Shuttle Bids'!AK789,'Shuttle Bids'!AK841)</f>
        <v>-150</v>
      </c>
      <c r="BU57" s="78">
        <f>AVERAGE('Shuttle Bids'!AL893,'Shuttle Bids'!AL789,'Shuttle Bids'!AL841)</f>
        <v>450</v>
      </c>
      <c r="BV57" s="80"/>
    </row>
    <row r="58" spans="1:74" x14ac:dyDescent="0.2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Bids'!T895,'Non-shuttle Bids'!T791)</f>
        <v>406</v>
      </c>
      <c r="P58" s="106">
        <f>AVERAGE('Non-shuttle Bids'!U843,'Non-shuttle Bids'!U895,'Non-shuttle Bids'!U791)</f>
        <v>73.333333333333329</v>
      </c>
      <c r="Q58" s="107">
        <f>AVERAGE('Non-shuttle Bids'!V843,'Non-shuttle Bids'!V895,'Non-shuttle Bids'!V791)</f>
        <v>239.66666666666666</v>
      </c>
      <c r="R58" s="106">
        <f>AVERAGE('Non-shuttle Bids'!X894,'Non-shuttle Bids'!X842,'Non-shuttle Bids'!X790)</f>
        <v>500</v>
      </c>
      <c r="S58" s="106">
        <f>AVERAGE('Non-shuttle Bids'!Y894,'Non-shuttle Bids'!Y842,'Non-shuttle Bids'!Y790)</f>
        <v>15</v>
      </c>
      <c r="T58" s="107">
        <f>AVERAGE('Non-shuttle Bids'!Z894,'Non-shuttle Bids'!Z842,'Non-shuttle Bids'!Z790)</f>
        <v>257.5</v>
      </c>
      <c r="U58" s="12">
        <v>18</v>
      </c>
      <c r="V58" s="100"/>
      <c r="W58" s="100"/>
      <c r="X58" s="83"/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Bids'!T895,'Shuttle Bids'!T791,'Shuttle Bids'!T843)</f>
        <v>208.33333333333334</v>
      </c>
      <c r="BG58" s="100">
        <f>AVERAGE('Shuttle Bids'!U895,'Shuttle Bids'!U791,'Shuttle Bids'!U843)</f>
        <v>-109.66666666666667</v>
      </c>
      <c r="BH58" s="78">
        <f>AVERAGE('Shuttle Bids'!V895,'Shuttle Bids'!V791,'Shuttle Bids'!V843)</f>
        <v>49.333333333333336</v>
      </c>
      <c r="BI58" s="100">
        <f>AVERAGE('Shuttle Bids'!X894,'Shuttle Bids'!X790,'Shuttle Bids'!X842)</f>
        <v>325</v>
      </c>
      <c r="BJ58" s="100">
        <f>AVERAGE('Shuttle Bids'!Y894,'Shuttle Bids'!Y790,'Shuttle Bids'!Y842)</f>
        <v>-108.33333333333333</v>
      </c>
      <c r="BK58" s="78">
        <f>AVERAGE('Shuttle Bids'!Z894,'Shuttle Bids'!Z790,'Shuttle Bids'!Z842)</f>
        <v>108.33333333333333</v>
      </c>
      <c r="BL58" s="12">
        <v>18</v>
      </c>
      <c r="BM58" s="100">
        <f>AVERAGE('Shuttle Bids'!AB894,'Shuttle Bids'!AB790,'Shuttle Bids'!AB842)</f>
        <v>-250</v>
      </c>
      <c r="BN58" s="100">
        <f>AVERAGE('Shuttle Bids'!AC894,'Shuttle Bids'!AC790,'Shuttle Bids'!AC842)</f>
        <v>-37.5</v>
      </c>
      <c r="BO58" s="78">
        <f>AVERAGE('Shuttle Bids'!AD894,'Shuttle Bids'!AD790,'Shuttle Bids'!AD842)</f>
        <v>-56.25</v>
      </c>
      <c r="BP58" s="100"/>
      <c r="BQ58" s="100">
        <f>AVERAGE('Shuttle Bids'!AG894,'Shuttle Bids'!AG790,'Shuttle Bids'!AG842)</f>
        <v>-175</v>
      </c>
      <c r="BR58" s="78">
        <f>AVERAGE('Shuttle Bids'!AH894,'Shuttle Bids'!AH790,'Shuttle Bids'!AH842)</f>
        <v>-175</v>
      </c>
      <c r="BS58" s="100">
        <f>AVERAGE('Shuttle Bids'!AJ894,'Shuttle Bids'!AJ790,'Shuttle Bids'!AJ842)</f>
        <v>-100</v>
      </c>
      <c r="BT58" s="100">
        <f>AVERAGE('Shuttle Bids'!AK894,'Shuttle Bids'!AK790,'Shuttle Bids'!AK842)</f>
        <v>150</v>
      </c>
      <c r="BU58" s="78">
        <f>AVERAGE('Shuttle Bids'!AL894,'Shuttle Bids'!AL790,'Shuttle Bids'!AL842)</f>
        <v>25</v>
      </c>
      <c r="BV58" s="80"/>
    </row>
    <row r="59" spans="1:74" x14ac:dyDescent="0.2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Bids'!T896,'Non-shuttle Bids'!T792)</f>
        <v>11</v>
      </c>
      <c r="P59" s="106">
        <f>AVERAGE('Non-shuttle Bids'!U844,'Non-shuttle Bids'!U896,'Non-shuttle Bids'!U792)</f>
        <v>100</v>
      </c>
      <c r="Q59" s="107">
        <f>AVERAGE('Non-shuttle Bids'!V844,'Non-shuttle Bids'!V896,'Non-shuttle Bids'!V792)</f>
        <v>74</v>
      </c>
      <c r="R59" s="106">
        <f>AVERAGE('Non-shuttle Bids'!X895,'Non-shuttle Bids'!X843,'Non-shuttle Bids'!X791)</f>
        <v>291.66666666666669</v>
      </c>
      <c r="S59" s="106">
        <f>AVERAGE('Non-shuttle Bids'!Y895,'Non-shuttle Bids'!Y843,'Non-shuttle Bids'!Y791)</f>
        <v>13</v>
      </c>
      <c r="T59" s="107">
        <f>AVERAGE('Non-shuttle Bids'!Z895,'Non-shuttle Bids'!Z843,'Non-shuttle Bids'!Z791)</f>
        <v>293.83333333333331</v>
      </c>
      <c r="U59" s="12">
        <v>19</v>
      </c>
      <c r="V59" s="100"/>
      <c r="W59" s="100"/>
      <c r="X59" s="83"/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Bids'!T896,'Shuttle Bids'!T792,'Shuttle Bids'!T844)</f>
        <v>-114.66666666666667</v>
      </c>
      <c r="BG59" s="100">
        <f>AVERAGE('Shuttle Bids'!U896,'Shuttle Bids'!U792,'Shuttle Bids'!U844)</f>
        <v>-221</v>
      </c>
      <c r="BH59" s="78">
        <f>AVERAGE('Shuttle Bids'!V896,'Shuttle Bids'!V792,'Shuttle Bids'!V844)</f>
        <v>-131</v>
      </c>
      <c r="BI59" s="100">
        <f>AVERAGE('Shuttle Bids'!X895,'Shuttle Bids'!X791,'Shuttle Bids'!X843)</f>
        <v>-183</v>
      </c>
      <c r="BJ59" s="100">
        <f>AVERAGE('Shuttle Bids'!Y895,'Shuttle Bids'!Y791,'Shuttle Bids'!Y843)</f>
        <v>-175</v>
      </c>
      <c r="BK59" s="78">
        <f>AVERAGE('Shuttle Bids'!Z895,'Shuttle Bids'!Z791,'Shuttle Bids'!Z843)</f>
        <v>-143</v>
      </c>
      <c r="BL59" s="12">
        <v>19</v>
      </c>
      <c r="BM59" s="100"/>
      <c r="BN59" s="100">
        <f>AVERAGE('Shuttle Bids'!AC895,'Shuttle Bids'!AC791,'Shuttle Bids'!AC843)</f>
        <v>-106.5</v>
      </c>
      <c r="BO59" s="78">
        <f>AVERAGE('Shuttle Bids'!AD895,'Shuttle Bids'!AD791,'Shuttle Bids'!AD843)</f>
        <v>-106.5</v>
      </c>
      <c r="BP59" s="100"/>
      <c r="BQ59" s="100">
        <f>AVERAGE('Shuttle Bids'!AG895,'Shuttle Bids'!AG791,'Shuttle Bids'!AG843)</f>
        <v>-6.5</v>
      </c>
      <c r="BR59" s="78">
        <f>AVERAGE('Shuttle Bids'!AH895,'Shuttle Bids'!AH791,'Shuttle Bids'!AH843)</f>
        <v>-6.5</v>
      </c>
      <c r="BS59" s="100">
        <f>AVERAGE('Shuttle Bids'!AJ895,'Shuttle Bids'!AJ791,'Shuttle Bids'!AJ843)</f>
        <v>150</v>
      </c>
      <c r="BT59" s="100">
        <f>AVERAGE('Shuttle Bids'!AK895,'Shuttle Bids'!AK791,'Shuttle Bids'!AK843)</f>
        <v>-63</v>
      </c>
      <c r="BU59" s="78">
        <f>AVERAGE('Shuttle Bids'!AL895,'Shuttle Bids'!AL791,'Shuttle Bids'!AL843)</f>
        <v>79</v>
      </c>
      <c r="BV59" s="80"/>
    </row>
    <row r="60" spans="1:74" x14ac:dyDescent="0.2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Bids'!X896,'Non-shuttle Bids'!X844,'Non-shuttle Bids'!X792)</f>
        <v>316.66666666666669</v>
      </c>
      <c r="S60" s="106">
        <f>AVERAGE('Non-shuttle Bids'!Y896,'Non-shuttle Bids'!Y844,'Non-shuttle Bids'!Y792)</f>
        <v>106.5</v>
      </c>
      <c r="T60" s="107">
        <f>AVERAGE('Non-shuttle Bids'!Z896,'Non-shuttle Bids'!Z844,'Non-shuttle Bids'!Z792)</f>
        <v>198</v>
      </c>
      <c r="U60" s="12">
        <v>20</v>
      </c>
      <c r="V60" s="100">
        <f>AVERAGE('Non-shuttle Bids'!AB896,'Non-shuttle Bids'!AB844,'Non-shuttle Bids'!AB792)</f>
        <v>0</v>
      </c>
      <c r="W60" s="100"/>
      <c r="X60" s="83">
        <f>AVERAGE('Non-shuttle Bids'!AD896,'Non-shuttle Bids'!AD844,'Non-shuttle Bids'!AD792)</f>
        <v>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Bids'!X896,'Shuttle Bids'!X792,'Shuttle Bids'!X844)</f>
        <v>-225</v>
      </c>
      <c r="BJ60" s="100">
        <f>AVERAGE('Shuttle Bids'!Y896,'Shuttle Bids'!Y792,'Shuttle Bids'!Y844)</f>
        <v>-216.66666666666666</v>
      </c>
      <c r="BK60" s="78">
        <f>AVERAGE('Shuttle Bids'!Z896,'Shuttle Bids'!Z792,'Shuttle Bids'!Z844)</f>
        <v>-187.5</v>
      </c>
      <c r="BL60" s="12">
        <v>20</v>
      </c>
      <c r="BM60" s="100"/>
      <c r="BN60" s="100">
        <f>AVERAGE('Shuttle Bids'!AC896,'Shuttle Bids'!AC792,'Shuttle Bids'!AC844)</f>
        <v>-150</v>
      </c>
      <c r="BO60" s="78">
        <f>AVERAGE('Shuttle Bids'!AD896,'Shuttle Bids'!AD792,'Shuttle Bids'!AD844)</f>
        <v>-150</v>
      </c>
      <c r="BP60" s="100"/>
      <c r="BQ60" s="100">
        <f>AVERAGE('Shuttle Bids'!AG896,'Shuttle Bids'!AG792,'Shuttle Bids'!AG844)</f>
        <v>-291.66666666666669</v>
      </c>
      <c r="BR60" s="78">
        <f>AVERAGE('Shuttle Bids'!AH896,'Shuttle Bids'!AH792,'Shuttle Bids'!AH844)</f>
        <v>-291.66666666666669</v>
      </c>
      <c r="BS60" s="100"/>
      <c r="BT60" s="100">
        <f>AVERAGE('Shuttle Bids'!AK896,'Shuttle Bids'!AK792,'Shuttle Bids'!AK844)</f>
        <v>-50</v>
      </c>
      <c r="BU60" s="78">
        <f>AVERAGE('Shuttle Bids'!AL896,'Shuttle Bids'!AL792,'Shuttle Bids'!AL844)</f>
        <v>-50</v>
      </c>
      <c r="BV60" s="80"/>
    </row>
    <row r="61" spans="1:74" x14ac:dyDescent="0.2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Bids'!X897,'Non-shuttle Bids'!X845,'Non-shuttle Bids'!X793)</f>
        <v>275</v>
      </c>
      <c r="S61" s="106">
        <f>AVERAGE('Non-shuttle Bids'!Y897,'Non-shuttle Bids'!Y845,'Non-shuttle Bids'!Y793)</f>
        <v>36.333333333333336</v>
      </c>
      <c r="T61" s="107">
        <f>AVERAGE('Non-shuttle Bids'!Z897,'Non-shuttle Bids'!Z845,'Non-shuttle Bids'!Z793)</f>
        <v>155.66666666666666</v>
      </c>
      <c r="U61" s="12">
        <v>21</v>
      </c>
      <c r="V61" s="100">
        <f>AVERAGE('Non-shuttle Bids'!AB897,'Non-shuttle Bids'!AB845,'Non-shuttle Bids'!AB793)</f>
        <v>12.5</v>
      </c>
      <c r="W61" s="100"/>
      <c r="X61" s="83">
        <f>AVERAGE('Non-shuttle Bids'!AD897,'Non-shuttle Bids'!AD845,'Non-shuttle Bids'!AD793)</f>
        <v>12.5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Bids'!X897,'Shuttle Bids'!X793,'Shuttle Bids'!X845)</f>
        <v>-87.5</v>
      </c>
      <c r="BJ61" s="100">
        <f>AVERAGE('Shuttle Bids'!Y897,'Shuttle Bids'!Y793,'Shuttle Bids'!Y845)</f>
        <v>-233.66666666666666</v>
      </c>
      <c r="BK61" s="78">
        <f>AVERAGE('Shuttle Bids'!Z897,'Shuttle Bids'!Z793,'Shuttle Bids'!Z845)</f>
        <v>-177.33333333333334</v>
      </c>
      <c r="BL61" s="12">
        <v>21</v>
      </c>
      <c r="BM61" s="100"/>
      <c r="BN61" s="100">
        <f>AVERAGE('Shuttle Bids'!AC897,'Shuttle Bids'!AC793,'Shuttle Bids'!AC845)</f>
        <v>-241.66666666666666</v>
      </c>
      <c r="BO61" s="78">
        <f>AVERAGE('Shuttle Bids'!AD897,'Shuttle Bids'!AD793,'Shuttle Bids'!AD845)</f>
        <v>-241.66666666666666</v>
      </c>
      <c r="BP61" s="100"/>
      <c r="BQ61" s="100">
        <f>AVERAGE('Shuttle Bids'!AG897,'Shuttle Bids'!AG793,'Shuttle Bids'!AG845)</f>
        <v>-283.33333333333331</v>
      </c>
      <c r="BR61" s="78">
        <f>AVERAGE('Shuttle Bids'!AH897,'Shuttle Bids'!AH793,'Shuttle Bids'!AH845)</f>
        <v>-283.33333333333331</v>
      </c>
      <c r="BS61" s="100"/>
      <c r="BT61" s="100">
        <f>AVERAGE('Shuttle Bids'!AK897,'Shuttle Bids'!AK793,'Shuttle Bids'!AK845)</f>
        <v>-91.666666666666671</v>
      </c>
      <c r="BU61" s="78">
        <f>AVERAGE('Shuttle Bids'!AL897,'Shuttle Bids'!AL793,'Shuttle Bids'!AL845)</f>
        <v>-91.666666666666671</v>
      </c>
      <c r="BV61" s="80"/>
    </row>
    <row r="62" spans="1:74" x14ac:dyDescent="0.2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Bids'!X898,'Non-shuttle Bids'!X846,'Non-shuttle Bids'!X794)</f>
        <v>12.5</v>
      </c>
      <c r="S62" s="106">
        <f>AVERAGE('Non-shuttle Bids'!Y898,'Non-shuttle Bids'!Y846,'Non-shuttle Bids'!Y794)</f>
        <v>28.333333333333332</v>
      </c>
      <c r="T62" s="107">
        <f>AVERAGE('Non-shuttle Bids'!Z898,'Non-shuttle Bids'!Z846,'Non-shuttle Bids'!Z794)</f>
        <v>30.833333333333332</v>
      </c>
      <c r="U62" s="12">
        <v>22</v>
      </c>
      <c r="V62" s="100">
        <f>AVERAGE('Non-shuttle Bids'!AB898,'Non-shuttle Bids'!AB846,'Non-shuttle Bids'!AB794)</f>
        <v>241.66666666666666</v>
      </c>
      <c r="W62" s="100"/>
      <c r="X62" s="83">
        <f>AVERAGE('Non-shuttle Bids'!AD898,'Non-shuttle Bids'!AD846,'Non-shuttle Bids'!AD794)</f>
        <v>241.66666666666666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Bids'!X898,'Shuttle Bids'!X794,'Shuttle Bids'!X846)</f>
        <v>151.33333333333334</v>
      </c>
      <c r="BJ62" s="100">
        <f>AVERAGE('Shuttle Bids'!Y898,'Shuttle Bids'!Y794,'Shuttle Bids'!Y846)</f>
        <v>-230.66666666666666</v>
      </c>
      <c r="BK62" s="78">
        <f>AVERAGE('Shuttle Bids'!Z898,'Shuttle Bids'!Z794,'Shuttle Bids'!Z846)</f>
        <v>-39.666666666666664</v>
      </c>
      <c r="BL62" s="12">
        <v>22</v>
      </c>
      <c r="BM62" s="100"/>
      <c r="BN62" s="100">
        <f>AVERAGE('Shuttle Bids'!AC898,'Shuttle Bids'!AC794,'Shuttle Bids'!AC846)</f>
        <v>-212.5</v>
      </c>
      <c r="BO62" s="78">
        <f>AVERAGE('Shuttle Bids'!AD898,'Shuttle Bids'!AD794,'Shuttle Bids'!AD846)</f>
        <v>-212.5</v>
      </c>
      <c r="BP62" s="100"/>
      <c r="BQ62" s="100">
        <f>AVERAGE('Shuttle Bids'!AG898,'Shuttle Bids'!AG794,'Shuttle Bids'!AG846)</f>
        <v>-208.33333333333334</v>
      </c>
      <c r="BR62" s="78">
        <f>AVERAGE('Shuttle Bids'!AH898,'Shuttle Bids'!AH794,'Shuttle Bids'!AH846)</f>
        <v>-208.33333333333334</v>
      </c>
      <c r="BS62" s="100"/>
      <c r="BT62" s="100">
        <f>AVERAGE('Shuttle Bids'!AK898,'Shuttle Bids'!AK794,'Shuttle Bids'!AK846)</f>
        <v>-58.333333333333336</v>
      </c>
      <c r="BU62" s="78">
        <f>AVERAGE('Shuttle Bids'!AL898,'Shuttle Bids'!AL794,'Shuttle Bids'!AL846)</f>
        <v>-58.333333333333336</v>
      </c>
      <c r="BV62" s="80"/>
    </row>
    <row r="63" spans="1:74" x14ac:dyDescent="0.2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Bids'!X899,'Non-shuttle Bids'!X847,'Non-shuttle Bids'!X795)</f>
        <v>273.66666666666669</v>
      </c>
      <c r="S63" s="106">
        <f>AVERAGE('Non-shuttle Bids'!Y899,'Non-shuttle Bids'!Y847,'Non-shuttle Bids'!Y795)</f>
        <v>8.3333333333333339</v>
      </c>
      <c r="T63" s="107">
        <f>AVERAGE('Non-shuttle Bids'!Z899,'Non-shuttle Bids'!Z847,'Non-shuttle Bids'!Z795)</f>
        <v>141</v>
      </c>
      <c r="U63" s="12">
        <v>23</v>
      </c>
      <c r="V63" s="100">
        <f>AVERAGE('Non-shuttle Bids'!AB899,'Non-shuttle Bids'!AB847,'Non-shuttle Bids'!AB795)</f>
        <v>225</v>
      </c>
      <c r="W63" s="100">
        <f>AVERAGE('Non-shuttle Bids'!AC899,'Non-shuttle Bids'!AC847,'Non-shuttle Bids'!AC795)</f>
        <v>0</v>
      </c>
      <c r="X63" s="83">
        <f>AVERAGE('Non-shuttle Bids'!AD899,'Non-shuttle Bids'!AD847,'Non-shuttle Bids'!AD795)</f>
        <v>220.83333333333334</v>
      </c>
      <c r="Y63" s="100"/>
      <c r="Z63" s="100">
        <f>AVERAGE('Non-shuttle Bids'!AG899,'Non-shuttle Bids'!AG795,'Non-shuttle Bids'!AG847)</f>
        <v>25</v>
      </c>
      <c r="AA63" s="83">
        <f>AVERAGE('Non-shuttle Bids'!AH899,'Non-shuttle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Bids'!X899,'Shuttle Bids'!X795,'Shuttle Bids'!X847)</f>
        <v>161</v>
      </c>
      <c r="BJ63" s="100">
        <f>AVERAGE('Shuttle Bids'!Y899,'Shuttle Bids'!Y795,'Shuttle Bids'!Y847)</f>
        <v>-267</v>
      </c>
      <c r="BK63" s="78">
        <f>AVERAGE('Shuttle Bids'!Z899,'Shuttle Bids'!Z795,'Shuttle Bids'!Z847)</f>
        <v>-53</v>
      </c>
      <c r="BL63" s="12">
        <v>23</v>
      </c>
      <c r="BM63" s="100">
        <f>AVERAGE('Shuttle Bids'!AB899,'Shuttle Bids'!AB795,'Shuttle Bids'!AB847)</f>
        <v>-150</v>
      </c>
      <c r="BN63" s="100">
        <f>AVERAGE('Shuttle Bids'!AC899,'Shuttle Bids'!AC795,'Shuttle Bids'!AC847)</f>
        <v>-212.5</v>
      </c>
      <c r="BO63" s="78">
        <f>AVERAGE('Shuttle Bids'!AD899,'Shuttle Bids'!AD795,'Shuttle Bids'!AD847)</f>
        <v>-218.75</v>
      </c>
      <c r="BP63" s="100"/>
      <c r="BQ63" s="100">
        <f>AVERAGE('Shuttle Bids'!AG899,'Shuttle Bids'!AG795,'Shuttle Bids'!AG847)</f>
        <v>-208.33333333333334</v>
      </c>
      <c r="BR63" s="78">
        <f>AVERAGE('Shuttle Bids'!AH899,'Shuttle Bids'!AH795,'Shuttle Bids'!AH847)</f>
        <v>-208.33333333333334</v>
      </c>
      <c r="BS63" s="100"/>
      <c r="BT63" s="100">
        <f>AVERAGE('Shuttle Bids'!AK899,'Shuttle Bids'!AK795,'Shuttle Bids'!AK847)</f>
        <v>-58.333333333333336</v>
      </c>
      <c r="BU63" s="78">
        <f>AVERAGE('Shuttle Bids'!AL899,'Shuttle Bids'!AL795,'Shuttle Bids'!AL847)</f>
        <v>-58.333333333333336</v>
      </c>
      <c r="BV63" s="80"/>
    </row>
    <row r="64" spans="1:74" x14ac:dyDescent="0.2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Bids'!X900,'Non-shuttle Bids'!X848,'Non-shuttle Bids'!X796)</f>
        <v>5</v>
      </c>
      <c r="S64" s="106">
        <f>AVERAGE('Non-shuttle Bids'!Y900,'Non-shuttle Bids'!Y848,'Non-shuttle Bids'!Y796)</f>
        <v>0</v>
      </c>
      <c r="T64" s="107">
        <f>AVERAGE('Non-shuttle Bids'!Z900,'Non-shuttle Bids'!Z848,'Non-shuttle Bids'!Z796)</f>
        <v>1.6666666666666667</v>
      </c>
      <c r="U64" s="12">
        <v>24</v>
      </c>
      <c r="V64" s="100">
        <f>AVERAGE('Non-shuttle Bids'!AB900,'Non-shuttle Bids'!AB848,'Non-shuttle Bids'!AB796)</f>
        <v>241.66666666666666</v>
      </c>
      <c r="W64" s="100">
        <f>AVERAGE('Non-shuttle Bids'!AC900,'Non-shuttle Bids'!AC848,'Non-shuttle Bids'!AC796)</f>
        <v>15</v>
      </c>
      <c r="X64" s="83">
        <f>AVERAGE('Non-shuttle Bids'!AD900,'Non-shuttle Bids'!AD848,'Non-shuttle Bids'!AD796)</f>
        <v>242.5</v>
      </c>
      <c r="Y64" s="100"/>
      <c r="Z64" s="100">
        <f>AVERAGE('Non-shuttle Bids'!AG900,'Non-shuttle Bids'!AG796,'Non-shuttle Bids'!AG848)</f>
        <v>25</v>
      </c>
      <c r="AA64" s="83">
        <f>AVERAGE('Non-shuttle Bids'!AH900,'Non-shuttle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Bids'!X900,'Shuttle Bids'!X796,'Shuttle Bids'!X848)</f>
        <v>283.33333333333331</v>
      </c>
      <c r="BJ64" s="100">
        <f>AVERAGE('Shuttle Bids'!Y900,'Shuttle Bids'!Y796,'Shuttle Bids'!Y848)</f>
        <v>-350</v>
      </c>
      <c r="BK64" s="78">
        <f>AVERAGE('Shuttle Bids'!Z900,'Shuttle Bids'!Z796,'Shuttle Bids'!Z848)</f>
        <v>-33.333333333333336</v>
      </c>
      <c r="BL64" s="12">
        <v>24</v>
      </c>
      <c r="BM64" s="100">
        <f>AVERAGE('Shuttle Bids'!AB900,'Shuttle Bids'!AB796,'Shuttle Bids'!AB848)</f>
        <v>600</v>
      </c>
      <c r="BN64" s="100">
        <f>AVERAGE('Shuttle Bids'!AC900,'Shuttle Bids'!AC796,'Shuttle Bids'!AC848)</f>
        <v>-255.66666666666666</v>
      </c>
      <c r="BO64" s="78">
        <f>AVERAGE('Shuttle Bids'!AD900,'Shuttle Bids'!AD796,'Shuttle Bids'!AD848)</f>
        <v>-109.83333333333333</v>
      </c>
      <c r="BP64" s="100"/>
      <c r="BQ64" s="100">
        <f>AVERAGE('Shuttle Bids'!AG900,'Shuttle Bids'!AG796,'Shuttle Bids'!AG848)</f>
        <v>-233.33333333333334</v>
      </c>
      <c r="BR64" s="78">
        <f>AVERAGE('Shuttle Bids'!AH900,'Shuttle Bids'!AH796,'Shuttle Bids'!AH848)</f>
        <v>-233.33333333333334</v>
      </c>
      <c r="BS64" s="100"/>
      <c r="BT64" s="100">
        <f>AVERAGE('Shuttle Bids'!AK900,'Shuttle Bids'!AK796,'Shuttle Bids'!AK848)</f>
        <v>-187.5</v>
      </c>
      <c r="BU64" s="78">
        <f>AVERAGE('Shuttle Bids'!AL900,'Shuttle Bids'!AL796,'Shuttle Bids'!AL848)</f>
        <v>-187.5</v>
      </c>
      <c r="BV64" s="80"/>
    </row>
    <row r="65" spans="1:74" x14ac:dyDescent="0.2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Bids'!X901,'Non-shuttle Bids'!X849,'Non-shuttle Bids'!X797)</f>
        <v>12.5</v>
      </c>
      <c r="S65" s="106">
        <f>AVERAGE('Non-shuttle Bids'!Y901,'Non-shuttle Bids'!Y849,'Non-shuttle Bids'!Y797)</f>
        <v>-16.666666666666668</v>
      </c>
      <c r="T65" s="107">
        <f>AVERAGE('Non-shuttle Bids'!Z901,'Non-shuttle Bids'!Z849,'Non-shuttle Bids'!Z797)</f>
        <v>-12.5</v>
      </c>
      <c r="U65" s="12">
        <v>25</v>
      </c>
      <c r="V65" s="100">
        <f>AVERAGE('Non-shuttle Bids'!AB901,'Non-shuttle Bids'!AB849,'Non-shuttle Bids'!AB797)</f>
        <v>162.33333333333334</v>
      </c>
      <c r="W65" s="100">
        <f>AVERAGE('Non-shuttle Bids'!AC901,'Non-shuttle Bids'!AC849,'Non-shuttle Bids'!AC797)</f>
        <v>9</v>
      </c>
      <c r="X65" s="83">
        <f>AVERAGE('Non-shuttle Bids'!AD901,'Non-shuttle Bids'!AD849,'Non-shuttle Bids'!AD797)</f>
        <v>167.5</v>
      </c>
      <c r="Y65" s="100">
        <f>AVERAGE('Non-shuttle Bids'!AF901,'Non-shuttle Bids'!AF797,'Non-shuttle Bids'!AF849)</f>
        <v>-200</v>
      </c>
      <c r="Z65" s="100">
        <f>AVERAGE('Non-shuttle Bids'!AG901,'Non-shuttle Bids'!AG797,'Non-shuttle Bids'!AG849)</f>
        <v>25</v>
      </c>
      <c r="AA65" s="83">
        <f>AVERAGE('Non-shuttle Bids'!AH901,'Non-shuttle Bids'!AH797,'Non-shuttle Bids'!AH849)</f>
        <v>-87.5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Bids'!X901,'Shuttle Bids'!X797,'Shuttle Bids'!X849)</f>
        <v>137.33333333333334</v>
      </c>
      <c r="BJ65" s="100">
        <f>AVERAGE('Shuttle Bids'!Y901,'Shuttle Bids'!Y797,'Shuttle Bids'!Y849)</f>
        <v>-625</v>
      </c>
      <c r="BK65" s="78">
        <f>AVERAGE('Shuttle Bids'!Z901,'Shuttle Bids'!Z797,'Shuttle Bids'!Z849)</f>
        <v>114.5</v>
      </c>
      <c r="BL65" s="12">
        <v>25</v>
      </c>
      <c r="BM65" s="100">
        <f>AVERAGE('Shuttle Bids'!AB901,'Shuttle Bids'!AB797,'Shuttle Bids'!AB849)</f>
        <v>-185.5</v>
      </c>
      <c r="BN65" s="100">
        <f>AVERAGE('Shuttle Bids'!AC901,'Shuttle Bids'!AC797,'Shuttle Bids'!AC849)</f>
        <v>-300</v>
      </c>
      <c r="BO65" s="78">
        <f>AVERAGE('Shuttle Bids'!AD901,'Shuttle Bids'!AD797,'Shuttle Bids'!AD849)</f>
        <v>-154.83333333333334</v>
      </c>
      <c r="BP65" s="100">
        <f>AVERAGE('Shuttle Bids'!AF901,'Shuttle Bids'!AF797,'Shuttle Bids'!AF849)</f>
        <v>-200</v>
      </c>
      <c r="BQ65" s="100">
        <f>AVERAGE('Shuttle Bids'!AG901,'Shuttle Bids'!AG797,'Shuttle Bids'!AG849)</f>
        <v>-175</v>
      </c>
      <c r="BR65" s="78">
        <f>AVERAGE('Shuttle Bids'!AH901,'Shuttle Bids'!AH797,'Shuttle Bids'!AH849)</f>
        <v>-183.33333333333334</v>
      </c>
      <c r="BS65" s="100"/>
      <c r="BT65" s="100">
        <f>AVERAGE('Shuttle Bids'!AK901,'Shuttle Bids'!AK797,'Shuttle Bids'!AK849)</f>
        <v>-175</v>
      </c>
      <c r="BU65" s="78">
        <f>AVERAGE('Shuttle Bids'!AL901,'Shuttle Bids'!AL797,'Shuttle Bids'!AL849)</f>
        <v>-175</v>
      </c>
      <c r="BV65" s="80"/>
    </row>
    <row r="66" spans="1:74" x14ac:dyDescent="0.2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Bids'!AB902,'Non-shuttle Bids'!AB850,'Non-shuttle Bids'!AB798)</f>
        <v>137</v>
      </c>
      <c r="W66" s="100">
        <f>AVERAGE('Non-shuttle Bids'!AC902,'Non-shuttle Bids'!AC850,'Non-shuttle Bids'!AC798)</f>
        <v>6.5</v>
      </c>
      <c r="X66" s="83">
        <f>AVERAGE('Non-shuttle Bids'!AD902,'Non-shuttle Bids'!AD850,'Non-shuttle Bids'!AD798)</f>
        <v>137.33333333333334</v>
      </c>
      <c r="Y66" s="100"/>
      <c r="Z66" s="100">
        <f>AVERAGE('Non-shuttle Bids'!AG902,'Non-shuttle Bids'!AG798,'Non-shuttle Bids'!AG850)</f>
        <v>25</v>
      </c>
      <c r="AA66" s="83">
        <f>AVERAGE('Non-shuttle Bids'!AH902,'Non-shuttle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Bids'!AB902,'Shuttle Bids'!AB798,'Shuttle Bids'!AB850)</f>
        <v>443.5</v>
      </c>
      <c r="BN66" s="100">
        <f>AVERAGE('Shuttle Bids'!AC902,'Shuttle Bids'!AC798,'Shuttle Bids'!AC850)</f>
        <v>-91.666666666666671</v>
      </c>
      <c r="BO66" s="78">
        <f>AVERAGE('Shuttle Bids'!AD902,'Shuttle Bids'!AD798,'Shuttle Bids'!AD850)</f>
        <v>14.5</v>
      </c>
      <c r="BP66" s="100">
        <f>AVERAGE('Shuttle Bids'!AF902,'Shuttle Bids'!AF798,'Shuttle Bids'!AF850)</f>
        <v>-150</v>
      </c>
      <c r="BQ66" s="100">
        <f>AVERAGE('Shuttle Bids'!AG902,'Shuttle Bids'!AG798,'Shuttle Bids'!AG850)</f>
        <v>-91.666666666666671</v>
      </c>
      <c r="BR66" s="78">
        <f>AVERAGE('Shuttle Bids'!AH902,'Shuttle Bids'!AH798,'Shuttle Bids'!AH850)</f>
        <v>-95.833333333333329</v>
      </c>
      <c r="BS66" s="100">
        <f>AVERAGE('Shuttle Bids'!AJ902,'Shuttle Bids'!AJ798,'Shuttle Bids'!AJ850)</f>
        <v>0</v>
      </c>
      <c r="BT66" s="100">
        <f>AVERAGE('Shuttle Bids'!AK902,'Shuttle Bids'!AK798,'Shuttle Bids'!AK850)</f>
        <v>-275</v>
      </c>
      <c r="BU66" s="78">
        <f>AVERAGE('Shuttle Bids'!AL902,'Shuttle Bids'!AL798,'Shuttle Bids'!AL850)</f>
        <v>-137.5</v>
      </c>
      <c r="BV66" s="80"/>
    </row>
    <row r="67" spans="1:74" x14ac:dyDescent="0.2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Bids'!AB903,'Non-shuttle Bids'!AB851,'Non-shuttle Bids'!AB799)</f>
        <v>201</v>
      </c>
      <c r="W67" s="100">
        <f>AVERAGE('Non-shuttle Bids'!AC903,'Non-shuttle Bids'!AC851,'Non-shuttle Bids'!AC799)</f>
        <v>28.333333333333332</v>
      </c>
      <c r="X67" s="83">
        <f>AVERAGE('Non-shuttle Bids'!AD903,'Non-shuttle Bids'!AD851,'Non-shuttle Bids'!AD799)</f>
        <v>114.66666666666667</v>
      </c>
      <c r="Y67" s="100"/>
      <c r="Z67" s="100">
        <f>AVERAGE('Non-shuttle Bids'!AG903,'Non-shuttle Bids'!AG799,'Non-shuttle Bids'!AG851)</f>
        <v>25</v>
      </c>
      <c r="AA67" s="83">
        <f>AVERAGE('Non-shuttle Bids'!AH903,'Non-shuttle Bids'!AH799,'Non-shuttle Bids'!AH851)</f>
        <v>25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Bids'!AB903,'Shuttle Bids'!AB799,'Shuttle Bids'!AB851)</f>
        <v>375</v>
      </c>
      <c r="BN67" s="100">
        <f>AVERAGE('Shuttle Bids'!AC903,'Shuttle Bids'!AC799,'Shuttle Bids'!AC851)</f>
        <v>-29.333333333333332</v>
      </c>
      <c r="BO67" s="78">
        <f>AVERAGE('Shuttle Bids'!AD903,'Shuttle Bids'!AD799,'Shuttle Bids'!AD851)</f>
        <v>172.83333333333334</v>
      </c>
      <c r="BP67" s="100">
        <f>AVERAGE('Shuttle Bids'!AF903,'Shuttle Bids'!AF799,'Shuttle Bids'!AF851)</f>
        <v>1500</v>
      </c>
      <c r="BQ67" s="100">
        <f>AVERAGE('Shuttle Bids'!AG903,'Shuttle Bids'!AG799,'Shuttle Bids'!AG851)</f>
        <v>-75</v>
      </c>
      <c r="BR67" s="78">
        <f>AVERAGE('Shuttle Bids'!AH903,'Shuttle Bids'!AH799,'Shuttle Bids'!AH851)</f>
        <v>108.33333333333333</v>
      </c>
      <c r="BS67" s="100">
        <f>AVERAGE('Shuttle Bids'!AJ903,'Shuttle Bids'!AJ799,'Shuttle Bids'!AJ851)</f>
        <v>-12.5</v>
      </c>
      <c r="BT67" s="100">
        <f>AVERAGE('Shuttle Bids'!AK903,'Shuttle Bids'!AK799,'Shuttle Bids'!AK851)</f>
        <v>-50</v>
      </c>
      <c r="BU67" s="78">
        <f>AVERAGE('Shuttle Bids'!AL903,'Shuttle Bids'!AL799,'Shuttle Bids'!AL851)</f>
        <v>37.5</v>
      </c>
      <c r="BV67" s="80"/>
    </row>
    <row r="68" spans="1:74" x14ac:dyDescent="0.2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Bids'!AB904,'Non-shuttle Bids'!AB852,'Non-shuttle Bids'!AB800)</f>
        <v>262.66666666666669</v>
      </c>
      <c r="W68" s="100">
        <f>AVERAGE('Non-shuttle Bids'!AC904,'Non-shuttle Bids'!AC852,'Non-shuttle Bids'!AC800)</f>
        <v>66.666666666666671</v>
      </c>
      <c r="X68" s="83">
        <f>AVERAGE('Non-shuttle Bids'!AD904,'Non-shuttle Bids'!AD852,'Non-shuttle Bids'!AD800)</f>
        <v>164.66666666666666</v>
      </c>
      <c r="Y68" s="100">
        <f>AVERAGE('Non-shuttle Bids'!AF904,'Non-shuttle Bids'!AF800,'Non-shuttle Bids'!AF852)</f>
        <v>800</v>
      </c>
      <c r="Z68" s="100">
        <f>AVERAGE('Non-shuttle Bids'!AG904,'Non-shuttle Bids'!AG800,'Non-shuttle Bids'!AG852)</f>
        <v>112.5</v>
      </c>
      <c r="AA68" s="83">
        <f>AVERAGE('Non-shuttle Bids'!AH904,'Non-shuttle Bids'!AH800,'Non-shuttle Bids'!AH852)</f>
        <v>262.5</v>
      </c>
      <c r="AB68" s="100"/>
      <c r="AC68" s="100"/>
      <c r="AD68" s="83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Bids'!AB904,'Shuttle Bids'!AB800,'Shuttle Bids'!AB852)</f>
        <v>-2</v>
      </c>
      <c r="BN68" s="100">
        <f>AVERAGE('Shuttle Bids'!AC904,'Shuttle Bids'!AC800,'Shuttle Bids'!AC852)</f>
        <v>-116.66666666666667</v>
      </c>
      <c r="BO68" s="78">
        <f>AVERAGE('Shuttle Bids'!AD904,'Shuttle Bids'!AD800,'Shuttle Bids'!AD852)</f>
        <v>-59.333333333333336</v>
      </c>
      <c r="BP68" s="100">
        <f>AVERAGE('Shuttle Bids'!AF904,'Shuttle Bids'!AF800,'Shuttle Bids'!AF852)</f>
        <v>-306.5</v>
      </c>
      <c r="BQ68" s="100">
        <f>AVERAGE('Shuttle Bids'!AG904,'Shuttle Bids'!AG800,'Shuttle Bids'!AG852)</f>
        <v>-100</v>
      </c>
      <c r="BR68" s="78">
        <f>AVERAGE('Shuttle Bids'!AH904,'Shuttle Bids'!AH800,'Shuttle Bids'!AH852)</f>
        <v>-118.83333333333333</v>
      </c>
      <c r="BS68" s="100"/>
      <c r="BT68" s="100">
        <f>AVERAGE('Shuttle Bids'!AK904,'Shuttle Bids'!AK800,'Shuttle Bids'!AK852)</f>
        <v>-200</v>
      </c>
      <c r="BU68" s="78">
        <f>AVERAGE('Shuttle Bids'!AL904,'Shuttle Bids'!AL800,'Shuttle Bids'!AL852)</f>
        <v>-200</v>
      </c>
      <c r="BV68" s="80"/>
    </row>
    <row r="69" spans="1:74" x14ac:dyDescent="0.2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Bids'!AB905,'Non-shuttle Bids'!AB853,'Non-shuttle Bids'!AB801)</f>
        <v>308.66666666666669</v>
      </c>
      <c r="W69" s="100">
        <f>AVERAGE('Non-shuttle Bids'!AC905,'Non-shuttle Bids'!AC853,'Non-shuttle Bids'!AC801)</f>
        <v>266.66666666666669</v>
      </c>
      <c r="X69" s="83">
        <f>AVERAGE('Non-shuttle Bids'!AD905,'Non-shuttle Bids'!AD853,'Non-shuttle Bids'!AD801)</f>
        <v>287.66666666666669</v>
      </c>
      <c r="Y69" s="100">
        <f>AVERAGE('Non-shuttle Bids'!AF905,'Non-shuttle Bids'!AF801,'Non-shuttle Bids'!AF853)</f>
        <v>462.5</v>
      </c>
      <c r="Z69" s="100">
        <f>AVERAGE('Non-shuttle Bids'!AG905,'Non-shuttle Bids'!AG801,'Non-shuttle Bids'!AG853)</f>
        <v>180</v>
      </c>
      <c r="AA69" s="83">
        <f>AVERAGE('Non-shuttle Bids'!AH905,'Non-shuttle Bids'!AH801,'Non-shuttle Bids'!AH853)</f>
        <v>248.33333333333334</v>
      </c>
      <c r="AB69" s="100"/>
      <c r="AC69" s="100"/>
      <c r="AD69" s="83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Bids'!AB905,'Shuttle Bids'!AB801,'Shuttle Bids'!AB853)</f>
        <v>562.33333333333337</v>
      </c>
      <c r="BN69" s="100">
        <f>AVERAGE('Shuttle Bids'!AC905,'Shuttle Bids'!AC801,'Shuttle Bids'!AC853)</f>
        <v>-225</v>
      </c>
      <c r="BO69" s="78">
        <f>AVERAGE('Shuttle Bids'!AD905,'Shuttle Bids'!AD801,'Shuttle Bids'!AD853)</f>
        <v>522.83333333333337</v>
      </c>
      <c r="BP69" s="100">
        <f>AVERAGE('Shuttle Bids'!AF905,'Shuttle Bids'!AF801,'Shuttle Bids'!AF853)</f>
        <v>377.66666666666669</v>
      </c>
      <c r="BQ69" s="100">
        <f>AVERAGE('Shuttle Bids'!AG905,'Shuttle Bids'!AG801,'Shuttle Bids'!AG853)</f>
        <v>66.666666666666671</v>
      </c>
      <c r="BR69" s="78">
        <f>AVERAGE('Shuttle Bids'!AH905,'Shuttle Bids'!AH801,'Shuttle Bids'!AH853)</f>
        <v>222.16666666666666</v>
      </c>
      <c r="BS69" s="100">
        <f>AVERAGE('Shuttle Bids'!AJ905,'Shuttle Bids'!AJ801,'Shuttle Bids'!AJ853)</f>
        <v>-288</v>
      </c>
      <c r="BT69" s="100">
        <f>AVERAGE('Shuttle Bids'!AK905,'Shuttle Bids'!AK801,'Shuttle Bids'!AK853)</f>
        <v>-225</v>
      </c>
      <c r="BU69" s="78">
        <f>AVERAGE('Shuttle Bids'!AL905,'Shuttle Bids'!AL801,'Shuttle Bids'!AL853)</f>
        <v>-215.75</v>
      </c>
      <c r="BV69" s="80"/>
    </row>
    <row r="70" spans="1:74" x14ac:dyDescent="0.2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Bids'!AF906,'Non-shuttle Bids'!AF802,'Non-shuttle Bids'!AF854)</f>
        <v>25</v>
      </c>
      <c r="Z70" s="100">
        <f>AVERAGE('Non-shuttle Bids'!AG906,'Non-shuttle Bids'!AG802,'Non-shuttle Bids'!AG854)</f>
        <v>255</v>
      </c>
      <c r="AA70" s="83">
        <f>AVERAGE('Non-shuttle Bids'!AH906,'Non-shuttle Bids'!AH802,'Non-shuttle Bids'!AH854)</f>
        <v>256.66666666666669</v>
      </c>
      <c r="AB70" s="100"/>
      <c r="AC70" s="100">
        <f>AVERAGE('Non-shuttle Bids'!AK906,'Non-shuttle Bids'!AK802,'Non-shuttle Bids'!AK854)</f>
        <v>1000</v>
      </c>
      <c r="AD70" s="83">
        <f>AVERAGE('Non-shuttle Bids'!AL906,'Non-shuttle Bids'!AL802,'Non-shuttle Bids'!AL854)</f>
        <v>1000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Bids'!AF906,'Shuttle Bids'!AF802,'Shuttle Bids'!AF854)</f>
        <v>522</v>
      </c>
      <c r="BQ70" s="100">
        <f>AVERAGE('Shuttle Bids'!AG906,'Shuttle Bids'!AG802,'Shuttle Bids'!AG854)</f>
        <v>312.66666666666669</v>
      </c>
      <c r="BR70" s="78">
        <f>AVERAGE('Shuttle Bids'!AH906,'Shuttle Bids'!AH802,'Shuttle Bids'!AH854)</f>
        <v>417.33333333333331</v>
      </c>
      <c r="BS70" s="100">
        <f>AVERAGE('Shuttle Bids'!AJ906,'Shuttle Bids'!AJ802,'Shuttle Bids'!AJ854)</f>
        <v>-244</v>
      </c>
      <c r="BT70" s="100">
        <f>AVERAGE('Shuttle Bids'!AK906,'Shuttle Bids'!AK802,'Shuttle Bids'!AK854)</f>
        <v>-262.5</v>
      </c>
      <c r="BU70" s="78">
        <f>AVERAGE('Shuttle Bids'!AL906,'Shuttle Bids'!AL802,'Shuttle Bids'!AL854)</f>
        <v>-253.25</v>
      </c>
      <c r="BV70" s="80"/>
    </row>
    <row r="71" spans="1:74" x14ac:dyDescent="0.2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Bids'!AF907,'Non-shuttle Bids'!AF803,'Non-shuttle Bids'!AF855)</f>
        <v>-137.5</v>
      </c>
      <c r="Z71" s="100">
        <f>AVERAGE('Non-shuttle Bids'!AG907,'Non-shuttle Bids'!AG803,'Non-shuttle Bids'!AG855)</f>
        <v>380</v>
      </c>
      <c r="AA71" s="83">
        <f>AVERAGE('Non-shuttle Bids'!AH907,'Non-shuttle Bids'!AH803,'Non-shuttle Bids'!AH855)</f>
        <v>327.5</v>
      </c>
      <c r="AB71" s="100">
        <f>AVERAGE('Non-shuttle Bids'!AJ907,'Non-shuttle Bids'!AJ803,'Non-shuttle Bids'!AJ855)</f>
        <v>-283</v>
      </c>
      <c r="AC71" s="100">
        <f>AVERAGE('Non-shuttle Bids'!AK907,'Non-shuttle Bids'!AK803,'Non-shuttle Bids'!AK855)</f>
        <v>570</v>
      </c>
      <c r="AD71" s="83">
        <f>AVERAGE('Non-shuttle Bids'!AL907,'Non-shuttle Bids'!AL803,'Non-shuttle Bids'!AL855)</f>
        <v>489.25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Bids'!AF907,'Shuttle Bids'!AF803,'Shuttle Bids'!AF855)</f>
        <v>1044</v>
      </c>
      <c r="BQ71" s="100">
        <f>AVERAGE('Shuttle Bids'!AG907,'Shuttle Bids'!AG803,'Shuttle Bids'!AG855)</f>
        <v>320.66666666666669</v>
      </c>
      <c r="BR71" s="78">
        <f>AVERAGE('Shuttle Bids'!AH907,'Shuttle Bids'!AH803,'Shuttle Bids'!AH855)</f>
        <v>682.33333333333337</v>
      </c>
      <c r="BS71" s="100">
        <f>AVERAGE('Shuttle Bids'!AJ907,'Shuttle Bids'!AJ803,'Shuttle Bids'!AJ855)</f>
        <v>1233.5</v>
      </c>
      <c r="BT71" s="100">
        <f>AVERAGE('Shuttle Bids'!AK907,'Shuttle Bids'!AK803,'Shuttle Bids'!AK855)</f>
        <v>-225</v>
      </c>
      <c r="BU71" s="78">
        <f>AVERAGE('Shuttle Bids'!AL907,'Shuttle Bids'!AL803,'Shuttle Bids'!AL855)</f>
        <v>757</v>
      </c>
      <c r="BV71" s="80"/>
    </row>
    <row r="72" spans="1:74" x14ac:dyDescent="0.2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Bids'!AF908,'Non-shuttle Bids'!AF804,'Non-shuttle Bids'!AF856)</f>
        <v>-141.5</v>
      </c>
      <c r="Z72" s="100">
        <f>AVERAGE('Non-shuttle Bids'!AG908,'Non-shuttle Bids'!AG804,'Non-shuttle Bids'!AG856)</f>
        <v>330</v>
      </c>
      <c r="AA72" s="83">
        <f>AVERAGE('Non-shuttle Bids'!AH908,'Non-shuttle Bids'!AH804,'Non-shuttle Bids'!AH856)</f>
        <v>276.16666666666669</v>
      </c>
      <c r="AB72" s="100">
        <f>AVERAGE('Non-shuttle Bids'!AJ908,'Non-shuttle Bids'!AJ804,'Non-shuttle Bids'!AJ856)</f>
        <v>-10</v>
      </c>
      <c r="AC72" s="100">
        <f>AVERAGE('Non-shuttle Bids'!AK908,'Non-shuttle Bids'!AK804,'Non-shuttle Bids'!AK856)</f>
        <v>770</v>
      </c>
      <c r="AD72" s="83">
        <f>AVERAGE('Non-shuttle Bids'!AL908,'Non-shuttle Bids'!AL804,'Non-shuttle Bids'!AL856)</f>
        <v>510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Bids'!AF908,'Shuttle Bids'!AF804,'Shuttle Bids'!AF856)</f>
        <v>786.33333333333337</v>
      </c>
      <c r="BQ72" s="100">
        <f>AVERAGE('Shuttle Bids'!AG908,'Shuttle Bids'!AG804,'Shuttle Bids'!AG856)</f>
        <v>400</v>
      </c>
      <c r="BR72" s="78">
        <f>AVERAGE('Shuttle Bids'!AH908,'Shuttle Bids'!AH804,'Shuttle Bids'!AH856)</f>
        <v>593.16666666666663</v>
      </c>
      <c r="BS72" s="100">
        <f>AVERAGE('Shuttle Bids'!AJ908,'Shuttle Bids'!AJ804,'Shuttle Bids'!AJ856)</f>
        <v>-128</v>
      </c>
      <c r="BT72" s="100">
        <f>AVERAGE('Shuttle Bids'!AK908,'Shuttle Bids'!AK804,'Shuttle Bids'!AK856)</f>
        <v>398</v>
      </c>
      <c r="BU72" s="78">
        <f>AVERAGE('Shuttle Bids'!AL908,'Shuttle Bids'!AL804,'Shuttle Bids'!AL856)</f>
        <v>406.33333333333331</v>
      </c>
      <c r="BV72" s="80"/>
    </row>
    <row r="73" spans="1:74" x14ac:dyDescent="0.2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Bids'!AF909,'Non-shuttle Bids'!AF805,'Non-shuttle Bids'!AF857)</f>
        <v>1195.5</v>
      </c>
      <c r="Z73" s="100">
        <f>AVERAGE('Non-shuttle Bids'!AG909,'Non-shuttle Bids'!AG805,'Non-shuttle Bids'!AG857)</f>
        <v>400</v>
      </c>
      <c r="AA73" s="83">
        <f>AVERAGE('Non-shuttle Bids'!AH909,'Non-shuttle Bids'!AH805,'Non-shuttle Bids'!AH857)</f>
        <v>598.5</v>
      </c>
      <c r="AB73" s="100">
        <f>AVERAGE('Non-shuttle Bids'!AJ909,'Non-shuttle Bids'!AJ805,'Non-shuttle Bids'!AJ857)</f>
        <v>-10</v>
      </c>
      <c r="AC73" s="100">
        <f>AVERAGE('Non-shuttle Bids'!AK909,'Non-shuttle Bids'!AK805,'Non-shuttle Bids'!AK857)</f>
        <v>757.5</v>
      </c>
      <c r="AD73" s="83">
        <f>AVERAGE('Non-shuttle Bids'!AL909,'Non-shuttle Bids'!AL805,'Non-shuttle Bids'!AL857)</f>
        <v>501.66666666666669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Bids'!AF909,'Shuttle Bids'!AF805,'Shuttle Bids'!AF857)</f>
        <v>643</v>
      </c>
      <c r="BQ73" s="100">
        <f>AVERAGE('Shuttle Bids'!AG909,'Shuttle Bids'!AG805,'Shuttle Bids'!AG857)</f>
        <v>-33.333333333333336</v>
      </c>
      <c r="BR73" s="78">
        <f>AVERAGE('Shuttle Bids'!AH909,'Shuttle Bids'!AH805,'Shuttle Bids'!AH857)</f>
        <v>304.83333333333331</v>
      </c>
      <c r="BS73" s="100">
        <f>AVERAGE('Shuttle Bids'!AJ909,'Shuttle Bids'!AJ805,'Shuttle Bids'!AJ857)</f>
        <v>-210.5</v>
      </c>
      <c r="BT73" s="100">
        <f>AVERAGE('Shuttle Bids'!AK909,'Shuttle Bids'!AK805,'Shuttle Bids'!AK857)</f>
        <v>-39</v>
      </c>
      <c r="BU73" s="78">
        <f>AVERAGE('Shuttle Bids'!AL909,'Shuttle Bids'!AL805,'Shuttle Bids'!AL857)</f>
        <v>-35.5</v>
      </c>
      <c r="BV73" s="80"/>
    </row>
    <row r="74" spans="1:74" ht="15.75" x14ac:dyDescent="0.25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Bids'!AJ910,'Non-shuttle Bids'!AJ806,'Non-shuttle Bids'!AJ858)</f>
        <v>800</v>
      </c>
      <c r="AC74" s="100">
        <f>AVERAGE('Non-shuttle Bids'!AK910,'Non-shuttle Bids'!AK806,'Non-shuttle Bids'!AK858)</f>
        <v>507.5</v>
      </c>
      <c r="AD74" s="83">
        <f>AVERAGE('Non-shuttle Bids'!AL910,'Non-shuttle Bids'!AL806,'Non-shuttle Bids'!AL858)</f>
        <v>438.33333333333331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Bids'!AJ910,'Shuttle Bids'!AJ806,'Shuttle Bids'!AJ858)</f>
        <v>610</v>
      </c>
      <c r="BT74" s="100">
        <f>AVERAGE('Shuttle Bids'!AK910,'Shuttle Bids'!AK806,'Shuttle Bids'!AK858)</f>
        <v>-50</v>
      </c>
      <c r="BU74" s="78">
        <f>AVERAGE('Shuttle Bids'!AL910,'Shuttle Bids'!AL806,'Shuttle Bids'!AL858)</f>
        <v>280</v>
      </c>
      <c r="BV74" s="80"/>
    </row>
    <row r="75" spans="1:74" ht="15.75" x14ac:dyDescent="0.25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Bids'!AJ911,'Non-shuttle Bids'!AJ807,'Non-shuttle Bids'!AJ859)</f>
        <v>56</v>
      </c>
      <c r="AC75" s="100">
        <f>AVERAGE('Non-shuttle Bids'!AK911,'Non-shuttle Bids'!AK807,'Non-shuttle Bids'!AK859)</f>
        <v>343.66666666666669</v>
      </c>
      <c r="AD75" s="83">
        <f>AVERAGE('Non-shuttle Bids'!AL911,'Non-shuttle Bids'!AL807,'Non-shuttle Bids'!AL859)</f>
        <v>357.16666666666669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Bids'!AJ911,'Shuttle Bids'!AJ807,'Shuttle Bids'!AJ859)</f>
        <v>451</v>
      </c>
      <c r="BT75" s="100">
        <f>AVERAGE('Shuttle Bids'!AK911,'Shuttle Bids'!AK807,'Shuttle Bids'!AK859)</f>
        <v>-50</v>
      </c>
      <c r="BU75" s="78">
        <f>AVERAGE('Shuttle Bids'!AL911,'Shuttle Bids'!AL807,'Shuttle Bids'!AL859)</f>
        <v>200.5</v>
      </c>
      <c r="BV75" s="80"/>
    </row>
    <row r="76" spans="1:74" ht="15.75" x14ac:dyDescent="0.25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Bids'!AJ912,'Non-shuttle Bids'!AJ808,'Non-shuttle Bids'!AJ860)</f>
        <v>152</v>
      </c>
      <c r="AC76" s="100">
        <f>AVERAGE('Non-shuttle Bids'!AK912,'Non-shuttle Bids'!AK808,'Non-shuttle Bids'!AK860)</f>
        <v>225</v>
      </c>
      <c r="AD76" s="83">
        <f>AVERAGE('Non-shuttle Bids'!AL912,'Non-shuttle Bids'!AL808,'Non-shuttle Bids'!AL860)</f>
        <v>263.16666666666669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Bids'!AJ912,'Shuttle Bids'!AJ808,'Shuttle Bids'!AJ860)</f>
        <v>554</v>
      </c>
      <c r="BT76" s="100">
        <f>AVERAGE('Shuttle Bids'!AK912,'Shuttle Bids'!AK808,'Shuttle Bids'!AK860)</f>
        <v>54.333333333333336</v>
      </c>
      <c r="BU76" s="78">
        <f>AVERAGE('Shuttle Bids'!AL912,'Shuttle Bids'!AL808,'Shuttle Bids'!AL860)</f>
        <v>304.16666666666669</v>
      </c>
      <c r="BV76" s="80"/>
    </row>
    <row r="77" spans="1:74" ht="15.75" x14ac:dyDescent="0.25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Bids'!AJ913,'Non-shuttle Bids'!AJ809,'Non-shuttle Bids'!AJ861)</f>
        <v>0</v>
      </c>
      <c r="AC77" s="100">
        <f>AVERAGE('Non-shuttle Bids'!AK913,'Non-shuttle Bids'!AK809,'Non-shuttle Bids'!AK861)</f>
        <v>377.66666666666669</v>
      </c>
      <c r="AD77" s="83">
        <f>AVERAGE('Non-shuttle Bids'!AL913,'Non-shuttle Bids'!AL809,'Non-shuttle Bids'!AL861)</f>
        <v>373.5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Bids'!AJ913,'Shuttle Bids'!AJ809,'Shuttle Bids'!AJ861)</f>
        <v>822.66666666666663</v>
      </c>
      <c r="BT77" s="100">
        <f>AVERAGE('Shuttle Bids'!AK913,'Shuttle Bids'!AK809,'Shuttle Bids'!AK861)</f>
        <v>-52.666666666666664</v>
      </c>
      <c r="BU77" s="78">
        <f>AVERAGE('Shuttle Bids'!AL913,'Shuttle Bids'!AL809,'Shuttle Bids'!AL861)</f>
        <v>385</v>
      </c>
      <c r="BV77" s="80"/>
    </row>
    <row r="78" spans="1:74" ht="15.75" x14ac:dyDescent="0.25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Bids'!AJ914,'Non-shuttle Bids'!AJ810,'Non-shuttle Bids'!AJ862)</f>
        <v>250</v>
      </c>
      <c r="AC78" s="100">
        <f>AVERAGE('Non-shuttle Bids'!AK914,'Non-shuttle Bids'!AK810,'Non-shuttle Bids'!AK862)</f>
        <v>47.5</v>
      </c>
      <c r="AD78" s="83">
        <f>AVERAGE('Non-shuttle Bids'!AL914,'Non-shuttle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Bids'!AJ914,'Shuttle Bids'!AJ810,'Shuttle Bids'!AJ862)</f>
        <v>1266.6666666666667</v>
      </c>
      <c r="BT78" s="100">
        <f>AVERAGE('Shuttle Bids'!AK914,'Shuttle Bids'!AK810,'Shuttle Bids'!AK862)</f>
        <v>0</v>
      </c>
      <c r="BU78" s="78">
        <f>AVERAGE('Shuttle Bids'!AL914,'Shuttle Bids'!AL810,'Shuttle Bids'!AL862)</f>
        <v>1216.6666666666667</v>
      </c>
      <c r="BV78" s="80"/>
    </row>
    <row r="79" spans="1:74" ht="15.75" x14ac:dyDescent="0.25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75" x14ac:dyDescent="0.25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75" x14ac:dyDescent="0.25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75" x14ac:dyDescent="0.25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75" x14ac:dyDescent="0.25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75" x14ac:dyDescent="0.25">
      <c r="AD84" s="86"/>
      <c r="AH84" s="8"/>
    </row>
    <row r="85" spans="1:64" x14ac:dyDescent="0.2">
      <c r="AD85" s="86"/>
    </row>
    <row r="86" spans="1:64" x14ac:dyDescent="0.2">
      <c r="AD86" s="86"/>
    </row>
    <row r="87" spans="1:64" x14ac:dyDescent="0.2">
      <c r="AD87" s="86"/>
    </row>
    <row r="88" spans="1:64" x14ac:dyDescent="0.2">
      <c r="AD88" s="86"/>
    </row>
    <row r="89" spans="1:64" x14ac:dyDescent="0.2">
      <c r="AD89" s="86"/>
    </row>
    <row r="90" spans="1:64" x14ac:dyDescent="0.2">
      <c r="AD90" s="86"/>
    </row>
    <row r="91" spans="1:64" x14ac:dyDescent="0.2">
      <c r="AD91" s="86"/>
    </row>
    <row r="92" spans="1:64" x14ac:dyDescent="0.2">
      <c r="AD92" s="86"/>
    </row>
  </sheetData>
  <mergeCells count="24">
    <mergeCell ref="B6:C6"/>
    <mergeCell ref="E6:F6"/>
    <mergeCell ref="H6:I6"/>
    <mergeCell ref="L6:M6"/>
    <mergeCell ref="Y6:Z6"/>
    <mergeCell ref="O6:P6"/>
    <mergeCell ref="AS6:AT6"/>
    <mergeCell ref="V6:W6"/>
    <mergeCell ref="R6:S6"/>
    <mergeCell ref="AN6:AO6"/>
    <mergeCell ref="AB6:AC6"/>
    <mergeCell ref="AF6:AG6"/>
    <mergeCell ref="AJ6:AK6"/>
    <mergeCell ref="BI6:BJ6"/>
    <mergeCell ref="AV6:AW6"/>
    <mergeCell ref="BF6:BG6"/>
    <mergeCell ref="BC6:BD6"/>
    <mergeCell ref="AY6:AZ6"/>
    <mergeCell ref="CE6:CF6"/>
    <mergeCell ref="BM6:BN6"/>
    <mergeCell ref="BP6:BQ6"/>
    <mergeCell ref="BS6:BT6"/>
    <mergeCell ref="BW6:BX6"/>
    <mergeCell ref="CA6:CB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zoomScaleNormal="100" workbookViewId="0">
      <pane ySplit="4" topLeftCell="A202" activePane="bottomLeft" state="frozen"/>
      <selection pane="bottomLeft" activeCell="G222" sqref="G222"/>
    </sheetView>
  </sheetViews>
  <sheetFormatPr defaultColWidth="9.77734375" defaultRowHeight="15" x14ac:dyDescent="0.2"/>
  <cols>
    <col min="1" max="5" width="9.77734375" style="1"/>
    <col min="6" max="6" width="1.77734375" style="1" customWidth="1"/>
    <col min="7" max="10" width="9.77734375" style="1"/>
    <col min="11" max="11" width="1.77734375" style="1" customWidth="1"/>
    <col min="12" max="13" width="9.77734375" style="1"/>
    <col min="14" max="17" width="7.77734375" style="1" customWidth="1"/>
    <col min="18" max="18" width="2.109375" style="1" customWidth="1"/>
    <col min="19" max="22" width="7.77734375" style="1" customWidth="1"/>
    <col min="23" max="23" width="1.5546875" style="1" customWidth="1"/>
    <col min="24" max="27" width="7.77734375" style="1" customWidth="1"/>
    <col min="28" max="28" width="2" style="1" customWidth="1"/>
    <col min="29" max="32" width="7.77734375" style="1" customWidth="1"/>
    <col min="33" max="33" width="1.77734375" style="1" customWidth="1"/>
    <col min="34" max="37" width="6.77734375" style="1" customWidth="1"/>
    <col min="38" max="38" width="1.21875" style="1" customWidth="1"/>
    <col min="39" max="42" width="6.77734375" style="1" customWidth="1"/>
    <col min="43" max="43" width="1.21875" style="1" customWidth="1"/>
    <col min="44" max="47" width="6.77734375" style="1" customWidth="1"/>
    <col min="48" max="48" width="1.44140625" style="1" customWidth="1"/>
    <col min="49" max="52" width="6.77734375" style="1" customWidth="1"/>
    <col min="53" max="53" width="1.21875" style="1" customWidth="1"/>
    <col min="54" max="57" width="6.77734375" style="1" customWidth="1"/>
    <col min="58" max="58" width="1.21875" style="1" customWidth="1"/>
    <col min="59" max="62" width="6.77734375" style="1" customWidth="1"/>
    <col min="63" max="63" width="1.21875" style="1" customWidth="1"/>
    <col min="64" max="67" width="6.77734375" style="1" customWidth="1"/>
    <col min="68" max="68" width="1.5546875" style="1" customWidth="1"/>
    <col min="69" max="72" width="6.77734375" style="1" customWidth="1"/>
    <col min="73" max="16384" width="9.77734375" style="1"/>
  </cols>
  <sheetData>
    <row r="1" spans="1:10" ht="15.75" x14ac:dyDescent="0.25">
      <c r="A1" s="110" t="s">
        <v>241</v>
      </c>
    </row>
    <row r="2" spans="1:10" ht="15.75" thickBot="1" x14ac:dyDescent="0.25">
      <c r="A2" s="145" t="s">
        <v>165</v>
      </c>
      <c r="B2" s="145"/>
      <c r="C2" s="145"/>
      <c r="D2" s="145"/>
      <c r="E2" s="145"/>
      <c r="G2" s="145" t="s">
        <v>166</v>
      </c>
      <c r="H2" s="145"/>
      <c r="I2" s="145"/>
      <c r="J2" s="145"/>
    </row>
    <row r="3" spans="1:10" x14ac:dyDescent="0.2">
      <c r="A3" s="1" t="s">
        <v>163</v>
      </c>
    </row>
    <row r="4" spans="1:10" x14ac:dyDescent="0.2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">
      <c r="A5" s="2"/>
      <c r="B5" s="2"/>
      <c r="C5" s="2"/>
      <c r="D5" s="2"/>
      <c r="E5" s="2"/>
      <c r="F5" s="2"/>
    </row>
    <row r="6" spans="1:10" x14ac:dyDescent="0.2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6" t="s">
        <v>159</v>
      </c>
      <c r="O177" s="146"/>
      <c r="P177" s="146"/>
      <c r="Q177" s="54"/>
      <c r="R177" s="54"/>
      <c r="S177" s="146" t="s">
        <v>160</v>
      </c>
      <c r="T177" s="146"/>
      <c r="U177" s="146"/>
      <c r="V177" s="54"/>
      <c r="X177" s="146" t="s">
        <v>124</v>
      </c>
      <c r="Y177" s="146"/>
      <c r="Z177" s="146"/>
      <c r="AA177" s="54"/>
      <c r="AC177" s="146" t="s">
        <v>125</v>
      </c>
      <c r="AD177" s="146"/>
      <c r="AE177" s="146"/>
      <c r="AF177" s="54"/>
      <c r="AH177" s="146" t="s">
        <v>126</v>
      </c>
      <c r="AI177" s="146"/>
      <c r="AJ177" s="146"/>
      <c r="AK177" s="54"/>
      <c r="AM177" s="146" t="s">
        <v>127</v>
      </c>
      <c r="AN177" s="146"/>
      <c r="AO177" s="146"/>
      <c r="AP177" s="54"/>
      <c r="AR177" s="146" t="s">
        <v>128</v>
      </c>
      <c r="AS177" s="146"/>
      <c r="AT177" s="146"/>
      <c r="AU177" s="54"/>
      <c r="AW177" s="146" t="s">
        <v>129</v>
      </c>
      <c r="AX177" s="146"/>
      <c r="AY177" s="146"/>
      <c r="AZ177" s="54"/>
      <c r="BB177" s="146" t="s">
        <v>162</v>
      </c>
      <c r="BC177" s="146"/>
      <c r="BD177" s="146"/>
      <c r="BE177" s="54"/>
      <c r="BG177" s="146" t="s">
        <v>135</v>
      </c>
      <c r="BH177" s="146"/>
      <c r="BI177" s="146"/>
      <c r="BJ177" s="54"/>
      <c r="BL177" s="146" t="s">
        <v>136</v>
      </c>
      <c r="BM177" s="146"/>
      <c r="BN177" s="146"/>
      <c r="BO177" s="54"/>
      <c r="BQ177" s="146" t="s">
        <v>138</v>
      </c>
      <c r="BR177" s="146"/>
      <c r="BS177" s="146"/>
      <c r="BT177" s="54"/>
    </row>
    <row r="178" spans="1:72" ht="15.75" thickBot="1" x14ac:dyDescent="0.25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">
      <c r="A194" s="24" t="s">
        <v>254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">
      <c r="A195" s="92" t="s">
        <v>255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440.57142857142856</v>
      </c>
      <c r="BT195" s="62">
        <f>E205</f>
        <v>376.82963183456184</v>
      </c>
    </row>
    <row r="196" spans="1:72" x14ac:dyDescent="0.2">
      <c r="A196" s="92" t="s">
        <v>256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">
      <c r="A197" s="92" t="s">
        <v>257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">
      <c r="A198" s="92" t="s">
        <v>258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">
      <c r="A199" s="92" t="s">
        <v>259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6" t="s">
        <v>159</v>
      </c>
      <c r="O199" s="146"/>
      <c r="P199" s="146"/>
      <c r="Q199" s="54"/>
      <c r="R199" s="54"/>
      <c r="S199" s="146" t="s">
        <v>160</v>
      </c>
      <c r="T199" s="146"/>
      <c r="U199" s="146"/>
      <c r="V199" s="54"/>
      <c r="X199" s="146" t="s">
        <v>124</v>
      </c>
      <c r="Y199" s="146"/>
      <c r="Z199" s="146"/>
      <c r="AA199" s="54"/>
      <c r="AC199" s="146" t="s">
        <v>125</v>
      </c>
      <c r="AD199" s="146"/>
      <c r="AE199" s="146"/>
      <c r="AF199" s="54"/>
      <c r="AH199" s="146" t="s">
        <v>126</v>
      </c>
      <c r="AI199" s="146"/>
      <c r="AJ199" s="146"/>
      <c r="AK199" s="54"/>
      <c r="AM199" s="146" t="s">
        <v>127</v>
      </c>
      <c r="AN199" s="146"/>
      <c r="AO199" s="146"/>
      <c r="AP199" s="54"/>
      <c r="AR199" s="146" t="s">
        <v>128</v>
      </c>
      <c r="AS199" s="146"/>
      <c r="AT199" s="146"/>
      <c r="AU199" s="54"/>
      <c r="AW199" s="146" t="s">
        <v>129</v>
      </c>
      <c r="AX199" s="146"/>
      <c r="AY199" s="146"/>
      <c r="AZ199" s="54"/>
      <c r="BB199" s="146" t="s">
        <v>162</v>
      </c>
      <c r="BC199" s="146"/>
      <c r="BD199" s="146"/>
      <c r="BE199" s="54"/>
      <c r="BG199" s="146" t="s">
        <v>135</v>
      </c>
      <c r="BH199" s="146"/>
      <c r="BI199" s="146"/>
      <c r="BJ199" s="54"/>
      <c r="BL199" s="146" t="s">
        <v>136</v>
      </c>
      <c r="BM199" s="146"/>
      <c r="BN199" s="146"/>
      <c r="BO199" s="54"/>
      <c r="BQ199" s="146" t="s">
        <v>138</v>
      </c>
      <c r="BR199" s="146"/>
      <c r="BS199" s="146"/>
      <c r="BT199" s="54"/>
    </row>
    <row r="200" spans="1:72" ht="15.75" thickBot="1" x14ac:dyDescent="0.25">
      <c r="A200" s="92" t="s">
        <v>260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">
      <c r="A201" s="92" t="s">
        <v>261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">
      <c r="A202" s="92" t="s">
        <v>262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">
      <c r="A203" s="92" t="s">
        <v>263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">
      <c r="A204" s="92" t="s">
        <v>264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">
      <c r="A205" s="92" t="s">
        <v>265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440.57142857142856</v>
      </c>
      <c r="E205" s="66">
        <f>STDEV('Non-shuttle Bids'!$AV845:$AW875)</f>
        <v>376.82963183456184</v>
      </c>
      <c r="F205" s="65"/>
      <c r="G205" s="64">
        <f>MAX('Shuttle Bids'!$AV845:$AW875)</f>
        <v>2825</v>
      </c>
      <c r="H205" s="64">
        <f>MIN('Shuttle Bids'!$AV845:$AW875)</f>
        <v>-200</v>
      </c>
      <c r="I205" s="66">
        <f>AVERAGE('Shuttle Bids'!$AV845:$AW875)</f>
        <v>485.57692307692309</v>
      </c>
      <c r="J205" s="66">
        <f>STDEV('Shuttle Bids'!$AV845:$AW875)</f>
        <v>820.83299997390088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">
      <c r="A206" s="24" t="s">
        <v>270</v>
      </c>
      <c r="B206" s="64">
        <f>MAX('Non-shuttle Bids'!$D850:$E880)</f>
        <v>900</v>
      </c>
      <c r="C206" s="64">
        <f>MIN('Non-shuttle Bids'!$D850:$E880)</f>
        <v>138</v>
      </c>
      <c r="D206" s="66">
        <f>AVERAGE('Non-shuttle Bids'!$D850:$E880)</f>
        <v>406.28571428571428</v>
      </c>
      <c r="E206" s="66">
        <f>STDEV('Non-shuttle Bids'!$D850:$E880)</f>
        <v>250.4750651097994</v>
      </c>
      <c r="F206" s="109"/>
      <c r="G206" s="64">
        <f>MAX('Shuttle Bids'!$D850:$E880)</f>
        <v>3250</v>
      </c>
      <c r="H206" s="64">
        <f>MIN('Shuttle Bids'!$D850:$E880)</f>
        <v>-100</v>
      </c>
      <c r="I206" s="66">
        <f>AVERAGE('Shuttle Bids'!$D850:$E880)</f>
        <v>838.31578947368416</v>
      </c>
      <c r="J206" s="66">
        <f>STDEV('Shuttle Bids'!$D850:$E880)</f>
        <v>1110.428948781685</v>
      </c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">
      <c r="A207" s="92" t="s">
        <v>271</v>
      </c>
      <c r="B207" s="64">
        <f>MAX('Non-shuttle Bids'!$H854:$I884)</f>
        <v>1500</v>
      </c>
      <c r="C207" s="64">
        <f>MIN('Non-shuttle Bids'!$H854:$I884)</f>
        <v>450</v>
      </c>
      <c r="D207" s="64">
        <f>AVERAGE('Non-shuttle Bids'!$H854:$I884)</f>
        <v>879.16666666666663</v>
      </c>
      <c r="E207" s="64">
        <f>STDEV('Non-shuttle Bids'!$H854:$I884)</f>
        <v>373.83657910748622</v>
      </c>
      <c r="F207" s="109"/>
      <c r="G207" s="64">
        <f>MAX('Shuttle Bids'!$H854:$I884)</f>
        <v>3100</v>
      </c>
      <c r="H207" s="64">
        <f>MIN('Shuttle Bids'!$H854:$I884)</f>
        <v>-50</v>
      </c>
      <c r="I207" s="66">
        <f>AVERAGE('Shuttle Bids'!$H854:$I884)</f>
        <v>1008.5714285714286</v>
      </c>
      <c r="J207" s="66">
        <f>STDEV('Shuttle Bids'!$H854:$I884)</f>
        <v>948.41881947948343</v>
      </c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">
      <c r="A208" s="92" t="s">
        <v>272</v>
      </c>
      <c r="B208" s="64">
        <f>MAX('Non-shuttle Bids'!$L858:$M888)</f>
        <v>1800</v>
      </c>
      <c r="C208" s="64">
        <f>MIN('Non-shuttle Bids'!$L858:$M888)</f>
        <v>200</v>
      </c>
      <c r="D208" s="64">
        <f>AVERAGE('Non-shuttle Bids'!$L858:$M888)</f>
        <v>1004.5454545454545</v>
      </c>
      <c r="E208" s="64">
        <f>STDEV('Non-shuttle Bids'!$L858:$M888)</f>
        <v>549.75201020757777</v>
      </c>
      <c r="F208" s="109"/>
      <c r="G208" s="64">
        <f>MAX('Shuttle Bids'!$L858:$M888)</f>
        <v>5875</v>
      </c>
      <c r="H208" s="64">
        <f>MIN('Shuttle Bids'!$L858:$M888)</f>
        <v>0</v>
      </c>
      <c r="I208" s="66">
        <f>AVERAGE('Shuttle Bids'!$L858:$M888)</f>
        <v>1063.4444444444443</v>
      </c>
      <c r="J208" s="66">
        <f>STDEV('Shuttle Bids'!$L858:$M888)</f>
        <v>1356.1805340829962</v>
      </c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2825</v>
      </c>
      <c r="BR208" s="62">
        <f>H205</f>
        <v>-200</v>
      </c>
      <c r="BS208" s="62">
        <f>I205</f>
        <v>485.57692307692309</v>
      </c>
      <c r="BT208" s="62">
        <f>J205</f>
        <v>820.83299997390088</v>
      </c>
    </row>
    <row r="209" spans="1:10" x14ac:dyDescent="0.2">
      <c r="A209" s="92" t="s">
        <v>273</v>
      </c>
      <c r="B209" s="64">
        <f>MAX('Non-shuttle Bids'!$P863:$Q893)</f>
        <v>2750</v>
      </c>
      <c r="C209" s="64">
        <f>MIN('Non-shuttle Bids'!$P863:$Q893)</f>
        <v>1000</v>
      </c>
      <c r="D209" s="64">
        <f>AVERAGE('Non-shuttle Bids'!$P863:$Q893)</f>
        <v>1592.5</v>
      </c>
      <c r="E209" s="64">
        <f>STDEV('Non-shuttle Bids'!$P863:$Q893)</f>
        <v>652.35151567234061</v>
      </c>
      <c r="F209" s="109"/>
      <c r="G209" s="64">
        <f>MAX('Shuttle Bids'!$P863:$Q893)</f>
        <v>3500</v>
      </c>
      <c r="H209" s="64">
        <f>MIN('Shuttle Bids'!$P863:$Q893)</f>
        <v>-125</v>
      </c>
      <c r="I209" s="66">
        <f>AVERAGE('Shuttle Bids'!$P863:$Q893)</f>
        <v>1037.3478260869565</v>
      </c>
      <c r="J209" s="66">
        <f>STDEV('Shuttle Bids'!$P863:$Q893)</f>
        <v>1197.2481936316087</v>
      </c>
    </row>
    <row r="210" spans="1:10" x14ac:dyDescent="0.2">
      <c r="A210" s="92" t="s">
        <v>274</v>
      </c>
      <c r="B210" s="64">
        <f>MAX('Non-shuttle Bids'!$T867:$U897)</f>
        <v>2500</v>
      </c>
      <c r="C210" s="64">
        <f>MIN('Non-shuttle Bids'!$T867:$U897)</f>
        <v>200</v>
      </c>
      <c r="D210" s="64">
        <f>AVERAGE('Non-shuttle Bids'!$T867:$U897)</f>
        <v>1162.5</v>
      </c>
      <c r="E210" s="64">
        <f>STDEV('Non-shuttle Bids'!$T867:$U897)</f>
        <v>676.29860837673448</v>
      </c>
      <c r="F210" s="109"/>
      <c r="G210" s="64">
        <f>MAX('Shuttle Bids'!$T867:$U897)</f>
        <v>2500</v>
      </c>
      <c r="H210" s="64">
        <f>MIN('Shuttle Bids'!$T867:$U897)</f>
        <v>-150</v>
      </c>
      <c r="I210" s="66">
        <f>AVERAGE('Shuttle Bids'!$T867:$U897)</f>
        <v>403.26086956521738</v>
      </c>
      <c r="J210" s="66">
        <f>STDEV('Shuttle Bids'!$T867:$U897)</f>
        <v>652.3691242757435</v>
      </c>
    </row>
    <row r="211" spans="1:10" x14ac:dyDescent="0.2">
      <c r="A211" s="92" t="s">
        <v>275</v>
      </c>
      <c r="B211" s="64">
        <f>MAX('Non-shuttle Bids'!$X871:$Y901)</f>
        <v>1500</v>
      </c>
      <c r="C211" s="64">
        <f>MIN('Non-shuttle Bids'!$X871:$Y901)</f>
        <v>-50</v>
      </c>
      <c r="D211" s="64">
        <f>AVERAGE('Non-shuttle Bids'!$X871:$Y901)</f>
        <v>475</v>
      </c>
      <c r="E211" s="64">
        <f>STDEV('Non-shuttle Bids'!$X871:$Y901)</f>
        <v>496.23583103198018</v>
      </c>
      <c r="F211" s="109"/>
      <c r="G211" s="64">
        <f>MAX('Shuttle Bids'!$X871:$Y901)</f>
        <v>1500</v>
      </c>
      <c r="H211" s="64">
        <f>MIN('Shuttle Bids'!$X871:$Y901)</f>
        <v>-313</v>
      </c>
      <c r="I211" s="66">
        <f>AVERAGE('Shuttle Bids'!$X871:$Y901)</f>
        <v>179.96</v>
      </c>
      <c r="J211" s="66">
        <f>STDEV('Shuttle Bids'!$X871:$Y901)</f>
        <v>484.28095151471734</v>
      </c>
    </row>
    <row r="212" spans="1:10" x14ac:dyDescent="0.2">
      <c r="A212" s="92" t="s">
        <v>276</v>
      </c>
      <c r="B212" s="64">
        <f>MAX('Non-shuttle Bids'!$AB876:$AC906)</f>
        <v>900</v>
      </c>
      <c r="C212" s="64">
        <f>MIN('Non-shuttle Bids'!$AB876:$AC906)</f>
        <v>75</v>
      </c>
      <c r="D212" s="64">
        <f>AVERAGE('Non-shuttle Bids'!$AB876:$AC906)</f>
        <v>575</v>
      </c>
      <c r="E212" s="64">
        <f>STDEV('Non-shuttle Bids'!$AB876:$AC906)</f>
        <v>259.08492816063227</v>
      </c>
      <c r="F212" s="56"/>
      <c r="G212" s="64">
        <f>MAX('Shuttle Bids'!$AB876:$AC906)</f>
        <v>1900</v>
      </c>
      <c r="H212" s="64">
        <f>MIN('Shuttle Bids'!$AB876:$AC906)</f>
        <v>-300</v>
      </c>
      <c r="I212" s="66">
        <f>AVERAGE('Shuttle Bids'!$AB876:$AC906)</f>
        <v>279.54545454545456</v>
      </c>
      <c r="J212" s="66">
        <f>STDEV('Shuttle Bids'!$AB876:$AC906)</f>
        <v>548.89696554806972</v>
      </c>
    </row>
    <row r="213" spans="1:10" x14ac:dyDescent="0.2">
      <c r="A213" s="92" t="s">
        <v>277</v>
      </c>
      <c r="B213" s="64">
        <f>MAX('Non-shuttle Bids'!$AF880:$AG910)</f>
        <v>2400</v>
      </c>
      <c r="C213" s="64">
        <f>MIN('Non-shuttle Bids'!$AF880:$AG910)</f>
        <v>200</v>
      </c>
      <c r="D213" s="64">
        <f>AVERAGE('Non-shuttle Bids'!$AF880:$AG910)</f>
        <v>983.33333333333337</v>
      </c>
      <c r="E213" s="64">
        <f>STDEV('Non-shuttle Bids'!$AF880:$AG910)</f>
        <v>615.93424973774597</v>
      </c>
      <c r="F213" s="56"/>
      <c r="G213" s="64">
        <f>MAX('Shuttle Bids'!$AF880:$AG910)</f>
        <v>3433</v>
      </c>
      <c r="H213" s="64">
        <f>MIN('Shuttle Bids'!$AF880:$AG910)</f>
        <v>-300</v>
      </c>
      <c r="I213" s="66">
        <f>AVERAGE('Shuttle Bids'!$AF880:$AG910)</f>
        <v>897.04166666666663</v>
      </c>
      <c r="J213" s="66">
        <f>STDEV('Shuttle Bids'!$AF880:$AG910)</f>
        <v>1059.7936008720167</v>
      </c>
    </row>
    <row r="214" spans="1:10" x14ac:dyDescent="0.2">
      <c r="A214" s="92" t="s">
        <v>278</v>
      </c>
      <c r="B214" s="64">
        <f>MAX('Non-shuttle Bids'!$AJ884:$AK914)</f>
        <v>1600</v>
      </c>
      <c r="C214" s="64">
        <f>MIN('Non-shuttle Bids'!$AJ884:$AK914)</f>
        <v>600</v>
      </c>
      <c r="D214" s="142">
        <f>AVERAGE('Non-shuttle Bids'!$AJ884:$AK914)</f>
        <v>1148.1111111111111</v>
      </c>
      <c r="E214" s="142">
        <f>STDEV('Non-shuttle Bids'!$AJ884:$AK914)</f>
        <v>322.81126236720894</v>
      </c>
      <c r="F214" s="56"/>
      <c r="G214" s="64">
        <f>MAX('Shuttle Bids'!$AJ884:$AK914)</f>
        <v>3000</v>
      </c>
      <c r="H214" s="64">
        <f>MIN('Shuttle Bids'!$AJ884:$AK914)</f>
        <v>-100</v>
      </c>
      <c r="I214" s="66">
        <f>AVERAGE('Shuttle Bids'!$AJ884:$AK914)</f>
        <v>1102.3703703703704</v>
      </c>
      <c r="J214" s="66">
        <f>STDEV('Shuttle Bids'!$AJ884:$AK914)</f>
        <v>868.16340841094177</v>
      </c>
    </row>
    <row r="215" spans="1:10" x14ac:dyDescent="0.2">
      <c r="A215" s="92" t="s">
        <v>279</v>
      </c>
      <c r="B215" s="64">
        <f>MAX('Non-shuttle Bids'!$AN889:$AO919)</f>
        <v>3750</v>
      </c>
      <c r="C215" s="64">
        <f>MIN('Non-shuttle Bids'!$AN889:$AO919)</f>
        <v>1500</v>
      </c>
      <c r="D215" s="142">
        <f>AVERAGE('Non-shuttle Bids'!$AN889:$AO919)</f>
        <v>2812.5</v>
      </c>
      <c r="E215" s="142">
        <f>STDEV('Non-shuttle Bids'!$AN889:$AO919)</f>
        <v>1028.2468899377554</v>
      </c>
      <c r="F215" s="56"/>
      <c r="G215" s="64">
        <f>MAX('Shuttle Bids'!$AN889:$AO919)</f>
        <v>5875</v>
      </c>
      <c r="H215" s="64">
        <f>MIN('Shuttle Bids'!$AN889:$AO919)</f>
        <v>975</v>
      </c>
      <c r="I215" s="66">
        <f>AVERAGE('Shuttle Bids'!$AN889:$AO919)</f>
        <v>3087.9444444444443</v>
      </c>
      <c r="J215" s="66">
        <f>STDEV('Shuttle Bids'!$AN889:$AO919)</f>
        <v>1250.3758964966028</v>
      </c>
    </row>
    <row r="216" spans="1:10" x14ac:dyDescent="0.2">
      <c r="A216" s="92" t="s">
        <v>280</v>
      </c>
      <c r="B216" s="64">
        <f>MAX('Non-shuttle Bids'!$AR893:$AS923)</f>
        <v>3000</v>
      </c>
      <c r="C216" s="64">
        <f>MIN('Non-shuttle Bids'!$AR893:$AS923)</f>
        <v>1300</v>
      </c>
      <c r="D216" s="64">
        <f>AVERAGE('Non-shuttle Bids'!$AR893:$AS923)</f>
        <v>1933.3333333333333</v>
      </c>
      <c r="E216" s="64">
        <f>STDEV('Non-shuttle Bids'!$AR893:$AS923)</f>
        <v>929.15732431775677</v>
      </c>
      <c r="G216" s="64">
        <f>MAX('Shuttle Bids'!$AR893:$AS923)</f>
        <v>3750</v>
      </c>
      <c r="H216" s="64">
        <f>MIN('Shuttle Bids'!$AR893:$AS923)</f>
        <v>250</v>
      </c>
      <c r="I216" s="66">
        <f>AVERAGE('Shuttle Bids'!$AR893:$AS923)</f>
        <v>1760.5714285714287</v>
      </c>
      <c r="J216" s="66">
        <f>STDEV('Shuttle Bids'!$AR893:$AS923)</f>
        <v>952.60712155763758</v>
      </c>
    </row>
    <row r="217" spans="1:10" x14ac:dyDescent="0.2">
      <c r="A217" s="92" t="s">
        <v>281</v>
      </c>
      <c r="B217" s="64">
        <f>MAX('Non-shuttle Bids'!$AV897:$AW927)</f>
        <v>750</v>
      </c>
      <c r="C217" s="64">
        <f>MIN('Non-shuttle Bids'!$AV897:$AW927)</f>
        <v>750</v>
      </c>
      <c r="D217" s="64">
        <f>AVERAGE('Non-shuttle Bids'!$AV897:$AW927)</f>
        <v>750</v>
      </c>
      <c r="E217" s="64" t="e">
        <f>STDEV('Non-shuttle Bids'!$AV897:$AW927)</f>
        <v>#DIV/0!</v>
      </c>
      <c r="G217" s="64">
        <f>MAX('Shuttle Bids'!$AV897:$AW927)</f>
        <v>2500</v>
      </c>
      <c r="H217" s="64">
        <f>MIN('Shuttle Bids'!$AV897:$AW927)</f>
        <v>0</v>
      </c>
      <c r="I217" s="66">
        <f>AVERAGE('Shuttle Bids'!$AV897:$AW927)</f>
        <v>1173.5652173913043</v>
      </c>
      <c r="J217" s="66">
        <f>STDEV('Shuttle Bids'!$AV897:$AW927)</f>
        <v>706.94257360236941</v>
      </c>
    </row>
    <row r="218" spans="1:10" x14ac:dyDescent="0.2">
      <c r="A218" s="92"/>
      <c r="B218" s="95"/>
      <c r="C218" s="95"/>
      <c r="D218" s="95"/>
      <c r="E218" s="95"/>
    </row>
    <row r="219" spans="1:10" x14ac:dyDescent="0.2">
      <c r="B219" s="95"/>
      <c r="C219" s="95"/>
      <c r="D219" s="95"/>
      <c r="E219" s="95"/>
    </row>
    <row r="220" spans="1:10" x14ac:dyDescent="0.2">
      <c r="A220" s="95"/>
      <c r="B220" s="95"/>
      <c r="C220" s="95"/>
      <c r="D220" s="95"/>
      <c r="E220" s="95"/>
    </row>
    <row r="221" spans="1:10" x14ac:dyDescent="0.2">
      <c r="A221" s="95"/>
      <c r="B221" s="95"/>
      <c r="C221" s="95"/>
      <c r="D221" s="95"/>
      <c r="E221" s="95"/>
    </row>
  </sheetData>
  <mergeCells count="26"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AO24" sqref="AO24"/>
    </sheetView>
  </sheetViews>
  <sheetFormatPr defaultRowHeight="15.75" x14ac:dyDescent="0.25"/>
  <cols>
    <col min="2" max="2" width="20.77734375" customWidth="1"/>
    <col min="27" max="29" width="8.77734375" style="8"/>
  </cols>
  <sheetData>
    <row r="1" spans="1:49" x14ac:dyDescent="0.25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25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">
      <c r="A3" s="12" t="s">
        <v>206</v>
      </c>
      <c r="C3" s="117" t="str">
        <f>IF('Non-shuttle Bids'!D919="", "n/a", 'Non-shuttle Bids'!D919)</f>
        <v>n/a</v>
      </c>
      <c r="D3" s="117" t="str">
        <f>IF('Non-shuttle Bids'!E919="", "n/a", 'Non-shuttle Bids'!E919)</f>
        <v>n/a</v>
      </c>
      <c r="E3" s="117" t="str">
        <f>IF('Non-shuttle Bids'!F919="", "n/a", 'Non-shuttle Bids'!F919)</f>
        <v>n/a</v>
      </c>
      <c r="F3" s="12"/>
      <c r="G3" s="117" t="str">
        <f>IF('Non-shuttle Bids'!H911="", "n/a", 'Non-shuttle Bids'!H911)</f>
        <v>n/a</v>
      </c>
      <c r="H3" s="117" t="str">
        <f>IF('Non-shuttle Bids'!I911="", "n/a", 'Non-shuttle Bids'!I911)</f>
        <v>n/a</v>
      </c>
      <c r="I3" s="117" t="str">
        <f>IF('Non-shuttle Bids'!J911="", "n/a", 'Non-shuttle Bids'!J911)</f>
        <v>n/a</v>
      </c>
      <c r="J3" s="12"/>
      <c r="K3" s="117" t="str">
        <f>IF('Non-shuttle Bids'!L911="", "n/a", 'Non-shuttle Bids'!L911)</f>
        <v>n/a</v>
      </c>
      <c r="L3" s="117" t="str">
        <f>IF('Non-shuttle Bids'!M911="", "n/a", 'Non-shuttle Bids'!M911)</f>
        <v>n/a</v>
      </c>
      <c r="M3" s="117" t="str">
        <f>IF('Non-shuttle Bids'!N911="", "n/a", 'Non-shuttle Bids'!N911)</f>
        <v>n/a</v>
      </c>
      <c r="N3" s="12"/>
      <c r="O3" s="117" t="str">
        <f>IF('Non-shuttle Bids'!P911="", "n/a", 'Non-shuttle Bids'!P911)</f>
        <v>n/a</v>
      </c>
      <c r="P3" s="117" t="str">
        <f>IF('Non-shuttle Bids'!Q911="", "n/a", 'Non-shuttle Bids'!Q911)</f>
        <v>n/a</v>
      </c>
      <c r="Q3" s="117" t="str">
        <f>IF('Non-shuttle Bids'!R911="", "n/a", 'Non-shuttle Bids'!R911)</f>
        <v>n/a</v>
      </c>
      <c r="R3" s="12"/>
      <c r="S3" s="117" t="str">
        <f>IF('Non-shuttle Bids'!T911="", "n/a", 'Non-shuttle Bids'!T911)</f>
        <v>n/a</v>
      </c>
      <c r="T3" s="117" t="str">
        <f>IF('Non-shuttle Bids'!U911="", "n/a", 'Non-shuttle Bids'!U911)</f>
        <v>n/a</v>
      </c>
      <c r="U3" s="117" t="str">
        <f>IF('Non-shuttle Bids'!V911="", "n/a", 'Non-shuttle Bids'!V911)</f>
        <v>n/a</v>
      </c>
      <c r="V3" s="12"/>
      <c r="W3" s="117" t="str">
        <f>IF('Non-shuttle Bids'!X911="", "n/a", 'Non-shuttle Bids'!X911)</f>
        <v>n/a</v>
      </c>
      <c r="X3" s="117" t="str">
        <f>IF('Non-shuttle Bids'!Y911="", "n/a", 'Non-shuttle Bids'!Y911)</f>
        <v>n/a</v>
      </c>
      <c r="Y3" s="117" t="str">
        <f>IF('Non-shuttle Bids'!Z911="", "n/a", 'Non-shuttle Bids'!Z911)</f>
        <v>n/a</v>
      </c>
      <c r="Z3" s="12"/>
      <c r="AA3" s="117">
        <f>IF('Non-shuttle Bids'!AB905="", "n/a", 'Non-shuttle Bids'!AB905)</f>
        <v>900</v>
      </c>
      <c r="AB3" s="117">
        <f>IF('Non-shuttle Bids'!AC905="", "n/a", 'Non-shuttle Bids'!AC905)</f>
        <v>800</v>
      </c>
      <c r="AC3" s="117">
        <f>IF('Non-shuttle Bids'!AD905="", "n/a", 'Non-shuttle Bids'!AD905)</f>
        <v>850</v>
      </c>
      <c r="AD3" s="12"/>
      <c r="AE3" s="117" t="str">
        <f>IF('Non-shuttle Bids'!AF910="", "n/a", 'Non-shuttle Bids'!AF910)</f>
        <v>n/a</v>
      </c>
      <c r="AF3" s="117" t="str">
        <f>IF('Non-shuttle Bids'!AG910="", "n/a", 'Non-shuttle Bids'!AG910)</f>
        <v>n/a</v>
      </c>
      <c r="AG3" s="117" t="str">
        <f>IF('Non-shuttle Bids'!AH910="", "n/a", 'Non-shuttle Bids'!AH910)</f>
        <v>n/a</v>
      </c>
      <c r="AH3" s="12"/>
      <c r="AI3" s="117" t="str">
        <f>IF('Non-shuttle Bids'!AJ914="", "n/a", 'Non-shuttle Bids'!AJ914)</f>
        <v>n/a</v>
      </c>
      <c r="AJ3" s="117" t="str">
        <f>IF('Non-shuttle Bids'!AK914="", "n/a", 'Non-shuttle Bids'!AK914)</f>
        <v>n/a</v>
      </c>
      <c r="AK3" s="117" t="str">
        <f>IF('Non-shuttle Bids'!AL914="", "n/a", 'Non-shuttle Bids'!AL914)</f>
        <v>n/a</v>
      </c>
      <c r="AL3" s="12"/>
      <c r="AM3" s="117" t="str">
        <f>IF('Non-shuttle Bids'!AN918="", "n/a", 'Non-shuttle Bids'!AN918)</f>
        <v>n/a</v>
      </c>
      <c r="AN3" s="117" t="str">
        <f>IF('Non-shuttle Bids'!AO918="", "n/a", 'Non-shuttle Bids'!AO918)</f>
        <v>n/a</v>
      </c>
      <c r="AO3" s="117" t="str">
        <f>IF('Non-shuttle Bids'!AP918="", "n/a", 'Non-shuttle Bids'!AP918)</f>
        <v>n/a</v>
      </c>
      <c r="AP3" s="12"/>
      <c r="AQ3" s="117">
        <f>IF('Non-shuttle Bids'!AR919="", "n/a", 'Non-shuttle Bids'!AR919)</f>
        <v>3000</v>
      </c>
      <c r="AR3" s="117">
        <f>IF('Non-shuttle Bids'!AS919="", "n/a", 'Non-shuttle Bids'!AS919)</f>
        <v>1300</v>
      </c>
      <c r="AS3" s="117">
        <f>IF('Non-shuttle Bids'!AT919="", "n/a", 'Non-shuttle Bids'!AT919)</f>
        <v>2150</v>
      </c>
      <c r="AT3" s="12"/>
      <c r="AU3" s="117" t="str">
        <f>IF('Non-shuttle Bids'!AV919="", "n/a", 'Non-shuttle Bids'!AV919)</f>
        <v>n/a</v>
      </c>
      <c r="AV3" s="117">
        <f>IF('Non-shuttle Bids'!AW919="", "n/a", 'Non-shuttle Bids'!AW919)</f>
        <v>750</v>
      </c>
      <c r="AW3" s="117">
        <f>IF('Non-shuttle Bids'!AX919="", "n/a", 'Non-shuttle Bids'!AX919)</f>
        <v>750</v>
      </c>
    </row>
    <row r="4" spans="1:49" ht="15" x14ac:dyDescent="0.2">
      <c r="A4" s="12" t="s">
        <v>109</v>
      </c>
      <c r="B4" s="14"/>
      <c r="C4" s="117" t="str">
        <f>IF('Non-shuttle Bids'!D919="","n/a",IF('Non-shuttle Bids'!D918="","n/a",'Non-shuttle Bids'!D919-'Non-shuttle Bids'!D918))</f>
        <v>n/a</v>
      </c>
      <c r="D4" s="117" t="str">
        <f>IF('Non-shuttle Bids'!E919="","n/a",IF('Non-shuttle Bids'!E918="","n/a",'Non-shuttle Bids'!E919-'Non-shuttle Bids'!E918))</f>
        <v>n/a</v>
      </c>
      <c r="E4" s="117" t="str">
        <f>IF('Non-shuttle Bids'!F919="","n/a",IF('Non-shuttle Bids'!F918="","n/a",'Non-shuttle Bids'!F919-'Non-shuttle Bids'!F918))</f>
        <v>n/a</v>
      </c>
      <c r="F4" s="118"/>
      <c r="G4" s="117" t="str">
        <f>IF('Non-shuttle Bids'!H911="","n/a",IF('Non-shuttle Bids'!H910="","n/a",'Non-shuttle Bids'!H911-'Non-shuttle Bids'!H910))</f>
        <v>n/a</v>
      </c>
      <c r="H4" s="117" t="str">
        <f>IF('Non-shuttle Bids'!I911="","n/a",IF('Non-shuttle Bids'!I910="","n/a",'Non-shuttle Bids'!I911-'Non-shuttle Bids'!I910))</f>
        <v>n/a</v>
      </c>
      <c r="I4" s="117" t="str">
        <f>IF('Non-shuttle Bids'!J911="","n/a",IF('Non-shuttle Bids'!J910="","n/a",'Non-shuttle Bids'!J911-'Non-shuttle Bids'!J910))</f>
        <v>n/a</v>
      </c>
      <c r="J4" s="12"/>
      <c r="K4" s="117" t="str">
        <f>IF('Non-shuttle Bids'!L911="","n/a",IF('Non-shuttle Bids'!L910="","n/a",'Non-shuttle Bids'!L911-'Non-shuttle Bids'!L910))</f>
        <v>n/a</v>
      </c>
      <c r="L4" s="117" t="str">
        <f>IF('Non-shuttle Bids'!M911="","n/a",IF('Non-shuttle Bids'!M910="","n/a",'Non-shuttle Bids'!M911-'Non-shuttle Bids'!M910))</f>
        <v>n/a</v>
      </c>
      <c r="M4" s="117" t="str">
        <f>IF('Non-shuttle Bids'!N911="","n/a",IF('Non-shuttle Bids'!N910="","n/a",'Non-shuttle Bids'!N911-'Non-shuttle Bids'!N910))</f>
        <v>n/a</v>
      </c>
      <c r="N4" s="118"/>
      <c r="O4" s="117" t="str">
        <f>IF('Non-shuttle Bids'!P911="","n/a",IF('Non-shuttle Bids'!P910="","n/a",'Non-shuttle Bids'!P911-'Non-shuttle Bids'!P910))</f>
        <v>n/a</v>
      </c>
      <c r="P4" s="117" t="str">
        <f>IF('Non-shuttle Bids'!Q911="","n/a",IF('Non-shuttle Bids'!Q910="","n/a",'Non-shuttle Bids'!Q911-'Non-shuttle Bids'!Q910))</f>
        <v>n/a</v>
      </c>
      <c r="Q4" s="117" t="str">
        <f>IF('Non-shuttle Bids'!R911="","n/a",IF('Non-shuttle Bids'!R910="","n/a",'Non-shuttle Bids'!R911-'Non-shuttle Bids'!R910))</f>
        <v>n/a</v>
      </c>
      <c r="R4" s="118"/>
      <c r="S4" s="117" t="str">
        <f>IF('Non-shuttle Bids'!T911="","n/a",IF('Non-shuttle Bids'!T910="","n/a",'Non-shuttle Bids'!T911-'Non-shuttle Bids'!T910))</f>
        <v>n/a</v>
      </c>
      <c r="T4" s="117" t="str">
        <f>IF('Non-shuttle Bids'!U911="","n/a",IF('Non-shuttle Bids'!U910="","n/a",'Non-shuttle Bids'!U911-'Non-shuttle Bids'!U910))</f>
        <v>n/a</v>
      </c>
      <c r="U4" s="117" t="str">
        <f>IF('Non-shuttle Bids'!V911="","n/a",IF('Non-shuttle Bids'!V910="","n/a",'Non-shuttle Bids'!V911-'Non-shuttle Bids'!V910))</f>
        <v>n/a</v>
      </c>
      <c r="V4" s="12"/>
      <c r="W4" s="117" t="str">
        <f>IF('Non-shuttle Bids'!X911="","n/a",IF('Non-shuttle Bids'!X910="","n/a",'Non-shuttle Bids'!X911-'Non-shuttle Bids'!X910))</f>
        <v>n/a</v>
      </c>
      <c r="X4" s="117" t="str">
        <f>IF('Non-shuttle Bids'!Y911="","n/a",IF('Non-shuttle Bids'!Y910="","n/a",'Non-shuttle Bids'!Y911-'Non-shuttle Bids'!Y910))</f>
        <v>n/a</v>
      </c>
      <c r="Y4" s="117" t="str">
        <f>IF('Non-shuttle Bids'!Z911="","n/a",IF('Non-shuttle Bids'!Z910="","n/a",'Non-shuttle Bids'!Z911-'Non-shuttle Bids'!Z910))</f>
        <v>n/a</v>
      </c>
      <c r="Z4" s="12"/>
      <c r="AA4" s="117">
        <f>IF('Non-shuttle Bids'!AB905="","n/a",IF('Non-shuttle Bids'!AB904="","n/a",'Non-shuttle Bids'!AB905-'Non-shuttle Bids'!AB904))</f>
        <v>100</v>
      </c>
      <c r="AB4" s="117">
        <f>IF('Non-shuttle Bids'!AC905="","n/a",IF('Non-shuttle Bids'!AC904="","n/a",'Non-shuttle Bids'!AC905-'Non-shuttle Bids'!AC904))</f>
        <v>600</v>
      </c>
      <c r="AC4" s="117">
        <f>IF('Non-shuttle Bids'!AD905="","n/a",IF('Non-shuttle Bids'!AD904="","n/a",'Non-shuttle Bids'!AD905-'Non-shuttle Bids'!AD904))</f>
        <v>350</v>
      </c>
      <c r="AD4" s="12"/>
      <c r="AE4" s="117" t="str">
        <f>IF('Non-shuttle Bids'!AF910="","n/a",IF('Non-shuttle Bids'!AF909="","n/a",'Non-shuttle Bids'!AF910-'Non-shuttle Bids'!AF909))</f>
        <v>n/a</v>
      </c>
      <c r="AF4" s="117" t="str">
        <f>IF('Non-shuttle Bids'!AG910="","n/a",IF('Non-shuttle Bids'!AG909="","n/a",'Non-shuttle Bids'!AG910-'Non-shuttle Bids'!AG909))</f>
        <v>n/a</v>
      </c>
      <c r="AG4" s="117" t="str">
        <f>IF('Non-shuttle Bids'!AH910="","n/a",IF('Non-shuttle Bids'!AH909="","n/a",'Non-shuttle Bids'!AH910-'Non-shuttle Bids'!AH909))</f>
        <v>n/a</v>
      </c>
      <c r="AH4" s="12"/>
      <c r="AI4" s="117" t="str">
        <f>IF('Non-shuttle Bids'!AJ914="","n/a",IF('Non-shuttle Bids'!AJ913="","n/a",'Non-shuttle Bids'!AJ914-'Non-shuttle Bids'!AJ913))</f>
        <v>n/a</v>
      </c>
      <c r="AJ4" s="117" t="str">
        <f>IF('Non-shuttle Bids'!AK914="","n/a",IF('Non-shuttle Bids'!AK913="","n/a",'Non-shuttle Bids'!AK914-'Non-shuttle Bids'!AK913))</f>
        <v>n/a</v>
      </c>
      <c r="AK4" s="117" t="str">
        <f>IF('Non-shuttle Bids'!AL914="","n/a",IF('Non-shuttle Bids'!AL913="","n/a",'Non-shuttle Bids'!AL914-'Non-shuttle Bids'!AL913))</f>
        <v>n/a</v>
      </c>
      <c r="AL4" s="84"/>
      <c r="AM4" s="117" t="str">
        <f>IF('Non-shuttle Bids'!AN918="","n/a",IF('Non-shuttle Bids'!AN917="","n/a",'Non-shuttle Bids'!AN918-'Non-shuttle Bids'!AN917))</f>
        <v>n/a</v>
      </c>
      <c r="AN4" s="117" t="str">
        <f>IF('Non-shuttle Bids'!AO918="","n/a",IF('Non-shuttle Bids'!AO917="","n/a",'Non-shuttle Bids'!AO918-'Non-shuttle Bids'!AO917))</f>
        <v>n/a</v>
      </c>
      <c r="AO4" s="117" t="str">
        <f>IF('Non-shuttle Bids'!AP918="","n/a",IF('Non-shuttle Bids'!AP917="","n/a",'Non-shuttle Bids'!AP918-'Non-shuttle Bids'!AP917))</f>
        <v>n/a</v>
      </c>
      <c r="AP4" s="84"/>
      <c r="AQ4" s="117" t="str">
        <f>IF('Non-shuttle Bids'!AR919="","n/a",IF('Non-shuttle Bids'!AR918="","n/a",'Non-shuttle Bids'!AR919-'Non-shuttle Bids'!AR918))</f>
        <v>n/a</v>
      </c>
      <c r="AR4" s="117" t="str">
        <f>IF('Non-shuttle Bids'!AS919="","n/a",IF('Non-shuttle Bids'!AS918="","n/a",'Non-shuttle Bids'!AS919-'Non-shuttle Bids'!AS918))</f>
        <v>n/a</v>
      </c>
      <c r="AS4" s="117" t="str">
        <f>IF('Non-shuttle Bids'!AT919="","n/a",IF('Non-shuttle Bids'!AT918="","n/a",'Non-shuttle Bids'!AT919-'Non-shuttle Bids'!AT918))</f>
        <v>n/a</v>
      </c>
      <c r="AT4" s="84"/>
      <c r="AU4" s="117" t="str">
        <f>IF('Non-shuttle Bids'!AV919="","n/a",IF('Non-shuttle Bids'!AV918="","n/a",'Non-shuttle Bids'!AV919-'Non-shuttle Bids'!AV918))</f>
        <v>n/a</v>
      </c>
      <c r="AV4" s="117" t="str">
        <f>IF('Non-shuttle Bids'!AW919="","n/a",IF('Non-shuttle Bids'!AW918="","n/a",'Non-shuttle Bids'!AW919-'Non-shuttle Bids'!AW918))</f>
        <v>n/a</v>
      </c>
      <c r="AW4" s="117" t="str">
        <f>IF('Non-shuttle Bids'!AX919="","n/a",IF('Non-shuttle Bids'!AX918="","n/a",'Non-shuttle Bids'!AX919-'Non-shuttle Bids'!AX918))</f>
        <v>n/a</v>
      </c>
    </row>
    <row r="5" spans="1:49" ht="15" x14ac:dyDescent="0.2">
      <c r="A5" s="114" t="s">
        <v>150</v>
      </c>
      <c r="B5" s="14"/>
      <c r="C5" s="117" t="str">
        <f>IF('Non-shuttle Bids'!D919="","n/a",IF('Non-shuttle Bids'!D867="","n/a",'Non-shuttle Bids'!D919-'Non-shuttle Bids'!D867))</f>
        <v>n/a</v>
      </c>
      <c r="D5" s="117" t="str">
        <f>IF('Non-shuttle Bids'!E919="","n/a",IF('Non-shuttle Bids'!E867="","n/a",'Non-shuttle Bids'!E919-'Non-shuttle Bids'!E867))</f>
        <v>n/a</v>
      </c>
      <c r="E5" s="117" t="str">
        <f>IF('Non-shuttle Bids'!F919="","n/a",IF('Non-shuttle Bids'!F867="","n/a",'Non-shuttle Bids'!F919-'Non-shuttle Bids'!F867))</f>
        <v>n/a</v>
      </c>
      <c r="F5" s="12"/>
      <c r="G5" s="117" t="str">
        <f>IF('Non-shuttle Bids'!H911="","n/a",IF('Non-shuttle Bids'!H859="","n/a",'Non-shuttle Bids'!H911-'Non-shuttle Bids'!H859))</f>
        <v>n/a</v>
      </c>
      <c r="H5" s="117" t="str">
        <f>IF('Non-shuttle Bids'!I911="","n/a",IF('Non-shuttle Bids'!I859="","n/a",'Non-shuttle Bids'!I911-'Non-shuttle Bids'!I859))</f>
        <v>n/a</v>
      </c>
      <c r="I5" s="117" t="str">
        <f>IF('Non-shuttle Bids'!J911="","n/a",IF('Non-shuttle Bids'!J859="","n/a",'Non-shuttle Bids'!J911-'Non-shuttle Bids'!J859))</f>
        <v>n/a</v>
      </c>
      <c r="J5" s="12"/>
      <c r="K5" s="117" t="str">
        <f>IF('Non-shuttle Bids'!L911="","n/a",IF('Non-shuttle Bids'!L859="","n/a",'Non-shuttle Bids'!L911-'Non-shuttle Bids'!L859))</f>
        <v>n/a</v>
      </c>
      <c r="L5" s="117" t="str">
        <f>IF('Non-shuttle Bids'!M911="","n/a",IF('Non-shuttle Bids'!M859="","n/a",'Non-shuttle Bids'!M911-'Non-shuttle Bids'!M859))</f>
        <v>n/a</v>
      </c>
      <c r="M5" s="117" t="str">
        <f>IF('Non-shuttle Bids'!N911="","n/a",IF('Non-shuttle Bids'!N859="","n/a",'Non-shuttle Bids'!N911-'Non-shuttle Bids'!N859))</f>
        <v>n/a</v>
      </c>
      <c r="N5" s="12"/>
      <c r="O5" s="117" t="str">
        <f>IF('Non-shuttle Bids'!P911="","n/a",IF('Non-shuttle Bids'!P859="","n/a",'Non-shuttle Bids'!P911-'Non-shuttle Bids'!P859))</f>
        <v>n/a</v>
      </c>
      <c r="P5" s="117" t="str">
        <f>IF('Non-shuttle Bids'!Q911="","n/a",IF('Non-shuttle Bids'!Q859="","n/a",'Non-shuttle Bids'!Q911-'Non-shuttle Bids'!Q859))</f>
        <v>n/a</v>
      </c>
      <c r="Q5" s="117" t="str">
        <f>IF('Non-shuttle Bids'!R911="","n/a",IF('Non-shuttle Bids'!R859="","n/a",'Non-shuttle Bids'!R911-'Non-shuttle Bids'!R859))</f>
        <v>n/a</v>
      </c>
      <c r="R5" s="12"/>
      <c r="S5" s="117" t="str">
        <f>IF('Non-shuttle Bids'!T911="","n/a",IF('Non-shuttle Bids'!T859="","n/a",'Non-shuttle Bids'!T911-'Non-shuttle Bids'!T859))</f>
        <v>n/a</v>
      </c>
      <c r="T5" s="117" t="str">
        <f>IF('Non-shuttle Bids'!U911="","n/a",IF('Non-shuttle Bids'!U859="","n/a",'Non-shuttle Bids'!U911-'Non-shuttle Bids'!U859))</f>
        <v>n/a</v>
      </c>
      <c r="U5" s="117" t="str">
        <f>IF('Non-shuttle Bids'!V911="","n/a",IF('Non-shuttle Bids'!V859="","n/a",'Non-shuttle Bids'!V911-'Non-shuttle Bids'!V859))</f>
        <v>n/a</v>
      </c>
      <c r="V5" s="12"/>
      <c r="W5" s="117" t="str">
        <f>IF('Non-shuttle Bids'!X911="","n/a",IF('Non-shuttle Bids'!X859="","n/a",'Non-shuttle Bids'!X911-'Non-shuttle Bids'!X859))</f>
        <v>n/a</v>
      </c>
      <c r="X5" s="117" t="str">
        <f>IF('Non-shuttle Bids'!Y911="","n/a",IF('Non-shuttle Bids'!Y859="","n/a",'Non-shuttle Bids'!Y911-'Non-shuttle Bids'!Y859))</f>
        <v>n/a</v>
      </c>
      <c r="Y5" s="117" t="str">
        <f>IF('Non-shuttle Bids'!Z911="","n/a",IF('Non-shuttle Bids'!Z859="","n/a",'Non-shuttle Bids'!Z911-'Non-shuttle Bids'!Z859))</f>
        <v>n/a</v>
      </c>
      <c r="Z5" s="12"/>
      <c r="AA5" s="117">
        <f>IF('Non-shuttle Bids'!AB905="","n/a",IF('Non-shuttle Bids'!AB853="","n/a",'Non-shuttle Bids'!AB905-'Non-shuttle Bids'!AB853))</f>
        <v>899</v>
      </c>
      <c r="AB5" s="117">
        <f>IF('Non-shuttle Bids'!AC905="","n/a",IF('Non-shuttle Bids'!AC853="","n/a",'Non-shuttle Bids'!AC905-'Non-shuttle Bids'!AC853))</f>
        <v>800</v>
      </c>
      <c r="AC5" s="117">
        <f>IF('Non-shuttle Bids'!AD905="","n/a",IF('Non-shuttle Bids'!AD853="","n/a",'Non-shuttle Bids'!AD905-'Non-shuttle Bids'!AD853))</f>
        <v>849.5</v>
      </c>
      <c r="AD5" s="12"/>
      <c r="AE5" s="117" t="str">
        <f>IF('Non-shuttle Bids'!AF910="","n/a",IF('Non-shuttle Bids'!AF858="","n/a",'Non-shuttle Bids'!AF910-'Non-shuttle Bids'!AF858))</f>
        <v>n/a</v>
      </c>
      <c r="AF5" s="117" t="str">
        <f>IF('Non-shuttle Bids'!AG910="","n/a",IF('Non-shuttle Bids'!AG858="","n/a",'Non-shuttle Bids'!AG910-'Non-shuttle Bids'!AG858))</f>
        <v>n/a</v>
      </c>
      <c r="AG5" s="117" t="str">
        <f>IF('Non-shuttle Bids'!AH910="","n/a",IF('Non-shuttle Bids'!AH858="","n/a",'Non-shuttle Bids'!AH910-'Non-shuttle Bids'!AH858))</f>
        <v>n/a</v>
      </c>
      <c r="AH5" s="12"/>
      <c r="AI5" s="117" t="str">
        <f>IF('Non-shuttle Bids'!AJ914="","n/a",IF('Non-shuttle Bids'!AJ862="","n/a",'Non-shuttle Bids'!AJ914-'Non-shuttle Bids'!AJ862))</f>
        <v>n/a</v>
      </c>
      <c r="AJ5" s="117" t="str">
        <f>IF('Non-shuttle Bids'!AK914="","n/a",IF('Non-shuttle Bids'!AK862="","n/a",'Non-shuttle Bids'!AK914-'Non-shuttle Bids'!AK862))</f>
        <v>n/a</v>
      </c>
      <c r="AK5" s="117" t="str">
        <f>IF('Non-shuttle Bids'!AL914="","n/a",IF('Non-shuttle Bids'!AL862="","n/a",'Non-shuttle Bids'!AL914-'Non-shuttle Bids'!AL862))</f>
        <v>n/a</v>
      </c>
      <c r="AL5" s="84"/>
      <c r="AM5" s="117" t="str">
        <f>IF('Non-shuttle Bids'!AN918="","n/a",IF('Non-shuttle Bids'!AN866="","n/a",'Non-shuttle Bids'!AN918-'Non-shuttle Bids'!AN866))</f>
        <v>n/a</v>
      </c>
      <c r="AN5" s="117" t="str">
        <f>IF('Non-shuttle Bids'!AO918="","n/a",IF('Non-shuttle Bids'!AO866="","n/a",'Non-shuttle Bids'!AO918-'Non-shuttle Bids'!AO866))</f>
        <v>n/a</v>
      </c>
      <c r="AO5" s="117" t="str">
        <f>IF('Non-shuttle Bids'!AP918="","n/a",IF('Non-shuttle Bids'!AP866="","n/a",'Non-shuttle Bids'!AP918-'Non-shuttle Bids'!AP866))</f>
        <v>n/a</v>
      </c>
      <c r="AP5" s="84"/>
      <c r="AQ5" s="117">
        <f>IF('Non-shuttle Bids'!AR919="","n/a",IF('Non-shuttle Bids'!AR867="","n/a",'Non-shuttle Bids'!AR919-'Non-shuttle Bids'!AR867))</f>
        <v>2600</v>
      </c>
      <c r="AR5" s="117">
        <f>IF('Non-shuttle Bids'!AS919="","n/a",IF('Non-shuttle Bids'!AS867="","n/a",'Non-shuttle Bids'!AS919-'Non-shuttle Bids'!AS867))</f>
        <v>1200</v>
      </c>
      <c r="AS5" s="117">
        <f>IF('Non-shuttle Bids'!AT919="","n/a",IF('Non-shuttle Bids'!AT867="","n/a",'Non-shuttle Bids'!AT919-'Non-shuttle Bids'!AT867))</f>
        <v>1900</v>
      </c>
      <c r="AT5" s="84"/>
      <c r="AU5" s="117" t="str">
        <f>IF('Non-shuttle Bids'!AV919="","n/a",IF('Non-shuttle Bids'!AV867="","n/a",'Non-shuttle Bids'!AV919-'Non-shuttle Bids'!AV867))</f>
        <v>n/a</v>
      </c>
      <c r="AV5" s="117" t="str">
        <f>IF('Non-shuttle Bids'!AW919="","n/a",IF('Non-shuttle Bids'!AW867="","n/a",'Non-shuttle Bids'!AW919-'Non-shuttle Bids'!AW867))</f>
        <v>n/a</v>
      </c>
      <c r="AW5" s="117">
        <f>IF('Non-shuttle Bids'!AX919="","n/a",IF('Non-shuttle Bids'!AX867="","n/a",'Non-shuttle Bids'!AX919-'Non-shuttle Bids'!AX867))</f>
        <v>408</v>
      </c>
    </row>
    <row r="6" spans="1:49" ht="15" x14ac:dyDescent="0.2">
      <c r="A6" s="12" t="s">
        <v>144</v>
      </c>
      <c r="B6" s="14"/>
      <c r="C6" s="147" t="str">
        <f>IF('Non-shuttle Bids'!F919="","n/a",'Non-shuttle Bids'!F919)</f>
        <v>n/a</v>
      </c>
      <c r="D6" s="147"/>
      <c r="E6" s="119"/>
      <c r="F6" s="12"/>
      <c r="G6" s="147" t="str">
        <f>IF('Non-shuttle Bids'!J911="","n/a",'Non-shuttle Bids'!J911)</f>
        <v>n/a</v>
      </c>
      <c r="H6" s="147"/>
      <c r="I6" s="119"/>
      <c r="J6" s="12"/>
      <c r="K6" s="147" t="str">
        <f>IF('Non-shuttle Bids'!N911="","n/a",'Non-shuttle Bids'!N911)</f>
        <v>n/a</v>
      </c>
      <c r="L6" s="147"/>
      <c r="M6" s="119"/>
      <c r="N6" s="120"/>
      <c r="O6" s="147" t="str">
        <f>IF('Non-shuttle Bids'!R911="","n/a",'Non-shuttle Bids'!R911)</f>
        <v>n/a</v>
      </c>
      <c r="P6" s="147"/>
      <c r="Q6" s="119"/>
      <c r="R6" s="120"/>
      <c r="S6" s="147" t="str">
        <f>IF('Non-shuttle Bids'!V911="","n/a",'Non-shuttle Bids'!V911)</f>
        <v>n/a</v>
      </c>
      <c r="T6" s="147"/>
      <c r="U6" s="119"/>
      <c r="V6" s="120"/>
      <c r="W6" s="147" t="str">
        <f>IF('Non-shuttle Bids'!Z911="","n/a",'Non-shuttle Bids'!Z911)</f>
        <v>n/a</v>
      </c>
      <c r="X6" s="147"/>
      <c r="Y6" s="119"/>
      <c r="Z6" s="120"/>
      <c r="AA6" s="147">
        <f>IF('Non-shuttle Bids'!AD905="","n/a",'Non-shuttle Bids'!AD905)</f>
        <v>850</v>
      </c>
      <c r="AB6" s="147"/>
      <c r="AC6" s="119"/>
      <c r="AD6" s="120"/>
      <c r="AE6" s="147" t="str">
        <f>IF('Non-shuttle Bids'!AH910="","n/a",'Non-shuttle Bids'!AH910)</f>
        <v>n/a</v>
      </c>
      <c r="AF6" s="147"/>
      <c r="AG6" s="119"/>
      <c r="AH6" s="120"/>
      <c r="AI6" s="147" t="str">
        <f>IF('Non-shuttle Bids'!AL914="","n/a",'Non-shuttle Bids'!AL914)</f>
        <v>n/a</v>
      </c>
      <c r="AJ6" s="147"/>
      <c r="AK6" s="119"/>
      <c r="AL6" s="121"/>
      <c r="AM6" s="147" t="str">
        <f>IF('Non-shuttle Bids'!AP918="","n/a",'Non-shuttle Bids'!AP918)</f>
        <v>n/a</v>
      </c>
      <c r="AN6" s="147"/>
      <c r="AO6" s="119"/>
      <c r="AP6" s="121"/>
      <c r="AQ6" s="147">
        <f>IF('Non-shuttle Bids'!AT919="","n/a",'Non-shuttle Bids'!AT919)</f>
        <v>2150</v>
      </c>
      <c r="AR6" s="147"/>
      <c r="AS6" s="119"/>
      <c r="AT6" s="121"/>
      <c r="AU6" s="147">
        <f>IF('Non-shuttle Bids'!AX919="","n/a",'Non-shuttle Bids'!AX919)</f>
        <v>750</v>
      </c>
      <c r="AV6" s="147"/>
      <c r="AW6" s="119"/>
    </row>
    <row r="7" spans="1:49" ht="15" x14ac:dyDescent="0.2">
      <c r="A7" s="115" t="s">
        <v>145</v>
      </c>
      <c r="B7" s="14"/>
      <c r="C7" s="148" t="str">
        <f>IF('Non-shuttle Bids'!F919="","n/a",IF('Non-shuttle Bids'!F918="","n/a",'Non-shuttle Bids'!F919-'Non-shuttle Bids'!F918))</f>
        <v>n/a</v>
      </c>
      <c r="D7" s="148"/>
      <c r="E7" s="122"/>
      <c r="F7" s="12"/>
      <c r="G7" s="148" t="str">
        <f>IF('Non-shuttle Bids'!J911="","n/a",IF('Non-shuttle Bids'!J910="","n/a",'Non-shuttle Bids'!J911-'Non-shuttle Bids'!J910))</f>
        <v>n/a</v>
      </c>
      <c r="H7" s="148"/>
      <c r="I7" s="122"/>
      <c r="J7" s="12"/>
      <c r="K7" s="148" t="str">
        <f>IF('Non-shuttle Bids'!N911="","n/a",IF('Non-shuttle Bids'!N910="","n/a",'Non-shuttle Bids'!N911-'Non-shuttle Bids'!N910))</f>
        <v>n/a</v>
      </c>
      <c r="L7" s="148"/>
      <c r="M7" s="122"/>
      <c r="N7" s="123"/>
      <c r="O7" s="148" t="str">
        <f>IF('Non-shuttle Bids'!R911="","n/a",IF('Non-shuttle Bids'!R910="","n/a",'Non-shuttle Bids'!R911-'Non-shuttle Bids'!R910))</f>
        <v>n/a</v>
      </c>
      <c r="P7" s="148"/>
      <c r="Q7" s="122"/>
      <c r="R7" s="123"/>
      <c r="S7" s="148" t="str">
        <f>IF('Non-shuttle Bids'!V911="","n/a",IF('Non-shuttle Bids'!V910="","n/a",'Non-shuttle Bids'!V911-'Non-shuttle Bids'!V910))</f>
        <v>n/a</v>
      </c>
      <c r="T7" s="148"/>
      <c r="U7" s="122"/>
      <c r="V7" s="123"/>
      <c r="W7" s="148" t="str">
        <f>IF('Non-shuttle Bids'!Z911="","n/a",IF('Non-shuttle Bids'!Z910="","n/a",'Non-shuttle Bids'!Z911-'Non-shuttle Bids'!Z910))</f>
        <v>n/a</v>
      </c>
      <c r="X7" s="148"/>
      <c r="Y7" s="122"/>
      <c r="Z7" s="123"/>
      <c r="AA7" s="148">
        <f>IF('Non-shuttle Bids'!AD905="","n/a",IF('Non-shuttle Bids'!AD904="","n/a",'Non-shuttle Bids'!AD905-'Non-shuttle Bids'!AD904))</f>
        <v>350</v>
      </c>
      <c r="AB7" s="148"/>
      <c r="AC7" s="122"/>
      <c r="AD7" s="124"/>
      <c r="AE7" s="148" t="str">
        <f>IF('Non-shuttle Bids'!AH910="","n/a",IF('Non-shuttle Bids'!AH909="","n/a",'Non-shuttle Bids'!AH910-'Non-shuttle Bids'!AH909))</f>
        <v>n/a</v>
      </c>
      <c r="AF7" s="148"/>
      <c r="AG7" s="122"/>
      <c r="AH7" s="124"/>
      <c r="AI7" s="148" t="str">
        <f>IF('Non-shuttle Bids'!AL914="","n/a",IF('Non-shuttle Bids'!AL913="","n/a",'Non-shuttle Bids'!AL914-'Non-shuttle Bids'!AL913))</f>
        <v>n/a</v>
      </c>
      <c r="AJ7" s="148"/>
      <c r="AK7" s="122"/>
      <c r="AL7" s="125"/>
      <c r="AM7" s="148" t="str">
        <f>IF('Non-shuttle Bids'!AP918="","n/a",IF('Non-shuttle Bids'!AP917="","n/a",'Non-shuttle Bids'!AP918-'Non-shuttle Bids'!AP917))</f>
        <v>n/a</v>
      </c>
      <c r="AN7" s="148"/>
      <c r="AO7" s="122"/>
      <c r="AP7" s="125"/>
      <c r="AQ7" s="148" t="str">
        <f>IF('Non-shuttle Bids'!AT919="","n/a",IF('Non-shuttle Bids'!AT918="","n/a",'Non-shuttle Bids'!AT919-'Non-shuttle Bids'!AT918))</f>
        <v>n/a</v>
      </c>
      <c r="AR7" s="148"/>
      <c r="AS7" s="122"/>
      <c r="AT7" s="125"/>
      <c r="AU7" s="148" t="str">
        <f>IF('Non-shuttle Bids'!AX919="","n/a",IF('Non-shuttle Bids'!AX918="","n/a",'Non-shuttle Bids'!AX919-'Non-shuttle Bids'!AX918))</f>
        <v>n/a</v>
      </c>
      <c r="AV7" s="148"/>
      <c r="AW7" s="122"/>
    </row>
    <row r="8" spans="1:49" ht="15" x14ac:dyDescent="0.2">
      <c r="A8" s="12" t="s">
        <v>146</v>
      </c>
      <c r="B8" s="14"/>
      <c r="C8" s="147" t="str">
        <f>IF('Non-shuttle Bids'!F919="","n/a",IF('Non-shuttle Bids'!F915="","n/a",'Non-shuttle Bids'!F919-'Non-shuttle Bids'!F915))</f>
        <v>n/a</v>
      </c>
      <c r="D8" s="147"/>
      <c r="E8" s="126"/>
      <c r="F8" s="12"/>
      <c r="G8" s="147" t="str">
        <f>IF('Non-shuttle Bids'!J911="","n/a",IF('Non-shuttle Bids'!J907="","n/a",'Non-shuttle Bids'!J911-'Non-shuttle Bids'!J907))</f>
        <v>n/a</v>
      </c>
      <c r="H8" s="147"/>
      <c r="I8" s="126"/>
      <c r="J8" s="12"/>
      <c r="K8" s="147" t="str">
        <f>IF('Non-shuttle Bids'!N911="","n/a",IF('Non-shuttle Bids'!N907="","n/a",'Non-shuttle Bids'!N911-'Non-shuttle Bids'!N907))</f>
        <v>n/a</v>
      </c>
      <c r="L8" s="147"/>
      <c r="M8" s="126"/>
      <c r="N8" s="127"/>
      <c r="O8" s="147" t="str">
        <f>IF('Non-shuttle Bids'!R911="","n/a",IF('Non-shuttle Bids'!R907="","n/a",'Non-shuttle Bids'!R911-'Non-shuttle Bids'!R907))</f>
        <v>n/a</v>
      </c>
      <c r="P8" s="147"/>
      <c r="Q8" s="126"/>
      <c r="R8" s="127"/>
      <c r="S8" s="147" t="str">
        <f>IF('Non-shuttle Bids'!V911="","n/a",IF('Non-shuttle Bids'!V907="","n/a",'Non-shuttle Bids'!V911-'Non-shuttle Bids'!V907))</f>
        <v>n/a</v>
      </c>
      <c r="T8" s="147"/>
      <c r="U8" s="126"/>
      <c r="V8" s="127"/>
      <c r="W8" s="147" t="str">
        <f>IF('Non-shuttle Bids'!Z911="","n/a",IF('Non-shuttle Bids'!Z907="","n/a",'Non-shuttle Bids'!Z911-'Non-shuttle Bids'!Z907))</f>
        <v>n/a</v>
      </c>
      <c r="X8" s="147"/>
      <c r="Y8" s="126"/>
      <c r="Z8" s="127"/>
      <c r="AA8" s="147">
        <f>IF('Non-shuttle Bids'!AD905="","n/a",IF('Non-shuttle Bids'!AD901="","n/a",'Non-shuttle Bids'!AD905-'Non-shuttle Bids'!AD901))</f>
        <v>350</v>
      </c>
      <c r="AB8" s="147"/>
      <c r="AC8" s="126"/>
      <c r="AD8" s="127"/>
      <c r="AE8" s="147" t="str">
        <f>IF('Non-shuttle Bids'!AH910="","n/a",IF('Non-shuttle Bids'!AH906="","n/a",'Non-shuttle Bids'!AH910-'Non-shuttle Bids'!AH906))</f>
        <v>n/a</v>
      </c>
      <c r="AF8" s="147"/>
      <c r="AG8" s="126"/>
      <c r="AH8" s="127"/>
      <c r="AI8" s="147" t="str">
        <f>IF('Non-shuttle Bids'!AL914="","n/a",IF('Non-shuttle Bids'!AL910="","n/a",'Non-shuttle Bids'!AL914-'Non-shuttle Bids'!AL910))</f>
        <v>n/a</v>
      </c>
      <c r="AJ8" s="147"/>
      <c r="AK8" s="126"/>
      <c r="AL8" s="128"/>
      <c r="AM8" s="147" t="str">
        <f>IF('Non-shuttle Bids'!AP918="","n/a",IF('Non-shuttle Bids'!AP914="","n/a",'Non-shuttle Bids'!AP918-'Non-shuttle Bids'!AP914))</f>
        <v>n/a</v>
      </c>
      <c r="AN8" s="147"/>
      <c r="AO8" s="126"/>
      <c r="AP8" s="128"/>
      <c r="AQ8" s="147" t="str">
        <f>IF('Non-shuttle Bids'!AT919="","n/a",IF('Non-shuttle Bids'!AT915="","n/a",'Non-shuttle Bids'!AT919-'Non-shuttle Bids'!AT915))</f>
        <v>n/a</v>
      </c>
      <c r="AR8" s="147"/>
      <c r="AS8" s="126"/>
      <c r="AT8" s="128"/>
      <c r="AU8" s="147" t="str">
        <f>IF('Non-shuttle Bids'!AX919="","n/a",IF('Non-shuttle Bids'!AX915="","n/a",'Non-shuttle Bids'!AX919-'Non-shuttle Bids'!AX915))</f>
        <v>n/a</v>
      </c>
      <c r="AV8" s="147"/>
      <c r="AW8" s="126"/>
    </row>
    <row r="9" spans="1:49" ht="15" x14ac:dyDescent="0.2">
      <c r="A9" s="14"/>
      <c r="B9" s="14"/>
      <c r="C9" s="129"/>
      <c r="D9" s="129"/>
      <c r="E9" s="128"/>
      <c r="F9" s="84"/>
      <c r="G9" s="129"/>
      <c r="H9" s="129"/>
      <c r="I9" s="128"/>
      <c r="J9" s="84"/>
      <c r="K9" s="129"/>
      <c r="L9" s="129"/>
      <c r="M9" s="128"/>
      <c r="N9" s="128"/>
      <c r="O9" s="129"/>
      <c r="P9" s="129"/>
      <c r="Q9" s="128"/>
      <c r="R9" s="128"/>
      <c r="S9" s="129"/>
      <c r="T9" s="129"/>
      <c r="U9" s="128"/>
      <c r="V9" s="128"/>
      <c r="W9" s="129"/>
      <c r="X9" s="129"/>
      <c r="Y9" s="128"/>
      <c r="Z9" s="128"/>
      <c r="AA9" s="130"/>
      <c r="AB9" s="130"/>
      <c r="AC9" s="131"/>
      <c r="AD9" s="128"/>
      <c r="AE9" s="129"/>
      <c r="AF9" s="129"/>
      <c r="AG9" s="128"/>
      <c r="AH9" s="128"/>
      <c r="AI9" s="129"/>
      <c r="AJ9" s="129"/>
      <c r="AK9" s="128"/>
      <c r="AL9" s="128"/>
      <c r="AM9" s="129"/>
      <c r="AN9" s="129"/>
      <c r="AO9" s="128"/>
      <c r="AP9" s="128"/>
      <c r="AQ9" s="129"/>
      <c r="AR9" s="129"/>
      <c r="AS9" s="128"/>
      <c r="AT9" s="128"/>
      <c r="AU9" s="129"/>
      <c r="AV9" s="129"/>
      <c r="AW9" s="128"/>
    </row>
    <row r="10" spans="1:49" ht="15" x14ac:dyDescent="0.2">
      <c r="A10" s="14"/>
      <c r="B10" s="14"/>
      <c r="C10" s="132" t="s">
        <v>155</v>
      </c>
      <c r="D10" s="133"/>
      <c r="E10" s="133"/>
      <c r="F10" s="12"/>
      <c r="G10" s="132" t="s">
        <v>155</v>
      </c>
      <c r="H10" s="133"/>
      <c r="I10" s="133"/>
      <c r="J10" s="12"/>
      <c r="K10" s="132" t="s">
        <v>155</v>
      </c>
      <c r="L10" s="133"/>
      <c r="M10" s="133"/>
      <c r="N10" s="12"/>
      <c r="O10" s="132" t="s">
        <v>155</v>
      </c>
      <c r="P10" s="133"/>
      <c r="Q10" s="133"/>
      <c r="R10" s="12"/>
      <c r="S10" s="132" t="s">
        <v>155</v>
      </c>
      <c r="T10" s="133"/>
      <c r="U10" s="133"/>
      <c r="V10" s="12"/>
      <c r="W10" s="132" t="s">
        <v>155</v>
      </c>
      <c r="X10" s="133"/>
      <c r="Y10" s="133"/>
      <c r="Z10" s="12"/>
      <c r="AA10" s="132" t="s">
        <v>155</v>
      </c>
      <c r="AB10" s="132"/>
      <c r="AC10" s="132"/>
      <c r="AD10" s="12"/>
      <c r="AE10" s="132" t="s">
        <v>155</v>
      </c>
      <c r="AF10" s="133"/>
      <c r="AG10" s="133"/>
      <c r="AH10" s="12"/>
      <c r="AI10" s="132" t="s">
        <v>155</v>
      </c>
      <c r="AJ10" s="133"/>
      <c r="AK10" s="133"/>
      <c r="AL10" s="12"/>
      <c r="AM10" s="132" t="s">
        <v>155</v>
      </c>
      <c r="AN10" s="133"/>
      <c r="AO10" s="133"/>
      <c r="AP10" s="12"/>
      <c r="AQ10" s="132" t="s">
        <v>155</v>
      </c>
      <c r="AR10" s="133"/>
      <c r="AS10" s="133"/>
      <c r="AT10" s="12"/>
      <c r="AU10" s="132" t="s">
        <v>155</v>
      </c>
      <c r="AV10" s="133"/>
      <c r="AW10" s="133"/>
    </row>
    <row r="11" spans="1:49" ht="15" x14ac:dyDescent="0.2">
      <c r="A11" s="116" t="s">
        <v>140</v>
      </c>
      <c r="B11" s="14"/>
      <c r="C11" s="149">
        <f>MAX('Non-shuttle Bids'!F902:F932)</f>
        <v>0</v>
      </c>
      <c r="D11" s="149"/>
      <c r="E11" s="141" t="s">
        <v>298</v>
      </c>
      <c r="F11" s="12"/>
      <c r="G11" s="149">
        <f>MAX('Non-shuttle Bids'!J906:J936)</f>
        <v>0</v>
      </c>
      <c r="H11" s="149"/>
      <c r="I11" s="141" t="s">
        <v>299</v>
      </c>
      <c r="J11" s="12"/>
      <c r="K11" s="149">
        <f>MAX('Non-shuttle Bids'!N910:N940)</f>
        <v>0</v>
      </c>
      <c r="L11" s="149"/>
      <c r="M11" s="141" t="s">
        <v>300</v>
      </c>
      <c r="N11" s="123"/>
      <c r="O11" s="149">
        <f>MAX('Non-shuttle Bids'!R915:R945)</f>
        <v>0</v>
      </c>
      <c r="P11" s="149"/>
      <c r="Q11" s="141" t="s">
        <v>301</v>
      </c>
      <c r="R11" s="123"/>
      <c r="S11" s="149">
        <f>MAX('Non-shuttle Bids'!V919:V949)</f>
        <v>0</v>
      </c>
      <c r="T11" s="149"/>
      <c r="U11" s="141" t="s">
        <v>302</v>
      </c>
      <c r="V11" s="123"/>
      <c r="W11" s="149">
        <f>MAX('Non-shuttle Bids'!Z923:Z953)</f>
        <v>0</v>
      </c>
      <c r="X11" s="149"/>
      <c r="Y11" s="141" t="s">
        <v>303</v>
      </c>
      <c r="Z11" s="123"/>
      <c r="AA11" s="149">
        <f>MAX('Non-shuttle Bids'!AD928:AD958)</f>
        <v>0</v>
      </c>
      <c r="AB11" s="149"/>
      <c r="AC11" s="141" t="s">
        <v>304</v>
      </c>
      <c r="AD11" s="123"/>
      <c r="AE11" s="149">
        <f>MAX('Non-shuttle Bids'!AH932:AH962)</f>
        <v>0</v>
      </c>
      <c r="AF11" s="149"/>
      <c r="AG11" s="141" t="s">
        <v>305</v>
      </c>
      <c r="AH11" s="123"/>
      <c r="AI11" s="149">
        <f>MAX('Non-shuttle Bids'!AL936:AL966)</f>
        <v>0</v>
      </c>
      <c r="AJ11" s="149"/>
      <c r="AK11" s="141" t="s">
        <v>306</v>
      </c>
      <c r="AL11" s="129"/>
      <c r="AM11" s="149">
        <f>MAX('Non-shuttle Bids'!AP941:AP971)</f>
        <v>0</v>
      </c>
      <c r="AN11" s="149"/>
      <c r="AO11" s="141" t="s">
        <v>307</v>
      </c>
      <c r="AP11" s="129"/>
      <c r="AQ11" s="149">
        <f>MAX('Non-shuttle Bids'!AT893:AT923)</f>
        <v>2150</v>
      </c>
      <c r="AR11" s="149"/>
      <c r="AS11" s="141" t="s">
        <v>266</v>
      </c>
      <c r="AT11" s="129"/>
      <c r="AU11" s="149">
        <f>MAX('Non-shuttle Bids'!AX897:AX927)</f>
        <v>750</v>
      </c>
      <c r="AV11" s="149"/>
      <c r="AW11" s="140" t="s">
        <v>268</v>
      </c>
    </row>
    <row r="12" spans="1:49" ht="15" x14ac:dyDescent="0.2">
      <c r="A12" s="115" t="s">
        <v>141</v>
      </c>
      <c r="B12" s="14"/>
      <c r="C12" s="149" t="e">
        <f>C6-C11</f>
        <v>#VALUE!</v>
      </c>
      <c r="D12" s="149"/>
      <c r="E12" s="140"/>
      <c r="F12" s="12"/>
      <c r="G12" s="149" t="e">
        <f>G6-G11</f>
        <v>#VALUE!</v>
      </c>
      <c r="H12" s="149"/>
      <c r="I12" s="140"/>
      <c r="J12" s="12"/>
      <c r="K12" s="149" t="e">
        <f>K6-K11</f>
        <v>#VALUE!</v>
      </c>
      <c r="L12" s="149"/>
      <c r="M12" s="140"/>
      <c r="N12" s="123"/>
      <c r="O12" s="149" t="e">
        <f>O6-O11</f>
        <v>#VALUE!</v>
      </c>
      <c r="P12" s="149"/>
      <c r="Q12" s="140"/>
      <c r="R12" s="123"/>
      <c r="S12" s="149" t="e">
        <f>S6-S11</f>
        <v>#VALUE!</v>
      </c>
      <c r="T12" s="149"/>
      <c r="U12" s="140"/>
      <c r="V12" s="123"/>
      <c r="W12" s="149" t="e">
        <f>W6-W11</f>
        <v>#VALUE!</v>
      </c>
      <c r="X12" s="149"/>
      <c r="Y12" s="140"/>
      <c r="Z12" s="123"/>
      <c r="AA12" s="149">
        <f>AA6-AA11</f>
        <v>850</v>
      </c>
      <c r="AB12" s="149"/>
      <c r="AC12" s="140"/>
      <c r="AD12" s="123"/>
      <c r="AE12" s="149" t="e">
        <f>AE6-AE11</f>
        <v>#VALUE!</v>
      </c>
      <c r="AF12" s="149"/>
      <c r="AG12" s="140"/>
      <c r="AH12" s="123"/>
      <c r="AI12" s="149" t="e">
        <f>AI6-AI11</f>
        <v>#VALUE!</v>
      </c>
      <c r="AJ12" s="149"/>
      <c r="AK12" s="140"/>
      <c r="AL12" s="129"/>
      <c r="AM12" s="149" t="e">
        <f>AM6-AM11</f>
        <v>#VALUE!</v>
      </c>
      <c r="AN12" s="149"/>
      <c r="AO12" s="140"/>
      <c r="AP12" s="129"/>
      <c r="AQ12" s="149">
        <f>AQ6-AQ11</f>
        <v>0</v>
      </c>
      <c r="AR12" s="149"/>
      <c r="AS12" s="140"/>
      <c r="AT12" s="129"/>
      <c r="AU12" s="149">
        <f>AU6-AU11</f>
        <v>0</v>
      </c>
      <c r="AV12" s="149"/>
      <c r="AW12" s="140"/>
    </row>
    <row r="13" spans="1:49" ht="15" x14ac:dyDescent="0.2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4"/>
      <c r="AB13" s="114"/>
      <c r="AC13" s="1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8" t="s">
        <v>204</v>
      </c>
      <c r="C14" s="114" t="s">
        <v>212</v>
      </c>
      <c r="D14" s="114" t="s">
        <v>213</v>
      </c>
      <c r="E14" s="114" t="s">
        <v>143</v>
      </c>
      <c r="F14" s="12"/>
      <c r="G14" s="114" t="s">
        <v>212</v>
      </c>
      <c r="H14" s="114" t="s">
        <v>213</v>
      </c>
      <c r="I14" s="114" t="s">
        <v>143</v>
      </c>
      <c r="J14" s="12"/>
      <c r="K14" s="114" t="s">
        <v>212</v>
      </c>
      <c r="L14" s="114" t="s">
        <v>213</v>
      </c>
      <c r="M14" s="114" t="s">
        <v>143</v>
      </c>
      <c r="N14" s="12"/>
      <c r="O14" s="114" t="s">
        <v>212</v>
      </c>
      <c r="P14" s="114" t="s">
        <v>213</v>
      </c>
      <c r="Q14" s="114" t="s">
        <v>143</v>
      </c>
      <c r="R14" s="12"/>
      <c r="S14" s="114" t="s">
        <v>212</v>
      </c>
      <c r="T14" s="114" t="s">
        <v>213</v>
      </c>
      <c r="U14" s="114" t="s">
        <v>143</v>
      </c>
      <c r="V14" s="12"/>
      <c r="W14" s="114" t="s">
        <v>212</v>
      </c>
      <c r="X14" s="114" t="s">
        <v>213</v>
      </c>
      <c r="Y14" s="114" t="s">
        <v>143</v>
      </c>
      <c r="Z14" s="12"/>
      <c r="AA14" s="114" t="s">
        <v>212</v>
      </c>
      <c r="AB14" s="114" t="s">
        <v>213</v>
      </c>
      <c r="AC14" s="114" t="s">
        <v>143</v>
      </c>
      <c r="AD14" s="12"/>
      <c r="AE14" s="114" t="s">
        <v>212</v>
      </c>
      <c r="AF14" s="114" t="s">
        <v>213</v>
      </c>
      <c r="AG14" s="114" t="s">
        <v>143</v>
      </c>
      <c r="AH14" s="12"/>
      <c r="AI14" s="114" t="s">
        <v>212</v>
      </c>
      <c r="AJ14" s="114" t="s">
        <v>213</v>
      </c>
      <c r="AK14" s="114" t="s">
        <v>143</v>
      </c>
      <c r="AL14" s="12"/>
      <c r="AM14" s="114" t="s">
        <v>212</v>
      </c>
      <c r="AN14" s="114" t="s">
        <v>213</v>
      </c>
      <c r="AO14" s="114" t="s">
        <v>143</v>
      </c>
      <c r="AP14" s="12"/>
      <c r="AQ14" s="114" t="s">
        <v>212</v>
      </c>
      <c r="AR14" s="114" t="s">
        <v>213</v>
      </c>
      <c r="AS14" s="114" t="s">
        <v>143</v>
      </c>
      <c r="AT14" s="12"/>
      <c r="AU14" s="114" t="s">
        <v>212</v>
      </c>
      <c r="AV14" s="114" t="s">
        <v>213</v>
      </c>
      <c r="AW14" s="114" t="s">
        <v>143</v>
      </c>
    </row>
    <row r="15" spans="1:49" ht="15" x14ac:dyDescent="0.2">
      <c r="A15" s="12" t="s">
        <v>206</v>
      </c>
      <c r="C15" s="117" t="str">
        <f>IF('Shuttle Bids'!D919="", "n/a", 'Shuttle Bids'!D919)</f>
        <v>n/a</v>
      </c>
      <c r="D15" s="117">
        <f>IF('Shuttle Bids'!E919="", "n/a", 'Shuttle Bids'!E919)</f>
        <v>900</v>
      </c>
      <c r="E15" s="117">
        <f>IF('Shuttle Bids'!F919="", "n/a", 'Shuttle Bids'!F919)</f>
        <v>900</v>
      </c>
      <c r="F15" s="12"/>
      <c r="G15" s="117" t="str">
        <f>IF('Shuttle Bids'!H919="", "n/a", 'Shuttle Bids'!H919)</f>
        <v>n/a</v>
      </c>
      <c r="H15" s="117">
        <f>IF('Shuttle Bids'!I919="", "n/a", 'Shuttle Bids'!I919)</f>
        <v>400</v>
      </c>
      <c r="I15" s="117">
        <f>IF('Shuttle Bids'!J919="", "n/a", 'Shuttle Bids'!J919)</f>
        <v>400</v>
      </c>
      <c r="J15" s="12"/>
      <c r="K15" s="117" t="str">
        <f>IF('Shuttle Bids'!L919="", "n/a", 'Shuttle Bids'!L919)</f>
        <v>n/a</v>
      </c>
      <c r="L15" s="117" t="str">
        <f>IF('Shuttle Bids'!M919="", "n/a", 'Shuttle Bids'!M919)</f>
        <v>n/a</v>
      </c>
      <c r="M15" s="117" t="str">
        <f>IF('Shuttle Bids'!N919="", "n/a", 'Shuttle Bids'!N919)</f>
        <v>n/a</v>
      </c>
      <c r="N15" s="12"/>
      <c r="O15" s="117" t="str">
        <f>IF('Shuttle Bids'!P916="", "n/a", 'Shuttle Bids'!P916)</f>
        <v>n/a</v>
      </c>
      <c r="P15" s="117" t="str">
        <f>IF('Shuttle Bids'!Q916="", "n/a", 'Shuttle Bids'!Q916)</f>
        <v>n/a</v>
      </c>
      <c r="Q15" s="117" t="str">
        <f>IF('Shuttle Bids'!R916="", "n/a", 'Shuttle Bids'!R916)</f>
        <v>n/a</v>
      </c>
      <c r="R15" s="12"/>
      <c r="S15" s="117" t="str">
        <f>IF('Shuttle Bids'!T911="", "n/a", 'Shuttle Bids'!T911)</f>
        <v>n/a</v>
      </c>
      <c r="T15" s="117" t="str">
        <f>IF('Shuttle Bids'!U911="", "n/a", 'Shuttle Bids'!U911)</f>
        <v>n/a</v>
      </c>
      <c r="U15" s="117" t="str">
        <f>IF('Shuttle Bids'!V911="", "n/a", 'Shuttle Bids'!V911)</f>
        <v>n/a</v>
      </c>
      <c r="V15" s="12"/>
      <c r="W15" s="117" t="str">
        <f>IF('Shuttle Bids'!X911="", "n/a", 'Shuttle Bids'!X911)</f>
        <v>n/a</v>
      </c>
      <c r="X15" s="117" t="str">
        <f>IF('Shuttle Bids'!Y911="", "n/a", 'Shuttle Bids'!Y911)</f>
        <v>n/a</v>
      </c>
      <c r="Y15" s="117" t="str">
        <f>IF('Shuttle Bids'!Z911="", "n/a", 'Shuttle Bids'!Z911)</f>
        <v>n/a</v>
      </c>
      <c r="Z15" s="12"/>
      <c r="AA15" s="117">
        <f>IF('Shuttle Bids'!AB905="", "n/a", 'Shuttle Bids'!AB905)</f>
        <v>1900</v>
      </c>
      <c r="AB15" s="117" t="str">
        <f>IF('Shuttle Bids'!AC905="", "n/a", 'Shuttle Bids'!AC905)</f>
        <v>n/a</v>
      </c>
      <c r="AC15" s="117">
        <f>IF('Shuttle Bids'!AD905="", "n/a", 'Shuttle Bids'!AD905)</f>
        <v>1900</v>
      </c>
      <c r="AD15" s="12"/>
      <c r="AE15" s="117">
        <f>IF('Shuttle Bids'!AF910="", "n/a", 'Shuttle Bids'!AF910)</f>
        <v>2000</v>
      </c>
      <c r="AF15" s="117">
        <f>IF('Shuttle Bids'!AG910="", "n/a", 'Shuttle Bids'!AG910)</f>
        <v>300</v>
      </c>
      <c r="AG15" s="117">
        <f>IF('Shuttle Bids'!AH910="", "n/a", 'Shuttle Bids'!AH910)</f>
        <v>1150</v>
      </c>
      <c r="AH15" s="12"/>
      <c r="AI15" s="117">
        <f>IF('Shuttle Bids'!AJ914="", "n/a", 'Shuttle Bids'!AJ914)</f>
        <v>3000</v>
      </c>
      <c r="AJ15" s="117" t="str">
        <f>IF('Shuttle Bids'!AK914="", "n/a", 'Shuttle Bids'!AK914)</f>
        <v>n/a</v>
      </c>
      <c r="AK15" s="117">
        <f>IF('Shuttle Bids'!AL914="", "n/a", 'Shuttle Bids'!AL914)</f>
        <v>3000</v>
      </c>
      <c r="AL15" s="12"/>
      <c r="AM15" s="117">
        <f>IF('Shuttle Bids'!AN918="", "n/a", 'Shuttle Bids'!AN918)</f>
        <v>5875</v>
      </c>
      <c r="AN15" s="117">
        <f>IF('Shuttle Bids'!AO918="", "n/a", 'Shuttle Bids'!AO918)</f>
        <v>2500</v>
      </c>
      <c r="AO15" s="117">
        <f>IF('Shuttle Bids'!AP918="", "n/a", 'Shuttle Bids'!AP918)</f>
        <v>4187.5</v>
      </c>
      <c r="AP15" s="12"/>
      <c r="AQ15" s="117">
        <f>IF('Shuttle Bids'!AR919="", "n/a", 'Shuttle Bids'!AR919)</f>
        <v>2438</v>
      </c>
      <c r="AR15" s="117">
        <f>IF('Shuttle Bids'!AS919="", "n/a", 'Shuttle Bids'!AS919)</f>
        <v>1908</v>
      </c>
      <c r="AS15" s="117">
        <f>IF('Shuttle Bids'!AT919="", "n/a", 'Shuttle Bids'!AT919)</f>
        <v>2173</v>
      </c>
      <c r="AT15" s="12"/>
      <c r="AU15" s="117" t="str">
        <f>IF('Shuttle Bids'!AV919="", "n/a", 'Shuttle Bids'!AV919)</f>
        <v>n/a</v>
      </c>
      <c r="AV15" s="117">
        <f>IF('Shuttle Bids'!AW919="", "n/a", 'Shuttle Bids'!AW919)</f>
        <v>1400</v>
      </c>
      <c r="AW15" s="117">
        <f>IF('Shuttle Bids'!AX919="", "n/a", 'Shuttle Bids'!AX919)</f>
        <v>1400</v>
      </c>
    </row>
    <row r="16" spans="1:49" ht="15" x14ac:dyDescent="0.2">
      <c r="A16" s="12" t="s">
        <v>109</v>
      </c>
      <c r="B16" s="14"/>
      <c r="C16" s="117" t="str">
        <f>IF('Shuttle Bids'!D919="","n/a",IF('Shuttle Bids'!D918="","n/a",'Shuttle Bids'!D919-'Shuttle Bids'!D918))</f>
        <v>n/a</v>
      </c>
      <c r="D16" s="117" t="str">
        <f>IF('Shuttle Bids'!E919="","n/a",IF('Shuttle Bids'!E918="","n/a",'Shuttle Bids'!E919-'Shuttle Bids'!E918))</f>
        <v>n/a</v>
      </c>
      <c r="E16" s="117">
        <f>IF('Shuttle Bids'!F919="","n/a",IF('Shuttle Bids'!F918="","n/a",'Shuttle Bids'!F919-'Shuttle Bids'!F918))</f>
        <v>-1100</v>
      </c>
      <c r="F16" s="118"/>
      <c r="G16" s="117" t="str">
        <f>IF('Shuttle Bids'!H919="","n/a",IF('Shuttle Bids'!H918="","n/a",'Shuttle Bids'!H919-'Shuttle Bids'!H918))</f>
        <v>n/a</v>
      </c>
      <c r="H16" s="117" t="str">
        <f>IF('Shuttle Bids'!I919="","n/a",IF('Shuttle Bids'!I918="","n/a",'Shuttle Bids'!I919-'Shuttle Bids'!I918))</f>
        <v>n/a</v>
      </c>
      <c r="I16" s="117" t="str">
        <f>IF('Shuttle Bids'!J919="","n/a",IF('Shuttle Bids'!J918="","n/a",'Shuttle Bids'!J919-'Shuttle Bids'!J918))</f>
        <v>n/a</v>
      </c>
      <c r="J16" s="12"/>
      <c r="K16" s="117" t="str">
        <f>IF('Shuttle Bids'!L919="","n/a",IF('Shuttle Bids'!L918="","n/a",'Shuttle Bids'!L919-'Shuttle Bids'!L918))</f>
        <v>n/a</v>
      </c>
      <c r="L16" s="117" t="str">
        <f>IF('Shuttle Bids'!M919="","n/a",IF('Shuttle Bids'!M918="","n/a",'Shuttle Bids'!M919-'Shuttle Bids'!M918))</f>
        <v>n/a</v>
      </c>
      <c r="M16" s="117" t="str">
        <f>IF('Shuttle Bids'!N919="","n/a",IF('Shuttle Bids'!N918="","n/a",'Shuttle Bids'!N919-'Shuttle Bids'!N918))</f>
        <v>n/a</v>
      </c>
      <c r="N16" s="118"/>
      <c r="O16" s="117" t="str">
        <f>IF('Shuttle Bids'!P916="","n/a",IF('Shuttle Bids'!P915="","n/a",'Shuttle Bids'!P916-'Shuttle Bids'!P915))</f>
        <v>n/a</v>
      </c>
      <c r="P16" s="117" t="str">
        <f>IF('Shuttle Bids'!Q916="","n/a",IF('Shuttle Bids'!Q915="","n/a",'Shuttle Bids'!Q916-'Shuttle Bids'!Q915))</f>
        <v>n/a</v>
      </c>
      <c r="Q16" s="117" t="str">
        <f>IF('Shuttle Bids'!R916="","n/a",IF('Shuttle Bids'!R915="","n/a",'Shuttle Bids'!R916-'Shuttle Bids'!R915))</f>
        <v>n/a</v>
      </c>
      <c r="R16" s="118"/>
      <c r="S16" s="117" t="str">
        <f>IF('Shuttle Bids'!T911="","n/a",IF('Shuttle Bids'!T910="","n/a",'Shuttle Bids'!T911-'Shuttle Bids'!T910))</f>
        <v>n/a</v>
      </c>
      <c r="T16" s="117" t="str">
        <f>IF('Shuttle Bids'!U911="","n/a",IF('Shuttle Bids'!U910="","n/a",'Shuttle Bids'!U911-'Shuttle Bids'!U910))</f>
        <v>n/a</v>
      </c>
      <c r="U16" s="117" t="str">
        <f>IF('Shuttle Bids'!V911="","n/a",IF('Shuttle Bids'!V910="","n/a",'Shuttle Bids'!V911-'Shuttle Bids'!V910))</f>
        <v>n/a</v>
      </c>
      <c r="V16" s="12"/>
      <c r="W16" s="117" t="str">
        <f>IF('Shuttle Bids'!X911="","n/a",IF('Shuttle Bids'!X910="","n/a",'Shuttle Bids'!X911-'Shuttle Bids'!X910))</f>
        <v>n/a</v>
      </c>
      <c r="X16" s="117" t="str">
        <f>IF('Shuttle Bids'!Y911="","n/a",IF('Shuttle Bids'!Y910="","n/a",'Shuttle Bids'!Y911-'Shuttle Bids'!Y910))</f>
        <v>n/a</v>
      </c>
      <c r="Y16" s="117" t="str">
        <f>IF('Shuttle Bids'!Z911="","n/a",IF('Shuttle Bids'!Z910="","n/a",'Shuttle Bids'!Z911-'Shuttle Bids'!Z910))</f>
        <v>n/a</v>
      </c>
      <c r="Z16" s="12"/>
      <c r="AA16" s="117">
        <f>IF('Shuttle Bids'!AB905="","n/a",IF('Shuttle Bids'!AB904="","n/a",'Shuttle Bids'!AB905-'Shuttle Bids'!AB904))</f>
        <v>1500</v>
      </c>
      <c r="AB16" s="117" t="str">
        <f>IF('Shuttle Bids'!AC905="","n/a",IF('Shuttle Bids'!AC904="","n/a",'Shuttle Bids'!AC905-'Shuttle Bids'!AC904))</f>
        <v>n/a</v>
      </c>
      <c r="AC16" s="117">
        <f>IF('Shuttle Bids'!AD905="","n/a",IF('Shuttle Bids'!AD904="","n/a",'Shuttle Bids'!AD905-'Shuttle Bids'!AD904))</f>
        <v>1600</v>
      </c>
      <c r="AD16" s="12"/>
      <c r="AE16" s="117">
        <f>IF('Shuttle Bids'!AF910="","n/a",IF('Shuttle Bids'!AF909="","n/a",'Shuttle Bids'!AF910-'Shuttle Bids'!AF909))</f>
        <v>-450</v>
      </c>
      <c r="AF16" s="117">
        <f>IF('Shuttle Bids'!AG910="","n/a",IF('Shuttle Bids'!AG909="","n/a",'Shuttle Bids'!AG910-'Shuttle Bids'!AG909))</f>
        <v>100</v>
      </c>
      <c r="AG16" s="117">
        <f>IF('Shuttle Bids'!AH910="","n/a",IF('Shuttle Bids'!AH909="","n/a",'Shuttle Bids'!AH910-'Shuttle Bids'!AH909))</f>
        <v>-175</v>
      </c>
      <c r="AH16" s="12"/>
      <c r="AI16" s="117">
        <f>IF('Shuttle Bids'!AJ914="","n/a",IF('Shuttle Bids'!AJ913="","n/a",'Shuttle Bids'!AJ914-'Shuttle Bids'!AJ913))</f>
        <v>965</v>
      </c>
      <c r="AJ16" s="117" t="str">
        <f>IF('Shuttle Bids'!AK914="","n/a",IF('Shuttle Bids'!AK913="","n/a",'Shuttle Bids'!AK914-'Shuttle Bids'!AK913))</f>
        <v>n/a</v>
      </c>
      <c r="AK16" s="117">
        <f>IF('Shuttle Bids'!AL914="","n/a",IF('Shuttle Bids'!AL913="","n/a",'Shuttle Bids'!AL914-'Shuttle Bids'!AL913))</f>
        <v>1857.5</v>
      </c>
      <c r="AL16" s="84"/>
      <c r="AM16" s="117">
        <f>IF('Shuttle Bids'!AN918="","n/a",IF('Shuttle Bids'!AN917="","n/a",'Shuttle Bids'!AN918-'Shuttle Bids'!AN917))</f>
        <v>1125</v>
      </c>
      <c r="AN16" s="117">
        <f>IF('Shuttle Bids'!AO918="","n/a",IF('Shuttle Bids'!AO917="","n/a",'Shuttle Bids'!AO918-'Shuttle Bids'!AO917))</f>
        <v>-750</v>
      </c>
      <c r="AO16" s="117">
        <f>IF('Shuttle Bids'!AP918="","n/a",IF('Shuttle Bids'!AP917="","n/a",'Shuttle Bids'!AP918-'Shuttle Bids'!AP917))</f>
        <v>187.5</v>
      </c>
      <c r="AP16" s="84"/>
      <c r="AQ16" s="117">
        <f>IF('Shuttle Bids'!AR919="","n/a",IF('Shuttle Bids'!AR918="","n/a",'Shuttle Bids'!AR919-'Shuttle Bids'!AR918))</f>
        <v>-1062</v>
      </c>
      <c r="AR16" s="117">
        <f>IF('Shuttle Bids'!AS919="","n/a",IF('Shuttle Bids'!AS918="","n/a",'Shuttle Bids'!AS919-'Shuttle Bids'!AS918))</f>
        <v>-142</v>
      </c>
      <c r="AS16" s="117">
        <f>IF('Shuttle Bids'!AT919="","n/a",IF('Shuttle Bids'!AT918="","n/a",'Shuttle Bids'!AT919-'Shuttle Bids'!AT918))</f>
        <v>-602</v>
      </c>
      <c r="AT16" s="84"/>
      <c r="AU16" s="117" t="str">
        <f>IF('Shuttle Bids'!AV919="","n/a",IF('Shuttle Bids'!AV918="","n/a",'Shuttle Bids'!AV919-'Shuttle Bids'!AV918))</f>
        <v>n/a</v>
      </c>
      <c r="AV16" s="117">
        <f>IF('Shuttle Bids'!AW919="","n/a",IF('Shuttle Bids'!AW918="","n/a",'Shuttle Bids'!AW919-'Shuttle Bids'!AW918))</f>
        <v>-125</v>
      </c>
      <c r="AW16" s="117">
        <f>IF('Shuttle Bids'!AX919="","n/a",IF('Shuttle Bids'!AX918="","n/a",'Shuttle Bids'!AX919-'Shuttle Bids'!AX918))</f>
        <v>-125</v>
      </c>
    </row>
    <row r="17" spans="1:49" ht="15" x14ac:dyDescent="0.2">
      <c r="A17" s="114" t="s">
        <v>151</v>
      </c>
      <c r="B17" s="14"/>
      <c r="C17" s="117" t="str">
        <f>IF('Shuttle Bids'!D919="","n/a",IF('Shuttle Bids'!D867="","n/a",'Shuttle Bids'!D919-'Shuttle Bids'!D867))</f>
        <v>n/a</v>
      </c>
      <c r="D17" s="117" t="str">
        <f>IF('Shuttle Bids'!E919="","n/a",IF('Shuttle Bids'!E867="","n/a",'Shuttle Bids'!E919-'Shuttle Bids'!E867))</f>
        <v>n/a</v>
      </c>
      <c r="E17" s="117" t="str">
        <f>IF('Shuttle Bids'!F919="","n/a",IF('Shuttle Bids'!F867="","n/a",'Shuttle Bids'!F919-'Shuttle Bids'!F867))</f>
        <v>n/a</v>
      </c>
      <c r="F17" s="12"/>
      <c r="G17" s="117" t="str">
        <f>IF('Shuttle Bids'!H919="","n/a",IF('Shuttle Bids'!H867="","n/a",'Shuttle Bids'!H919-'Shuttle Bids'!H867))</f>
        <v>n/a</v>
      </c>
      <c r="H17" s="117" t="str">
        <f>IF('Shuttle Bids'!I919="","n/a",IF('Shuttle Bids'!I867="","n/a",'Shuttle Bids'!I919-'Shuttle Bids'!I867))</f>
        <v>n/a</v>
      </c>
      <c r="I17" s="117" t="str">
        <f>IF('Shuttle Bids'!J919="","n/a",IF('Shuttle Bids'!J867="","n/a",'Shuttle Bids'!J919-'Shuttle Bids'!J867))</f>
        <v>n/a</v>
      </c>
      <c r="J17" s="12"/>
      <c r="K17" s="117" t="str">
        <f>IF('Shuttle Bids'!L919="","n/a",IF('Shuttle Bids'!L867="","n/a",'Shuttle Bids'!L919-'Shuttle Bids'!L867))</f>
        <v>n/a</v>
      </c>
      <c r="L17" s="117" t="str">
        <f>IF('Shuttle Bids'!M919="","n/a",IF('Shuttle Bids'!M867="","n/a",'Shuttle Bids'!M919-'Shuttle Bids'!M867))</f>
        <v>n/a</v>
      </c>
      <c r="M17" s="117" t="str">
        <f>IF('Shuttle Bids'!N919="","n/a",IF('Shuttle Bids'!N867="","n/a",'Shuttle Bids'!N919-'Shuttle Bids'!N867))</f>
        <v>n/a</v>
      </c>
      <c r="N17" s="12"/>
      <c r="O17" s="117" t="str">
        <f>IF('Shuttle Bids'!P916="","n/a",IF('Shuttle Bids'!P864="","n/a",'Shuttle Bids'!P916-'Shuttle Bids'!P864))</f>
        <v>n/a</v>
      </c>
      <c r="P17" s="117" t="str">
        <f>IF('Shuttle Bids'!Q916="","n/a",IF('Shuttle Bids'!Q864="","n/a",'Shuttle Bids'!Q916-'Shuttle Bids'!Q864))</f>
        <v>n/a</v>
      </c>
      <c r="Q17" s="117" t="str">
        <f>IF('Shuttle Bids'!R916="","n/a",IF('Shuttle Bids'!R864="","n/a",'Shuttle Bids'!R916-'Shuttle Bids'!R864))</f>
        <v>n/a</v>
      </c>
      <c r="R17" s="12"/>
      <c r="S17" s="117" t="str">
        <f>IF('Shuttle Bids'!T911="","n/a",IF('Shuttle Bids'!T859="","n/a",'Shuttle Bids'!T911-'Shuttle Bids'!T859))</f>
        <v>n/a</v>
      </c>
      <c r="T17" s="117" t="str">
        <f>IF('Shuttle Bids'!U911="","n/a",IF('Shuttle Bids'!U859="","n/a",'Shuttle Bids'!U911-'Shuttle Bids'!U859))</f>
        <v>n/a</v>
      </c>
      <c r="U17" s="117" t="str">
        <f>IF('Shuttle Bids'!V911="","n/a",IF('Shuttle Bids'!V859="","n/a",'Shuttle Bids'!V911-'Shuttle Bids'!V859))</f>
        <v>n/a</v>
      </c>
      <c r="V17" s="12"/>
      <c r="W17" s="117" t="str">
        <f>IF('Shuttle Bids'!X911="","n/a",IF('Shuttle Bids'!X859="","n/a",'Shuttle Bids'!X911-'Shuttle Bids'!X859))</f>
        <v>n/a</v>
      </c>
      <c r="X17" s="117" t="str">
        <f>IF('Shuttle Bids'!Y911="","n/a",IF('Shuttle Bids'!Y859="","n/a",'Shuttle Bids'!Y911-'Shuttle Bids'!Y859))</f>
        <v>n/a</v>
      </c>
      <c r="Y17" s="117" t="str">
        <f>IF('Shuttle Bids'!Z911="","n/a",IF('Shuttle Bids'!Z859="","n/a",'Shuttle Bids'!Z911-'Shuttle Bids'!Z859))</f>
        <v>n/a</v>
      </c>
      <c r="Z17" s="12"/>
      <c r="AA17" s="117">
        <f>IF('Shuttle Bids'!AB905="","n/a",IF('Shuttle Bids'!AB853="","n/a",'Shuttle Bids'!AB905-'Shuttle Bids'!AB853))</f>
        <v>2000</v>
      </c>
      <c r="AB17" s="117" t="str">
        <f>IF('Shuttle Bids'!AC905="","n/a",IF('Shuttle Bids'!AC853="","n/a",'Shuttle Bids'!AC905-'Shuttle Bids'!AC853))</f>
        <v>n/a</v>
      </c>
      <c r="AC17" s="117">
        <f>IF('Shuttle Bids'!AD905="","n/a",IF('Shuttle Bids'!AD853="","n/a",'Shuttle Bids'!AD905-'Shuttle Bids'!AD853))</f>
        <v>2000</v>
      </c>
      <c r="AD17" s="12"/>
      <c r="AE17" s="117" t="str">
        <f>IF('Shuttle Bids'!AF910="","n/a",IF('Shuttle Bids'!AF858="","n/a",'Shuttle Bids'!AF910-'Shuttle Bids'!AF858))</f>
        <v>n/a</v>
      </c>
      <c r="AF17" s="117" t="str">
        <f>IF('Shuttle Bids'!AG910="","n/a",IF('Shuttle Bids'!AG858="","n/a",'Shuttle Bids'!AG910-'Shuttle Bids'!AG858))</f>
        <v>n/a</v>
      </c>
      <c r="AG17" s="117" t="str">
        <f>IF('Shuttle Bids'!AH910="","n/a",IF('Shuttle Bids'!AH858="","n/a",'Shuttle Bids'!AH910-'Shuttle Bids'!AH858))</f>
        <v>n/a</v>
      </c>
      <c r="AH17" s="12"/>
      <c r="AI17" s="117">
        <f>IF('Shuttle Bids'!AJ914="","n/a",IF('Shuttle Bids'!AJ862="","n/a",'Shuttle Bids'!AJ914-'Shuttle Bids'!AJ862))</f>
        <v>2700</v>
      </c>
      <c r="AJ17" s="117" t="str">
        <f>IF('Shuttle Bids'!AK914="","n/a",IF('Shuttle Bids'!AK862="","n/a",'Shuttle Bids'!AK914-'Shuttle Bids'!AK862))</f>
        <v>n/a</v>
      </c>
      <c r="AK17" s="117">
        <f>IF('Shuttle Bids'!AL914="","n/a",IF('Shuttle Bids'!AL862="","n/a",'Shuttle Bids'!AL914-'Shuttle Bids'!AL862))</f>
        <v>2850</v>
      </c>
      <c r="AL17" s="84"/>
      <c r="AM17" s="117">
        <f>IF('Shuttle Bids'!AN918="","n/a",IF('Shuttle Bids'!AN866="","n/a",'Shuttle Bids'!AN918-'Shuttle Bids'!AN866))</f>
        <v>4508</v>
      </c>
      <c r="AN17" s="117">
        <f>IF('Shuttle Bids'!AO918="","n/a",IF('Shuttle Bids'!AO866="","n/a",'Shuttle Bids'!AO918-'Shuttle Bids'!AO866))</f>
        <v>1800</v>
      </c>
      <c r="AO17" s="117">
        <f>IF('Shuttle Bids'!AP918="","n/a",IF('Shuttle Bids'!AP866="","n/a",'Shuttle Bids'!AP918-'Shuttle Bids'!AP866))</f>
        <v>3154</v>
      </c>
      <c r="AP17" s="84"/>
      <c r="AQ17" s="117">
        <f>IF('Shuttle Bids'!AR919="","n/a",IF('Shuttle Bids'!AR867="","n/a",'Shuttle Bids'!AR919-'Shuttle Bids'!AR867))</f>
        <v>1213</v>
      </c>
      <c r="AR17" s="117">
        <f>IF('Shuttle Bids'!AS919="","n/a",IF('Shuttle Bids'!AS867="","n/a",'Shuttle Bids'!AS919-'Shuttle Bids'!AS867))</f>
        <v>1383</v>
      </c>
      <c r="AS17" s="117">
        <f>IF('Shuttle Bids'!AT919="","n/a",IF('Shuttle Bids'!AT867="","n/a",'Shuttle Bids'!AT919-'Shuttle Bids'!AT867))</f>
        <v>1298</v>
      </c>
      <c r="AT17" s="84"/>
      <c r="AU17" s="117" t="str">
        <f>IF('Shuttle Bids'!AV919="","n/a",IF('Shuttle Bids'!AV867="","n/a",'Shuttle Bids'!AV919-'Shuttle Bids'!AV867))</f>
        <v>n/a</v>
      </c>
      <c r="AV17" s="117">
        <f>IF('Shuttle Bids'!AW919="","n/a",IF('Shuttle Bids'!AW867="","n/a",'Shuttle Bids'!AW919-'Shuttle Bids'!AW867))</f>
        <v>1325</v>
      </c>
      <c r="AW17" s="117">
        <f>IF('Shuttle Bids'!AX919="","n/a",IF('Shuttle Bids'!AX867="","n/a",'Shuttle Bids'!AX919-'Shuttle Bids'!AX867))</f>
        <v>1325</v>
      </c>
    </row>
    <row r="18" spans="1:49" ht="15" x14ac:dyDescent="0.2">
      <c r="A18" s="12" t="s">
        <v>144</v>
      </c>
      <c r="B18" s="14"/>
      <c r="C18" s="147">
        <f>IF('Shuttle Bids'!F919="","n/a",'Shuttle Bids'!F919)</f>
        <v>900</v>
      </c>
      <c r="D18" s="147"/>
      <c r="E18" s="119"/>
      <c r="F18" s="12"/>
      <c r="G18" s="147">
        <f>IF('Shuttle Bids'!J919="","n/a",'Shuttle Bids'!J919)</f>
        <v>400</v>
      </c>
      <c r="H18" s="147"/>
      <c r="I18" s="119"/>
      <c r="J18" s="12"/>
      <c r="K18" s="147" t="str">
        <f>IF('Shuttle Bids'!N919="","n/a",'Shuttle Bids'!N919)</f>
        <v>n/a</v>
      </c>
      <c r="L18" s="147"/>
      <c r="M18" s="119"/>
      <c r="N18" s="120"/>
      <c r="O18" s="147" t="str">
        <f>IF('Shuttle Bids'!R916="","n/a",'Shuttle Bids'!R916)</f>
        <v>n/a</v>
      </c>
      <c r="P18" s="147"/>
      <c r="Q18" s="119"/>
      <c r="R18" s="120"/>
      <c r="S18" s="147" t="str">
        <f>IF('Shuttle Bids'!V911="","n/a",'Shuttle Bids'!V911)</f>
        <v>n/a</v>
      </c>
      <c r="T18" s="147"/>
      <c r="U18" s="119"/>
      <c r="V18" s="120"/>
      <c r="W18" s="147" t="str">
        <f>IF('Shuttle Bids'!Z911="","n/a",'Shuttle Bids'!Z911)</f>
        <v>n/a</v>
      </c>
      <c r="X18" s="147"/>
      <c r="Y18" s="119"/>
      <c r="Z18" s="120"/>
      <c r="AA18" s="147">
        <f>IF('Shuttle Bids'!AD905="","n/a",'Shuttle Bids'!AD905)</f>
        <v>1900</v>
      </c>
      <c r="AB18" s="147"/>
      <c r="AC18" s="119"/>
      <c r="AD18" s="120"/>
      <c r="AE18" s="147">
        <f>IF('Shuttle Bids'!AH910="","n/a",'Shuttle Bids'!AH910)</f>
        <v>1150</v>
      </c>
      <c r="AF18" s="147"/>
      <c r="AG18" s="119"/>
      <c r="AH18" s="120"/>
      <c r="AI18" s="147">
        <f>IF('Shuttle Bids'!AL914="","n/a",'Shuttle Bids'!AL914)</f>
        <v>3000</v>
      </c>
      <c r="AJ18" s="147"/>
      <c r="AK18" s="119"/>
      <c r="AL18" s="121"/>
      <c r="AM18" s="147">
        <f>IF('Shuttle Bids'!AP918="","n/a",'Shuttle Bids'!AP918)</f>
        <v>4187.5</v>
      </c>
      <c r="AN18" s="147"/>
      <c r="AO18" s="119"/>
      <c r="AP18" s="121"/>
      <c r="AQ18" s="147">
        <f>IF('Shuttle Bids'!AT919="","n/a",'Shuttle Bids'!AT919)</f>
        <v>2173</v>
      </c>
      <c r="AR18" s="147"/>
      <c r="AS18" s="119"/>
      <c r="AT18" s="121"/>
      <c r="AU18" s="147">
        <f>IF('Shuttle Bids'!AX919="","n/a",'Shuttle Bids'!AX919)</f>
        <v>1400</v>
      </c>
      <c r="AV18" s="147"/>
      <c r="AW18" s="119"/>
    </row>
    <row r="19" spans="1:49" ht="15" x14ac:dyDescent="0.2">
      <c r="A19" s="115" t="s">
        <v>145</v>
      </c>
      <c r="B19" s="14"/>
      <c r="C19" s="148">
        <f>IF('Shuttle Bids'!F919="","n/a",IF('Shuttle Bids'!F918="","n/a",'Shuttle Bids'!F919-'Shuttle Bids'!F918))</f>
        <v>-1100</v>
      </c>
      <c r="D19" s="148"/>
      <c r="E19" s="122"/>
      <c r="F19" s="12"/>
      <c r="G19" s="148" t="str">
        <f>IF('Shuttle Bids'!J919="","n/a",IF('Shuttle Bids'!J918="","n/a",'Shuttle Bids'!J919-'Shuttle Bids'!J918))</f>
        <v>n/a</v>
      </c>
      <c r="H19" s="148"/>
      <c r="I19" s="122"/>
      <c r="J19" s="12"/>
      <c r="K19" s="148" t="str">
        <f>IF('Shuttle Bids'!N919="","n/a",IF('Shuttle Bids'!N918="","n/a",'Shuttle Bids'!N919-'Shuttle Bids'!N918))</f>
        <v>n/a</v>
      </c>
      <c r="L19" s="148"/>
      <c r="M19" s="122"/>
      <c r="N19" s="123"/>
      <c r="O19" s="148" t="str">
        <f>IF('Shuttle Bids'!R916="","n/a",IF('Shuttle Bids'!R915="","n/a",'Shuttle Bids'!R916-'Shuttle Bids'!R915))</f>
        <v>n/a</v>
      </c>
      <c r="P19" s="148"/>
      <c r="Q19" s="122"/>
      <c r="R19" s="123"/>
      <c r="S19" s="148" t="str">
        <f>IF('Shuttle Bids'!V911="","n/a",IF('Shuttle Bids'!V910="","n/a",'Shuttle Bids'!V911-'Shuttle Bids'!V910))</f>
        <v>n/a</v>
      </c>
      <c r="T19" s="148"/>
      <c r="U19" s="122"/>
      <c r="V19" s="123"/>
      <c r="W19" s="148" t="str">
        <f>IF('Shuttle Bids'!Z911="","n/a",IF('Shuttle Bids'!Z910="","n/a",'Shuttle Bids'!Z911-'Shuttle Bids'!Z910))</f>
        <v>n/a</v>
      </c>
      <c r="X19" s="148"/>
      <c r="Y19" s="122"/>
      <c r="Z19" s="123"/>
      <c r="AA19" s="148">
        <f>IF('Shuttle Bids'!AD905="","n/a",IF('Shuttle Bids'!AD904="","n/a",'Shuttle Bids'!AD905-'Shuttle Bids'!AD904))</f>
        <v>1600</v>
      </c>
      <c r="AB19" s="148"/>
      <c r="AC19" s="122"/>
      <c r="AD19" s="124"/>
      <c r="AE19" s="148">
        <f>IF('Shuttle Bids'!AH910="","n/a",IF('Shuttle Bids'!AH909="","n/a",'Shuttle Bids'!AH910-'Shuttle Bids'!AH909))</f>
        <v>-175</v>
      </c>
      <c r="AF19" s="148"/>
      <c r="AG19" s="122"/>
      <c r="AH19" s="124"/>
      <c r="AI19" s="148">
        <f>IF('Shuttle Bids'!AL914="","n/a",IF('Shuttle Bids'!AL913="","n/a",'Shuttle Bids'!AL914-'Shuttle Bids'!AL913))</f>
        <v>1857.5</v>
      </c>
      <c r="AJ19" s="148"/>
      <c r="AK19" s="122"/>
      <c r="AL19" s="125"/>
      <c r="AM19" s="148">
        <f>IF('Shuttle Bids'!AP918="","n/a",IF('Shuttle Bids'!AP917="","n/a",'Shuttle Bids'!AP918-'Shuttle Bids'!AP917))</f>
        <v>187.5</v>
      </c>
      <c r="AN19" s="148"/>
      <c r="AO19" s="122"/>
      <c r="AP19" s="125"/>
      <c r="AQ19" s="148">
        <f>IF('Shuttle Bids'!AT919="","n/a",IF('Shuttle Bids'!AT918="","n/a",'Shuttle Bids'!AT919-'Shuttle Bids'!AT918))</f>
        <v>-602</v>
      </c>
      <c r="AR19" s="148"/>
      <c r="AS19" s="122"/>
      <c r="AT19" s="125"/>
      <c r="AU19" s="148">
        <f>IF('Shuttle Bids'!AX919="","n/a",IF('Shuttle Bids'!AX918="","n/a",'Shuttle Bids'!AX919-'Shuttle Bids'!AX918))</f>
        <v>-125</v>
      </c>
      <c r="AV19" s="148"/>
      <c r="AW19" s="122"/>
    </row>
    <row r="20" spans="1:49" ht="15" x14ac:dyDescent="0.2">
      <c r="A20" s="12" t="s">
        <v>146</v>
      </c>
      <c r="B20" s="14"/>
      <c r="C20" s="147">
        <f>IF('Shuttle Bids'!F919="","n/a",IF('Shuttle Bids'!F915="","n/a",'Shuttle Bids'!F919-'Shuttle Bids'!F915))</f>
        <v>-50</v>
      </c>
      <c r="D20" s="147"/>
      <c r="E20" s="126"/>
      <c r="F20" s="12"/>
      <c r="G20" s="147" t="str">
        <f>IF('Shuttle Bids'!J919="","n/a",IF('Shuttle Bids'!J915="","n/a",'Shuttle Bids'!J919-'Shuttle Bids'!J915))</f>
        <v>n/a</v>
      </c>
      <c r="H20" s="147"/>
      <c r="I20" s="126"/>
      <c r="J20" s="12"/>
      <c r="K20" s="147" t="str">
        <f>IF('Shuttle Bids'!N919="","n/a",IF('Shuttle Bids'!N915="","n/a",'Shuttle Bids'!N919-'Shuttle Bids'!N915))</f>
        <v>n/a</v>
      </c>
      <c r="L20" s="147"/>
      <c r="M20" s="126"/>
      <c r="N20" s="127"/>
      <c r="O20" s="147" t="str">
        <f>IF('Shuttle Bids'!R916="","n/a",IF('Shuttle Bids'!R912="","n/a",'Shuttle Bids'!R916-'Shuttle Bids'!R912))</f>
        <v>n/a</v>
      </c>
      <c r="P20" s="147"/>
      <c r="Q20" s="126"/>
      <c r="R20" s="127"/>
      <c r="S20" s="147" t="str">
        <f>IF('Shuttle Bids'!V911="","n/a",IF('Shuttle Bids'!V907="","n/a",'Shuttle Bids'!V911-'Shuttle Bids'!V907))</f>
        <v>n/a</v>
      </c>
      <c r="T20" s="147"/>
      <c r="U20" s="126"/>
      <c r="V20" s="127"/>
      <c r="W20" s="147" t="str">
        <f>IF('Shuttle Bids'!Z911="","n/a",IF('Shuttle Bids'!Z907="","n/a",'Shuttle Bids'!Z911-'Shuttle Bids'!Z907))</f>
        <v>n/a</v>
      </c>
      <c r="X20" s="147"/>
      <c r="Y20" s="126"/>
      <c r="Z20" s="127"/>
      <c r="AA20" s="147">
        <f>IF('Shuttle Bids'!AD905="","n/a",IF('Shuttle Bids'!AD901="","n/a",'Shuttle Bids'!AD905-'Shuttle Bids'!AD901))</f>
        <v>1900</v>
      </c>
      <c r="AB20" s="147"/>
      <c r="AC20" s="126"/>
      <c r="AD20" s="127"/>
      <c r="AE20" s="147">
        <f>IF('Shuttle Bids'!AH910="","n/a",IF('Shuttle Bids'!AH906="","n/a",'Shuttle Bids'!AH910-'Shuttle Bids'!AH906))</f>
        <v>-619</v>
      </c>
      <c r="AF20" s="147"/>
      <c r="AG20" s="126"/>
      <c r="AH20" s="127"/>
      <c r="AI20" s="147">
        <f>IF('Shuttle Bids'!AL914="","n/a",IF('Shuttle Bids'!AL910="","n/a",'Shuttle Bids'!AL914-'Shuttle Bids'!AL910))</f>
        <v>1740</v>
      </c>
      <c r="AJ20" s="147"/>
      <c r="AK20" s="126"/>
      <c r="AL20" s="128"/>
      <c r="AM20" s="147">
        <f>IF('Shuttle Bids'!AP918="","n/a",IF('Shuttle Bids'!AP914="","n/a",'Shuttle Bids'!AP918-'Shuttle Bids'!AP914))</f>
        <v>562.5</v>
      </c>
      <c r="AN20" s="147"/>
      <c r="AO20" s="126"/>
      <c r="AP20" s="128"/>
      <c r="AQ20" s="147">
        <f>IF('Shuttle Bids'!AT919="","n/a",IF('Shuttle Bids'!AT915="","n/a",'Shuttle Bids'!AT919-'Shuttle Bids'!AT915))</f>
        <v>623</v>
      </c>
      <c r="AR20" s="147"/>
      <c r="AS20" s="126"/>
      <c r="AT20" s="128"/>
      <c r="AU20" s="147">
        <f>IF('Shuttle Bids'!AX919="","n/a",IF('Shuttle Bids'!AX915="","n/a",'Shuttle Bids'!AX919-'Shuttle Bids'!AX915))</f>
        <v>250</v>
      </c>
      <c r="AV20" s="147"/>
      <c r="AW20" s="126"/>
    </row>
    <row r="21" spans="1:49" ht="15" x14ac:dyDescent="0.2">
      <c r="A21" s="12"/>
      <c r="B21" s="14"/>
      <c r="C21" s="129"/>
      <c r="D21" s="129"/>
      <c r="E21" s="128"/>
      <c r="F21" s="84"/>
      <c r="G21" s="129"/>
      <c r="H21" s="129"/>
      <c r="I21" s="128"/>
      <c r="J21" s="84"/>
      <c r="K21" s="129"/>
      <c r="L21" s="129"/>
      <c r="M21" s="128"/>
      <c r="N21" s="128"/>
      <c r="O21" s="129"/>
      <c r="P21" s="129"/>
      <c r="Q21" s="128"/>
      <c r="R21" s="128"/>
      <c r="S21" s="129"/>
      <c r="T21" s="129"/>
      <c r="U21" s="128"/>
      <c r="V21" s="128"/>
      <c r="W21" s="129"/>
      <c r="X21" s="129"/>
      <c r="Y21" s="128"/>
      <c r="Z21" s="128"/>
      <c r="AA21" s="130"/>
      <c r="AB21" s="130"/>
      <c r="AC21" s="131"/>
      <c r="AD21" s="128"/>
      <c r="AE21" s="128"/>
      <c r="AF21" s="128"/>
      <c r="AG21" s="128"/>
      <c r="AH21" s="128"/>
      <c r="AI21" s="129"/>
      <c r="AJ21" s="129"/>
      <c r="AK21" s="128"/>
      <c r="AL21" s="128"/>
      <c r="AM21" s="129"/>
      <c r="AN21" s="129"/>
      <c r="AO21" s="128"/>
      <c r="AP21" s="128"/>
      <c r="AQ21" s="129"/>
      <c r="AR21" s="129"/>
      <c r="AS21" s="128"/>
      <c r="AT21" s="128"/>
      <c r="AU21" s="129"/>
      <c r="AV21" s="129"/>
      <c r="AW21" s="128"/>
    </row>
    <row r="22" spans="1:49" ht="15" x14ac:dyDescent="0.2">
      <c r="A22" s="12"/>
      <c r="B22" s="14"/>
      <c r="C22" s="132" t="s">
        <v>155</v>
      </c>
      <c r="D22" s="133"/>
      <c r="E22" s="133"/>
      <c r="F22" s="12"/>
      <c r="G22" s="132" t="s">
        <v>155</v>
      </c>
      <c r="H22" s="133"/>
      <c r="I22" s="133"/>
      <c r="J22" s="12"/>
      <c r="K22" s="132" t="s">
        <v>155</v>
      </c>
      <c r="L22" s="133"/>
      <c r="M22" s="133"/>
      <c r="N22" s="12"/>
      <c r="O22" s="132" t="s">
        <v>155</v>
      </c>
      <c r="P22" s="133"/>
      <c r="Q22" s="133"/>
      <c r="R22" s="12"/>
      <c r="S22" s="132" t="s">
        <v>155</v>
      </c>
      <c r="T22" s="133"/>
      <c r="U22" s="133"/>
      <c r="V22" s="12"/>
      <c r="W22" s="132" t="s">
        <v>155</v>
      </c>
      <c r="X22" s="133"/>
      <c r="Y22" s="133"/>
      <c r="Z22" s="12"/>
      <c r="AA22" s="132" t="s">
        <v>155</v>
      </c>
      <c r="AB22" s="132"/>
      <c r="AC22" s="132"/>
      <c r="AD22" s="12"/>
      <c r="AE22" s="132" t="s">
        <v>155</v>
      </c>
      <c r="AF22" s="133"/>
      <c r="AG22" s="133"/>
      <c r="AH22" s="12"/>
      <c r="AI22" s="132" t="s">
        <v>155</v>
      </c>
      <c r="AJ22" s="133"/>
      <c r="AK22" s="133"/>
      <c r="AL22" s="12"/>
      <c r="AM22" s="132" t="s">
        <v>155</v>
      </c>
      <c r="AN22" s="133"/>
      <c r="AO22" s="133"/>
      <c r="AP22" s="12"/>
      <c r="AQ22" s="132" t="s">
        <v>155</v>
      </c>
      <c r="AR22" s="133"/>
      <c r="AS22" s="133"/>
      <c r="AT22" s="12"/>
      <c r="AU22" s="132" t="s">
        <v>155</v>
      </c>
      <c r="AV22" s="133"/>
      <c r="AW22" s="133"/>
    </row>
    <row r="23" spans="1:49" ht="15" x14ac:dyDescent="0.2">
      <c r="A23" s="116" t="s">
        <v>140</v>
      </c>
      <c r="B23" s="14"/>
      <c r="C23" s="149">
        <f>MAX('Shuttle Bids'!F902:F932)</f>
        <v>2000</v>
      </c>
      <c r="D23" s="149"/>
      <c r="E23" s="141" t="s">
        <v>298</v>
      </c>
      <c r="F23" s="12"/>
      <c r="G23" s="149">
        <f>MAX('Shuttle Bids'!J906:J936)</f>
        <v>400</v>
      </c>
      <c r="H23" s="149"/>
      <c r="I23" s="141" t="s">
        <v>299</v>
      </c>
      <c r="J23" s="12"/>
      <c r="K23" s="149">
        <f>MAX('Shuttle Bids'!N910:N940)</f>
        <v>0</v>
      </c>
      <c r="L23" s="149"/>
      <c r="M23" s="141" t="s">
        <v>300</v>
      </c>
      <c r="N23" s="123"/>
      <c r="O23" s="149">
        <f>MAX('Shuttle Bids'!R915:R945)</f>
        <v>0</v>
      </c>
      <c r="P23" s="149"/>
      <c r="Q23" s="141" t="s">
        <v>301</v>
      </c>
      <c r="R23" s="123"/>
      <c r="S23" s="149">
        <f>MAX('Shuttle Bids'!V919:V949)</f>
        <v>0</v>
      </c>
      <c r="T23" s="149"/>
      <c r="U23" s="141" t="s">
        <v>302</v>
      </c>
      <c r="V23" s="123"/>
      <c r="W23" s="149">
        <f>MAX('Shuttle Bids'!Z923:Z953)</f>
        <v>0</v>
      </c>
      <c r="X23" s="149"/>
      <c r="Y23" s="141" t="s">
        <v>303</v>
      </c>
      <c r="Z23" s="123"/>
      <c r="AA23" s="149">
        <f>MAX('Shuttle Bids'!AD928:AD958)</f>
        <v>0</v>
      </c>
      <c r="AB23" s="149"/>
      <c r="AC23" s="141" t="s">
        <v>304</v>
      </c>
      <c r="AD23" s="123"/>
      <c r="AE23" s="149">
        <f>MAX('Shuttle Bids'!AH932:AH962)</f>
        <v>0</v>
      </c>
      <c r="AF23" s="149"/>
      <c r="AG23" s="141" t="s">
        <v>305</v>
      </c>
      <c r="AH23" s="123"/>
      <c r="AI23" s="149">
        <f>MAX('Shuttle Bids'!AL936:AL966)</f>
        <v>0</v>
      </c>
      <c r="AJ23" s="149"/>
      <c r="AK23" s="141" t="s">
        <v>306</v>
      </c>
      <c r="AL23" s="129"/>
      <c r="AM23" s="149">
        <f>MAX('Shuttle Bids'!AP941:AP971)</f>
        <v>0</v>
      </c>
      <c r="AN23" s="149"/>
      <c r="AO23" s="141" t="s">
        <v>307</v>
      </c>
      <c r="AP23" s="129"/>
      <c r="AQ23" s="149">
        <f>MAX('Shuttle Bids'!AT893:AT923)</f>
        <v>3100</v>
      </c>
      <c r="AR23" s="149"/>
      <c r="AS23" s="141" t="s">
        <v>266</v>
      </c>
      <c r="AT23" s="129"/>
      <c r="AU23" s="149">
        <f>MAX('Shuttle Bids'!AX897:AX927)</f>
        <v>2500</v>
      </c>
      <c r="AV23" s="149"/>
      <c r="AW23" s="140" t="s">
        <v>268</v>
      </c>
    </row>
    <row r="24" spans="1:49" ht="15" x14ac:dyDescent="0.2">
      <c r="A24" s="115" t="s">
        <v>141</v>
      </c>
      <c r="B24" s="14"/>
      <c r="C24" s="149">
        <f>C18-C23</f>
        <v>-1100</v>
      </c>
      <c r="D24" s="149"/>
      <c r="E24" s="140"/>
      <c r="F24" s="12"/>
      <c r="G24" s="149">
        <f>G18-G23</f>
        <v>0</v>
      </c>
      <c r="H24" s="149"/>
      <c r="I24" s="140"/>
      <c r="J24" s="12"/>
      <c r="K24" s="149" t="e">
        <f>K18-K23</f>
        <v>#VALUE!</v>
      </c>
      <c r="L24" s="149"/>
      <c r="M24" s="140"/>
      <c r="N24" s="123"/>
      <c r="O24" s="149" t="e">
        <f>O18-O23</f>
        <v>#VALUE!</v>
      </c>
      <c r="P24" s="149"/>
      <c r="Q24" s="140"/>
      <c r="R24" s="123"/>
      <c r="S24" s="149" t="e">
        <f>S18-S23</f>
        <v>#VALUE!</v>
      </c>
      <c r="T24" s="149"/>
      <c r="U24" s="140"/>
      <c r="V24" s="123"/>
      <c r="W24" s="149" t="e">
        <f>W18-W23</f>
        <v>#VALUE!</v>
      </c>
      <c r="X24" s="149"/>
      <c r="Y24" s="140"/>
      <c r="Z24" s="123"/>
      <c r="AA24" s="149">
        <f>AA18-AA23</f>
        <v>1900</v>
      </c>
      <c r="AB24" s="149"/>
      <c r="AC24" s="140"/>
      <c r="AD24" s="123"/>
      <c r="AE24" s="149">
        <f>AE18-AE23</f>
        <v>1150</v>
      </c>
      <c r="AF24" s="149"/>
      <c r="AG24" s="140"/>
      <c r="AH24" s="123"/>
      <c r="AI24" s="149">
        <f>AI18-AI23</f>
        <v>3000</v>
      </c>
      <c r="AJ24" s="149"/>
      <c r="AK24" s="140"/>
      <c r="AL24" s="129"/>
      <c r="AM24" s="149">
        <f>AM18-AM23</f>
        <v>4187.5</v>
      </c>
      <c r="AN24" s="149"/>
      <c r="AO24" s="140"/>
      <c r="AP24" s="129"/>
      <c r="AQ24" s="149">
        <f>AQ18-AQ23</f>
        <v>-927</v>
      </c>
      <c r="AR24" s="149"/>
      <c r="AS24" s="140"/>
      <c r="AT24" s="129"/>
      <c r="AU24" s="149">
        <f>AU18-AU23</f>
        <v>-1100</v>
      </c>
      <c r="AV24" s="149"/>
      <c r="AW24" s="140"/>
    </row>
  </sheetData>
  <mergeCells count="120"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</mergeCells>
  <phoneticPr fontId="16" type="noConversion"/>
  <pageMargins left="0.7" right="0.7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A16" workbookViewId="0">
      <selection activeCell="G45" sqref="G45"/>
    </sheetView>
  </sheetViews>
  <sheetFormatPr defaultRowHeight="15" x14ac:dyDescent="0.2"/>
  <sheetData>
    <row r="1" spans="1:17" ht="15.75" x14ac:dyDescent="0.25">
      <c r="A1" s="6"/>
      <c r="B1" s="89"/>
      <c r="C1" s="89"/>
      <c r="D1" s="89"/>
      <c r="E1" s="89"/>
      <c r="F1" s="89"/>
      <c r="G1" s="89"/>
      <c r="H1" s="89"/>
      <c r="I1" s="89"/>
      <c r="J1" s="111"/>
      <c r="K1" s="112"/>
      <c r="L1" s="112"/>
      <c r="M1" s="112"/>
      <c r="N1" s="112"/>
      <c r="O1" s="112"/>
      <c r="P1" s="112"/>
      <c r="Q1" s="112"/>
    </row>
    <row r="2" spans="1:17" ht="15.75" x14ac:dyDescent="0.25">
      <c r="A2" s="90"/>
      <c r="B2" s="91"/>
      <c r="C2" s="89"/>
      <c r="D2" s="89"/>
      <c r="E2" s="89"/>
      <c r="F2" s="89"/>
      <c r="G2" s="89"/>
      <c r="H2" s="89"/>
      <c r="I2" s="89"/>
      <c r="J2" s="111"/>
      <c r="K2" s="112"/>
      <c r="L2" s="112"/>
      <c r="M2" s="112"/>
      <c r="N2" s="112"/>
      <c r="O2" s="112"/>
      <c r="P2" s="112"/>
      <c r="Q2" s="112"/>
    </row>
    <row r="3" spans="1:17" ht="15.75" x14ac:dyDescent="0.25">
      <c r="A3" s="89"/>
      <c r="B3" s="89"/>
      <c r="C3" s="89"/>
      <c r="D3" s="89"/>
      <c r="E3" s="89"/>
      <c r="F3" s="89"/>
      <c r="G3" s="89"/>
      <c r="H3" s="89"/>
      <c r="I3" s="89"/>
      <c r="J3" s="111"/>
      <c r="K3" s="112"/>
      <c r="L3" s="112"/>
      <c r="M3" s="112"/>
      <c r="N3" s="112"/>
      <c r="O3" s="112"/>
      <c r="P3" s="112"/>
      <c r="Q3" s="112"/>
    </row>
    <row r="4" spans="1:17" ht="15.75" x14ac:dyDescent="0.25">
      <c r="A4" s="89"/>
      <c r="B4" s="89"/>
      <c r="C4" s="89"/>
      <c r="D4" s="89"/>
      <c r="E4" s="89"/>
      <c r="F4" s="89"/>
      <c r="G4" s="89"/>
      <c r="H4" s="89"/>
      <c r="I4" s="89"/>
      <c r="J4" s="111"/>
      <c r="K4" s="112"/>
      <c r="L4" s="112"/>
      <c r="M4" s="112"/>
      <c r="N4" s="112"/>
      <c r="O4" s="112"/>
      <c r="P4" s="112"/>
      <c r="Q4" s="112"/>
    </row>
    <row r="5" spans="1:17" ht="15.75" x14ac:dyDescent="0.25">
      <c r="A5" s="89"/>
      <c r="B5" s="89"/>
      <c r="C5" s="89"/>
      <c r="D5" s="89"/>
      <c r="E5" s="89"/>
      <c r="F5" s="89"/>
      <c r="G5" s="89"/>
      <c r="H5" s="89"/>
      <c r="I5" s="89"/>
      <c r="J5" s="111"/>
      <c r="K5" s="112"/>
      <c r="L5" s="112"/>
      <c r="M5" s="112"/>
      <c r="N5" s="112"/>
      <c r="O5" s="112"/>
      <c r="P5" s="112"/>
      <c r="Q5" s="112"/>
    </row>
    <row r="6" spans="1:17" ht="15.75" x14ac:dyDescent="0.25">
      <c r="A6" s="89"/>
      <c r="B6" s="89"/>
      <c r="C6" s="89"/>
      <c r="D6" s="89"/>
      <c r="E6" s="89"/>
      <c r="F6" s="89"/>
      <c r="G6" s="89"/>
      <c r="H6" s="89"/>
      <c r="I6" s="89"/>
      <c r="J6" s="111"/>
      <c r="K6" s="112"/>
      <c r="L6" s="112"/>
      <c r="M6" s="112"/>
      <c r="N6" s="112"/>
      <c r="O6" s="112"/>
      <c r="P6" s="112"/>
      <c r="Q6" s="112"/>
    </row>
    <row r="7" spans="1:17" ht="15.75" x14ac:dyDescent="0.25">
      <c r="A7" s="89"/>
      <c r="B7" s="89"/>
      <c r="C7" s="89"/>
      <c r="D7" s="89"/>
      <c r="E7" s="89"/>
      <c r="F7" s="89"/>
      <c r="G7" s="89"/>
      <c r="H7" s="89"/>
      <c r="I7" s="89"/>
      <c r="J7" s="111"/>
      <c r="K7" s="112"/>
      <c r="L7" s="112"/>
      <c r="M7" s="112"/>
      <c r="N7" s="112"/>
      <c r="O7" s="112"/>
      <c r="P7" s="112"/>
      <c r="Q7" s="112"/>
    </row>
    <row r="8" spans="1:17" ht="15.75" x14ac:dyDescent="0.25">
      <c r="A8" s="89"/>
      <c r="B8" s="89"/>
      <c r="C8" s="89"/>
      <c r="D8" s="89"/>
      <c r="E8" s="89"/>
      <c r="F8" s="89"/>
      <c r="G8" s="89"/>
      <c r="H8" s="89"/>
      <c r="I8" s="89"/>
      <c r="J8" s="111"/>
      <c r="K8" s="112"/>
      <c r="L8" s="112"/>
      <c r="M8" s="112"/>
      <c r="N8" s="112"/>
      <c r="O8" s="112"/>
      <c r="P8" s="112"/>
      <c r="Q8" s="112"/>
    </row>
    <row r="9" spans="1:17" ht="15.75" x14ac:dyDescent="0.25">
      <c r="A9" s="89"/>
      <c r="B9" s="89"/>
      <c r="C9" s="89"/>
      <c r="D9" s="89"/>
      <c r="E9" s="89"/>
      <c r="F9" s="89"/>
      <c r="G9" s="89"/>
      <c r="H9" s="89"/>
      <c r="I9" s="89"/>
      <c r="J9" s="111"/>
      <c r="K9" s="112"/>
      <c r="L9" s="112"/>
      <c r="M9" s="112"/>
      <c r="N9" s="112"/>
      <c r="O9" s="112"/>
      <c r="P9" s="112"/>
      <c r="Q9" s="112"/>
    </row>
    <row r="10" spans="1:17" ht="15.75" x14ac:dyDescent="0.25">
      <c r="A10" s="89"/>
      <c r="B10" s="89"/>
      <c r="C10" s="89"/>
      <c r="D10" s="89"/>
      <c r="E10" s="89"/>
      <c r="F10" s="89"/>
      <c r="G10" s="89"/>
      <c r="H10" s="89"/>
      <c r="I10" s="89"/>
      <c r="J10" s="111"/>
      <c r="K10" s="112"/>
      <c r="L10" s="112"/>
      <c r="M10" s="112"/>
      <c r="N10" s="112"/>
      <c r="O10" s="112"/>
      <c r="P10" s="112"/>
      <c r="Q10" s="112"/>
    </row>
    <row r="11" spans="1:17" ht="15.75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111"/>
      <c r="K11" s="112"/>
      <c r="L11" s="112"/>
      <c r="M11" s="112"/>
      <c r="N11" s="112"/>
      <c r="O11" s="112"/>
      <c r="P11" s="112"/>
      <c r="Q11" s="112"/>
    </row>
    <row r="12" spans="1:17" ht="15.75" x14ac:dyDescent="0.25">
      <c r="A12" s="89"/>
      <c r="B12" s="89"/>
      <c r="C12" s="89"/>
      <c r="D12" s="89"/>
      <c r="E12" s="89"/>
      <c r="F12" s="89"/>
      <c r="G12" s="89"/>
      <c r="H12" s="89"/>
      <c r="I12" s="89"/>
      <c r="J12" s="111"/>
      <c r="K12" s="112"/>
      <c r="L12" s="112"/>
      <c r="M12" s="112"/>
      <c r="N12" s="112"/>
      <c r="O12" s="112"/>
      <c r="P12" s="112"/>
      <c r="Q12" s="112"/>
    </row>
    <row r="13" spans="1:17" ht="15.75" x14ac:dyDescent="0.25">
      <c r="A13" s="89"/>
      <c r="B13" s="89"/>
      <c r="C13" s="89"/>
      <c r="D13" s="89"/>
      <c r="E13" s="89"/>
      <c r="F13" s="89"/>
      <c r="G13" s="89"/>
      <c r="H13" s="89"/>
      <c r="I13" s="89"/>
      <c r="J13" s="111"/>
      <c r="K13" s="112"/>
      <c r="L13" s="112"/>
      <c r="M13" s="112"/>
      <c r="N13" s="112"/>
      <c r="O13" s="112"/>
      <c r="P13" s="112"/>
      <c r="Q13" s="112"/>
    </row>
    <row r="14" spans="1:17" ht="15.75" x14ac:dyDescent="0.25">
      <c r="A14" s="89"/>
      <c r="B14" s="89"/>
      <c r="C14" s="89"/>
      <c r="D14" s="89"/>
      <c r="E14" s="89"/>
      <c r="F14" s="89"/>
      <c r="G14" s="89"/>
      <c r="H14" s="89"/>
      <c r="I14" s="89"/>
      <c r="J14" s="111"/>
      <c r="K14" s="112"/>
      <c r="L14" s="112"/>
      <c r="M14" s="112"/>
      <c r="N14" s="112"/>
      <c r="O14" s="112"/>
      <c r="P14" s="112"/>
      <c r="Q14" s="112"/>
    </row>
    <row r="15" spans="1:17" ht="15.75" x14ac:dyDescent="0.25">
      <c r="A15" s="89"/>
      <c r="B15" s="89"/>
      <c r="C15" s="89"/>
      <c r="D15" s="89"/>
      <c r="E15" s="89"/>
      <c r="F15" s="89"/>
      <c r="G15" s="89"/>
      <c r="H15" s="89"/>
      <c r="I15" s="89"/>
      <c r="J15" s="111"/>
      <c r="K15" s="112"/>
      <c r="L15" s="112"/>
      <c r="M15" s="112"/>
      <c r="N15" s="112"/>
      <c r="O15" s="112"/>
      <c r="P15" s="112"/>
      <c r="Q15" s="112"/>
    </row>
    <row r="16" spans="1:17" ht="15.75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111"/>
      <c r="K16" s="112"/>
      <c r="L16" s="112"/>
      <c r="M16" s="112"/>
      <c r="N16" s="112"/>
      <c r="O16" s="112"/>
      <c r="P16" s="112"/>
      <c r="Q16" s="112"/>
    </row>
    <row r="17" spans="1:17" ht="15.75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111"/>
      <c r="K17" s="112"/>
      <c r="L17" s="112"/>
      <c r="M17" s="112"/>
      <c r="N17" s="112"/>
      <c r="O17" s="112"/>
      <c r="P17" s="112"/>
      <c r="Q17" s="112"/>
    </row>
    <row r="18" spans="1:17" ht="15.75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111"/>
      <c r="K18" s="112"/>
      <c r="L18" s="112"/>
      <c r="M18" s="112"/>
      <c r="N18" s="112"/>
      <c r="O18" s="112"/>
      <c r="P18" s="112"/>
      <c r="Q18" s="112"/>
    </row>
    <row r="19" spans="1:17" ht="15.75" x14ac:dyDescent="0.25">
      <c r="A19" s="6"/>
      <c r="B19" s="89"/>
      <c r="C19" s="89"/>
      <c r="D19" s="89"/>
      <c r="E19" s="89"/>
      <c r="F19" s="89"/>
      <c r="G19" s="89"/>
      <c r="H19" s="89"/>
      <c r="I19" s="89"/>
      <c r="J19" s="111"/>
      <c r="K19" s="112"/>
      <c r="L19" s="112"/>
      <c r="M19" s="112"/>
      <c r="N19" s="112"/>
      <c r="O19" s="112"/>
      <c r="P19" s="112"/>
      <c r="Q19" s="112"/>
    </row>
    <row r="20" spans="1:17" ht="15.75" x14ac:dyDescent="0.25">
      <c r="A20" s="6"/>
      <c r="B20" s="89"/>
      <c r="C20" s="89"/>
      <c r="D20" s="89"/>
      <c r="E20" s="89"/>
      <c r="F20" s="89"/>
      <c r="G20" s="89"/>
      <c r="H20" s="89"/>
      <c r="I20" s="89"/>
      <c r="J20" s="111"/>
      <c r="K20" s="112"/>
      <c r="L20" s="112"/>
      <c r="M20" s="112"/>
      <c r="N20" s="112"/>
      <c r="O20" s="112"/>
      <c r="P20" s="112"/>
      <c r="Q20" s="112"/>
    </row>
    <row r="21" spans="1:17" ht="15.75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111"/>
      <c r="K21" s="112"/>
      <c r="L21" s="112"/>
      <c r="M21" s="112"/>
      <c r="N21" s="112"/>
      <c r="O21" s="112"/>
      <c r="P21" s="112"/>
      <c r="Q21" s="112"/>
    </row>
    <row r="22" spans="1:17" ht="15.75" x14ac:dyDescent="0.25">
      <c r="A22" s="6"/>
      <c r="B22" s="89"/>
      <c r="C22" s="89"/>
      <c r="D22" s="89"/>
      <c r="E22" s="89"/>
      <c r="F22" s="89"/>
      <c r="G22" s="89"/>
      <c r="H22" s="89"/>
      <c r="I22" s="89"/>
      <c r="J22" s="111"/>
      <c r="K22" s="112"/>
      <c r="L22" s="112"/>
      <c r="M22" s="112"/>
      <c r="N22" s="112"/>
      <c r="O22" s="112"/>
      <c r="P22" s="112"/>
      <c r="Q22" s="112"/>
    </row>
    <row r="23" spans="1:17" ht="15.75" x14ac:dyDescent="0.25">
      <c r="A23" s="90"/>
      <c r="B23" s="91"/>
      <c r="C23" s="89"/>
      <c r="D23" s="89"/>
      <c r="E23" s="89"/>
      <c r="F23" s="89"/>
      <c r="G23" s="89"/>
      <c r="H23" s="89"/>
      <c r="I23" s="89"/>
      <c r="J23" s="111"/>
      <c r="K23" s="112"/>
      <c r="L23" s="112"/>
      <c r="M23" s="112"/>
      <c r="N23" s="112"/>
      <c r="O23" s="112"/>
      <c r="P23" s="112"/>
      <c r="Q23" s="112"/>
    </row>
    <row r="24" spans="1:17" ht="15.75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111"/>
      <c r="K24" s="112"/>
      <c r="L24" s="112"/>
      <c r="M24" s="112"/>
      <c r="N24" s="112"/>
      <c r="O24" s="112"/>
      <c r="P24" s="112"/>
      <c r="Q24" s="112"/>
    </row>
    <row r="25" spans="1:17" ht="15.75" x14ac:dyDescent="0.25">
      <c r="A25" s="89"/>
      <c r="B25" s="89"/>
      <c r="C25" s="89"/>
      <c r="D25" s="89"/>
      <c r="E25" s="89"/>
      <c r="F25" s="89"/>
      <c r="G25" s="89"/>
      <c r="H25" s="89"/>
      <c r="I25" s="89"/>
      <c r="J25" s="111"/>
      <c r="K25" s="112"/>
      <c r="L25" s="112"/>
      <c r="M25" s="112"/>
      <c r="N25" s="112"/>
      <c r="O25" s="112"/>
      <c r="P25" s="112"/>
      <c r="Q25" s="112"/>
    </row>
    <row r="26" spans="1:17" ht="15.75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111"/>
      <c r="K26" s="112"/>
      <c r="L26" s="112"/>
      <c r="M26" s="112"/>
      <c r="N26" s="112"/>
      <c r="O26" s="112"/>
      <c r="P26" s="112"/>
      <c r="Q26" s="112"/>
    </row>
    <row r="27" spans="1:17" ht="15.75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111"/>
      <c r="K27" s="112"/>
      <c r="L27" s="112"/>
      <c r="M27" s="112"/>
      <c r="N27" s="112"/>
      <c r="O27" s="112"/>
      <c r="P27" s="112"/>
      <c r="Q27" s="112"/>
    </row>
    <row r="28" spans="1:17" ht="15.75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75" x14ac:dyDescent="0.25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75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75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75" x14ac:dyDescent="0.25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75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75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75" x14ac:dyDescent="0.25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75" x14ac:dyDescent="0.25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75" x14ac:dyDescent="0.25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75" x14ac:dyDescent="0.25">
      <c r="A38" s="89"/>
      <c r="B38" s="89"/>
      <c r="C38" s="89"/>
      <c r="D38" s="89"/>
      <c r="E38" s="89"/>
      <c r="F38" s="89"/>
      <c r="G38" s="89"/>
      <c r="H38" s="89"/>
      <c r="I38" s="89"/>
      <c r="J38" s="111"/>
      <c r="K38" s="112"/>
      <c r="L38" s="112"/>
      <c r="M38" s="112"/>
      <c r="N38" s="112"/>
      <c r="O38" s="112"/>
      <c r="P38" s="112"/>
    </row>
    <row r="39" spans="1:16" ht="15.75" x14ac:dyDescent="0.25">
      <c r="A39" s="89"/>
      <c r="B39" s="89"/>
      <c r="C39" s="89"/>
      <c r="D39" s="89"/>
      <c r="E39" s="89"/>
      <c r="F39" s="89"/>
      <c r="G39" s="89"/>
      <c r="H39" s="89"/>
      <c r="I39" s="89"/>
      <c r="J39" s="111"/>
      <c r="K39" s="112"/>
      <c r="L39" s="112"/>
      <c r="M39" s="112"/>
      <c r="N39" s="112"/>
      <c r="O39" s="112"/>
      <c r="P39" s="112"/>
    </row>
    <row r="40" spans="1:16" ht="15.75" x14ac:dyDescent="0.25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1"/>
      <c r="K40" s="112"/>
      <c r="L40" s="112"/>
      <c r="M40" s="112"/>
      <c r="N40" s="112"/>
      <c r="O40" s="112"/>
      <c r="P40" s="112"/>
    </row>
    <row r="41" spans="1:16" ht="15.75" x14ac:dyDescent="0.25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1"/>
      <c r="K41" s="112"/>
      <c r="L41" s="112"/>
      <c r="M41" s="112"/>
      <c r="N41" s="112"/>
      <c r="O41" s="112"/>
      <c r="P41" s="112"/>
    </row>
    <row r="42" spans="1:16" ht="15.75" x14ac:dyDescent="0.25">
      <c r="A42" s="5"/>
      <c r="B42" s="5"/>
      <c r="C42" s="5"/>
      <c r="D42" s="5"/>
      <c r="E42" s="5"/>
      <c r="F42" s="5"/>
      <c r="G42" s="5"/>
      <c r="H42" s="5"/>
      <c r="I42" s="89"/>
      <c r="J42" s="111"/>
      <c r="K42" s="112"/>
      <c r="L42" s="112"/>
      <c r="M42" s="112"/>
      <c r="N42" s="112"/>
      <c r="O42" s="112"/>
      <c r="P42" s="112"/>
    </row>
    <row r="43" spans="1:16" ht="15.75" x14ac:dyDescent="0.25">
      <c r="A43" s="5"/>
      <c r="B43" s="5"/>
      <c r="C43" s="5"/>
      <c r="D43" s="5"/>
      <c r="E43" s="5"/>
      <c r="F43" s="5"/>
      <c r="G43" s="5"/>
      <c r="H43" s="5"/>
      <c r="I43" s="89"/>
      <c r="J43" s="111"/>
      <c r="K43" s="112"/>
      <c r="L43" s="112"/>
      <c r="M43" s="112"/>
      <c r="N43" s="112"/>
      <c r="O43" s="112"/>
      <c r="P43" s="112"/>
    </row>
    <row r="44" spans="1:16" x14ac:dyDescent="0.2">
      <c r="J44" s="112"/>
      <c r="K44" s="112"/>
      <c r="L44" s="112"/>
      <c r="M44" s="112"/>
      <c r="N44" s="112"/>
      <c r="O44" s="112"/>
      <c r="P44" s="112"/>
    </row>
    <row r="45" spans="1:16" x14ac:dyDescent="0.2">
      <c r="J45" s="112"/>
      <c r="K45" s="112"/>
      <c r="L45" s="112"/>
      <c r="M45" s="112"/>
      <c r="N45" s="112"/>
      <c r="O45" s="112"/>
      <c r="P45" s="112"/>
    </row>
    <row r="46" spans="1:16" x14ac:dyDescent="0.2">
      <c r="J46" s="112"/>
      <c r="K46" s="112"/>
      <c r="L46" s="112"/>
      <c r="M46" s="112"/>
      <c r="N46" s="112"/>
      <c r="O46" s="112"/>
      <c r="P46" s="112"/>
    </row>
    <row r="47" spans="1:16" x14ac:dyDescent="0.2">
      <c r="J47" s="112"/>
      <c r="K47" s="112"/>
      <c r="L47" s="112"/>
      <c r="M47" s="112"/>
      <c r="N47" s="112"/>
      <c r="O47" s="112"/>
      <c r="P47" s="112"/>
    </row>
    <row r="48" spans="1:16" x14ac:dyDescent="0.2">
      <c r="J48" s="112"/>
      <c r="K48" s="112"/>
      <c r="L48" s="112"/>
      <c r="M48" s="112"/>
      <c r="N48" s="112"/>
      <c r="O48" s="112"/>
      <c r="P48" s="112"/>
    </row>
    <row r="49" spans="10:16" x14ac:dyDescent="0.2">
      <c r="J49" s="112"/>
      <c r="K49" s="112"/>
      <c r="L49" s="112"/>
      <c r="M49" s="112"/>
      <c r="N49" s="112"/>
      <c r="O49" s="112"/>
      <c r="P49" s="112"/>
    </row>
    <row r="50" spans="10:16" x14ac:dyDescent="0.2">
      <c r="J50" s="112"/>
      <c r="K50" s="112"/>
      <c r="L50" s="112"/>
      <c r="M50" s="112"/>
      <c r="N50" s="112"/>
      <c r="O50" s="112"/>
      <c r="P50" s="112"/>
    </row>
    <row r="51" spans="10:16" x14ac:dyDescent="0.2">
      <c r="J51" s="112"/>
      <c r="K51" s="112"/>
      <c r="L51" s="112"/>
      <c r="M51" s="112"/>
      <c r="N51" s="112"/>
      <c r="O51" s="112"/>
      <c r="P51" s="112"/>
    </row>
    <row r="52" spans="10:16" x14ac:dyDescent="0.2">
      <c r="J52" s="112"/>
      <c r="K52" s="112"/>
      <c r="L52" s="112"/>
      <c r="M52" s="112"/>
      <c r="N52" s="112"/>
      <c r="O52" s="112"/>
      <c r="P52" s="112"/>
    </row>
    <row r="53" spans="10:16" x14ac:dyDescent="0.2">
      <c r="J53" s="112"/>
      <c r="K53" s="112"/>
      <c r="L53" s="112"/>
      <c r="M53" s="112"/>
      <c r="N53" s="112"/>
      <c r="O53" s="112"/>
      <c r="P53" s="112"/>
    </row>
    <row r="54" spans="10:16" x14ac:dyDescent="0.2">
      <c r="J54" s="112"/>
      <c r="K54" s="112"/>
      <c r="L54" s="112"/>
      <c r="M54" s="112"/>
      <c r="N54" s="112"/>
      <c r="O54" s="112"/>
      <c r="P54" s="112"/>
    </row>
    <row r="55" spans="10:16" x14ac:dyDescent="0.2">
      <c r="J55" s="112"/>
      <c r="K55" s="112"/>
      <c r="L55" s="112"/>
      <c r="M55" s="112"/>
      <c r="N55" s="112"/>
      <c r="O55" s="112"/>
      <c r="P55" s="112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Sheet1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2014-09-09T19:03:47Z</cp:lastPrinted>
  <dcterms:created xsi:type="dcterms:W3CDTF">2004-01-15T18:17:56Z</dcterms:created>
  <dcterms:modified xsi:type="dcterms:W3CDTF">2014-10-20T22:09:44Z</dcterms:modified>
</cp:coreProperties>
</file>