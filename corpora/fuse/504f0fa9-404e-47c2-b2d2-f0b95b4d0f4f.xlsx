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14235" windowHeight="7680"/>
  </bookViews>
  <sheets>
    <sheet name="All Proposals 2012" sheetId="1" r:id="rId1"/>
  </sheets>
  <definedNames>
    <definedName name="_xlnm.Print_Area" localSheetId="0">'All Proposals 2012'!$A$1:$L$26</definedName>
    <definedName name="_xlnm.Print_Titles" localSheetId="0">'All Proposals 2012'!$1:$1</definedName>
  </definedNames>
  <calcPr calcId="125725"/>
</workbook>
</file>

<file path=xl/calcChain.xml><?xml version="1.0" encoding="utf-8"?>
<calcChain xmlns="http://schemas.openxmlformats.org/spreadsheetml/2006/main">
  <c r="J21" i="1"/>
  <c r="K21" s="1"/>
  <c r="J20"/>
  <c r="K20" s="1"/>
  <c r="J19"/>
  <c r="K19" s="1"/>
  <c r="J18"/>
  <c r="K18" s="1"/>
  <c r="J17"/>
  <c r="K17" s="1"/>
  <c r="J16"/>
  <c r="K16" s="1"/>
  <c r="J15"/>
  <c r="K15" s="1"/>
  <c r="J14"/>
  <c r="K14" s="1"/>
  <c r="J13"/>
  <c r="K13" s="1"/>
  <c r="J12"/>
  <c r="K12" s="1"/>
  <c r="J11"/>
  <c r="K11" s="1"/>
  <c r="J10"/>
  <c r="K10" s="1"/>
  <c r="J9"/>
  <c r="K9" s="1"/>
  <c r="J8"/>
  <c r="K8" s="1"/>
  <c r="J7"/>
  <c r="K7" s="1"/>
  <c r="J6"/>
  <c r="K6" s="1"/>
  <c r="J5"/>
  <c r="K5" s="1"/>
  <c r="J4"/>
  <c r="K4" s="1"/>
  <c r="J3"/>
  <c r="K3" s="1"/>
  <c r="J2"/>
  <c r="K2" s="1"/>
  <c r="I24"/>
  <c r="H24"/>
  <c r="J24" l="1"/>
</calcChain>
</file>

<file path=xl/sharedStrings.xml><?xml version="1.0" encoding="utf-8"?>
<sst xmlns="http://schemas.openxmlformats.org/spreadsheetml/2006/main" count="185" uniqueCount="147">
  <si>
    <t xml:space="preserve"> ID           #</t>
  </si>
  <si>
    <t>Project Name</t>
  </si>
  <si>
    <t>River Basin/    Watershed</t>
  </si>
  <si>
    <t>Project Sponsor</t>
  </si>
  <si>
    <t>Title</t>
  </si>
  <si>
    <t>Contact First Name</t>
  </si>
  <si>
    <t>Last Name</t>
  </si>
  <si>
    <t>Fed 319         Funds</t>
  </si>
  <si>
    <t>Match</t>
  </si>
  <si>
    <t>Total Funding</t>
  </si>
  <si>
    <t>Project Description</t>
  </si>
  <si>
    <t>Total</t>
  </si>
  <si>
    <t>I-1</t>
  </si>
  <si>
    <t>I-2</t>
  </si>
  <si>
    <t>I-5</t>
  </si>
  <si>
    <t>Projected Available Incremental Funds</t>
  </si>
  <si>
    <t>I-6</t>
  </si>
  <si>
    <t>I-9</t>
  </si>
  <si>
    <t>I-10</t>
  </si>
  <si>
    <t>I-12</t>
  </si>
  <si>
    <t>I-15</t>
  </si>
  <si>
    <t>I-16</t>
  </si>
  <si>
    <t>I-19</t>
  </si>
  <si>
    <t>I-20</t>
  </si>
  <si>
    <t>Total 319 Request</t>
  </si>
  <si>
    <t>Total Match</t>
  </si>
  <si>
    <t>I-11</t>
  </si>
  <si>
    <t>I-3</t>
  </si>
  <si>
    <t>I-4</t>
  </si>
  <si>
    <t>I-7</t>
  </si>
  <si>
    <t>I-8</t>
  </si>
  <si>
    <t>I-13</t>
  </si>
  <si>
    <t>I-14</t>
  </si>
  <si>
    <t>I-17</t>
  </si>
  <si>
    <t>I-18</t>
  </si>
  <si>
    <t>Total 319 Applications</t>
  </si>
  <si>
    <t>Implementing Low Impact Development-Based Efforts to Protect and Restore Water Quality in North Carolina</t>
  </si>
  <si>
    <t>Cape Fear, White Oak, Tar-Pam, Lumber</t>
  </si>
  <si>
    <t>NC Coastal Federation</t>
  </si>
  <si>
    <t>Ms.</t>
  </si>
  <si>
    <t>Lauren</t>
  </si>
  <si>
    <t>Kolodij</t>
  </si>
  <si>
    <t>The federation and DWQ will conduct a coordinated statewide campaign that will help state and local agencies get in front of the TMDL process for impaired waters whenever possible, and address these impairments before there is a regulatory mandate to do so. Where TMDLs are necessary to address water quality impairments due to polluted runoff, this project will provide the volume reduction strategies necessary to meet regulatory requirements. Work will include large-scale restoration, technical assistance, monitoring, refining LID best management practices, education programs, and technology transfer and training. Direct and on-going experiences with LID-based Watershed Restoration Plans and TMDLs will be incorporated into this campaign to provide peer-to-peer learning opportunities for people involved in managing and restoring watersheds. The project will build upon field experiences in five coastal watersheds and use lessons learned to spread excitement about how to perform LID-based restoration.</t>
  </si>
  <si>
    <t>Applying Low Cost–High Benefit Healing Strategies to Recovery of Corpening Creek</t>
  </si>
  <si>
    <t>Catawba</t>
  </si>
  <si>
    <t>Carolina Land &amp; Lakes RC&amp;D</t>
  </si>
  <si>
    <t>Mr.</t>
  </si>
  <si>
    <t>Andy</t>
  </si>
  <si>
    <t>Brown</t>
  </si>
  <si>
    <t>Muddy Creek Restoration Partners seek partnership with NCDWQ and USEPA to help implement three projects developed in 9 element plan (September 2011) to facilitate the recovery of the impaired Corpening Creek located in Marion, NC.  Projects include: 1) install stream buffer on prominent unnamed tributary to Corpening Creek in downtown Marion; 2) persuade commercial/industrial site managers of ‘Hot Spots’ of water pollution along the commercial corridor adjacent to Corpening Creek to change behaviors and/or remediate land based sources of toxicity pollution; and 3) persuade property owners in the Upper Youngs Fork sub-watershed to install low-cost, do-it-yourself stormwater management practices.</t>
  </si>
  <si>
    <t>Smith Creek Watershed Restoration Plan and Implementation Project</t>
  </si>
  <si>
    <t>Neuse</t>
  </si>
  <si>
    <t>Town of Wake Forest</t>
  </si>
  <si>
    <t>Holly</t>
  </si>
  <si>
    <t>Miller</t>
  </si>
  <si>
    <t>The Smith Creek Watershed Restoration Plan will provide a detailed evaluation of water quality and aquatic habitat conditions throughout the Smith Creek watershed.  It will clarify the site specific and reach (catchment) specific conditions associated with the Town of Wake Forest's most rapidly developing watershed, how these conditions have affected water quality, and rank the most effective (cost and implementation) methods to improve water quality and have Smith Creek removed from the 303(d) list.</t>
  </si>
  <si>
    <t>Harrisburg Park Neighborhood Storm Water Quality Improvements</t>
  </si>
  <si>
    <t>Yadkin</t>
  </si>
  <si>
    <t>Town of Harrisburg</t>
  </si>
  <si>
    <t>Derek</t>
  </si>
  <si>
    <t>Slocum</t>
  </si>
  <si>
    <t>This pilot phase of this project will look to finalize the development of the local watershed restoration plan and implement up to 7 structural BMPs and other non-structural BMPs including public education. Specific structural BMPs will likely include extended detention and a downstream treatment train that includes vegetative conveyance, bioretention, and other infiltration measures.</t>
  </si>
  <si>
    <t>McDaniel Stream Restoration Project</t>
  </si>
  <si>
    <t>Durham SWCD</t>
  </si>
  <si>
    <t>Eddie</t>
  </si>
  <si>
    <t>Culberson</t>
  </si>
  <si>
    <t xml:space="preserve">The DSWCD Conservation District (DSWCD) is seeking $163,095, through an EPA 319, program to support construction of the McDaniel Stream Restoration project, which will improve 1,300 linear feet (LF) of riparian buffer (150’ wide) and channel work along UT1 and plant a 100’ riparian buffer along UT2 to Falls Lake.  Stream work will include 900 LF of stream enhancement (removal of 6 head cuts and installation of stone structure) and 400 LF of Priority 1 stream restoration at the downstream portion of the project.  The project provides a rare opportunity to restore and enhance riparian buffers, open fields and stream reaches draining into Falls Lake.  </t>
  </si>
  <si>
    <t>Hunting Creek Watershed Plan Implementation</t>
  </si>
  <si>
    <t>Lindsay</t>
  </si>
  <si>
    <t>Majer</t>
  </si>
  <si>
    <t>This proposal initiates restoration activities in the Hunting Creek Watershed aimed at improving the ecological and biological integrity of Hunting Creek, a 303(d) listed impaired stream. Proposed restoration activities include 1) the design and construction of stormwater best management practices (BMP) on the campus of Western Piedmont Community College, 2) outreach and education activities that increase public awareness about stormwater runoff and water quality, and 3) outreach to landowners with restoration opportunities. Measurable results from the project will treat stormwater runoff from approximately 4 acres of impervious surfaces including parking lots, roads, and buildings and remove 758 lb of total suspended solids, 24 lb of total nitrogen, 3 lb of total phosphorus, and 1 lb of zinc per year. Implementing stormwater BMPs on the campus of WPCC would not only remove pollutants from runoff before they enter waterways, they will also minimize downstream stream bank erosion and damage to instream habitat by moderating stormwater runoff peak flows and volumes.</t>
  </si>
  <si>
    <t>Hunting Creek Stream Restoration Project</t>
  </si>
  <si>
    <t xml:space="preserve">Ms. </t>
  </si>
  <si>
    <t>The long-term goal of this project is to improve the ecological and biological integrity of Hunting Creek, a 303(d) listed impaired stream. Proposed activities include 1) stream restoration design and construction along 825 feet of an unnamed tributary to Hunting Creek, 2) education activities that increase public awareness about water quality, and 3) outreach to landowners with restoration opportunities. Measurable results from the project are a reduction in sediment input from stream bank erosion, improved in-stream habitat, and nutrient removal through an enhanced woody riparian buffer.</t>
  </si>
  <si>
    <t>Beaverdam Creek - Beaverdam Beach Stormwater Retrofit</t>
  </si>
  <si>
    <t>Wake Co. Environmental Services</t>
  </si>
  <si>
    <t>Kurt</t>
  </si>
  <si>
    <t>Smith</t>
  </si>
  <si>
    <t xml:space="preserve">The study intends to address point and non-point pollution from stormwater runoff from the parking lots at Beaverdam Beach at Fall Lake through the retrofit of two existing stormwater BMPs. The Beaverdam subwatershed drains to Falls Lake and has been identified by the State as having chlorophyll a threshold levels that have been exceeded and warrant implementation of proactive nutrient controls. Recent analysis of lake monitoring data along Falls Lake beaches and storm sampling from parking lot runoff has shown that nutrients and bacteria flowing to the lake are heightened during storm events.  We propose to partner with North Carolina State University and the Falls Lake State Parks staff, to retrofit the dry detention structures with bioretention structures to significantly enhance nutrient reduction levels above those of the existing disrepaired structures. </t>
  </si>
  <si>
    <t>Asheboro Municipal Watershed Restoration Plan</t>
  </si>
  <si>
    <t>Cape Fear</t>
  </si>
  <si>
    <t>Piedmont Triad Regional Council</t>
  </si>
  <si>
    <t>Cy</t>
  </si>
  <si>
    <t>Stober</t>
  </si>
  <si>
    <t>Two impaired tributaries flow to the Deep River – Haskett Creek and Penwood Branch - flow through the City of Asheboro, and are the other focus of the proposed project.  The Piedmont Triad Regional Council (PTRC) proposes a watershed restoration effort based upon the US EPA's Nine Key Elements of Watershed Planning, and to deliver NC DWQ a comprehensive Watershed Assessment and Restoration Plan. The Assessment will use GIS-, policy-, field-, and water quality-based analyses to assess current watershed conditions. The Restoration Plan will recommend policies, programs, and projects.</t>
  </si>
  <si>
    <t>Educating the East about Stormwater: East Carolina University Rain Garden Program</t>
  </si>
  <si>
    <t>Tar-Pamlico</t>
  </si>
  <si>
    <t>ECU</t>
  </si>
  <si>
    <t>Dr.</t>
  </si>
  <si>
    <t>Eban</t>
  </si>
  <si>
    <t>Bean</t>
  </si>
  <si>
    <t xml:space="preserve">Following recommendations included in the GMR Local Watershed Plan (LWP), this proposal seeks to install five rain gardens, or bioretention cells (BRCs) on the ECU campus. We have received permission from ECU administration to install five BRCs, contingent on sufficient funding, and are partnering with the ECU Facilities Department to plan their installation and maintenance. A unique aspect of this project is that each installation will be a retrofit within the existing campus landscape and stormwater network. Locations for these BRCs will be targeted at reducing runoff generated from impervious surfaces such as roofs and parking lots. Each system will be instrumented with monitoring and sampling equipment to quantify the stormwater volume, sediments, and nutrient loading reductions.  Having locations conveniently on campus will allow these BRCs to be a part of classroom and laboratory teaching for related courses in geology, environmental health, and engineering. </t>
  </si>
  <si>
    <t>Stormwater Best Management Practices in the Robeson Creek Watershed</t>
  </si>
  <si>
    <t>NCSU</t>
  </si>
  <si>
    <t>Karen</t>
  </si>
  <si>
    <t>Hall</t>
  </si>
  <si>
    <t xml:space="preserve">This project will implement stormwater BMPs recommended by both the 2003 TMDL implementation plan and the 2010 Robeson Creek Watershed Restoration Plan to help meet goals of reducing peak stormwater flows, Total Phosphorus (TP), Total Nitrogen (TN), total suspended solids (TSS), and improve and maintain aquatic habitat.  Focus will be primarily on the Little Creek subwatershed. A stormwater wetland, a bioretention area, buffer plantings, and cisterns will be installed along a critical continuous segment of Little Creek tributary 1A that captures stormwater from urban development and a large parking lot in Pittsboro.  Water quality sampling will be placed upstream and downstream of BMPs to determine effectiveness. An innovative upflow filter that targets Phosphorus removal will be installed on a farm pond that drains to Robeson Creek. </t>
  </si>
  <si>
    <t>Franklin to Fontana Restoration Project (Phase I)</t>
  </si>
  <si>
    <t>Little Tennessee</t>
  </si>
  <si>
    <t>Southwestern RC&amp;D</t>
  </si>
  <si>
    <t>Alexis</t>
  </si>
  <si>
    <t>Baker</t>
  </si>
  <si>
    <t xml:space="preserve">The Franklin to Fontana Restoration Project (Phase I) uses the findings and recommendations of the Franklin to Fontana Local Watershed Plan, which covers the lower portion of the upper Little Tennessee River watershed in Macon and Swain counties, to target specific stressors that impact impaired waters in order to improve water quality within the watershed.  The immediate goals of the Franklin to Fontana Restoration Project (Phase I) are to address causes of impairment in three of the most degraded streams in the local watershed planning area--Iotla Branch, Cat Creek, and Rabbit Creek--and to carry out a watershed education effort aimed at increasing awareness of stream habitat and water quality.  This will be accomplished through the achievement of three objectives:  (1) install livestock fencing, plant riparian buffers, and install other associated BMPs on priority farms, (2) tailor the Franklin to Fontana Watershed Management Plan in order to meet the requirements of a 9-element plan, and (3) carry out a 5-part watershed education effort, targeting both adults and children.  </t>
  </si>
  <si>
    <t>Watershed Outreach and Restoration Planning in the Rocky River</t>
  </si>
  <si>
    <t>John</t>
  </si>
  <si>
    <t>Fountain</t>
  </si>
  <si>
    <r>
      <t xml:space="preserve">The Rocky River is a small, easily manageable watershed which is approximately 37 miles long and includes 11 named tributaries. </t>
    </r>
    <r>
      <rPr>
        <sz val="10"/>
        <color theme="1"/>
        <rFont val="Arial"/>
        <family val="2"/>
      </rPr>
      <t xml:space="preserve">In 2008, state water quality standards for turbidity and dissolved oxygen were violated as well as standards for chlorophyll </t>
    </r>
    <r>
      <rPr>
        <i/>
        <sz val="10"/>
        <color theme="1"/>
        <rFont val="Arial"/>
        <family val="2"/>
      </rPr>
      <t>a</t>
    </r>
    <r>
      <rPr>
        <sz val="10"/>
        <color theme="1"/>
        <rFont val="Arial"/>
        <family val="2"/>
      </rPr>
      <t xml:space="preserve">. Several studies have been performed to identify and address these impairments. However, further refinement of the water quality issues in the watershed is needed. Consistent and periodic water quality monitoring of this project will allow significant sources of nutrients in the Rocky River to be identified and quantified. Nutrient loads from sources on the Rocky River above the lower Siler City water supply reservoir will be quantified. Gaps in land use data will be filled and ground-truthing of known and potential critical areas for BMPs will be completed. The collected water quality and flow data will be used in combination with modeling (Soil and Water Assessment Tool) to develop a calibrated model of the Rocky River watershed. These measures will be used to develop a watershed restoration plan for the upper Rocky River watershed. </t>
    </r>
  </si>
  <si>
    <t>Davidson County Community College Stormwater Retrofit Monitoring</t>
  </si>
  <si>
    <t>Yadkin-Pee Dee</t>
  </si>
  <si>
    <t xml:space="preserve">The Piedmont Triad Regional Council (PTRC) is requesting $36,114 to monitor an innovative treatment train stormwater system designed NCSU Water Quality Group staff on 0.85 acres of the campus of Davidson County Community College (DCCC).  It will treat a 20-acre impervious watershed and serve the on-campus and downstream watershed needs.  </t>
  </si>
  <si>
    <t>Britton Creek Stormwater Management - Mud Creek Watershed Restoration Project</t>
  </si>
  <si>
    <t>French Broad</t>
  </si>
  <si>
    <t>City of Hendersonville</t>
  </si>
  <si>
    <t>Diane</t>
  </si>
  <si>
    <t>Silver</t>
  </si>
  <si>
    <t>Mud Creek, in Henderson County, NC, is a 303-d listed stream that has been identified by DWQ as a watershed of interest. This proposal aims to continue to address the sources and causes of impairment in the Mud Creek watershed through the following specific projects: ** Install three stormwater bioretention practices on community sites within the Britton Creek sub-watershed and monitor their effectiveness to inform best practices for stormwater management specific to conditions in Western NC.  **Install 8 or more backyard stormwater management practices such as raingardens, cisterns, multiple rainbarrels, permeable paving, or other practices at residential sites within the Britton Creek sub-watershed.  **Provide funding for two years for a watershed coordinator/educator for grant administration, continued landowner outreach for future projects, monitoring, project coordination, public education, and water quality education in schools.  **Maintain monthly volunteer monitoring at fourteen sites in the Mud Creek watershed, through the VWIN program.</t>
  </si>
  <si>
    <t xml:space="preserve">An initial watershed assessment and restoration plan was completed in 2009, followed by acceptance of the plan by EPA in lieu of a TMDL. The assessment showed that the creek is impaired by high volume and velocity stormwater runoff flows that have altered the natural flow regime and negatively impacted biotic communities.  A retrofit project will be identified and implemented on a commercial property, and retrofits that were previously identified within the project BMP Site Atlas will be constructed on Town of Cary and Wake County schools properties.  Simple changes to existing bioretention will be installed and monitored to increase infiltration. Additional stream flow monitoring and modeling will further hone a retrofit target by testing pre-post BMP flows, and will test a new milestone of disconnecting 200 acres of imperviousness to reach effective 10% impervious cover in the watershed. </t>
  </si>
  <si>
    <t>Achieving new milestones for stormwater runoff reductions in Black Creek Watershed</t>
  </si>
  <si>
    <t>Christy</t>
  </si>
  <si>
    <t>Perrin</t>
  </si>
  <si>
    <t>Lexington Golf Club Water Garden</t>
  </si>
  <si>
    <r>
      <t xml:space="preserve">This will be the first project implemented from the Nine-Element </t>
    </r>
    <r>
      <rPr>
        <i/>
        <sz val="10"/>
        <color theme="1"/>
        <rFont val="Arial"/>
        <family val="2"/>
      </rPr>
      <t>Lower Abbotts Creek Watershed Restoration Plan</t>
    </r>
    <r>
      <rPr>
        <sz val="10"/>
        <color theme="1"/>
        <rFont val="Arial"/>
        <family val="2"/>
      </rPr>
      <t xml:space="preserve"> (2011), where it is listed as Priority Project 06, and featured prominently in Recommendation 4 (Restore the Riparian Buffer Network).  The PTRC will partner with the City of Lexington to design, construct, and maintain a constructed wetland (aka “water garden”) between the fifteenth putting green and the sixteenth hole tee on the course that will intercept a 10-acre watershed.  If funded, this will also be the first retrofitted stormwater control measure constructed in all of Davidson County, including the Cities of Lexington, High Point, and Thomasville.  As such, it will serve an important role as a demonstration project for the local watershed and the much larger High Rock Lake watershed.  The project is also the first of what is hoped to be several stormwater retrofit projects at the Lexington Golf Club, which has already invested in a wastewater reuse system for irrigation and is highly interested in enhancing the on-site sustainability features at the club.</t>
    </r>
  </si>
  <si>
    <t>Ross Creek - Kenilworth Lake and Stormwater Impovements</t>
  </si>
  <si>
    <t>Riverlink</t>
  </si>
  <si>
    <t>Nancy</t>
  </si>
  <si>
    <t>Hodges</t>
  </si>
  <si>
    <t>In 2001 the Land of Sky Regional Council, the City of Asheville, and the NC State Water Quality group developed a watershed restoration plan which outlined and water quality improvement projects. In 2007, the City of Asheville funded the development of a Ross Creek Watershed Protection and Improvement Master Plan which identified pollution causes and source in the watershed, and outlined over $7 million worth of water quality improvements and stream restoration projects.  This proposal specifically requests funding for the implementation of the watershed protection and improvement plan.  Specifically, the project proposes to install 4 Stormwater Best Management Practices (BMPs). The Stormwater BMPs will consist of a fore bay for Kenilworth Lake to reduce sedimentation of the Lake, a bioretention cell and stream bank enhancement at St. Luke’s Church (LOS Site 4), LOS Site 8 at the corner of Tunnel Rd and I-240 ramp, and bioretention on the Umhaus property adjacent to a UT to the lake. These are efforts to reduce sedimentation and improve water quality throughout the watershed.</t>
  </si>
  <si>
    <t>Valley River Restoration – Phase IV</t>
  </si>
  <si>
    <t>Hiwassee</t>
  </si>
  <si>
    <t>Hiwassee River Watershed Coalition</t>
  </si>
  <si>
    <t>Callie</t>
  </si>
  <si>
    <t>Moore</t>
  </si>
  <si>
    <t xml:space="preserve">Using funds from a previous Section 319 grant, HRWC completed the Valley River Watershed Restoration Plan in 2010, which links excess sedimentation in the watershed to erosion of stream banks, uncontrolled stormwater runoff, and a lack of adequate riparian buffers, among other sources.  Since that time HRWC has conducted restoration activities along more than 2.7 miles of the Valley River at its tributaries using funds from a variety of sources including the Section 319 program and the NC Clean Water Management Trust Fund.  This project proposes to work in partnership with Cherokee County government, the Cherokee Co. Soil &amp; Water Conservation District, and others to (a) correct erosion and instability problems along at least 5,300 linear feet of stream resulting in an additional TSS reduction of 500 tons/yr (13% of the needed reduction); (b) restore or enhance seven acres of riparian buffers; and (c) continue to educate people in the watershed about the causes and sources of the Valley River’s impairment, controlling stormwater runoff and the value of riparian buffers. </t>
  </si>
  <si>
    <t>Mills River Partnership</t>
  </si>
  <si>
    <t>Carolina Mountain Land Conservancy</t>
  </si>
  <si>
    <t>Kieran</t>
  </si>
  <si>
    <t>Roe</t>
  </si>
  <si>
    <t>In response to the ongoing water quality issues, in 1998 stakeholders came together to form the Mills River Partnership (MRP) as an informal group to work on pursue watershed protection and improvement.  The MRP had considerable success in reaching out to private landowners and implementing conservation measures, such as stream restoration, stormwater best management practices and voluntary conservation easements.  The group became dormant until a series of new findings prompted it to reconvene and formally incorporate as a nonprofit organization in 2011.  This proposal to the U.S. EPA 319 program seeks support to: 1) install water quality best management practices at priority sites, and 2) to complete a Nine Element Plan for the Mills River watershed.</t>
  </si>
  <si>
    <t>Match %</t>
  </si>
  <si>
    <t>Quality/     Integrity    (10 points)</t>
  </si>
  <si>
    <t>Capabilities (5 points)</t>
  </si>
  <si>
    <t>Budget (10 points)</t>
  </si>
  <si>
    <t>TOTAL SCORE    (50 max)</t>
  </si>
  <si>
    <t>Reviewer Comments</t>
  </si>
  <si>
    <t>Preparedness/   Momentum                 (5 points)</t>
  </si>
  <si>
    <t>Measurable Results    (15 points)</t>
  </si>
  <si>
    <t>NPS Relevance (5 points)</t>
  </si>
</sst>
</file>

<file path=xl/styles.xml><?xml version="1.0" encoding="utf-8"?>
<styleSheet xmlns="http://schemas.openxmlformats.org/spreadsheetml/2006/main">
  <numFmts count="9">
    <numFmt numFmtId="5" formatCode="&quot;$&quot;#,##0_);\(&quot;$&quot;#,##0\)"/>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00_);\(#,##0.000\)"/>
    <numFmt numFmtId="167" formatCode="&quot;$&quot;#,##0"/>
    <numFmt numFmtId="168" formatCode="0.0%"/>
  </numFmts>
  <fonts count="9">
    <font>
      <sz val="11"/>
      <color theme="1"/>
      <name val="Calibri"/>
      <family val="2"/>
      <scheme val="minor"/>
    </font>
    <font>
      <sz val="11"/>
      <color theme="1"/>
      <name val="Calibri"/>
      <family val="2"/>
      <scheme val="minor"/>
    </font>
    <font>
      <sz val="10"/>
      <color theme="1"/>
      <name val="Arial"/>
      <family val="2"/>
    </font>
    <font>
      <b/>
      <sz val="10"/>
      <name val="Arial"/>
      <family val="2"/>
    </font>
    <font>
      <sz val="10"/>
      <name val="Arial"/>
      <family val="2"/>
    </font>
    <font>
      <b/>
      <sz val="10"/>
      <color theme="1"/>
      <name val="Arial"/>
      <family val="2"/>
    </font>
    <font>
      <sz val="10"/>
      <color theme="1"/>
      <name val="Calibri"/>
      <family val="2"/>
      <scheme val="minor"/>
    </font>
    <font>
      <b/>
      <sz val="10"/>
      <color theme="1"/>
      <name val="Calibri"/>
      <family val="2"/>
      <scheme val="minor"/>
    </font>
    <font>
      <i/>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s>
  <borders count="22">
    <border>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ck">
        <color indexed="64"/>
      </left>
      <right style="thin">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22">
    <xf numFmtId="0" fontId="0" fillId="0" borderId="0" xfId="0"/>
    <xf numFmtId="0" fontId="2" fillId="0" borderId="0" xfId="0" applyFont="1" applyBorder="1" applyAlignment="1">
      <alignment vertical="top"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2" fillId="0" borderId="0" xfId="0" applyFont="1" applyFill="1" applyBorder="1" applyAlignment="1">
      <alignment vertical="top" wrapText="1"/>
    </xf>
    <xf numFmtId="0" fontId="6" fillId="0" borderId="0" xfId="0" applyFont="1" applyAlignment="1">
      <alignment vertical="top" wrapText="1"/>
    </xf>
    <xf numFmtId="0" fontId="6" fillId="0" borderId="0" xfId="0" applyFont="1"/>
    <xf numFmtId="0" fontId="3" fillId="0" borderId="2" xfId="0" applyFont="1" applyFill="1" applyBorder="1" applyAlignment="1">
      <alignment horizontal="center" vertical="center" wrapText="1"/>
    </xf>
    <xf numFmtId="0" fontId="2" fillId="0" borderId="3" xfId="0" applyFont="1" applyFill="1" applyBorder="1" applyAlignment="1">
      <alignment horizontal="center" vertical="top" wrapText="1"/>
    </xf>
    <xf numFmtId="0" fontId="2" fillId="0" borderId="3" xfId="0" applyFont="1" applyFill="1" applyBorder="1" applyAlignment="1">
      <alignment vertical="top" wrapText="1"/>
    </xf>
    <xf numFmtId="0" fontId="2" fillId="0" borderId="3" xfId="0" applyFont="1" applyFill="1" applyBorder="1" applyAlignment="1">
      <alignment horizontal="left" vertical="top" wrapText="1"/>
    </xf>
    <xf numFmtId="43" fontId="3" fillId="0" borderId="2" xfId="1" applyFont="1" applyFill="1" applyBorder="1" applyAlignment="1">
      <alignment horizontal="center" vertical="center" wrapText="1"/>
    </xf>
    <xf numFmtId="0" fontId="2" fillId="0" borderId="4" xfId="0" applyFont="1" applyFill="1" applyBorder="1" applyAlignment="1">
      <alignment vertical="top" wrapText="1"/>
    </xf>
    <xf numFmtId="0" fontId="2" fillId="0" borderId="3" xfId="0" applyNumberFormat="1" applyFont="1" applyFill="1" applyBorder="1" applyAlignment="1">
      <alignment vertical="top" wrapText="1"/>
    </xf>
    <xf numFmtId="164" fontId="3" fillId="0" borderId="2" xfId="2" applyNumberFormat="1" applyFont="1" applyFill="1" applyBorder="1" applyAlignment="1">
      <alignment horizontal="center" vertical="center" wrapText="1"/>
    </xf>
    <xf numFmtId="164" fontId="2" fillId="0" borderId="4" xfId="2" applyNumberFormat="1" applyFont="1" applyFill="1" applyBorder="1" applyAlignment="1">
      <alignment vertical="top" wrapText="1"/>
    </xf>
    <xf numFmtId="165" fontId="3" fillId="0" borderId="2" xfId="1" applyNumberFormat="1" applyFont="1" applyFill="1" applyBorder="1" applyAlignment="1">
      <alignment horizontal="center" vertical="center"/>
    </xf>
    <xf numFmtId="165" fontId="2" fillId="0" borderId="4" xfId="1" applyNumberFormat="1" applyFont="1" applyFill="1" applyBorder="1" applyAlignment="1">
      <alignment vertical="top" wrapText="1"/>
    </xf>
    <xf numFmtId="164" fontId="2" fillId="0" borderId="4" xfId="0" applyNumberFormat="1" applyFont="1" applyFill="1" applyBorder="1" applyAlignment="1">
      <alignment vertical="top" wrapText="1"/>
    </xf>
    <xf numFmtId="0" fontId="2" fillId="2" borderId="7" xfId="0" applyFont="1" applyFill="1" applyBorder="1" applyAlignment="1">
      <alignment horizontal="center" vertical="top" wrapText="1"/>
    </xf>
    <xf numFmtId="0" fontId="2" fillId="2" borderId="7" xfId="0" applyFont="1" applyFill="1" applyBorder="1" applyAlignment="1">
      <alignment vertical="top" wrapText="1"/>
    </xf>
    <xf numFmtId="0" fontId="2" fillId="2" borderId="8" xfId="0" applyFont="1" applyFill="1" applyBorder="1" applyAlignment="1">
      <alignment vertical="top" wrapText="1"/>
    </xf>
    <xf numFmtId="164" fontId="2" fillId="2" borderId="8" xfId="2" applyNumberFormat="1" applyFont="1" applyFill="1" applyBorder="1" applyAlignment="1">
      <alignment vertical="top" wrapText="1"/>
    </xf>
    <xf numFmtId="165" fontId="2" fillId="2" borderId="8" xfId="1" applyNumberFormat="1" applyFont="1" applyFill="1" applyBorder="1" applyAlignment="1">
      <alignment vertical="top" wrapText="1"/>
    </xf>
    <xf numFmtId="164" fontId="2" fillId="2" borderId="8" xfId="0" applyNumberFormat="1" applyFont="1" applyFill="1" applyBorder="1" applyAlignment="1">
      <alignment vertical="top" wrapText="1"/>
    </xf>
    <xf numFmtId="0" fontId="2" fillId="0" borderId="9" xfId="0" applyFont="1" applyFill="1" applyBorder="1" applyAlignment="1">
      <alignment horizontal="center" vertical="top" wrapText="1"/>
    </xf>
    <xf numFmtId="0" fontId="2" fillId="0" borderId="9" xfId="0" applyFont="1" applyFill="1" applyBorder="1" applyAlignment="1">
      <alignment vertical="top" wrapText="1"/>
    </xf>
    <xf numFmtId="0" fontId="2" fillId="0" borderId="10" xfId="0" applyFont="1" applyFill="1" applyBorder="1" applyAlignment="1">
      <alignment vertical="top" wrapText="1"/>
    </xf>
    <xf numFmtId="164" fontId="2" fillId="0" borderId="10" xfId="2" applyNumberFormat="1" applyFont="1" applyFill="1" applyBorder="1" applyAlignment="1">
      <alignment vertical="top" wrapText="1"/>
    </xf>
    <xf numFmtId="165" fontId="2" fillId="0" borderId="10" xfId="1" applyNumberFormat="1" applyFont="1" applyFill="1" applyBorder="1" applyAlignment="1">
      <alignment vertical="top" wrapText="1"/>
    </xf>
    <xf numFmtId="164" fontId="2" fillId="0" borderId="10" xfId="0" applyNumberFormat="1" applyFont="1" applyFill="1" applyBorder="1" applyAlignment="1">
      <alignment vertical="top" wrapText="1"/>
    </xf>
    <xf numFmtId="0" fontId="4" fillId="2" borderId="9" xfId="0" applyFont="1" applyFill="1" applyBorder="1" applyAlignment="1">
      <alignment horizontal="center" vertical="top" wrapText="1"/>
    </xf>
    <xf numFmtId="0" fontId="4" fillId="2" borderId="9" xfId="0" applyFont="1" applyFill="1" applyBorder="1" applyAlignment="1">
      <alignment vertical="top" wrapText="1"/>
    </xf>
    <xf numFmtId="0" fontId="4" fillId="2" borderId="10" xfId="0" applyFont="1" applyFill="1" applyBorder="1" applyAlignment="1">
      <alignment vertical="top" wrapText="1"/>
    </xf>
    <xf numFmtId="164" fontId="4" fillId="2" borderId="10" xfId="2" applyNumberFormat="1" applyFont="1" applyFill="1" applyBorder="1" applyAlignment="1">
      <alignment vertical="top" wrapText="1"/>
    </xf>
    <xf numFmtId="165" fontId="4" fillId="2" borderId="10" xfId="1" applyNumberFormat="1" applyFont="1" applyFill="1" applyBorder="1" applyAlignment="1">
      <alignment vertical="top" wrapText="1"/>
    </xf>
    <xf numFmtId="164" fontId="2" fillId="2" borderId="10" xfId="0" applyNumberFormat="1" applyFont="1" applyFill="1" applyBorder="1" applyAlignment="1">
      <alignment vertical="top" wrapText="1"/>
    </xf>
    <xf numFmtId="0" fontId="4" fillId="3" borderId="7" xfId="0" applyFont="1" applyFill="1" applyBorder="1" applyAlignment="1">
      <alignment horizontal="center" vertical="top" wrapText="1"/>
    </xf>
    <xf numFmtId="0" fontId="4" fillId="3" borderId="7" xfId="0" applyFont="1" applyFill="1" applyBorder="1" applyAlignment="1">
      <alignment vertical="top" wrapText="1"/>
    </xf>
    <xf numFmtId="0" fontId="4" fillId="3" borderId="8" xfId="0" applyFont="1" applyFill="1" applyBorder="1" applyAlignment="1">
      <alignment vertical="top" wrapText="1"/>
    </xf>
    <xf numFmtId="164" fontId="4" fillId="3" borderId="8" xfId="2" applyNumberFormat="1" applyFont="1" applyFill="1" applyBorder="1" applyAlignment="1">
      <alignment vertical="top" wrapText="1"/>
    </xf>
    <xf numFmtId="165" fontId="4" fillId="3" borderId="8" xfId="1" applyNumberFormat="1" applyFont="1" applyFill="1" applyBorder="1" applyAlignment="1">
      <alignment vertical="top" wrapText="1"/>
    </xf>
    <xf numFmtId="0" fontId="2" fillId="0" borderId="0" xfId="0" applyFont="1" applyBorder="1" applyAlignment="1">
      <alignment horizontal="center" vertical="top" wrapText="1"/>
    </xf>
    <xf numFmtId="164" fontId="2" fillId="0" borderId="0" xfId="2" applyNumberFormat="1" applyFont="1" applyBorder="1" applyAlignment="1">
      <alignment vertical="top" wrapText="1"/>
    </xf>
    <xf numFmtId="165" fontId="2" fillId="0" borderId="0" xfId="1" applyNumberFormat="1" applyFont="1" applyBorder="1" applyAlignment="1">
      <alignment vertical="top" wrapText="1"/>
    </xf>
    <xf numFmtId="4" fontId="2" fillId="0" borderId="0" xfId="0" applyNumberFormat="1" applyFont="1" applyFill="1" applyBorder="1" applyAlignment="1">
      <alignment vertical="top" wrapText="1"/>
    </xf>
    <xf numFmtId="0" fontId="6" fillId="0" borderId="0" xfId="0" applyFont="1" applyFill="1" applyBorder="1"/>
    <xf numFmtId="164" fontId="6" fillId="0" borderId="0" xfId="2" applyNumberFormat="1" applyFont="1" applyFill="1" applyBorder="1"/>
    <xf numFmtId="165" fontId="6" fillId="0" borderId="0" xfId="1" applyNumberFormat="1" applyFont="1" applyFill="1" applyBorder="1"/>
    <xf numFmtId="165" fontId="5" fillId="0" borderId="5" xfId="1" applyNumberFormat="1" applyFont="1" applyFill="1" applyBorder="1" applyAlignment="1">
      <alignment horizontal="center" vertical="center" wrapText="1"/>
    </xf>
    <xf numFmtId="0" fontId="2" fillId="0" borderId="7" xfId="0" applyFont="1" applyFill="1" applyBorder="1" applyAlignment="1">
      <alignment vertical="top" wrapText="1"/>
    </xf>
    <xf numFmtId="0" fontId="2" fillId="0" borderId="7" xfId="0" applyFont="1" applyFill="1" applyBorder="1" applyAlignment="1">
      <alignment horizontal="center" vertical="top" wrapText="1"/>
    </xf>
    <xf numFmtId="0" fontId="2" fillId="0" borderId="8" xfId="0" applyFont="1" applyFill="1" applyBorder="1" applyAlignment="1">
      <alignment vertical="top" wrapText="1"/>
    </xf>
    <xf numFmtId="164" fontId="2" fillId="0" borderId="8" xfId="2" applyNumberFormat="1" applyFont="1" applyFill="1" applyBorder="1" applyAlignment="1">
      <alignment vertical="top" wrapText="1"/>
    </xf>
    <xf numFmtId="165" fontId="2" fillId="0" borderId="8" xfId="1" applyNumberFormat="1" applyFont="1" applyFill="1" applyBorder="1" applyAlignment="1">
      <alignment vertical="top" wrapText="1"/>
    </xf>
    <xf numFmtId="164" fontId="2" fillId="0" borderId="8" xfId="0" applyNumberFormat="1" applyFont="1" applyFill="1" applyBorder="1" applyAlignment="1">
      <alignment vertical="top" wrapText="1"/>
    </xf>
    <xf numFmtId="0" fontId="2" fillId="3" borderId="9" xfId="0" applyFont="1" applyFill="1" applyBorder="1" applyAlignment="1">
      <alignment horizontal="center" vertical="top" wrapText="1"/>
    </xf>
    <xf numFmtId="0" fontId="2" fillId="3" borderId="9" xfId="0" applyFont="1" applyFill="1" applyBorder="1" applyAlignment="1">
      <alignment vertical="top" wrapText="1"/>
    </xf>
    <xf numFmtId="0" fontId="2" fillId="3" borderId="10" xfId="0" applyFont="1" applyFill="1" applyBorder="1" applyAlignment="1">
      <alignment vertical="top" wrapText="1"/>
    </xf>
    <xf numFmtId="164" fontId="2" fillId="3" borderId="10" xfId="2" applyNumberFormat="1" applyFont="1" applyFill="1" applyBorder="1" applyAlignment="1">
      <alignment vertical="top" wrapText="1"/>
    </xf>
    <xf numFmtId="165" fontId="2" fillId="3" borderId="10" xfId="1" applyNumberFormat="1" applyFont="1" applyFill="1" applyBorder="1" applyAlignment="1">
      <alignment vertical="top" wrapText="1"/>
    </xf>
    <xf numFmtId="0" fontId="2" fillId="3" borderId="7" xfId="0" applyFont="1" applyFill="1" applyBorder="1" applyAlignment="1">
      <alignment horizontal="center" vertical="top" wrapText="1"/>
    </xf>
    <xf numFmtId="0" fontId="2" fillId="2" borderId="9" xfId="0" applyFont="1" applyFill="1" applyBorder="1" applyAlignment="1">
      <alignment horizontal="center" vertical="top" wrapText="1"/>
    </xf>
    <xf numFmtId="0" fontId="2" fillId="2" borderId="9" xfId="0" applyFont="1" applyFill="1" applyBorder="1" applyAlignment="1">
      <alignment vertical="top" wrapText="1"/>
    </xf>
    <xf numFmtId="0" fontId="2" fillId="2" borderId="10" xfId="0" applyFont="1" applyFill="1" applyBorder="1" applyAlignment="1">
      <alignment vertical="top" wrapText="1"/>
    </xf>
    <xf numFmtId="164" fontId="2" fillId="2" borderId="10" xfId="2" applyNumberFormat="1" applyFont="1" applyFill="1" applyBorder="1" applyAlignment="1">
      <alignment vertical="top" wrapText="1"/>
    </xf>
    <xf numFmtId="165" fontId="2" fillId="2" borderId="10" xfId="1" applyNumberFormat="1" applyFont="1" applyFill="1" applyBorder="1" applyAlignment="1">
      <alignment vertical="top" wrapText="1"/>
    </xf>
    <xf numFmtId="0" fontId="2" fillId="0" borderId="5" xfId="0" applyFont="1" applyFill="1" applyBorder="1" applyAlignment="1">
      <alignment horizontal="left" vertical="top" wrapText="1"/>
    </xf>
    <xf numFmtId="0" fontId="2" fillId="0" borderId="5" xfId="0" applyFont="1" applyFill="1" applyBorder="1" applyAlignment="1">
      <alignment vertical="top" wrapText="1"/>
    </xf>
    <xf numFmtId="0" fontId="2" fillId="0" borderId="6" xfId="0" applyFont="1" applyFill="1" applyBorder="1" applyAlignment="1">
      <alignment vertical="top" wrapText="1"/>
    </xf>
    <xf numFmtId="164" fontId="2" fillId="0" borderId="6" xfId="2" applyNumberFormat="1" applyFont="1" applyFill="1" applyBorder="1" applyAlignment="1">
      <alignment vertical="top" wrapText="1"/>
    </xf>
    <xf numFmtId="164" fontId="2" fillId="0" borderId="6" xfId="0" applyNumberFormat="1" applyFont="1" applyFill="1" applyBorder="1" applyAlignment="1">
      <alignment vertical="top" wrapText="1"/>
    </xf>
    <xf numFmtId="0" fontId="6" fillId="0" borderId="0" xfId="0" applyFont="1" applyBorder="1"/>
    <xf numFmtId="0" fontId="2" fillId="0" borderId="0" xfId="0" applyFont="1" applyFill="1" applyBorder="1"/>
    <xf numFmtId="0" fontId="6" fillId="0" borderId="0" xfId="0" applyFont="1" applyBorder="1" applyAlignment="1">
      <alignment vertical="top" wrapText="1"/>
    </xf>
    <xf numFmtId="164" fontId="6" fillId="0" borderId="0" xfId="2" applyNumberFormat="1" applyFont="1" applyBorder="1"/>
    <xf numFmtId="165" fontId="6" fillId="0" borderId="0" xfId="1" applyNumberFormat="1" applyFont="1" applyBorder="1"/>
    <xf numFmtId="0" fontId="2" fillId="3" borderId="9" xfId="0" applyNumberFormat="1" applyFont="1" applyFill="1" applyBorder="1" applyAlignment="1">
      <alignment vertical="top" wrapText="1"/>
    </xf>
    <xf numFmtId="0" fontId="2" fillId="0" borderId="0" xfId="0" applyFont="1" applyFill="1" applyBorder="1" applyAlignment="1">
      <alignment horizontal="center"/>
    </xf>
    <xf numFmtId="0" fontId="6" fillId="0" borderId="0" xfId="0" applyFont="1" applyBorder="1" applyAlignment="1">
      <alignment horizontal="center"/>
    </xf>
    <xf numFmtId="166" fontId="6" fillId="0" borderId="0" xfId="2" applyNumberFormat="1" applyFont="1" applyBorder="1"/>
    <xf numFmtId="164" fontId="7" fillId="0" borderId="13" xfId="0" applyNumberFormat="1" applyFont="1" applyFill="1" applyBorder="1"/>
    <xf numFmtId="0" fontId="5" fillId="0" borderId="14" xfId="0" applyFont="1" applyFill="1" applyBorder="1" applyAlignment="1">
      <alignment vertical="top" wrapText="1"/>
    </xf>
    <xf numFmtId="0" fontId="5" fillId="0" borderId="14" xfId="0" applyFont="1" applyFill="1" applyBorder="1" applyAlignment="1">
      <alignment vertical="top"/>
    </xf>
    <xf numFmtId="0" fontId="5" fillId="0" borderId="11" xfId="0" applyFont="1" applyFill="1" applyBorder="1" applyAlignment="1">
      <alignment vertical="top" wrapText="1"/>
    </xf>
    <xf numFmtId="164" fontId="5" fillId="0" borderId="5" xfId="2" applyNumberFormat="1" applyFont="1" applyFill="1" applyBorder="1" applyAlignment="1">
      <alignment horizontal="center" vertical="center" wrapText="1"/>
    </xf>
    <xf numFmtId="6" fontId="5" fillId="0" borderId="15" xfId="0" applyNumberFormat="1" applyFont="1" applyFill="1" applyBorder="1" applyAlignment="1">
      <alignment horizontal="center" vertical="center" wrapText="1"/>
    </xf>
    <xf numFmtId="0" fontId="2" fillId="0" borderId="5" xfId="0" applyFont="1" applyFill="1" applyBorder="1" applyAlignment="1">
      <alignment horizontal="center" vertical="top" wrapText="1"/>
    </xf>
    <xf numFmtId="0" fontId="2" fillId="0" borderId="19" xfId="0" applyFont="1" applyBorder="1" applyAlignment="1">
      <alignment vertical="top" wrapText="1"/>
    </xf>
    <xf numFmtId="0" fontId="2" fillId="0" borderId="9" xfId="0" applyFont="1" applyBorder="1" applyAlignment="1">
      <alignment wrapText="1"/>
    </xf>
    <xf numFmtId="0" fontId="2" fillId="3" borderId="9" xfId="0" applyFont="1" applyFill="1" applyBorder="1" applyAlignment="1">
      <alignment wrapText="1"/>
    </xf>
    <xf numFmtId="0" fontId="2" fillId="3" borderId="0" xfId="0" applyFont="1" applyFill="1" applyAlignment="1">
      <alignment vertical="top" wrapText="1"/>
    </xf>
    <xf numFmtId="0" fontId="2" fillId="0" borderId="9" xfId="0" applyFont="1" applyBorder="1" applyAlignment="1">
      <alignment vertical="top" wrapText="1"/>
    </xf>
    <xf numFmtId="0" fontId="4" fillId="0" borderId="9" xfId="0" applyFont="1" applyBorder="1" applyAlignment="1">
      <alignment vertical="top" wrapText="1"/>
    </xf>
    <xf numFmtId="0" fontId="2" fillId="0" borderId="0" xfId="0" applyFont="1" applyAlignment="1">
      <alignment wrapText="1"/>
    </xf>
    <xf numFmtId="0" fontId="2" fillId="0" borderId="0" xfId="0" applyFont="1" applyAlignment="1">
      <alignment vertical="top" wrapText="1"/>
    </xf>
    <xf numFmtId="167" fontId="2" fillId="3" borderId="10" xfId="2" applyNumberFormat="1" applyFont="1" applyFill="1" applyBorder="1" applyAlignment="1">
      <alignment vertical="top" wrapText="1"/>
    </xf>
    <xf numFmtId="167" fontId="2" fillId="3" borderId="10" xfId="1" applyNumberFormat="1" applyFont="1" applyFill="1" applyBorder="1" applyAlignment="1">
      <alignment vertical="top" wrapText="1"/>
    </xf>
    <xf numFmtId="167" fontId="2" fillId="2" borderId="10" xfId="0" applyNumberFormat="1" applyFont="1" applyFill="1" applyBorder="1" applyAlignment="1">
      <alignment vertical="top" wrapText="1"/>
    </xf>
    <xf numFmtId="167" fontId="2" fillId="0" borderId="4" xfId="2" applyNumberFormat="1" applyFont="1" applyFill="1" applyBorder="1" applyAlignment="1">
      <alignment vertical="top" wrapText="1"/>
    </xf>
    <xf numFmtId="167" fontId="2" fillId="0" borderId="4" xfId="1" applyNumberFormat="1" applyFont="1" applyFill="1" applyBorder="1" applyAlignment="1">
      <alignment vertical="top" wrapText="1"/>
    </xf>
    <xf numFmtId="167" fontId="2" fillId="0" borderId="4" xfId="0" applyNumberFormat="1" applyFont="1" applyFill="1" applyBorder="1" applyAlignment="1">
      <alignment vertical="top" wrapText="1"/>
    </xf>
    <xf numFmtId="0" fontId="2" fillId="3" borderId="9" xfId="0" applyFont="1" applyFill="1" applyBorder="1" applyAlignment="1">
      <alignment vertical="top"/>
    </xf>
    <xf numFmtId="0" fontId="5" fillId="0" borderId="12" xfId="0" applyFont="1" applyFill="1" applyBorder="1" applyAlignment="1">
      <alignment horizontal="center" vertical="center"/>
    </xf>
    <xf numFmtId="5" fontId="5" fillId="0" borderId="9" xfId="2" applyNumberFormat="1" applyFont="1" applyFill="1" applyBorder="1" applyAlignment="1">
      <alignment vertical="center" wrapText="1"/>
    </xf>
    <xf numFmtId="5" fontId="5" fillId="0" borderId="16" xfId="2" applyNumberFormat="1" applyFont="1" applyFill="1" applyBorder="1" applyAlignment="1">
      <alignment vertical="center" wrapText="1"/>
    </xf>
    <xf numFmtId="5" fontId="5" fillId="0" borderId="18" xfId="2" applyNumberFormat="1" applyFont="1" applyFill="1" applyBorder="1"/>
    <xf numFmtId="6" fontId="5" fillId="0" borderId="0" xfId="0" applyNumberFormat="1" applyFont="1" applyFill="1" applyBorder="1" applyAlignment="1">
      <alignment horizontal="center" vertical="center" wrapText="1"/>
    </xf>
    <xf numFmtId="5" fontId="5" fillId="0" borderId="0" xfId="2" applyNumberFormat="1" applyFont="1" applyFill="1" applyBorder="1" applyAlignment="1">
      <alignment vertical="center" wrapText="1"/>
    </xf>
    <xf numFmtId="5" fontId="5" fillId="0" borderId="0" xfId="2" applyNumberFormat="1" applyFont="1" applyFill="1" applyBorder="1"/>
    <xf numFmtId="164" fontId="7" fillId="0" borderId="0" xfId="0" applyNumberFormat="1" applyFont="1" applyFill="1" applyBorder="1"/>
    <xf numFmtId="168" fontId="2" fillId="0" borderId="20" xfId="0" applyNumberFormat="1" applyFont="1" applyFill="1" applyBorder="1" applyAlignment="1">
      <alignment vertical="top" wrapText="1"/>
    </xf>
    <xf numFmtId="168" fontId="2" fillId="2" borderId="9" xfId="0" applyNumberFormat="1" applyFont="1" applyFill="1" applyBorder="1" applyAlignment="1">
      <alignment vertical="top" wrapText="1"/>
    </xf>
    <xf numFmtId="168" fontId="2" fillId="0" borderId="9" xfId="0" applyNumberFormat="1" applyFont="1" applyFill="1" applyBorder="1" applyAlignment="1">
      <alignment vertical="top" wrapText="1"/>
    </xf>
    <xf numFmtId="0" fontId="3" fillId="0" borderId="21" xfId="0" applyFont="1" applyBorder="1" applyAlignment="1">
      <alignment horizontal="center" wrapText="1"/>
    </xf>
    <xf numFmtId="0" fontId="3" fillId="0" borderId="1" xfId="0" applyFont="1" applyBorder="1" applyAlignment="1">
      <alignment horizontal="center" wrapText="1"/>
    </xf>
    <xf numFmtId="0" fontId="3" fillId="0" borderId="1" xfId="0" applyFont="1" applyBorder="1" applyAlignment="1">
      <alignment horizontal="center" vertical="top"/>
    </xf>
    <xf numFmtId="0" fontId="6" fillId="0" borderId="5" xfId="0" applyFont="1" applyBorder="1" applyAlignment="1">
      <alignment vertical="top" wrapText="1"/>
    </xf>
    <xf numFmtId="0" fontId="6" fillId="0" borderId="9" xfId="0" applyFont="1" applyBorder="1" applyAlignment="1">
      <alignment vertical="top" wrapText="1"/>
    </xf>
    <xf numFmtId="0" fontId="6" fillId="2" borderId="9" xfId="0" applyFont="1" applyFill="1" applyBorder="1" applyAlignment="1">
      <alignment vertical="top" wrapText="1"/>
    </xf>
    <xf numFmtId="0" fontId="5" fillId="0" borderId="17" xfId="0" applyFont="1" applyFill="1" applyBorder="1" applyAlignment="1">
      <alignment vertical="center" wrapText="1"/>
    </xf>
    <xf numFmtId="0" fontId="0" fillId="0" borderId="1" xfId="0" applyFill="1" applyBorder="1" applyAlignment="1">
      <alignment vertical="center" wrapText="1"/>
    </xf>
  </cellXfs>
  <cellStyles count="3">
    <cellStyle name="Comma" xfId="1" builtinId="3"/>
    <cellStyle name="Currency" xfId="2"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T27"/>
  <sheetViews>
    <sheetView tabSelected="1" zoomScale="80" zoomScaleNormal="80" workbookViewId="0">
      <pane xSplit="1" ySplit="1" topLeftCell="I2" activePane="bottomRight" state="frozen"/>
      <selection pane="topRight" activeCell="B1" sqref="B1"/>
      <selection pane="bottomLeft" activeCell="A2" sqref="A2"/>
      <selection pane="bottomRight" activeCell="Q1" sqref="Q1"/>
    </sheetView>
  </sheetViews>
  <sheetFormatPr defaultRowHeight="29.25" customHeight="1"/>
  <cols>
    <col min="1" max="1" width="5.140625" style="79" customWidth="1"/>
    <col min="2" max="2" width="28.7109375" style="74" customWidth="1"/>
    <col min="3" max="3" width="13.140625" style="72" customWidth="1"/>
    <col min="4" max="4" width="15" style="72" customWidth="1"/>
    <col min="5" max="5" width="4.85546875" style="72" customWidth="1"/>
    <col min="6" max="6" width="11.85546875" style="72" customWidth="1"/>
    <col min="7" max="7" width="13.5703125" style="72" customWidth="1"/>
    <col min="8" max="8" width="11.42578125" style="75" customWidth="1"/>
    <col min="9" max="9" width="11.140625" style="76" customWidth="1"/>
    <col min="10" max="10" width="12" style="72" customWidth="1"/>
    <col min="11" max="11" width="8" style="72" customWidth="1"/>
    <col min="12" max="12" width="41.28515625" style="72" customWidth="1"/>
    <col min="13" max="13" width="12.85546875" style="72" customWidth="1"/>
    <col min="14" max="14" width="9.140625" style="72"/>
    <col min="15" max="15" width="12" style="72" customWidth="1"/>
    <col min="16" max="16" width="16.5703125" style="72" customWidth="1"/>
    <col min="17" max="17" width="13.28515625" style="72" customWidth="1"/>
    <col min="18" max="18" width="12.140625" style="72" customWidth="1"/>
    <col min="19" max="19" width="9.140625" style="72"/>
    <col min="20" max="20" width="63.85546875" style="72" customWidth="1"/>
    <col min="21" max="16384" width="9.140625" style="72"/>
  </cols>
  <sheetData>
    <row r="1" spans="1:20" s="6" customFormat="1" ht="54" customHeight="1" thickBot="1">
      <c r="A1" s="2" t="s">
        <v>0</v>
      </c>
      <c r="B1" s="2" t="s">
        <v>1</v>
      </c>
      <c r="C1" s="2" t="s">
        <v>2</v>
      </c>
      <c r="D1" s="2" t="s">
        <v>3</v>
      </c>
      <c r="E1" s="3" t="s">
        <v>4</v>
      </c>
      <c r="F1" s="2" t="s">
        <v>5</v>
      </c>
      <c r="G1" s="7" t="s">
        <v>6</v>
      </c>
      <c r="H1" s="14" t="s">
        <v>7</v>
      </c>
      <c r="I1" s="16" t="s">
        <v>8</v>
      </c>
      <c r="J1" s="11" t="s">
        <v>9</v>
      </c>
      <c r="K1" s="11" t="s">
        <v>138</v>
      </c>
      <c r="L1" s="2" t="s">
        <v>10</v>
      </c>
      <c r="M1" s="114" t="s">
        <v>145</v>
      </c>
      <c r="N1" s="115" t="s">
        <v>139</v>
      </c>
      <c r="O1" s="115" t="s">
        <v>146</v>
      </c>
      <c r="P1" s="115" t="s">
        <v>144</v>
      </c>
      <c r="Q1" s="115" t="s">
        <v>140</v>
      </c>
      <c r="R1" s="115" t="s">
        <v>141</v>
      </c>
      <c r="S1" s="115" t="s">
        <v>142</v>
      </c>
      <c r="T1" s="116" t="s">
        <v>143</v>
      </c>
    </row>
    <row r="2" spans="1:20" s="5" customFormat="1" ht="54" customHeight="1">
      <c r="A2" s="87" t="s">
        <v>12</v>
      </c>
      <c r="B2" s="67" t="s">
        <v>36</v>
      </c>
      <c r="C2" s="68" t="s">
        <v>37</v>
      </c>
      <c r="D2" s="68" t="s">
        <v>38</v>
      </c>
      <c r="E2" s="68" t="s">
        <v>39</v>
      </c>
      <c r="F2" s="68" t="s">
        <v>40</v>
      </c>
      <c r="G2" s="69" t="s">
        <v>41</v>
      </c>
      <c r="H2" s="70">
        <v>178899</v>
      </c>
      <c r="I2" s="70">
        <v>200000</v>
      </c>
      <c r="J2" s="71">
        <f>SUM(H2:I2)</f>
        <v>378899</v>
      </c>
      <c r="K2" s="111">
        <f>I2/J2</f>
        <v>0.52784515134640098</v>
      </c>
      <c r="L2" s="88" t="s">
        <v>42</v>
      </c>
      <c r="M2" s="117"/>
      <c r="N2" s="117"/>
      <c r="O2" s="117"/>
      <c r="P2" s="117"/>
      <c r="Q2" s="117"/>
      <c r="R2" s="117"/>
      <c r="S2" s="117"/>
      <c r="T2" s="117"/>
    </row>
    <row r="3" spans="1:20" s="5" customFormat="1" ht="42" customHeight="1">
      <c r="A3" s="19" t="s">
        <v>13</v>
      </c>
      <c r="B3" s="91" t="s">
        <v>43</v>
      </c>
      <c r="C3" s="20" t="s">
        <v>44</v>
      </c>
      <c r="D3" s="20" t="s">
        <v>45</v>
      </c>
      <c r="E3" s="20" t="s">
        <v>46</v>
      </c>
      <c r="F3" s="20" t="s">
        <v>47</v>
      </c>
      <c r="G3" s="21" t="s">
        <v>48</v>
      </c>
      <c r="H3" s="22">
        <v>44000</v>
      </c>
      <c r="I3" s="23">
        <v>34500</v>
      </c>
      <c r="J3" s="24">
        <f t="shared" ref="J3:J21" si="0">SUM(H3:I3)</f>
        <v>78500</v>
      </c>
      <c r="K3" s="112">
        <f t="shared" ref="K3:K21" si="1">I3/J3</f>
        <v>0.43949044585987262</v>
      </c>
      <c r="L3" s="57" t="s">
        <v>49</v>
      </c>
      <c r="M3" s="119"/>
      <c r="N3" s="119"/>
      <c r="O3" s="119"/>
      <c r="P3" s="119"/>
      <c r="Q3" s="119"/>
      <c r="R3" s="119"/>
      <c r="S3" s="119"/>
      <c r="T3" s="119"/>
    </row>
    <row r="4" spans="1:20" s="5" customFormat="1" ht="39.75" customHeight="1">
      <c r="A4" s="25" t="s">
        <v>27</v>
      </c>
      <c r="B4" s="92" t="s">
        <v>50</v>
      </c>
      <c r="C4" s="26" t="s">
        <v>51</v>
      </c>
      <c r="D4" s="26" t="s">
        <v>52</v>
      </c>
      <c r="E4" s="26" t="s">
        <v>39</v>
      </c>
      <c r="F4" s="26" t="s">
        <v>53</v>
      </c>
      <c r="G4" s="27" t="s">
        <v>54</v>
      </c>
      <c r="H4" s="28">
        <v>123040</v>
      </c>
      <c r="I4" s="29">
        <v>112876</v>
      </c>
      <c r="J4" s="30">
        <f t="shared" si="0"/>
        <v>235916</v>
      </c>
      <c r="K4" s="113">
        <f t="shared" si="1"/>
        <v>0.47845843435799185</v>
      </c>
      <c r="L4" s="89" t="s">
        <v>55</v>
      </c>
      <c r="M4" s="118"/>
      <c r="N4" s="118"/>
      <c r="O4" s="118"/>
      <c r="P4" s="118"/>
      <c r="Q4" s="118"/>
      <c r="R4" s="118"/>
      <c r="S4" s="118"/>
      <c r="T4" s="118"/>
    </row>
    <row r="5" spans="1:20" s="5" customFormat="1" ht="39.75" customHeight="1">
      <c r="A5" s="31" t="s">
        <v>28</v>
      </c>
      <c r="B5" s="57" t="s">
        <v>56</v>
      </c>
      <c r="C5" s="32" t="s">
        <v>57</v>
      </c>
      <c r="D5" s="32" t="s">
        <v>58</v>
      </c>
      <c r="E5" s="32" t="s">
        <v>46</v>
      </c>
      <c r="F5" s="32" t="s">
        <v>59</v>
      </c>
      <c r="G5" s="33" t="s">
        <v>60</v>
      </c>
      <c r="H5" s="34">
        <v>200000</v>
      </c>
      <c r="I5" s="35">
        <v>889000</v>
      </c>
      <c r="J5" s="36">
        <f t="shared" si="0"/>
        <v>1089000</v>
      </c>
      <c r="K5" s="112">
        <f t="shared" si="1"/>
        <v>0.81634527089072539</v>
      </c>
      <c r="L5" s="90" t="s">
        <v>61</v>
      </c>
      <c r="M5" s="119"/>
      <c r="N5" s="119"/>
      <c r="O5" s="119"/>
      <c r="P5" s="119"/>
      <c r="Q5" s="119"/>
      <c r="R5" s="119"/>
      <c r="S5" s="119"/>
      <c r="T5" s="119"/>
    </row>
    <row r="6" spans="1:20" s="5" customFormat="1" ht="39.75" customHeight="1">
      <c r="A6" s="51" t="s">
        <v>14</v>
      </c>
      <c r="B6" s="93" t="s">
        <v>62</v>
      </c>
      <c r="C6" s="50" t="s">
        <v>51</v>
      </c>
      <c r="D6" s="50" t="s">
        <v>63</v>
      </c>
      <c r="E6" s="50" t="s">
        <v>46</v>
      </c>
      <c r="F6" s="50" t="s">
        <v>64</v>
      </c>
      <c r="G6" s="52" t="s">
        <v>65</v>
      </c>
      <c r="H6" s="53">
        <v>163095</v>
      </c>
      <c r="I6" s="54">
        <v>142074</v>
      </c>
      <c r="J6" s="55">
        <f t="shared" si="0"/>
        <v>305169</v>
      </c>
      <c r="K6" s="113">
        <f t="shared" si="1"/>
        <v>0.46555842828072314</v>
      </c>
      <c r="L6" s="93" t="s">
        <v>66</v>
      </c>
      <c r="M6" s="118"/>
      <c r="N6" s="118"/>
      <c r="O6" s="118"/>
      <c r="P6" s="118"/>
      <c r="Q6" s="118"/>
      <c r="R6" s="118"/>
      <c r="S6" s="118"/>
      <c r="T6" s="118"/>
    </row>
    <row r="7" spans="1:20" s="5" customFormat="1" ht="39.75" customHeight="1">
      <c r="A7" s="37" t="s">
        <v>16</v>
      </c>
      <c r="B7" s="38" t="s">
        <v>67</v>
      </c>
      <c r="C7" s="38" t="s">
        <v>44</v>
      </c>
      <c r="D7" s="38" t="s">
        <v>45</v>
      </c>
      <c r="E7" s="38" t="s">
        <v>39</v>
      </c>
      <c r="F7" s="38" t="s">
        <v>68</v>
      </c>
      <c r="G7" s="39" t="s">
        <v>69</v>
      </c>
      <c r="H7" s="40">
        <v>64750</v>
      </c>
      <c r="I7" s="41">
        <v>46133</v>
      </c>
      <c r="J7" s="24">
        <f t="shared" si="0"/>
        <v>110883</v>
      </c>
      <c r="K7" s="112">
        <f t="shared" si="1"/>
        <v>0.41605115301714418</v>
      </c>
      <c r="L7" s="57" t="s">
        <v>70</v>
      </c>
      <c r="M7" s="119"/>
      <c r="N7" s="119"/>
      <c r="O7" s="119"/>
      <c r="P7" s="119"/>
      <c r="Q7" s="119"/>
      <c r="R7" s="119"/>
      <c r="S7" s="119"/>
      <c r="T7" s="119"/>
    </row>
    <row r="8" spans="1:20" s="5" customFormat="1" ht="39.75" customHeight="1">
      <c r="A8" s="25" t="s">
        <v>29</v>
      </c>
      <c r="B8" s="26" t="s">
        <v>71</v>
      </c>
      <c r="C8" s="26" t="s">
        <v>44</v>
      </c>
      <c r="D8" s="26" t="s">
        <v>45</v>
      </c>
      <c r="E8" s="26" t="s">
        <v>72</v>
      </c>
      <c r="F8" s="26" t="s">
        <v>68</v>
      </c>
      <c r="G8" s="27" t="s">
        <v>69</v>
      </c>
      <c r="H8" s="28">
        <v>110687</v>
      </c>
      <c r="I8" s="29">
        <v>77360</v>
      </c>
      <c r="J8" s="30">
        <f t="shared" si="0"/>
        <v>188047</v>
      </c>
      <c r="K8" s="113">
        <f t="shared" si="1"/>
        <v>0.41138651507335933</v>
      </c>
      <c r="L8" s="92" t="s">
        <v>73</v>
      </c>
      <c r="M8" s="118"/>
      <c r="N8" s="118"/>
      <c r="O8" s="118"/>
      <c r="P8" s="118"/>
      <c r="Q8" s="118"/>
      <c r="R8" s="118"/>
      <c r="S8" s="118"/>
      <c r="T8" s="118"/>
    </row>
    <row r="9" spans="1:20" s="5" customFormat="1" ht="39.75" customHeight="1">
      <c r="A9" s="61" t="s">
        <v>30</v>
      </c>
      <c r="B9" s="91" t="s">
        <v>74</v>
      </c>
      <c r="C9" s="57" t="s">
        <v>51</v>
      </c>
      <c r="D9" s="57" t="s">
        <v>75</v>
      </c>
      <c r="E9" s="57" t="s">
        <v>46</v>
      </c>
      <c r="F9" s="57" t="s">
        <v>76</v>
      </c>
      <c r="G9" s="58" t="s">
        <v>77</v>
      </c>
      <c r="H9" s="59">
        <v>29240</v>
      </c>
      <c r="I9" s="60">
        <v>28505</v>
      </c>
      <c r="J9" s="36">
        <f t="shared" si="0"/>
        <v>57745</v>
      </c>
      <c r="K9" s="112">
        <f t="shared" si="1"/>
        <v>0.49363581262446965</v>
      </c>
      <c r="L9" s="57" t="s">
        <v>78</v>
      </c>
      <c r="M9" s="119"/>
      <c r="N9" s="119"/>
      <c r="O9" s="119"/>
      <c r="P9" s="119"/>
      <c r="Q9" s="119"/>
      <c r="R9" s="119"/>
      <c r="S9" s="119"/>
      <c r="T9" s="119"/>
    </row>
    <row r="10" spans="1:20" s="5" customFormat="1" ht="39.75" customHeight="1">
      <c r="A10" s="25" t="s">
        <v>17</v>
      </c>
      <c r="B10" s="92" t="s">
        <v>79</v>
      </c>
      <c r="C10" s="26" t="s">
        <v>80</v>
      </c>
      <c r="D10" s="26" t="s">
        <v>81</v>
      </c>
      <c r="E10" s="26" t="s">
        <v>46</v>
      </c>
      <c r="F10" s="26" t="s">
        <v>82</v>
      </c>
      <c r="G10" s="27" t="s">
        <v>83</v>
      </c>
      <c r="H10" s="28">
        <v>86000</v>
      </c>
      <c r="I10" s="29">
        <v>169656</v>
      </c>
      <c r="J10" s="30">
        <f t="shared" si="0"/>
        <v>255656</v>
      </c>
      <c r="K10" s="113">
        <f t="shared" si="1"/>
        <v>0.66361047657790151</v>
      </c>
      <c r="L10" s="92" t="s">
        <v>84</v>
      </c>
      <c r="M10" s="118"/>
      <c r="N10" s="118"/>
      <c r="O10" s="118"/>
      <c r="P10" s="118"/>
      <c r="Q10" s="118"/>
      <c r="R10" s="118"/>
      <c r="S10" s="118"/>
      <c r="T10" s="118"/>
    </row>
    <row r="11" spans="1:20" s="5" customFormat="1" ht="39.75" customHeight="1">
      <c r="A11" s="62" t="s">
        <v>18</v>
      </c>
      <c r="B11" s="90" t="s">
        <v>85</v>
      </c>
      <c r="C11" s="63" t="s">
        <v>86</v>
      </c>
      <c r="D11" s="63" t="s">
        <v>87</v>
      </c>
      <c r="E11" s="63" t="s">
        <v>88</v>
      </c>
      <c r="F11" s="63" t="s">
        <v>89</v>
      </c>
      <c r="G11" s="64" t="s">
        <v>90</v>
      </c>
      <c r="H11" s="65">
        <v>108857</v>
      </c>
      <c r="I11" s="66">
        <v>76912</v>
      </c>
      <c r="J11" s="36">
        <f t="shared" si="0"/>
        <v>185769</v>
      </c>
      <c r="K11" s="112">
        <f t="shared" si="1"/>
        <v>0.41401956192906242</v>
      </c>
      <c r="L11" s="57" t="s">
        <v>91</v>
      </c>
      <c r="M11" s="119"/>
      <c r="N11" s="119"/>
      <c r="O11" s="119"/>
      <c r="P11" s="119"/>
      <c r="Q11" s="119"/>
      <c r="R11" s="119"/>
      <c r="S11" s="119"/>
      <c r="T11" s="119"/>
    </row>
    <row r="12" spans="1:20" s="5" customFormat="1" ht="39.75" customHeight="1">
      <c r="A12" s="8" t="s">
        <v>26</v>
      </c>
      <c r="B12" s="94" t="s">
        <v>92</v>
      </c>
      <c r="C12" s="9" t="s">
        <v>80</v>
      </c>
      <c r="D12" s="9" t="s">
        <v>93</v>
      </c>
      <c r="E12" s="9" t="s">
        <v>88</v>
      </c>
      <c r="F12" s="9" t="s">
        <v>94</v>
      </c>
      <c r="G12" s="12" t="s">
        <v>95</v>
      </c>
      <c r="H12" s="15">
        <v>267172</v>
      </c>
      <c r="I12" s="17">
        <v>178132</v>
      </c>
      <c r="J12" s="18">
        <f t="shared" si="0"/>
        <v>445304</v>
      </c>
      <c r="K12" s="113">
        <f t="shared" si="1"/>
        <v>0.40002335483175538</v>
      </c>
      <c r="L12" s="92" t="s">
        <v>96</v>
      </c>
      <c r="M12" s="118"/>
      <c r="N12" s="118"/>
      <c r="O12" s="118"/>
      <c r="P12" s="118"/>
      <c r="Q12" s="118"/>
      <c r="R12" s="118"/>
      <c r="S12" s="118"/>
      <c r="T12" s="118"/>
    </row>
    <row r="13" spans="1:20" s="5" customFormat="1" ht="39.75" customHeight="1">
      <c r="A13" s="56" t="s">
        <v>19</v>
      </c>
      <c r="B13" s="57" t="s">
        <v>97</v>
      </c>
      <c r="C13" s="57" t="s">
        <v>98</v>
      </c>
      <c r="D13" s="57" t="s">
        <v>99</v>
      </c>
      <c r="E13" s="57" t="s">
        <v>39</v>
      </c>
      <c r="F13" s="57" t="s">
        <v>100</v>
      </c>
      <c r="G13" s="58" t="s">
        <v>101</v>
      </c>
      <c r="H13" s="59">
        <v>214195</v>
      </c>
      <c r="I13" s="60">
        <v>173294</v>
      </c>
      <c r="J13" s="36">
        <f t="shared" si="0"/>
        <v>387489</v>
      </c>
      <c r="K13" s="112">
        <f t="shared" si="1"/>
        <v>0.4472230179437352</v>
      </c>
      <c r="L13" s="57" t="s">
        <v>102</v>
      </c>
      <c r="M13" s="119"/>
      <c r="N13" s="119"/>
      <c r="O13" s="119"/>
      <c r="P13" s="119"/>
      <c r="Q13" s="119"/>
      <c r="R13" s="119"/>
      <c r="S13" s="119"/>
      <c r="T13" s="119"/>
    </row>
    <row r="14" spans="1:20" s="5" customFormat="1" ht="39.75" customHeight="1">
      <c r="A14" s="8" t="s">
        <v>31</v>
      </c>
      <c r="B14" s="95" t="s">
        <v>103</v>
      </c>
      <c r="C14" s="9" t="s">
        <v>80</v>
      </c>
      <c r="D14" s="9" t="s">
        <v>93</v>
      </c>
      <c r="E14" s="9" t="s">
        <v>88</v>
      </c>
      <c r="F14" s="9" t="s">
        <v>104</v>
      </c>
      <c r="G14" s="12" t="s">
        <v>105</v>
      </c>
      <c r="H14" s="15">
        <v>142238</v>
      </c>
      <c r="I14" s="17">
        <v>94908</v>
      </c>
      <c r="J14" s="18">
        <f t="shared" si="0"/>
        <v>237146</v>
      </c>
      <c r="K14" s="113">
        <f t="shared" si="1"/>
        <v>0.4002091538545875</v>
      </c>
      <c r="L14" s="92" t="s">
        <v>106</v>
      </c>
      <c r="M14" s="118"/>
      <c r="N14" s="118"/>
      <c r="O14" s="118"/>
      <c r="P14" s="118"/>
      <c r="Q14" s="118"/>
      <c r="R14" s="118"/>
      <c r="S14" s="118"/>
      <c r="T14" s="118"/>
    </row>
    <row r="15" spans="1:20" s="5" customFormat="1" ht="39.75" customHeight="1">
      <c r="A15" s="56" t="s">
        <v>32</v>
      </c>
      <c r="B15" s="57" t="s">
        <v>107</v>
      </c>
      <c r="C15" s="57" t="s">
        <v>108</v>
      </c>
      <c r="D15" s="57" t="s">
        <v>81</v>
      </c>
      <c r="E15" s="57" t="s">
        <v>46</v>
      </c>
      <c r="F15" s="57" t="s">
        <v>82</v>
      </c>
      <c r="G15" s="58" t="s">
        <v>83</v>
      </c>
      <c r="H15" s="96">
        <v>36114</v>
      </c>
      <c r="I15" s="97">
        <v>377312</v>
      </c>
      <c r="J15" s="98">
        <f t="shared" si="0"/>
        <v>413426</v>
      </c>
      <c r="K15" s="112">
        <f t="shared" si="1"/>
        <v>0.91264700333312365</v>
      </c>
      <c r="L15" s="57" t="s">
        <v>109</v>
      </c>
      <c r="M15" s="119"/>
      <c r="N15" s="119"/>
      <c r="O15" s="119"/>
      <c r="P15" s="119"/>
      <c r="Q15" s="119"/>
      <c r="R15" s="119"/>
      <c r="S15" s="119"/>
      <c r="T15" s="119"/>
    </row>
    <row r="16" spans="1:20" s="5" customFormat="1" ht="39.75" customHeight="1">
      <c r="A16" s="8" t="s">
        <v>20</v>
      </c>
      <c r="B16" s="10" t="s">
        <v>110</v>
      </c>
      <c r="C16" s="9" t="s">
        <v>111</v>
      </c>
      <c r="D16" s="9" t="s">
        <v>112</v>
      </c>
      <c r="E16" s="9" t="s">
        <v>39</v>
      </c>
      <c r="F16" s="9" t="s">
        <v>113</v>
      </c>
      <c r="G16" s="12" t="s">
        <v>114</v>
      </c>
      <c r="H16" s="99">
        <v>205257</v>
      </c>
      <c r="I16" s="100">
        <v>163180</v>
      </c>
      <c r="J16" s="101">
        <f t="shared" si="0"/>
        <v>368437</v>
      </c>
      <c r="K16" s="113">
        <f t="shared" si="1"/>
        <v>0.44289797170208206</v>
      </c>
      <c r="L16" s="13" t="s">
        <v>115</v>
      </c>
      <c r="M16" s="118"/>
      <c r="N16" s="118"/>
      <c r="O16" s="118"/>
      <c r="P16" s="118"/>
      <c r="Q16" s="118"/>
      <c r="R16" s="118"/>
      <c r="S16" s="118"/>
      <c r="T16" s="118"/>
    </row>
    <row r="17" spans="1:20" s="5" customFormat="1" ht="39.75" customHeight="1">
      <c r="A17" s="56" t="s">
        <v>21</v>
      </c>
      <c r="B17" s="57" t="s">
        <v>117</v>
      </c>
      <c r="C17" s="57" t="s">
        <v>51</v>
      </c>
      <c r="D17" s="57" t="s">
        <v>93</v>
      </c>
      <c r="E17" s="57" t="s">
        <v>39</v>
      </c>
      <c r="F17" s="57" t="s">
        <v>118</v>
      </c>
      <c r="G17" s="58" t="s">
        <v>119</v>
      </c>
      <c r="H17" s="96">
        <v>203775</v>
      </c>
      <c r="I17" s="97">
        <v>137072</v>
      </c>
      <c r="J17" s="98">
        <f t="shared" si="0"/>
        <v>340847</v>
      </c>
      <c r="K17" s="112">
        <f t="shared" si="1"/>
        <v>0.40215111178916052</v>
      </c>
      <c r="L17" s="57" t="s">
        <v>116</v>
      </c>
      <c r="M17" s="119"/>
      <c r="N17" s="119"/>
      <c r="O17" s="119"/>
      <c r="P17" s="119"/>
      <c r="Q17" s="119"/>
      <c r="R17" s="119"/>
      <c r="S17" s="119"/>
      <c r="T17" s="119"/>
    </row>
    <row r="18" spans="1:20" s="5" customFormat="1" ht="39.75" customHeight="1">
      <c r="A18" s="8" t="s">
        <v>33</v>
      </c>
      <c r="B18" s="95" t="s">
        <v>120</v>
      </c>
      <c r="C18" s="9" t="s">
        <v>108</v>
      </c>
      <c r="D18" s="9" t="s">
        <v>81</v>
      </c>
      <c r="E18" s="9" t="s">
        <v>46</v>
      </c>
      <c r="F18" s="9" t="s">
        <v>82</v>
      </c>
      <c r="G18" s="12" t="s">
        <v>83</v>
      </c>
      <c r="H18" s="99">
        <v>68592</v>
      </c>
      <c r="I18" s="100">
        <v>49749</v>
      </c>
      <c r="J18" s="101">
        <f t="shared" si="0"/>
        <v>118341</v>
      </c>
      <c r="K18" s="113">
        <f t="shared" si="1"/>
        <v>0.42038684817603367</v>
      </c>
      <c r="L18" s="92" t="s">
        <v>121</v>
      </c>
      <c r="M18" s="118"/>
      <c r="N18" s="118"/>
      <c r="O18" s="118"/>
      <c r="P18" s="118"/>
      <c r="Q18" s="118"/>
      <c r="R18" s="118"/>
      <c r="S18" s="118"/>
      <c r="T18" s="118"/>
    </row>
    <row r="19" spans="1:20" s="5" customFormat="1" ht="39.75" customHeight="1">
      <c r="A19" s="56" t="s">
        <v>34</v>
      </c>
      <c r="B19" s="57" t="s">
        <v>122</v>
      </c>
      <c r="C19" s="57" t="s">
        <v>111</v>
      </c>
      <c r="D19" s="57" t="s">
        <v>123</v>
      </c>
      <c r="E19" s="57" t="s">
        <v>39</v>
      </c>
      <c r="F19" s="57" t="s">
        <v>124</v>
      </c>
      <c r="G19" s="58" t="s">
        <v>125</v>
      </c>
      <c r="H19" s="96">
        <v>598000</v>
      </c>
      <c r="I19" s="97">
        <v>511700</v>
      </c>
      <c r="J19" s="98">
        <f t="shared" si="0"/>
        <v>1109700</v>
      </c>
      <c r="K19" s="112">
        <f t="shared" si="1"/>
        <v>0.46111561683337837</v>
      </c>
      <c r="L19" s="77" t="s">
        <v>126</v>
      </c>
      <c r="M19" s="119"/>
      <c r="N19" s="119"/>
      <c r="O19" s="119"/>
      <c r="P19" s="119"/>
      <c r="Q19" s="119"/>
      <c r="R19" s="119"/>
      <c r="S19" s="119"/>
      <c r="T19" s="119"/>
    </row>
    <row r="20" spans="1:20" s="5" customFormat="1" ht="43.5" customHeight="1">
      <c r="A20" s="8" t="s">
        <v>22</v>
      </c>
      <c r="B20" s="95" t="s">
        <v>127</v>
      </c>
      <c r="C20" s="9" t="s">
        <v>128</v>
      </c>
      <c r="D20" s="9" t="s">
        <v>129</v>
      </c>
      <c r="E20" s="9" t="s">
        <v>39</v>
      </c>
      <c r="F20" s="9" t="s">
        <v>130</v>
      </c>
      <c r="G20" s="12" t="s">
        <v>131</v>
      </c>
      <c r="H20" s="99">
        <v>145000</v>
      </c>
      <c r="I20" s="100">
        <v>101500</v>
      </c>
      <c r="J20" s="101">
        <f t="shared" si="0"/>
        <v>246500</v>
      </c>
      <c r="K20" s="113">
        <f t="shared" si="1"/>
        <v>0.41176470588235292</v>
      </c>
      <c r="L20" s="92" t="s">
        <v>132</v>
      </c>
      <c r="M20" s="118"/>
      <c r="N20" s="118"/>
      <c r="O20" s="118"/>
      <c r="P20" s="118"/>
      <c r="Q20" s="118"/>
      <c r="R20" s="118"/>
      <c r="S20" s="118"/>
      <c r="T20" s="118"/>
    </row>
    <row r="21" spans="1:20" s="5" customFormat="1" ht="39.75" customHeight="1">
      <c r="A21" s="56" t="s">
        <v>23</v>
      </c>
      <c r="B21" s="102" t="s">
        <v>133</v>
      </c>
      <c r="C21" s="57" t="s">
        <v>111</v>
      </c>
      <c r="D21" s="57" t="s">
        <v>134</v>
      </c>
      <c r="E21" s="57" t="s">
        <v>46</v>
      </c>
      <c r="F21" s="57" t="s">
        <v>135</v>
      </c>
      <c r="G21" s="58" t="s">
        <v>136</v>
      </c>
      <c r="H21" s="96">
        <v>200000</v>
      </c>
      <c r="I21" s="97">
        <v>182250</v>
      </c>
      <c r="J21" s="98">
        <f t="shared" si="0"/>
        <v>382250</v>
      </c>
      <c r="K21" s="112">
        <f t="shared" si="1"/>
        <v>0.47678221059516024</v>
      </c>
      <c r="L21" s="57" t="s">
        <v>137</v>
      </c>
      <c r="M21" s="119"/>
      <c r="N21" s="119"/>
      <c r="O21" s="119"/>
      <c r="P21" s="119"/>
      <c r="Q21" s="119"/>
      <c r="R21" s="119"/>
      <c r="S21" s="119"/>
      <c r="T21" s="119"/>
    </row>
    <row r="22" spans="1:20" ht="29.25" customHeight="1" thickBot="1">
      <c r="A22" s="42"/>
      <c r="B22" s="1"/>
      <c r="C22" s="1"/>
      <c r="D22" s="1"/>
      <c r="E22" s="1"/>
      <c r="F22" s="1"/>
      <c r="G22" s="1"/>
      <c r="H22" s="43"/>
      <c r="I22" s="44"/>
      <c r="J22" s="45"/>
      <c r="K22" s="45"/>
      <c r="L22" s="1"/>
    </row>
    <row r="23" spans="1:20" ht="29.25" customHeight="1">
      <c r="A23" s="78"/>
      <c r="B23" s="4"/>
      <c r="C23" s="73"/>
      <c r="D23" s="73"/>
      <c r="E23" s="73"/>
      <c r="F23" s="82"/>
      <c r="G23" s="84" t="s">
        <v>35</v>
      </c>
      <c r="H23" s="85" t="s">
        <v>24</v>
      </c>
      <c r="I23" s="49" t="s">
        <v>25</v>
      </c>
      <c r="J23" s="86" t="s">
        <v>11</v>
      </c>
      <c r="K23" s="107"/>
      <c r="L23" s="73"/>
    </row>
    <row r="24" spans="1:20" ht="29.25" customHeight="1">
      <c r="A24" s="78"/>
      <c r="B24" s="4"/>
      <c r="C24" s="73"/>
      <c r="D24" s="73"/>
      <c r="E24" s="73"/>
      <c r="F24" s="83"/>
      <c r="G24" s="103">
        <v>20</v>
      </c>
      <c r="H24" s="104">
        <f>SUM(H2:H21)</f>
        <v>3188911</v>
      </c>
      <c r="I24" s="104">
        <f>SUM(I2:I21)</f>
        <v>3746113</v>
      </c>
      <c r="J24" s="105">
        <f>SUM(J2:J21)</f>
        <v>6935024</v>
      </c>
      <c r="K24" s="108"/>
      <c r="L24" s="73"/>
    </row>
    <row r="25" spans="1:20" ht="29.25" customHeight="1" thickBot="1">
      <c r="A25" s="78"/>
      <c r="B25" s="4"/>
      <c r="C25" s="73"/>
      <c r="D25" s="73"/>
      <c r="E25" s="73"/>
      <c r="G25" s="120" t="s">
        <v>15</v>
      </c>
      <c r="H25" s="121"/>
      <c r="I25" s="121"/>
      <c r="J25" s="106">
        <v>1300000</v>
      </c>
      <c r="K25" s="109"/>
      <c r="L25" s="73"/>
    </row>
    <row r="26" spans="1:20" ht="18.75" customHeight="1">
      <c r="F26" s="46"/>
      <c r="G26" s="46"/>
      <c r="H26" s="47"/>
      <c r="I26" s="48"/>
      <c r="J26" s="81"/>
      <c r="K26" s="110"/>
    </row>
    <row r="27" spans="1:20" ht="29.25" customHeight="1">
      <c r="H27" s="80"/>
    </row>
  </sheetData>
  <mergeCells count="1">
    <mergeCell ref="G25:I25"/>
  </mergeCells>
  <printOptions horizontalCentered="1" verticalCentered="1" gridLines="1"/>
  <pageMargins left="0.18" right="0.17" top="0.39" bottom="0.4" header="0.18" footer="0.18"/>
  <pageSetup scale="95" pageOrder="overThenDown" orientation="landscape" r:id="rId1"/>
  <headerFooter>
    <oddHeader>&amp;A</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All Proposals 2012</vt:lpstr>
      <vt:lpstr>'All Proposals 2012'!Print_Area</vt:lpstr>
      <vt:lpstr>'All Proposals 2012'!Print_Titles</vt:lpstr>
    </vt:vector>
  </TitlesOfParts>
  <Company>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markham</dc:creator>
  <cp:lastModifiedBy>kimberly_nimmer</cp:lastModifiedBy>
  <cp:lastPrinted>2011-05-03T14:17:28Z</cp:lastPrinted>
  <dcterms:created xsi:type="dcterms:W3CDTF">2011-04-27T11:35:25Z</dcterms:created>
  <dcterms:modified xsi:type="dcterms:W3CDTF">2012-06-04T18:21:36Z</dcterms:modified>
</cp:coreProperties>
</file>