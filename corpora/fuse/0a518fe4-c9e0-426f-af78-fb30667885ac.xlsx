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4385" yWindow="-15" windowWidth="14430" windowHeight="12990"/>
  </bookViews>
  <sheets>
    <sheet name="Test Spec" sheetId="33" r:id="rId1"/>
    <sheet name="DUT Info" sheetId="25" r:id="rId2"/>
    <sheet name="Lane 1" sheetId="19" r:id="rId3"/>
    <sheet name="Lane 2" sheetId="34" r:id="rId4"/>
    <sheet name="Lane 3" sheetId="35" r:id="rId5"/>
    <sheet name="Lane 4" sheetId="36" r:id="rId6"/>
    <sheet name="Summary" sheetId="2" r:id="rId7"/>
    <sheet name="Example Data" sheetId="37" r:id="rId8"/>
  </sheets>
  <definedNames>
    <definedName name="_xlnm._FilterDatabase" localSheetId="0" hidden="1">'Test Spec'!$A$2:$A$46</definedName>
  </definedNames>
  <calcPr calcId="145621"/>
</workbook>
</file>

<file path=xl/calcChain.xml><?xml version="1.0" encoding="utf-8"?>
<calcChain xmlns="http://schemas.openxmlformats.org/spreadsheetml/2006/main">
  <c r="D58" i="2" l="1"/>
  <c r="D57" i="2"/>
  <c r="D54" i="2"/>
  <c r="D53" i="2"/>
  <c r="N58" i="2"/>
  <c r="N57" i="2"/>
  <c r="N54" i="2"/>
  <c r="N53" i="2"/>
  <c r="N14" i="2"/>
  <c r="N8" i="2"/>
  <c r="N7" i="2"/>
  <c r="N6" i="2"/>
  <c r="N5" i="2"/>
  <c r="N4" i="2"/>
  <c r="N3" i="2"/>
  <c r="N51" i="2"/>
  <c r="N50" i="2"/>
  <c r="N49" i="2"/>
  <c r="N48" i="2"/>
  <c r="N47" i="2"/>
  <c r="N46" i="2"/>
  <c r="D51" i="2"/>
  <c r="D50" i="2"/>
  <c r="D49" i="2"/>
  <c r="D48" i="2"/>
  <c r="D47" i="2"/>
  <c r="D46" i="2"/>
  <c r="D11" i="2"/>
  <c r="D9" i="2"/>
  <c r="E85" i="37"/>
  <c r="B74" i="37"/>
  <c r="B77" i="37" s="1"/>
  <c r="B78" i="37" s="1"/>
  <c r="B79" i="37" s="1"/>
  <c r="D24" i="37" s="1"/>
  <c r="F24" i="37" s="1"/>
  <c r="G71" i="37"/>
  <c r="G70" i="37"/>
  <c r="G69" i="37"/>
  <c r="G68" i="37"/>
  <c r="I63" i="37"/>
  <c r="F63" i="37"/>
  <c r="D63" i="37"/>
  <c r="C63" i="37"/>
  <c r="I62" i="37"/>
  <c r="D62" i="37"/>
  <c r="C62" i="37"/>
  <c r="F62" i="37" s="1"/>
  <c r="I61" i="37"/>
  <c r="F61" i="37"/>
  <c r="D61" i="37"/>
  <c r="C61" i="37"/>
  <c r="D56" i="37"/>
  <c r="B56" i="37"/>
  <c r="I56" i="37" s="1"/>
  <c r="I55" i="37"/>
  <c r="D55" i="37"/>
  <c r="F55" i="37" s="1"/>
  <c r="B55" i="37"/>
  <c r="D54" i="37"/>
  <c r="C56" i="37" s="1"/>
  <c r="F56" i="37" s="1"/>
  <c r="C54" i="37"/>
  <c r="B54" i="37"/>
  <c r="I54" i="37" s="1"/>
  <c r="I53" i="37"/>
  <c r="D53" i="37"/>
  <c r="C55" i="37" s="1"/>
  <c r="C53" i="37"/>
  <c r="B53" i="37"/>
  <c r="I52" i="37"/>
  <c r="F52" i="37"/>
  <c r="D52" i="37"/>
  <c r="C52" i="37"/>
  <c r="B52" i="37"/>
  <c r="D51" i="37"/>
  <c r="C51" i="37"/>
  <c r="F51" i="37" s="1"/>
  <c r="B51" i="37"/>
  <c r="I51" i="37" s="1"/>
  <c r="F50" i="37"/>
  <c r="D50" i="37"/>
  <c r="C50" i="37"/>
  <c r="B50" i="37"/>
  <c r="I50" i="37" s="1"/>
  <c r="D49" i="37"/>
  <c r="F49" i="37" s="1"/>
  <c r="C49" i="37"/>
  <c r="B49" i="37"/>
  <c r="I49" i="37" s="1"/>
  <c r="D48" i="37"/>
  <c r="C48" i="37"/>
  <c r="F48" i="37" s="1"/>
  <c r="B48" i="37"/>
  <c r="I48" i="37" s="1"/>
  <c r="I47" i="37"/>
  <c r="D47" i="37"/>
  <c r="C47" i="37"/>
  <c r="F47" i="37" s="1"/>
  <c r="B47" i="37"/>
  <c r="I46" i="37"/>
  <c r="D46" i="37"/>
  <c r="C46" i="37"/>
  <c r="F46" i="37" s="1"/>
  <c r="B46" i="37"/>
  <c r="I45" i="37"/>
  <c r="D45" i="37"/>
  <c r="F45" i="37" s="1"/>
  <c r="C45" i="37"/>
  <c r="B45" i="37"/>
  <c r="I44" i="37"/>
  <c r="F44" i="37"/>
  <c r="D44" i="37"/>
  <c r="C44" i="37"/>
  <c r="B44" i="37"/>
  <c r="D43" i="37"/>
  <c r="C43" i="37"/>
  <c r="F43" i="37" s="1"/>
  <c r="B43" i="37"/>
  <c r="I43" i="37" s="1"/>
  <c r="F42" i="37"/>
  <c r="D42" i="37"/>
  <c r="C42" i="37"/>
  <c r="B42" i="37"/>
  <c r="I42" i="37" s="1"/>
  <c r="D41" i="37"/>
  <c r="F41" i="37" s="1"/>
  <c r="C41" i="37"/>
  <c r="B41" i="37"/>
  <c r="I41" i="37" s="1"/>
  <c r="D40" i="37"/>
  <c r="C40" i="37"/>
  <c r="F40" i="37" s="1"/>
  <c r="B40" i="37"/>
  <c r="I40" i="37" s="1"/>
  <c r="I39" i="37"/>
  <c r="D39" i="37"/>
  <c r="F39" i="37" s="1"/>
  <c r="C39" i="37"/>
  <c r="B39" i="37"/>
  <c r="I38" i="37"/>
  <c r="D38" i="37"/>
  <c r="F38" i="37" s="1"/>
  <c r="C38" i="37"/>
  <c r="B38" i="37"/>
  <c r="I37" i="37"/>
  <c r="D37" i="37"/>
  <c r="F37" i="37" s="1"/>
  <c r="C37" i="37"/>
  <c r="B37" i="37"/>
  <c r="I36" i="37"/>
  <c r="F36" i="37"/>
  <c r="D36" i="37"/>
  <c r="C36" i="37"/>
  <c r="B36" i="37"/>
  <c r="D35" i="37"/>
  <c r="F35" i="37" s="1"/>
  <c r="C35" i="37"/>
  <c r="B35" i="37"/>
  <c r="I35" i="37" s="1"/>
  <c r="F34" i="37"/>
  <c r="D34" i="37"/>
  <c r="C34" i="37"/>
  <c r="B34" i="37"/>
  <c r="I34" i="37" s="1"/>
  <c r="K33" i="37"/>
  <c r="D33" i="37" s="1"/>
  <c r="F33" i="37" s="1"/>
  <c r="I33" i="37"/>
  <c r="C33" i="37"/>
  <c r="B33" i="37"/>
  <c r="K32" i="37"/>
  <c r="I32" i="37"/>
  <c r="D32" i="37"/>
  <c r="F32" i="37" s="1"/>
  <c r="C32" i="37"/>
  <c r="B32" i="37"/>
  <c r="K31" i="37"/>
  <c r="D31" i="37" s="1"/>
  <c r="F31" i="37" s="1"/>
  <c r="C31" i="37"/>
  <c r="B31" i="37"/>
  <c r="I31" i="37" s="1"/>
  <c r="K30" i="37"/>
  <c r="D30" i="37" s="1"/>
  <c r="F30" i="37" s="1"/>
  <c r="C30" i="37"/>
  <c r="B30" i="37"/>
  <c r="I30" i="37" s="1"/>
  <c r="K29" i="37"/>
  <c r="D29" i="37" s="1"/>
  <c r="F29" i="37" s="1"/>
  <c r="I29" i="37"/>
  <c r="C29" i="37"/>
  <c r="B29" i="37"/>
  <c r="D28" i="37"/>
  <c r="F28" i="37" s="1"/>
  <c r="C28" i="37"/>
  <c r="B28" i="37"/>
  <c r="I28" i="37" s="1"/>
  <c r="F27" i="37"/>
  <c r="D27" i="37"/>
  <c r="C27" i="37"/>
  <c r="B27" i="37"/>
  <c r="I27" i="37" s="1"/>
  <c r="D26" i="37"/>
  <c r="F26" i="37" s="1"/>
  <c r="C26" i="37"/>
  <c r="B26" i="37"/>
  <c r="I26" i="37" s="1"/>
  <c r="F25" i="37"/>
  <c r="D25" i="37"/>
  <c r="C25" i="37"/>
  <c r="B25" i="37"/>
  <c r="I25" i="37" s="1"/>
  <c r="R34" i="37"/>
  <c r="Q31" i="37"/>
  <c r="R30" i="37"/>
  <c r="R29" i="37"/>
  <c r="Q27" i="37"/>
  <c r="R26" i="37"/>
  <c r="R25" i="37"/>
  <c r="Q24" i="37" a="1"/>
  <c r="Q34" i="37" s="1"/>
  <c r="I24" i="37"/>
  <c r="C24" i="37"/>
  <c r="B24" i="37"/>
  <c r="K23" i="37"/>
  <c r="D23" i="37" s="1"/>
  <c r="F23" i="37" s="1"/>
  <c r="C23" i="37"/>
  <c r="B23" i="37"/>
  <c r="I23" i="37" s="1"/>
  <c r="K22" i="37"/>
  <c r="D22" i="37" s="1"/>
  <c r="F22" i="37" s="1"/>
  <c r="C22" i="37"/>
  <c r="B22" i="37"/>
  <c r="I22" i="37" s="1"/>
  <c r="K21" i="37"/>
  <c r="D21" i="37" s="1"/>
  <c r="F21" i="37" s="1"/>
  <c r="C21" i="37"/>
  <c r="B21" i="37"/>
  <c r="I21" i="37" s="1"/>
  <c r="I20" i="37"/>
  <c r="C20" i="37"/>
  <c r="B20" i="37"/>
  <c r="C19" i="37"/>
  <c r="B19" i="37"/>
  <c r="I19" i="37" s="1"/>
  <c r="C18" i="37"/>
  <c r="B18" i="37"/>
  <c r="I18" i="37" s="1"/>
  <c r="K17" i="37"/>
  <c r="D17" i="37" s="1"/>
  <c r="C17" i="37"/>
  <c r="B17" i="37"/>
  <c r="I17" i="37" s="1"/>
  <c r="K16" i="37"/>
  <c r="D16" i="37" s="1"/>
  <c r="I16" i="37"/>
  <c r="C16" i="37"/>
  <c r="B16" i="37"/>
  <c r="K15" i="37"/>
  <c r="C15" i="37"/>
  <c r="B15" i="37"/>
  <c r="I15" i="37" s="1"/>
  <c r="K14" i="37"/>
  <c r="D14" i="37" s="1"/>
  <c r="I14" i="37"/>
  <c r="C14" i="37"/>
  <c r="B14" i="37"/>
  <c r="K13" i="37"/>
  <c r="C13" i="37"/>
  <c r="B13" i="37"/>
  <c r="I13" i="37" s="1"/>
  <c r="K12" i="37"/>
  <c r="D12" i="37" s="1"/>
  <c r="I12" i="37"/>
  <c r="C12" i="37"/>
  <c r="B12" i="37"/>
  <c r="K11" i="37"/>
  <c r="D11" i="37" s="1"/>
  <c r="F11" i="37" s="1"/>
  <c r="I11" i="37"/>
  <c r="C11" i="37"/>
  <c r="B11" i="37"/>
  <c r="K10" i="37"/>
  <c r="D10" i="37"/>
  <c r="F10" i="37" s="1"/>
  <c r="C10" i="37"/>
  <c r="B10" i="37"/>
  <c r="I10" i="37" s="1"/>
  <c r="K9" i="37"/>
  <c r="D9" i="37" s="1"/>
  <c r="F9" i="37" s="1"/>
  <c r="C9" i="37"/>
  <c r="B9" i="37"/>
  <c r="I9" i="37" s="1"/>
  <c r="K8" i="37"/>
  <c r="D8" i="37" s="1"/>
  <c r="F8" i="37" s="1"/>
  <c r="C8" i="37"/>
  <c r="B8" i="37"/>
  <c r="I8" i="37" s="1"/>
  <c r="K7" i="37"/>
  <c r="D7" i="37" s="1"/>
  <c r="F7" i="37" s="1"/>
  <c r="I7" i="37"/>
  <c r="C7" i="37"/>
  <c r="B7" i="37"/>
  <c r="K6" i="37"/>
  <c r="D6" i="37"/>
  <c r="F6" i="37" s="1"/>
  <c r="C6" i="37"/>
  <c r="B6" i="37"/>
  <c r="I6" i="37" s="1"/>
  <c r="I5" i="37"/>
  <c r="D5" i="37"/>
  <c r="B5" i="37"/>
  <c r="I4" i="37"/>
  <c r="D4" i="37"/>
  <c r="B4" i="37"/>
  <c r="D3" i="37"/>
  <c r="C3" i="37"/>
  <c r="B3" i="37"/>
  <c r="I3" i="37" s="1"/>
  <c r="K19" i="37" l="1"/>
  <c r="D19" i="37" s="1"/>
  <c r="F19" i="37"/>
  <c r="F3" i="37"/>
  <c r="C4" i="37"/>
  <c r="F4" i="37" s="1"/>
  <c r="D13" i="37"/>
  <c r="K18" i="37"/>
  <c r="D18" i="37" s="1"/>
  <c r="R27" i="37"/>
  <c r="R31" i="37"/>
  <c r="F54" i="37"/>
  <c r="C5" i="37"/>
  <c r="F5" i="37" s="1"/>
  <c r="Q24" i="37"/>
  <c r="Q28" i="37"/>
  <c r="Q32" i="37"/>
  <c r="K20" i="37"/>
  <c r="D20" i="37" s="1"/>
  <c r="F20" i="37" s="1"/>
  <c r="D15" i="37"/>
  <c r="F18" i="37" s="1"/>
  <c r="R24" i="37"/>
  <c r="R28" i="37"/>
  <c r="R32" i="37"/>
  <c r="Q25" i="37"/>
  <c r="Q29" i="37"/>
  <c r="Q33" i="37"/>
  <c r="F53" i="37"/>
  <c r="R33" i="37"/>
  <c r="Q26" i="37"/>
  <c r="Q30" i="37"/>
  <c r="F25" i="36"/>
  <c r="F25" i="35"/>
  <c r="F25" i="34"/>
  <c r="Q24" i="36" l="1" a="1"/>
  <c r="Q34" i="36" s="1"/>
  <c r="Q24" i="35" a="1"/>
  <c r="R32" i="35" s="1"/>
  <c r="Q24" i="34" a="1"/>
  <c r="Q24" i="34" s="1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B5" i="36"/>
  <c r="B4" i="36"/>
  <c r="B3" i="36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4" i="35"/>
  <c r="B3" i="35"/>
  <c r="R27" i="36" l="1"/>
  <c r="R31" i="36"/>
  <c r="R30" i="36"/>
  <c r="Q31" i="36"/>
  <c r="Q24" i="36"/>
  <c r="Q28" i="36"/>
  <c r="Q32" i="36"/>
  <c r="R24" i="36"/>
  <c r="R28" i="36"/>
  <c r="R32" i="36"/>
  <c r="R26" i="36"/>
  <c r="R34" i="36"/>
  <c r="Q27" i="36"/>
  <c r="Q25" i="36"/>
  <c r="Q29" i="36"/>
  <c r="Q33" i="36"/>
  <c r="R25" i="36"/>
  <c r="R29" i="36"/>
  <c r="R33" i="36"/>
  <c r="Q26" i="36"/>
  <c r="Q30" i="36"/>
  <c r="R27" i="35"/>
  <c r="R31" i="35"/>
  <c r="Q29" i="35"/>
  <c r="R29" i="35"/>
  <c r="Q34" i="35"/>
  <c r="R30" i="35"/>
  <c r="Q27" i="35"/>
  <c r="Q24" i="35"/>
  <c r="Q28" i="35"/>
  <c r="Q32" i="35"/>
  <c r="Q25" i="35"/>
  <c r="Q33" i="35"/>
  <c r="R25" i="35"/>
  <c r="R33" i="35"/>
  <c r="Q26" i="35"/>
  <c r="Q30" i="35"/>
  <c r="R26" i="35"/>
  <c r="R34" i="35"/>
  <c r="Q31" i="35"/>
  <c r="R24" i="35"/>
  <c r="R28" i="35"/>
  <c r="R27" i="34"/>
  <c r="R34" i="34"/>
  <c r="R30" i="34"/>
  <c r="R26" i="34"/>
  <c r="R31" i="34"/>
  <c r="Q27" i="34"/>
  <c r="Q34" i="34"/>
  <c r="Q30" i="34"/>
  <c r="Q26" i="34"/>
  <c r="Q31" i="34"/>
  <c r="R33" i="34"/>
  <c r="R29" i="34"/>
  <c r="R25" i="34"/>
  <c r="Q33" i="34"/>
  <c r="Q29" i="34"/>
  <c r="Q25" i="34"/>
  <c r="R32" i="34"/>
  <c r="R28" i="34"/>
  <c r="R24" i="34"/>
  <c r="Q32" i="34"/>
  <c r="Q28" i="34"/>
  <c r="C54" i="34" l="1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L19" i="2" s="1"/>
  <c r="C33" i="34"/>
  <c r="C32" i="34"/>
  <c r="C31" i="34"/>
  <c r="C30" i="34"/>
  <c r="C29" i="34"/>
  <c r="L18" i="2" s="1"/>
  <c r="C28" i="34"/>
  <c r="L17" i="2" s="1"/>
  <c r="C27" i="34"/>
  <c r="L16" i="2" s="1"/>
  <c r="C26" i="34"/>
  <c r="L15" i="2" s="1"/>
  <c r="C25" i="34"/>
  <c r="C24" i="34"/>
  <c r="L14" i="2" s="1"/>
  <c r="C23" i="34"/>
  <c r="C22" i="34"/>
  <c r="L13" i="2" s="1"/>
  <c r="C21" i="34"/>
  <c r="L12" i="2" s="1"/>
  <c r="C20" i="34"/>
  <c r="C19" i="34"/>
  <c r="C18" i="34"/>
  <c r="L11" i="2" s="1"/>
  <c r="C17" i="34"/>
  <c r="C16" i="34"/>
  <c r="C15" i="34"/>
  <c r="C14" i="34"/>
  <c r="C13" i="34"/>
  <c r="C12" i="34"/>
  <c r="C11" i="34"/>
  <c r="C10" i="34"/>
  <c r="C9" i="34"/>
  <c r="L10" i="2" s="1"/>
  <c r="C8" i="34"/>
  <c r="C7" i="34"/>
  <c r="C6" i="34"/>
  <c r="L9" i="2" s="1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B62" i="2" s="1"/>
  <c r="C33" i="35"/>
  <c r="C32" i="35"/>
  <c r="C31" i="35"/>
  <c r="C30" i="35"/>
  <c r="C29" i="35"/>
  <c r="B61" i="2" s="1"/>
  <c r="C28" i="35"/>
  <c r="B60" i="2" s="1"/>
  <c r="C27" i="35"/>
  <c r="B59" i="2" s="1"/>
  <c r="C26" i="35"/>
  <c r="B58" i="2" s="1"/>
  <c r="C25" i="35"/>
  <c r="C24" i="35"/>
  <c r="B57" i="2" s="1"/>
  <c r="C23" i="35"/>
  <c r="C22" i="35"/>
  <c r="B56" i="2" s="1"/>
  <c r="C21" i="35"/>
  <c r="B55" i="2" s="1"/>
  <c r="C20" i="35"/>
  <c r="C19" i="35"/>
  <c r="C18" i="35"/>
  <c r="B54" i="2" s="1"/>
  <c r="C17" i="35"/>
  <c r="C16" i="35"/>
  <c r="C15" i="35"/>
  <c r="C14" i="35"/>
  <c r="C13" i="35"/>
  <c r="C12" i="35"/>
  <c r="C11" i="35"/>
  <c r="C10" i="35"/>
  <c r="C9" i="35"/>
  <c r="B53" i="2" s="1"/>
  <c r="C8" i="35"/>
  <c r="C7" i="35"/>
  <c r="C6" i="35"/>
  <c r="B52" i="2" s="1"/>
  <c r="C54" i="36"/>
  <c r="C53" i="36"/>
  <c r="C52" i="36"/>
  <c r="C51" i="36"/>
  <c r="C50" i="36"/>
  <c r="C49" i="36"/>
  <c r="C48" i="36"/>
  <c r="C47" i="36"/>
  <c r="C46" i="36"/>
  <c r="C45" i="36"/>
  <c r="C44" i="36"/>
  <c r="C43" i="36"/>
  <c r="C42" i="36"/>
  <c r="C41" i="36"/>
  <c r="C40" i="36"/>
  <c r="C39" i="36"/>
  <c r="C38" i="36"/>
  <c r="C37" i="36"/>
  <c r="C36" i="36"/>
  <c r="C35" i="36"/>
  <c r="C24" i="36"/>
  <c r="L57" i="2" s="1"/>
  <c r="C23" i="36"/>
  <c r="C22" i="36"/>
  <c r="L56" i="2" s="1"/>
  <c r="C21" i="36"/>
  <c r="L55" i="2" s="1"/>
  <c r="C34" i="36"/>
  <c r="L62" i="2" s="1"/>
  <c r="C33" i="36"/>
  <c r="C32" i="36"/>
  <c r="C31" i="36"/>
  <c r="C30" i="36"/>
  <c r="C29" i="36"/>
  <c r="L61" i="2" s="1"/>
  <c r="C28" i="36"/>
  <c r="L60" i="2" s="1"/>
  <c r="C27" i="36"/>
  <c r="L59" i="2" s="1"/>
  <c r="C26" i="36"/>
  <c r="L58" i="2" s="1"/>
  <c r="C25" i="36"/>
  <c r="C20" i="36"/>
  <c r="C19" i="36"/>
  <c r="C18" i="36"/>
  <c r="L54" i="2" s="1"/>
  <c r="C17" i="36"/>
  <c r="C16" i="36"/>
  <c r="C15" i="36"/>
  <c r="C14" i="36"/>
  <c r="C13" i="36"/>
  <c r="C12" i="36"/>
  <c r="C11" i="36"/>
  <c r="C10" i="36"/>
  <c r="C9" i="36"/>
  <c r="L53" i="2" s="1"/>
  <c r="C8" i="36"/>
  <c r="C7" i="36"/>
  <c r="C6" i="36"/>
  <c r="L52" i="2" s="1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A17" i="2"/>
  <c r="A16" i="2"/>
  <c r="A15" i="2"/>
  <c r="A19" i="2"/>
  <c r="A18" i="2"/>
  <c r="A14" i="2"/>
  <c r="A13" i="2"/>
  <c r="A12" i="2"/>
  <c r="A11" i="2"/>
  <c r="A10" i="2"/>
  <c r="A9" i="2"/>
  <c r="A8" i="2"/>
  <c r="A7" i="2"/>
  <c r="A6" i="2"/>
  <c r="A5" i="2"/>
  <c r="A4" i="2"/>
  <c r="A3" i="2"/>
  <c r="B9" i="2"/>
  <c r="B19" i="2"/>
  <c r="B18" i="2"/>
  <c r="B17" i="2"/>
  <c r="B16" i="2"/>
  <c r="B15" i="2"/>
  <c r="B14" i="2"/>
  <c r="B13" i="2"/>
  <c r="B12" i="2"/>
  <c r="B11" i="2"/>
  <c r="B10" i="2"/>
  <c r="G71" i="35" l="1"/>
  <c r="G70" i="35"/>
  <c r="G69" i="35"/>
  <c r="G68" i="35"/>
  <c r="G71" i="36"/>
  <c r="G70" i="36"/>
  <c r="G69" i="36"/>
  <c r="G68" i="36"/>
  <c r="G71" i="34"/>
  <c r="G70" i="34"/>
  <c r="G69" i="34"/>
  <c r="G68" i="34"/>
  <c r="E85" i="36"/>
  <c r="E85" i="34"/>
  <c r="E85" i="19"/>
  <c r="G71" i="19"/>
  <c r="G70" i="19"/>
  <c r="G69" i="19"/>
  <c r="G68" i="19"/>
  <c r="K70" i="35"/>
  <c r="K69" i="35"/>
  <c r="K68" i="35"/>
  <c r="K67" i="35"/>
  <c r="I56" i="36" l="1"/>
  <c r="D56" i="36"/>
  <c r="I55" i="36"/>
  <c r="D55" i="36"/>
  <c r="I54" i="36"/>
  <c r="D54" i="36"/>
  <c r="I53" i="36"/>
  <c r="D53" i="36"/>
  <c r="F53" i="36" s="1"/>
  <c r="I52" i="36"/>
  <c r="D52" i="36"/>
  <c r="F52" i="36" s="1"/>
  <c r="I51" i="36"/>
  <c r="D51" i="36"/>
  <c r="F51" i="36" s="1"/>
  <c r="I50" i="36"/>
  <c r="D50" i="36"/>
  <c r="F50" i="36" s="1"/>
  <c r="I49" i="36"/>
  <c r="D49" i="36"/>
  <c r="F49" i="36" s="1"/>
  <c r="I48" i="36"/>
  <c r="D48" i="36"/>
  <c r="F48" i="36" s="1"/>
  <c r="I47" i="36"/>
  <c r="D47" i="36"/>
  <c r="F47" i="36" s="1"/>
  <c r="I46" i="36"/>
  <c r="D46" i="36"/>
  <c r="F46" i="36" s="1"/>
  <c r="I45" i="36"/>
  <c r="D45" i="36"/>
  <c r="F45" i="36" s="1"/>
  <c r="I44" i="36"/>
  <c r="D44" i="36"/>
  <c r="F44" i="36" s="1"/>
  <c r="I43" i="36"/>
  <c r="D43" i="36"/>
  <c r="F43" i="36" s="1"/>
  <c r="I42" i="36"/>
  <c r="D42" i="36"/>
  <c r="F42" i="36" s="1"/>
  <c r="I41" i="36"/>
  <c r="D41" i="36"/>
  <c r="F41" i="36" s="1"/>
  <c r="I40" i="36"/>
  <c r="D40" i="36"/>
  <c r="F40" i="36" s="1"/>
  <c r="I39" i="36"/>
  <c r="D39" i="36"/>
  <c r="F39" i="36" s="1"/>
  <c r="I38" i="36"/>
  <c r="D38" i="36"/>
  <c r="F38" i="36" s="1"/>
  <c r="I37" i="36"/>
  <c r="D37" i="36"/>
  <c r="F37" i="36" s="1"/>
  <c r="I36" i="36"/>
  <c r="D36" i="36"/>
  <c r="F36" i="36" s="1"/>
  <c r="I35" i="36"/>
  <c r="D35" i="36"/>
  <c r="F35" i="36" s="1"/>
  <c r="K33" i="36"/>
  <c r="D33" i="36" s="1"/>
  <c r="F33" i="36" s="1"/>
  <c r="I33" i="36"/>
  <c r="K32" i="36"/>
  <c r="D32" i="36" s="1"/>
  <c r="F32" i="36" s="1"/>
  <c r="I32" i="36"/>
  <c r="K31" i="36"/>
  <c r="D31" i="36" s="1"/>
  <c r="F31" i="36" s="1"/>
  <c r="I31" i="36"/>
  <c r="K30" i="36"/>
  <c r="D30" i="36" s="1"/>
  <c r="F30" i="36" s="1"/>
  <c r="I30" i="36"/>
  <c r="I20" i="36"/>
  <c r="I19" i="36"/>
  <c r="K17" i="36"/>
  <c r="D17" i="36" s="1"/>
  <c r="I17" i="36"/>
  <c r="K16" i="36"/>
  <c r="D16" i="36" s="1"/>
  <c r="I16" i="36"/>
  <c r="K14" i="36"/>
  <c r="D14" i="36" s="1"/>
  <c r="I14" i="36"/>
  <c r="K13" i="36"/>
  <c r="D13" i="36" s="1"/>
  <c r="I13" i="36"/>
  <c r="K11" i="36"/>
  <c r="D11" i="36" s="1"/>
  <c r="F11" i="36" s="1"/>
  <c r="I11" i="36"/>
  <c r="K10" i="36"/>
  <c r="D10" i="36" s="1"/>
  <c r="F10" i="36" s="1"/>
  <c r="I10" i="36"/>
  <c r="K8" i="36"/>
  <c r="D8" i="36" s="1"/>
  <c r="F8" i="36" s="1"/>
  <c r="I8" i="36"/>
  <c r="K7" i="36"/>
  <c r="D7" i="36" s="1"/>
  <c r="F7" i="36" s="1"/>
  <c r="I7" i="36"/>
  <c r="I56" i="34"/>
  <c r="D56" i="34"/>
  <c r="I55" i="34"/>
  <c r="D55" i="34"/>
  <c r="I54" i="34"/>
  <c r="D54" i="34"/>
  <c r="I53" i="34"/>
  <c r="D53" i="34"/>
  <c r="C55" i="34" s="1"/>
  <c r="I52" i="34"/>
  <c r="D52" i="34"/>
  <c r="F52" i="34" s="1"/>
  <c r="I51" i="34"/>
  <c r="D51" i="34"/>
  <c r="F51" i="34" s="1"/>
  <c r="I50" i="34"/>
  <c r="D50" i="34"/>
  <c r="F50" i="34" s="1"/>
  <c r="I49" i="34"/>
  <c r="D49" i="34"/>
  <c r="F49" i="34" s="1"/>
  <c r="I48" i="34"/>
  <c r="D48" i="34"/>
  <c r="F48" i="34" s="1"/>
  <c r="I47" i="34"/>
  <c r="D47" i="34"/>
  <c r="F47" i="34" s="1"/>
  <c r="I46" i="34"/>
  <c r="D46" i="34"/>
  <c r="F46" i="34" s="1"/>
  <c r="I45" i="34"/>
  <c r="D45" i="34"/>
  <c r="F45" i="34" s="1"/>
  <c r="I44" i="34"/>
  <c r="D44" i="34"/>
  <c r="F44" i="34" s="1"/>
  <c r="I43" i="34"/>
  <c r="D43" i="34"/>
  <c r="F43" i="34" s="1"/>
  <c r="I42" i="34"/>
  <c r="D42" i="34"/>
  <c r="F42" i="34" s="1"/>
  <c r="I41" i="34"/>
  <c r="D41" i="34"/>
  <c r="F41" i="34" s="1"/>
  <c r="I40" i="34"/>
  <c r="D40" i="34"/>
  <c r="F40" i="34" s="1"/>
  <c r="I39" i="34"/>
  <c r="D39" i="34"/>
  <c r="F39" i="34" s="1"/>
  <c r="I38" i="34"/>
  <c r="D38" i="34"/>
  <c r="F38" i="34" s="1"/>
  <c r="I37" i="34"/>
  <c r="D37" i="34"/>
  <c r="F37" i="34" s="1"/>
  <c r="I36" i="34"/>
  <c r="D36" i="34"/>
  <c r="F36" i="34" s="1"/>
  <c r="I35" i="34"/>
  <c r="D35" i="34"/>
  <c r="F35" i="34" s="1"/>
  <c r="K33" i="34"/>
  <c r="D33" i="34" s="1"/>
  <c r="F33" i="34" s="1"/>
  <c r="I33" i="34"/>
  <c r="K32" i="34"/>
  <c r="D32" i="34" s="1"/>
  <c r="F32" i="34" s="1"/>
  <c r="I32" i="34"/>
  <c r="K31" i="34"/>
  <c r="D31" i="34" s="1"/>
  <c r="F31" i="34" s="1"/>
  <c r="I31" i="34"/>
  <c r="K30" i="34"/>
  <c r="D30" i="34" s="1"/>
  <c r="F30" i="34" s="1"/>
  <c r="I30" i="34"/>
  <c r="I20" i="34"/>
  <c r="I19" i="34"/>
  <c r="K17" i="34"/>
  <c r="D17" i="34" s="1"/>
  <c r="I17" i="34"/>
  <c r="K16" i="34"/>
  <c r="D16" i="34" s="1"/>
  <c r="I16" i="34"/>
  <c r="K14" i="34"/>
  <c r="D14" i="34" s="1"/>
  <c r="I14" i="34"/>
  <c r="K13" i="34"/>
  <c r="D13" i="34" s="1"/>
  <c r="I13" i="34"/>
  <c r="K11" i="34"/>
  <c r="D11" i="34" s="1"/>
  <c r="F11" i="34" s="1"/>
  <c r="I11" i="34"/>
  <c r="K10" i="34"/>
  <c r="D10" i="34" s="1"/>
  <c r="F10" i="34" s="1"/>
  <c r="I10" i="34"/>
  <c r="K8" i="34"/>
  <c r="D8" i="34" s="1"/>
  <c r="F8" i="34" s="1"/>
  <c r="I8" i="34"/>
  <c r="K7" i="34"/>
  <c r="D7" i="34" s="1"/>
  <c r="F7" i="34" s="1"/>
  <c r="I7" i="34"/>
  <c r="I36" i="19"/>
  <c r="D36" i="19"/>
  <c r="F36" i="19" s="1"/>
  <c r="I35" i="19"/>
  <c r="D35" i="19"/>
  <c r="F35" i="19" s="1"/>
  <c r="K33" i="19"/>
  <c r="D33" i="19" s="1"/>
  <c r="F33" i="19" s="1"/>
  <c r="I33" i="19"/>
  <c r="K32" i="19"/>
  <c r="D32" i="19" s="1"/>
  <c r="F32" i="19" s="1"/>
  <c r="I32" i="19"/>
  <c r="K31" i="19"/>
  <c r="D31" i="19" s="1"/>
  <c r="F31" i="19" s="1"/>
  <c r="I31" i="19"/>
  <c r="K30" i="19"/>
  <c r="D30" i="19" s="1"/>
  <c r="F30" i="19" s="1"/>
  <c r="I30" i="19"/>
  <c r="I20" i="19"/>
  <c r="I19" i="19"/>
  <c r="K17" i="19"/>
  <c r="D17" i="19" s="1"/>
  <c r="I17" i="19"/>
  <c r="K16" i="19"/>
  <c r="D16" i="19" s="1"/>
  <c r="I16" i="19"/>
  <c r="K14" i="19"/>
  <c r="D14" i="19" s="1"/>
  <c r="I14" i="19"/>
  <c r="K13" i="19"/>
  <c r="D13" i="19" s="1"/>
  <c r="I13" i="19"/>
  <c r="K11" i="19"/>
  <c r="D11" i="19" s="1"/>
  <c r="F11" i="19" s="1"/>
  <c r="I11" i="19"/>
  <c r="K10" i="19"/>
  <c r="D10" i="19" s="1"/>
  <c r="F10" i="19" s="1"/>
  <c r="I10" i="19"/>
  <c r="K8" i="19"/>
  <c r="D8" i="19" s="1"/>
  <c r="F8" i="19" s="1"/>
  <c r="I8" i="19"/>
  <c r="K7" i="19"/>
  <c r="D7" i="19" s="1"/>
  <c r="F7" i="19" s="1"/>
  <c r="I7" i="19"/>
  <c r="E86" i="35"/>
  <c r="I20" i="35"/>
  <c r="I19" i="35"/>
  <c r="K17" i="35"/>
  <c r="D17" i="35" s="1"/>
  <c r="I17" i="35"/>
  <c r="K16" i="35"/>
  <c r="D16" i="35" s="1"/>
  <c r="I16" i="35"/>
  <c r="K14" i="35"/>
  <c r="D14" i="35" s="1"/>
  <c r="I14" i="35"/>
  <c r="K13" i="35"/>
  <c r="D13" i="35" s="1"/>
  <c r="I13" i="35"/>
  <c r="K11" i="35"/>
  <c r="D11" i="35" s="1"/>
  <c r="F11" i="35" s="1"/>
  <c r="I11" i="35"/>
  <c r="K10" i="35"/>
  <c r="D10" i="35" s="1"/>
  <c r="F10" i="35" s="1"/>
  <c r="I10" i="35"/>
  <c r="K8" i="35"/>
  <c r="D8" i="35" s="1"/>
  <c r="F8" i="35" s="1"/>
  <c r="I8" i="35"/>
  <c r="K7" i="35"/>
  <c r="D7" i="35" s="1"/>
  <c r="F7" i="35" s="1"/>
  <c r="I7" i="35"/>
  <c r="K33" i="35"/>
  <c r="D33" i="35" s="1"/>
  <c r="F33" i="35" s="1"/>
  <c r="I33" i="35"/>
  <c r="K32" i="35"/>
  <c r="D32" i="35" s="1"/>
  <c r="F32" i="35" s="1"/>
  <c r="I32" i="35"/>
  <c r="K31" i="35"/>
  <c r="D31" i="35" s="1"/>
  <c r="F31" i="35" s="1"/>
  <c r="I31" i="35"/>
  <c r="I40" i="19"/>
  <c r="D40" i="19"/>
  <c r="F40" i="19" s="1"/>
  <c r="I39" i="19"/>
  <c r="D39" i="19"/>
  <c r="F39" i="19" s="1"/>
  <c r="I38" i="19"/>
  <c r="D38" i="19"/>
  <c r="F38" i="19" s="1"/>
  <c r="I40" i="35"/>
  <c r="I39" i="35"/>
  <c r="I38" i="35"/>
  <c r="I37" i="35"/>
  <c r="I36" i="35"/>
  <c r="D40" i="35"/>
  <c r="F40" i="35" s="1"/>
  <c r="D39" i="35"/>
  <c r="F39" i="35" s="1"/>
  <c r="D38" i="35"/>
  <c r="F38" i="35" s="1"/>
  <c r="D36" i="35"/>
  <c r="F36" i="35" s="1"/>
  <c r="I35" i="35"/>
  <c r="D35" i="35"/>
  <c r="F35" i="35" s="1"/>
  <c r="I56" i="35"/>
  <c r="D56" i="35"/>
  <c r="I55" i="35"/>
  <c r="D55" i="35"/>
  <c r="I54" i="35"/>
  <c r="D54" i="35"/>
  <c r="I53" i="35"/>
  <c r="D53" i="35"/>
  <c r="I52" i="35"/>
  <c r="D52" i="35"/>
  <c r="F52" i="35" s="1"/>
  <c r="I51" i="35"/>
  <c r="D51" i="35"/>
  <c r="F51" i="35" s="1"/>
  <c r="I50" i="35"/>
  <c r="D50" i="35"/>
  <c r="F50" i="35" s="1"/>
  <c r="I49" i="35"/>
  <c r="D49" i="35"/>
  <c r="F49" i="35" s="1"/>
  <c r="I48" i="35"/>
  <c r="D48" i="35"/>
  <c r="F48" i="35" s="1"/>
  <c r="I47" i="35"/>
  <c r="D47" i="35"/>
  <c r="F47" i="35" s="1"/>
  <c r="I46" i="35"/>
  <c r="D46" i="35"/>
  <c r="F46" i="35" s="1"/>
  <c r="I45" i="35"/>
  <c r="D45" i="35"/>
  <c r="F45" i="35" s="1"/>
  <c r="I44" i="35"/>
  <c r="D44" i="35"/>
  <c r="F44" i="35" s="1"/>
  <c r="I43" i="35"/>
  <c r="D43" i="35"/>
  <c r="F43" i="35" s="1"/>
  <c r="I42" i="35"/>
  <c r="D42" i="35"/>
  <c r="F42" i="35" s="1"/>
  <c r="I41" i="35"/>
  <c r="D41" i="35"/>
  <c r="F41" i="35" s="1"/>
  <c r="D37" i="35"/>
  <c r="F37" i="35" s="1"/>
  <c r="K30" i="35"/>
  <c r="D30" i="35" s="1"/>
  <c r="F30" i="35" s="1"/>
  <c r="I30" i="35"/>
  <c r="C56" i="36" l="1"/>
  <c r="F56" i="36" s="1"/>
  <c r="F54" i="36"/>
  <c r="K19" i="36"/>
  <c r="D19" i="36" s="1"/>
  <c r="F19" i="36" s="1"/>
  <c r="C55" i="35"/>
  <c r="F55" i="35" s="1"/>
  <c r="F53" i="35"/>
  <c r="C56" i="35"/>
  <c r="F56" i="35" s="1"/>
  <c r="F54" i="35"/>
  <c r="C56" i="34"/>
  <c r="F56" i="34" s="1"/>
  <c r="F54" i="34"/>
  <c r="K20" i="19"/>
  <c r="D20" i="19" s="1"/>
  <c r="F20" i="19" s="1"/>
  <c r="K19" i="19"/>
  <c r="D19" i="19" s="1"/>
  <c r="F19" i="19" s="1"/>
  <c r="K19" i="35"/>
  <c r="D19" i="35" s="1"/>
  <c r="F19" i="35" s="1"/>
  <c r="K20" i="35"/>
  <c r="D20" i="35" s="1"/>
  <c r="F20" i="35" s="1"/>
  <c r="F55" i="34"/>
  <c r="F53" i="34"/>
  <c r="C55" i="36"/>
  <c r="F55" i="36" s="1"/>
  <c r="K20" i="36"/>
  <c r="D20" i="36" s="1"/>
  <c r="F20" i="36" s="1"/>
  <c r="K20" i="34"/>
  <c r="D20" i="34" s="1"/>
  <c r="F20" i="34" s="1"/>
  <c r="K19" i="34"/>
  <c r="D19" i="34" s="1"/>
  <c r="F19" i="34" s="1"/>
  <c r="D56" i="19"/>
  <c r="D55" i="19"/>
  <c r="D54" i="19"/>
  <c r="D53" i="19"/>
  <c r="D52" i="19"/>
  <c r="F52" i="19" s="1"/>
  <c r="D51" i="19"/>
  <c r="F51" i="19" s="1"/>
  <c r="D50" i="19"/>
  <c r="F50" i="19" s="1"/>
  <c r="D49" i="19"/>
  <c r="F49" i="19" s="1"/>
  <c r="D48" i="19"/>
  <c r="F48" i="19" s="1"/>
  <c r="D47" i="19"/>
  <c r="F47" i="19" s="1"/>
  <c r="D46" i="19"/>
  <c r="F46" i="19" s="1"/>
  <c r="D45" i="19"/>
  <c r="F45" i="19" s="1"/>
  <c r="D44" i="19"/>
  <c r="F44" i="19" s="1"/>
  <c r="D43" i="19"/>
  <c r="F43" i="19" s="1"/>
  <c r="D42" i="19"/>
  <c r="F42" i="19" s="1"/>
  <c r="I55" i="19"/>
  <c r="I56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D37" i="19"/>
  <c r="F37" i="19" s="1"/>
  <c r="I37" i="19"/>
  <c r="C55" i="19" l="1"/>
  <c r="F55" i="19" s="1"/>
  <c r="F53" i="19"/>
  <c r="C56" i="19"/>
  <c r="F56" i="19" s="1"/>
  <c r="F54" i="19"/>
  <c r="B74" i="36"/>
  <c r="B77" i="36" s="1"/>
  <c r="B78" i="36" s="1"/>
  <c r="B79" i="36" s="1"/>
  <c r="D24" i="36" s="1"/>
  <c r="I34" i="36"/>
  <c r="D34" i="36"/>
  <c r="K29" i="36"/>
  <c r="D29" i="36" s="1"/>
  <c r="I29" i="36"/>
  <c r="I28" i="36"/>
  <c r="D28" i="36"/>
  <c r="I27" i="36"/>
  <c r="D27" i="36"/>
  <c r="I26" i="36"/>
  <c r="D26" i="36"/>
  <c r="I25" i="36"/>
  <c r="D25" i="36"/>
  <c r="I24" i="36"/>
  <c r="K23" i="36"/>
  <c r="D23" i="36" s="1"/>
  <c r="F23" i="36" s="1"/>
  <c r="I23" i="36"/>
  <c r="K22" i="36"/>
  <c r="D22" i="36" s="1"/>
  <c r="I22" i="36"/>
  <c r="K21" i="36"/>
  <c r="D21" i="36" s="1"/>
  <c r="I21" i="36"/>
  <c r="I18" i="36"/>
  <c r="K15" i="36"/>
  <c r="I15" i="36"/>
  <c r="K12" i="36"/>
  <c r="D12" i="36" s="1"/>
  <c r="I12" i="36"/>
  <c r="K9" i="36"/>
  <c r="D9" i="36" s="1"/>
  <c r="I9" i="36"/>
  <c r="K6" i="36"/>
  <c r="D6" i="36" s="1"/>
  <c r="I6" i="36"/>
  <c r="I5" i="36"/>
  <c r="D5" i="36"/>
  <c r="I63" i="36"/>
  <c r="D63" i="36"/>
  <c r="I4" i="36"/>
  <c r="D4" i="36"/>
  <c r="I62" i="36"/>
  <c r="D62" i="36"/>
  <c r="I3" i="36"/>
  <c r="D3" i="36"/>
  <c r="I61" i="36"/>
  <c r="D61" i="36"/>
  <c r="B74" i="35"/>
  <c r="B77" i="35" s="1"/>
  <c r="B78" i="35" s="1"/>
  <c r="B79" i="35" s="1"/>
  <c r="D24" i="35" s="1"/>
  <c r="I34" i="35"/>
  <c r="D34" i="35"/>
  <c r="K29" i="35"/>
  <c r="D29" i="35" s="1"/>
  <c r="I29" i="35"/>
  <c r="I28" i="35"/>
  <c r="D28" i="35"/>
  <c r="I27" i="35"/>
  <c r="D27" i="35"/>
  <c r="I26" i="35"/>
  <c r="D26" i="35"/>
  <c r="I25" i="35"/>
  <c r="D25" i="35"/>
  <c r="I24" i="35"/>
  <c r="K23" i="35"/>
  <c r="D23" i="35" s="1"/>
  <c r="F23" i="35" s="1"/>
  <c r="I23" i="35"/>
  <c r="K22" i="35"/>
  <c r="D22" i="35" s="1"/>
  <c r="I22" i="35"/>
  <c r="K21" i="35"/>
  <c r="D21" i="35" s="1"/>
  <c r="I21" i="35"/>
  <c r="I18" i="35"/>
  <c r="K15" i="35"/>
  <c r="I15" i="35"/>
  <c r="K12" i="35"/>
  <c r="D12" i="35" s="1"/>
  <c r="I12" i="35"/>
  <c r="K9" i="35"/>
  <c r="D9" i="35" s="1"/>
  <c r="I9" i="35"/>
  <c r="K6" i="35"/>
  <c r="D6" i="35" s="1"/>
  <c r="I6" i="35"/>
  <c r="I5" i="35"/>
  <c r="D5" i="35"/>
  <c r="I63" i="35"/>
  <c r="D63" i="35"/>
  <c r="I4" i="35"/>
  <c r="D4" i="35"/>
  <c r="I62" i="35"/>
  <c r="D62" i="35"/>
  <c r="I3" i="35"/>
  <c r="D3" i="35"/>
  <c r="I61" i="35"/>
  <c r="D61" i="35"/>
  <c r="B74" i="34"/>
  <c r="B77" i="34" s="1"/>
  <c r="B78" i="34" s="1"/>
  <c r="B79" i="34" s="1"/>
  <c r="D24" i="34" s="1"/>
  <c r="I34" i="34"/>
  <c r="D34" i="34"/>
  <c r="K29" i="34"/>
  <c r="D29" i="34" s="1"/>
  <c r="I29" i="34"/>
  <c r="I28" i="34"/>
  <c r="D28" i="34"/>
  <c r="I27" i="34"/>
  <c r="D27" i="34"/>
  <c r="I26" i="34"/>
  <c r="D26" i="34"/>
  <c r="I25" i="34"/>
  <c r="D25" i="34"/>
  <c r="I24" i="34"/>
  <c r="K23" i="34"/>
  <c r="D23" i="34" s="1"/>
  <c r="F23" i="34" s="1"/>
  <c r="I23" i="34"/>
  <c r="K22" i="34"/>
  <c r="D22" i="34" s="1"/>
  <c r="I22" i="34"/>
  <c r="K21" i="34"/>
  <c r="D21" i="34" s="1"/>
  <c r="M12" i="2" s="1"/>
  <c r="N12" i="2" s="1"/>
  <c r="I21" i="34"/>
  <c r="I18" i="34"/>
  <c r="K15" i="34"/>
  <c r="I15" i="34"/>
  <c r="D15" i="34"/>
  <c r="K12" i="34"/>
  <c r="D12" i="34" s="1"/>
  <c r="I12" i="34"/>
  <c r="K9" i="34"/>
  <c r="D9" i="34" s="1"/>
  <c r="I9" i="34"/>
  <c r="K6" i="34"/>
  <c r="D6" i="34" s="1"/>
  <c r="I6" i="34"/>
  <c r="I5" i="34"/>
  <c r="D5" i="34"/>
  <c r="I63" i="34"/>
  <c r="D63" i="34"/>
  <c r="I4" i="34"/>
  <c r="D4" i="34"/>
  <c r="I62" i="34"/>
  <c r="D62" i="34"/>
  <c r="I3" i="34"/>
  <c r="D3" i="34"/>
  <c r="I61" i="34"/>
  <c r="D61" i="34"/>
  <c r="B74" i="19"/>
  <c r="B77" i="19" s="1"/>
  <c r="B78" i="19" s="1"/>
  <c r="B79" i="19" s="1"/>
  <c r="D24" i="19" s="1"/>
  <c r="C14" i="2" s="1"/>
  <c r="D14" i="2" s="1"/>
  <c r="F28" i="36" l="1"/>
  <c r="M60" i="2"/>
  <c r="N60" i="2" s="1"/>
  <c r="F29" i="36"/>
  <c r="M61" i="2"/>
  <c r="N61" i="2" s="1"/>
  <c r="F26" i="36"/>
  <c r="M58" i="2"/>
  <c r="F34" i="36"/>
  <c r="M62" i="2"/>
  <c r="N62" i="2" s="1"/>
  <c r="F27" i="36"/>
  <c r="M59" i="2"/>
  <c r="N59" i="2" s="1"/>
  <c r="F24" i="36"/>
  <c r="M57" i="2"/>
  <c r="F34" i="35"/>
  <c r="C62" i="2"/>
  <c r="D62" i="2" s="1"/>
  <c r="F27" i="35"/>
  <c r="C59" i="2"/>
  <c r="D59" i="2" s="1"/>
  <c r="F24" i="35"/>
  <c r="C57" i="2"/>
  <c r="F29" i="35"/>
  <c r="C61" i="2"/>
  <c r="D61" i="2" s="1"/>
  <c r="F26" i="35"/>
  <c r="C58" i="2"/>
  <c r="F28" i="35"/>
  <c r="C60" i="2"/>
  <c r="D60" i="2" s="1"/>
  <c r="F27" i="34"/>
  <c r="M16" i="2"/>
  <c r="N16" i="2" s="1"/>
  <c r="F28" i="34"/>
  <c r="M17" i="2"/>
  <c r="N17" i="2" s="1"/>
  <c r="F34" i="34"/>
  <c r="M19" i="2"/>
  <c r="N19" i="2" s="1"/>
  <c r="F24" i="34"/>
  <c r="M14" i="2"/>
  <c r="F29" i="34"/>
  <c r="M18" i="2"/>
  <c r="N18" i="2" s="1"/>
  <c r="F26" i="34"/>
  <c r="M15" i="2"/>
  <c r="N15" i="2" s="1"/>
  <c r="M51" i="2"/>
  <c r="C5" i="36"/>
  <c r="L51" i="2" s="1"/>
  <c r="C5" i="35"/>
  <c r="B51" i="2" s="1"/>
  <c r="C51" i="2"/>
  <c r="M8" i="2"/>
  <c r="C5" i="34"/>
  <c r="L8" i="2" s="1"/>
  <c r="C63" i="36"/>
  <c r="L50" i="2" s="1"/>
  <c r="M50" i="2"/>
  <c r="C50" i="2"/>
  <c r="C63" i="35"/>
  <c r="B50" i="2" s="1"/>
  <c r="E50" i="2" s="1"/>
  <c r="F50" i="2" s="1"/>
  <c r="C63" i="34"/>
  <c r="L7" i="2" s="1"/>
  <c r="M7" i="2"/>
  <c r="M49" i="2"/>
  <c r="C4" i="36"/>
  <c r="L49" i="2" s="1"/>
  <c r="C4" i="35"/>
  <c r="B49" i="2" s="1"/>
  <c r="C49" i="2"/>
  <c r="M6" i="2"/>
  <c r="C4" i="34"/>
  <c r="L6" i="2" s="1"/>
  <c r="C62" i="36"/>
  <c r="L48" i="2" s="1"/>
  <c r="M48" i="2"/>
  <c r="C48" i="2"/>
  <c r="C62" i="35"/>
  <c r="B48" i="2" s="1"/>
  <c r="M5" i="2"/>
  <c r="C62" i="34"/>
  <c r="L5" i="2" s="1"/>
  <c r="M47" i="2"/>
  <c r="C3" i="36"/>
  <c r="L47" i="2" s="1"/>
  <c r="C47" i="2"/>
  <c r="C3" i="35"/>
  <c r="B47" i="2" s="1"/>
  <c r="M4" i="2"/>
  <c r="C3" i="34"/>
  <c r="L4" i="2" s="1"/>
  <c r="M46" i="2"/>
  <c r="C61" i="36"/>
  <c r="L46" i="2" s="1"/>
  <c r="C46" i="2"/>
  <c r="C61" i="35"/>
  <c r="B46" i="2" s="1"/>
  <c r="M3" i="2"/>
  <c r="C61" i="34"/>
  <c r="L3" i="2" s="1"/>
  <c r="F22" i="36"/>
  <c r="M56" i="2"/>
  <c r="N56" i="2" s="1"/>
  <c r="F21" i="36"/>
  <c r="M55" i="2"/>
  <c r="N55" i="2" s="1"/>
  <c r="F9" i="36"/>
  <c r="M53" i="2"/>
  <c r="F6" i="36"/>
  <c r="M52" i="2"/>
  <c r="N52" i="2" s="1"/>
  <c r="F22" i="34"/>
  <c r="M13" i="2"/>
  <c r="N13" i="2" s="1"/>
  <c r="O12" i="2"/>
  <c r="P12" i="2" s="1"/>
  <c r="F21" i="34"/>
  <c r="F9" i="34"/>
  <c r="M10" i="2"/>
  <c r="N10" i="2" s="1"/>
  <c r="F6" i="34"/>
  <c r="M9" i="2"/>
  <c r="N9" i="2" s="1"/>
  <c r="F22" i="35"/>
  <c r="C56" i="2"/>
  <c r="D56" i="2" s="1"/>
  <c r="F21" i="35"/>
  <c r="C55" i="2"/>
  <c r="D55" i="2" s="1"/>
  <c r="F9" i="35"/>
  <c r="C53" i="2"/>
  <c r="F6" i="35"/>
  <c r="C52" i="2"/>
  <c r="D52" i="2" s="1"/>
  <c r="K18" i="36"/>
  <c r="D18" i="36" s="1"/>
  <c r="M54" i="2" s="1"/>
  <c r="K18" i="35"/>
  <c r="D18" i="35" s="1"/>
  <c r="C54" i="2" s="1"/>
  <c r="D15" i="36"/>
  <c r="D15" i="35"/>
  <c r="K18" i="34"/>
  <c r="D18" i="34" s="1"/>
  <c r="D28" i="19"/>
  <c r="C17" i="2" s="1"/>
  <c r="D27" i="19"/>
  <c r="C16" i="2" s="1"/>
  <c r="I34" i="19"/>
  <c r="I29" i="19"/>
  <c r="I28" i="19"/>
  <c r="I27" i="19"/>
  <c r="I26" i="19"/>
  <c r="I25" i="19"/>
  <c r="I24" i="19"/>
  <c r="I23" i="19"/>
  <c r="I22" i="19"/>
  <c r="I21" i="19"/>
  <c r="I18" i="19"/>
  <c r="I15" i="19"/>
  <c r="I12" i="19"/>
  <c r="I9" i="19"/>
  <c r="I6" i="19"/>
  <c r="I5" i="19"/>
  <c r="I63" i="19"/>
  <c r="I4" i="19"/>
  <c r="I62" i="19"/>
  <c r="I3" i="19"/>
  <c r="I61" i="19"/>
  <c r="F24" i="19"/>
  <c r="D26" i="19"/>
  <c r="K6" i="19"/>
  <c r="K29" i="19"/>
  <c r="F61" i="36" l="1"/>
  <c r="F4" i="36"/>
  <c r="O58" i="2"/>
  <c r="P58" i="2" s="1"/>
  <c r="O59" i="2"/>
  <c r="P59" i="2" s="1"/>
  <c r="O60" i="2"/>
  <c r="P60" i="2" s="1"/>
  <c r="O62" i="2"/>
  <c r="P62" i="2" s="1"/>
  <c r="O57" i="2"/>
  <c r="P57" i="2" s="1"/>
  <c r="O61" i="2"/>
  <c r="P61" i="2" s="1"/>
  <c r="F5" i="36"/>
  <c r="F62" i="35"/>
  <c r="F61" i="35"/>
  <c r="E58" i="2"/>
  <c r="F58" i="2" s="1"/>
  <c r="E61" i="2"/>
  <c r="F61" i="2" s="1"/>
  <c r="F18" i="35"/>
  <c r="E57" i="2"/>
  <c r="F57" i="2" s="1"/>
  <c r="E60" i="2"/>
  <c r="F60" i="2" s="1"/>
  <c r="E59" i="2"/>
  <c r="F59" i="2" s="1"/>
  <c r="E62" i="2"/>
  <c r="F62" i="2" s="1"/>
  <c r="E49" i="2"/>
  <c r="F49" i="2" s="1"/>
  <c r="F5" i="34"/>
  <c r="O8" i="2"/>
  <c r="P8" i="2" s="1"/>
  <c r="O14" i="2"/>
  <c r="P14" i="2" s="1"/>
  <c r="F61" i="34"/>
  <c r="O19" i="2"/>
  <c r="P19" i="2" s="1"/>
  <c r="O15" i="2"/>
  <c r="P15" i="2" s="1"/>
  <c r="O17" i="2"/>
  <c r="P17" i="2" s="1"/>
  <c r="O18" i="2"/>
  <c r="P18" i="2" s="1"/>
  <c r="O16" i="2"/>
  <c r="P16" i="2" s="1"/>
  <c r="O50" i="2"/>
  <c r="P50" i="2" s="1"/>
  <c r="O3" i="2"/>
  <c r="P3" i="2" s="1"/>
  <c r="O6" i="2"/>
  <c r="P6" i="2" s="1"/>
  <c r="F26" i="19"/>
  <c r="C15" i="2"/>
  <c r="D15" i="2" s="1"/>
  <c r="O51" i="2"/>
  <c r="P51" i="2" s="1"/>
  <c r="E51" i="2"/>
  <c r="F51" i="2" s="1"/>
  <c r="F5" i="35"/>
  <c r="F63" i="36"/>
  <c r="F63" i="35"/>
  <c r="F63" i="34"/>
  <c r="O7" i="2"/>
  <c r="P7" i="2" s="1"/>
  <c r="O49" i="2"/>
  <c r="P49" i="2" s="1"/>
  <c r="F4" i="35"/>
  <c r="F4" i="34"/>
  <c r="F62" i="36"/>
  <c r="O48" i="2"/>
  <c r="P48" i="2" s="1"/>
  <c r="E48" i="2"/>
  <c r="F48" i="2" s="1"/>
  <c r="O5" i="2"/>
  <c r="P5" i="2" s="1"/>
  <c r="F62" i="34"/>
  <c r="O47" i="2"/>
  <c r="P47" i="2" s="1"/>
  <c r="F3" i="36"/>
  <c r="F3" i="35"/>
  <c r="E47" i="2"/>
  <c r="F47" i="2" s="1"/>
  <c r="F3" i="34"/>
  <c r="O4" i="2"/>
  <c r="P4" i="2" s="1"/>
  <c r="O46" i="2"/>
  <c r="P46" i="2" s="1"/>
  <c r="E46" i="2"/>
  <c r="F46" i="2" s="1"/>
  <c r="O56" i="2"/>
  <c r="P56" i="2" s="1"/>
  <c r="O55" i="2"/>
  <c r="P55" i="2" s="1"/>
  <c r="O54" i="2"/>
  <c r="P54" i="2" s="1"/>
  <c r="O53" i="2"/>
  <c r="P53" i="2" s="1"/>
  <c r="O52" i="2"/>
  <c r="P52" i="2" s="1"/>
  <c r="O13" i="2"/>
  <c r="P13" i="2" s="1"/>
  <c r="F18" i="34"/>
  <c r="M11" i="2"/>
  <c r="N11" i="2" s="1"/>
  <c r="O10" i="2"/>
  <c r="P10" i="2" s="1"/>
  <c r="O9" i="2"/>
  <c r="P9" i="2" s="1"/>
  <c r="E56" i="2"/>
  <c r="F56" i="2" s="1"/>
  <c r="E55" i="2"/>
  <c r="F55" i="2" s="1"/>
  <c r="E54" i="2"/>
  <c r="F54" i="2" s="1"/>
  <c r="E53" i="2"/>
  <c r="F53" i="2" s="1"/>
  <c r="E52" i="2"/>
  <c r="F52" i="2" s="1"/>
  <c r="F18" i="36"/>
  <c r="D34" i="19"/>
  <c r="F34" i="19" l="1"/>
  <c r="C19" i="2"/>
  <c r="D19" i="2" s="1"/>
  <c r="E15" i="2"/>
  <c r="F15" i="2" s="1"/>
  <c r="O11" i="2"/>
  <c r="P11" i="2" s="1"/>
  <c r="D5" i="19"/>
  <c r="D63" i="19"/>
  <c r="D4" i="19"/>
  <c r="D62" i="19"/>
  <c r="D3" i="19"/>
  <c r="C4" i="2" s="1"/>
  <c r="D61" i="19"/>
  <c r="C3" i="2" s="1"/>
  <c r="E19" i="2" l="1"/>
  <c r="F19" i="2" s="1"/>
  <c r="C5" i="19"/>
  <c r="B8" i="2" s="1"/>
  <c r="C8" i="2"/>
  <c r="C63" i="19"/>
  <c r="B7" i="2" s="1"/>
  <c r="C7" i="2"/>
  <c r="C4" i="19"/>
  <c r="B6" i="2" s="1"/>
  <c r="C6" i="2"/>
  <c r="C62" i="19"/>
  <c r="B5" i="2" s="1"/>
  <c r="C5" i="2"/>
  <c r="D29" i="19"/>
  <c r="E7" i="2" l="1"/>
  <c r="F7" i="2" s="1"/>
  <c r="F29" i="19"/>
  <c r="C18" i="2"/>
  <c r="D18" i="2" s="1"/>
  <c r="D8" i="2"/>
  <c r="D7" i="2"/>
  <c r="E8" i="2"/>
  <c r="F8" i="2" s="1"/>
  <c r="D6" i="2"/>
  <c r="E6" i="2"/>
  <c r="F6" i="2" s="1"/>
  <c r="E5" i="2"/>
  <c r="F5" i="2" s="1"/>
  <c r="D5" i="2"/>
  <c r="C3" i="19"/>
  <c r="B4" i="2" s="1"/>
  <c r="C61" i="19"/>
  <c r="B3" i="2" s="1"/>
  <c r="D3" i="2" l="1"/>
  <c r="E3" i="2"/>
  <c r="F3" i="2" s="1"/>
  <c r="F4" i="19"/>
  <c r="F62" i="19"/>
  <c r="F3" i="19"/>
  <c r="F61" i="19"/>
  <c r="F28" i="19" l="1"/>
  <c r="F27" i="19"/>
  <c r="D16" i="2" l="1"/>
  <c r="E16" i="2"/>
  <c r="F16" i="2" s="1"/>
  <c r="D17" i="2"/>
  <c r="E17" i="2"/>
  <c r="F17" i="2" s="1"/>
  <c r="E18" i="2"/>
  <c r="F18" i="2" s="1"/>
  <c r="D4" i="2" l="1"/>
  <c r="K15" i="19" l="1"/>
  <c r="D15" i="19" s="1"/>
  <c r="K12" i="19"/>
  <c r="K9" i="19"/>
  <c r="D9" i="19" s="1"/>
  <c r="C10" i="2" s="1"/>
  <c r="D10" i="2" s="1"/>
  <c r="D25" i="19"/>
  <c r="F25" i="19" s="1"/>
  <c r="K23" i="19"/>
  <c r="D23" i="19" s="1"/>
  <c r="K22" i="19"/>
  <c r="D22" i="19" s="1"/>
  <c r="K21" i="19"/>
  <c r="D21" i="19" s="1"/>
  <c r="F5" i="19"/>
  <c r="F63" i="19"/>
  <c r="D6" i="19" l="1"/>
  <c r="D12" i="19"/>
  <c r="K18" i="19"/>
  <c r="D18" i="19" s="1"/>
  <c r="C11" i="2" s="1"/>
  <c r="F9" i="19"/>
  <c r="F21" i="19"/>
  <c r="C12" i="2"/>
  <c r="D12" i="2" s="1"/>
  <c r="F22" i="19"/>
  <c r="C13" i="2"/>
  <c r="D13" i="2" s="1"/>
  <c r="F23" i="19"/>
  <c r="E4" i="2"/>
  <c r="F4" i="2" s="1"/>
  <c r="F6" i="19" l="1"/>
  <c r="C9" i="2"/>
  <c r="E14" i="2"/>
  <c r="F14" i="2" s="1"/>
  <c r="E12" i="2"/>
  <c r="F12" i="2" s="1"/>
  <c r="F18" i="19"/>
  <c r="E10" i="2"/>
  <c r="F10" i="2" s="1"/>
  <c r="E13" i="2"/>
  <c r="F13" i="2" s="1"/>
  <c r="E9" i="2" l="1"/>
  <c r="F9" i="2" s="1"/>
  <c r="E11" i="2"/>
  <c r="F11" i="2" s="1"/>
  <c r="D41" i="19"/>
  <c r="F41" i="19" s="1"/>
</calcChain>
</file>

<file path=xl/comments1.xml><?xml version="1.0" encoding="utf-8"?>
<comments xmlns="http://schemas.openxmlformats.org/spreadsheetml/2006/main">
  <authors>
    <author>Rupert Dance</author>
  </authors>
  <commentList>
    <comment ref="B6" authorId="0">
      <text>
        <r>
          <rPr>
            <b/>
            <sz val="10"/>
            <color indexed="81"/>
            <rFont val="Tahoma"/>
            <family val="2"/>
          </rPr>
          <t>Rupert Dance:</t>
        </r>
        <r>
          <rPr>
            <sz val="10"/>
            <color indexed="81"/>
            <rFont val="Tahoma"/>
            <family val="2"/>
          </rPr>
          <t xml:space="preserve">
Ran this twice - first time it failed at 11.29</t>
        </r>
      </text>
    </comment>
    <comment ref="B8" authorId="0">
      <text>
        <r>
          <rPr>
            <b/>
            <sz val="10"/>
            <color indexed="81"/>
            <rFont val="Tahoma"/>
            <family val="2"/>
          </rPr>
          <t>Rupert Dance:</t>
        </r>
        <r>
          <rPr>
            <sz val="10"/>
            <color indexed="81"/>
            <rFont val="Tahoma"/>
            <family val="2"/>
          </rPr>
          <t xml:space="preserve">
We were only able to get this to run to completion once. The PHY errors on the CRC were round 12 and the BERT would not lock.I did not save a screen shot on the one that almost passed which is recorded here.</t>
        </r>
      </text>
    </comment>
  </commentList>
</comments>
</file>

<file path=xl/comments2.xml><?xml version="1.0" encoding="utf-8"?>
<comments xmlns="http://schemas.openxmlformats.org/spreadsheetml/2006/main">
  <authors>
    <author>Rupert Dance</author>
  </authors>
  <commentList>
    <comment ref="B6" authorId="0">
      <text>
        <r>
          <rPr>
            <b/>
            <sz val="10"/>
            <color indexed="81"/>
            <rFont val="Tahoma"/>
            <family val="2"/>
          </rPr>
          <t>Rupert Dance:</t>
        </r>
        <r>
          <rPr>
            <sz val="10"/>
            <color indexed="81"/>
            <rFont val="Tahoma"/>
            <family val="2"/>
          </rPr>
          <t xml:space="preserve">
Ran this twice - first time it failed at 11.29</t>
        </r>
      </text>
    </comment>
    <comment ref="B8" authorId="0">
      <text>
        <r>
          <rPr>
            <b/>
            <sz val="10"/>
            <color indexed="81"/>
            <rFont val="Tahoma"/>
            <family val="2"/>
          </rPr>
          <t>Rupert Dance:</t>
        </r>
        <r>
          <rPr>
            <sz val="10"/>
            <color indexed="81"/>
            <rFont val="Tahoma"/>
            <family val="2"/>
          </rPr>
          <t xml:space="preserve">
We were only able to get this to run to completion once. The PHY errors on the CRC were round 12 and the BERT would not lock.I did not save a screen shot on the one that almost passed which is recorded here.</t>
        </r>
      </text>
    </comment>
  </commentList>
</comments>
</file>

<file path=xl/sharedStrings.xml><?xml version="1.0" encoding="utf-8"?>
<sst xmlns="http://schemas.openxmlformats.org/spreadsheetml/2006/main" count="1432" uniqueCount="248">
  <si>
    <t>Symbol</t>
  </si>
  <si>
    <t>Applicable Preset</t>
  </si>
  <si>
    <t>Parameter</t>
  </si>
  <si>
    <t>Comment/Test recommendation</t>
  </si>
  <si>
    <t>Crosstalk*</t>
  </si>
  <si>
    <t>N/A</t>
  </si>
  <si>
    <t>Termination mismatch</t>
  </si>
  <si>
    <t>Vdiffpp</t>
  </si>
  <si>
    <t>Differential p-p output voltage, driver disabled</t>
  </si>
  <si>
    <t>Vf</t>
  </si>
  <si>
    <t>Preset 1 only</t>
  </si>
  <si>
    <t>Steady-state output voltage</t>
  </si>
  <si>
    <t>Test both amplitude=0 and amplitude=1</t>
  </si>
  <si>
    <t>SDD22</t>
  </si>
  <si>
    <t>SCC22</t>
  </si>
  <si>
    <t>SDC22</t>
  </si>
  <si>
    <t>Common mode to differential reflection</t>
  </si>
  <si>
    <t>Vcm</t>
  </si>
  <si>
    <t>All</t>
  </si>
  <si>
    <t>AC common mode output voltage</t>
  </si>
  <si>
    <t>Test preset 0 and two other presets chosen at random</t>
  </si>
  <si>
    <t>Peak linear fit pulse response</t>
  </si>
  <si>
    <t>Calculated</t>
  </si>
  <si>
    <t>e</t>
  </si>
  <si>
    <t>Any except preset 0</t>
  </si>
  <si>
    <t>Normalized error (linear fit)</t>
  </si>
  <si>
    <t>Use presets 2 and 15</t>
  </si>
  <si>
    <t>Equalizer coefficient step size</t>
  </si>
  <si>
    <t>No good way to test this</t>
  </si>
  <si>
    <t>TX Pre_cursor full scale range</t>
  </si>
  <si>
    <t>Tested below on tap weight test</t>
  </si>
  <si>
    <t>TX Post_cursor full scale range</t>
  </si>
  <si>
    <t>RJ</t>
  </si>
  <si>
    <t>Random jitter</t>
  </si>
  <si>
    <t>DCD</t>
  </si>
  <si>
    <t>Duty cycle distortion</t>
  </si>
  <si>
    <t>Total jitter, excluding DDJ</t>
  </si>
  <si>
    <t>C-1, C0, C+1 tap weights</t>
  </si>
  <si>
    <t>tr, tf</t>
  </si>
  <si>
    <t>Preset 0</t>
  </si>
  <si>
    <t>Output transition time</t>
  </si>
  <si>
    <t>DDPWS</t>
  </si>
  <si>
    <t>Data-depedent pulse width shrinkage</t>
  </si>
  <si>
    <t>J2, J9</t>
  </si>
  <si>
    <t>High, low probabaility jitter</t>
  </si>
  <si>
    <t>X1, X2, Y1, Y2</t>
  </si>
  <si>
    <t>Eye mask test</t>
  </si>
  <si>
    <t>*A crosstalk source is required to be connected to the port input for these tests</t>
  </si>
  <si>
    <t>Test Equip.</t>
  </si>
  <si>
    <t>VNA</t>
  </si>
  <si>
    <t>Pattern</t>
  </si>
  <si>
    <t>PRBS9</t>
  </si>
  <si>
    <t>BERTScope</t>
  </si>
  <si>
    <t xml:space="preserve">PRBS31 </t>
  </si>
  <si>
    <t>DDJ</t>
  </si>
  <si>
    <t xml:space="preserve">PRBS31 or PRBS9 </t>
  </si>
  <si>
    <t>PRBS31</t>
  </si>
  <si>
    <t>PRBS31 or PRBS9</t>
  </si>
  <si>
    <t>Yes</t>
  </si>
  <si>
    <t>Spec</t>
  </si>
  <si>
    <t>Measured 
Value</t>
  </si>
  <si>
    <t>Pass/Fail</t>
  </si>
  <si>
    <t># 
Waveforms</t>
  </si>
  <si>
    <t>Comments</t>
  </si>
  <si>
    <t>Tr</t>
  </si>
  <si>
    <t>Tf</t>
  </si>
  <si>
    <t>AC common mode output voltage. Scope value is divided by two.</t>
  </si>
  <si>
    <t>TJ-DDJ</t>
  </si>
  <si>
    <t>Serial Number:</t>
  </si>
  <si>
    <t>Model:</t>
  </si>
  <si>
    <t>Part Number</t>
  </si>
  <si>
    <t>Samples Per 
Waveform</t>
  </si>
  <si>
    <t>Frequency 
in GHz</t>
  </si>
  <si>
    <t>Factor</t>
  </si>
  <si>
    <t>Divide value on BERTScope by 1000</t>
  </si>
  <si>
    <t>Margin</t>
  </si>
  <si>
    <t>Margin
%</t>
  </si>
  <si>
    <t>Lane Number 1</t>
  </si>
  <si>
    <t>Lane Number 3</t>
  </si>
  <si>
    <t>Test 
Equipment</t>
  </si>
  <si>
    <t>FW #</t>
  </si>
  <si>
    <t>Lane Number 2</t>
  </si>
  <si>
    <t>Lane Number 4</t>
  </si>
  <si>
    <t>Data Entry</t>
  </si>
  <si>
    <t>SDD11</t>
  </si>
  <si>
    <t>SCC11</t>
  </si>
  <si>
    <t>SDC11</t>
  </si>
  <si>
    <t>Tertiary</t>
  </si>
  <si>
    <t>Core</t>
  </si>
  <si>
    <t>Secondary</t>
  </si>
  <si>
    <t>QSQ</t>
  </si>
  <si>
    <t>Calculated from RTS Measurements</t>
  </si>
  <si>
    <t>Measure c0, c-1, c+1, use presets 2 and 15 with 
both settings of the amplitude bit</t>
  </si>
  <si>
    <t>TX_pre full range</t>
  </si>
  <si>
    <t>TX_post full range</t>
  </si>
  <si>
    <t>Calc from multiple C-1,C0,C+1 with single-step changes</t>
  </si>
  <si>
    <t>Calc from multiple C-1, C0, C+1 with changes to max/min ranges</t>
  </si>
  <si>
    <t>Priorities - Description</t>
  </si>
  <si>
    <t>Must test at each PlugFest</t>
  </si>
  <si>
    <t>Required for compliance, but not all items will be tested at each PF.</t>
  </si>
  <si>
    <t>Required for compliance, but will likely not be tested at the PF.</t>
  </si>
  <si>
    <t>Priority</t>
  </si>
  <si>
    <t>Far end transmit output noise (Short channel)</t>
  </si>
  <si>
    <t>Far end transmit output noise (Long channel)</t>
  </si>
  <si>
    <t>No</t>
  </si>
  <si>
    <t>Importance</t>
  </si>
  <si>
    <t>Comment</t>
  </si>
  <si>
    <t>J2 is not critical but J9 must have cross talk sources</t>
  </si>
  <si>
    <t>Cross talk isimportant here.</t>
  </si>
  <si>
    <t>Cross talk is also very important here.</t>
  </si>
  <si>
    <t>5 Highest priority</t>
  </si>
  <si>
    <t>Standard Transmitter and standard high-loss cable</t>
  </si>
  <si>
    <t>Receiver test - long channel</t>
  </si>
  <si>
    <t>Need to know what they realisitcially expect. What is worse case.</t>
  </si>
  <si>
    <t>Receiver test - short channel</t>
  </si>
  <si>
    <t>This is stressing eye and sending it over something and see if receiver gets everything. Make sure no bit errors</t>
  </si>
  <si>
    <t>Formulas</t>
  </si>
  <si>
    <t>Measured</t>
  </si>
  <si>
    <t>Measurement 
Units</t>
  </si>
  <si>
    <t>UI</t>
  </si>
  <si>
    <t>mV RMS</t>
  </si>
  <si>
    <t>dB</t>
  </si>
  <si>
    <t xml:space="preserve">Differential return loss input </t>
  </si>
  <si>
    <t>Differential return loss output</t>
  </si>
  <si>
    <t>Common mode return loss input</t>
  </si>
  <si>
    <t>Common mode return loss output</t>
  </si>
  <si>
    <t>ps</t>
  </si>
  <si>
    <t>mV</t>
  </si>
  <si>
    <t>When doing the BERTScope measurements, you must first use PRBS11 and then lock the controls and use PRBS31 - run for 2 minutes</t>
  </si>
  <si>
    <t>Receiver Tests</t>
  </si>
  <si>
    <t>Transmitter Tests</t>
  </si>
  <si>
    <t>Used to calc TJ-DDJ</t>
  </si>
  <si>
    <t>Agilent VNA</t>
  </si>
  <si>
    <t>Agilent Sampling Scope</t>
  </si>
  <si>
    <t>Tektronix BERTSCope</t>
  </si>
  <si>
    <t>Tektronix RTS</t>
  </si>
  <si>
    <t>Converted from RMS to the spec value - P2P</t>
  </si>
  <si>
    <t>Legend</t>
  </si>
  <si>
    <t>Conversion</t>
  </si>
  <si>
    <t>#
Fails</t>
  </si>
  <si>
    <t>Result</t>
  </si>
  <si>
    <t>This is the number of points inside one period of PRBS9 (511 bits)</t>
  </si>
  <si>
    <t>Scope span</t>
  </si>
  <si>
    <t>The time of the full span of of the PRBS Pattern</t>
  </si>
  <si>
    <t xml:space="preserve">Shortest time in seconds between two transitions </t>
  </si>
  <si>
    <t xml:space="preserve">This is DDPWS as defined in seconds </t>
  </si>
  <si>
    <t>Conversion to mille UI</t>
  </si>
  <si>
    <t># of points</t>
  </si>
  <si>
    <t>Agilent DDPWS Conversion</t>
  </si>
  <si>
    <t>DDPWS ps</t>
  </si>
  <si>
    <t>DDPWS mUI</t>
  </si>
  <si>
    <t>Agilent Eye Mask</t>
  </si>
  <si>
    <t>BERTScope Eye Mask</t>
  </si>
  <si>
    <t>Agilent DDPWS - see calculation in Cell B40</t>
  </si>
  <si>
    <t>Tektronix DDPWS</t>
  </si>
  <si>
    <t>Calculated
Result</t>
  </si>
  <si>
    <t>Calculated
Results</t>
  </si>
  <si>
    <t>Calc #</t>
  </si>
  <si>
    <t>See Table 48 Tx FIR Filter Coefficients and Amplitudes - Tolerance requirements on each of the tap weight values (C-1, C0 and C+1) is either ±0.015, or ±7.5% of the specified value, whichever is larger.</t>
  </si>
  <si>
    <t>Preset 1 only - Test both amplitude=0 and amplitude=1</t>
  </si>
  <si>
    <t>400-600</t>
  </si>
  <si>
    <t>700-900</t>
  </si>
  <si>
    <t>Spec Value is a miniimum</t>
  </si>
  <si>
    <t>rms_normalized_e - checked in preset 1 only</t>
  </si>
  <si>
    <t>This is DC_Amp in his script</t>
  </si>
  <si>
    <t>Use preset 0 and choose a random preset with reasonable eye</t>
  </si>
  <si>
    <t>RJ - preset 0</t>
  </si>
  <si>
    <t>RJ - preset 15 - Amplitude 0</t>
  </si>
  <si>
    <t>RJ - preset 15 - Amplitude 1</t>
  </si>
  <si>
    <t>DCD - preset 0</t>
  </si>
  <si>
    <t>DCD - preset 15 - amplitude 0</t>
  </si>
  <si>
    <t>DCD - preset 15 - amplitude 1</t>
  </si>
  <si>
    <t>TJ - preset 0</t>
  </si>
  <si>
    <t>TJ - preset 15 - amplitude 0</t>
  </si>
  <si>
    <t>TJ - preset 15 - amplitude 1</t>
  </si>
  <si>
    <t>DDJ - preset 0</t>
  </si>
  <si>
    <t>DDJ - preset 15 - amplitude 0</t>
  </si>
  <si>
    <t>DDJ - preset 15 - amplitude 1</t>
  </si>
  <si>
    <t>TJ-DDJ - preset 15 - amplitude 0</t>
  </si>
  <si>
    <t>TJ-DDJ - preset 15 - amplitude 1</t>
  </si>
  <si>
    <t>TJ-DDJ - preset 0</t>
  </si>
  <si>
    <t>See columns
 L-M</t>
  </si>
  <si>
    <t>Notes</t>
  </si>
  <si>
    <t>When doing preset 2 and 15 you enter e, c-1, c0, c+1 only</t>
  </si>
  <si>
    <t>When doing the first run using preset 1, you record vf, linear fit pulse and e for Preset 1</t>
  </si>
  <si>
    <t>Range Evaluation</t>
  </si>
  <si>
    <t>Convert from PicoSecond to mille UI</t>
  </si>
  <si>
    <t>Sampling Scope</t>
  </si>
  <si>
    <t>Master Spec 
Page</t>
  </si>
  <si>
    <t>Spec
See Page 1</t>
  </si>
  <si>
    <t>Calculated
Spec</t>
  </si>
  <si>
    <t>Testing Order</t>
  </si>
  <si>
    <t>Agilent and then BERTScope</t>
  </si>
  <si>
    <t>Eye Mask</t>
  </si>
  <si>
    <t>Make sure settings are correct.</t>
  </si>
  <si>
    <t>PRBS11</t>
  </si>
  <si>
    <t>tf</t>
  </si>
  <si>
    <t>vcm</t>
  </si>
  <si>
    <t>Take Max value</t>
  </si>
  <si>
    <t>vdiffp</t>
  </si>
  <si>
    <t>DDPWs</t>
  </si>
  <si>
    <t>See calculations in B71:76</t>
  </si>
  <si>
    <t>Preset 1</t>
  </si>
  <si>
    <t>Preset 2</t>
  </si>
  <si>
    <t>Preset 15</t>
  </si>
  <si>
    <t>J2 - preset 0</t>
  </si>
  <si>
    <t>J9 - preset 0</t>
  </si>
  <si>
    <t>vf - preset 1 - Test both amplitude=0</t>
  </si>
  <si>
    <t>vf - preset 1 - Test both amplitude=1</t>
  </si>
  <si>
    <t>Peak linear fit pulse response - pre1 - amp 0</t>
  </si>
  <si>
    <t>Peak linear fit pulse response - pre1 - amp 1</t>
  </si>
  <si>
    <t>SFI</t>
  </si>
  <si>
    <t>SFI-123456</t>
  </si>
  <si>
    <t>9.99.9999</t>
  </si>
  <si>
    <t>Tektronix BERTSCope DDPWS</t>
  </si>
  <si>
    <t>Vcm preset 0</t>
  </si>
  <si>
    <t>Vcm preset 2 - amplitude 0</t>
  </si>
  <si>
    <t>Vcm preset 2 - amplitude 1</t>
  </si>
  <si>
    <t>Vcm preset 15 - amplitude 0</t>
  </si>
  <si>
    <t>Vcm preset 15 - amplitude 1</t>
  </si>
  <si>
    <t>e preset 1 - amplitude 0</t>
  </si>
  <si>
    <t>e preset 1 - amplitude 1</t>
  </si>
  <si>
    <t>e preset 2 - amplitude 0</t>
  </si>
  <si>
    <t>e preset 2 - amplitude 1</t>
  </si>
  <si>
    <t>e preset 15 - amplitude 0</t>
  </si>
  <si>
    <t>e preset 15 - amplitude 1</t>
  </si>
  <si>
    <t>C-1 preset 2 - Amp 0</t>
  </si>
  <si>
    <t>C-1 preset 2 - Amp 1</t>
  </si>
  <si>
    <t>C-1 preset 15 - Amp 0</t>
  </si>
  <si>
    <t>C-1 preset 15 - Amp 1</t>
  </si>
  <si>
    <t>C0 preset 2 - Amp 0</t>
  </si>
  <si>
    <t>C0 preset 2 - Amp 1</t>
  </si>
  <si>
    <t>C0 preset 15 - Amp 0</t>
  </si>
  <si>
    <t>C0 preset 15 - Amp 1</t>
  </si>
  <si>
    <t>C+1 preset 2 - Amp 0</t>
  </si>
  <si>
    <t>C+1 preset 2 - Amp 1</t>
  </si>
  <si>
    <t>C+1 preset 15 - Amp 0</t>
  </si>
  <si>
    <t>C+1 preset 15 - Amp 1</t>
  </si>
  <si>
    <t>Calculate from the Sampling Scope measurements</t>
  </si>
  <si>
    <t>Tektronix BERTScope</t>
  </si>
  <si>
    <t>Please paste screen shot from BERTScope testing here</t>
  </si>
  <si>
    <t>PF22 Status</t>
  </si>
  <si>
    <t>Tested</t>
  </si>
  <si>
    <t>No Test</t>
  </si>
  <si>
    <t>Test</t>
  </si>
  <si>
    <t xml:space="preserve">RX tolerance testing for use with linear cables </t>
  </si>
  <si>
    <t xml:space="preserve">RX tolerance testing for use with limiting active cables </t>
  </si>
  <si>
    <t>PF23
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</si>
</sst>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rgb="FF0000FF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4C9"/>
        <bgColor indexed="64"/>
      </patternFill>
    </fill>
    <fill>
      <patternFill patternType="solid">
        <fgColor rgb="FFFFFF7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EE8F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12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0" fillId="0" borderId="0" xfId="0" applyProtection="1">
      <protection locked="0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7" fillId="0" borderId="1" xfId="0" applyFont="1" applyBorder="1"/>
    <xf numFmtId="0" fontId="7" fillId="0" borderId="1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6" fillId="4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center" vertical="top" wrapText="1"/>
    </xf>
    <xf numFmtId="0" fontId="14" fillId="7" borderId="1" xfId="0" applyFont="1" applyFill="1" applyBorder="1" applyAlignment="1">
      <alignment horizontal="center" vertical="top" wrapText="1"/>
    </xf>
    <xf numFmtId="0" fontId="14" fillId="8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Border="1"/>
    <xf numFmtId="0" fontId="3" fillId="10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top"/>
    </xf>
    <xf numFmtId="0" fontId="4" fillId="0" borderId="0" xfId="0" applyFont="1"/>
    <xf numFmtId="0" fontId="0" fillId="0" borderId="0" xfId="0" applyAlignment="1">
      <alignment horizontal="left" vertical="top"/>
    </xf>
    <xf numFmtId="0" fontId="0" fillId="0" borderId="6" xfId="0" applyBorder="1" applyProtection="1">
      <protection locked="0"/>
    </xf>
    <xf numFmtId="0" fontId="0" fillId="0" borderId="0" xfId="0" applyFill="1" applyAlignment="1">
      <alignment vertical="center"/>
    </xf>
    <xf numFmtId="0" fontId="6" fillId="0" borderId="1" xfId="0" applyFont="1" applyFill="1" applyBorder="1" applyAlignment="1" applyProtection="1">
      <alignment horizontal="center" vertical="top"/>
      <protection locked="0"/>
    </xf>
    <xf numFmtId="0" fontId="6" fillId="0" borderId="1" xfId="0" quotePrefix="1" applyFont="1" applyFill="1" applyBorder="1" applyAlignment="1" applyProtection="1">
      <alignment horizontal="center" vertical="top"/>
      <protection locked="0"/>
    </xf>
    <xf numFmtId="0" fontId="6" fillId="0" borderId="1" xfId="0" applyFont="1" applyFill="1" applyBorder="1" applyAlignment="1">
      <alignment horizontal="center" vertical="top"/>
    </xf>
    <xf numFmtId="11" fontId="6" fillId="0" borderId="1" xfId="0" applyNumberFormat="1" applyFont="1" applyFill="1" applyBorder="1" applyAlignment="1">
      <alignment horizontal="center" vertical="top"/>
    </xf>
    <xf numFmtId="0" fontId="1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6" xfId="0" applyFill="1" applyBorder="1" applyAlignment="1">
      <alignment vertical="top" wrapText="1"/>
    </xf>
    <xf numFmtId="0" fontId="7" fillId="13" borderId="1" xfId="0" applyFont="1" applyFill="1" applyBorder="1" applyAlignment="1">
      <alignment horizontal="center" vertical="top"/>
    </xf>
    <xf numFmtId="0" fontId="7" fillId="13" borderId="1" xfId="0" applyFont="1" applyFill="1" applyBorder="1" applyAlignment="1" applyProtection="1">
      <alignment horizontal="center" vertical="top"/>
    </xf>
    <xf numFmtId="0" fontId="6" fillId="14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vertical="top"/>
    </xf>
    <xf numFmtId="0" fontId="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1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18" fillId="12" borderId="1" xfId="0" applyFont="1" applyFill="1" applyBorder="1" applyAlignment="1">
      <alignment horizontal="center" vertical="top" wrapText="1"/>
    </xf>
    <xf numFmtId="0" fontId="6" fillId="0" borderId="1" xfId="0" quotePrefix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10" fillId="0" borderId="1" xfId="0" applyFont="1" applyBorder="1" applyAlignment="1" applyProtection="1">
      <alignment horizontal="center" wrapText="1"/>
      <protection locked="0"/>
    </xf>
    <xf numFmtId="0" fontId="22" fillId="7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4" borderId="1" xfId="0" applyFont="1" applyFill="1" applyBorder="1" applyAlignment="1">
      <alignment vertical="top"/>
    </xf>
    <xf numFmtId="0" fontId="7" fillId="14" borderId="1" xfId="0" applyFont="1" applyFill="1" applyBorder="1" applyAlignment="1">
      <alignment horizontal="center" vertical="top"/>
    </xf>
    <xf numFmtId="0" fontId="7" fillId="14" borderId="1" xfId="0" applyFont="1" applyFill="1" applyBorder="1" applyProtection="1">
      <protection locked="0"/>
    </xf>
    <xf numFmtId="0" fontId="7" fillId="3" borderId="1" xfId="0" applyFont="1" applyFill="1" applyBorder="1" applyAlignment="1">
      <alignment horizontal="center"/>
    </xf>
    <xf numFmtId="164" fontId="7" fillId="14" borderId="1" xfId="0" applyNumberFormat="1" applyFont="1" applyFill="1" applyBorder="1" applyAlignment="1">
      <alignment horizontal="center" vertical="top"/>
    </xf>
    <xf numFmtId="0" fontId="7" fillId="0" borderId="2" xfId="0" applyFont="1" applyFill="1" applyBorder="1" applyAlignment="1">
      <alignment horizontal="center" vertical="top"/>
    </xf>
    <xf numFmtId="0" fontId="22" fillId="8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11" fontId="7" fillId="3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0" fontId="10" fillId="0" borderId="1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10" fillId="14" borderId="1" xfId="0" applyFont="1" applyFill="1" applyBorder="1" applyAlignment="1" applyProtection="1">
      <alignment horizontal="center"/>
      <protection locked="0"/>
    </xf>
    <xf numFmtId="0" fontId="10" fillId="13" borderId="1" xfId="0" applyFont="1" applyFill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10" fillId="14" borderId="1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Fill="1" applyBorder="1" applyAlignment="1">
      <alignment horizontal="center" vertical="top"/>
    </xf>
    <xf numFmtId="0" fontId="10" fillId="0" borderId="0" xfId="0" applyFont="1"/>
    <xf numFmtId="11" fontId="7" fillId="0" borderId="0" xfId="0" applyNumberFormat="1" applyFont="1"/>
    <xf numFmtId="11" fontId="7" fillId="14" borderId="0" xfId="0" applyNumberFormat="1" applyFont="1" applyFill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quotePrefix="1" applyFont="1" applyAlignment="1">
      <alignment horizontal="center"/>
    </xf>
    <xf numFmtId="0" fontId="6" fillId="14" borderId="1" xfId="0" quotePrefix="1" applyFont="1" applyFill="1" applyBorder="1" applyAlignment="1" applyProtection="1">
      <alignment horizontal="center" vertical="top"/>
      <protection locked="0"/>
    </xf>
    <xf numFmtId="0" fontId="6" fillId="14" borderId="1" xfId="0" applyFont="1" applyFill="1" applyBorder="1" applyAlignment="1" applyProtection="1">
      <alignment horizontal="center" vertical="top"/>
      <protection locked="0"/>
    </xf>
    <xf numFmtId="0" fontId="6" fillId="0" borderId="1" xfId="0" applyFont="1" applyBorder="1"/>
    <xf numFmtId="0" fontId="7" fillId="0" borderId="0" xfId="0" applyFont="1" applyBorder="1" applyAlignment="1">
      <alignment horizontal="center"/>
    </xf>
    <xf numFmtId="0" fontId="10" fillId="0" borderId="1" xfId="0" applyFont="1" applyBorder="1" applyAlignment="1" applyProtection="1">
      <alignment horizontal="center" vertical="top" wrapText="1"/>
      <protection locked="0"/>
    </xf>
    <xf numFmtId="0" fontId="7" fillId="0" borderId="0" xfId="0" applyFont="1" applyAlignment="1">
      <alignment vertical="top"/>
    </xf>
    <xf numFmtId="0" fontId="14" fillId="0" borderId="1" xfId="0" applyFont="1" applyFill="1" applyBorder="1" applyAlignment="1">
      <alignment horizontal="left" vertical="top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top"/>
    </xf>
    <xf numFmtId="0" fontId="5" fillId="0" borderId="7" xfId="0" applyFont="1" applyBorder="1" applyAlignment="1">
      <alignment horizontal="center" vertical="top"/>
    </xf>
    <xf numFmtId="0" fontId="10" fillId="0" borderId="1" xfId="0" applyFont="1" applyBorder="1"/>
    <xf numFmtId="0" fontId="10" fillId="0" borderId="0" xfId="0" applyFont="1" applyFill="1" applyBorder="1" applyProtection="1">
      <protection locked="0"/>
    </xf>
    <xf numFmtId="0" fontId="7" fillId="0" borderId="0" xfId="0" applyFont="1" applyFill="1" applyBorder="1" applyProtection="1">
      <protection locked="0"/>
    </xf>
    <xf numFmtId="0" fontId="7" fillId="0" borderId="0" xfId="0" applyFont="1" applyFill="1" applyBorder="1" applyAlignment="1" applyProtection="1">
      <alignment horizontal="left"/>
      <protection locked="0"/>
    </xf>
    <xf numFmtId="0" fontId="10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Protection="1">
      <protection locked="0"/>
    </xf>
    <xf numFmtId="0" fontId="6" fillId="0" borderId="8" xfId="0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top"/>
    </xf>
    <xf numFmtId="0" fontId="7" fillId="0" borderId="6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7" borderId="1" xfId="0" applyFill="1" applyBorder="1" applyAlignment="1">
      <alignment horizontal="center" vertical="top"/>
    </xf>
    <xf numFmtId="0" fontId="0" fillId="0" borderId="0" xfId="0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6" fillId="12" borderId="3" xfId="0" applyFont="1" applyFill="1" applyBorder="1" applyAlignment="1">
      <alignment vertical="top" wrapText="1"/>
    </xf>
    <xf numFmtId="0" fontId="16" fillId="12" borderId="4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11" borderId="3" xfId="0" applyFont="1" applyFill="1" applyBorder="1" applyAlignment="1">
      <alignment vertical="top"/>
    </xf>
    <xf numFmtId="0" fontId="0" fillId="0" borderId="4" xfId="0" applyBorder="1" applyAlignment="1">
      <alignment vertical="top"/>
    </xf>
    <xf numFmtId="0" fontId="2" fillId="10" borderId="3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0" fillId="0" borderId="1" xfId="0" applyBorder="1" applyAlignment="1"/>
    <xf numFmtId="0" fontId="1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5" fillId="0" borderId="3" xfId="0" applyFont="1" applyBorder="1" applyAlignment="1">
      <alignment vertical="top"/>
    </xf>
    <xf numFmtId="0" fontId="16" fillId="16" borderId="3" xfId="0" applyFont="1" applyFill="1" applyBorder="1" applyAlignment="1">
      <alignment vertical="top" wrapText="1"/>
    </xf>
    <xf numFmtId="0" fontId="16" fillId="16" borderId="4" xfId="0" applyFont="1" applyFill="1" applyBorder="1" applyAlignment="1">
      <alignment vertical="top" wrapText="1"/>
    </xf>
    <xf numFmtId="0" fontId="14" fillId="8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5" xfId="0" applyBorder="1" applyAlignment="1"/>
    <xf numFmtId="0" fontId="0" fillId="0" borderId="4" xfId="0" applyBorder="1" applyAlignment="1"/>
    <xf numFmtId="0" fontId="14" fillId="6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6" fillId="0" borderId="8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6" fillId="15" borderId="3" xfId="0" applyFont="1" applyFill="1" applyBorder="1" applyAlignment="1">
      <alignment vertical="top"/>
    </xf>
    <xf numFmtId="0" fontId="7" fillId="15" borderId="4" xfId="0" applyFont="1" applyFill="1" applyBorder="1" applyAlignment="1"/>
    <xf numFmtId="0" fontId="10" fillId="3" borderId="1" xfId="0" applyFont="1" applyFill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0" fontId="21" fillId="12" borderId="3" xfId="0" applyFont="1" applyFill="1" applyBorder="1" applyAlignment="1">
      <alignment vertical="top" wrapText="1"/>
    </xf>
    <xf numFmtId="0" fontId="21" fillId="12" borderId="4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center" wrapText="1"/>
    </xf>
    <xf numFmtId="0" fontId="7" fillId="0" borderId="1" xfId="0" applyFont="1" applyBorder="1" applyAlignment="1"/>
    <xf numFmtId="0" fontId="21" fillId="11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10" fillId="0" borderId="1" xfId="0" applyFont="1" applyBorder="1" applyAlignment="1">
      <alignment horizontal="center"/>
    </xf>
    <xf numFmtId="0" fontId="21" fillId="16" borderId="3" xfId="0" applyFont="1" applyFill="1" applyBorder="1" applyAlignment="1">
      <alignment vertical="top" wrapText="1"/>
    </xf>
    <xf numFmtId="0" fontId="21" fillId="16" borderId="4" xfId="0" applyFont="1" applyFill="1" applyBorder="1" applyAlignment="1">
      <alignment vertical="top" wrapText="1"/>
    </xf>
    <xf numFmtId="0" fontId="7" fillId="0" borderId="8" xfId="0" applyFont="1" applyFill="1" applyBorder="1" applyAlignment="1" applyProtection="1">
      <alignment horizontal="center" wrapText="1"/>
      <protection locked="0"/>
    </xf>
    <xf numFmtId="0" fontId="7" fillId="0" borderId="9" xfId="0" applyFont="1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10" fillId="3" borderId="3" xfId="0" applyFont="1" applyFill="1" applyBorder="1" applyAlignment="1" applyProtection="1">
      <alignment horizontal="center"/>
      <protection locked="0"/>
    </xf>
    <xf numFmtId="0" fontId="10" fillId="3" borderId="4" xfId="0" applyFont="1" applyFill="1" applyBorder="1" applyAlignment="1" applyProtection="1">
      <alignment horizontal="center"/>
      <protection locked="0"/>
    </xf>
    <xf numFmtId="0" fontId="10" fillId="3" borderId="5" xfId="0" applyFont="1" applyFill="1" applyBorder="1" applyAlignment="1" applyProtection="1">
      <alignment horizontal="center"/>
      <protection locked="0"/>
    </xf>
    <xf numFmtId="0" fontId="10" fillId="0" borderId="0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01"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b/>
        <i val="0"/>
        <color rgb="FF008000"/>
      </font>
    </dxf>
    <dxf>
      <font>
        <b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rgb="FFCCFFCC"/>
        </patternFill>
      </fill>
    </dxf>
    <dxf>
      <font>
        <b/>
        <i val="0"/>
        <color auto="1"/>
      </font>
      <fill>
        <patternFill>
          <bgColor rgb="FFFFCCFF"/>
        </patternFill>
      </fill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</dxfs>
  <tableStyles count="0" defaultTableStyle="TableStyleMedium2" defaultPivotStyle="PivotStyleLight16"/>
  <colors>
    <mruColors>
      <color rgb="FFCCFFCC"/>
      <color rgb="FFFFCCFF"/>
      <color rgb="FFFF9900"/>
      <color rgb="FFFF00FF"/>
      <color rgb="FFFEE8FB"/>
      <color rgb="FFCCFFFF"/>
      <color rgb="FF00FF00"/>
      <color rgb="FF003300"/>
      <color rgb="FFFFFFB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P58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N39" sqref="N39"/>
    </sheetView>
  </sheetViews>
  <sheetFormatPr defaultRowHeight="15" x14ac:dyDescent="0.25"/>
  <cols>
    <col min="1" max="1" width="15.28515625" customWidth="1"/>
    <col min="2" max="2" width="13.7109375" bestFit="1" customWidth="1"/>
    <col min="3" max="3" width="27.7109375" style="6" bestFit="1" customWidth="1"/>
    <col min="4" max="4" width="19.140625" bestFit="1" customWidth="1"/>
    <col min="5" max="5" width="20.28515625" customWidth="1"/>
    <col min="6" max="6" width="21" customWidth="1"/>
    <col min="7" max="7" width="9.140625" customWidth="1"/>
    <col min="8" max="8" width="12.42578125" bestFit="1" customWidth="1"/>
    <col min="9" max="9" width="29" customWidth="1"/>
    <col min="10" max="10" width="57.140625" bestFit="1" customWidth="1"/>
    <col min="11" max="11" width="10" bestFit="1" customWidth="1"/>
    <col min="12" max="12" width="13" customWidth="1"/>
    <col min="13" max="13" width="15.140625" style="7" bestFit="1" customWidth="1"/>
    <col min="14" max="14" width="52" customWidth="1"/>
    <col min="16" max="16" width="13.7109375" bestFit="1" customWidth="1"/>
  </cols>
  <sheetData>
    <row r="1" spans="1:16" ht="15.75" customHeight="1" x14ac:dyDescent="0.25">
      <c r="A1" s="149" t="s">
        <v>130</v>
      </c>
      <c r="B1" s="150"/>
    </row>
    <row r="2" spans="1:16" x14ac:dyDescent="0.25">
      <c r="A2" s="4" t="s">
        <v>101</v>
      </c>
      <c r="B2" s="151" t="s">
        <v>48</v>
      </c>
      <c r="C2" s="148"/>
      <c r="D2" s="46" t="s">
        <v>0</v>
      </c>
      <c r="E2" s="46" t="s">
        <v>50</v>
      </c>
      <c r="F2" s="46" t="s">
        <v>1</v>
      </c>
      <c r="G2" s="152" t="s">
        <v>244</v>
      </c>
      <c r="H2" s="148"/>
      <c r="I2" s="148"/>
      <c r="J2" s="46" t="s">
        <v>3</v>
      </c>
      <c r="K2" s="35" t="s">
        <v>4</v>
      </c>
      <c r="L2" s="35" t="s">
        <v>105</v>
      </c>
      <c r="M2" s="4" t="s">
        <v>241</v>
      </c>
      <c r="N2" s="37" t="s">
        <v>106</v>
      </c>
    </row>
    <row r="3" spans="1:16" x14ac:dyDescent="0.25">
      <c r="A3" s="29" t="s">
        <v>88</v>
      </c>
      <c r="B3" s="145" t="s">
        <v>132</v>
      </c>
      <c r="C3" s="146"/>
      <c r="D3" s="27" t="s">
        <v>13</v>
      </c>
      <c r="E3" s="47" t="s">
        <v>55</v>
      </c>
      <c r="F3" s="47" t="s">
        <v>5</v>
      </c>
      <c r="G3" s="147" t="s">
        <v>123</v>
      </c>
      <c r="H3" s="148"/>
      <c r="I3" s="148"/>
      <c r="J3" s="47"/>
      <c r="K3" s="2" t="s">
        <v>104</v>
      </c>
      <c r="L3" s="2"/>
      <c r="M3" s="142" t="s">
        <v>242</v>
      </c>
    </row>
    <row r="4" spans="1:16" ht="15" customHeight="1" x14ac:dyDescent="0.25">
      <c r="A4" s="29" t="s">
        <v>88</v>
      </c>
      <c r="B4" s="145" t="s">
        <v>132</v>
      </c>
      <c r="C4" s="146"/>
      <c r="D4" s="27" t="s">
        <v>14</v>
      </c>
      <c r="E4" s="47" t="s">
        <v>57</v>
      </c>
      <c r="F4" s="47" t="s">
        <v>5</v>
      </c>
      <c r="G4" s="147" t="s">
        <v>125</v>
      </c>
      <c r="H4" s="148"/>
      <c r="I4" s="148"/>
      <c r="J4" s="47"/>
      <c r="K4" s="2" t="s">
        <v>104</v>
      </c>
      <c r="L4" s="2"/>
      <c r="M4" s="142" t="s">
        <v>242</v>
      </c>
    </row>
    <row r="5" spans="1:16" x14ac:dyDescent="0.25">
      <c r="A5" s="29" t="s">
        <v>88</v>
      </c>
      <c r="B5" s="145" t="s">
        <v>132</v>
      </c>
      <c r="C5" s="146"/>
      <c r="D5" s="27" t="s">
        <v>15</v>
      </c>
      <c r="E5" s="47" t="s">
        <v>55</v>
      </c>
      <c r="F5" s="47" t="s">
        <v>5</v>
      </c>
      <c r="G5" s="147" t="s">
        <v>16</v>
      </c>
      <c r="H5" s="148"/>
      <c r="I5" s="148"/>
      <c r="J5" s="47"/>
      <c r="K5" s="2" t="s">
        <v>104</v>
      </c>
      <c r="L5" s="2"/>
      <c r="M5" s="142" t="s">
        <v>242</v>
      </c>
    </row>
    <row r="6" spans="1:16" ht="30.75" customHeight="1" x14ac:dyDescent="0.25">
      <c r="A6" s="29" t="s">
        <v>88</v>
      </c>
      <c r="B6" s="155" t="s">
        <v>239</v>
      </c>
      <c r="C6" s="156"/>
      <c r="D6" s="47" t="s">
        <v>32</v>
      </c>
      <c r="E6" s="47" t="s">
        <v>56</v>
      </c>
      <c r="F6" s="47" t="s">
        <v>18</v>
      </c>
      <c r="G6" s="147" t="s">
        <v>33</v>
      </c>
      <c r="H6" s="148"/>
      <c r="I6" s="148"/>
      <c r="J6" s="144" t="s">
        <v>165</v>
      </c>
      <c r="K6" s="2" t="s">
        <v>58</v>
      </c>
      <c r="L6" s="2">
        <v>3</v>
      </c>
      <c r="M6" s="142" t="s">
        <v>242</v>
      </c>
      <c r="N6" s="36" t="s">
        <v>108</v>
      </c>
    </row>
    <row r="7" spans="1:16" ht="28.5" customHeight="1" x14ac:dyDescent="0.25">
      <c r="A7" s="29" t="s">
        <v>88</v>
      </c>
      <c r="B7" s="155" t="s">
        <v>239</v>
      </c>
      <c r="C7" s="156"/>
      <c r="D7" s="47" t="s">
        <v>34</v>
      </c>
      <c r="E7" s="47" t="s">
        <v>55</v>
      </c>
      <c r="F7" s="47" t="s">
        <v>18</v>
      </c>
      <c r="G7" s="147" t="s">
        <v>35</v>
      </c>
      <c r="H7" s="148"/>
      <c r="I7" s="148"/>
      <c r="J7" s="47" t="s">
        <v>165</v>
      </c>
      <c r="K7" s="2" t="s">
        <v>104</v>
      </c>
      <c r="L7" s="2"/>
      <c r="M7" s="142" t="s">
        <v>242</v>
      </c>
    </row>
    <row r="8" spans="1:16" ht="30" customHeight="1" x14ac:dyDescent="0.25">
      <c r="A8" s="29" t="s">
        <v>88</v>
      </c>
      <c r="B8" s="155" t="s">
        <v>239</v>
      </c>
      <c r="C8" s="156"/>
      <c r="D8" s="47" t="s">
        <v>67</v>
      </c>
      <c r="E8" s="47" t="s">
        <v>53</v>
      </c>
      <c r="F8" s="47" t="s">
        <v>18</v>
      </c>
      <c r="G8" s="147" t="s">
        <v>36</v>
      </c>
      <c r="H8" s="148"/>
      <c r="I8" s="148"/>
      <c r="J8" s="54" t="s">
        <v>165</v>
      </c>
      <c r="K8" s="2" t="s">
        <v>58</v>
      </c>
      <c r="L8" s="2">
        <v>3</v>
      </c>
      <c r="M8" s="142" t="s">
        <v>242</v>
      </c>
    </row>
    <row r="9" spans="1:16" ht="30" customHeight="1" x14ac:dyDescent="0.25">
      <c r="A9" s="29" t="s">
        <v>88</v>
      </c>
      <c r="B9" s="155" t="s">
        <v>239</v>
      </c>
      <c r="C9" s="156"/>
      <c r="D9" s="47" t="s">
        <v>54</v>
      </c>
      <c r="E9" s="47" t="s">
        <v>51</v>
      </c>
      <c r="F9" s="47" t="s">
        <v>18</v>
      </c>
      <c r="G9" s="147" t="s">
        <v>54</v>
      </c>
      <c r="H9" s="148"/>
      <c r="I9" s="148"/>
      <c r="J9" s="54" t="s">
        <v>165</v>
      </c>
      <c r="K9" s="2" t="s">
        <v>58</v>
      </c>
      <c r="L9" s="2"/>
      <c r="M9" s="142" t="s">
        <v>242</v>
      </c>
    </row>
    <row r="10" spans="1:16" x14ac:dyDescent="0.25">
      <c r="A10" s="29" t="s">
        <v>88</v>
      </c>
      <c r="B10" s="155" t="s">
        <v>239</v>
      </c>
      <c r="C10" s="156"/>
      <c r="D10" s="47" t="s">
        <v>43</v>
      </c>
      <c r="E10" s="47" t="s">
        <v>56</v>
      </c>
      <c r="F10" s="47" t="s">
        <v>39</v>
      </c>
      <c r="G10" s="147" t="s">
        <v>44</v>
      </c>
      <c r="H10" s="148"/>
      <c r="I10" s="148"/>
      <c r="J10" s="47"/>
      <c r="K10" s="2" t="s">
        <v>58</v>
      </c>
      <c r="L10" s="2">
        <v>5</v>
      </c>
      <c r="M10" s="142" t="s">
        <v>242</v>
      </c>
      <c r="N10" s="36" t="s">
        <v>107</v>
      </c>
    </row>
    <row r="11" spans="1:16" ht="15" customHeight="1" x14ac:dyDescent="0.25">
      <c r="A11" s="29" t="s">
        <v>88</v>
      </c>
      <c r="B11" s="153" t="s">
        <v>133</v>
      </c>
      <c r="C11" s="154"/>
      <c r="D11" s="139" t="s">
        <v>41</v>
      </c>
      <c r="E11" s="139" t="s">
        <v>51</v>
      </c>
      <c r="F11" s="139" t="s">
        <v>39</v>
      </c>
      <c r="G11" s="147" t="s">
        <v>42</v>
      </c>
      <c r="H11" s="148"/>
      <c r="I11" s="148"/>
      <c r="J11" s="139"/>
      <c r="K11" s="2" t="s">
        <v>104</v>
      </c>
      <c r="L11" s="2"/>
      <c r="M11" s="142" t="s">
        <v>242</v>
      </c>
    </row>
    <row r="12" spans="1:16" ht="15" customHeight="1" x14ac:dyDescent="0.25">
      <c r="A12" s="29" t="s">
        <v>88</v>
      </c>
      <c r="B12" s="153" t="s">
        <v>133</v>
      </c>
      <c r="C12" s="154"/>
      <c r="D12" s="47" t="s">
        <v>38</v>
      </c>
      <c r="E12" s="47" t="s">
        <v>51</v>
      </c>
      <c r="F12" s="47" t="s">
        <v>39</v>
      </c>
      <c r="G12" s="147" t="s">
        <v>40</v>
      </c>
      <c r="H12" s="148"/>
      <c r="I12" s="148"/>
      <c r="J12" s="47"/>
      <c r="K12" s="2" t="s">
        <v>104</v>
      </c>
      <c r="L12" s="2"/>
      <c r="M12" s="142" t="s">
        <v>242</v>
      </c>
    </row>
    <row r="13" spans="1:16" ht="15" customHeight="1" x14ac:dyDescent="0.25">
      <c r="A13" s="30" t="s">
        <v>89</v>
      </c>
      <c r="B13" s="153" t="s">
        <v>133</v>
      </c>
      <c r="C13" s="154"/>
      <c r="D13" s="47" t="s">
        <v>17</v>
      </c>
      <c r="E13" s="47" t="s">
        <v>51</v>
      </c>
      <c r="F13" s="47" t="s">
        <v>18</v>
      </c>
      <c r="G13" s="147" t="s">
        <v>19</v>
      </c>
      <c r="H13" s="148"/>
      <c r="I13" s="148"/>
      <c r="J13" s="47" t="s">
        <v>20</v>
      </c>
      <c r="K13" s="2" t="s">
        <v>58</v>
      </c>
      <c r="L13" s="2"/>
      <c r="M13" s="142" t="s">
        <v>242</v>
      </c>
    </row>
    <row r="14" spans="1:16" ht="15" customHeight="1" x14ac:dyDescent="0.25">
      <c r="A14" s="29" t="s">
        <v>88</v>
      </c>
      <c r="B14" s="153" t="s">
        <v>133</v>
      </c>
      <c r="C14" s="154"/>
      <c r="D14" s="47" t="s">
        <v>45</v>
      </c>
      <c r="E14" s="47" t="s">
        <v>56</v>
      </c>
      <c r="F14" s="47" t="s">
        <v>39</v>
      </c>
      <c r="G14" s="147" t="s">
        <v>46</v>
      </c>
      <c r="H14" s="148"/>
      <c r="I14" s="148"/>
      <c r="J14" s="3"/>
      <c r="K14" s="2" t="s">
        <v>58</v>
      </c>
      <c r="L14" s="2">
        <v>4</v>
      </c>
      <c r="M14" s="142" t="s">
        <v>242</v>
      </c>
      <c r="N14" s="36" t="s">
        <v>109</v>
      </c>
      <c r="O14" s="48"/>
      <c r="P14" s="48"/>
    </row>
    <row r="15" spans="1:16" ht="15" customHeight="1" x14ac:dyDescent="0.25">
      <c r="A15" s="30" t="s">
        <v>89</v>
      </c>
      <c r="B15" s="153" t="s">
        <v>133</v>
      </c>
      <c r="C15" s="154"/>
      <c r="D15" s="119" t="s">
        <v>90</v>
      </c>
      <c r="E15" s="45" t="s">
        <v>51</v>
      </c>
      <c r="F15" s="45" t="s">
        <v>39</v>
      </c>
      <c r="G15" s="147"/>
      <c r="H15" s="148"/>
      <c r="I15" s="148"/>
      <c r="J15" s="3"/>
      <c r="K15" s="2" t="s">
        <v>58</v>
      </c>
      <c r="L15" s="2">
        <v>5</v>
      </c>
      <c r="M15" s="142" t="s">
        <v>243</v>
      </c>
    </row>
    <row r="16" spans="1:16" ht="15" customHeight="1" x14ac:dyDescent="0.25">
      <c r="A16" s="30" t="s">
        <v>89</v>
      </c>
      <c r="B16" s="153" t="s">
        <v>133</v>
      </c>
      <c r="C16" s="154"/>
      <c r="D16" s="27" t="s">
        <v>9</v>
      </c>
      <c r="E16" s="47" t="s">
        <v>51</v>
      </c>
      <c r="F16" s="47" t="s">
        <v>10</v>
      </c>
      <c r="G16" s="147" t="s">
        <v>11</v>
      </c>
      <c r="H16" s="148"/>
      <c r="I16" s="148"/>
      <c r="J16" s="47" t="s">
        <v>12</v>
      </c>
      <c r="K16" s="2" t="s">
        <v>104</v>
      </c>
      <c r="L16" s="2"/>
      <c r="M16" s="142" t="s">
        <v>242</v>
      </c>
    </row>
    <row r="17" spans="1:14" ht="15" customHeight="1" x14ac:dyDescent="0.25">
      <c r="A17" s="28" t="s">
        <v>87</v>
      </c>
      <c r="B17" s="153" t="s">
        <v>133</v>
      </c>
      <c r="C17" s="154"/>
      <c r="D17" s="27" t="s">
        <v>7</v>
      </c>
      <c r="E17" s="47" t="s">
        <v>5</v>
      </c>
      <c r="F17" s="47" t="s">
        <v>5</v>
      </c>
      <c r="G17" s="147" t="s">
        <v>8</v>
      </c>
      <c r="H17" s="163"/>
      <c r="I17" s="163"/>
      <c r="J17" s="47"/>
      <c r="K17" s="2"/>
      <c r="L17" s="2"/>
      <c r="M17" s="2" t="s">
        <v>242</v>
      </c>
    </row>
    <row r="18" spans="1:14" ht="15" customHeight="1" x14ac:dyDescent="0.25">
      <c r="A18" s="30" t="s">
        <v>89</v>
      </c>
      <c r="B18" s="157" t="s">
        <v>238</v>
      </c>
      <c r="C18" s="158"/>
      <c r="D18" s="27"/>
      <c r="E18" s="47" t="s">
        <v>51</v>
      </c>
      <c r="F18" s="47" t="s">
        <v>10</v>
      </c>
      <c r="G18" s="147" t="s">
        <v>21</v>
      </c>
      <c r="H18" s="148"/>
      <c r="I18" s="148"/>
      <c r="J18" s="47" t="s">
        <v>91</v>
      </c>
      <c r="K18" s="2"/>
      <c r="L18" s="2"/>
      <c r="M18" s="2" t="s">
        <v>242</v>
      </c>
    </row>
    <row r="19" spans="1:14" ht="15" customHeight="1" x14ac:dyDescent="0.25">
      <c r="A19" s="30" t="s">
        <v>89</v>
      </c>
      <c r="B19" s="159"/>
      <c r="C19" s="160"/>
      <c r="D19" s="27" t="s">
        <v>23</v>
      </c>
      <c r="E19" s="47" t="s">
        <v>51</v>
      </c>
      <c r="F19" s="47" t="s">
        <v>24</v>
      </c>
      <c r="G19" s="147" t="s">
        <v>25</v>
      </c>
      <c r="H19" s="148"/>
      <c r="I19" s="148"/>
      <c r="J19" s="47" t="s">
        <v>26</v>
      </c>
      <c r="K19" s="2"/>
      <c r="L19" s="2"/>
      <c r="M19" s="2" t="s">
        <v>242</v>
      </c>
    </row>
    <row r="20" spans="1:14" ht="30" x14ac:dyDescent="0.25">
      <c r="A20" s="30" t="s">
        <v>89</v>
      </c>
      <c r="B20" s="161"/>
      <c r="C20" s="162"/>
      <c r="D20" s="27"/>
      <c r="E20" s="47" t="s">
        <v>51</v>
      </c>
      <c r="F20" s="47" t="s">
        <v>24</v>
      </c>
      <c r="G20" s="147" t="s">
        <v>37</v>
      </c>
      <c r="H20" s="148"/>
      <c r="I20" s="148"/>
      <c r="J20" s="45" t="s">
        <v>92</v>
      </c>
      <c r="K20" s="2"/>
      <c r="L20" s="2"/>
      <c r="M20" s="31" t="s">
        <v>242</v>
      </c>
    </row>
    <row r="21" spans="1:14" ht="15" customHeight="1" x14ac:dyDescent="0.25">
      <c r="A21" s="30" t="s">
        <v>89</v>
      </c>
      <c r="B21" s="153" t="s">
        <v>133</v>
      </c>
      <c r="C21" s="154"/>
      <c r="D21" s="27"/>
      <c r="E21" s="47" t="s">
        <v>51</v>
      </c>
      <c r="F21" s="47" t="s">
        <v>24</v>
      </c>
      <c r="G21" s="147" t="s">
        <v>102</v>
      </c>
      <c r="H21" s="148"/>
      <c r="I21" s="148"/>
      <c r="J21" s="47" t="s">
        <v>26</v>
      </c>
      <c r="K21" s="2" t="s">
        <v>58</v>
      </c>
      <c r="L21" s="2"/>
      <c r="M21" s="2" t="s">
        <v>243</v>
      </c>
    </row>
    <row r="22" spans="1:14" ht="15" customHeight="1" x14ac:dyDescent="0.25">
      <c r="A22" s="30" t="s">
        <v>89</v>
      </c>
      <c r="B22" s="153" t="s">
        <v>133</v>
      </c>
      <c r="C22" s="154"/>
      <c r="D22" s="27"/>
      <c r="E22" s="47" t="s">
        <v>51</v>
      </c>
      <c r="F22" s="47" t="s">
        <v>24</v>
      </c>
      <c r="G22" s="147" t="s">
        <v>103</v>
      </c>
      <c r="H22" s="148"/>
      <c r="I22" s="148"/>
      <c r="J22" s="47" t="s">
        <v>26</v>
      </c>
      <c r="K22" s="2" t="s">
        <v>58</v>
      </c>
      <c r="L22" s="2"/>
      <c r="M22" s="2" t="s">
        <v>243</v>
      </c>
    </row>
    <row r="23" spans="1:14" x14ac:dyDescent="0.25">
      <c r="A23" s="28" t="s">
        <v>87</v>
      </c>
      <c r="B23" s="164" t="s">
        <v>96</v>
      </c>
      <c r="C23" s="165"/>
      <c r="D23" s="119" t="s">
        <v>93</v>
      </c>
      <c r="E23" s="47" t="s">
        <v>5</v>
      </c>
      <c r="F23" s="47"/>
      <c r="G23" s="147" t="s">
        <v>29</v>
      </c>
      <c r="H23" s="148"/>
      <c r="I23" s="148"/>
      <c r="J23" s="47" t="s">
        <v>30</v>
      </c>
      <c r="K23" s="2"/>
      <c r="L23" s="2"/>
      <c r="M23" s="2" t="s">
        <v>243</v>
      </c>
    </row>
    <row r="24" spans="1:14" x14ac:dyDescent="0.25">
      <c r="A24" s="28" t="s">
        <v>87</v>
      </c>
      <c r="B24" s="165"/>
      <c r="C24" s="165"/>
      <c r="D24" s="119" t="s">
        <v>94</v>
      </c>
      <c r="E24" s="47" t="s">
        <v>5</v>
      </c>
      <c r="F24" s="47"/>
      <c r="G24" s="147" t="s">
        <v>31</v>
      </c>
      <c r="H24" s="148"/>
      <c r="I24" s="148"/>
      <c r="J24" s="47" t="s">
        <v>30</v>
      </c>
      <c r="K24" s="2"/>
      <c r="L24" s="2"/>
      <c r="M24" s="2" t="s">
        <v>243</v>
      </c>
    </row>
    <row r="25" spans="1:14" ht="30" customHeight="1" x14ac:dyDescent="0.25">
      <c r="A25" s="28" t="s">
        <v>87</v>
      </c>
      <c r="B25" s="164" t="s">
        <v>95</v>
      </c>
      <c r="C25" s="165"/>
      <c r="D25" s="27"/>
      <c r="E25" s="47" t="s">
        <v>5</v>
      </c>
      <c r="F25" s="47" t="s">
        <v>24</v>
      </c>
      <c r="G25" s="147" t="s">
        <v>27</v>
      </c>
      <c r="H25" s="148"/>
      <c r="I25" s="148"/>
      <c r="J25" s="47" t="s">
        <v>28</v>
      </c>
      <c r="K25" s="2"/>
      <c r="L25" s="2"/>
      <c r="M25" s="2" t="s">
        <v>243</v>
      </c>
    </row>
    <row r="26" spans="1:14" ht="15" customHeight="1" x14ac:dyDescent="0.25">
      <c r="A26" s="28" t="s">
        <v>87</v>
      </c>
      <c r="B26" s="153" t="s">
        <v>133</v>
      </c>
      <c r="C26" s="154"/>
      <c r="D26" s="27"/>
      <c r="E26" s="47" t="s">
        <v>5</v>
      </c>
      <c r="F26" s="47" t="s">
        <v>5</v>
      </c>
      <c r="G26" s="147" t="s">
        <v>6</v>
      </c>
      <c r="H26" s="148"/>
      <c r="I26" s="148"/>
      <c r="J26" s="47"/>
      <c r="K26" s="2"/>
      <c r="L26" s="2"/>
      <c r="M26" s="2" t="s">
        <v>243</v>
      </c>
    </row>
    <row r="27" spans="1:14" x14ac:dyDescent="0.25">
      <c r="D27" s="120"/>
    </row>
    <row r="28" spans="1:14" ht="15.75" x14ac:dyDescent="0.25">
      <c r="A28" s="167" t="s">
        <v>129</v>
      </c>
      <c r="B28" s="168"/>
      <c r="D28" s="120"/>
    </row>
    <row r="29" spans="1:14" s="15" customFormat="1" x14ac:dyDescent="0.25">
      <c r="A29" s="4" t="s">
        <v>101</v>
      </c>
      <c r="B29" s="151" t="s">
        <v>48</v>
      </c>
      <c r="C29" s="148"/>
      <c r="D29" s="121" t="s">
        <v>0</v>
      </c>
      <c r="E29" s="46" t="s">
        <v>50</v>
      </c>
      <c r="F29" s="46" t="s">
        <v>1</v>
      </c>
      <c r="G29" s="152" t="s">
        <v>2</v>
      </c>
      <c r="H29" s="148"/>
      <c r="I29" s="148"/>
      <c r="J29" s="46" t="s">
        <v>3</v>
      </c>
      <c r="K29" s="35" t="s">
        <v>4</v>
      </c>
      <c r="L29" s="35" t="s">
        <v>105</v>
      </c>
      <c r="M29" s="4"/>
      <c r="N29" s="39"/>
    </row>
    <row r="30" spans="1:14" x14ac:dyDescent="0.25">
      <c r="A30" s="29" t="s">
        <v>88</v>
      </c>
      <c r="B30" s="145" t="s">
        <v>132</v>
      </c>
      <c r="C30" s="146"/>
      <c r="D30" s="27" t="s">
        <v>84</v>
      </c>
      <c r="E30" s="47" t="s">
        <v>55</v>
      </c>
      <c r="F30" s="47" t="s">
        <v>5</v>
      </c>
      <c r="G30" s="147" t="s">
        <v>122</v>
      </c>
      <c r="H30" s="148"/>
      <c r="I30" s="148"/>
      <c r="J30" s="47"/>
      <c r="K30" s="2" t="s">
        <v>104</v>
      </c>
      <c r="L30" s="2"/>
      <c r="M30" s="142" t="s">
        <v>242</v>
      </c>
    </row>
    <row r="31" spans="1:14" x14ac:dyDescent="0.25">
      <c r="A31" s="29" t="s">
        <v>88</v>
      </c>
      <c r="B31" s="145" t="s">
        <v>132</v>
      </c>
      <c r="C31" s="146"/>
      <c r="D31" s="27" t="s">
        <v>85</v>
      </c>
      <c r="E31" s="47" t="s">
        <v>57</v>
      </c>
      <c r="F31" s="47" t="s">
        <v>5</v>
      </c>
      <c r="G31" s="147" t="s">
        <v>124</v>
      </c>
      <c r="H31" s="148"/>
      <c r="I31" s="148"/>
      <c r="J31" s="47"/>
      <c r="K31" s="2" t="s">
        <v>104</v>
      </c>
      <c r="L31" s="2"/>
      <c r="M31" s="142" t="s">
        <v>242</v>
      </c>
    </row>
    <row r="32" spans="1:14" x14ac:dyDescent="0.25">
      <c r="A32" s="29" t="s">
        <v>88</v>
      </c>
      <c r="B32" s="145" t="s">
        <v>132</v>
      </c>
      <c r="C32" s="146"/>
      <c r="D32" s="27" t="s">
        <v>86</v>
      </c>
      <c r="E32" s="47" t="s">
        <v>55</v>
      </c>
      <c r="F32" s="47" t="s">
        <v>5</v>
      </c>
      <c r="G32" s="147" t="s">
        <v>16</v>
      </c>
      <c r="H32" s="148"/>
      <c r="I32" s="148"/>
      <c r="J32" s="47"/>
      <c r="K32" s="2" t="s">
        <v>104</v>
      </c>
      <c r="L32" s="2"/>
      <c r="M32" s="142" t="s">
        <v>242</v>
      </c>
    </row>
    <row r="33" spans="1:14" ht="30" customHeight="1" x14ac:dyDescent="0.25">
      <c r="A33" s="30" t="s">
        <v>89</v>
      </c>
      <c r="B33" s="176" t="s">
        <v>111</v>
      </c>
      <c r="C33" s="177"/>
      <c r="D33" s="122"/>
      <c r="E33" s="45"/>
      <c r="F33" s="47"/>
      <c r="G33" s="178" t="s">
        <v>112</v>
      </c>
      <c r="H33" s="163"/>
      <c r="I33" s="163"/>
      <c r="J33" s="31"/>
      <c r="K33" s="31"/>
      <c r="L33" s="12"/>
      <c r="M33" s="2" t="s">
        <v>243</v>
      </c>
      <c r="N33" s="49" t="s">
        <v>113</v>
      </c>
    </row>
    <row r="34" spans="1:14" ht="31.5" customHeight="1" x14ac:dyDescent="0.25">
      <c r="A34" s="30" t="s">
        <v>89</v>
      </c>
      <c r="B34" s="176" t="s">
        <v>111</v>
      </c>
      <c r="C34" s="177"/>
      <c r="D34" s="122"/>
      <c r="E34" s="45"/>
      <c r="F34" s="47"/>
      <c r="G34" s="178" t="s">
        <v>114</v>
      </c>
      <c r="H34" s="163"/>
      <c r="I34" s="163"/>
      <c r="J34" s="31"/>
      <c r="K34" s="31"/>
      <c r="L34" s="12"/>
      <c r="M34" s="2" t="s">
        <v>243</v>
      </c>
      <c r="N34" s="49" t="s">
        <v>115</v>
      </c>
    </row>
    <row r="35" spans="1:14" ht="31.5" customHeight="1" x14ac:dyDescent="0.25">
      <c r="A35" s="30" t="s">
        <v>89</v>
      </c>
      <c r="B35" s="155" t="s">
        <v>239</v>
      </c>
      <c r="C35" s="156"/>
      <c r="D35" s="122"/>
      <c r="E35" s="140"/>
      <c r="F35" s="141"/>
      <c r="G35" s="178" t="s">
        <v>245</v>
      </c>
      <c r="H35" s="163"/>
      <c r="I35" s="163"/>
      <c r="J35" s="31"/>
      <c r="K35" s="31"/>
      <c r="L35" s="12"/>
      <c r="M35" s="4" t="s">
        <v>247</v>
      </c>
      <c r="N35" s="143"/>
    </row>
    <row r="36" spans="1:14" ht="31.5" customHeight="1" x14ac:dyDescent="0.25">
      <c r="A36" s="30" t="s">
        <v>89</v>
      </c>
      <c r="B36" s="155" t="s">
        <v>239</v>
      </c>
      <c r="C36" s="156"/>
      <c r="D36" s="122"/>
      <c r="E36" s="140"/>
      <c r="F36" s="141"/>
      <c r="G36" s="178" t="s">
        <v>246</v>
      </c>
      <c r="H36" s="163"/>
      <c r="I36" s="163"/>
      <c r="J36" s="31"/>
      <c r="K36" s="31"/>
      <c r="L36" s="12"/>
      <c r="M36" s="4" t="s">
        <v>247</v>
      </c>
      <c r="N36" s="143"/>
    </row>
    <row r="41" spans="1:14" x14ac:dyDescent="0.25">
      <c r="B41" s="166" t="s">
        <v>97</v>
      </c>
      <c r="C41" s="154"/>
      <c r="D41" s="33"/>
      <c r="E41" s="33"/>
      <c r="F41" s="34"/>
      <c r="G41" s="34"/>
    </row>
    <row r="42" spans="1:14" x14ac:dyDescent="0.25">
      <c r="B42" s="175" t="s">
        <v>88</v>
      </c>
      <c r="C42" s="170"/>
      <c r="D42" s="171" t="s">
        <v>98</v>
      </c>
      <c r="E42" s="172"/>
      <c r="F42" s="172"/>
      <c r="G42" s="173"/>
      <c r="K42" s="40" t="s">
        <v>47</v>
      </c>
    </row>
    <row r="43" spans="1:14" x14ac:dyDescent="0.25">
      <c r="B43" s="169" t="s">
        <v>89</v>
      </c>
      <c r="C43" s="170"/>
      <c r="D43" s="171" t="s">
        <v>99</v>
      </c>
      <c r="E43" s="172"/>
      <c r="F43" s="172"/>
      <c r="G43" s="173"/>
      <c r="K43" s="38" t="s">
        <v>110</v>
      </c>
    </row>
    <row r="44" spans="1:14" x14ac:dyDescent="0.25">
      <c r="B44" s="174" t="s">
        <v>87</v>
      </c>
      <c r="C44" s="170"/>
      <c r="D44" s="171" t="s">
        <v>100</v>
      </c>
      <c r="E44" s="172"/>
      <c r="F44" s="172"/>
      <c r="G44" s="173"/>
    </row>
    <row r="46" spans="1:14" x14ac:dyDescent="0.25">
      <c r="B46" s="1"/>
      <c r="C46" s="5"/>
    </row>
    <row r="48" spans="1:14" s="15" customFormat="1" x14ac:dyDescent="0.25">
      <c r="C48" s="17"/>
    </row>
    <row r="52" spans="4:11" x14ac:dyDescent="0.25">
      <c r="D52" s="25"/>
      <c r="K52" s="32"/>
    </row>
    <row r="53" spans="4:11" x14ac:dyDescent="0.25">
      <c r="D53" s="25"/>
    </row>
    <row r="54" spans="4:11" x14ac:dyDescent="0.25">
      <c r="D54" s="25"/>
    </row>
    <row r="55" spans="4:11" x14ac:dyDescent="0.25">
      <c r="D55" s="25"/>
    </row>
    <row r="56" spans="4:11" x14ac:dyDescent="0.25">
      <c r="D56" s="25"/>
    </row>
    <row r="57" spans="4:11" x14ac:dyDescent="0.25">
      <c r="D57" s="25"/>
    </row>
    <row r="58" spans="4:11" x14ac:dyDescent="0.25">
      <c r="D58" s="25"/>
    </row>
  </sheetData>
  <autoFilter ref="A2:A46"/>
  <mergeCells count="72">
    <mergeCell ref="B43:C43"/>
    <mergeCell ref="D43:G43"/>
    <mergeCell ref="B44:C44"/>
    <mergeCell ref="D44:G44"/>
    <mergeCell ref="B29:C29"/>
    <mergeCell ref="G29:I29"/>
    <mergeCell ref="B42:C42"/>
    <mergeCell ref="D42:G42"/>
    <mergeCell ref="B33:C33"/>
    <mergeCell ref="G33:I33"/>
    <mergeCell ref="B34:C34"/>
    <mergeCell ref="G34:I34"/>
    <mergeCell ref="G35:I35"/>
    <mergeCell ref="G36:I36"/>
    <mergeCell ref="B35:C35"/>
    <mergeCell ref="B36:C36"/>
    <mergeCell ref="B25:C25"/>
    <mergeCell ref="G25:I25"/>
    <mergeCell ref="B26:C26"/>
    <mergeCell ref="G26:I26"/>
    <mergeCell ref="B41:C41"/>
    <mergeCell ref="A28:B28"/>
    <mergeCell ref="B32:C32"/>
    <mergeCell ref="G32:I32"/>
    <mergeCell ref="B30:C30"/>
    <mergeCell ref="G30:I30"/>
    <mergeCell ref="B31:C31"/>
    <mergeCell ref="G31:I31"/>
    <mergeCell ref="B22:C22"/>
    <mergeCell ref="G22:I22"/>
    <mergeCell ref="B23:C24"/>
    <mergeCell ref="G23:I23"/>
    <mergeCell ref="G24:I24"/>
    <mergeCell ref="B7:C7"/>
    <mergeCell ref="G7:I7"/>
    <mergeCell ref="B17:C17"/>
    <mergeCell ref="G17:I17"/>
    <mergeCell ref="B14:C14"/>
    <mergeCell ref="G14:I14"/>
    <mergeCell ref="B15:C15"/>
    <mergeCell ref="G15:I15"/>
    <mergeCell ref="B16:C16"/>
    <mergeCell ref="G16:I16"/>
    <mergeCell ref="B11:C11"/>
    <mergeCell ref="G11:I11"/>
    <mergeCell ref="B18:C20"/>
    <mergeCell ref="G18:I18"/>
    <mergeCell ref="G19:I19"/>
    <mergeCell ref="G20:I20"/>
    <mergeCell ref="B21:C21"/>
    <mergeCell ref="G21:I21"/>
    <mergeCell ref="B4:C4"/>
    <mergeCell ref="G4:I4"/>
    <mergeCell ref="B12:C12"/>
    <mergeCell ref="G12:I12"/>
    <mergeCell ref="B13:C13"/>
    <mergeCell ref="G13:I13"/>
    <mergeCell ref="B8:C8"/>
    <mergeCell ref="G8:I8"/>
    <mergeCell ref="B9:C9"/>
    <mergeCell ref="G9:I9"/>
    <mergeCell ref="B10:C10"/>
    <mergeCell ref="G10:I10"/>
    <mergeCell ref="B5:C5"/>
    <mergeCell ref="G5:I5"/>
    <mergeCell ref="B6:C6"/>
    <mergeCell ref="G6:I6"/>
    <mergeCell ref="B3:C3"/>
    <mergeCell ref="G3:I3"/>
    <mergeCell ref="A1:B1"/>
    <mergeCell ref="B2:C2"/>
    <mergeCell ref="G2:I2"/>
  </mergeCells>
  <conditionalFormatting sqref="K23:L26 K16:L21 K3:L10 K30:L31 K12:L14">
    <cfRule type="containsText" dxfId="200" priority="30" operator="containsText" text="No">
      <formula>NOT(ISERROR(SEARCH("No",K3)))</formula>
    </cfRule>
    <cfRule type="containsText" dxfId="199" priority="31" operator="containsText" text="Yes">
      <formula>NOT(ISERROR(SEARCH("Yes",K3)))</formula>
    </cfRule>
  </conditionalFormatting>
  <conditionalFormatting sqref="K32:L32">
    <cfRule type="containsText" dxfId="198" priority="27" operator="containsText" text="No">
      <formula>NOT(ISERROR(SEARCH("No",K32)))</formula>
    </cfRule>
    <cfRule type="containsText" dxfId="197" priority="28" operator="containsText" text="Yes">
      <formula>NOT(ISERROR(SEARCH("Yes",K32)))</formula>
    </cfRule>
  </conditionalFormatting>
  <conditionalFormatting sqref="K22:L22">
    <cfRule type="containsText" dxfId="196" priority="24" operator="containsText" text="No">
      <formula>NOT(ISERROR(SEARCH("No",K22)))</formula>
    </cfRule>
    <cfRule type="containsText" dxfId="195" priority="25" operator="containsText" text="Yes">
      <formula>NOT(ISERROR(SEARCH("Yes",K22)))</formula>
    </cfRule>
  </conditionalFormatting>
  <conditionalFormatting sqref="K15:L15">
    <cfRule type="containsText" dxfId="194" priority="21" operator="containsText" text="No">
      <formula>NOT(ISERROR(SEARCH("No",K15)))</formula>
    </cfRule>
    <cfRule type="containsText" dxfId="193" priority="22" operator="containsText" text="Yes">
      <formula>NOT(ISERROR(SEARCH("Yes",K15)))</formula>
    </cfRule>
  </conditionalFormatting>
  <conditionalFormatting sqref="M3:M36">
    <cfRule type="containsText" dxfId="192" priority="19" operator="containsText" text="No Test">
      <formula>NOT(ISERROR(SEARCH("No Test",M3)))</formula>
    </cfRule>
    <cfRule type="containsText" dxfId="191" priority="20" operator="containsText" text="Tested">
      <formula>NOT(ISERROR(SEARCH("Tested",M3)))</formula>
    </cfRule>
  </conditionalFormatting>
  <conditionalFormatting sqref="K33:K36">
    <cfRule type="containsText" dxfId="190" priority="17" operator="containsText" text="No">
      <formula>NOT(ISERROR(SEARCH("No",K33)))</formula>
    </cfRule>
    <cfRule type="containsText" dxfId="189" priority="18" operator="containsText" text="Yes">
      <formula>NOT(ISERROR(SEARCH("Yes",K33)))</formula>
    </cfRule>
  </conditionalFormatting>
  <conditionalFormatting sqref="K11:L11">
    <cfRule type="containsText" dxfId="188" priority="5" operator="containsText" text="No">
      <formula>NOT(ISERROR(SEARCH("No",K11)))</formula>
    </cfRule>
    <cfRule type="containsText" dxfId="187" priority="6" operator="containsText" text="Yes">
      <formula>NOT(ISERROR(SEARCH("Yes",K11)))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FF00"/>
  </sheetPr>
  <dimension ref="A1:B4"/>
  <sheetViews>
    <sheetView workbookViewId="0">
      <selection activeCell="G22" sqref="G22"/>
    </sheetView>
  </sheetViews>
  <sheetFormatPr defaultRowHeight="15" x14ac:dyDescent="0.25"/>
  <cols>
    <col min="1" max="2" width="14.42578125" bestFit="1" customWidth="1"/>
  </cols>
  <sheetData>
    <row r="1" spans="1:2" x14ac:dyDescent="0.25">
      <c r="A1" s="18" t="s">
        <v>68</v>
      </c>
      <c r="B1" s="15">
        <v>123456</v>
      </c>
    </row>
    <row r="2" spans="1:2" x14ac:dyDescent="0.25">
      <c r="A2" s="18" t="s">
        <v>69</v>
      </c>
      <c r="B2" s="15" t="s">
        <v>211</v>
      </c>
    </row>
    <row r="3" spans="1:2" x14ac:dyDescent="0.25">
      <c r="A3" s="18" t="s">
        <v>70</v>
      </c>
      <c r="B3" s="15" t="s">
        <v>212</v>
      </c>
    </row>
    <row r="4" spans="1:2" x14ac:dyDescent="0.25">
      <c r="A4" s="18" t="s">
        <v>80</v>
      </c>
      <c r="B4" s="15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00FF"/>
  </sheetPr>
  <dimension ref="A1:R85"/>
  <sheetViews>
    <sheetView zoomScale="80" zoomScaleNormal="80" workbookViewId="0">
      <selection sqref="A1:B1"/>
    </sheetView>
  </sheetViews>
  <sheetFormatPr defaultRowHeight="12.75" x14ac:dyDescent="0.2"/>
  <cols>
    <col min="1" max="1" width="12.7109375" style="76" customWidth="1"/>
    <col min="2" max="2" width="40.28515625" style="76" customWidth="1"/>
    <col min="3" max="3" width="20" style="75" bestFit="1" customWidth="1"/>
    <col min="4" max="4" width="12" style="76" bestFit="1" customWidth="1"/>
    <col min="5" max="5" width="15.28515625" style="76" customWidth="1"/>
    <col min="6" max="6" width="9.85546875" style="76" bestFit="1" customWidth="1"/>
    <col min="7" max="7" width="12.28515625" style="77" bestFit="1" customWidth="1"/>
    <col min="8" max="8" width="12.140625" style="77" customWidth="1"/>
    <col min="9" max="9" width="40.28515625" style="76" customWidth="1"/>
    <col min="10" max="10" width="7.7109375" style="77" bestFit="1" customWidth="1"/>
    <col min="11" max="11" width="12" style="76" bestFit="1" customWidth="1"/>
    <col min="12" max="12" width="5.7109375" style="76" bestFit="1" customWidth="1"/>
    <col min="13" max="13" width="12.42578125" style="76" customWidth="1"/>
    <col min="14" max="14" width="13.7109375" style="76" bestFit="1" customWidth="1"/>
    <col min="15" max="15" width="57.140625" style="76" bestFit="1" customWidth="1"/>
    <col min="16" max="16" width="9.140625" style="76"/>
    <col min="17" max="17" width="15.140625" style="76" bestFit="1" customWidth="1"/>
    <col min="18" max="18" width="28.85546875" style="76" bestFit="1" customWidth="1"/>
    <col min="19" max="16384" width="9.140625" style="76"/>
  </cols>
  <sheetData>
    <row r="1" spans="1:16" ht="15.75" customHeight="1" x14ac:dyDescent="0.2">
      <c r="A1" s="186" t="s">
        <v>130</v>
      </c>
      <c r="B1" s="187"/>
      <c r="C1" s="108"/>
      <c r="D1" s="9"/>
    </row>
    <row r="2" spans="1:16" ht="25.5" x14ac:dyDescent="0.2">
      <c r="A2" s="8" t="s">
        <v>101</v>
      </c>
      <c r="B2" s="8" t="s">
        <v>2</v>
      </c>
      <c r="C2" s="73" t="s">
        <v>188</v>
      </c>
      <c r="D2" s="10" t="s">
        <v>155</v>
      </c>
      <c r="E2" s="10" t="s">
        <v>118</v>
      </c>
      <c r="F2" s="9" t="s">
        <v>61</v>
      </c>
      <c r="G2" s="10" t="s">
        <v>117</v>
      </c>
      <c r="H2" s="78" t="s">
        <v>72</v>
      </c>
      <c r="I2" s="8" t="s">
        <v>2</v>
      </c>
      <c r="J2" s="22" t="s">
        <v>73</v>
      </c>
      <c r="K2" s="22" t="s">
        <v>138</v>
      </c>
      <c r="L2" s="10" t="s">
        <v>139</v>
      </c>
      <c r="M2" s="10" t="s">
        <v>62</v>
      </c>
      <c r="N2" s="16" t="s">
        <v>71</v>
      </c>
      <c r="O2" s="8" t="s">
        <v>63</v>
      </c>
    </row>
    <row r="3" spans="1:16" x14ac:dyDescent="0.2">
      <c r="A3" s="79" t="s">
        <v>88</v>
      </c>
      <c r="B3" s="80" t="s">
        <v>13</v>
      </c>
      <c r="C3" s="42">
        <f>IF(D3="","NT",IF(H3&lt;=5.6,-12+1.71*SQRT(H3),-6.7+13*LOG10((H3/7))))</f>
        <v>-12</v>
      </c>
      <c r="D3" s="52">
        <f t="shared" ref="D3:D5" si="0">+G3</f>
        <v>0</v>
      </c>
      <c r="E3" s="19" t="s">
        <v>121</v>
      </c>
      <c r="F3" s="50" t="str">
        <f>IF(D3="","Fail",IF(D3&lt;=C3,"Pass", "Fail"))</f>
        <v>Fail</v>
      </c>
      <c r="G3" s="81"/>
      <c r="H3" s="81"/>
      <c r="I3" s="80" t="str">
        <f t="shared" ref="I3:I37" si="1">+B3</f>
        <v>SDD22</v>
      </c>
      <c r="J3" s="20"/>
      <c r="K3" s="23"/>
      <c r="L3" s="10"/>
      <c r="M3" s="10"/>
      <c r="N3" s="16"/>
      <c r="O3" s="8"/>
      <c r="P3" s="138"/>
    </row>
    <row r="4" spans="1:16" x14ac:dyDescent="0.2">
      <c r="A4" s="79" t="s">
        <v>88</v>
      </c>
      <c r="B4" s="80" t="s">
        <v>14</v>
      </c>
      <c r="C4" s="41">
        <f>IF(D4="","NT",-2)</f>
        <v>-2</v>
      </c>
      <c r="D4" s="52">
        <f t="shared" si="0"/>
        <v>0</v>
      </c>
      <c r="E4" s="19" t="s">
        <v>121</v>
      </c>
      <c r="F4" s="50" t="str">
        <f t="shared" ref="F4" si="2">IF(D4="","Fail",IF(D4&lt;=C4,"Pass", "Fail"))</f>
        <v>Fail</v>
      </c>
      <c r="G4" s="81"/>
      <c r="H4" s="81"/>
      <c r="I4" s="80" t="str">
        <f t="shared" si="1"/>
        <v>SCC22</v>
      </c>
      <c r="J4" s="20"/>
      <c r="K4" s="23"/>
      <c r="L4" s="10"/>
      <c r="M4" s="10"/>
      <c r="N4" s="16"/>
      <c r="O4" s="8"/>
    </row>
    <row r="5" spans="1:16" x14ac:dyDescent="0.2">
      <c r="A5" s="79" t="s">
        <v>88</v>
      </c>
      <c r="B5" s="80" t="s">
        <v>15</v>
      </c>
      <c r="C5" s="41">
        <f>IF(D5="","NT",-16+((2/3)*H5))</f>
        <v>-16</v>
      </c>
      <c r="D5" s="52">
        <f t="shared" si="0"/>
        <v>0</v>
      </c>
      <c r="E5" s="19" t="s">
        <v>121</v>
      </c>
      <c r="F5" s="50" t="str">
        <f t="shared" ref="F5" si="3">IF(D5="","Fail",IF(D5&lt;=C5,"Pass", "Fail"))</f>
        <v>Fail</v>
      </c>
      <c r="G5" s="81"/>
      <c r="H5" s="81"/>
      <c r="I5" s="80" t="str">
        <f t="shared" si="1"/>
        <v>SDC22</v>
      </c>
      <c r="J5" s="20"/>
      <c r="K5" s="23"/>
      <c r="L5" s="10"/>
      <c r="M5" s="10"/>
      <c r="N5" s="16"/>
      <c r="O5" s="8"/>
    </row>
    <row r="6" spans="1:16" x14ac:dyDescent="0.2">
      <c r="A6" s="79" t="s">
        <v>88</v>
      </c>
      <c r="B6" s="124" t="s">
        <v>166</v>
      </c>
      <c r="C6" s="24">
        <v>0.15</v>
      </c>
      <c r="D6" s="83">
        <f>+K6</f>
        <v>0</v>
      </c>
      <c r="E6" s="19" t="s">
        <v>119</v>
      </c>
      <c r="F6" s="51" t="str">
        <f>IF(G6="","Fail",IF(D6&lt;=C6,"Pass", "Fail"))</f>
        <v>Fail</v>
      </c>
      <c r="G6" s="81"/>
      <c r="H6" s="20"/>
      <c r="I6" s="82" t="str">
        <f t="shared" si="1"/>
        <v>RJ - preset 0</v>
      </c>
      <c r="J6" s="20">
        <v>14.069000000000001</v>
      </c>
      <c r="K6" s="84">
        <f>(G6/1000)*J6</f>
        <v>0</v>
      </c>
      <c r="L6" s="21"/>
      <c r="M6" s="21"/>
      <c r="N6" s="21"/>
      <c r="O6" s="11" t="s">
        <v>136</v>
      </c>
    </row>
    <row r="7" spans="1:16" x14ac:dyDescent="0.2">
      <c r="A7" s="79" t="s">
        <v>88</v>
      </c>
      <c r="B7" s="124" t="s">
        <v>167</v>
      </c>
      <c r="C7" s="24">
        <v>0.15</v>
      </c>
      <c r="D7" s="83">
        <f t="shared" ref="D7:D8" si="4">+K7</f>
        <v>0</v>
      </c>
      <c r="E7" s="19" t="s">
        <v>119</v>
      </c>
      <c r="F7" s="51" t="str">
        <f t="shared" ref="F7:F8" si="5">IF(G7="","Fail",IF(D7&lt;=C7,"Pass", "Fail"))</f>
        <v>Fail</v>
      </c>
      <c r="G7" s="81"/>
      <c r="H7" s="20"/>
      <c r="I7" s="82" t="str">
        <f t="shared" si="1"/>
        <v>RJ - preset 15 - Amplitude 0</v>
      </c>
      <c r="J7" s="20">
        <v>14.069000000000001</v>
      </c>
      <c r="K7" s="84">
        <f t="shared" ref="K7:K8" si="6">(G7/1000)*J7</f>
        <v>0</v>
      </c>
      <c r="L7" s="21"/>
      <c r="M7" s="21"/>
      <c r="N7" s="21"/>
      <c r="O7" s="11" t="s">
        <v>136</v>
      </c>
    </row>
    <row r="8" spans="1:16" x14ac:dyDescent="0.2">
      <c r="A8" s="79" t="s">
        <v>88</v>
      </c>
      <c r="B8" s="124" t="s">
        <v>168</v>
      </c>
      <c r="C8" s="24">
        <v>0.15</v>
      </c>
      <c r="D8" s="83">
        <f t="shared" si="4"/>
        <v>0</v>
      </c>
      <c r="E8" s="19" t="s">
        <v>119</v>
      </c>
      <c r="F8" s="51" t="str">
        <f t="shared" si="5"/>
        <v>Fail</v>
      </c>
      <c r="G8" s="81"/>
      <c r="H8" s="20"/>
      <c r="I8" s="82" t="str">
        <f t="shared" si="1"/>
        <v>RJ - preset 15 - Amplitude 1</v>
      </c>
      <c r="J8" s="20">
        <v>14.069000000000001</v>
      </c>
      <c r="K8" s="84">
        <f t="shared" si="6"/>
        <v>0</v>
      </c>
      <c r="L8" s="21"/>
      <c r="M8" s="21"/>
      <c r="N8" s="21"/>
      <c r="O8" s="11" t="s">
        <v>136</v>
      </c>
    </row>
    <row r="9" spans="1:16" x14ac:dyDescent="0.2">
      <c r="A9" s="79" t="s">
        <v>88</v>
      </c>
      <c r="B9" s="124" t="s">
        <v>169</v>
      </c>
      <c r="C9" s="24">
        <v>3.5000000000000003E-2</v>
      </c>
      <c r="D9" s="83">
        <f t="shared" ref="D9:D17" si="7">+K9</f>
        <v>0</v>
      </c>
      <c r="E9" s="21" t="s">
        <v>119</v>
      </c>
      <c r="F9" s="50" t="str">
        <f>IF(G9="","Fail",IF(D9&lt;=C9,"Pass", "Fail"))</f>
        <v>Fail</v>
      </c>
      <c r="G9" s="81"/>
      <c r="H9" s="20"/>
      <c r="I9" s="82" t="str">
        <f t="shared" si="1"/>
        <v>DCD - preset 0</v>
      </c>
      <c r="J9" s="20">
        <v>1000</v>
      </c>
      <c r="K9" s="84">
        <f>+G9/J9</f>
        <v>0</v>
      </c>
      <c r="L9" s="21"/>
      <c r="M9" s="21"/>
      <c r="N9" s="21"/>
      <c r="O9" s="23" t="s">
        <v>74</v>
      </c>
    </row>
    <row r="10" spans="1:16" x14ac:dyDescent="0.2">
      <c r="A10" s="79" t="s">
        <v>88</v>
      </c>
      <c r="B10" s="124" t="s">
        <v>170</v>
      </c>
      <c r="C10" s="24">
        <v>3.5000000000000003E-2</v>
      </c>
      <c r="D10" s="83">
        <f t="shared" si="7"/>
        <v>0</v>
      </c>
      <c r="E10" s="21" t="s">
        <v>119</v>
      </c>
      <c r="F10" s="50" t="str">
        <f t="shared" ref="F10:F11" si="8">IF(G10="","Fail",IF(D10&lt;=C10,"Pass", "Fail"))</f>
        <v>Fail</v>
      </c>
      <c r="G10" s="81"/>
      <c r="H10" s="20"/>
      <c r="I10" s="82" t="str">
        <f t="shared" si="1"/>
        <v>DCD - preset 15 - amplitude 0</v>
      </c>
      <c r="J10" s="20">
        <v>1000</v>
      </c>
      <c r="K10" s="84">
        <f t="shared" ref="K10:K11" si="9">+G10/J10</f>
        <v>0</v>
      </c>
      <c r="L10" s="21"/>
      <c r="M10" s="21"/>
      <c r="N10" s="21"/>
      <c r="O10" s="23" t="s">
        <v>74</v>
      </c>
    </row>
    <row r="11" spans="1:16" x14ac:dyDescent="0.2">
      <c r="A11" s="79" t="s">
        <v>88</v>
      </c>
      <c r="B11" s="124" t="s">
        <v>171</v>
      </c>
      <c r="C11" s="24">
        <v>3.5000000000000003E-2</v>
      </c>
      <c r="D11" s="83">
        <f t="shared" si="7"/>
        <v>0</v>
      </c>
      <c r="E11" s="21" t="s">
        <v>119</v>
      </c>
      <c r="F11" s="50" t="str">
        <f t="shared" si="8"/>
        <v>Fail</v>
      </c>
      <c r="G11" s="81"/>
      <c r="H11" s="20"/>
      <c r="I11" s="82" t="str">
        <f t="shared" si="1"/>
        <v>DCD - preset 15 - amplitude 1</v>
      </c>
      <c r="J11" s="20">
        <v>1000</v>
      </c>
      <c r="K11" s="84">
        <f t="shared" si="9"/>
        <v>0</v>
      </c>
      <c r="L11" s="21"/>
      <c r="M11" s="21"/>
      <c r="N11" s="21"/>
      <c r="O11" s="23" t="s">
        <v>74</v>
      </c>
    </row>
    <row r="12" spans="1:16" x14ac:dyDescent="0.2">
      <c r="A12" s="79" t="s">
        <v>88</v>
      </c>
      <c r="B12" s="124" t="s">
        <v>172</v>
      </c>
      <c r="C12" s="24" t="s">
        <v>131</v>
      </c>
      <c r="D12" s="83">
        <f t="shared" si="7"/>
        <v>0</v>
      </c>
      <c r="E12" s="21" t="s">
        <v>119</v>
      </c>
      <c r="F12" s="50" t="s">
        <v>5</v>
      </c>
      <c r="G12" s="85"/>
      <c r="H12" s="20"/>
      <c r="I12" s="82" t="str">
        <f t="shared" si="1"/>
        <v>TJ - preset 0</v>
      </c>
      <c r="J12" s="20">
        <v>1000</v>
      </c>
      <c r="K12" s="84">
        <f>+G12/J12</f>
        <v>0</v>
      </c>
      <c r="L12" s="21"/>
      <c r="M12" s="21"/>
      <c r="N12" s="21"/>
      <c r="O12" s="23" t="s">
        <v>74</v>
      </c>
    </row>
    <row r="13" spans="1:16" x14ac:dyDescent="0.2">
      <c r="A13" s="79" t="s">
        <v>88</v>
      </c>
      <c r="B13" s="124" t="s">
        <v>173</v>
      </c>
      <c r="C13" s="24" t="s">
        <v>131</v>
      </c>
      <c r="D13" s="83">
        <f t="shared" si="7"/>
        <v>0</v>
      </c>
      <c r="E13" s="21" t="s">
        <v>119</v>
      </c>
      <c r="F13" s="50" t="s">
        <v>5</v>
      </c>
      <c r="G13" s="85"/>
      <c r="H13" s="20"/>
      <c r="I13" s="82" t="str">
        <f t="shared" si="1"/>
        <v>TJ - preset 15 - amplitude 0</v>
      </c>
      <c r="J13" s="20">
        <v>1000</v>
      </c>
      <c r="K13" s="84">
        <f t="shared" ref="K13:K14" si="10">+G13/J13</f>
        <v>0</v>
      </c>
      <c r="L13" s="21"/>
      <c r="M13" s="21"/>
      <c r="N13" s="21"/>
      <c r="O13" s="23" t="s">
        <v>74</v>
      </c>
    </row>
    <row r="14" spans="1:16" x14ac:dyDescent="0.2">
      <c r="A14" s="79" t="s">
        <v>88</v>
      </c>
      <c r="B14" s="124" t="s">
        <v>174</v>
      </c>
      <c r="C14" s="24" t="s">
        <v>131</v>
      </c>
      <c r="D14" s="83">
        <f t="shared" si="7"/>
        <v>0</v>
      </c>
      <c r="E14" s="21" t="s">
        <v>119</v>
      </c>
      <c r="F14" s="50" t="s">
        <v>5</v>
      </c>
      <c r="G14" s="85"/>
      <c r="H14" s="20"/>
      <c r="I14" s="82" t="str">
        <f t="shared" si="1"/>
        <v>TJ - preset 15 - amplitude 1</v>
      </c>
      <c r="J14" s="20">
        <v>1000</v>
      </c>
      <c r="K14" s="84">
        <f t="shared" si="10"/>
        <v>0</v>
      </c>
      <c r="L14" s="21"/>
      <c r="M14" s="21"/>
      <c r="N14" s="21"/>
      <c r="O14" s="23" t="s">
        <v>74</v>
      </c>
    </row>
    <row r="15" spans="1:16" x14ac:dyDescent="0.2">
      <c r="A15" s="79" t="s">
        <v>88</v>
      </c>
      <c r="B15" s="124" t="s">
        <v>175</v>
      </c>
      <c r="C15" s="24" t="s">
        <v>131</v>
      </c>
      <c r="D15" s="83">
        <f t="shared" si="7"/>
        <v>0</v>
      </c>
      <c r="E15" s="21" t="s">
        <v>119</v>
      </c>
      <c r="F15" s="50" t="s">
        <v>5</v>
      </c>
      <c r="G15" s="85"/>
      <c r="H15" s="20"/>
      <c r="I15" s="82" t="str">
        <f t="shared" si="1"/>
        <v>DDJ - preset 0</v>
      </c>
      <c r="J15" s="20">
        <v>1000</v>
      </c>
      <c r="K15" s="84">
        <f>+G15/J15</f>
        <v>0</v>
      </c>
      <c r="L15" s="21"/>
      <c r="M15" s="21"/>
      <c r="N15" s="21"/>
      <c r="O15" s="23" t="s">
        <v>74</v>
      </c>
    </row>
    <row r="16" spans="1:16" x14ac:dyDescent="0.2">
      <c r="A16" s="79" t="s">
        <v>88</v>
      </c>
      <c r="B16" s="124" t="s">
        <v>176</v>
      </c>
      <c r="C16" s="24" t="s">
        <v>131</v>
      </c>
      <c r="D16" s="83">
        <f t="shared" si="7"/>
        <v>0</v>
      </c>
      <c r="E16" s="21" t="s">
        <v>119</v>
      </c>
      <c r="F16" s="50" t="s">
        <v>5</v>
      </c>
      <c r="G16" s="85"/>
      <c r="H16" s="20"/>
      <c r="I16" s="82" t="str">
        <f t="shared" si="1"/>
        <v>DDJ - preset 15 - amplitude 0</v>
      </c>
      <c r="J16" s="20">
        <v>1000</v>
      </c>
      <c r="K16" s="84">
        <f t="shared" ref="K16:K17" si="11">+G16/J16</f>
        <v>0</v>
      </c>
      <c r="L16" s="21"/>
      <c r="M16" s="21"/>
      <c r="N16" s="21"/>
      <c r="O16" s="23" t="s">
        <v>74</v>
      </c>
    </row>
    <row r="17" spans="1:18" x14ac:dyDescent="0.2">
      <c r="A17" s="79" t="s">
        <v>88</v>
      </c>
      <c r="B17" s="124" t="s">
        <v>177</v>
      </c>
      <c r="C17" s="24" t="s">
        <v>131</v>
      </c>
      <c r="D17" s="83">
        <f t="shared" si="7"/>
        <v>0</v>
      </c>
      <c r="E17" s="21" t="s">
        <v>119</v>
      </c>
      <c r="F17" s="50" t="s">
        <v>5</v>
      </c>
      <c r="G17" s="85"/>
      <c r="H17" s="20"/>
      <c r="I17" s="82" t="str">
        <f t="shared" si="1"/>
        <v>DDJ - preset 15 - amplitude 1</v>
      </c>
      <c r="J17" s="20">
        <v>1000</v>
      </c>
      <c r="K17" s="84">
        <f t="shared" si="11"/>
        <v>0</v>
      </c>
      <c r="L17" s="21"/>
      <c r="M17" s="21"/>
      <c r="N17" s="21"/>
      <c r="O17" s="23" t="s">
        <v>74</v>
      </c>
    </row>
    <row r="18" spans="1:18" x14ac:dyDescent="0.2">
      <c r="A18" s="79" t="s">
        <v>88</v>
      </c>
      <c r="B18" s="26" t="s">
        <v>180</v>
      </c>
      <c r="C18" s="24">
        <v>0.25</v>
      </c>
      <c r="D18" s="83">
        <f>+K18</f>
        <v>0</v>
      </c>
      <c r="E18" s="21" t="s">
        <v>119</v>
      </c>
      <c r="F18" s="51" t="str">
        <f>IF(OR(G12="",D15=""),"Fail",IF(D18&lt;=C18,"Pass", "Fail"))</f>
        <v>Fail</v>
      </c>
      <c r="G18" s="20"/>
      <c r="H18" s="20"/>
      <c r="I18" s="26" t="str">
        <f t="shared" si="1"/>
        <v>TJ-DDJ - preset 0</v>
      </c>
      <c r="J18" s="20"/>
      <c r="K18" s="83">
        <f>+K12-K15</f>
        <v>0</v>
      </c>
      <c r="L18" s="21"/>
      <c r="M18" s="21"/>
      <c r="N18" s="21"/>
      <c r="O18" s="23" t="s">
        <v>74</v>
      </c>
    </row>
    <row r="19" spans="1:18" x14ac:dyDescent="0.2">
      <c r="A19" s="79" t="s">
        <v>88</v>
      </c>
      <c r="B19" s="26" t="s">
        <v>178</v>
      </c>
      <c r="C19" s="24">
        <v>0.25</v>
      </c>
      <c r="D19" s="83">
        <f t="shared" ref="D19:D20" si="12">+K19</f>
        <v>0</v>
      </c>
      <c r="E19" s="21" t="s">
        <v>119</v>
      </c>
      <c r="F19" s="51" t="str">
        <f t="shared" ref="F19:F20" si="13">IF(OR(G13="",D16=""),"Fail",IF(D19&lt;=C19,"Pass", "Fail"))</f>
        <v>Fail</v>
      </c>
      <c r="G19" s="20"/>
      <c r="H19" s="20"/>
      <c r="I19" s="26" t="str">
        <f t="shared" si="1"/>
        <v>TJ-DDJ - preset 15 - amplitude 0</v>
      </c>
      <c r="J19" s="20"/>
      <c r="K19" s="83">
        <f t="shared" ref="K19:K20" si="14">+K13-K16</f>
        <v>0</v>
      </c>
      <c r="L19" s="21"/>
      <c r="M19" s="21"/>
      <c r="N19" s="21"/>
      <c r="O19" s="23" t="s">
        <v>74</v>
      </c>
    </row>
    <row r="20" spans="1:18" x14ac:dyDescent="0.2">
      <c r="A20" s="79" t="s">
        <v>88</v>
      </c>
      <c r="B20" s="26" t="s">
        <v>179</v>
      </c>
      <c r="C20" s="24">
        <v>0.25</v>
      </c>
      <c r="D20" s="83">
        <f t="shared" si="12"/>
        <v>0</v>
      </c>
      <c r="E20" s="21" t="s">
        <v>119</v>
      </c>
      <c r="F20" s="51" t="str">
        <f t="shared" si="13"/>
        <v>Fail</v>
      </c>
      <c r="G20" s="20"/>
      <c r="H20" s="20"/>
      <c r="I20" s="26" t="str">
        <f t="shared" si="1"/>
        <v>TJ-DDJ - preset 15 - amplitude 1</v>
      </c>
      <c r="J20" s="20"/>
      <c r="K20" s="83">
        <f t="shared" si="14"/>
        <v>0</v>
      </c>
      <c r="L20" s="21"/>
      <c r="M20" s="21"/>
      <c r="N20" s="21"/>
      <c r="O20" s="23" t="s">
        <v>74</v>
      </c>
    </row>
    <row r="21" spans="1:18" x14ac:dyDescent="0.2">
      <c r="A21" s="79" t="s">
        <v>88</v>
      </c>
      <c r="B21" s="26" t="s">
        <v>205</v>
      </c>
      <c r="C21" s="24">
        <v>0.19</v>
      </c>
      <c r="D21" s="83">
        <f>+K21</f>
        <v>0</v>
      </c>
      <c r="E21" s="21" t="s">
        <v>119</v>
      </c>
      <c r="F21" s="51" t="str">
        <f>IF(G21="","Fail",IF(D21&lt;=C21,"Pass", "Fail"))</f>
        <v>Fail</v>
      </c>
      <c r="G21" s="81"/>
      <c r="H21" s="20"/>
      <c r="I21" s="26" t="str">
        <f t="shared" si="1"/>
        <v>J2 - preset 0</v>
      </c>
      <c r="J21" s="20">
        <v>1000</v>
      </c>
      <c r="K21" s="84">
        <f>+G21/J21</f>
        <v>0</v>
      </c>
      <c r="L21" s="21"/>
      <c r="M21" s="21"/>
      <c r="N21" s="21"/>
      <c r="O21" s="23" t="s">
        <v>74</v>
      </c>
    </row>
    <row r="22" spans="1:18" x14ac:dyDescent="0.2">
      <c r="A22" s="79" t="s">
        <v>88</v>
      </c>
      <c r="B22" s="26" t="s">
        <v>206</v>
      </c>
      <c r="C22" s="24">
        <v>0.33</v>
      </c>
      <c r="D22" s="83">
        <f t="shared" ref="D22:D23" si="15">+K22</f>
        <v>0</v>
      </c>
      <c r="E22" s="21" t="s">
        <v>119</v>
      </c>
      <c r="F22" s="51" t="str">
        <f>IF(G22="","Fail",IF(D22&lt;=C22,"Pass", "Fail"))</f>
        <v>Fail</v>
      </c>
      <c r="G22" s="81"/>
      <c r="H22" s="20"/>
      <c r="I22" s="26" t="str">
        <f t="shared" si="1"/>
        <v>J9 - preset 0</v>
      </c>
      <c r="J22" s="20">
        <v>1000</v>
      </c>
      <c r="K22" s="84">
        <f>+G22/J22</f>
        <v>0</v>
      </c>
      <c r="L22" s="21"/>
      <c r="M22" s="21"/>
      <c r="N22" s="21"/>
      <c r="O22" s="23" t="s">
        <v>74</v>
      </c>
    </row>
    <row r="23" spans="1:18" x14ac:dyDescent="0.2">
      <c r="A23" s="79" t="s">
        <v>88</v>
      </c>
      <c r="B23" s="26" t="s">
        <v>41</v>
      </c>
      <c r="C23" s="43">
        <v>0.11</v>
      </c>
      <c r="D23" s="83">
        <f t="shared" si="15"/>
        <v>0</v>
      </c>
      <c r="E23" s="13" t="s">
        <v>119</v>
      </c>
      <c r="F23" s="51" t="str">
        <f>IF(G23="","Fail",IF(D23&lt;=C23,"Pass", "Fail"))</f>
        <v>Fail</v>
      </c>
      <c r="G23" s="85"/>
      <c r="H23" s="20"/>
      <c r="I23" s="26" t="str">
        <f t="shared" si="1"/>
        <v>DDPWS</v>
      </c>
      <c r="J23" s="20">
        <v>1000</v>
      </c>
      <c r="K23" s="84">
        <f>+G23/J23</f>
        <v>0</v>
      </c>
      <c r="L23" s="21"/>
      <c r="M23" s="21"/>
      <c r="N23" s="21"/>
      <c r="O23" s="23" t="s">
        <v>214</v>
      </c>
    </row>
    <row r="24" spans="1:18" x14ac:dyDescent="0.2">
      <c r="A24" s="79" t="s">
        <v>88</v>
      </c>
      <c r="B24" s="53" t="s">
        <v>41</v>
      </c>
      <c r="C24" s="43">
        <v>0.11</v>
      </c>
      <c r="D24" s="86">
        <f>+B79</f>
        <v>1</v>
      </c>
      <c r="E24" s="13" t="s">
        <v>119</v>
      </c>
      <c r="F24" s="51" t="str">
        <f>IF(G24="","Fail",IF(D24&lt;=C24,"Pass", "Fail"))</f>
        <v>Fail</v>
      </c>
      <c r="G24" s="85"/>
      <c r="H24" s="20"/>
      <c r="I24" s="53" t="str">
        <f t="shared" si="1"/>
        <v>DDPWS</v>
      </c>
      <c r="J24" s="20"/>
      <c r="K24" s="23"/>
      <c r="L24" s="21"/>
      <c r="M24" s="21"/>
      <c r="N24" s="21"/>
      <c r="O24" s="23" t="s">
        <v>153</v>
      </c>
      <c r="Q24" s="126" t="s">
        <v>191</v>
      </c>
      <c r="R24" s="23"/>
    </row>
    <row r="25" spans="1:18" x14ac:dyDescent="0.2">
      <c r="A25" s="79" t="s">
        <v>88</v>
      </c>
      <c r="B25" s="26" t="s">
        <v>45</v>
      </c>
      <c r="C25" s="44">
        <v>5.0000000000000002E-5</v>
      </c>
      <c r="D25" s="83">
        <f>+L25/(M25*N25)</f>
        <v>0</v>
      </c>
      <c r="E25" s="21" t="s">
        <v>119</v>
      </c>
      <c r="F25" s="50" t="str">
        <f>IF(L25="","NT",IF(D25&lt;=C25,"Pass", "Fail"))</f>
        <v>NT</v>
      </c>
      <c r="G25" s="195" t="s">
        <v>181</v>
      </c>
      <c r="H25" s="20"/>
      <c r="I25" s="26" t="str">
        <f t="shared" si="1"/>
        <v>X1, X2, Y1, Y2</v>
      </c>
      <c r="J25" s="20"/>
      <c r="L25" s="81"/>
      <c r="M25" s="81">
        <v>110</v>
      </c>
      <c r="N25" s="81">
        <v>16200</v>
      </c>
      <c r="O25" s="23" t="s">
        <v>152</v>
      </c>
      <c r="Q25" s="23" t="s">
        <v>39</v>
      </c>
      <c r="R25" s="23" t="s">
        <v>192</v>
      </c>
    </row>
    <row r="26" spans="1:18" x14ac:dyDescent="0.2">
      <c r="A26" s="79" t="s">
        <v>88</v>
      </c>
      <c r="B26" s="53" t="s">
        <v>45</v>
      </c>
      <c r="C26" s="44">
        <v>5.0000000000000002E-5</v>
      </c>
      <c r="D26" s="83">
        <f>+L26/(M26*N26)</f>
        <v>0</v>
      </c>
      <c r="E26" s="21" t="s">
        <v>119</v>
      </c>
      <c r="F26" s="50" t="str">
        <f>IF(L26="","Fail",IF(D26&lt;=C26,"Pass", "Fail"))</f>
        <v>Fail</v>
      </c>
      <c r="G26" s="196"/>
      <c r="H26" s="20"/>
      <c r="I26" s="53" t="str">
        <f t="shared" si="1"/>
        <v>X1, X2, Y1, Y2</v>
      </c>
      <c r="J26" s="20"/>
      <c r="K26" s="23"/>
      <c r="L26" s="81"/>
      <c r="M26" s="81">
        <v>110</v>
      </c>
      <c r="N26" s="81">
        <v>16200</v>
      </c>
      <c r="O26" s="23" t="s">
        <v>151</v>
      </c>
      <c r="Q26" s="23" t="s">
        <v>193</v>
      </c>
      <c r="R26" s="23" t="s">
        <v>194</v>
      </c>
    </row>
    <row r="27" spans="1:18" x14ac:dyDescent="0.2">
      <c r="A27" s="79" t="s">
        <v>88</v>
      </c>
      <c r="B27" s="53" t="s">
        <v>64</v>
      </c>
      <c r="C27" s="24">
        <v>24</v>
      </c>
      <c r="D27" s="83">
        <f>+G27</f>
        <v>0</v>
      </c>
      <c r="E27" s="21" t="s">
        <v>126</v>
      </c>
      <c r="F27" s="50" t="str">
        <f>IF(D27="","Fail",IF(D27&gt;=C27,"Pass","Fail"))</f>
        <v>Fail</v>
      </c>
      <c r="G27" s="81"/>
      <c r="H27" s="20"/>
      <c r="I27" s="53" t="str">
        <f t="shared" si="1"/>
        <v>Tr</v>
      </c>
      <c r="J27" s="20"/>
      <c r="K27" s="23"/>
      <c r="L27" s="21"/>
      <c r="M27" s="21"/>
      <c r="N27" s="21"/>
      <c r="O27" s="23"/>
      <c r="Q27" s="23" t="s">
        <v>64</v>
      </c>
      <c r="R27" s="23" t="s">
        <v>195</v>
      </c>
    </row>
    <row r="28" spans="1:18" x14ac:dyDescent="0.2">
      <c r="A28" s="79" t="s">
        <v>88</v>
      </c>
      <c r="B28" s="53" t="s">
        <v>65</v>
      </c>
      <c r="C28" s="24">
        <v>24</v>
      </c>
      <c r="D28" s="83">
        <f>+G28</f>
        <v>0</v>
      </c>
      <c r="E28" s="87" t="s">
        <v>126</v>
      </c>
      <c r="F28" s="50" t="str">
        <f>IF(D28="","Fail",IF(D28&gt;=C28,"Pass","Fail"))</f>
        <v>Fail</v>
      </c>
      <c r="G28" s="81"/>
      <c r="H28" s="20"/>
      <c r="I28" s="53" t="str">
        <f t="shared" si="1"/>
        <v>Tf</v>
      </c>
      <c r="J28" s="20"/>
      <c r="K28" s="23"/>
      <c r="L28" s="21"/>
      <c r="M28" s="21"/>
      <c r="N28" s="21"/>
      <c r="O28" s="23"/>
      <c r="Q28" s="23" t="s">
        <v>196</v>
      </c>
      <c r="R28" s="23" t="s">
        <v>195</v>
      </c>
    </row>
    <row r="29" spans="1:18" x14ac:dyDescent="0.2">
      <c r="A29" s="88" t="s">
        <v>89</v>
      </c>
      <c r="B29" s="53" t="s">
        <v>215</v>
      </c>
      <c r="C29" s="24">
        <v>20</v>
      </c>
      <c r="D29" s="83">
        <f t="shared" ref="D29:D33" si="16">+K29</f>
        <v>0</v>
      </c>
      <c r="E29" s="21" t="s">
        <v>120</v>
      </c>
      <c r="F29" s="50" t="str">
        <f>IF(G29="","Fail",IF(D29&lt;=C29,"Pass", "Fail"))</f>
        <v>Fail</v>
      </c>
      <c r="G29" s="85"/>
      <c r="H29" s="20"/>
      <c r="I29" s="53" t="str">
        <f t="shared" si="1"/>
        <v>Vcm preset 0</v>
      </c>
      <c r="J29" s="20">
        <v>2</v>
      </c>
      <c r="K29" s="84">
        <f>+G29/J29</f>
        <v>0</v>
      </c>
      <c r="L29" s="21"/>
      <c r="M29" s="21"/>
      <c r="N29" s="21"/>
      <c r="O29" s="14" t="s">
        <v>66</v>
      </c>
      <c r="Q29" s="23" t="s">
        <v>197</v>
      </c>
      <c r="R29" s="23" t="s">
        <v>198</v>
      </c>
    </row>
    <row r="30" spans="1:18" x14ac:dyDescent="0.2">
      <c r="A30" s="88" t="s">
        <v>89</v>
      </c>
      <c r="B30" s="53" t="s">
        <v>216</v>
      </c>
      <c r="C30" s="24">
        <v>30</v>
      </c>
      <c r="D30" s="83">
        <f t="shared" si="16"/>
        <v>0</v>
      </c>
      <c r="E30" s="21" t="s">
        <v>120</v>
      </c>
      <c r="F30" s="50" t="str">
        <f>IF(G30="","Fail",IF(D30&lt;=C30,"Pass", "Fail"))</f>
        <v>Fail</v>
      </c>
      <c r="G30" s="85"/>
      <c r="H30" s="20"/>
      <c r="I30" s="53" t="str">
        <f t="shared" si="1"/>
        <v>Vcm preset 2 - amplitude 0</v>
      </c>
      <c r="J30" s="20">
        <v>2</v>
      </c>
      <c r="K30" s="84">
        <f>+G30/J30</f>
        <v>0</v>
      </c>
      <c r="L30" s="21"/>
      <c r="M30" s="21"/>
      <c r="N30" s="21"/>
      <c r="O30" s="14" t="s">
        <v>66</v>
      </c>
      <c r="Q30" s="23" t="s">
        <v>199</v>
      </c>
      <c r="R30" s="23" t="s">
        <v>198</v>
      </c>
    </row>
    <row r="31" spans="1:18" x14ac:dyDescent="0.2">
      <c r="A31" s="88" t="s">
        <v>89</v>
      </c>
      <c r="B31" s="53" t="s">
        <v>217</v>
      </c>
      <c r="C31" s="24">
        <v>30</v>
      </c>
      <c r="D31" s="83">
        <f t="shared" si="16"/>
        <v>0</v>
      </c>
      <c r="E31" s="21" t="s">
        <v>120</v>
      </c>
      <c r="F31" s="50" t="str">
        <f t="shared" ref="F31:F33" si="17">IF(G31="","Fail",IF(D31&lt;=C31,"Pass", "Fail"))</f>
        <v>Fail</v>
      </c>
      <c r="G31" s="85"/>
      <c r="H31" s="20"/>
      <c r="I31" s="53" t="str">
        <f t="shared" si="1"/>
        <v>Vcm preset 2 - amplitude 1</v>
      </c>
      <c r="J31" s="20">
        <v>2</v>
      </c>
      <c r="K31" s="84">
        <f t="shared" ref="K31:K33" si="18">+G31/J31</f>
        <v>0</v>
      </c>
      <c r="L31" s="21"/>
      <c r="M31" s="21"/>
      <c r="N31" s="21"/>
      <c r="O31" s="14" t="s">
        <v>66</v>
      </c>
      <c r="Q31" s="23" t="s">
        <v>200</v>
      </c>
      <c r="R31" s="23" t="s">
        <v>201</v>
      </c>
    </row>
    <row r="32" spans="1:18" x14ac:dyDescent="0.2">
      <c r="A32" s="88" t="s">
        <v>89</v>
      </c>
      <c r="B32" s="53" t="s">
        <v>218</v>
      </c>
      <c r="C32" s="24">
        <v>30</v>
      </c>
      <c r="D32" s="83">
        <f t="shared" si="16"/>
        <v>0</v>
      </c>
      <c r="E32" s="21" t="s">
        <v>120</v>
      </c>
      <c r="F32" s="50" t="str">
        <f t="shared" si="17"/>
        <v>Fail</v>
      </c>
      <c r="G32" s="85"/>
      <c r="H32" s="20"/>
      <c r="I32" s="53" t="str">
        <f t="shared" si="1"/>
        <v>Vcm preset 15 - amplitude 0</v>
      </c>
      <c r="J32" s="20">
        <v>2</v>
      </c>
      <c r="K32" s="84">
        <f t="shared" si="18"/>
        <v>0</v>
      </c>
      <c r="L32" s="21"/>
      <c r="M32" s="21"/>
      <c r="N32" s="21"/>
      <c r="O32" s="14" t="s">
        <v>66</v>
      </c>
      <c r="Q32" s="23" t="s">
        <v>202</v>
      </c>
      <c r="R32" s="23"/>
    </row>
    <row r="33" spans="1:18" x14ac:dyDescent="0.2">
      <c r="A33" s="88" t="s">
        <v>89</v>
      </c>
      <c r="B33" s="53" t="s">
        <v>219</v>
      </c>
      <c r="C33" s="24">
        <v>30</v>
      </c>
      <c r="D33" s="83">
        <f t="shared" si="16"/>
        <v>0</v>
      </c>
      <c r="E33" s="21" t="s">
        <v>120</v>
      </c>
      <c r="F33" s="50" t="str">
        <f t="shared" si="17"/>
        <v>Fail</v>
      </c>
      <c r="G33" s="85"/>
      <c r="H33" s="20"/>
      <c r="I33" s="53" t="str">
        <f t="shared" si="1"/>
        <v>Vcm preset 15 - amplitude 1</v>
      </c>
      <c r="J33" s="20">
        <v>2</v>
      </c>
      <c r="K33" s="84">
        <f t="shared" si="18"/>
        <v>0</v>
      </c>
      <c r="L33" s="21"/>
      <c r="M33" s="21"/>
      <c r="N33" s="21"/>
      <c r="O33" s="14" t="s">
        <v>66</v>
      </c>
      <c r="Q33" s="23" t="s">
        <v>203</v>
      </c>
      <c r="R33" s="23"/>
    </row>
    <row r="34" spans="1:18" x14ac:dyDescent="0.2">
      <c r="A34" s="79" t="s">
        <v>88</v>
      </c>
      <c r="B34" s="53" t="s">
        <v>7</v>
      </c>
      <c r="C34" s="24">
        <v>30</v>
      </c>
      <c r="D34" s="83">
        <f>+G34</f>
        <v>0</v>
      </c>
      <c r="E34" s="24" t="s">
        <v>127</v>
      </c>
      <c r="F34" s="50" t="str">
        <f>IF(G34="","Fail",IF(D34&lt;=C34,"Pass", "Fail"))</f>
        <v>Fail</v>
      </c>
      <c r="G34" s="85"/>
      <c r="H34" s="20"/>
      <c r="I34" s="53" t="str">
        <f t="shared" si="1"/>
        <v>Vdiffpp</v>
      </c>
      <c r="J34" s="20"/>
      <c r="K34" s="23"/>
      <c r="L34" s="23"/>
      <c r="M34" s="23"/>
      <c r="N34" s="23"/>
      <c r="O34" s="23"/>
      <c r="Q34" s="23" t="s">
        <v>204</v>
      </c>
      <c r="R34" s="23"/>
    </row>
    <row r="35" spans="1:18" x14ac:dyDescent="0.2">
      <c r="A35" s="88" t="s">
        <v>89</v>
      </c>
      <c r="B35" s="53" t="s">
        <v>220</v>
      </c>
      <c r="C35" s="24">
        <v>3.6999999999999998E-2</v>
      </c>
      <c r="D35" s="83">
        <f t="shared" ref="D35:D36" si="19">+G35</f>
        <v>0</v>
      </c>
      <c r="E35" s="24"/>
      <c r="F35" s="50" t="str">
        <f t="shared" ref="F35:F36" si="20">IF(G35="","Fail",IF(D35&lt;=C35,"Pass", "Fail"))</f>
        <v>Fail</v>
      </c>
      <c r="G35" s="85"/>
      <c r="H35" s="20"/>
      <c r="I35" s="53" t="str">
        <f t="shared" si="1"/>
        <v>e preset 1 - amplitude 0</v>
      </c>
      <c r="J35" s="20"/>
      <c r="K35" s="23"/>
      <c r="L35" s="23"/>
      <c r="M35" s="23"/>
      <c r="N35" s="23"/>
      <c r="O35" s="89"/>
    </row>
    <row r="36" spans="1:18" x14ac:dyDescent="0.2">
      <c r="A36" s="88" t="s">
        <v>89</v>
      </c>
      <c r="B36" s="53" t="s">
        <v>221</v>
      </c>
      <c r="C36" s="24">
        <v>3.6999999999999998E-2</v>
      </c>
      <c r="D36" s="83">
        <f t="shared" si="19"/>
        <v>0</v>
      </c>
      <c r="E36" s="24"/>
      <c r="F36" s="50" t="str">
        <f t="shared" si="20"/>
        <v>Fail</v>
      </c>
      <c r="G36" s="85"/>
      <c r="H36" s="20"/>
      <c r="I36" s="53" t="str">
        <f t="shared" si="1"/>
        <v>e preset 1 - amplitude 1</v>
      </c>
      <c r="J36" s="20"/>
      <c r="K36" s="23"/>
      <c r="L36" s="23"/>
      <c r="M36" s="23"/>
      <c r="N36" s="23"/>
      <c r="O36" s="89" t="s">
        <v>163</v>
      </c>
    </row>
    <row r="37" spans="1:18" x14ac:dyDescent="0.2">
      <c r="A37" s="88" t="s">
        <v>89</v>
      </c>
      <c r="B37" s="53" t="s">
        <v>222</v>
      </c>
      <c r="C37" s="24">
        <v>3.6999999999999998E-2</v>
      </c>
      <c r="D37" s="83">
        <f>+G37</f>
        <v>0</v>
      </c>
      <c r="E37" s="24" t="s">
        <v>157</v>
      </c>
      <c r="F37" s="50" t="str">
        <f>IF(G37="","Fail",IF(D37&lt;=C37,"Pass", "Fail"))</f>
        <v>Fail</v>
      </c>
      <c r="G37" s="85"/>
      <c r="H37" s="20"/>
      <c r="I37" s="53" t="str">
        <f t="shared" si="1"/>
        <v>e preset 2 - amplitude 0</v>
      </c>
      <c r="J37" s="20"/>
      <c r="K37" s="23"/>
      <c r="L37" s="23"/>
      <c r="M37" s="23"/>
      <c r="N37" s="23"/>
      <c r="O37" s="109"/>
    </row>
    <row r="38" spans="1:18" x14ac:dyDescent="0.2">
      <c r="A38" s="88" t="s">
        <v>89</v>
      </c>
      <c r="B38" s="53" t="s">
        <v>223</v>
      </c>
      <c r="C38" s="24">
        <v>3.6999999999999998E-2</v>
      </c>
      <c r="D38" s="83">
        <f t="shared" ref="D38:D40" si="21">+G38</f>
        <v>0</v>
      </c>
      <c r="E38" s="24" t="s">
        <v>157</v>
      </c>
      <c r="F38" s="50" t="str">
        <f t="shared" ref="F38:F40" si="22">IF(G38="","Fail",IF(D38&lt;=C38,"Pass", "Fail"))</f>
        <v>Fail</v>
      </c>
      <c r="G38" s="85"/>
      <c r="H38" s="20"/>
      <c r="I38" s="53" t="str">
        <f t="shared" ref="I38:I40" si="23">+B38</f>
        <v>e preset 2 - amplitude 1</v>
      </c>
      <c r="J38" s="20"/>
      <c r="K38" s="23"/>
      <c r="L38" s="23"/>
      <c r="M38" s="23"/>
      <c r="N38" s="23"/>
      <c r="O38" s="109"/>
    </row>
    <row r="39" spans="1:18" x14ac:dyDescent="0.2">
      <c r="A39" s="88" t="s">
        <v>89</v>
      </c>
      <c r="B39" s="53" t="s">
        <v>224</v>
      </c>
      <c r="C39" s="24">
        <v>3.6999999999999998E-2</v>
      </c>
      <c r="D39" s="83">
        <f t="shared" si="21"/>
        <v>0</v>
      </c>
      <c r="E39" s="24" t="s">
        <v>157</v>
      </c>
      <c r="F39" s="50" t="str">
        <f t="shared" si="22"/>
        <v>Fail</v>
      </c>
      <c r="G39" s="85"/>
      <c r="H39" s="20"/>
      <c r="I39" s="53" t="str">
        <f t="shared" si="23"/>
        <v>e preset 15 - amplitude 0</v>
      </c>
      <c r="J39" s="20"/>
      <c r="K39" s="23"/>
      <c r="L39" s="23"/>
      <c r="M39" s="23"/>
      <c r="N39" s="23"/>
      <c r="O39" s="109"/>
    </row>
    <row r="40" spans="1:18" x14ac:dyDescent="0.2">
      <c r="A40" s="88" t="s">
        <v>89</v>
      </c>
      <c r="B40" s="53" t="s">
        <v>225</v>
      </c>
      <c r="C40" s="24">
        <v>3.6999999999999998E-2</v>
      </c>
      <c r="D40" s="83">
        <f t="shared" si="21"/>
        <v>0</v>
      </c>
      <c r="E40" s="24" t="s">
        <v>157</v>
      </c>
      <c r="F40" s="50" t="str">
        <f t="shared" si="22"/>
        <v>Fail</v>
      </c>
      <c r="G40" s="85"/>
      <c r="H40" s="20"/>
      <c r="I40" s="53" t="str">
        <f t="shared" si="23"/>
        <v>e preset 15 - amplitude 1</v>
      </c>
      <c r="J40" s="20"/>
      <c r="K40" s="23"/>
      <c r="L40" s="23"/>
      <c r="M40" s="23"/>
      <c r="N40" s="23"/>
      <c r="O40" s="110"/>
    </row>
    <row r="41" spans="1:18" x14ac:dyDescent="0.2">
      <c r="A41" s="88" t="s">
        <v>89</v>
      </c>
      <c r="B41" s="53" t="s">
        <v>226</v>
      </c>
      <c r="C41" s="24">
        <v>0</v>
      </c>
      <c r="D41" s="83">
        <f>+G41</f>
        <v>0</v>
      </c>
      <c r="E41" s="24"/>
      <c r="F41" s="50" t="str">
        <f t="shared" ref="F41:F52" si="24">IF(G41="","Fail",IF(OR(AND(C41-0.015&lt;=D41,D41&lt;=C41+0.015),AND(C41-ABS((C41*J41))&lt;=D41,D41&lt;=C41+ABS((C41*J41)))),"Pass", "Fail"))</f>
        <v>Fail</v>
      </c>
      <c r="G41" s="85"/>
      <c r="H41" s="20"/>
      <c r="I41" s="53" t="str">
        <f t="shared" ref="I41:I56" si="25">+B41</f>
        <v>C-1 preset 2 - Amp 0</v>
      </c>
      <c r="J41" s="20">
        <v>7.4999999999999997E-2</v>
      </c>
      <c r="K41" s="23"/>
      <c r="L41" s="23"/>
      <c r="M41" s="23"/>
      <c r="N41" s="23"/>
      <c r="O41" s="179" t="s">
        <v>158</v>
      </c>
    </row>
    <row r="42" spans="1:18" x14ac:dyDescent="0.2">
      <c r="A42" s="88" t="s">
        <v>89</v>
      </c>
      <c r="B42" s="53" t="s">
        <v>227</v>
      </c>
      <c r="C42" s="24">
        <v>0</v>
      </c>
      <c r="D42" s="83">
        <f t="shared" ref="D42:D56" si="26">+G42</f>
        <v>0</v>
      </c>
      <c r="E42" s="24"/>
      <c r="F42" s="50" t="str">
        <f t="shared" si="24"/>
        <v>Fail</v>
      </c>
      <c r="G42" s="85"/>
      <c r="H42" s="20"/>
      <c r="I42" s="53" t="str">
        <f t="shared" si="25"/>
        <v>C-1 preset 2 - Amp 1</v>
      </c>
      <c r="J42" s="20">
        <v>7.4999999999999997E-2</v>
      </c>
      <c r="K42" s="23"/>
      <c r="L42" s="23"/>
      <c r="M42" s="23"/>
      <c r="N42" s="23"/>
      <c r="O42" s="180"/>
    </row>
    <row r="43" spans="1:18" x14ac:dyDescent="0.2">
      <c r="A43" s="88" t="s">
        <v>89</v>
      </c>
      <c r="B43" s="53" t="s">
        <v>228</v>
      </c>
      <c r="C43" s="24">
        <v>-0.08</v>
      </c>
      <c r="D43" s="83">
        <f t="shared" si="26"/>
        <v>0</v>
      </c>
      <c r="E43" s="24"/>
      <c r="F43" s="50" t="str">
        <f t="shared" si="24"/>
        <v>Fail</v>
      </c>
      <c r="G43" s="85"/>
      <c r="H43" s="20"/>
      <c r="I43" s="53" t="str">
        <f t="shared" si="25"/>
        <v>C-1 preset 15 - Amp 0</v>
      </c>
      <c r="J43" s="20">
        <v>7.4999999999999997E-2</v>
      </c>
      <c r="K43" s="23"/>
      <c r="L43" s="23"/>
      <c r="M43" s="23"/>
      <c r="N43" s="23"/>
      <c r="O43" s="180"/>
    </row>
    <row r="44" spans="1:18" x14ac:dyDescent="0.2">
      <c r="A44" s="88" t="s">
        <v>89</v>
      </c>
      <c r="B44" s="53" t="s">
        <v>229</v>
      </c>
      <c r="C44" s="24">
        <v>-0.08</v>
      </c>
      <c r="D44" s="83">
        <f t="shared" si="26"/>
        <v>0</v>
      </c>
      <c r="E44" s="24"/>
      <c r="F44" s="50" t="str">
        <f t="shared" si="24"/>
        <v>Fail</v>
      </c>
      <c r="G44" s="85"/>
      <c r="H44" s="20"/>
      <c r="I44" s="53" t="str">
        <f t="shared" si="25"/>
        <v>C-1 preset 15 - Amp 1</v>
      </c>
      <c r="J44" s="20">
        <v>7.4999999999999997E-2</v>
      </c>
      <c r="K44" s="23"/>
      <c r="L44" s="23"/>
      <c r="M44" s="23"/>
      <c r="N44" s="23"/>
      <c r="O44" s="180"/>
    </row>
    <row r="45" spans="1:18" x14ac:dyDescent="0.2">
      <c r="A45" s="88" t="s">
        <v>89</v>
      </c>
      <c r="B45" s="53" t="s">
        <v>230</v>
      </c>
      <c r="C45" s="24">
        <v>0.9</v>
      </c>
      <c r="D45" s="83">
        <f t="shared" si="26"/>
        <v>0</v>
      </c>
      <c r="E45" s="24"/>
      <c r="F45" s="50" t="str">
        <f t="shared" si="24"/>
        <v>Fail</v>
      </c>
      <c r="G45" s="85"/>
      <c r="H45" s="20"/>
      <c r="I45" s="53" t="str">
        <f t="shared" si="25"/>
        <v>C0 preset 2 - Amp 0</v>
      </c>
      <c r="J45" s="20">
        <v>7.4999999999999997E-2</v>
      </c>
      <c r="K45" s="23"/>
      <c r="L45" s="23"/>
      <c r="M45" s="23"/>
      <c r="N45" s="23"/>
      <c r="O45" s="180"/>
    </row>
    <row r="46" spans="1:18" x14ac:dyDescent="0.2">
      <c r="A46" s="88" t="s">
        <v>89</v>
      </c>
      <c r="B46" s="53" t="s">
        <v>231</v>
      </c>
      <c r="C46" s="24">
        <v>0.9</v>
      </c>
      <c r="D46" s="83">
        <f t="shared" si="26"/>
        <v>0</v>
      </c>
      <c r="E46" s="24"/>
      <c r="F46" s="50" t="str">
        <f t="shared" si="24"/>
        <v>Fail</v>
      </c>
      <c r="G46" s="85"/>
      <c r="H46" s="20"/>
      <c r="I46" s="53" t="str">
        <f t="shared" si="25"/>
        <v>C0 preset 2 - Amp 1</v>
      </c>
      <c r="J46" s="20">
        <v>7.4999999999999997E-2</v>
      </c>
      <c r="K46" s="23"/>
      <c r="L46" s="23"/>
      <c r="M46" s="23"/>
      <c r="N46" s="23"/>
      <c r="O46" s="180"/>
    </row>
    <row r="47" spans="1:18" x14ac:dyDescent="0.2">
      <c r="A47" s="88" t="s">
        <v>89</v>
      </c>
      <c r="B47" s="53" t="s">
        <v>232</v>
      </c>
      <c r="C47" s="24">
        <v>0.56000000000000005</v>
      </c>
      <c r="D47" s="83">
        <f t="shared" si="26"/>
        <v>0</v>
      </c>
      <c r="E47" s="24"/>
      <c r="F47" s="50" t="str">
        <f t="shared" si="24"/>
        <v>Fail</v>
      </c>
      <c r="G47" s="85"/>
      <c r="H47" s="20"/>
      <c r="I47" s="53" t="str">
        <f t="shared" si="25"/>
        <v>C0 preset 15 - Amp 0</v>
      </c>
      <c r="J47" s="20">
        <v>7.4999999999999997E-2</v>
      </c>
      <c r="K47" s="23"/>
      <c r="L47" s="23"/>
      <c r="M47" s="23"/>
      <c r="N47" s="23"/>
      <c r="O47" s="180"/>
    </row>
    <row r="48" spans="1:18" x14ac:dyDescent="0.2">
      <c r="A48" s="88" t="s">
        <v>89</v>
      </c>
      <c r="B48" s="53" t="s">
        <v>233</v>
      </c>
      <c r="C48" s="24">
        <v>0.56000000000000005</v>
      </c>
      <c r="D48" s="83">
        <f t="shared" si="26"/>
        <v>0</v>
      </c>
      <c r="E48" s="24"/>
      <c r="F48" s="50" t="str">
        <f t="shared" si="24"/>
        <v>Fail</v>
      </c>
      <c r="G48" s="85"/>
      <c r="H48" s="20"/>
      <c r="I48" s="53" t="str">
        <f t="shared" si="25"/>
        <v>C0 preset 15 - Amp 1</v>
      </c>
      <c r="J48" s="20">
        <v>7.4999999999999997E-2</v>
      </c>
      <c r="K48" s="23"/>
      <c r="L48" s="23"/>
      <c r="M48" s="23"/>
      <c r="N48" s="23"/>
      <c r="O48" s="180"/>
    </row>
    <row r="49" spans="1:15" x14ac:dyDescent="0.2">
      <c r="A49" s="88" t="s">
        <v>89</v>
      </c>
      <c r="B49" s="53" t="s">
        <v>234</v>
      </c>
      <c r="C49" s="24">
        <v>-0.1</v>
      </c>
      <c r="D49" s="83">
        <f t="shared" si="26"/>
        <v>0</v>
      </c>
      <c r="E49" s="24"/>
      <c r="F49" s="50" t="str">
        <f t="shared" si="24"/>
        <v>Fail</v>
      </c>
      <c r="G49" s="85"/>
      <c r="H49" s="20"/>
      <c r="I49" s="53" t="str">
        <f t="shared" si="25"/>
        <v>C+1 preset 2 - Amp 0</v>
      </c>
      <c r="J49" s="20">
        <v>7.4999999999999997E-2</v>
      </c>
      <c r="K49" s="23"/>
      <c r="L49" s="23"/>
      <c r="M49" s="23"/>
      <c r="N49" s="23"/>
      <c r="O49" s="180"/>
    </row>
    <row r="50" spans="1:15" x14ac:dyDescent="0.2">
      <c r="A50" s="88" t="s">
        <v>89</v>
      </c>
      <c r="B50" s="53" t="s">
        <v>235</v>
      </c>
      <c r="C50" s="24">
        <v>-0.1</v>
      </c>
      <c r="D50" s="83">
        <f t="shared" si="26"/>
        <v>0</v>
      </c>
      <c r="E50" s="24"/>
      <c r="F50" s="50" t="str">
        <f t="shared" si="24"/>
        <v>Fail</v>
      </c>
      <c r="G50" s="85"/>
      <c r="H50" s="20"/>
      <c r="I50" s="53" t="str">
        <f t="shared" si="25"/>
        <v>C+1 preset 2 - Amp 1</v>
      </c>
      <c r="J50" s="20">
        <v>7.4999999999999997E-2</v>
      </c>
      <c r="K50" s="23"/>
      <c r="L50" s="23"/>
      <c r="M50" s="23"/>
      <c r="N50" s="23"/>
      <c r="O50" s="180"/>
    </row>
    <row r="51" spans="1:15" x14ac:dyDescent="0.2">
      <c r="A51" s="88" t="s">
        <v>89</v>
      </c>
      <c r="B51" s="53" t="s">
        <v>236</v>
      </c>
      <c r="C51" s="24">
        <v>-0.36</v>
      </c>
      <c r="D51" s="83">
        <f t="shared" si="26"/>
        <v>0</v>
      </c>
      <c r="E51" s="24"/>
      <c r="F51" s="50" t="str">
        <f t="shared" si="24"/>
        <v>Fail</v>
      </c>
      <c r="G51" s="85"/>
      <c r="H51" s="20"/>
      <c r="I51" s="53" t="str">
        <f t="shared" si="25"/>
        <v>C+1 preset 15 - Amp 0</v>
      </c>
      <c r="J51" s="20">
        <v>7.4999999999999997E-2</v>
      </c>
      <c r="K51" s="23"/>
      <c r="L51" s="23"/>
      <c r="M51" s="23"/>
      <c r="N51" s="23"/>
      <c r="O51" s="180"/>
    </row>
    <row r="52" spans="1:15" x14ac:dyDescent="0.2">
      <c r="A52" s="88" t="s">
        <v>89</v>
      </c>
      <c r="B52" s="53" t="s">
        <v>237</v>
      </c>
      <c r="C52" s="24">
        <v>-0.36</v>
      </c>
      <c r="D52" s="83">
        <f t="shared" si="26"/>
        <v>0</v>
      </c>
      <c r="E52" s="24"/>
      <c r="F52" s="50" t="str">
        <f t="shared" si="24"/>
        <v>Fail</v>
      </c>
      <c r="G52" s="85"/>
      <c r="H52" s="20"/>
      <c r="I52" s="53" t="str">
        <f t="shared" si="25"/>
        <v>C+1 preset 15 - Amp 1</v>
      </c>
      <c r="J52" s="20">
        <v>7.4999999999999997E-2</v>
      </c>
      <c r="K52" s="23"/>
      <c r="L52" s="23"/>
      <c r="M52" s="23"/>
      <c r="N52" s="23"/>
      <c r="O52" s="181"/>
    </row>
    <row r="53" spans="1:15" x14ac:dyDescent="0.2">
      <c r="A53" s="88" t="s">
        <v>89</v>
      </c>
      <c r="B53" s="53" t="s">
        <v>207</v>
      </c>
      <c r="C53" s="24" t="s">
        <v>160</v>
      </c>
      <c r="D53" s="83">
        <f t="shared" si="26"/>
        <v>0</v>
      </c>
      <c r="E53" s="24" t="s">
        <v>127</v>
      </c>
      <c r="F53" s="50" t="str">
        <f>IF(G53="","Fail",IF(AND(400&lt;=D53,D53&lt;=600),"Pass","Fail"))</f>
        <v>Fail</v>
      </c>
      <c r="G53" s="85"/>
      <c r="H53" s="20"/>
      <c r="I53" s="53" t="str">
        <f t="shared" si="25"/>
        <v>vf - preset 1 - Test both amplitude=0</v>
      </c>
      <c r="J53" s="20"/>
      <c r="K53" s="23"/>
      <c r="L53" s="23"/>
      <c r="M53" s="23"/>
      <c r="N53" s="23"/>
      <c r="O53" s="111" t="s">
        <v>159</v>
      </c>
    </row>
    <row r="54" spans="1:15" x14ac:dyDescent="0.2">
      <c r="A54" s="88" t="s">
        <v>89</v>
      </c>
      <c r="B54" s="53" t="s">
        <v>208</v>
      </c>
      <c r="C54" s="24" t="s">
        <v>161</v>
      </c>
      <c r="D54" s="83">
        <f t="shared" si="26"/>
        <v>0</v>
      </c>
      <c r="E54" s="24" t="s">
        <v>127</v>
      </c>
      <c r="F54" s="50" t="str">
        <f>IF(G54="","Fail",IF(AND(700&lt;=D54,D54&lt;=900),"Pass","Fail"))</f>
        <v>Fail</v>
      </c>
      <c r="G54" s="85"/>
      <c r="H54" s="20"/>
      <c r="I54" s="53" t="str">
        <f t="shared" si="25"/>
        <v>vf - preset 1 - Test both amplitude=1</v>
      </c>
      <c r="J54" s="20"/>
      <c r="K54" s="23"/>
      <c r="L54" s="23"/>
      <c r="M54" s="23"/>
      <c r="N54" s="23"/>
      <c r="O54" s="89" t="s">
        <v>164</v>
      </c>
    </row>
    <row r="55" spans="1:15" x14ac:dyDescent="0.2">
      <c r="A55" s="88" t="s">
        <v>89</v>
      </c>
      <c r="B55" s="53" t="s">
        <v>209</v>
      </c>
      <c r="C55" s="24">
        <f>0.6 * D53</f>
        <v>0</v>
      </c>
      <c r="D55" s="83">
        <f t="shared" si="26"/>
        <v>0</v>
      </c>
      <c r="E55" s="24" t="s">
        <v>127</v>
      </c>
      <c r="F55" s="50" t="str">
        <f>IF(G55="","Fail",IF(D55&gt;=C55,"Pass", "Fail"))</f>
        <v>Fail</v>
      </c>
      <c r="G55" s="85"/>
      <c r="H55" s="20"/>
      <c r="I55" s="53" t="str">
        <f t="shared" ref="I55" si="27">+B55</f>
        <v>Peak linear fit pulse response - pre1 - amp 0</v>
      </c>
      <c r="J55" s="20"/>
      <c r="K55" s="23"/>
      <c r="L55" s="23"/>
      <c r="M55" s="23"/>
      <c r="N55" s="23"/>
      <c r="O55" s="109"/>
    </row>
    <row r="56" spans="1:15" x14ac:dyDescent="0.2">
      <c r="A56" s="88" t="s">
        <v>89</v>
      </c>
      <c r="B56" s="53" t="s">
        <v>210</v>
      </c>
      <c r="C56" s="24">
        <f>0.6 *D54</f>
        <v>0</v>
      </c>
      <c r="D56" s="83">
        <f t="shared" si="26"/>
        <v>0</v>
      </c>
      <c r="E56" s="24" t="s">
        <v>127</v>
      </c>
      <c r="F56" s="50" t="str">
        <f>IF(G56="","Fail",IF(D56&gt;=C56,"Pass", "Fail"))</f>
        <v>Fail</v>
      </c>
      <c r="G56" s="85"/>
      <c r="H56" s="20"/>
      <c r="I56" s="53" t="str">
        <f t="shared" si="25"/>
        <v>Peak linear fit pulse response - pre1 - amp 1</v>
      </c>
      <c r="J56" s="20"/>
      <c r="K56" s="23"/>
      <c r="L56" s="23"/>
      <c r="M56" s="23"/>
      <c r="N56" s="23"/>
      <c r="O56" s="109"/>
    </row>
    <row r="57" spans="1:15" s="100" customFormat="1" x14ac:dyDescent="0.2">
      <c r="A57" s="93" t="s">
        <v>137</v>
      </c>
      <c r="B57" s="94"/>
      <c r="C57" s="95"/>
      <c r="D57" s="96" t="s">
        <v>22</v>
      </c>
      <c r="E57" s="94"/>
      <c r="F57" s="97" t="s">
        <v>116</v>
      </c>
      <c r="G57" s="184" t="s">
        <v>83</v>
      </c>
      <c r="H57" s="185"/>
      <c r="I57" s="94"/>
      <c r="J57" s="98"/>
      <c r="K57" s="99" t="s">
        <v>22</v>
      </c>
      <c r="L57" s="184" t="s">
        <v>83</v>
      </c>
      <c r="M57" s="185"/>
      <c r="N57" s="185"/>
      <c r="O57" s="94"/>
    </row>
    <row r="58" spans="1:15" s="133" customFormat="1" x14ac:dyDescent="0.2">
      <c r="A58" s="127"/>
      <c r="B58" s="128"/>
      <c r="C58" s="129"/>
      <c r="D58" s="130"/>
      <c r="E58" s="128"/>
      <c r="F58" s="130"/>
      <c r="G58" s="130"/>
      <c r="H58" s="131"/>
      <c r="I58" s="128"/>
      <c r="J58" s="132"/>
      <c r="K58" s="127"/>
      <c r="L58" s="130"/>
      <c r="M58" s="131"/>
      <c r="N58" s="131"/>
      <c r="O58" s="128"/>
    </row>
    <row r="59" spans="1:15" ht="15.75" customHeight="1" x14ac:dyDescent="0.2">
      <c r="A59" s="193" t="s">
        <v>129</v>
      </c>
      <c r="B59" s="194"/>
      <c r="C59" s="108"/>
      <c r="D59" s="125"/>
    </row>
    <row r="60" spans="1:15" ht="25.5" x14ac:dyDescent="0.2">
      <c r="A60" s="8" t="s">
        <v>101</v>
      </c>
      <c r="B60" s="8" t="s">
        <v>2</v>
      </c>
      <c r="C60" s="10" t="s">
        <v>190</v>
      </c>
      <c r="D60" s="10" t="s">
        <v>155</v>
      </c>
      <c r="E60" s="10" t="s">
        <v>118</v>
      </c>
      <c r="F60" s="9" t="s">
        <v>61</v>
      </c>
      <c r="G60" s="10" t="s">
        <v>117</v>
      </c>
      <c r="H60" s="78" t="s">
        <v>72</v>
      </c>
      <c r="I60" s="8" t="s">
        <v>2</v>
      </c>
      <c r="J60" s="22" t="s">
        <v>73</v>
      </c>
      <c r="K60" s="22" t="s">
        <v>138</v>
      </c>
      <c r="L60" s="10" t="s">
        <v>139</v>
      </c>
      <c r="M60" s="10" t="s">
        <v>62</v>
      </c>
      <c r="N60" s="16" t="s">
        <v>71</v>
      </c>
      <c r="O60" s="8" t="s">
        <v>63</v>
      </c>
    </row>
    <row r="61" spans="1:15" x14ac:dyDescent="0.2">
      <c r="A61" s="79" t="s">
        <v>88</v>
      </c>
      <c r="B61" s="80" t="s">
        <v>84</v>
      </c>
      <c r="C61" s="42">
        <f>IF(D61="","NT",IF(H61&lt;=5.6,-12+1.71*SQRT(H61),-6.7+13*LOG10((H61/7))))</f>
        <v>-12</v>
      </c>
      <c r="D61" s="52">
        <f>+G61</f>
        <v>0</v>
      </c>
      <c r="E61" s="19" t="s">
        <v>121</v>
      </c>
      <c r="F61" s="50" t="str">
        <f>IF(D61="","Fail",IF(D61&lt;=C61,"Pass", "Fail"))</f>
        <v>Fail</v>
      </c>
      <c r="G61" s="81"/>
      <c r="H61" s="81"/>
      <c r="I61" s="80" t="str">
        <f>+B61</f>
        <v>SDD11</v>
      </c>
      <c r="J61" s="20"/>
      <c r="K61" s="23"/>
      <c r="L61" s="10"/>
      <c r="M61" s="10"/>
      <c r="N61" s="16"/>
      <c r="O61" s="8"/>
    </row>
    <row r="62" spans="1:15" x14ac:dyDescent="0.2">
      <c r="A62" s="79" t="s">
        <v>88</v>
      </c>
      <c r="B62" s="80" t="s">
        <v>85</v>
      </c>
      <c r="C62" s="41">
        <f>IF(D62="","NT",-2)</f>
        <v>-2</v>
      </c>
      <c r="D62" s="52">
        <f>+G62</f>
        <v>0</v>
      </c>
      <c r="E62" s="19" t="s">
        <v>121</v>
      </c>
      <c r="F62" s="50" t="str">
        <f>IF(D62="","Fail",IF(D62&lt;=C62,"Pass", "Fail"))</f>
        <v>Fail</v>
      </c>
      <c r="G62" s="81"/>
      <c r="H62" s="81"/>
      <c r="I62" s="80" t="str">
        <f>+B62</f>
        <v>SCC11</v>
      </c>
      <c r="J62" s="20"/>
      <c r="K62" s="23"/>
      <c r="L62" s="10"/>
      <c r="M62" s="10"/>
      <c r="N62" s="16"/>
      <c r="O62" s="8"/>
    </row>
    <row r="63" spans="1:15" x14ac:dyDescent="0.2">
      <c r="A63" s="79" t="s">
        <v>88</v>
      </c>
      <c r="B63" s="80" t="s">
        <v>86</v>
      </c>
      <c r="C63" s="41">
        <f>IF(D63="","NT",-16+((2/3)*H63))</f>
        <v>-16</v>
      </c>
      <c r="D63" s="52">
        <f>+G63</f>
        <v>0</v>
      </c>
      <c r="E63" s="19" t="s">
        <v>121</v>
      </c>
      <c r="F63" s="50" t="str">
        <f>IF(D63="","Fail",IF(D63&lt;=C63,"Pass", "Fail"))</f>
        <v>Fail</v>
      </c>
      <c r="G63" s="81"/>
      <c r="H63" s="81"/>
      <c r="I63" s="80" t="str">
        <f>+B63</f>
        <v>SDC11</v>
      </c>
      <c r="J63" s="20"/>
      <c r="K63" s="23"/>
      <c r="L63" s="10"/>
      <c r="M63" s="10"/>
      <c r="N63" s="16"/>
      <c r="O63" s="8"/>
    </row>
    <row r="64" spans="1:15" s="100" customFormat="1" x14ac:dyDescent="0.2">
      <c r="C64" s="101"/>
      <c r="H64" s="102"/>
      <c r="J64" s="102"/>
    </row>
    <row r="65" spans="1:10" s="100" customFormat="1" x14ac:dyDescent="0.2">
      <c r="A65" s="100" t="s">
        <v>128</v>
      </c>
      <c r="C65" s="101"/>
      <c r="H65" s="102"/>
      <c r="J65" s="102"/>
    </row>
    <row r="66" spans="1:10" s="100" customFormat="1" x14ac:dyDescent="0.2">
      <c r="C66" s="101"/>
      <c r="H66" s="102"/>
      <c r="J66" s="102"/>
    </row>
    <row r="67" spans="1:10" x14ac:dyDescent="0.2">
      <c r="D67" s="103"/>
      <c r="E67" s="192" t="s">
        <v>185</v>
      </c>
      <c r="F67" s="192"/>
      <c r="G67" s="192"/>
      <c r="H67" s="112"/>
    </row>
    <row r="68" spans="1:10" x14ac:dyDescent="0.2">
      <c r="A68" s="188" t="s">
        <v>132</v>
      </c>
      <c r="B68" s="189"/>
      <c r="D68" s="103"/>
      <c r="E68" s="20">
        <v>-0.36</v>
      </c>
      <c r="F68" s="20">
        <v>7.4999999999999997E-2</v>
      </c>
      <c r="G68" s="20">
        <f>+E68*(1+F68)</f>
        <v>-0.38699999999999996</v>
      </c>
    </row>
    <row r="69" spans="1:10" x14ac:dyDescent="0.2">
      <c r="A69" s="191" t="s">
        <v>134</v>
      </c>
      <c r="B69" s="189"/>
      <c r="D69" s="103"/>
      <c r="E69" s="20">
        <v>-0.36</v>
      </c>
      <c r="F69" s="20">
        <v>7.4999999999999997E-2</v>
      </c>
      <c r="G69" s="20">
        <f>+E69*(1-F69)</f>
        <v>-0.33300000000000002</v>
      </c>
    </row>
    <row r="70" spans="1:10" x14ac:dyDescent="0.2">
      <c r="A70" s="190" t="s">
        <v>133</v>
      </c>
      <c r="B70" s="190"/>
      <c r="D70" s="103"/>
      <c r="E70" s="20">
        <v>-0.36</v>
      </c>
      <c r="F70" s="20">
        <v>1.4999999999999999E-2</v>
      </c>
      <c r="G70" s="20">
        <f>+E70-F70</f>
        <v>-0.375</v>
      </c>
    </row>
    <row r="71" spans="1:10" x14ac:dyDescent="0.2">
      <c r="A71" s="182" t="s">
        <v>135</v>
      </c>
      <c r="B71" s="183"/>
      <c r="D71" s="103"/>
      <c r="E71" s="20">
        <v>-0.36</v>
      </c>
      <c r="F71" s="20">
        <v>1.4999999999999999E-2</v>
      </c>
      <c r="G71" s="20">
        <f>+E71+F71</f>
        <v>-0.34499999999999997</v>
      </c>
    </row>
    <row r="73" spans="1:10" x14ac:dyDescent="0.2">
      <c r="A73" s="104" t="s">
        <v>148</v>
      </c>
      <c r="D73" s="103"/>
    </row>
    <row r="74" spans="1:10" x14ac:dyDescent="0.2">
      <c r="A74" s="76" t="s">
        <v>140</v>
      </c>
      <c r="B74" s="76">
        <f>+G24</f>
        <v>0</v>
      </c>
      <c r="C74" s="76"/>
    </row>
    <row r="75" spans="1:10" x14ac:dyDescent="0.2">
      <c r="A75" s="76" t="s">
        <v>147</v>
      </c>
      <c r="B75" s="76">
        <v>8176</v>
      </c>
      <c r="C75" s="76" t="s">
        <v>141</v>
      </c>
    </row>
    <row r="76" spans="1:10" x14ac:dyDescent="0.2">
      <c r="A76" s="76" t="s">
        <v>142</v>
      </c>
      <c r="B76" s="105">
        <v>3.634E-8</v>
      </c>
      <c r="C76" s="76" t="s">
        <v>143</v>
      </c>
    </row>
    <row r="77" spans="1:10" x14ac:dyDescent="0.2">
      <c r="B77" s="105">
        <f>B76/B75*B74</f>
        <v>0</v>
      </c>
      <c r="C77" s="76" t="s">
        <v>144</v>
      </c>
    </row>
    <row r="78" spans="1:10" x14ac:dyDescent="0.2">
      <c r="A78" s="76" t="s">
        <v>149</v>
      </c>
      <c r="B78" s="105">
        <f>0.00000000007111-B77</f>
        <v>7.1110000000000001E-11</v>
      </c>
      <c r="C78" s="76" t="s">
        <v>145</v>
      </c>
    </row>
    <row r="79" spans="1:10" x14ac:dyDescent="0.2">
      <c r="A79" s="76" t="s">
        <v>150</v>
      </c>
      <c r="B79" s="106">
        <f>B78/0.00000000007111</f>
        <v>1</v>
      </c>
      <c r="C79" s="76" t="s">
        <v>146</v>
      </c>
    </row>
    <row r="81" spans="1:5" x14ac:dyDescent="0.2">
      <c r="A81" s="107" t="s">
        <v>182</v>
      </c>
    </row>
    <row r="82" spans="1:5" x14ac:dyDescent="0.2">
      <c r="A82" s="75" t="s">
        <v>184</v>
      </c>
    </row>
    <row r="83" spans="1:5" x14ac:dyDescent="0.2">
      <c r="A83" s="75" t="s">
        <v>183</v>
      </c>
    </row>
    <row r="85" spans="1:5" x14ac:dyDescent="0.2">
      <c r="A85" s="76" t="s">
        <v>186</v>
      </c>
      <c r="C85" s="75">
        <v>29.07</v>
      </c>
      <c r="D85" s="76">
        <v>71.11</v>
      </c>
      <c r="E85" s="76">
        <f>+C85/D85</f>
        <v>0.40880326255097738</v>
      </c>
    </row>
  </sheetData>
  <mergeCells count="11">
    <mergeCell ref="O41:O52"/>
    <mergeCell ref="A71:B71"/>
    <mergeCell ref="L57:N57"/>
    <mergeCell ref="G57:H57"/>
    <mergeCell ref="A1:B1"/>
    <mergeCell ref="A68:B68"/>
    <mergeCell ref="A70:B70"/>
    <mergeCell ref="A69:B69"/>
    <mergeCell ref="E67:G67"/>
    <mergeCell ref="A59:B59"/>
    <mergeCell ref="G25:G26"/>
  </mergeCells>
  <conditionalFormatting sqref="P3">
    <cfRule type="containsText" dxfId="186" priority="5" stopIfTrue="1" operator="containsText" text="Fail">
      <formula>NOT(ISERROR(SEARCH("Fail",P3)))</formula>
    </cfRule>
    <cfRule type="containsText" dxfId="185" priority="6" stopIfTrue="1" operator="containsText" text="Pass">
      <formula>NOT(ISERROR(SEARCH("Pass",P3)))</formula>
    </cfRule>
    <cfRule type="containsText" dxfId="184" priority="7" stopIfTrue="1" operator="containsText" text="N/A">
      <formula>NOT(ISERROR(SEARCH("N/A",P3)))</formula>
    </cfRule>
  </conditionalFormatting>
  <conditionalFormatting sqref="F3:F63">
    <cfRule type="containsText" dxfId="183" priority="1" operator="containsText" text="NT">
      <formula>NOT(ISERROR(SEARCH("NT",F3)))</formula>
    </cfRule>
    <cfRule type="containsText" dxfId="182" priority="2" stopIfTrue="1" operator="containsText" text="Fail">
      <formula>NOT(ISERROR(SEARCH("Fail",F3)))</formula>
    </cfRule>
    <cfRule type="containsText" dxfId="181" priority="3" stopIfTrue="1" operator="containsText" text="Pass">
      <formula>NOT(ISERROR(SEARCH("Pass",F3)))</formula>
    </cfRule>
    <cfRule type="containsText" dxfId="180" priority="4" stopIfTrue="1" operator="containsText" text="N/A">
      <formula>NOT(ISERROR(SEARCH("N/A",F3)))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FF00"/>
  </sheetPr>
  <dimension ref="A1:R85"/>
  <sheetViews>
    <sheetView zoomScale="80" zoomScaleNormal="80" workbookViewId="0">
      <selection sqref="A1:B1"/>
    </sheetView>
  </sheetViews>
  <sheetFormatPr defaultRowHeight="12.75" x14ac:dyDescent="0.2"/>
  <cols>
    <col min="1" max="1" width="12.7109375" style="76" customWidth="1"/>
    <col min="2" max="2" width="40.28515625" style="76" bestFit="1" customWidth="1"/>
    <col min="3" max="3" width="20" style="75" bestFit="1" customWidth="1"/>
    <col min="4" max="4" width="12.7109375" style="76" bestFit="1" customWidth="1"/>
    <col min="5" max="5" width="15.28515625" style="76" bestFit="1" customWidth="1"/>
    <col min="6" max="6" width="10.5703125" style="76" bestFit="1" customWidth="1"/>
    <col min="7" max="7" width="13.5703125" style="77" bestFit="1" customWidth="1"/>
    <col min="8" max="8" width="11.5703125" style="77" bestFit="1" customWidth="1"/>
    <col min="9" max="9" width="40.28515625" style="76" bestFit="1" customWidth="1"/>
    <col min="10" max="10" width="7.7109375" style="77" bestFit="1" customWidth="1"/>
    <col min="11" max="11" width="12" style="76" bestFit="1" customWidth="1"/>
    <col min="12" max="12" width="5.7109375" style="76" bestFit="1" customWidth="1"/>
    <col min="13" max="13" width="12.42578125" style="76" customWidth="1"/>
    <col min="14" max="14" width="13.7109375" style="76" bestFit="1" customWidth="1"/>
    <col min="15" max="15" width="57.140625" style="76" bestFit="1" customWidth="1"/>
    <col min="16" max="16" width="9.140625" style="76"/>
    <col min="17" max="17" width="13" style="76" bestFit="1" customWidth="1"/>
    <col min="18" max="18" width="28.85546875" style="76" bestFit="1" customWidth="1"/>
    <col min="19" max="16384" width="9.140625" style="76"/>
  </cols>
  <sheetData>
    <row r="1" spans="1:15" ht="15.75" customHeight="1" x14ac:dyDescent="0.2">
      <c r="A1" s="186" t="s">
        <v>130</v>
      </c>
      <c r="B1" s="187"/>
      <c r="D1" s="9"/>
    </row>
    <row r="2" spans="1:15" s="118" customFormat="1" ht="25.5" x14ac:dyDescent="0.25">
      <c r="A2" s="8" t="s">
        <v>101</v>
      </c>
      <c r="B2" s="8" t="s">
        <v>2</v>
      </c>
      <c r="C2" s="72" t="s">
        <v>189</v>
      </c>
      <c r="D2" s="10" t="s">
        <v>156</v>
      </c>
      <c r="E2" s="10" t="s">
        <v>118</v>
      </c>
      <c r="F2" s="9" t="s">
        <v>61</v>
      </c>
      <c r="G2" s="10" t="s">
        <v>117</v>
      </c>
      <c r="H2" s="117" t="s">
        <v>72</v>
      </c>
      <c r="I2" s="8" t="s">
        <v>2</v>
      </c>
      <c r="J2" s="22" t="s">
        <v>73</v>
      </c>
      <c r="K2" s="22" t="s">
        <v>138</v>
      </c>
      <c r="L2" s="10" t="s">
        <v>139</v>
      </c>
      <c r="M2" s="10" t="s">
        <v>62</v>
      </c>
      <c r="N2" s="16" t="s">
        <v>71</v>
      </c>
      <c r="O2" s="8" t="s">
        <v>63</v>
      </c>
    </row>
    <row r="3" spans="1:15" x14ac:dyDescent="0.2">
      <c r="A3" s="79" t="s">
        <v>88</v>
      </c>
      <c r="B3" s="123" t="str">
        <f>+'Lane 1'!$B3</f>
        <v>SDD22</v>
      </c>
      <c r="C3" s="113">
        <f>IF(D3="","NT",IF(H3&lt;=5.6,-12+1.71*SQRT(H3),-6.7+13*LOG10((H3/7))))</f>
        <v>-12</v>
      </c>
      <c r="D3" s="52">
        <f t="shared" ref="D3:D5" si="0">+G3</f>
        <v>0</v>
      </c>
      <c r="E3" s="19" t="s">
        <v>121</v>
      </c>
      <c r="F3" s="50" t="str">
        <f>IF(D3="","Fail",IF(D3&lt;=C3,"Pass", "Fail"))</f>
        <v>Fail</v>
      </c>
      <c r="G3" s="81"/>
      <c r="H3" s="81"/>
      <c r="I3" s="80" t="str">
        <f t="shared" ref="I3:I56" si="1">+B3</f>
        <v>SDD22</v>
      </c>
      <c r="J3" s="20"/>
      <c r="K3" s="23"/>
      <c r="L3" s="10"/>
      <c r="M3" s="10"/>
      <c r="N3" s="16"/>
      <c r="O3" s="8"/>
    </row>
    <row r="4" spans="1:15" x14ac:dyDescent="0.2">
      <c r="A4" s="79" t="s">
        <v>88</v>
      </c>
      <c r="B4" s="123" t="str">
        <f>+'Lane 1'!$B4</f>
        <v>SCC22</v>
      </c>
      <c r="C4" s="114">
        <f>IF(D4="","NT",-2)</f>
        <v>-2</v>
      </c>
      <c r="D4" s="52">
        <f t="shared" si="0"/>
        <v>0</v>
      </c>
      <c r="E4" s="19" t="s">
        <v>121</v>
      </c>
      <c r="F4" s="50" t="str">
        <f t="shared" ref="F4:F5" si="2">IF(D4="","Fail",IF(D4&lt;=C4,"Pass", "Fail"))</f>
        <v>Fail</v>
      </c>
      <c r="G4" s="81"/>
      <c r="H4" s="81"/>
      <c r="I4" s="80" t="str">
        <f t="shared" si="1"/>
        <v>SCC22</v>
      </c>
      <c r="J4" s="20"/>
      <c r="K4" s="23"/>
      <c r="L4" s="10"/>
      <c r="M4" s="10"/>
      <c r="N4" s="16"/>
      <c r="O4" s="8"/>
    </row>
    <row r="5" spans="1:15" x14ac:dyDescent="0.2">
      <c r="A5" s="79" t="s">
        <v>88</v>
      </c>
      <c r="B5" s="123" t="str">
        <f>+'Lane 1'!$B5</f>
        <v>SDC22</v>
      </c>
      <c r="C5" s="114">
        <f>IF(D5="","NT",-16+((2/3)*H5))</f>
        <v>-16</v>
      </c>
      <c r="D5" s="52">
        <f t="shared" si="0"/>
        <v>0</v>
      </c>
      <c r="E5" s="19" t="s">
        <v>121</v>
      </c>
      <c r="F5" s="50" t="str">
        <f t="shared" si="2"/>
        <v>Fail</v>
      </c>
      <c r="G5" s="81"/>
      <c r="H5" s="81"/>
      <c r="I5" s="80" t="str">
        <f t="shared" si="1"/>
        <v>SDC22</v>
      </c>
      <c r="J5" s="20"/>
      <c r="K5" s="23"/>
      <c r="L5" s="10"/>
      <c r="M5" s="10"/>
      <c r="N5" s="16"/>
      <c r="O5" s="8"/>
    </row>
    <row r="6" spans="1:15" x14ac:dyDescent="0.2">
      <c r="A6" s="79" t="s">
        <v>88</v>
      </c>
      <c r="B6" s="124" t="str">
        <f>+'Lane 1'!$B6</f>
        <v>RJ - preset 0</v>
      </c>
      <c r="C6" s="74">
        <f>+'Lane 1'!C6</f>
        <v>0.15</v>
      </c>
      <c r="D6" s="83">
        <f>+K6</f>
        <v>0</v>
      </c>
      <c r="E6" s="19" t="s">
        <v>119</v>
      </c>
      <c r="F6" s="51" t="str">
        <f>IF(G6="","Fail",IF(D6&lt;=C6,"Pass", "Fail"))</f>
        <v>Fail</v>
      </c>
      <c r="G6" s="81"/>
      <c r="H6" s="20"/>
      <c r="I6" s="82" t="str">
        <f t="shared" si="1"/>
        <v>RJ - preset 0</v>
      </c>
      <c r="J6" s="20">
        <v>14.069000000000001</v>
      </c>
      <c r="K6" s="84">
        <f>(G6/1000)*J6</f>
        <v>0</v>
      </c>
      <c r="L6" s="21"/>
      <c r="M6" s="21"/>
      <c r="N6" s="21"/>
      <c r="O6" s="11" t="s">
        <v>136</v>
      </c>
    </row>
    <row r="7" spans="1:15" x14ac:dyDescent="0.2">
      <c r="A7" s="79" t="s">
        <v>88</v>
      </c>
      <c r="B7" s="124" t="str">
        <f>+'Lane 1'!$B7</f>
        <v>RJ - preset 15 - Amplitude 0</v>
      </c>
      <c r="C7" s="74">
        <f>+'Lane 1'!C7</f>
        <v>0.15</v>
      </c>
      <c r="D7" s="83">
        <f t="shared" ref="D7:D8" si="3">+K7</f>
        <v>0</v>
      </c>
      <c r="E7" s="19" t="s">
        <v>119</v>
      </c>
      <c r="F7" s="51" t="str">
        <f t="shared" ref="F7:F8" si="4">IF(G7="","Fail",IF(D7&lt;=C7,"Pass", "Fail"))</f>
        <v>Fail</v>
      </c>
      <c r="G7" s="81"/>
      <c r="H7" s="20"/>
      <c r="I7" s="82" t="str">
        <f t="shared" si="1"/>
        <v>RJ - preset 15 - Amplitude 0</v>
      </c>
      <c r="J7" s="20">
        <v>14.069000000000001</v>
      </c>
      <c r="K7" s="84">
        <f t="shared" ref="K7:K8" si="5">(G7/1000)*J7</f>
        <v>0</v>
      </c>
      <c r="L7" s="21"/>
      <c r="M7" s="21"/>
      <c r="N7" s="21"/>
      <c r="O7" s="11" t="s">
        <v>136</v>
      </c>
    </row>
    <row r="8" spans="1:15" x14ac:dyDescent="0.2">
      <c r="A8" s="79" t="s">
        <v>88</v>
      </c>
      <c r="B8" s="124" t="str">
        <f>+'Lane 1'!$B8</f>
        <v>RJ - preset 15 - Amplitude 1</v>
      </c>
      <c r="C8" s="74">
        <f>+'Lane 1'!C8</f>
        <v>0.15</v>
      </c>
      <c r="D8" s="83">
        <f t="shared" si="3"/>
        <v>0</v>
      </c>
      <c r="E8" s="19" t="s">
        <v>119</v>
      </c>
      <c r="F8" s="51" t="str">
        <f t="shared" si="4"/>
        <v>Fail</v>
      </c>
      <c r="G8" s="81"/>
      <c r="H8" s="20"/>
      <c r="I8" s="82" t="str">
        <f t="shared" si="1"/>
        <v>RJ - preset 15 - Amplitude 1</v>
      </c>
      <c r="J8" s="20">
        <v>14.069000000000001</v>
      </c>
      <c r="K8" s="84">
        <f t="shared" si="5"/>
        <v>0</v>
      </c>
      <c r="L8" s="21"/>
      <c r="M8" s="21"/>
      <c r="N8" s="21"/>
      <c r="O8" s="11" t="s">
        <v>136</v>
      </c>
    </row>
    <row r="9" spans="1:15" x14ac:dyDescent="0.2">
      <c r="A9" s="79" t="s">
        <v>88</v>
      </c>
      <c r="B9" s="124" t="str">
        <f>+'Lane 1'!$B9</f>
        <v>DCD - preset 0</v>
      </c>
      <c r="C9" s="74">
        <f>+'Lane 1'!C9</f>
        <v>3.5000000000000003E-2</v>
      </c>
      <c r="D9" s="83">
        <f t="shared" ref="D9:D17" si="6">+K9</f>
        <v>0</v>
      </c>
      <c r="E9" s="21" t="s">
        <v>119</v>
      </c>
      <c r="F9" s="50" t="str">
        <f>IF(G9="","Fail",IF(D9&lt;=C9,"Pass", "Fail"))</f>
        <v>Fail</v>
      </c>
      <c r="G9" s="81"/>
      <c r="H9" s="20"/>
      <c r="I9" s="82" t="str">
        <f t="shared" si="1"/>
        <v>DCD - preset 0</v>
      </c>
      <c r="J9" s="20">
        <v>1000</v>
      </c>
      <c r="K9" s="84">
        <f>+G9/J9</f>
        <v>0</v>
      </c>
      <c r="L9" s="21"/>
      <c r="M9" s="21"/>
      <c r="N9" s="21"/>
      <c r="O9" s="23" t="s">
        <v>74</v>
      </c>
    </row>
    <row r="10" spans="1:15" x14ac:dyDescent="0.2">
      <c r="A10" s="79" t="s">
        <v>88</v>
      </c>
      <c r="B10" s="124" t="str">
        <f>+'Lane 1'!$B10</f>
        <v>DCD - preset 15 - amplitude 0</v>
      </c>
      <c r="C10" s="74">
        <f>+'Lane 1'!C10</f>
        <v>3.5000000000000003E-2</v>
      </c>
      <c r="D10" s="83">
        <f t="shared" si="6"/>
        <v>0</v>
      </c>
      <c r="E10" s="21" t="s">
        <v>119</v>
      </c>
      <c r="F10" s="50" t="str">
        <f t="shared" ref="F10:F11" si="7">IF(G10="","Fail",IF(D10&lt;=C10,"Pass", "Fail"))</f>
        <v>Fail</v>
      </c>
      <c r="G10" s="81"/>
      <c r="H10" s="20"/>
      <c r="I10" s="82" t="str">
        <f t="shared" si="1"/>
        <v>DCD - preset 15 - amplitude 0</v>
      </c>
      <c r="J10" s="20">
        <v>1000</v>
      </c>
      <c r="K10" s="84">
        <f t="shared" ref="K10:K11" si="8">+G10/J10</f>
        <v>0</v>
      </c>
      <c r="L10" s="21"/>
      <c r="M10" s="21"/>
      <c r="N10" s="21"/>
      <c r="O10" s="23" t="s">
        <v>74</v>
      </c>
    </row>
    <row r="11" spans="1:15" x14ac:dyDescent="0.2">
      <c r="A11" s="79" t="s">
        <v>88</v>
      </c>
      <c r="B11" s="124" t="str">
        <f>+'Lane 1'!$B11</f>
        <v>DCD - preset 15 - amplitude 1</v>
      </c>
      <c r="C11" s="74">
        <f>+'Lane 1'!C11</f>
        <v>3.5000000000000003E-2</v>
      </c>
      <c r="D11" s="83">
        <f t="shared" si="6"/>
        <v>0</v>
      </c>
      <c r="E11" s="21" t="s">
        <v>119</v>
      </c>
      <c r="F11" s="50" t="str">
        <f t="shared" si="7"/>
        <v>Fail</v>
      </c>
      <c r="G11" s="81"/>
      <c r="H11" s="20"/>
      <c r="I11" s="82" t="str">
        <f t="shared" si="1"/>
        <v>DCD - preset 15 - amplitude 1</v>
      </c>
      <c r="J11" s="20">
        <v>1000</v>
      </c>
      <c r="K11" s="84">
        <f t="shared" si="8"/>
        <v>0</v>
      </c>
      <c r="L11" s="21"/>
      <c r="M11" s="21"/>
      <c r="N11" s="21"/>
      <c r="O11" s="23" t="s">
        <v>74</v>
      </c>
    </row>
    <row r="12" spans="1:15" x14ac:dyDescent="0.2">
      <c r="A12" s="79" t="s">
        <v>88</v>
      </c>
      <c r="B12" s="124" t="str">
        <f>+'Lane 1'!$B12</f>
        <v>TJ - preset 0</v>
      </c>
      <c r="C12" s="74" t="str">
        <f>+'Lane 1'!C12</f>
        <v>Used to calc TJ-DDJ</v>
      </c>
      <c r="D12" s="83">
        <f t="shared" si="6"/>
        <v>0</v>
      </c>
      <c r="E12" s="21" t="s">
        <v>119</v>
      </c>
      <c r="F12" s="50" t="s">
        <v>5</v>
      </c>
      <c r="G12" s="85"/>
      <c r="H12" s="20"/>
      <c r="I12" s="82" t="str">
        <f t="shared" si="1"/>
        <v>TJ - preset 0</v>
      </c>
      <c r="J12" s="20">
        <v>1000</v>
      </c>
      <c r="K12" s="84">
        <f>+G12/J12</f>
        <v>0</v>
      </c>
      <c r="L12" s="21"/>
      <c r="M12" s="21"/>
      <c r="N12" s="21"/>
      <c r="O12" s="23" t="s">
        <v>74</v>
      </c>
    </row>
    <row r="13" spans="1:15" x14ac:dyDescent="0.2">
      <c r="A13" s="79" t="s">
        <v>88</v>
      </c>
      <c r="B13" s="124" t="str">
        <f>+'Lane 1'!$B13</f>
        <v>TJ - preset 15 - amplitude 0</v>
      </c>
      <c r="C13" s="74" t="str">
        <f>+'Lane 1'!C13</f>
        <v>Used to calc TJ-DDJ</v>
      </c>
      <c r="D13" s="83">
        <f t="shared" si="6"/>
        <v>0</v>
      </c>
      <c r="E13" s="21" t="s">
        <v>119</v>
      </c>
      <c r="F13" s="50" t="s">
        <v>5</v>
      </c>
      <c r="G13" s="85"/>
      <c r="H13" s="20"/>
      <c r="I13" s="82" t="str">
        <f t="shared" si="1"/>
        <v>TJ - preset 15 - amplitude 0</v>
      </c>
      <c r="J13" s="20">
        <v>1000</v>
      </c>
      <c r="K13" s="84">
        <f t="shared" ref="K13:K14" si="9">+G13/J13</f>
        <v>0</v>
      </c>
      <c r="L13" s="21"/>
      <c r="M13" s="21"/>
      <c r="N13" s="21"/>
      <c r="O13" s="23" t="s">
        <v>74</v>
      </c>
    </row>
    <row r="14" spans="1:15" x14ac:dyDescent="0.2">
      <c r="A14" s="79" t="s">
        <v>88</v>
      </c>
      <c r="B14" s="124" t="str">
        <f>+'Lane 1'!$B14</f>
        <v>TJ - preset 15 - amplitude 1</v>
      </c>
      <c r="C14" s="74" t="str">
        <f>+'Lane 1'!C14</f>
        <v>Used to calc TJ-DDJ</v>
      </c>
      <c r="D14" s="83">
        <f t="shared" si="6"/>
        <v>0</v>
      </c>
      <c r="E14" s="21" t="s">
        <v>119</v>
      </c>
      <c r="F14" s="50" t="s">
        <v>5</v>
      </c>
      <c r="G14" s="85"/>
      <c r="H14" s="20"/>
      <c r="I14" s="82" t="str">
        <f t="shared" si="1"/>
        <v>TJ - preset 15 - amplitude 1</v>
      </c>
      <c r="J14" s="20">
        <v>1000</v>
      </c>
      <c r="K14" s="84">
        <f t="shared" si="9"/>
        <v>0</v>
      </c>
      <c r="L14" s="21"/>
      <c r="M14" s="21"/>
      <c r="N14" s="21"/>
      <c r="O14" s="23" t="s">
        <v>74</v>
      </c>
    </row>
    <row r="15" spans="1:15" x14ac:dyDescent="0.2">
      <c r="A15" s="79" t="s">
        <v>88</v>
      </c>
      <c r="B15" s="124" t="str">
        <f>+'Lane 1'!$B15</f>
        <v>DDJ - preset 0</v>
      </c>
      <c r="C15" s="74" t="str">
        <f>+'Lane 1'!C15</f>
        <v>Used to calc TJ-DDJ</v>
      </c>
      <c r="D15" s="83">
        <f t="shared" si="6"/>
        <v>0</v>
      </c>
      <c r="E15" s="21" t="s">
        <v>119</v>
      </c>
      <c r="F15" s="50" t="s">
        <v>5</v>
      </c>
      <c r="G15" s="85"/>
      <c r="H15" s="20"/>
      <c r="I15" s="82" t="str">
        <f t="shared" si="1"/>
        <v>DDJ - preset 0</v>
      </c>
      <c r="J15" s="20">
        <v>1000</v>
      </c>
      <c r="K15" s="84">
        <f>+G15/J15</f>
        <v>0</v>
      </c>
      <c r="L15" s="21"/>
      <c r="M15" s="21"/>
      <c r="N15" s="21"/>
      <c r="O15" s="23" t="s">
        <v>74</v>
      </c>
    </row>
    <row r="16" spans="1:15" x14ac:dyDescent="0.2">
      <c r="A16" s="79" t="s">
        <v>88</v>
      </c>
      <c r="B16" s="124" t="str">
        <f>+'Lane 1'!$B16</f>
        <v>DDJ - preset 15 - amplitude 0</v>
      </c>
      <c r="C16" s="74" t="str">
        <f>+'Lane 1'!C16</f>
        <v>Used to calc TJ-DDJ</v>
      </c>
      <c r="D16" s="83">
        <f t="shared" si="6"/>
        <v>0</v>
      </c>
      <c r="E16" s="21" t="s">
        <v>119</v>
      </c>
      <c r="F16" s="50" t="s">
        <v>5</v>
      </c>
      <c r="G16" s="85"/>
      <c r="H16" s="20"/>
      <c r="I16" s="82" t="str">
        <f t="shared" si="1"/>
        <v>DDJ - preset 15 - amplitude 0</v>
      </c>
      <c r="J16" s="20">
        <v>1000</v>
      </c>
      <c r="K16" s="84">
        <f t="shared" ref="K16:K17" si="10">+G16/J16</f>
        <v>0</v>
      </c>
      <c r="L16" s="21"/>
      <c r="M16" s="21"/>
      <c r="N16" s="21"/>
      <c r="O16" s="23" t="s">
        <v>74</v>
      </c>
    </row>
    <row r="17" spans="1:18" x14ac:dyDescent="0.2">
      <c r="A17" s="79" t="s">
        <v>88</v>
      </c>
      <c r="B17" s="124" t="str">
        <f>+'Lane 1'!$B17</f>
        <v>DDJ - preset 15 - amplitude 1</v>
      </c>
      <c r="C17" s="74" t="str">
        <f>+'Lane 1'!C17</f>
        <v>Used to calc TJ-DDJ</v>
      </c>
      <c r="D17" s="83">
        <f t="shared" si="6"/>
        <v>0</v>
      </c>
      <c r="E17" s="21" t="s">
        <v>119</v>
      </c>
      <c r="F17" s="50" t="s">
        <v>5</v>
      </c>
      <c r="G17" s="85"/>
      <c r="H17" s="20"/>
      <c r="I17" s="82" t="str">
        <f t="shared" si="1"/>
        <v>DDJ - preset 15 - amplitude 1</v>
      </c>
      <c r="J17" s="20">
        <v>1000</v>
      </c>
      <c r="K17" s="84">
        <f t="shared" si="10"/>
        <v>0</v>
      </c>
      <c r="L17" s="21"/>
      <c r="M17" s="21"/>
      <c r="N17" s="21"/>
      <c r="O17" s="23" t="s">
        <v>74</v>
      </c>
    </row>
    <row r="18" spans="1:18" x14ac:dyDescent="0.2">
      <c r="A18" s="79" t="s">
        <v>88</v>
      </c>
      <c r="B18" s="26" t="str">
        <f>+'Lane 1'!$B18</f>
        <v>TJ-DDJ - preset 0</v>
      </c>
      <c r="C18" s="74">
        <f>+'Lane 1'!C18</f>
        <v>0.25</v>
      </c>
      <c r="D18" s="83">
        <f>+K18</f>
        <v>0</v>
      </c>
      <c r="E18" s="21" t="s">
        <v>119</v>
      </c>
      <c r="F18" s="51" t="str">
        <f>IF(OR(G12="",D15=""),"Fail",IF(D18&lt;=C18,"Pass", "Fail"))</f>
        <v>Fail</v>
      </c>
      <c r="G18" s="20"/>
      <c r="H18" s="20"/>
      <c r="I18" s="26" t="str">
        <f t="shared" si="1"/>
        <v>TJ-DDJ - preset 0</v>
      </c>
      <c r="J18" s="20"/>
      <c r="K18" s="83">
        <f>+K12-K15</f>
        <v>0</v>
      </c>
      <c r="L18" s="21"/>
      <c r="M18" s="21"/>
      <c r="N18" s="21"/>
      <c r="O18" s="23" t="s">
        <v>74</v>
      </c>
    </row>
    <row r="19" spans="1:18" x14ac:dyDescent="0.2">
      <c r="A19" s="79" t="s">
        <v>88</v>
      </c>
      <c r="B19" s="26" t="str">
        <f>+'Lane 1'!$B19</f>
        <v>TJ-DDJ - preset 15 - amplitude 0</v>
      </c>
      <c r="C19" s="74">
        <f>+'Lane 1'!C19</f>
        <v>0.25</v>
      </c>
      <c r="D19" s="83">
        <f t="shared" ref="D19:D20" si="11">+K19</f>
        <v>0</v>
      </c>
      <c r="E19" s="21" t="s">
        <v>119</v>
      </c>
      <c r="F19" s="51" t="str">
        <f t="shared" ref="F19:F20" si="12">IF(OR(G13="",D16=""),"Fail",IF(D19&lt;=C19,"Pass", "Fail"))</f>
        <v>Fail</v>
      </c>
      <c r="G19" s="20"/>
      <c r="H19" s="20"/>
      <c r="I19" s="26" t="str">
        <f t="shared" si="1"/>
        <v>TJ-DDJ - preset 15 - amplitude 0</v>
      </c>
      <c r="J19" s="20"/>
      <c r="K19" s="83">
        <f t="shared" ref="K19:K20" si="13">+K13-K16</f>
        <v>0</v>
      </c>
      <c r="L19" s="21"/>
      <c r="M19" s="21"/>
      <c r="N19" s="21"/>
      <c r="O19" s="23" t="s">
        <v>74</v>
      </c>
    </row>
    <row r="20" spans="1:18" x14ac:dyDescent="0.2">
      <c r="A20" s="79" t="s">
        <v>88</v>
      </c>
      <c r="B20" s="26" t="str">
        <f>+'Lane 1'!$B20</f>
        <v>TJ-DDJ - preset 15 - amplitude 1</v>
      </c>
      <c r="C20" s="74">
        <f>+'Lane 1'!C20</f>
        <v>0.25</v>
      </c>
      <c r="D20" s="83">
        <f t="shared" si="11"/>
        <v>0</v>
      </c>
      <c r="E20" s="21" t="s">
        <v>119</v>
      </c>
      <c r="F20" s="51" t="str">
        <f t="shared" si="12"/>
        <v>Fail</v>
      </c>
      <c r="G20" s="20"/>
      <c r="H20" s="20"/>
      <c r="I20" s="26" t="str">
        <f t="shared" si="1"/>
        <v>TJ-DDJ - preset 15 - amplitude 1</v>
      </c>
      <c r="J20" s="20"/>
      <c r="K20" s="83">
        <f t="shared" si="13"/>
        <v>0</v>
      </c>
      <c r="L20" s="21"/>
      <c r="M20" s="21"/>
      <c r="N20" s="21"/>
      <c r="O20" s="23" t="s">
        <v>74</v>
      </c>
    </row>
    <row r="21" spans="1:18" x14ac:dyDescent="0.2">
      <c r="A21" s="79" t="s">
        <v>88</v>
      </c>
      <c r="B21" s="26" t="str">
        <f>+'Lane 1'!$B21</f>
        <v>J2 - preset 0</v>
      </c>
      <c r="C21" s="74">
        <f>+'Lane 1'!C21</f>
        <v>0.19</v>
      </c>
      <c r="D21" s="83">
        <f>+K21</f>
        <v>0</v>
      </c>
      <c r="E21" s="21" t="s">
        <v>119</v>
      </c>
      <c r="F21" s="51" t="str">
        <f>IF(G21="","Fail",IF(D21&lt;=C21,"Pass", "Fail"))</f>
        <v>Fail</v>
      </c>
      <c r="G21" s="81"/>
      <c r="H21" s="20"/>
      <c r="I21" s="26" t="str">
        <f t="shared" si="1"/>
        <v>J2 - preset 0</v>
      </c>
      <c r="J21" s="20">
        <v>1000</v>
      </c>
      <c r="K21" s="84">
        <f>+G21/J21</f>
        <v>0</v>
      </c>
      <c r="L21" s="21"/>
      <c r="M21" s="21"/>
      <c r="N21" s="21"/>
      <c r="O21" s="23" t="s">
        <v>74</v>
      </c>
    </row>
    <row r="22" spans="1:18" x14ac:dyDescent="0.2">
      <c r="A22" s="79" t="s">
        <v>88</v>
      </c>
      <c r="B22" s="26" t="str">
        <f>+'Lane 1'!$B22</f>
        <v>J9 - preset 0</v>
      </c>
      <c r="C22" s="74">
        <f>+'Lane 1'!C22</f>
        <v>0.33</v>
      </c>
      <c r="D22" s="83">
        <f t="shared" ref="D22:D23" si="14">+K22</f>
        <v>0</v>
      </c>
      <c r="E22" s="21" t="s">
        <v>119</v>
      </c>
      <c r="F22" s="51" t="str">
        <f>IF(G22="","Fail",IF(D22&lt;=C22,"Pass", "Fail"))</f>
        <v>Fail</v>
      </c>
      <c r="G22" s="81"/>
      <c r="H22" s="20"/>
      <c r="I22" s="26" t="str">
        <f t="shared" si="1"/>
        <v>J9 - preset 0</v>
      </c>
      <c r="J22" s="20">
        <v>1000</v>
      </c>
      <c r="K22" s="84">
        <f>+G22/J22</f>
        <v>0</v>
      </c>
      <c r="L22" s="21"/>
      <c r="M22" s="21"/>
      <c r="N22" s="21"/>
      <c r="O22" s="23" t="s">
        <v>74</v>
      </c>
    </row>
    <row r="23" spans="1:18" x14ac:dyDescent="0.2">
      <c r="A23" s="79" t="s">
        <v>88</v>
      </c>
      <c r="B23" s="26" t="str">
        <f>+'Lane 1'!$B23</f>
        <v>DDPWS</v>
      </c>
      <c r="C23" s="74">
        <f>+'Lane 1'!C23</f>
        <v>0.11</v>
      </c>
      <c r="D23" s="83">
        <f t="shared" si="14"/>
        <v>0</v>
      </c>
      <c r="E23" s="13" t="s">
        <v>119</v>
      </c>
      <c r="F23" s="51" t="str">
        <f>IF(G23="","Fail",IF(D23&lt;=C23,"Pass", "Fail"))</f>
        <v>Fail</v>
      </c>
      <c r="G23" s="85"/>
      <c r="H23" s="20"/>
      <c r="I23" s="26" t="str">
        <f t="shared" si="1"/>
        <v>DDPWS</v>
      </c>
      <c r="J23" s="20">
        <v>1000</v>
      </c>
      <c r="K23" s="84">
        <f>+G23/J23</f>
        <v>0</v>
      </c>
      <c r="L23" s="21"/>
      <c r="M23" s="21"/>
      <c r="N23" s="21"/>
      <c r="O23" s="23" t="s">
        <v>154</v>
      </c>
    </row>
    <row r="24" spans="1:18" x14ac:dyDescent="0.2">
      <c r="A24" s="79" t="s">
        <v>88</v>
      </c>
      <c r="B24" s="53" t="str">
        <f>+'Lane 1'!$B24</f>
        <v>DDPWS</v>
      </c>
      <c r="C24" s="74">
        <f>+'Lane 1'!C24</f>
        <v>0.11</v>
      </c>
      <c r="D24" s="86">
        <f>+B79</f>
        <v>1</v>
      </c>
      <c r="E24" s="13" t="s">
        <v>119</v>
      </c>
      <c r="F24" s="51" t="str">
        <f>IF(G24="","Fail",IF(D24&lt;=C24,"Pass", "Fail"))</f>
        <v>Fail</v>
      </c>
      <c r="G24" s="85"/>
      <c r="H24" s="20"/>
      <c r="I24" s="53" t="str">
        <f t="shared" si="1"/>
        <v>DDPWS</v>
      </c>
      <c r="J24" s="20"/>
      <c r="K24" s="23"/>
      <c r="L24" s="21"/>
      <c r="M24" s="21"/>
      <c r="N24" s="21"/>
      <c r="O24" s="23" t="s">
        <v>153</v>
      </c>
      <c r="Q24" s="23" t="str">
        <f t="array" ref="Q24:R34">'Lane 1'!Q24:R34</f>
        <v>Testing Order</v>
      </c>
      <c r="R24" s="23">
        <v>0</v>
      </c>
    </row>
    <row r="25" spans="1:18" x14ac:dyDescent="0.2">
      <c r="A25" s="79" t="s">
        <v>88</v>
      </c>
      <c r="B25" s="26" t="str">
        <f>+'Lane 1'!$B25</f>
        <v>X1, X2, Y1, Y2</v>
      </c>
      <c r="C25" s="44">
        <f>+'Lane 1'!C25</f>
        <v>5.0000000000000002E-5</v>
      </c>
      <c r="D25" s="83">
        <f>+L25/(M25*N25)</f>
        <v>0</v>
      </c>
      <c r="E25" s="21" t="s">
        <v>119</v>
      </c>
      <c r="F25" s="50" t="str">
        <f>IF(L25="","NT",IF(D25&lt;=C25,"Pass", "Fail"))</f>
        <v>NT</v>
      </c>
      <c r="G25" s="195" t="s">
        <v>181</v>
      </c>
      <c r="H25" s="20"/>
      <c r="I25" s="26" t="str">
        <f t="shared" si="1"/>
        <v>X1, X2, Y1, Y2</v>
      </c>
      <c r="J25" s="20"/>
      <c r="L25" s="81"/>
      <c r="M25" s="81">
        <v>110</v>
      </c>
      <c r="N25" s="81">
        <v>16200</v>
      </c>
      <c r="O25" s="23" t="s">
        <v>152</v>
      </c>
      <c r="Q25" s="23" t="str">
        <v>Preset 0</v>
      </c>
      <c r="R25" s="23" t="str">
        <v>Agilent and then BERTScope</v>
      </c>
    </row>
    <row r="26" spans="1:18" x14ac:dyDescent="0.2">
      <c r="A26" s="79" t="s">
        <v>88</v>
      </c>
      <c r="B26" s="53" t="str">
        <f>+'Lane 1'!$B26</f>
        <v>X1, X2, Y1, Y2</v>
      </c>
      <c r="C26" s="44">
        <f>+'Lane 1'!C26</f>
        <v>5.0000000000000002E-5</v>
      </c>
      <c r="D26" s="83">
        <f>+L26/(M26*N26)</f>
        <v>0</v>
      </c>
      <c r="E26" s="21" t="s">
        <v>119</v>
      </c>
      <c r="F26" s="50" t="str">
        <f>IF(L26="","Fail",IF(D26&lt;=C26,"Pass", "Fail"))</f>
        <v>Fail</v>
      </c>
      <c r="G26" s="196"/>
      <c r="H26" s="20"/>
      <c r="I26" s="53" t="str">
        <f t="shared" si="1"/>
        <v>X1, X2, Y1, Y2</v>
      </c>
      <c r="J26" s="20"/>
      <c r="K26" s="23"/>
      <c r="L26" s="81"/>
      <c r="M26" s="81">
        <v>110</v>
      </c>
      <c r="N26" s="81">
        <v>16200</v>
      </c>
      <c r="O26" s="23" t="s">
        <v>151</v>
      </c>
      <c r="Q26" s="23" t="str">
        <v>Eye Mask</v>
      </c>
      <c r="R26" s="23" t="str">
        <v>Make sure settings are correct.</v>
      </c>
    </row>
    <row r="27" spans="1:18" x14ac:dyDescent="0.2">
      <c r="A27" s="79" t="s">
        <v>88</v>
      </c>
      <c r="B27" s="53" t="str">
        <f>+'Lane 1'!$B27</f>
        <v>Tr</v>
      </c>
      <c r="C27" s="24">
        <f>+'Lane 1'!C27</f>
        <v>24</v>
      </c>
      <c r="D27" s="83">
        <f>+G27</f>
        <v>0</v>
      </c>
      <c r="E27" s="21" t="s">
        <v>126</v>
      </c>
      <c r="F27" s="50" t="str">
        <f>IF(D27="","Fail",IF(D27&gt;=C27,"Pass","Fail"))</f>
        <v>Fail</v>
      </c>
      <c r="G27" s="81"/>
      <c r="H27" s="20"/>
      <c r="I27" s="53" t="str">
        <f t="shared" si="1"/>
        <v>Tr</v>
      </c>
      <c r="J27" s="20"/>
      <c r="K27" s="23"/>
      <c r="L27" s="21"/>
      <c r="M27" s="21"/>
      <c r="N27" s="21"/>
      <c r="O27" s="23"/>
      <c r="Q27" s="23" t="str">
        <v>Tr</v>
      </c>
      <c r="R27" s="23" t="str">
        <v>PRBS11</v>
      </c>
    </row>
    <row r="28" spans="1:18" x14ac:dyDescent="0.2">
      <c r="A28" s="79" t="s">
        <v>88</v>
      </c>
      <c r="B28" s="53" t="str">
        <f>+'Lane 1'!$B28</f>
        <v>Tf</v>
      </c>
      <c r="C28" s="24">
        <f>+'Lane 1'!C28</f>
        <v>24</v>
      </c>
      <c r="D28" s="83">
        <f>+G28</f>
        <v>0</v>
      </c>
      <c r="E28" s="87" t="s">
        <v>126</v>
      </c>
      <c r="F28" s="50" t="str">
        <f>IF(D28="","Fail",IF(D28&gt;=C28,"Pass","Fail"))</f>
        <v>Fail</v>
      </c>
      <c r="G28" s="81"/>
      <c r="H28" s="20"/>
      <c r="I28" s="53" t="str">
        <f t="shared" si="1"/>
        <v>Tf</v>
      </c>
      <c r="J28" s="20"/>
      <c r="K28" s="23"/>
      <c r="L28" s="21"/>
      <c r="M28" s="21"/>
      <c r="N28" s="21"/>
      <c r="O28" s="23"/>
      <c r="Q28" s="23" t="str">
        <v>tf</v>
      </c>
      <c r="R28" s="23" t="str">
        <v>PRBS11</v>
      </c>
    </row>
    <row r="29" spans="1:18" x14ac:dyDescent="0.2">
      <c r="A29" s="88" t="s">
        <v>89</v>
      </c>
      <c r="B29" s="53" t="str">
        <f>+'Lane 1'!$B29</f>
        <v>Vcm preset 0</v>
      </c>
      <c r="C29" s="24">
        <f>+'Lane 1'!C29</f>
        <v>20</v>
      </c>
      <c r="D29" s="83">
        <f t="shared" ref="D29:D33" si="15">+K29</f>
        <v>0</v>
      </c>
      <c r="E29" s="21" t="s">
        <v>120</v>
      </c>
      <c r="F29" s="50" t="str">
        <f>IF(G29="","Fail",IF(D29&lt;=C29,"Pass", "Fail"))</f>
        <v>Fail</v>
      </c>
      <c r="G29" s="85"/>
      <c r="H29" s="20"/>
      <c r="I29" s="53" t="str">
        <f t="shared" si="1"/>
        <v>Vcm preset 0</v>
      </c>
      <c r="J29" s="20">
        <v>2</v>
      </c>
      <c r="K29" s="84">
        <f>+G29/J29</f>
        <v>0</v>
      </c>
      <c r="L29" s="21"/>
      <c r="M29" s="21"/>
      <c r="N29" s="21"/>
      <c r="O29" s="14" t="s">
        <v>66</v>
      </c>
      <c r="Q29" s="23" t="str">
        <v>vcm</v>
      </c>
      <c r="R29" s="23" t="str">
        <v>Take Max value</v>
      </c>
    </row>
    <row r="30" spans="1:18" x14ac:dyDescent="0.2">
      <c r="A30" s="88" t="s">
        <v>89</v>
      </c>
      <c r="B30" s="53" t="str">
        <f>+'Lane 1'!$B30</f>
        <v>Vcm preset 2 - amplitude 0</v>
      </c>
      <c r="C30" s="24">
        <f>+'Lane 1'!C30</f>
        <v>30</v>
      </c>
      <c r="D30" s="83">
        <f t="shared" si="15"/>
        <v>0</v>
      </c>
      <c r="E30" s="21" t="s">
        <v>120</v>
      </c>
      <c r="F30" s="50" t="str">
        <f>IF(G30="","Fail",IF(D30&lt;=C30,"Pass", "Fail"))</f>
        <v>Fail</v>
      </c>
      <c r="G30" s="85"/>
      <c r="H30" s="20"/>
      <c r="I30" s="53" t="str">
        <f t="shared" si="1"/>
        <v>Vcm preset 2 - amplitude 0</v>
      </c>
      <c r="J30" s="20">
        <v>2</v>
      </c>
      <c r="K30" s="84">
        <f>+G30/J30</f>
        <v>0</v>
      </c>
      <c r="L30" s="21"/>
      <c r="M30" s="21"/>
      <c r="N30" s="21"/>
      <c r="O30" s="14" t="s">
        <v>66</v>
      </c>
      <c r="Q30" s="23" t="str">
        <v>vdiffp</v>
      </c>
      <c r="R30" s="23" t="str">
        <v>Take Max value</v>
      </c>
    </row>
    <row r="31" spans="1:18" x14ac:dyDescent="0.2">
      <c r="A31" s="88" t="s">
        <v>89</v>
      </c>
      <c r="B31" s="53" t="str">
        <f>+'Lane 1'!$B31</f>
        <v>Vcm preset 2 - amplitude 1</v>
      </c>
      <c r="C31" s="24">
        <f>+'Lane 1'!C31</f>
        <v>30</v>
      </c>
      <c r="D31" s="83">
        <f t="shared" si="15"/>
        <v>0</v>
      </c>
      <c r="E31" s="21" t="s">
        <v>120</v>
      </c>
      <c r="F31" s="50" t="str">
        <f t="shared" ref="F31:F33" si="16">IF(G31="","Fail",IF(D31&lt;=C31,"Pass", "Fail"))</f>
        <v>Fail</v>
      </c>
      <c r="G31" s="85"/>
      <c r="H31" s="20"/>
      <c r="I31" s="53" t="str">
        <f t="shared" si="1"/>
        <v>Vcm preset 2 - amplitude 1</v>
      </c>
      <c r="J31" s="20">
        <v>2</v>
      </c>
      <c r="K31" s="84">
        <f t="shared" ref="K31:K33" si="17">+G31/J31</f>
        <v>0</v>
      </c>
      <c r="L31" s="21"/>
      <c r="M31" s="21"/>
      <c r="N31" s="21"/>
      <c r="O31" s="14" t="s">
        <v>66</v>
      </c>
      <c r="Q31" s="23" t="str">
        <v>DDPWs</v>
      </c>
      <c r="R31" s="23" t="str">
        <v>See calculations in B71:76</v>
      </c>
    </row>
    <row r="32" spans="1:18" x14ac:dyDescent="0.2">
      <c r="A32" s="88" t="s">
        <v>89</v>
      </c>
      <c r="B32" s="53" t="str">
        <f>+'Lane 1'!$B32</f>
        <v>Vcm preset 15 - amplitude 0</v>
      </c>
      <c r="C32" s="24">
        <f>+'Lane 1'!C32</f>
        <v>30</v>
      </c>
      <c r="D32" s="83">
        <f t="shared" si="15"/>
        <v>0</v>
      </c>
      <c r="E32" s="21" t="s">
        <v>120</v>
      </c>
      <c r="F32" s="50" t="str">
        <f t="shared" si="16"/>
        <v>Fail</v>
      </c>
      <c r="G32" s="85"/>
      <c r="H32" s="20"/>
      <c r="I32" s="53" t="str">
        <f t="shared" si="1"/>
        <v>Vcm preset 15 - amplitude 0</v>
      </c>
      <c r="J32" s="20">
        <v>2</v>
      </c>
      <c r="K32" s="84">
        <f t="shared" si="17"/>
        <v>0</v>
      </c>
      <c r="L32" s="21"/>
      <c r="M32" s="21"/>
      <c r="N32" s="21"/>
      <c r="O32" s="14" t="s">
        <v>66</v>
      </c>
      <c r="Q32" s="23" t="str">
        <v>Preset 1</v>
      </c>
      <c r="R32" s="23">
        <v>0</v>
      </c>
    </row>
    <row r="33" spans="1:18" x14ac:dyDescent="0.2">
      <c r="A33" s="88" t="s">
        <v>89</v>
      </c>
      <c r="B33" s="53" t="str">
        <f>+'Lane 1'!$B33</f>
        <v>Vcm preset 15 - amplitude 1</v>
      </c>
      <c r="C33" s="24">
        <f>+'Lane 1'!C33</f>
        <v>30</v>
      </c>
      <c r="D33" s="83">
        <f t="shared" si="15"/>
        <v>0</v>
      </c>
      <c r="E33" s="21" t="s">
        <v>120</v>
      </c>
      <c r="F33" s="50" t="str">
        <f t="shared" si="16"/>
        <v>Fail</v>
      </c>
      <c r="G33" s="85"/>
      <c r="H33" s="20"/>
      <c r="I33" s="53" t="str">
        <f t="shared" si="1"/>
        <v>Vcm preset 15 - amplitude 1</v>
      </c>
      <c r="J33" s="20">
        <v>2</v>
      </c>
      <c r="K33" s="84">
        <f t="shared" si="17"/>
        <v>0</v>
      </c>
      <c r="L33" s="21"/>
      <c r="M33" s="21"/>
      <c r="N33" s="21"/>
      <c r="O33" s="14" t="s">
        <v>66</v>
      </c>
      <c r="Q33" s="23" t="str">
        <v>Preset 2</v>
      </c>
      <c r="R33" s="23">
        <v>0</v>
      </c>
    </row>
    <row r="34" spans="1:18" x14ac:dyDescent="0.2">
      <c r="A34" s="79" t="s">
        <v>88</v>
      </c>
      <c r="B34" s="53" t="str">
        <f>+'Lane 1'!$B34</f>
        <v>Vdiffpp</v>
      </c>
      <c r="C34" s="24">
        <f>+'Lane 1'!C34</f>
        <v>30</v>
      </c>
      <c r="D34" s="83">
        <f>+G34</f>
        <v>0</v>
      </c>
      <c r="E34" s="24" t="s">
        <v>127</v>
      </c>
      <c r="F34" s="50" t="str">
        <f>IF(G34="","Fail",IF(D34&lt;=C34,"Pass", "Fail"))</f>
        <v>Fail</v>
      </c>
      <c r="G34" s="85"/>
      <c r="H34" s="20"/>
      <c r="I34" s="53" t="str">
        <f t="shared" si="1"/>
        <v>Vdiffpp</v>
      </c>
      <c r="J34" s="20"/>
      <c r="K34" s="23"/>
      <c r="L34" s="23"/>
      <c r="M34" s="23"/>
      <c r="N34" s="23"/>
      <c r="O34" s="23"/>
      <c r="Q34" s="23" t="str">
        <v>Preset 15</v>
      </c>
      <c r="R34" s="23">
        <v>0</v>
      </c>
    </row>
    <row r="35" spans="1:18" x14ac:dyDescent="0.2">
      <c r="A35" s="88" t="s">
        <v>89</v>
      </c>
      <c r="B35" s="53" t="str">
        <f>+'Lane 1'!$B35</f>
        <v>e preset 1 - amplitude 0</v>
      </c>
      <c r="C35" s="24">
        <f>+'Lane 1'!C35</f>
        <v>3.6999999999999998E-2</v>
      </c>
      <c r="D35" s="83">
        <f t="shared" ref="D35:D36" si="18">+G35</f>
        <v>0</v>
      </c>
      <c r="E35" s="24"/>
      <c r="F35" s="50" t="str">
        <f t="shared" ref="F35:F36" si="19">IF(G35="","Fail",IF(D35&lt;=C35,"Pass", "Fail"))</f>
        <v>Fail</v>
      </c>
      <c r="G35" s="85"/>
      <c r="H35" s="20"/>
      <c r="I35" s="53" t="str">
        <f t="shared" si="1"/>
        <v>e preset 1 - amplitude 0</v>
      </c>
      <c r="J35" s="20"/>
      <c r="K35" s="23"/>
      <c r="L35" s="23"/>
      <c r="M35" s="23"/>
      <c r="N35" s="23"/>
      <c r="O35" s="89"/>
    </row>
    <row r="36" spans="1:18" x14ac:dyDescent="0.2">
      <c r="A36" s="88" t="s">
        <v>89</v>
      </c>
      <c r="B36" s="53" t="str">
        <f>+'Lane 1'!$B36</f>
        <v>e preset 1 - amplitude 1</v>
      </c>
      <c r="C36" s="24">
        <f>+'Lane 1'!C36</f>
        <v>3.6999999999999998E-2</v>
      </c>
      <c r="D36" s="83">
        <f t="shared" si="18"/>
        <v>0</v>
      </c>
      <c r="E36" s="24"/>
      <c r="F36" s="50" t="str">
        <f t="shared" si="19"/>
        <v>Fail</v>
      </c>
      <c r="G36" s="85"/>
      <c r="H36" s="20"/>
      <c r="I36" s="53" t="str">
        <f t="shared" si="1"/>
        <v>e preset 1 - amplitude 1</v>
      </c>
      <c r="J36" s="20"/>
      <c r="K36" s="23"/>
      <c r="L36" s="23"/>
      <c r="M36" s="23"/>
      <c r="N36" s="23"/>
      <c r="O36" s="89" t="s">
        <v>163</v>
      </c>
    </row>
    <row r="37" spans="1:18" x14ac:dyDescent="0.2">
      <c r="A37" s="88" t="s">
        <v>89</v>
      </c>
      <c r="B37" s="53" t="str">
        <f>+'Lane 1'!$B37</f>
        <v>e preset 2 - amplitude 0</v>
      </c>
      <c r="C37" s="24">
        <f>+'Lane 1'!C37</f>
        <v>3.6999999999999998E-2</v>
      </c>
      <c r="D37" s="83">
        <f>+G37</f>
        <v>0</v>
      </c>
      <c r="E37" s="24"/>
      <c r="F37" s="50" t="str">
        <f>IF(G37="","Fail",IF(D37&lt;=C37,"Pass", "Fail"))</f>
        <v>Fail</v>
      </c>
      <c r="G37" s="85"/>
      <c r="H37" s="20"/>
      <c r="I37" s="53" t="str">
        <f t="shared" si="1"/>
        <v>e preset 2 - amplitude 0</v>
      </c>
      <c r="J37" s="20"/>
      <c r="K37" s="23"/>
      <c r="L37" s="23"/>
      <c r="M37" s="23"/>
      <c r="N37" s="23"/>
      <c r="O37" s="89"/>
    </row>
    <row r="38" spans="1:18" x14ac:dyDescent="0.2">
      <c r="A38" s="88" t="s">
        <v>89</v>
      </c>
      <c r="B38" s="53" t="str">
        <f>+'Lane 1'!$B38</f>
        <v>e preset 2 - amplitude 1</v>
      </c>
      <c r="C38" s="24">
        <f>+'Lane 1'!C38</f>
        <v>3.6999999999999998E-2</v>
      </c>
      <c r="D38" s="83">
        <f t="shared" ref="D38:D40" si="20">+G38</f>
        <v>0</v>
      </c>
      <c r="E38" s="24"/>
      <c r="F38" s="50" t="str">
        <f t="shared" ref="F38:F40" si="21">IF(G38="","Fail",IF(D38&lt;=C38,"Pass", "Fail"))</f>
        <v>Fail</v>
      </c>
      <c r="G38" s="85"/>
      <c r="H38" s="20"/>
      <c r="I38" s="53" t="str">
        <f t="shared" si="1"/>
        <v>e preset 2 - amplitude 1</v>
      </c>
      <c r="J38" s="20"/>
      <c r="K38" s="23"/>
      <c r="L38" s="23"/>
      <c r="M38" s="23"/>
      <c r="N38" s="23"/>
      <c r="O38" s="89"/>
    </row>
    <row r="39" spans="1:18" x14ac:dyDescent="0.2">
      <c r="A39" s="88" t="s">
        <v>89</v>
      </c>
      <c r="B39" s="53" t="str">
        <f>+'Lane 1'!$B39</f>
        <v>e preset 15 - amplitude 0</v>
      </c>
      <c r="C39" s="24">
        <f>+'Lane 1'!C39</f>
        <v>3.6999999999999998E-2</v>
      </c>
      <c r="D39" s="83">
        <f t="shared" si="20"/>
        <v>0</v>
      </c>
      <c r="E39" s="24"/>
      <c r="F39" s="50" t="str">
        <f t="shared" si="21"/>
        <v>Fail</v>
      </c>
      <c r="G39" s="85"/>
      <c r="H39" s="20"/>
      <c r="I39" s="53" t="str">
        <f t="shared" si="1"/>
        <v>e preset 15 - amplitude 0</v>
      </c>
      <c r="J39" s="20"/>
      <c r="K39" s="23"/>
      <c r="L39" s="23"/>
      <c r="M39" s="23"/>
      <c r="N39" s="23"/>
      <c r="O39" s="89"/>
    </row>
    <row r="40" spans="1:18" x14ac:dyDescent="0.2">
      <c r="A40" s="88" t="s">
        <v>89</v>
      </c>
      <c r="B40" s="53" t="str">
        <f>+'Lane 1'!$B40</f>
        <v>e preset 15 - amplitude 1</v>
      </c>
      <c r="C40" s="24">
        <f>+'Lane 1'!C40</f>
        <v>3.6999999999999998E-2</v>
      </c>
      <c r="D40" s="83">
        <f t="shared" si="20"/>
        <v>0</v>
      </c>
      <c r="E40" s="24"/>
      <c r="F40" s="50" t="str">
        <f t="shared" si="21"/>
        <v>Fail</v>
      </c>
      <c r="G40" s="85"/>
      <c r="H40" s="20"/>
      <c r="I40" s="53" t="str">
        <f t="shared" si="1"/>
        <v>e preset 15 - amplitude 1</v>
      </c>
      <c r="J40" s="20"/>
      <c r="K40" s="23"/>
      <c r="L40" s="23"/>
      <c r="M40" s="23"/>
      <c r="N40" s="23"/>
      <c r="O40" s="90"/>
    </row>
    <row r="41" spans="1:18" x14ac:dyDescent="0.2">
      <c r="A41" s="88" t="s">
        <v>89</v>
      </c>
      <c r="B41" s="53" t="str">
        <f>+'Lane 1'!$B41</f>
        <v>C-1 preset 2 - Amp 0</v>
      </c>
      <c r="C41" s="24">
        <f>+'Lane 1'!C41</f>
        <v>0</v>
      </c>
      <c r="D41" s="83">
        <f>+G41</f>
        <v>0</v>
      </c>
      <c r="E41" s="24"/>
      <c r="F41" s="50" t="str">
        <f t="shared" ref="F41:F52" si="22">IF(G41="","Fail",IF(OR(AND(C41-0.015&lt;=D41,D41&lt;=C41+0.015),AND(C41-ABS((C41*J41))&lt;=D41,D41&lt;=C41+ABS((C41*J41)))),"Pass", "Fail"))</f>
        <v>Fail</v>
      </c>
      <c r="G41" s="91"/>
      <c r="H41" s="20"/>
      <c r="I41" s="53" t="str">
        <f t="shared" si="1"/>
        <v>C-1 preset 2 - Amp 0</v>
      </c>
      <c r="J41" s="20">
        <v>7.4999999999999997E-2</v>
      </c>
      <c r="K41" s="23"/>
      <c r="L41" s="23"/>
      <c r="M41" s="23"/>
      <c r="N41" s="23"/>
      <c r="O41" s="179" t="s">
        <v>158</v>
      </c>
    </row>
    <row r="42" spans="1:18" x14ac:dyDescent="0.2">
      <c r="A42" s="88" t="s">
        <v>89</v>
      </c>
      <c r="B42" s="53" t="str">
        <f>+'Lane 1'!$B42</f>
        <v>C-1 preset 2 - Amp 1</v>
      </c>
      <c r="C42" s="24">
        <f>+'Lane 1'!C42</f>
        <v>0</v>
      </c>
      <c r="D42" s="83">
        <f t="shared" ref="D42:D56" si="23">+G42</f>
        <v>0</v>
      </c>
      <c r="E42" s="24"/>
      <c r="F42" s="50" t="str">
        <f t="shared" si="22"/>
        <v>Fail</v>
      </c>
      <c r="G42" s="91"/>
      <c r="H42" s="20"/>
      <c r="I42" s="53" t="str">
        <f t="shared" si="1"/>
        <v>C-1 preset 2 - Amp 1</v>
      </c>
      <c r="J42" s="20">
        <v>7.4999999999999997E-2</v>
      </c>
      <c r="K42" s="23"/>
      <c r="L42" s="23"/>
      <c r="M42" s="23"/>
      <c r="N42" s="23"/>
      <c r="O42" s="197"/>
    </row>
    <row r="43" spans="1:18" x14ac:dyDescent="0.2">
      <c r="A43" s="88" t="s">
        <v>89</v>
      </c>
      <c r="B43" s="53" t="str">
        <f>+'Lane 1'!$B43</f>
        <v>C-1 preset 15 - Amp 0</v>
      </c>
      <c r="C43" s="24">
        <f>+'Lane 1'!C43</f>
        <v>-0.08</v>
      </c>
      <c r="D43" s="83">
        <f t="shared" si="23"/>
        <v>0</v>
      </c>
      <c r="E43" s="24"/>
      <c r="F43" s="50" t="str">
        <f t="shared" si="22"/>
        <v>Fail</v>
      </c>
      <c r="G43" s="85"/>
      <c r="H43" s="20"/>
      <c r="I43" s="53" t="str">
        <f t="shared" si="1"/>
        <v>C-1 preset 15 - Amp 0</v>
      </c>
      <c r="J43" s="20">
        <v>7.4999999999999997E-2</v>
      </c>
      <c r="K43" s="23"/>
      <c r="L43" s="23"/>
      <c r="M43" s="23"/>
      <c r="N43" s="23"/>
      <c r="O43" s="197"/>
    </row>
    <row r="44" spans="1:18" x14ac:dyDescent="0.2">
      <c r="A44" s="88" t="s">
        <v>89</v>
      </c>
      <c r="B44" s="53" t="str">
        <f>+'Lane 1'!$B44</f>
        <v>C-1 preset 15 - Amp 1</v>
      </c>
      <c r="C44" s="24">
        <f>+'Lane 1'!C44</f>
        <v>-0.08</v>
      </c>
      <c r="D44" s="83">
        <f t="shared" si="23"/>
        <v>0</v>
      </c>
      <c r="E44" s="24"/>
      <c r="F44" s="50" t="str">
        <f t="shared" si="22"/>
        <v>Fail</v>
      </c>
      <c r="G44" s="85"/>
      <c r="H44" s="20"/>
      <c r="I44" s="53" t="str">
        <f t="shared" si="1"/>
        <v>C-1 preset 15 - Amp 1</v>
      </c>
      <c r="J44" s="20">
        <v>7.4999999999999997E-2</v>
      </c>
      <c r="K44" s="23"/>
      <c r="L44" s="23"/>
      <c r="M44" s="23"/>
      <c r="N44" s="23"/>
      <c r="O44" s="197"/>
    </row>
    <row r="45" spans="1:18" x14ac:dyDescent="0.2">
      <c r="A45" s="88" t="s">
        <v>89</v>
      </c>
      <c r="B45" s="53" t="str">
        <f>+'Lane 1'!$B45</f>
        <v>C0 preset 2 - Amp 0</v>
      </c>
      <c r="C45" s="24">
        <f>+'Lane 1'!C45</f>
        <v>0.9</v>
      </c>
      <c r="D45" s="83">
        <f t="shared" si="23"/>
        <v>0</v>
      </c>
      <c r="E45" s="24"/>
      <c r="F45" s="50" t="str">
        <f t="shared" si="22"/>
        <v>Fail</v>
      </c>
      <c r="G45" s="85"/>
      <c r="H45" s="20"/>
      <c r="I45" s="53" t="str">
        <f t="shared" si="1"/>
        <v>C0 preset 2 - Amp 0</v>
      </c>
      <c r="J45" s="20">
        <v>7.4999999999999997E-2</v>
      </c>
      <c r="K45" s="23"/>
      <c r="L45" s="23"/>
      <c r="M45" s="23"/>
      <c r="N45" s="23"/>
      <c r="O45" s="197"/>
    </row>
    <row r="46" spans="1:18" x14ac:dyDescent="0.2">
      <c r="A46" s="88" t="s">
        <v>89</v>
      </c>
      <c r="B46" s="53" t="str">
        <f>+'Lane 1'!$B46</f>
        <v>C0 preset 2 - Amp 1</v>
      </c>
      <c r="C46" s="24">
        <f>+'Lane 1'!C46</f>
        <v>0.9</v>
      </c>
      <c r="D46" s="83">
        <f t="shared" si="23"/>
        <v>0</v>
      </c>
      <c r="E46" s="24"/>
      <c r="F46" s="50" t="str">
        <f t="shared" si="22"/>
        <v>Fail</v>
      </c>
      <c r="G46" s="85"/>
      <c r="H46" s="20"/>
      <c r="I46" s="53" t="str">
        <f t="shared" si="1"/>
        <v>C0 preset 2 - Amp 1</v>
      </c>
      <c r="J46" s="20">
        <v>7.4999999999999997E-2</v>
      </c>
      <c r="K46" s="23"/>
      <c r="L46" s="23"/>
      <c r="M46" s="23"/>
      <c r="N46" s="23"/>
      <c r="O46" s="197"/>
    </row>
    <row r="47" spans="1:18" x14ac:dyDescent="0.2">
      <c r="A47" s="88" t="s">
        <v>89</v>
      </c>
      <c r="B47" s="53" t="str">
        <f>+'Lane 1'!$B47</f>
        <v>C0 preset 15 - Amp 0</v>
      </c>
      <c r="C47" s="24">
        <f>+'Lane 1'!C47</f>
        <v>0.56000000000000005</v>
      </c>
      <c r="D47" s="83">
        <f t="shared" si="23"/>
        <v>0</v>
      </c>
      <c r="E47" s="24"/>
      <c r="F47" s="50" t="str">
        <f t="shared" si="22"/>
        <v>Fail</v>
      </c>
      <c r="G47" s="85"/>
      <c r="H47" s="20"/>
      <c r="I47" s="53" t="str">
        <f t="shared" si="1"/>
        <v>C0 preset 15 - Amp 0</v>
      </c>
      <c r="J47" s="20">
        <v>7.4999999999999997E-2</v>
      </c>
      <c r="K47" s="23"/>
      <c r="L47" s="23"/>
      <c r="M47" s="23"/>
      <c r="N47" s="23"/>
      <c r="O47" s="197"/>
    </row>
    <row r="48" spans="1:18" x14ac:dyDescent="0.2">
      <c r="A48" s="88" t="s">
        <v>89</v>
      </c>
      <c r="B48" s="53" t="str">
        <f>+'Lane 1'!$B48</f>
        <v>C0 preset 15 - Amp 1</v>
      </c>
      <c r="C48" s="24">
        <f>+'Lane 1'!C48</f>
        <v>0.56000000000000005</v>
      </c>
      <c r="D48" s="83">
        <f t="shared" si="23"/>
        <v>0</v>
      </c>
      <c r="E48" s="24"/>
      <c r="F48" s="50" t="str">
        <f t="shared" si="22"/>
        <v>Fail</v>
      </c>
      <c r="G48" s="85"/>
      <c r="H48" s="20"/>
      <c r="I48" s="53" t="str">
        <f t="shared" si="1"/>
        <v>C0 preset 15 - Amp 1</v>
      </c>
      <c r="J48" s="20">
        <v>7.4999999999999997E-2</v>
      </c>
      <c r="K48" s="23"/>
      <c r="L48" s="23"/>
      <c r="M48" s="23"/>
      <c r="N48" s="23"/>
      <c r="O48" s="197"/>
    </row>
    <row r="49" spans="1:15" x14ac:dyDescent="0.2">
      <c r="A49" s="88" t="s">
        <v>89</v>
      </c>
      <c r="B49" s="53" t="str">
        <f>+'Lane 1'!$B49</f>
        <v>C+1 preset 2 - Amp 0</v>
      </c>
      <c r="C49" s="24">
        <f>+'Lane 1'!C49</f>
        <v>-0.1</v>
      </c>
      <c r="D49" s="83">
        <f t="shared" si="23"/>
        <v>0</v>
      </c>
      <c r="E49" s="24"/>
      <c r="F49" s="50" t="str">
        <f t="shared" si="22"/>
        <v>Fail</v>
      </c>
      <c r="G49" s="85"/>
      <c r="H49" s="20"/>
      <c r="I49" s="53" t="str">
        <f t="shared" si="1"/>
        <v>C+1 preset 2 - Amp 0</v>
      </c>
      <c r="J49" s="20">
        <v>7.4999999999999997E-2</v>
      </c>
      <c r="K49" s="23"/>
      <c r="L49" s="23"/>
      <c r="M49" s="23"/>
      <c r="N49" s="23"/>
      <c r="O49" s="197"/>
    </row>
    <row r="50" spans="1:15" x14ac:dyDescent="0.2">
      <c r="A50" s="88" t="s">
        <v>89</v>
      </c>
      <c r="B50" s="53" t="str">
        <f>+'Lane 1'!$B50</f>
        <v>C+1 preset 2 - Amp 1</v>
      </c>
      <c r="C50" s="24">
        <f>+'Lane 1'!C50</f>
        <v>-0.1</v>
      </c>
      <c r="D50" s="83">
        <f t="shared" si="23"/>
        <v>0</v>
      </c>
      <c r="E50" s="24"/>
      <c r="F50" s="50" t="str">
        <f t="shared" si="22"/>
        <v>Fail</v>
      </c>
      <c r="G50" s="85"/>
      <c r="H50" s="20"/>
      <c r="I50" s="53" t="str">
        <f t="shared" si="1"/>
        <v>C+1 preset 2 - Amp 1</v>
      </c>
      <c r="J50" s="20">
        <v>7.4999999999999997E-2</v>
      </c>
      <c r="K50" s="23"/>
      <c r="L50" s="23"/>
      <c r="M50" s="23"/>
      <c r="N50" s="23"/>
      <c r="O50" s="197"/>
    </row>
    <row r="51" spans="1:15" x14ac:dyDescent="0.2">
      <c r="A51" s="88" t="s">
        <v>89</v>
      </c>
      <c r="B51" s="53" t="str">
        <f>+'Lane 1'!$B51</f>
        <v>C+1 preset 15 - Amp 0</v>
      </c>
      <c r="C51" s="24">
        <f>+'Lane 1'!C51</f>
        <v>-0.36</v>
      </c>
      <c r="D51" s="83">
        <f t="shared" si="23"/>
        <v>0</v>
      </c>
      <c r="E51" s="24"/>
      <c r="F51" s="50" t="str">
        <f t="shared" si="22"/>
        <v>Fail</v>
      </c>
      <c r="G51" s="85"/>
      <c r="H51" s="20"/>
      <c r="I51" s="53" t="str">
        <f t="shared" si="1"/>
        <v>C+1 preset 15 - Amp 0</v>
      </c>
      <c r="J51" s="20">
        <v>7.4999999999999997E-2</v>
      </c>
      <c r="K51" s="23"/>
      <c r="L51" s="23"/>
      <c r="M51" s="23"/>
      <c r="N51" s="23"/>
      <c r="O51" s="197"/>
    </row>
    <row r="52" spans="1:15" x14ac:dyDescent="0.2">
      <c r="A52" s="88" t="s">
        <v>89</v>
      </c>
      <c r="B52" s="53" t="str">
        <f>+'Lane 1'!$B52</f>
        <v>C+1 preset 15 - Amp 1</v>
      </c>
      <c r="C52" s="24">
        <f>+'Lane 1'!C52</f>
        <v>-0.36</v>
      </c>
      <c r="D52" s="83">
        <f t="shared" si="23"/>
        <v>0</v>
      </c>
      <c r="E52" s="24"/>
      <c r="F52" s="50" t="str">
        <f t="shared" si="22"/>
        <v>Fail</v>
      </c>
      <c r="G52" s="85"/>
      <c r="H52" s="20"/>
      <c r="I52" s="53" t="str">
        <f t="shared" si="1"/>
        <v>C+1 preset 15 - Amp 1</v>
      </c>
      <c r="J52" s="20">
        <v>7.4999999999999997E-2</v>
      </c>
      <c r="K52" s="23"/>
      <c r="L52" s="23"/>
      <c r="M52" s="23"/>
      <c r="N52" s="23"/>
      <c r="O52" s="198"/>
    </row>
    <row r="53" spans="1:15" x14ac:dyDescent="0.2">
      <c r="A53" s="88" t="s">
        <v>89</v>
      </c>
      <c r="B53" s="53" t="str">
        <f>+'Lane 1'!$B53</f>
        <v>vf - preset 1 - Test both amplitude=0</v>
      </c>
      <c r="C53" s="24" t="str">
        <f>+'Lane 1'!C53</f>
        <v>400-600</v>
      </c>
      <c r="D53" s="83">
        <f t="shared" si="23"/>
        <v>0</v>
      </c>
      <c r="E53" s="24" t="s">
        <v>127</v>
      </c>
      <c r="F53" s="50" t="str">
        <f>IF(G53="","Fail",IF(AND(400&lt;=D53,D53&lt;=600),"Pass","Fail"))</f>
        <v>Fail</v>
      </c>
      <c r="G53" s="85"/>
      <c r="H53" s="20"/>
      <c r="I53" s="53" t="str">
        <f t="shared" si="1"/>
        <v>vf - preset 1 - Test both amplitude=0</v>
      </c>
      <c r="J53" s="20"/>
      <c r="K53" s="23"/>
      <c r="L53" s="23"/>
      <c r="M53" s="23"/>
      <c r="N53" s="23"/>
      <c r="O53" s="89" t="s">
        <v>159</v>
      </c>
    </row>
    <row r="54" spans="1:15" x14ac:dyDescent="0.2">
      <c r="A54" s="88" t="s">
        <v>89</v>
      </c>
      <c r="B54" s="53" t="str">
        <f>+'Lane 1'!$B54</f>
        <v>vf - preset 1 - Test both amplitude=1</v>
      </c>
      <c r="C54" s="24" t="str">
        <f>+'Lane 1'!C54</f>
        <v>700-900</v>
      </c>
      <c r="D54" s="83">
        <f t="shared" si="23"/>
        <v>0</v>
      </c>
      <c r="E54" s="24" t="s">
        <v>127</v>
      </c>
      <c r="F54" s="50" t="str">
        <f>IF(G54="","Fail",IF(AND(700&lt;=D54,D54&lt;=900),"Pass","Fail"))</f>
        <v>Fail</v>
      </c>
      <c r="G54" s="85"/>
      <c r="H54" s="20"/>
      <c r="I54" s="53" t="str">
        <f t="shared" si="1"/>
        <v>vf - preset 1 - Test both amplitude=1</v>
      </c>
      <c r="J54" s="20"/>
      <c r="K54" s="23"/>
      <c r="L54" s="23"/>
      <c r="M54" s="23"/>
      <c r="N54" s="23"/>
      <c r="O54" s="92" t="s">
        <v>164</v>
      </c>
    </row>
    <row r="55" spans="1:15" x14ac:dyDescent="0.2">
      <c r="A55" s="88" t="s">
        <v>89</v>
      </c>
      <c r="B55" s="53" t="str">
        <f>+'Lane 1'!$B55</f>
        <v>Peak linear fit pulse response - pre1 - amp 0</v>
      </c>
      <c r="C55" s="83">
        <f>0.6 * D53</f>
        <v>0</v>
      </c>
      <c r="D55" s="83">
        <f t="shared" si="23"/>
        <v>0</v>
      </c>
      <c r="E55" s="24"/>
      <c r="F55" s="50" t="str">
        <f>IF(G55="","Fail",IF(D55&gt;=C55,"Pass", "Fail"))</f>
        <v>Fail</v>
      </c>
      <c r="G55" s="85"/>
      <c r="H55" s="20"/>
      <c r="I55" s="53" t="str">
        <f t="shared" si="1"/>
        <v>Peak linear fit pulse response - pre1 - amp 0</v>
      </c>
      <c r="J55" s="20"/>
      <c r="K55" s="23"/>
      <c r="L55" s="23"/>
      <c r="M55" s="23"/>
      <c r="N55" s="23"/>
      <c r="O55" s="89"/>
    </row>
    <row r="56" spans="1:15" x14ac:dyDescent="0.2">
      <c r="A56" s="88" t="s">
        <v>89</v>
      </c>
      <c r="B56" s="53" t="str">
        <f>+'Lane 1'!$B56</f>
        <v>Peak linear fit pulse response - pre1 - amp 1</v>
      </c>
      <c r="C56" s="83">
        <f>0.6 *D54</f>
        <v>0</v>
      </c>
      <c r="D56" s="83">
        <f t="shared" si="23"/>
        <v>0</v>
      </c>
      <c r="E56" s="24"/>
      <c r="F56" s="50" t="str">
        <f>IF(G56="","Fail",IF(D56&gt;=C56,"Pass", "Fail"))</f>
        <v>Fail</v>
      </c>
      <c r="G56" s="85"/>
      <c r="H56" s="20"/>
      <c r="I56" s="53" t="str">
        <f t="shared" si="1"/>
        <v>Peak linear fit pulse response - pre1 - amp 1</v>
      </c>
      <c r="J56" s="20"/>
      <c r="K56" s="23"/>
      <c r="L56" s="23"/>
      <c r="M56" s="23"/>
      <c r="N56" s="23"/>
      <c r="O56" s="89" t="s">
        <v>162</v>
      </c>
    </row>
    <row r="57" spans="1:15" s="100" customFormat="1" x14ac:dyDescent="0.2">
      <c r="A57" s="93" t="s">
        <v>137</v>
      </c>
      <c r="B57" s="94"/>
      <c r="C57" s="95"/>
      <c r="D57" s="96" t="s">
        <v>22</v>
      </c>
      <c r="E57" s="94"/>
      <c r="F57" s="97" t="s">
        <v>116</v>
      </c>
      <c r="G57" s="199" t="s">
        <v>83</v>
      </c>
      <c r="H57" s="200"/>
      <c r="I57" s="94"/>
      <c r="J57" s="98"/>
      <c r="K57" s="99" t="s">
        <v>22</v>
      </c>
      <c r="L57" s="199" t="s">
        <v>83</v>
      </c>
      <c r="M57" s="201"/>
      <c r="N57" s="200"/>
      <c r="O57" s="94"/>
    </row>
    <row r="58" spans="1:15" s="100" customFormat="1" x14ac:dyDescent="0.2">
      <c r="C58" s="101"/>
      <c r="H58" s="102"/>
      <c r="J58" s="102"/>
    </row>
    <row r="59" spans="1:15" ht="15.75" customHeight="1" x14ac:dyDescent="0.2">
      <c r="A59" s="193" t="s">
        <v>129</v>
      </c>
      <c r="B59" s="194"/>
      <c r="C59" s="108"/>
      <c r="D59" s="125"/>
    </row>
    <row r="60" spans="1:15" ht="25.5" x14ac:dyDescent="0.2">
      <c r="A60" s="8" t="s">
        <v>101</v>
      </c>
      <c r="B60" s="8" t="s">
        <v>2</v>
      </c>
      <c r="C60" s="10" t="s">
        <v>190</v>
      </c>
      <c r="D60" s="10" t="s">
        <v>155</v>
      </c>
      <c r="E60" s="10" t="s">
        <v>118</v>
      </c>
      <c r="F60" s="9" t="s">
        <v>61</v>
      </c>
      <c r="G60" s="10" t="s">
        <v>117</v>
      </c>
      <c r="H60" s="78" t="s">
        <v>72</v>
      </c>
      <c r="I60" s="8" t="s">
        <v>2</v>
      </c>
      <c r="J60" s="22" t="s">
        <v>73</v>
      </c>
      <c r="K60" s="22" t="s">
        <v>138</v>
      </c>
      <c r="L60" s="10" t="s">
        <v>139</v>
      </c>
      <c r="M60" s="10" t="s">
        <v>62</v>
      </c>
      <c r="N60" s="16" t="s">
        <v>71</v>
      </c>
      <c r="O60" s="8" t="s">
        <v>63</v>
      </c>
    </row>
    <row r="61" spans="1:15" x14ac:dyDescent="0.2">
      <c r="A61" s="79" t="s">
        <v>88</v>
      </c>
      <c r="B61" s="80" t="s">
        <v>84</v>
      </c>
      <c r="C61" s="113">
        <f>IF(D61="","NT",IF(H61&lt;=5.6,-12+1.71*SQRT(H61),-6.7+13*LOG10((H61/7))))</f>
        <v>-12</v>
      </c>
      <c r="D61" s="52">
        <f>+G61</f>
        <v>0</v>
      </c>
      <c r="E61" s="19" t="s">
        <v>121</v>
      </c>
      <c r="F61" s="50" t="str">
        <f>IF(D61="","Fail",IF(D61&lt;=C61,"Pass", "Fail"))</f>
        <v>Fail</v>
      </c>
      <c r="G61" s="81"/>
      <c r="H61" s="81"/>
      <c r="I61" s="80" t="str">
        <f>+B61</f>
        <v>SDD11</v>
      </c>
      <c r="J61" s="20"/>
      <c r="K61" s="23"/>
      <c r="L61" s="10"/>
      <c r="M61" s="10"/>
      <c r="N61" s="16"/>
      <c r="O61" s="8"/>
    </row>
    <row r="62" spans="1:15" x14ac:dyDescent="0.2">
      <c r="A62" s="79" t="s">
        <v>88</v>
      </c>
      <c r="B62" s="80" t="s">
        <v>85</v>
      </c>
      <c r="C62" s="114">
        <f>IF(D62="","NT",-2)</f>
        <v>-2</v>
      </c>
      <c r="D62" s="52">
        <f>+G62</f>
        <v>0</v>
      </c>
      <c r="E62" s="19" t="s">
        <v>121</v>
      </c>
      <c r="F62" s="50" t="str">
        <f>IF(D62="","Fail",IF(D62&lt;=C62,"Pass", "Fail"))</f>
        <v>Fail</v>
      </c>
      <c r="G62" s="81"/>
      <c r="H62" s="81"/>
      <c r="I62" s="80" t="str">
        <f>+B62</f>
        <v>SCC11</v>
      </c>
      <c r="J62" s="20"/>
      <c r="K62" s="23"/>
      <c r="L62" s="10"/>
      <c r="M62" s="10"/>
      <c r="N62" s="16"/>
      <c r="O62" s="8"/>
    </row>
    <row r="63" spans="1:15" x14ac:dyDescent="0.2">
      <c r="A63" s="79" t="s">
        <v>88</v>
      </c>
      <c r="B63" s="80" t="s">
        <v>86</v>
      </c>
      <c r="C63" s="114">
        <f>IF(D63="","NT",-16+((2/3)*H63))</f>
        <v>-16</v>
      </c>
      <c r="D63" s="52">
        <f>+G63</f>
        <v>0</v>
      </c>
      <c r="E63" s="19" t="s">
        <v>121</v>
      </c>
      <c r="F63" s="50" t="str">
        <f>IF(D63="","Fail",IF(D63&lt;=C63,"Pass", "Fail"))</f>
        <v>Fail</v>
      </c>
      <c r="G63" s="81"/>
      <c r="H63" s="81"/>
      <c r="I63" s="80" t="str">
        <f>+B63</f>
        <v>SDC11</v>
      </c>
      <c r="J63" s="20"/>
      <c r="K63" s="23"/>
      <c r="L63" s="10"/>
      <c r="M63" s="10"/>
      <c r="N63" s="16"/>
      <c r="O63" s="8"/>
    </row>
    <row r="64" spans="1:15" s="100" customFormat="1" x14ac:dyDescent="0.2">
      <c r="C64" s="101"/>
      <c r="H64" s="102"/>
      <c r="J64" s="102"/>
    </row>
    <row r="65" spans="1:10" s="100" customFormat="1" x14ac:dyDescent="0.2">
      <c r="A65" s="100" t="s">
        <v>128</v>
      </c>
      <c r="C65" s="101"/>
      <c r="H65" s="102"/>
      <c r="J65" s="102"/>
    </row>
    <row r="66" spans="1:10" s="100" customFormat="1" x14ac:dyDescent="0.2">
      <c r="C66" s="101"/>
      <c r="H66" s="102"/>
      <c r="J66" s="102"/>
    </row>
    <row r="67" spans="1:10" x14ac:dyDescent="0.2">
      <c r="D67" s="103"/>
      <c r="E67" s="192" t="s">
        <v>185</v>
      </c>
      <c r="F67" s="192"/>
      <c r="G67" s="192"/>
    </row>
    <row r="68" spans="1:10" x14ac:dyDescent="0.2">
      <c r="A68" s="188" t="s">
        <v>132</v>
      </c>
      <c r="B68" s="189"/>
      <c r="D68" s="103"/>
      <c r="E68" s="20">
        <v>-0.36</v>
      </c>
      <c r="F68" s="20">
        <v>7.4999999999999997E-2</v>
      </c>
      <c r="G68" s="20">
        <f>+E68*(1+F68)</f>
        <v>-0.38699999999999996</v>
      </c>
    </row>
    <row r="69" spans="1:10" x14ac:dyDescent="0.2">
      <c r="A69" s="191" t="s">
        <v>134</v>
      </c>
      <c r="B69" s="189"/>
      <c r="D69" s="103"/>
      <c r="E69" s="20">
        <v>-0.36</v>
      </c>
      <c r="F69" s="20">
        <v>7.4999999999999997E-2</v>
      </c>
      <c r="G69" s="20">
        <f>+E69*(1-F69)</f>
        <v>-0.33300000000000002</v>
      </c>
    </row>
    <row r="70" spans="1:10" x14ac:dyDescent="0.2">
      <c r="A70" s="190" t="s">
        <v>133</v>
      </c>
      <c r="B70" s="190"/>
      <c r="D70" s="103"/>
      <c r="E70" s="20">
        <v>-0.36</v>
      </c>
      <c r="F70" s="20">
        <v>1.4999999999999999E-2</v>
      </c>
      <c r="G70" s="20">
        <f>+E70-F70</f>
        <v>-0.375</v>
      </c>
    </row>
    <row r="71" spans="1:10" x14ac:dyDescent="0.2">
      <c r="A71" s="182" t="s">
        <v>135</v>
      </c>
      <c r="B71" s="183"/>
      <c r="D71" s="103"/>
      <c r="E71" s="20">
        <v>-0.36</v>
      </c>
      <c r="F71" s="20">
        <v>1.4999999999999999E-2</v>
      </c>
      <c r="G71" s="20">
        <f>+E71+F71</f>
        <v>-0.34499999999999997</v>
      </c>
    </row>
    <row r="73" spans="1:10" x14ac:dyDescent="0.2">
      <c r="A73" s="104" t="s">
        <v>148</v>
      </c>
      <c r="D73" s="103"/>
    </row>
    <row r="74" spans="1:10" x14ac:dyDescent="0.2">
      <c r="A74" s="76" t="s">
        <v>140</v>
      </c>
      <c r="B74" s="76">
        <f>+G24</f>
        <v>0</v>
      </c>
      <c r="C74" s="76"/>
    </row>
    <row r="75" spans="1:10" x14ac:dyDescent="0.2">
      <c r="A75" s="76" t="s">
        <v>147</v>
      </c>
      <c r="B75" s="76">
        <v>8176</v>
      </c>
      <c r="C75" s="76" t="s">
        <v>141</v>
      </c>
    </row>
    <row r="76" spans="1:10" x14ac:dyDescent="0.2">
      <c r="A76" s="76" t="s">
        <v>142</v>
      </c>
      <c r="B76" s="105">
        <v>3.634E-8</v>
      </c>
      <c r="C76" s="76" t="s">
        <v>143</v>
      </c>
    </row>
    <row r="77" spans="1:10" x14ac:dyDescent="0.2">
      <c r="B77" s="105">
        <f>B76/B75*B74</f>
        <v>0</v>
      </c>
      <c r="C77" s="76" t="s">
        <v>144</v>
      </c>
    </row>
    <row r="78" spans="1:10" x14ac:dyDescent="0.2">
      <c r="A78" s="76" t="s">
        <v>149</v>
      </c>
      <c r="B78" s="105">
        <f>0.00000000007111-B77</f>
        <v>7.1110000000000001E-11</v>
      </c>
      <c r="C78" s="76" t="s">
        <v>145</v>
      </c>
    </row>
    <row r="79" spans="1:10" x14ac:dyDescent="0.2">
      <c r="A79" s="76" t="s">
        <v>150</v>
      </c>
      <c r="B79" s="106">
        <f>B78/0.00000000007111</f>
        <v>1</v>
      </c>
      <c r="C79" s="76" t="s">
        <v>146</v>
      </c>
    </row>
    <row r="81" spans="1:5" x14ac:dyDescent="0.2">
      <c r="A81" s="107" t="s">
        <v>182</v>
      </c>
    </row>
    <row r="82" spans="1:5" x14ac:dyDescent="0.2">
      <c r="A82" s="75" t="s">
        <v>184</v>
      </c>
    </row>
    <row r="83" spans="1:5" x14ac:dyDescent="0.2">
      <c r="A83" s="75" t="s">
        <v>183</v>
      </c>
    </row>
    <row r="85" spans="1:5" x14ac:dyDescent="0.2">
      <c r="A85" s="76" t="s">
        <v>186</v>
      </c>
      <c r="C85" s="75">
        <v>29.07</v>
      </c>
      <c r="D85" s="76">
        <v>71.11</v>
      </c>
      <c r="E85" s="76">
        <f>+C85/D85</f>
        <v>0.40880326255097738</v>
      </c>
    </row>
  </sheetData>
  <mergeCells count="11">
    <mergeCell ref="O41:O52"/>
    <mergeCell ref="G25:G26"/>
    <mergeCell ref="A71:B71"/>
    <mergeCell ref="A1:B1"/>
    <mergeCell ref="G57:H57"/>
    <mergeCell ref="L57:N57"/>
    <mergeCell ref="A68:B68"/>
    <mergeCell ref="A69:B69"/>
    <mergeCell ref="A70:B70"/>
    <mergeCell ref="E67:G67"/>
    <mergeCell ref="A59:B59"/>
  </mergeCells>
  <conditionalFormatting sqref="F61:F63">
    <cfRule type="containsText" dxfId="179" priority="69" stopIfTrue="1" operator="containsText" text="Fail">
      <formula>NOT(ISERROR(SEARCH("Fail",F61)))</formula>
    </cfRule>
    <cfRule type="containsText" dxfId="178" priority="70" stopIfTrue="1" operator="containsText" text="Pass">
      <formula>NOT(ISERROR(SEARCH("Pass",F61)))</formula>
    </cfRule>
    <cfRule type="containsText" dxfId="177" priority="71" stopIfTrue="1" operator="containsText" text="N/A">
      <formula>NOT(ISERROR(SEARCH("N/A",F61)))</formula>
    </cfRule>
  </conditionalFormatting>
  <conditionalFormatting sqref="F3:F24 F26:F56">
    <cfRule type="containsText" dxfId="176" priority="5" operator="containsText" text="NT">
      <formula>NOT(ISERROR(SEARCH("NT",F3)))</formula>
    </cfRule>
    <cfRule type="containsText" dxfId="175" priority="6" stopIfTrue="1" operator="containsText" text="Fail">
      <formula>NOT(ISERROR(SEARCH("Fail",F3)))</formula>
    </cfRule>
    <cfRule type="containsText" dxfId="174" priority="7" stopIfTrue="1" operator="containsText" text="Pass">
      <formula>NOT(ISERROR(SEARCH("Pass",F3)))</formula>
    </cfRule>
    <cfRule type="containsText" dxfId="173" priority="8" stopIfTrue="1" operator="containsText" text="N/A">
      <formula>NOT(ISERROR(SEARCH("N/A",F3)))</formula>
    </cfRule>
  </conditionalFormatting>
  <conditionalFormatting sqref="F25">
    <cfRule type="containsText" dxfId="172" priority="1" operator="containsText" text="NT">
      <formula>NOT(ISERROR(SEARCH("NT",F25)))</formula>
    </cfRule>
    <cfRule type="containsText" dxfId="171" priority="2" stopIfTrue="1" operator="containsText" text="Fail">
      <formula>NOT(ISERROR(SEARCH("Fail",F25)))</formula>
    </cfRule>
    <cfRule type="containsText" dxfId="170" priority="3" stopIfTrue="1" operator="containsText" text="Pass">
      <formula>NOT(ISERROR(SEARCH("Pass",F25)))</formula>
    </cfRule>
    <cfRule type="containsText" dxfId="169" priority="4" stopIfTrue="1" operator="containsText" text="N/A">
      <formula>NOT(ISERROR(SEARCH("N/A",F25)))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rgb="FFFF00FF"/>
  </sheetPr>
  <dimension ref="A1:R86"/>
  <sheetViews>
    <sheetView zoomScale="80" zoomScaleNormal="80" workbookViewId="0">
      <selection sqref="A1:B1"/>
    </sheetView>
  </sheetViews>
  <sheetFormatPr defaultRowHeight="12.75" x14ac:dyDescent="0.2"/>
  <cols>
    <col min="1" max="1" width="12.7109375" style="76" customWidth="1"/>
    <col min="2" max="2" width="40.28515625" style="76" bestFit="1" customWidth="1"/>
    <col min="3" max="3" width="20" style="75" bestFit="1" customWidth="1"/>
    <col min="4" max="4" width="12" style="76" bestFit="1" customWidth="1"/>
    <col min="5" max="5" width="15.28515625" style="76" bestFit="1" customWidth="1"/>
    <col min="6" max="6" width="9.85546875" style="76" bestFit="1" customWidth="1"/>
    <col min="7" max="7" width="12.28515625" style="77" bestFit="1" customWidth="1"/>
    <col min="8" max="8" width="12.5703125" style="77" customWidth="1"/>
    <col min="9" max="9" width="40.28515625" style="76" bestFit="1" customWidth="1"/>
    <col min="10" max="10" width="7.7109375" style="77" bestFit="1" customWidth="1"/>
    <col min="11" max="11" width="12" style="76" bestFit="1" customWidth="1"/>
    <col min="12" max="12" width="9.140625" style="76" customWidth="1"/>
    <col min="13" max="13" width="12.42578125" style="76" customWidth="1"/>
    <col min="14" max="14" width="13.7109375" style="76" bestFit="1" customWidth="1"/>
    <col min="15" max="15" width="57.140625" style="76" bestFit="1" customWidth="1"/>
    <col min="16" max="16" width="9.140625" style="76"/>
    <col min="17" max="17" width="13" style="76" bestFit="1" customWidth="1"/>
    <col min="18" max="18" width="28.85546875" style="76" bestFit="1" customWidth="1"/>
    <col min="19" max="16384" width="9.140625" style="76"/>
  </cols>
  <sheetData>
    <row r="1" spans="1:15" ht="15.75" customHeight="1" x14ac:dyDescent="0.2">
      <c r="A1" s="186" t="s">
        <v>130</v>
      </c>
      <c r="B1" s="187"/>
      <c r="D1" s="9"/>
    </row>
    <row r="2" spans="1:15" ht="25.5" x14ac:dyDescent="0.2">
      <c r="A2" s="8" t="s">
        <v>101</v>
      </c>
      <c r="B2" s="8" t="s">
        <v>2</v>
      </c>
      <c r="C2" s="72" t="s">
        <v>189</v>
      </c>
      <c r="D2" s="10" t="s">
        <v>156</v>
      </c>
      <c r="E2" s="10" t="s">
        <v>118</v>
      </c>
      <c r="F2" s="9" t="s">
        <v>61</v>
      </c>
      <c r="G2" s="10" t="s">
        <v>117</v>
      </c>
      <c r="H2" s="78" t="s">
        <v>72</v>
      </c>
      <c r="I2" s="8" t="s">
        <v>2</v>
      </c>
      <c r="J2" s="22" t="s">
        <v>73</v>
      </c>
      <c r="K2" s="22" t="s">
        <v>138</v>
      </c>
      <c r="L2" s="10" t="s">
        <v>139</v>
      </c>
      <c r="M2" s="10" t="s">
        <v>62</v>
      </c>
      <c r="N2" s="16" t="s">
        <v>71</v>
      </c>
      <c r="O2" s="8" t="s">
        <v>63</v>
      </c>
    </row>
    <row r="3" spans="1:15" x14ac:dyDescent="0.2">
      <c r="A3" s="79" t="s">
        <v>88</v>
      </c>
      <c r="B3" s="123" t="str">
        <f>+'Lane 1'!$B3</f>
        <v>SDD22</v>
      </c>
      <c r="C3" s="113">
        <f>IF(D3="","NT",IF(H3&lt;=5.6,-12+1.71*SQRT(H3),-6.7+13*LOG10((H3/7))))</f>
        <v>-12</v>
      </c>
      <c r="D3" s="52">
        <f t="shared" ref="D3:D5" si="0">+G3</f>
        <v>0</v>
      </c>
      <c r="E3" s="19" t="s">
        <v>121</v>
      </c>
      <c r="F3" s="50" t="str">
        <f>IF(D3="","Fail",IF(D3&lt;=C3,"Pass", "Fail"))</f>
        <v>Fail</v>
      </c>
      <c r="G3" s="81"/>
      <c r="H3" s="81"/>
      <c r="I3" s="80" t="str">
        <f t="shared" ref="I3:I56" si="1">+B3</f>
        <v>SDD22</v>
      </c>
      <c r="J3" s="20"/>
      <c r="K3" s="23"/>
      <c r="L3" s="10"/>
      <c r="M3" s="10"/>
      <c r="N3" s="16"/>
      <c r="O3" s="8"/>
    </row>
    <row r="4" spans="1:15" x14ac:dyDescent="0.2">
      <c r="A4" s="79" t="s">
        <v>88</v>
      </c>
      <c r="B4" s="80" t="str">
        <f>+'Lane 1'!$B4</f>
        <v>SCC22</v>
      </c>
      <c r="C4" s="114">
        <f>IF(D4="","NT",-2)</f>
        <v>-2</v>
      </c>
      <c r="D4" s="52">
        <f t="shared" si="0"/>
        <v>0</v>
      </c>
      <c r="E4" s="19" t="s">
        <v>121</v>
      </c>
      <c r="F4" s="50" t="str">
        <f t="shared" ref="F4:F5" si="2">IF(D4="","Fail",IF(D4&lt;=C4,"Pass", "Fail"))</f>
        <v>Fail</v>
      </c>
      <c r="G4" s="81"/>
      <c r="H4" s="81"/>
      <c r="I4" s="80" t="str">
        <f t="shared" si="1"/>
        <v>SCC22</v>
      </c>
      <c r="J4" s="20"/>
      <c r="K4" s="23"/>
      <c r="L4" s="10"/>
      <c r="M4" s="10"/>
      <c r="N4" s="16"/>
      <c r="O4" s="8"/>
    </row>
    <row r="5" spans="1:15" x14ac:dyDescent="0.2">
      <c r="A5" s="79" t="s">
        <v>88</v>
      </c>
      <c r="B5" s="80" t="str">
        <f>+'Lane 1'!$B5</f>
        <v>SDC22</v>
      </c>
      <c r="C5" s="114">
        <f>IF(D5="","NT",-16+((2/3)*H5))</f>
        <v>-16</v>
      </c>
      <c r="D5" s="52">
        <f t="shared" si="0"/>
        <v>0</v>
      </c>
      <c r="E5" s="19" t="s">
        <v>121</v>
      </c>
      <c r="F5" s="50" t="str">
        <f t="shared" si="2"/>
        <v>Fail</v>
      </c>
      <c r="G5" s="81"/>
      <c r="H5" s="81"/>
      <c r="I5" s="80" t="str">
        <f t="shared" si="1"/>
        <v>SDC22</v>
      </c>
      <c r="J5" s="20"/>
      <c r="K5" s="23"/>
      <c r="L5" s="10"/>
      <c r="M5" s="10"/>
      <c r="N5" s="16"/>
      <c r="O5" s="8"/>
    </row>
    <row r="6" spans="1:15" x14ac:dyDescent="0.2">
      <c r="A6" s="79" t="s">
        <v>88</v>
      </c>
      <c r="B6" s="82" t="str">
        <f>+'Lane 1'!$B6</f>
        <v>RJ - preset 0</v>
      </c>
      <c r="C6" s="74">
        <f>+'Lane 1'!C6</f>
        <v>0.15</v>
      </c>
      <c r="D6" s="83">
        <f>+K6</f>
        <v>0</v>
      </c>
      <c r="E6" s="19" t="s">
        <v>119</v>
      </c>
      <c r="F6" s="51" t="str">
        <f>IF(G6="","Fail",IF(D6&lt;=C6,"Pass", "Fail"))</f>
        <v>Fail</v>
      </c>
      <c r="G6" s="81"/>
      <c r="H6" s="20"/>
      <c r="I6" s="82" t="str">
        <f t="shared" si="1"/>
        <v>RJ - preset 0</v>
      </c>
      <c r="J6" s="20">
        <v>14.069000000000001</v>
      </c>
      <c r="K6" s="84">
        <f>(G6/1000)*J6</f>
        <v>0</v>
      </c>
      <c r="L6" s="21"/>
      <c r="M6" s="21"/>
      <c r="N6" s="21"/>
      <c r="O6" s="11" t="s">
        <v>136</v>
      </c>
    </row>
    <row r="7" spans="1:15" x14ac:dyDescent="0.2">
      <c r="A7" s="79" t="s">
        <v>88</v>
      </c>
      <c r="B7" s="82" t="str">
        <f>+'Lane 1'!$B7</f>
        <v>RJ - preset 15 - Amplitude 0</v>
      </c>
      <c r="C7" s="74">
        <f>+'Lane 1'!C7</f>
        <v>0.15</v>
      </c>
      <c r="D7" s="83">
        <f t="shared" ref="D7:D8" si="3">+K7</f>
        <v>0</v>
      </c>
      <c r="E7" s="19" t="s">
        <v>119</v>
      </c>
      <c r="F7" s="51" t="str">
        <f t="shared" ref="F7:F8" si="4">IF(G7="","Fail",IF(D7&lt;=C7,"Pass", "Fail"))</f>
        <v>Fail</v>
      </c>
      <c r="G7" s="81"/>
      <c r="H7" s="20"/>
      <c r="I7" s="82" t="str">
        <f t="shared" ref="I7:I8" si="5">+B7</f>
        <v>RJ - preset 15 - Amplitude 0</v>
      </c>
      <c r="J7" s="20">
        <v>14.069000000000001</v>
      </c>
      <c r="K7" s="84">
        <f t="shared" ref="K7:K8" si="6">(G7/1000)*J7</f>
        <v>0</v>
      </c>
      <c r="L7" s="21"/>
      <c r="M7" s="21"/>
      <c r="N7" s="21"/>
      <c r="O7" s="11" t="s">
        <v>136</v>
      </c>
    </row>
    <row r="8" spans="1:15" x14ac:dyDescent="0.2">
      <c r="A8" s="79" t="s">
        <v>88</v>
      </c>
      <c r="B8" s="82" t="str">
        <f>+'Lane 1'!$B8</f>
        <v>RJ - preset 15 - Amplitude 1</v>
      </c>
      <c r="C8" s="74">
        <f>+'Lane 1'!C8</f>
        <v>0.15</v>
      </c>
      <c r="D8" s="83">
        <f t="shared" si="3"/>
        <v>0</v>
      </c>
      <c r="E8" s="19" t="s">
        <v>119</v>
      </c>
      <c r="F8" s="51" t="str">
        <f t="shared" si="4"/>
        <v>Fail</v>
      </c>
      <c r="G8" s="81"/>
      <c r="H8" s="20"/>
      <c r="I8" s="82" t="str">
        <f t="shared" si="5"/>
        <v>RJ - preset 15 - Amplitude 1</v>
      </c>
      <c r="J8" s="20">
        <v>14.069000000000001</v>
      </c>
      <c r="K8" s="84">
        <f t="shared" si="6"/>
        <v>0</v>
      </c>
      <c r="L8" s="21"/>
      <c r="M8" s="21"/>
      <c r="N8" s="21"/>
      <c r="O8" s="11" t="s">
        <v>136</v>
      </c>
    </row>
    <row r="9" spans="1:15" x14ac:dyDescent="0.2">
      <c r="A9" s="79" t="s">
        <v>88</v>
      </c>
      <c r="B9" s="82" t="str">
        <f>+'Lane 1'!$B9</f>
        <v>DCD - preset 0</v>
      </c>
      <c r="C9" s="74">
        <f>+'Lane 1'!C9</f>
        <v>3.5000000000000003E-2</v>
      </c>
      <c r="D9" s="83">
        <f t="shared" ref="D9:D15" si="7">+K9</f>
        <v>0</v>
      </c>
      <c r="E9" s="21" t="s">
        <v>119</v>
      </c>
      <c r="F9" s="50" t="str">
        <f>IF(G9="","Fail",IF(D9&lt;=C9,"Pass", "Fail"))</f>
        <v>Fail</v>
      </c>
      <c r="G9" s="81"/>
      <c r="H9" s="20"/>
      <c r="I9" s="82" t="str">
        <f t="shared" si="1"/>
        <v>DCD - preset 0</v>
      </c>
      <c r="J9" s="20">
        <v>1000</v>
      </c>
      <c r="K9" s="84">
        <f>+G9/J9</f>
        <v>0</v>
      </c>
      <c r="L9" s="21"/>
      <c r="M9" s="21"/>
      <c r="N9" s="21"/>
      <c r="O9" s="23" t="s">
        <v>74</v>
      </c>
    </row>
    <row r="10" spans="1:15" x14ac:dyDescent="0.2">
      <c r="A10" s="79" t="s">
        <v>88</v>
      </c>
      <c r="B10" s="82" t="str">
        <f>+'Lane 1'!$B10</f>
        <v>DCD - preset 15 - amplitude 0</v>
      </c>
      <c r="C10" s="74">
        <f>+'Lane 1'!C10</f>
        <v>3.5000000000000003E-2</v>
      </c>
      <c r="D10" s="83">
        <f t="shared" ref="D10:D11" si="8">+K10</f>
        <v>0</v>
      </c>
      <c r="E10" s="21" t="s">
        <v>119</v>
      </c>
      <c r="F10" s="50" t="str">
        <f t="shared" ref="F10:F11" si="9">IF(G10="","Fail",IF(D10&lt;=C10,"Pass", "Fail"))</f>
        <v>Fail</v>
      </c>
      <c r="G10" s="81"/>
      <c r="H10" s="20"/>
      <c r="I10" s="82" t="str">
        <f t="shared" ref="I10:I11" si="10">+B10</f>
        <v>DCD - preset 15 - amplitude 0</v>
      </c>
      <c r="J10" s="20">
        <v>1000</v>
      </c>
      <c r="K10" s="84">
        <f t="shared" ref="K10:K11" si="11">+G10/J10</f>
        <v>0</v>
      </c>
      <c r="L10" s="21"/>
      <c r="M10" s="21"/>
      <c r="N10" s="21"/>
      <c r="O10" s="23" t="s">
        <v>74</v>
      </c>
    </row>
    <row r="11" spans="1:15" x14ac:dyDescent="0.2">
      <c r="A11" s="79" t="s">
        <v>88</v>
      </c>
      <c r="B11" s="82" t="str">
        <f>+'Lane 1'!$B11</f>
        <v>DCD - preset 15 - amplitude 1</v>
      </c>
      <c r="C11" s="74">
        <f>+'Lane 1'!C11</f>
        <v>3.5000000000000003E-2</v>
      </c>
      <c r="D11" s="83">
        <f t="shared" si="8"/>
        <v>0</v>
      </c>
      <c r="E11" s="21" t="s">
        <v>119</v>
      </c>
      <c r="F11" s="50" t="str">
        <f t="shared" si="9"/>
        <v>Fail</v>
      </c>
      <c r="G11" s="81"/>
      <c r="H11" s="20"/>
      <c r="I11" s="82" t="str">
        <f t="shared" si="10"/>
        <v>DCD - preset 15 - amplitude 1</v>
      </c>
      <c r="J11" s="20">
        <v>1000</v>
      </c>
      <c r="K11" s="84">
        <f t="shared" si="11"/>
        <v>0</v>
      </c>
      <c r="L11" s="21"/>
      <c r="M11" s="21"/>
      <c r="N11" s="21"/>
      <c r="O11" s="23" t="s">
        <v>74</v>
      </c>
    </row>
    <row r="12" spans="1:15" x14ac:dyDescent="0.2">
      <c r="A12" s="79" t="s">
        <v>88</v>
      </c>
      <c r="B12" s="82" t="str">
        <f>+'Lane 1'!$B12</f>
        <v>TJ - preset 0</v>
      </c>
      <c r="C12" s="74" t="str">
        <f>+'Lane 1'!C12</f>
        <v>Used to calc TJ-DDJ</v>
      </c>
      <c r="D12" s="83">
        <f t="shared" si="7"/>
        <v>0</v>
      </c>
      <c r="E12" s="21" t="s">
        <v>119</v>
      </c>
      <c r="F12" s="50" t="s">
        <v>5</v>
      </c>
      <c r="G12" s="85"/>
      <c r="H12" s="20"/>
      <c r="I12" s="82" t="str">
        <f t="shared" si="1"/>
        <v>TJ - preset 0</v>
      </c>
      <c r="J12" s="20">
        <v>1000</v>
      </c>
      <c r="K12" s="84">
        <f>+G12/J12</f>
        <v>0</v>
      </c>
      <c r="L12" s="21"/>
      <c r="M12" s="21"/>
      <c r="N12" s="21"/>
      <c r="O12" s="23" t="s">
        <v>74</v>
      </c>
    </row>
    <row r="13" spans="1:15" x14ac:dyDescent="0.2">
      <c r="A13" s="79" t="s">
        <v>88</v>
      </c>
      <c r="B13" s="82" t="str">
        <f>+'Lane 1'!$B13</f>
        <v>TJ - preset 15 - amplitude 0</v>
      </c>
      <c r="C13" s="74" t="str">
        <f>+'Lane 1'!C13</f>
        <v>Used to calc TJ-DDJ</v>
      </c>
      <c r="D13" s="83">
        <f t="shared" ref="D13:D14" si="12">+K13</f>
        <v>0</v>
      </c>
      <c r="E13" s="21" t="s">
        <v>119</v>
      </c>
      <c r="F13" s="50" t="s">
        <v>5</v>
      </c>
      <c r="G13" s="85"/>
      <c r="H13" s="20"/>
      <c r="I13" s="82" t="str">
        <f t="shared" ref="I13:I14" si="13">+B13</f>
        <v>TJ - preset 15 - amplitude 0</v>
      </c>
      <c r="J13" s="20">
        <v>1000</v>
      </c>
      <c r="K13" s="84">
        <f t="shared" ref="K13:K14" si="14">+G13/J13</f>
        <v>0</v>
      </c>
      <c r="L13" s="21"/>
      <c r="M13" s="21"/>
      <c r="N13" s="21"/>
      <c r="O13" s="23" t="s">
        <v>74</v>
      </c>
    </row>
    <row r="14" spans="1:15" x14ac:dyDescent="0.2">
      <c r="A14" s="79" t="s">
        <v>88</v>
      </c>
      <c r="B14" s="82" t="str">
        <f>+'Lane 1'!$B14</f>
        <v>TJ - preset 15 - amplitude 1</v>
      </c>
      <c r="C14" s="74" t="str">
        <f>+'Lane 1'!C14</f>
        <v>Used to calc TJ-DDJ</v>
      </c>
      <c r="D14" s="83">
        <f t="shared" si="12"/>
        <v>0</v>
      </c>
      <c r="E14" s="21" t="s">
        <v>119</v>
      </c>
      <c r="F14" s="50" t="s">
        <v>5</v>
      </c>
      <c r="G14" s="85"/>
      <c r="H14" s="20"/>
      <c r="I14" s="82" t="str">
        <f t="shared" si="13"/>
        <v>TJ - preset 15 - amplitude 1</v>
      </c>
      <c r="J14" s="20">
        <v>1000</v>
      </c>
      <c r="K14" s="84">
        <f t="shared" si="14"/>
        <v>0</v>
      </c>
      <c r="L14" s="21"/>
      <c r="M14" s="21"/>
      <c r="N14" s="21"/>
      <c r="O14" s="23" t="s">
        <v>74</v>
      </c>
    </row>
    <row r="15" spans="1:15" x14ac:dyDescent="0.2">
      <c r="A15" s="79" t="s">
        <v>88</v>
      </c>
      <c r="B15" s="82" t="str">
        <f>+'Lane 1'!$B15</f>
        <v>DDJ - preset 0</v>
      </c>
      <c r="C15" s="74" t="str">
        <f>+'Lane 1'!C15</f>
        <v>Used to calc TJ-DDJ</v>
      </c>
      <c r="D15" s="83">
        <f t="shared" si="7"/>
        <v>0</v>
      </c>
      <c r="E15" s="21" t="s">
        <v>119</v>
      </c>
      <c r="F15" s="50" t="s">
        <v>5</v>
      </c>
      <c r="G15" s="85"/>
      <c r="H15" s="20"/>
      <c r="I15" s="82" t="str">
        <f t="shared" si="1"/>
        <v>DDJ - preset 0</v>
      </c>
      <c r="J15" s="20">
        <v>1000</v>
      </c>
      <c r="K15" s="84">
        <f>+G15/J15</f>
        <v>0</v>
      </c>
      <c r="L15" s="21"/>
      <c r="M15" s="21"/>
      <c r="N15" s="21"/>
      <c r="O15" s="23" t="s">
        <v>74</v>
      </c>
    </row>
    <row r="16" spans="1:15" x14ac:dyDescent="0.2">
      <c r="A16" s="79" t="s">
        <v>88</v>
      </c>
      <c r="B16" s="82" t="str">
        <f>+'Lane 1'!$B16</f>
        <v>DDJ - preset 15 - amplitude 0</v>
      </c>
      <c r="C16" s="74" t="str">
        <f>+'Lane 1'!C16</f>
        <v>Used to calc TJ-DDJ</v>
      </c>
      <c r="D16" s="83">
        <f t="shared" ref="D16:D17" si="15">+K16</f>
        <v>0</v>
      </c>
      <c r="E16" s="21" t="s">
        <v>119</v>
      </c>
      <c r="F16" s="50" t="s">
        <v>5</v>
      </c>
      <c r="G16" s="85"/>
      <c r="H16" s="20"/>
      <c r="I16" s="82" t="str">
        <f t="shared" ref="I16:I17" si="16">+B16</f>
        <v>DDJ - preset 15 - amplitude 0</v>
      </c>
      <c r="J16" s="20">
        <v>1000</v>
      </c>
      <c r="K16" s="84">
        <f t="shared" ref="K16:K17" si="17">+G16/J16</f>
        <v>0</v>
      </c>
      <c r="L16" s="21"/>
      <c r="M16" s="21"/>
      <c r="N16" s="21"/>
      <c r="O16" s="23" t="s">
        <v>74</v>
      </c>
    </row>
    <row r="17" spans="1:18" x14ac:dyDescent="0.2">
      <c r="A17" s="79" t="s">
        <v>88</v>
      </c>
      <c r="B17" s="82" t="str">
        <f>+'Lane 1'!$B17</f>
        <v>DDJ - preset 15 - amplitude 1</v>
      </c>
      <c r="C17" s="74" t="str">
        <f>+'Lane 1'!C17</f>
        <v>Used to calc TJ-DDJ</v>
      </c>
      <c r="D17" s="83">
        <f t="shared" si="15"/>
        <v>0</v>
      </c>
      <c r="E17" s="21" t="s">
        <v>119</v>
      </c>
      <c r="F17" s="50" t="s">
        <v>5</v>
      </c>
      <c r="G17" s="85"/>
      <c r="H17" s="20"/>
      <c r="I17" s="82" t="str">
        <f t="shared" si="16"/>
        <v>DDJ - preset 15 - amplitude 1</v>
      </c>
      <c r="J17" s="20">
        <v>1000</v>
      </c>
      <c r="K17" s="84">
        <f t="shared" si="17"/>
        <v>0</v>
      </c>
      <c r="L17" s="21"/>
      <c r="M17" s="21"/>
      <c r="N17" s="21"/>
      <c r="O17" s="23" t="s">
        <v>74</v>
      </c>
    </row>
    <row r="18" spans="1:18" x14ac:dyDescent="0.2">
      <c r="A18" s="79" t="s">
        <v>88</v>
      </c>
      <c r="B18" s="26" t="str">
        <f>+'Lane 1'!$B18</f>
        <v>TJ-DDJ - preset 0</v>
      </c>
      <c r="C18" s="74">
        <f>+'Lane 1'!C18</f>
        <v>0.25</v>
      </c>
      <c r="D18" s="83">
        <f>+K18</f>
        <v>0</v>
      </c>
      <c r="E18" s="21" t="s">
        <v>119</v>
      </c>
      <c r="F18" s="51" t="str">
        <f>IF(OR(G12="",D15=""),"Fail",IF(D18&lt;=C18,"Pass", "Fail"))</f>
        <v>Fail</v>
      </c>
      <c r="G18" s="20"/>
      <c r="H18" s="20"/>
      <c r="I18" s="26" t="str">
        <f t="shared" si="1"/>
        <v>TJ-DDJ - preset 0</v>
      </c>
      <c r="J18" s="20"/>
      <c r="K18" s="83">
        <f>+K12-K15</f>
        <v>0</v>
      </c>
      <c r="L18" s="21"/>
      <c r="M18" s="21"/>
      <c r="N18" s="21"/>
      <c r="O18" s="23" t="s">
        <v>74</v>
      </c>
    </row>
    <row r="19" spans="1:18" x14ac:dyDescent="0.2">
      <c r="A19" s="79" t="s">
        <v>88</v>
      </c>
      <c r="B19" s="26" t="str">
        <f>+'Lane 1'!$B19</f>
        <v>TJ-DDJ - preset 15 - amplitude 0</v>
      </c>
      <c r="C19" s="74">
        <f>+'Lane 1'!C19</f>
        <v>0.25</v>
      </c>
      <c r="D19" s="83">
        <f t="shared" ref="D19:D20" si="18">+K19</f>
        <v>0</v>
      </c>
      <c r="E19" s="21" t="s">
        <v>119</v>
      </c>
      <c r="F19" s="51" t="str">
        <f t="shared" ref="F19:F20" si="19">IF(OR(G13="",D16=""),"Fail",IF(D19&lt;=C19,"Pass", "Fail"))</f>
        <v>Fail</v>
      </c>
      <c r="G19" s="20"/>
      <c r="H19" s="20"/>
      <c r="I19" s="26" t="str">
        <f t="shared" ref="I19:I20" si="20">+B19</f>
        <v>TJ-DDJ - preset 15 - amplitude 0</v>
      </c>
      <c r="J19" s="20"/>
      <c r="K19" s="83">
        <f t="shared" ref="K19:K20" si="21">+K13-K16</f>
        <v>0</v>
      </c>
      <c r="L19" s="21"/>
      <c r="M19" s="21"/>
      <c r="N19" s="21"/>
      <c r="O19" s="23" t="s">
        <v>74</v>
      </c>
    </row>
    <row r="20" spans="1:18" x14ac:dyDescent="0.2">
      <c r="A20" s="79" t="s">
        <v>88</v>
      </c>
      <c r="B20" s="26" t="str">
        <f>+'Lane 1'!$B20</f>
        <v>TJ-DDJ - preset 15 - amplitude 1</v>
      </c>
      <c r="C20" s="74">
        <f>+'Lane 1'!C20</f>
        <v>0.25</v>
      </c>
      <c r="D20" s="83">
        <f t="shared" si="18"/>
        <v>0</v>
      </c>
      <c r="E20" s="21" t="s">
        <v>119</v>
      </c>
      <c r="F20" s="51" t="str">
        <f t="shared" si="19"/>
        <v>Fail</v>
      </c>
      <c r="G20" s="20"/>
      <c r="H20" s="20"/>
      <c r="I20" s="26" t="str">
        <f t="shared" si="20"/>
        <v>TJ-DDJ - preset 15 - amplitude 1</v>
      </c>
      <c r="J20" s="20"/>
      <c r="K20" s="83">
        <f t="shared" si="21"/>
        <v>0</v>
      </c>
      <c r="L20" s="21"/>
      <c r="M20" s="21"/>
      <c r="N20" s="21"/>
      <c r="O20" s="23" t="s">
        <v>74</v>
      </c>
    </row>
    <row r="21" spans="1:18" x14ac:dyDescent="0.2">
      <c r="A21" s="79" t="s">
        <v>88</v>
      </c>
      <c r="B21" s="26" t="str">
        <f>+'Lane 1'!$B21</f>
        <v>J2 - preset 0</v>
      </c>
      <c r="C21" s="74">
        <f>+'Lane 1'!C21</f>
        <v>0.19</v>
      </c>
      <c r="D21" s="83">
        <f>+K21</f>
        <v>0</v>
      </c>
      <c r="E21" s="21" t="s">
        <v>119</v>
      </c>
      <c r="F21" s="51" t="str">
        <f>IF(G21="","Fail",IF(D21&lt;=C21,"Pass", "Fail"))</f>
        <v>Fail</v>
      </c>
      <c r="G21" s="81"/>
      <c r="H21" s="20"/>
      <c r="I21" s="26" t="str">
        <f t="shared" si="1"/>
        <v>J2 - preset 0</v>
      </c>
      <c r="J21" s="20">
        <v>1000</v>
      </c>
      <c r="K21" s="84">
        <f>+G21/J21</f>
        <v>0</v>
      </c>
      <c r="L21" s="21"/>
      <c r="M21" s="21"/>
      <c r="N21" s="21"/>
      <c r="O21" s="23" t="s">
        <v>74</v>
      </c>
    </row>
    <row r="22" spans="1:18" x14ac:dyDescent="0.2">
      <c r="A22" s="79" t="s">
        <v>88</v>
      </c>
      <c r="B22" s="26" t="str">
        <f>+'Lane 1'!$B22</f>
        <v>J9 - preset 0</v>
      </c>
      <c r="C22" s="74">
        <f>+'Lane 1'!C22</f>
        <v>0.33</v>
      </c>
      <c r="D22" s="83">
        <f t="shared" ref="D22:D23" si="22">+K22</f>
        <v>0</v>
      </c>
      <c r="E22" s="21" t="s">
        <v>119</v>
      </c>
      <c r="F22" s="51" t="str">
        <f>IF(G22="","Fail",IF(D22&lt;=C22,"Pass", "Fail"))</f>
        <v>Fail</v>
      </c>
      <c r="G22" s="81"/>
      <c r="H22" s="20"/>
      <c r="I22" s="26" t="str">
        <f t="shared" si="1"/>
        <v>J9 - preset 0</v>
      </c>
      <c r="J22" s="20">
        <v>1000</v>
      </c>
      <c r="K22" s="84">
        <f>+G22/J22</f>
        <v>0</v>
      </c>
      <c r="L22" s="21"/>
      <c r="M22" s="21"/>
      <c r="N22" s="21"/>
      <c r="O22" s="23" t="s">
        <v>74</v>
      </c>
    </row>
    <row r="23" spans="1:18" x14ac:dyDescent="0.2">
      <c r="A23" s="79" t="s">
        <v>88</v>
      </c>
      <c r="B23" s="26" t="str">
        <f>+'Lane 1'!$B23</f>
        <v>DDPWS</v>
      </c>
      <c r="C23" s="74">
        <f>+'Lane 1'!C23</f>
        <v>0.11</v>
      </c>
      <c r="D23" s="83">
        <f t="shared" si="22"/>
        <v>0</v>
      </c>
      <c r="E23" s="13" t="s">
        <v>119</v>
      </c>
      <c r="F23" s="51" t="str">
        <f>IF(G23="","Fail",IF(D23&lt;=C23,"Pass", "Fail"))</f>
        <v>Fail</v>
      </c>
      <c r="G23" s="85"/>
      <c r="H23" s="20"/>
      <c r="I23" s="26" t="str">
        <f t="shared" si="1"/>
        <v>DDPWS</v>
      </c>
      <c r="J23" s="20">
        <v>1000</v>
      </c>
      <c r="K23" s="84">
        <f>+G23/J23</f>
        <v>0</v>
      </c>
      <c r="L23" s="21"/>
      <c r="M23" s="21"/>
      <c r="N23" s="21"/>
      <c r="O23" s="23" t="s">
        <v>154</v>
      </c>
    </row>
    <row r="24" spans="1:18" x14ac:dyDescent="0.2">
      <c r="A24" s="79" t="s">
        <v>88</v>
      </c>
      <c r="B24" s="53" t="str">
        <f>+'Lane 1'!$B24</f>
        <v>DDPWS</v>
      </c>
      <c r="C24" s="74">
        <f>+'Lane 1'!C24</f>
        <v>0.11</v>
      </c>
      <c r="D24" s="86">
        <f>+B79</f>
        <v>1</v>
      </c>
      <c r="E24" s="13" t="s">
        <v>119</v>
      </c>
      <c r="F24" s="51" t="str">
        <f>IF(G24="","Fail",IF(D24&lt;=C24,"Pass", "Fail"))</f>
        <v>Fail</v>
      </c>
      <c r="G24" s="85"/>
      <c r="H24" s="20"/>
      <c r="I24" s="53" t="str">
        <f t="shared" si="1"/>
        <v>DDPWS</v>
      </c>
      <c r="J24" s="20"/>
      <c r="K24" s="23"/>
      <c r="L24" s="21"/>
      <c r="M24" s="21"/>
      <c r="N24" s="21"/>
      <c r="O24" s="23" t="s">
        <v>153</v>
      </c>
      <c r="Q24" s="23" t="str">
        <f t="array" ref="Q24:R34">'Lane 1'!Q24:R34</f>
        <v>Testing Order</v>
      </c>
      <c r="R24" s="23">
        <v>0</v>
      </c>
    </row>
    <row r="25" spans="1:18" x14ac:dyDescent="0.2">
      <c r="A25" s="79" t="s">
        <v>88</v>
      </c>
      <c r="B25" s="26" t="str">
        <f>+'Lane 1'!$B25</f>
        <v>X1, X2, Y1, Y2</v>
      </c>
      <c r="C25" s="44">
        <f>+'Lane 1'!C25</f>
        <v>5.0000000000000002E-5</v>
      </c>
      <c r="D25" s="83">
        <f>+L25/(M25*N25)</f>
        <v>0</v>
      </c>
      <c r="E25" s="21" t="s">
        <v>119</v>
      </c>
      <c r="F25" s="50" t="str">
        <f>IF(L25="","NT",IF(D25&lt;=C25,"Pass", "Fail"))</f>
        <v>NT</v>
      </c>
      <c r="G25" s="195" t="s">
        <v>181</v>
      </c>
      <c r="H25" s="20"/>
      <c r="I25" s="26" t="str">
        <f t="shared" si="1"/>
        <v>X1, X2, Y1, Y2</v>
      </c>
      <c r="J25" s="20"/>
      <c r="L25" s="81"/>
      <c r="M25" s="81">
        <v>110</v>
      </c>
      <c r="N25" s="81">
        <v>16200</v>
      </c>
      <c r="O25" s="23" t="s">
        <v>152</v>
      </c>
      <c r="Q25" s="23" t="str">
        <v>Preset 0</v>
      </c>
      <c r="R25" s="23" t="str">
        <v>Agilent and then BERTScope</v>
      </c>
    </row>
    <row r="26" spans="1:18" x14ac:dyDescent="0.2">
      <c r="A26" s="79" t="s">
        <v>88</v>
      </c>
      <c r="B26" s="53" t="str">
        <f>+'Lane 1'!$B26</f>
        <v>X1, X2, Y1, Y2</v>
      </c>
      <c r="C26" s="44">
        <f>+'Lane 1'!C26</f>
        <v>5.0000000000000002E-5</v>
      </c>
      <c r="D26" s="83">
        <f>+L26/(M26*N26)</f>
        <v>0</v>
      </c>
      <c r="E26" s="21" t="s">
        <v>119</v>
      </c>
      <c r="F26" s="50" t="str">
        <f>IF(L26="","Fail",IF(D26&lt;=C26,"Pass", "Fail"))</f>
        <v>Fail</v>
      </c>
      <c r="G26" s="196"/>
      <c r="H26" s="20"/>
      <c r="I26" s="53" t="str">
        <f t="shared" si="1"/>
        <v>X1, X2, Y1, Y2</v>
      </c>
      <c r="J26" s="20"/>
      <c r="K26" s="23"/>
      <c r="L26" s="81"/>
      <c r="M26" s="81">
        <v>110</v>
      </c>
      <c r="N26" s="81">
        <v>16200</v>
      </c>
      <c r="O26" s="23" t="s">
        <v>151</v>
      </c>
      <c r="Q26" s="23" t="str">
        <v>Eye Mask</v>
      </c>
      <c r="R26" s="23" t="str">
        <v>Make sure settings are correct.</v>
      </c>
    </row>
    <row r="27" spans="1:18" x14ac:dyDescent="0.2">
      <c r="A27" s="79" t="s">
        <v>88</v>
      </c>
      <c r="B27" s="53" t="str">
        <f>+'Lane 1'!$B27</f>
        <v>Tr</v>
      </c>
      <c r="C27" s="24">
        <f>+'Lane 1'!C27</f>
        <v>24</v>
      </c>
      <c r="D27" s="83">
        <f>+G27</f>
        <v>0</v>
      </c>
      <c r="E27" s="21" t="s">
        <v>126</v>
      </c>
      <c r="F27" s="50" t="str">
        <f>IF(D27="","Fail",IF(D27&gt;=C27,"Pass","Fail"))</f>
        <v>Fail</v>
      </c>
      <c r="G27" s="81"/>
      <c r="H27" s="20"/>
      <c r="I27" s="53" t="str">
        <f t="shared" si="1"/>
        <v>Tr</v>
      </c>
      <c r="J27" s="20"/>
      <c r="K27" s="23"/>
      <c r="L27" s="21"/>
      <c r="M27" s="21"/>
      <c r="N27" s="21"/>
      <c r="O27" s="23"/>
      <c r="Q27" s="23" t="str">
        <v>Tr</v>
      </c>
      <c r="R27" s="23" t="str">
        <v>PRBS11</v>
      </c>
    </row>
    <row r="28" spans="1:18" x14ac:dyDescent="0.2">
      <c r="A28" s="79" t="s">
        <v>88</v>
      </c>
      <c r="B28" s="53" t="str">
        <f>+'Lane 1'!$B28</f>
        <v>Tf</v>
      </c>
      <c r="C28" s="24">
        <f>+'Lane 1'!C28</f>
        <v>24</v>
      </c>
      <c r="D28" s="83">
        <f>+G28</f>
        <v>0</v>
      </c>
      <c r="E28" s="87" t="s">
        <v>126</v>
      </c>
      <c r="F28" s="50" t="str">
        <f>IF(D28="","Fail",IF(D28&gt;=C28,"Pass","Fail"))</f>
        <v>Fail</v>
      </c>
      <c r="G28" s="81"/>
      <c r="H28" s="20"/>
      <c r="I28" s="53" t="str">
        <f t="shared" si="1"/>
        <v>Tf</v>
      </c>
      <c r="J28" s="20"/>
      <c r="K28" s="23"/>
      <c r="L28" s="21"/>
      <c r="M28" s="21"/>
      <c r="N28" s="21"/>
      <c r="O28" s="23"/>
      <c r="Q28" s="23" t="str">
        <v>tf</v>
      </c>
      <c r="R28" s="23" t="str">
        <v>PRBS11</v>
      </c>
    </row>
    <row r="29" spans="1:18" x14ac:dyDescent="0.2">
      <c r="A29" s="88" t="s">
        <v>89</v>
      </c>
      <c r="B29" s="53" t="str">
        <f>+'Lane 1'!$B29</f>
        <v>Vcm preset 0</v>
      </c>
      <c r="C29" s="24">
        <f>+'Lane 1'!C29</f>
        <v>20</v>
      </c>
      <c r="D29" s="83">
        <f t="shared" ref="D29:D30" si="23">+K29</f>
        <v>0</v>
      </c>
      <c r="E29" s="21" t="s">
        <v>120</v>
      </c>
      <c r="F29" s="50" t="str">
        <f>IF(G29="","Fail",IF(D29&lt;=C29,"Pass", "Fail"))</f>
        <v>Fail</v>
      </c>
      <c r="G29" s="85"/>
      <c r="H29" s="20"/>
      <c r="I29" s="53" t="str">
        <f t="shared" si="1"/>
        <v>Vcm preset 0</v>
      </c>
      <c r="J29" s="20">
        <v>2</v>
      </c>
      <c r="K29" s="84">
        <f>+G29/J29</f>
        <v>0</v>
      </c>
      <c r="L29" s="21"/>
      <c r="M29" s="21"/>
      <c r="N29" s="21"/>
      <c r="O29" s="14" t="s">
        <v>66</v>
      </c>
      <c r="Q29" s="23" t="str">
        <v>vcm</v>
      </c>
      <c r="R29" s="23" t="str">
        <v>Take Max value</v>
      </c>
    </row>
    <row r="30" spans="1:18" x14ac:dyDescent="0.2">
      <c r="A30" s="88" t="s">
        <v>89</v>
      </c>
      <c r="B30" s="53" t="str">
        <f>+'Lane 1'!$B30</f>
        <v>Vcm preset 2 - amplitude 0</v>
      </c>
      <c r="C30" s="24">
        <f>+'Lane 1'!C30</f>
        <v>30</v>
      </c>
      <c r="D30" s="83">
        <f t="shared" si="23"/>
        <v>0</v>
      </c>
      <c r="E30" s="21" t="s">
        <v>120</v>
      </c>
      <c r="F30" s="50" t="str">
        <f>IF(G30="","Fail",IF(D30&lt;=C30,"Pass", "Fail"))</f>
        <v>Fail</v>
      </c>
      <c r="G30" s="85"/>
      <c r="H30" s="20"/>
      <c r="I30" s="53" t="str">
        <f t="shared" si="1"/>
        <v>Vcm preset 2 - amplitude 0</v>
      </c>
      <c r="J30" s="20">
        <v>2</v>
      </c>
      <c r="K30" s="84">
        <f>+G30/J30</f>
        <v>0</v>
      </c>
      <c r="L30" s="21"/>
      <c r="M30" s="21"/>
      <c r="N30" s="21"/>
      <c r="O30" s="14" t="s">
        <v>66</v>
      </c>
      <c r="Q30" s="23" t="str">
        <v>vdiffp</v>
      </c>
      <c r="R30" s="23" t="str">
        <v>Take Max value</v>
      </c>
    </row>
    <row r="31" spans="1:18" x14ac:dyDescent="0.2">
      <c r="A31" s="88" t="s">
        <v>89</v>
      </c>
      <c r="B31" s="53" t="str">
        <f>+'Lane 1'!$B31</f>
        <v>Vcm preset 2 - amplitude 1</v>
      </c>
      <c r="C31" s="24">
        <f>+'Lane 1'!C31</f>
        <v>30</v>
      </c>
      <c r="D31" s="83">
        <f t="shared" ref="D31:D33" si="24">+K31</f>
        <v>0</v>
      </c>
      <c r="E31" s="21" t="s">
        <v>120</v>
      </c>
      <c r="F31" s="50" t="str">
        <f t="shared" ref="F31:F33" si="25">IF(G31="","Fail",IF(D31&lt;=C31,"Pass", "Fail"))</f>
        <v>Fail</v>
      </c>
      <c r="G31" s="85"/>
      <c r="H31" s="20"/>
      <c r="I31" s="53" t="str">
        <f t="shared" ref="I31:I33" si="26">+B31</f>
        <v>Vcm preset 2 - amplitude 1</v>
      </c>
      <c r="J31" s="20">
        <v>2</v>
      </c>
      <c r="K31" s="84">
        <f t="shared" ref="K31:K33" si="27">+G31/J31</f>
        <v>0</v>
      </c>
      <c r="L31" s="21"/>
      <c r="M31" s="21"/>
      <c r="N31" s="21"/>
      <c r="O31" s="14" t="s">
        <v>66</v>
      </c>
      <c r="Q31" s="23" t="str">
        <v>DDPWs</v>
      </c>
      <c r="R31" s="23" t="str">
        <v>See calculations in B71:76</v>
      </c>
    </row>
    <row r="32" spans="1:18" x14ac:dyDescent="0.2">
      <c r="A32" s="88" t="s">
        <v>89</v>
      </c>
      <c r="B32" s="53" t="str">
        <f>+'Lane 1'!$B32</f>
        <v>Vcm preset 15 - amplitude 0</v>
      </c>
      <c r="C32" s="24">
        <f>+'Lane 1'!C32</f>
        <v>30</v>
      </c>
      <c r="D32" s="83">
        <f t="shared" si="24"/>
        <v>0</v>
      </c>
      <c r="E32" s="21" t="s">
        <v>120</v>
      </c>
      <c r="F32" s="50" t="str">
        <f t="shared" si="25"/>
        <v>Fail</v>
      </c>
      <c r="G32" s="85"/>
      <c r="H32" s="20"/>
      <c r="I32" s="53" t="str">
        <f t="shared" si="26"/>
        <v>Vcm preset 15 - amplitude 0</v>
      </c>
      <c r="J32" s="20">
        <v>2</v>
      </c>
      <c r="K32" s="84">
        <f t="shared" si="27"/>
        <v>0</v>
      </c>
      <c r="L32" s="21"/>
      <c r="M32" s="21"/>
      <c r="N32" s="21"/>
      <c r="O32" s="14" t="s">
        <v>66</v>
      </c>
      <c r="Q32" s="23" t="str">
        <v>Preset 1</v>
      </c>
      <c r="R32" s="23">
        <v>0</v>
      </c>
    </row>
    <row r="33" spans="1:18" x14ac:dyDescent="0.2">
      <c r="A33" s="88" t="s">
        <v>89</v>
      </c>
      <c r="B33" s="53" t="str">
        <f>+'Lane 1'!$B33</f>
        <v>Vcm preset 15 - amplitude 1</v>
      </c>
      <c r="C33" s="24">
        <f>+'Lane 1'!C33</f>
        <v>30</v>
      </c>
      <c r="D33" s="83">
        <f t="shared" si="24"/>
        <v>0</v>
      </c>
      <c r="E33" s="21" t="s">
        <v>120</v>
      </c>
      <c r="F33" s="50" t="str">
        <f t="shared" si="25"/>
        <v>Fail</v>
      </c>
      <c r="G33" s="85"/>
      <c r="H33" s="20"/>
      <c r="I33" s="53" t="str">
        <f t="shared" si="26"/>
        <v>Vcm preset 15 - amplitude 1</v>
      </c>
      <c r="J33" s="20">
        <v>2</v>
      </c>
      <c r="K33" s="84">
        <f t="shared" si="27"/>
        <v>0</v>
      </c>
      <c r="L33" s="21"/>
      <c r="M33" s="21"/>
      <c r="N33" s="21"/>
      <c r="O33" s="14" t="s">
        <v>66</v>
      </c>
      <c r="Q33" s="23" t="str">
        <v>Preset 2</v>
      </c>
      <c r="R33" s="23">
        <v>0</v>
      </c>
    </row>
    <row r="34" spans="1:18" x14ac:dyDescent="0.2">
      <c r="A34" s="79" t="s">
        <v>88</v>
      </c>
      <c r="B34" s="53" t="str">
        <f>+'Lane 1'!$B34</f>
        <v>Vdiffpp</v>
      </c>
      <c r="C34" s="24">
        <f>+'Lane 1'!C34</f>
        <v>30</v>
      </c>
      <c r="D34" s="83">
        <f>+G34</f>
        <v>0</v>
      </c>
      <c r="E34" s="24" t="s">
        <v>127</v>
      </c>
      <c r="F34" s="50" t="str">
        <f>IF(G34="","Fail",IF(D34&lt;=C34,"Pass", "Fail"))</f>
        <v>Fail</v>
      </c>
      <c r="G34" s="85"/>
      <c r="H34" s="20"/>
      <c r="I34" s="53" t="str">
        <f t="shared" si="1"/>
        <v>Vdiffpp</v>
      </c>
      <c r="J34" s="20"/>
      <c r="K34" s="23"/>
      <c r="L34" s="23"/>
      <c r="M34" s="23"/>
      <c r="N34" s="23"/>
      <c r="O34" s="115"/>
      <c r="Q34" s="23" t="str">
        <v>Preset 15</v>
      </c>
      <c r="R34" s="23">
        <v>0</v>
      </c>
    </row>
    <row r="35" spans="1:18" x14ac:dyDescent="0.2">
      <c r="A35" s="88" t="s">
        <v>89</v>
      </c>
      <c r="B35" s="53" t="str">
        <f>+'Lane 1'!$B35</f>
        <v>e preset 1 - amplitude 0</v>
      </c>
      <c r="C35" s="24">
        <f>+'Lane 1'!C35</f>
        <v>3.6999999999999998E-2</v>
      </c>
      <c r="D35" s="83">
        <f t="shared" ref="D35:D36" si="28">+G35</f>
        <v>0</v>
      </c>
      <c r="E35" s="24"/>
      <c r="F35" s="50" t="str">
        <f t="shared" ref="F35:F36" si="29">IF(G35="","Fail",IF(D35&lt;=C35,"Pass", "Fail"))</f>
        <v>Fail</v>
      </c>
      <c r="G35" s="85"/>
      <c r="H35" s="20"/>
      <c r="I35" s="53" t="str">
        <f t="shared" ref="I35:I40" si="30">+B35</f>
        <v>e preset 1 - amplitude 0</v>
      </c>
      <c r="J35" s="20"/>
      <c r="K35" s="23"/>
      <c r="L35" s="23"/>
      <c r="M35" s="23"/>
      <c r="N35" s="23"/>
      <c r="O35" s="89"/>
    </row>
    <row r="36" spans="1:18" x14ac:dyDescent="0.2">
      <c r="A36" s="88" t="s">
        <v>89</v>
      </c>
      <c r="B36" s="53" t="str">
        <f>+'Lane 1'!$B36</f>
        <v>e preset 1 - amplitude 1</v>
      </c>
      <c r="C36" s="24">
        <f>+'Lane 1'!C36</f>
        <v>3.6999999999999998E-2</v>
      </c>
      <c r="D36" s="83">
        <f t="shared" si="28"/>
        <v>0</v>
      </c>
      <c r="E36" s="24"/>
      <c r="F36" s="50" t="str">
        <f t="shared" si="29"/>
        <v>Fail</v>
      </c>
      <c r="G36" s="85"/>
      <c r="H36" s="20"/>
      <c r="I36" s="53" t="str">
        <f t="shared" si="30"/>
        <v>e preset 1 - amplitude 1</v>
      </c>
      <c r="J36" s="20"/>
      <c r="K36" s="23"/>
      <c r="L36" s="23"/>
      <c r="M36" s="23"/>
      <c r="N36" s="23"/>
      <c r="O36" s="89" t="s">
        <v>163</v>
      </c>
    </row>
    <row r="37" spans="1:18" x14ac:dyDescent="0.2">
      <c r="A37" s="88" t="s">
        <v>89</v>
      </c>
      <c r="B37" s="53" t="str">
        <f>+'Lane 1'!$B37</f>
        <v>e preset 2 - amplitude 0</v>
      </c>
      <c r="C37" s="24">
        <f>+'Lane 1'!C37</f>
        <v>3.6999999999999998E-2</v>
      </c>
      <c r="D37" s="83">
        <f>+G37</f>
        <v>0</v>
      </c>
      <c r="E37" s="24"/>
      <c r="F37" s="50" t="str">
        <f>IF(G37="","Fail",IF(D37&lt;=C37,"Pass", "Fail"))</f>
        <v>Fail</v>
      </c>
      <c r="G37" s="85"/>
      <c r="H37" s="20"/>
      <c r="I37" s="53" t="str">
        <f t="shared" si="30"/>
        <v>e preset 2 - amplitude 0</v>
      </c>
      <c r="J37" s="20"/>
      <c r="K37" s="23"/>
      <c r="L37" s="23"/>
      <c r="M37" s="23"/>
      <c r="N37" s="23"/>
      <c r="O37" s="89"/>
    </row>
    <row r="38" spans="1:18" x14ac:dyDescent="0.2">
      <c r="A38" s="88" t="s">
        <v>89</v>
      </c>
      <c r="B38" s="53" t="str">
        <f>+'Lane 1'!$B38</f>
        <v>e preset 2 - amplitude 1</v>
      </c>
      <c r="C38" s="24">
        <f>+'Lane 1'!C38</f>
        <v>3.6999999999999998E-2</v>
      </c>
      <c r="D38" s="83">
        <f t="shared" ref="D38:D40" si="31">+G38</f>
        <v>0</v>
      </c>
      <c r="E38" s="24"/>
      <c r="F38" s="50" t="str">
        <f t="shared" ref="F38:F40" si="32">IF(G38="","Fail",IF(D38&lt;=C38,"Pass", "Fail"))</f>
        <v>Fail</v>
      </c>
      <c r="G38" s="85"/>
      <c r="H38" s="20"/>
      <c r="I38" s="53" t="str">
        <f t="shared" si="30"/>
        <v>e preset 2 - amplitude 1</v>
      </c>
      <c r="J38" s="20"/>
      <c r="K38" s="23"/>
      <c r="L38" s="23"/>
      <c r="M38" s="23"/>
      <c r="N38" s="23"/>
      <c r="O38" s="89"/>
    </row>
    <row r="39" spans="1:18" x14ac:dyDescent="0.2">
      <c r="A39" s="88" t="s">
        <v>89</v>
      </c>
      <c r="B39" s="53" t="str">
        <f>+'Lane 1'!$B39</f>
        <v>e preset 15 - amplitude 0</v>
      </c>
      <c r="C39" s="24">
        <f>+'Lane 1'!C39</f>
        <v>3.6999999999999998E-2</v>
      </c>
      <c r="D39" s="83">
        <f t="shared" si="31"/>
        <v>0</v>
      </c>
      <c r="E39" s="24"/>
      <c r="F39" s="50" t="str">
        <f t="shared" si="32"/>
        <v>Fail</v>
      </c>
      <c r="G39" s="85"/>
      <c r="H39" s="20"/>
      <c r="I39" s="53" t="str">
        <f t="shared" si="30"/>
        <v>e preset 15 - amplitude 0</v>
      </c>
      <c r="J39" s="20"/>
      <c r="K39" s="23"/>
      <c r="L39" s="23"/>
      <c r="M39" s="23"/>
      <c r="N39" s="23"/>
      <c r="O39" s="89"/>
    </row>
    <row r="40" spans="1:18" x14ac:dyDescent="0.2">
      <c r="A40" s="88" t="s">
        <v>89</v>
      </c>
      <c r="B40" s="53" t="str">
        <f>+'Lane 1'!$B40</f>
        <v>e preset 15 - amplitude 1</v>
      </c>
      <c r="C40" s="24">
        <f>+'Lane 1'!C40</f>
        <v>3.6999999999999998E-2</v>
      </c>
      <c r="D40" s="83">
        <f t="shared" si="31"/>
        <v>0</v>
      </c>
      <c r="E40" s="24"/>
      <c r="F40" s="50" t="str">
        <f t="shared" si="32"/>
        <v>Fail</v>
      </c>
      <c r="G40" s="85"/>
      <c r="H40" s="20"/>
      <c r="I40" s="53" t="str">
        <f t="shared" si="30"/>
        <v>e preset 15 - amplitude 1</v>
      </c>
      <c r="J40" s="20"/>
      <c r="K40" s="23"/>
      <c r="L40" s="23"/>
      <c r="M40" s="23"/>
      <c r="N40" s="23"/>
      <c r="O40" s="90"/>
    </row>
    <row r="41" spans="1:18" x14ac:dyDescent="0.2">
      <c r="A41" s="88" t="s">
        <v>89</v>
      </c>
      <c r="B41" s="53" t="str">
        <f>+'Lane 1'!$B41</f>
        <v>C-1 preset 2 - Amp 0</v>
      </c>
      <c r="C41" s="24">
        <f>+'Lane 1'!C41</f>
        <v>0</v>
      </c>
      <c r="D41" s="83">
        <f>+G41</f>
        <v>0</v>
      </c>
      <c r="E41" s="24"/>
      <c r="F41" s="50" t="str">
        <f t="shared" ref="F41:F47" si="33">IF(G41="","Fail",IF(OR(AND(C41-0.015&lt;=D41,D41&lt;=C41+0.015),AND(C41-ABS((C41*J41))&lt;=D41,D41&lt;=C41+ABS((C41*J41)))),"Pass", "Fail"))</f>
        <v>Fail</v>
      </c>
      <c r="G41" s="91"/>
      <c r="H41" s="20"/>
      <c r="I41" s="53" t="str">
        <f t="shared" si="1"/>
        <v>C-1 preset 2 - Amp 0</v>
      </c>
      <c r="J41" s="20">
        <v>7.4999999999999997E-2</v>
      </c>
      <c r="K41" s="23"/>
      <c r="L41" s="23"/>
      <c r="M41" s="23"/>
      <c r="N41" s="23"/>
      <c r="O41" s="179" t="s">
        <v>158</v>
      </c>
    </row>
    <row r="42" spans="1:18" x14ac:dyDescent="0.2">
      <c r="A42" s="88" t="s">
        <v>89</v>
      </c>
      <c r="B42" s="53" t="str">
        <f>+'Lane 1'!$B42</f>
        <v>C-1 preset 2 - Amp 1</v>
      </c>
      <c r="C42" s="24">
        <f>+'Lane 1'!C42</f>
        <v>0</v>
      </c>
      <c r="D42" s="83">
        <f t="shared" ref="D42:D56" si="34">+G42</f>
        <v>0</v>
      </c>
      <c r="E42" s="24"/>
      <c r="F42" s="50" t="str">
        <f t="shared" si="33"/>
        <v>Fail</v>
      </c>
      <c r="G42" s="91"/>
      <c r="H42" s="20"/>
      <c r="I42" s="53" t="str">
        <f t="shared" si="1"/>
        <v>C-1 preset 2 - Amp 1</v>
      </c>
      <c r="J42" s="20">
        <v>7.4999999999999997E-2</v>
      </c>
      <c r="K42" s="23"/>
      <c r="L42" s="23"/>
      <c r="M42" s="23"/>
      <c r="N42" s="23"/>
      <c r="O42" s="197"/>
    </row>
    <row r="43" spans="1:18" x14ac:dyDescent="0.2">
      <c r="A43" s="88" t="s">
        <v>89</v>
      </c>
      <c r="B43" s="53" t="str">
        <f>+'Lane 1'!$B43</f>
        <v>C-1 preset 15 - Amp 0</v>
      </c>
      <c r="C43" s="24">
        <f>+'Lane 1'!C43</f>
        <v>-0.08</v>
      </c>
      <c r="D43" s="83">
        <f t="shared" si="34"/>
        <v>0</v>
      </c>
      <c r="E43" s="24"/>
      <c r="F43" s="50" t="str">
        <f t="shared" si="33"/>
        <v>Fail</v>
      </c>
      <c r="G43" s="85"/>
      <c r="H43" s="20"/>
      <c r="I43" s="53" t="str">
        <f t="shared" si="1"/>
        <v>C-1 preset 15 - Amp 0</v>
      </c>
      <c r="J43" s="20">
        <v>7.4999999999999997E-2</v>
      </c>
      <c r="K43" s="23"/>
      <c r="L43" s="23"/>
      <c r="M43" s="23"/>
      <c r="N43" s="23"/>
      <c r="O43" s="197"/>
    </row>
    <row r="44" spans="1:18" x14ac:dyDescent="0.2">
      <c r="A44" s="88" t="s">
        <v>89</v>
      </c>
      <c r="B44" s="53" t="str">
        <f>+'Lane 1'!$B44</f>
        <v>C-1 preset 15 - Amp 1</v>
      </c>
      <c r="C44" s="24">
        <f>+'Lane 1'!C44</f>
        <v>-0.08</v>
      </c>
      <c r="D44" s="83">
        <f t="shared" si="34"/>
        <v>0</v>
      </c>
      <c r="E44" s="24"/>
      <c r="F44" s="50" t="str">
        <f t="shared" si="33"/>
        <v>Fail</v>
      </c>
      <c r="G44" s="85"/>
      <c r="H44" s="20"/>
      <c r="I44" s="53" t="str">
        <f t="shared" si="1"/>
        <v>C-1 preset 15 - Amp 1</v>
      </c>
      <c r="J44" s="20">
        <v>7.4999999999999997E-2</v>
      </c>
      <c r="K44" s="23"/>
      <c r="L44" s="23"/>
      <c r="M44" s="23"/>
      <c r="N44" s="23"/>
      <c r="O44" s="197"/>
    </row>
    <row r="45" spans="1:18" x14ac:dyDescent="0.2">
      <c r="A45" s="88" t="s">
        <v>89</v>
      </c>
      <c r="B45" s="53" t="str">
        <f>+'Lane 1'!$B45</f>
        <v>C0 preset 2 - Amp 0</v>
      </c>
      <c r="C45" s="24">
        <f>+'Lane 1'!C45</f>
        <v>0.9</v>
      </c>
      <c r="D45" s="83">
        <f t="shared" si="34"/>
        <v>0</v>
      </c>
      <c r="E45" s="24"/>
      <c r="F45" s="50" t="str">
        <f t="shared" si="33"/>
        <v>Fail</v>
      </c>
      <c r="G45" s="85"/>
      <c r="H45" s="20"/>
      <c r="I45" s="53" t="str">
        <f t="shared" si="1"/>
        <v>C0 preset 2 - Amp 0</v>
      </c>
      <c r="J45" s="20">
        <v>7.4999999999999997E-2</v>
      </c>
      <c r="K45" s="23"/>
      <c r="L45" s="23"/>
      <c r="M45" s="23"/>
      <c r="N45" s="23"/>
      <c r="O45" s="197"/>
    </row>
    <row r="46" spans="1:18" x14ac:dyDescent="0.2">
      <c r="A46" s="88" t="s">
        <v>89</v>
      </c>
      <c r="B46" s="53" t="str">
        <f>+'Lane 1'!$B46</f>
        <v>C0 preset 2 - Amp 1</v>
      </c>
      <c r="C46" s="24">
        <f>+'Lane 1'!C46</f>
        <v>0.9</v>
      </c>
      <c r="D46" s="83">
        <f t="shared" si="34"/>
        <v>0</v>
      </c>
      <c r="E46" s="24"/>
      <c r="F46" s="50" t="str">
        <f t="shared" si="33"/>
        <v>Fail</v>
      </c>
      <c r="G46" s="85"/>
      <c r="H46" s="20"/>
      <c r="I46" s="53" t="str">
        <f t="shared" si="1"/>
        <v>C0 preset 2 - Amp 1</v>
      </c>
      <c r="J46" s="20">
        <v>7.4999999999999997E-2</v>
      </c>
      <c r="K46" s="23"/>
      <c r="L46" s="23"/>
      <c r="M46" s="23"/>
      <c r="N46" s="23"/>
      <c r="O46" s="197"/>
    </row>
    <row r="47" spans="1:18" x14ac:dyDescent="0.2">
      <c r="A47" s="88" t="s">
        <v>89</v>
      </c>
      <c r="B47" s="53" t="str">
        <f>+'Lane 1'!$B47</f>
        <v>C0 preset 15 - Amp 0</v>
      </c>
      <c r="C47" s="24">
        <f>+'Lane 1'!C47</f>
        <v>0.56000000000000005</v>
      </c>
      <c r="D47" s="83">
        <f t="shared" si="34"/>
        <v>0</v>
      </c>
      <c r="E47" s="24"/>
      <c r="F47" s="50" t="str">
        <f t="shared" si="33"/>
        <v>Fail</v>
      </c>
      <c r="G47" s="85"/>
      <c r="H47" s="20"/>
      <c r="I47" s="53" t="str">
        <f t="shared" si="1"/>
        <v>C0 preset 15 - Amp 0</v>
      </c>
      <c r="J47" s="20">
        <v>7.4999999999999997E-2</v>
      </c>
      <c r="K47" s="23"/>
      <c r="L47" s="23"/>
      <c r="M47" s="23"/>
      <c r="N47" s="23"/>
      <c r="O47" s="197"/>
    </row>
    <row r="48" spans="1:18" x14ac:dyDescent="0.2">
      <c r="A48" s="88" t="s">
        <v>89</v>
      </c>
      <c r="B48" s="53" t="str">
        <f>+'Lane 1'!$B48</f>
        <v>C0 preset 15 - Amp 1</v>
      </c>
      <c r="C48" s="24">
        <f>+'Lane 1'!C48</f>
        <v>0.56000000000000005</v>
      </c>
      <c r="D48" s="83">
        <f t="shared" si="34"/>
        <v>0</v>
      </c>
      <c r="E48" s="24"/>
      <c r="F48" s="50" t="str">
        <f>IF(G48="","Fail",IF(OR(AND(C48-0.015&lt;=D48,D48&lt;=C48+0.015),AND(C48-ABS((C48*J48))&lt;=D48,D48&lt;=C48+ABS((C48*J48)))),"Pass", "Fail"))</f>
        <v>Fail</v>
      </c>
      <c r="G48" s="85"/>
      <c r="H48" s="20"/>
      <c r="I48" s="53" t="str">
        <f t="shared" si="1"/>
        <v>C0 preset 15 - Amp 1</v>
      </c>
      <c r="J48" s="20">
        <v>7.4999999999999997E-2</v>
      </c>
      <c r="K48" s="23"/>
      <c r="L48" s="23"/>
      <c r="M48" s="23"/>
      <c r="N48" s="23"/>
      <c r="O48" s="197"/>
    </row>
    <row r="49" spans="1:15" x14ac:dyDescent="0.2">
      <c r="A49" s="88" t="s">
        <v>89</v>
      </c>
      <c r="B49" s="53" t="str">
        <f>+'Lane 1'!$B49</f>
        <v>C+1 preset 2 - Amp 0</v>
      </c>
      <c r="C49" s="24">
        <f>+'Lane 1'!C49</f>
        <v>-0.1</v>
      </c>
      <c r="D49" s="83">
        <f t="shared" si="34"/>
        <v>0</v>
      </c>
      <c r="E49" s="24"/>
      <c r="F49" s="50" t="str">
        <f t="shared" ref="F49:F52" si="35">IF(G49="","Fail",IF(OR(AND(C49-0.015&lt;=D49,D49&lt;=C49+0.015),AND(C49-ABS((C49*J49))&lt;=D49,D49&lt;=C49+ABS((C49*J49)))),"Pass", "Fail"))</f>
        <v>Fail</v>
      </c>
      <c r="G49" s="85"/>
      <c r="H49" s="20"/>
      <c r="I49" s="53" t="str">
        <f t="shared" si="1"/>
        <v>C+1 preset 2 - Amp 0</v>
      </c>
      <c r="J49" s="20">
        <v>7.4999999999999997E-2</v>
      </c>
      <c r="K49" s="23"/>
      <c r="L49" s="23"/>
      <c r="M49" s="23"/>
      <c r="N49" s="23"/>
      <c r="O49" s="197"/>
    </row>
    <row r="50" spans="1:15" x14ac:dyDescent="0.2">
      <c r="A50" s="88" t="s">
        <v>89</v>
      </c>
      <c r="B50" s="53" t="str">
        <f>+'Lane 1'!$B50</f>
        <v>C+1 preset 2 - Amp 1</v>
      </c>
      <c r="C50" s="24">
        <f>+'Lane 1'!C50</f>
        <v>-0.1</v>
      </c>
      <c r="D50" s="83">
        <f t="shared" si="34"/>
        <v>0</v>
      </c>
      <c r="E50" s="24"/>
      <c r="F50" s="50" t="str">
        <f t="shared" si="35"/>
        <v>Fail</v>
      </c>
      <c r="G50" s="85"/>
      <c r="H50" s="20"/>
      <c r="I50" s="53" t="str">
        <f t="shared" si="1"/>
        <v>C+1 preset 2 - Amp 1</v>
      </c>
      <c r="J50" s="20">
        <v>7.4999999999999997E-2</v>
      </c>
      <c r="K50" s="23"/>
      <c r="L50" s="23"/>
      <c r="M50" s="23"/>
      <c r="N50" s="23"/>
      <c r="O50" s="197"/>
    </row>
    <row r="51" spans="1:15" x14ac:dyDescent="0.2">
      <c r="A51" s="88" t="s">
        <v>89</v>
      </c>
      <c r="B51" s="53" t="str">
        <f>+'Lane 1'!$B51</f>
        <v>C+1 preset 15 - Amp 0</v>
      </c>
      <c r="C51" s="24">
        <f>+'Lane 1'!C51</f>
        <v>-0.36</v>
      </c>
      <c r="D51" s="83">
        <f t="shared" si="34"/>
        <v>0</v>
      </c>
      <c r="E51" s="24"/>
      <c r="F51" s="50" t="str">
        <f t="shared" si="35"/>
        <v>Fail</v>
      </c>
      <c r="G51" s="85"/>
      <c r="H51" s="20"/>
      <c r="I51" s="53" t="str">
        <f t="shared" si="1"/>
        <v>C+1 preset 15 - Amp 0</v>
      </c>
      <c r="J51" s="20">
        <v>7.4999999999999997E-2</v>
      </c>
      <c r="K51" s="23"/>
      <c r="L51" s="23"/>
      <c r="M51" s="23"/>
      <c r="N51" s="23"/>
      <c r="O51" s="197"/>
    </row>
    <row r="52" spans="1:15" x14ac:dyDescent="0.2">
      <c r="A52" s="88" t="s">
        <v>89</v>
      </c>
      <c r="B52" s="53" t="str">
        <f>+'Lane 1'!$B52</f>
        <v>C+1 preset 15 - Amp 1</v>
      </c>
      <c r="C52" s="24">
        <f>+'Lane 1'!C52</f>
        <v>-0.36</v>
      </c>
      <c r="D52" s="83">
        <f t="shared" si="34"/>
        <v>0</v>
      </c>
      <c r="E52" s="24"/>
      <c r="F52" s="50" t="str">
        <f t="shared" si="35"/>
        <v>Fail</v>
      </c>
      <c r="G52" s="85"/>
      <c r="H52" s="20"/>
      <c r="I52" s="53" t="str">
        <f t="shared" si="1"/>
        <v>C+1 preset 15 - Amp 1</v>
      </c>
      <c r="J52" s="20">
        <v>7.4999999999999997E-2</v>
      </c>
      <c r="K52" s="23"/>
      <c r="L52" s="23"/>
      <c r="M52" s="23"/>
      <c r="N52" s="23"/>
      <c r="O52" s="198"/>
    </row>
    <row r="53" spans="1:15" x14ac:dyDescent="0.2">
      <c r="A53" s="88" t="s">
        <v>89</v>
      </c>
      <c r="B53" s="53" t="str">
        <f>+'Lane 1'!$B53</f>
        <v>vf - preset 1 - Test both amplitude=0</v>
      </c>
      <c r="C53" s="24" t="str">
        <f>+'Lane 1'!C53</f>
        <v>400-600</v>
      </c>
      <c r="D53" s="83">
        <f t="shared" si="34"/>
        <v>0</v>
      </c>
      <c r="E53" s="24" t="s">
        <v>127</v>
      </c>
      <c r="F53" s="50" t="str">
        <f>IF(G53="","Fail",IF(AND(400&lt;=D53,D53&lt;=600),"Pass","Fail"))</f>
        <v>Fail</v>
      </c>
      <c r="G53" s="85"/>
      <c r="H53" s="20"/>
      <c r="I53" s="53" t="str">
        <f t="shared" si="1"/>
        <v>vf - preset 1 - Test both amplitude=0</v>
      </c>
      <c r="J53" s="20"/>
      <c r="K53" s="23"/>
      <c r="L53" s="23"/>
      <c r="M53" s="23"/>
      <c r="N53" s="23"/>
      <c r="O53" s="89" t="s">
        <v>159</v>
      </c>
    </row>
    <row r="54" spans="1:15" x14ac:dyDescent="0.2">
      <c r="A54" s="88" t="s">
        <v>89</v>
      </c>
      <c r="B54" s="53" t="str">
        <f>+'Lane 1'!$B54</f>
        <v>vf - preset 1 - Test both amplitude=1</v>
      </c>
      <c r="C54" s="24" t="str">
        <f>+'Lane 1'!C54</f>
        <v>700-900</v>
      </c>
      <c r="D54" s="83">
        <f t="shared" si="34"/>
        <v>0</v>
      </c>
      <c r="E54" s="24" t="s">
        <v>127</v>
      </c>
      <c r="F54" s="50" t="str">
        <f>IF(G54="","Fail",IF(AND(700&lt;=D54,D54&lt;=900),"Pass","Fail"))</f>
        <v>Fail</v>
      </c>
      <c r="G54" s="85"/>
      <c r="H54" s="20"/>
      <c r="I54" s="53" t="str">
        <f t="shared" si="1"/>
        <v>vf - preset 1 - Test both amplitude=1</v>
      </c>
      <c r="J54" s="20"/>
      <c r="K54" s="23"/>
      <c r="L54" s="23"/>
      <c r="M54" s="23"/>
      <c r="N54" s="23"/>
      <c r="O54" s="89" t="s">
        <v>164</v>
      </c>
    </row>
    <row r="55" spans="1:15" x14ac:dyDescent="0.2">
      <c r="A55" s="88" t="s">
        <v>89</v>
      </c>
      <c r="B55" s="53" t="str">
        <f>+'Lane 1'!$B55</f>
        <v>Peak linear fit pulse response - pre1 - amp 0</v>
      </c>
      <c r="C55" s="83">
        <f>0.6 * D53</f>
        <v>0</v>
      </c>
      <c r="D55" s="83">
        <f t="shared" si="34"/>
        <v>0</v>
      </c>
      <c r="E55" s="24"/>
      <c r="F55" s="50" t="str">
        <f>IF(G55="","Fail",IF(D55&gt;=C55,"Pass", "Fail"))</f>
        <v>Fail</v>
      </c>
      <c r="G55" s="85"/>
      <c r="H55" s="20"/>
      <c r="I55" s="53" t="str">
        <f t="shared" si="1"/>
        <v>Peak linear fit pulse response - pre1 - amp 0</v>
      </c>
      <c r="J55" s="20"/>
      <c r="K55" s="23"/>
      <c r="L55" s="23"/>
      <c r="M55" s="23"/>
      <c r="N55" s="23"/>
      <c r="O55" s="89"/>
    </row>
    <row r="56" spans="1:15" x14ac:dyDescent="0.2">
      <c r="A56" s="88" t="s">
        <v>89</v>
      </c>
      <c r="B56" s="53" t="str">
        <f>+'Lane 1'!$B56</f>
        <v>Peak linear fit pulse response - pre1 - amp 1</v>
      </c>
      <c r="C56" s="83">
        <f>0.6 *D54</f>
        <v>0</v>
      </c>
      <c r="D56" s="83">
        <f t="shared" si="34"/>
        <v>0</v>
      </c>
      <c r="E56" s="24"/>
      <c r="F56" s="50" t="str">
        <f>IF(G56="","Fail",IF(D56&gt;=C56,"Pass", "Fail"))</f>
        <v>Fail</v>
      </c>
      <c r="G56" s="85"/>
      <c r="H56" s="20"/>
      <c r="I56" s="53" t="str">
        <f t="shared" si="1"/>
        <v>Peak linear fit pulse response - pre1 - amp 1</v>
      </c>
      <c r="J56" s="20"/>
      <c r="K56" s="23"/>
      <c r="L56" s="23"/>
      <c r="M56" s="23"/>
      <c r="N56" s="23"/>
      <c r="O56" s="89" t="s">
        <v>162</v>
      </c>
    </row>
    <row r="57" spans="1:15" s="100" customFormat="1" x14ac:dyDescent="0.2">
      <c r="A57" s="93" t="s">
        <v>137</v>
      </c>
      <c r="B57" s="94"/>
      <c r="C57" s="95"/>
      <c r="D57" s="96" t="s">
        <v>22</v>
      </c>
      <c r="E57" s="94"/>
      <c r="F57" s="97" t="s">
        <v>116</v>
      </c>
      <c r="G57" s="184" t="s">
        <v>83</v>
      </c>
      <c r="H57" s="185"/>
      <c r="I57" s="94"/>
      <c r="J57" s="98"/>
      <c r="K57" s="99" t="s">
        <v>22</v>
      </c>
      <c r="L57" s="184" t="s">
        <v>83</v>
      </c>
      <c r="M57" s="185"/>
      <c r="N57" s="185"/>
      <c r="O57" s="94"/>
    </row>
    <row r="58" spans="1:15" s="100" customFormat="1" x14ac:dyDescent="0.2">
      <c r="C58" s="101"/>
      <c r="H58" s="102"/>
      <c r="J58" s="102"/>
    </row>
    <row r="59" spans="1:15" ht="15.75" customHeight="1" x14ac:dyDescent="0.2">
      <c r="A59" s="193" t="s">
        <v>129</v>
      </c>
      <c r="B59" s="194"/>
      <c r="C59" s="108"/>
      <c r="D59" s="125"/>
    </row>
    <row r="60" spans="1:15" ht="25.5" x14ac:dyDescent="0.2">
      <c r="A60" s="8" t="s">
        <v>101</v>
      </c>
      <c r="B60" s="8" t="s">
        <v>2</v>
      </c>
      <c r="C60" s="10" t="s">
        <v>190</v>
      </c>
      <c r="D60" s="10" t="s">
        <v>155</v>
      </c>
      <c r="E60" s="10" t="s">
        <v>118</v>
      </c>
      <c r="F60" s="9" t="s">
        <v>61</v>
      </c>
      <c r="G60" s="10" t="s">
        <v>117</v>
      </c>
      <c r="H60" s="78" t="s">
        <v>72</v>
      </c>
      <c r="I60" s="8" t="s">
        <v>2</v>
      </c>
      <c r="J60" s="22" t="s">
        <v>73</v>
      </c>
      <c r="K60" s="22" t="s">
        <v>138</v>
      </c>
      <c r="L60" s="10" t="s">
        <v>139</v>
      </c>
      <c r="M60" s="10" t="s">
        <v>62</v>
      </c>
      <c r="N60" s="16" t="s">
        <v>71</v>
      </c>
      <c r="O60" s="8" t="s">
        <v>63</v>
      </c>
    </row>
    <row r="61" spans="1:15" x14ac:dyDescent="0.2">
      <c r="A61" s="79" t="s">
        <v>88</v>
      </c>
      <c r="B61" s="80" t="s">
        <v>84</v>
      </c>
      <c r="C61" s="113">
        <f>IF(D61="","NT",IF(H61&lt;=5.6,-12+1.71*SQRT(H61),-6.7+13*LOG10((H61/7))))</f>
        <v>-12</v>
      </c>
      <c r="D61" s="52">
        <f>+G61</f>
        <v>0</v>
      </c>
      <c r="E61" s="19" t="s">
        <v>121</v>
      </c>
      <c r="F61" s="50" t="str">
        <f>IF(D61="","Fail",IF(D61&lt;=C61,"Pass", "Fail"))</f>
        <v>Fail</v>
      </c>
      <c r="G61" s="81"/>
      <c r="H61" s="81"/>
      <c r="I61" s="80" t="str">
        <f>+B61</f>
        <v>SDD11</v>
      </c>
      <c r="J61" s="20"/>
      <c r="K61" s="23"/>
      <c r="L61" s="10"/>
      <c r="M61" s="10"/>
      <c r="N61" s="16"/>
      <c r="O61" s="8"/>
    </row>
    <row r="62" spans="1:15" x14ac:dyDescent="0.2">
      <c r="A62" s="79" t="s">
        <v>88</v>
      </c>
      <c r="B62" s="80" t="s">
        <v>85</v>
      </c>
      <c r="C62" s="114">
        <f>IF(D62="","NT",-2)</f>
        <v>-2</v>
      </c>
      <c r="D62" s="52">
        <f>+G62</f>
        <v>0</v>
      </c>
      <c r="E62" s="19" t="s">
        <v>121</v>
      </c>
      <c r="F62" s="50" t="str">
        <f>IF(D62="","Fail",IF(D62&lt;=C62,"Pass", "Fail"))</f>
        <v>Fail</v>
      </c>
      <c r="G62" s="81"/>
      <c r="H62" s="81"/>
      <c r="I62" s="80" t="str">
        <f>+B62</f>
        <v>SCC11</v>
      </c>
      <c r="J62" s="20"/>
      <c r="K62" s="23"/>
      <c r="L62" s="10"/>
      <c r="M62" s="10"/>
      <c r="N62" s="16"/>
      <c r="O62" s="8"/>
    </row>
    <row r="63" spans="1:15" x14ac:dyDescent="0.2">
      <c r="A63" s="79" t="s">
        <v>88</v>
      </c>
      <c r="B63" s="80" t="s">
        <v>86</v>
      </c>
      <c r="C63" s="114">
        <f>IF(D63="","NT",-16+((2/3)*H63))</f>
        <v>-16</v>
      </c>
      <c r="D63" s="52">
        <f>+G63</f>
        <v>0</v>
      </c>
      <c r="E63" s="19" t="s">
        <v>121</v>
      </c>
      <c r="F63" s="50" t="str">
        <f>IF(D63="","Fail",IF(D63&lt;=C63,"Pass", "Fail"))</f>
        <v>Fail</v>
      </c>
      <c r="G63" s="81"/>
      <c r="H63" s="81"/>
      <c r="I63" s="80" t="str">
        <f>+B63</f>
        <v>SDC11</v>
      </c>
      <c r="J63" s="20"/>
      <c r="K63" s="23"/>
      <c r="L63" s="10"/>
      <c r="M63" s="10"/>
      <c r="N63" s="16"/>
      <c r="O63" s="8"/>
    </row>
    <row r="64" spans="1:15" s="100" customFormat="1" x14ac:dyDescent="0.2">
      <c r="C64" s="101"/>
      <c r="H64" s="102"/>
      <c r="J64" s="102"/>
    </row>
    <row r="65" spans="1:11" s="100" customFormat="1" x14ac:dyDescent="0.2">
      <c r="A65" s="100" t="s">
        <v>128</v>
      </c>
      <c r="C65" s="101"/>
      <c r="H65" s="102"/>
      <c r="J65" s="102"/>
    </row>
    <row r="66" spans="1:11" s="100" customFormat="1" x14ac:dyDescent="0.2">
      <c r="C66" s="101"/>
      <c r="H66" s="102"/>
      <c r="J66" s="102"/>
    </row>
    <row r="67" spans="1:11" x14ac:dyDescent="0.2">
      <c r="D67" s="103"/>
      <c r="E67" s="192" t="s">
        <v>185</v>
      </c>
      <c r="F67" s="192"/>
      <c r="G67" s="192"/>
      <c r="I67" s="76">
        <v>0.56000000000000005</v>
      </c>
      <c r="J67" s="77">
        <v>7.4999999999999997E-2</v>
      </c>
      <c r="K67" s="77">
        <f>+I67*(1+J67)</f>
        <v>0.60199999999999998</v>
      </c>
    </row>
    <row r="68" spans="1:11" x14ac:dyDescent="0.2">
      <c r="A68" s="188" t="s">
        <v>132</v>
      </c>
      <c r="B68" s="189"/>
      <c r="D68" s="103"/>
      <c r="E68" s="20">
        <v>-0.36</v>
      </c>
      <c r="F68" s="20">
        <v>7.4999999999999997E-2</v>
      </c>
      <c r="G68" s="20">
        <f>+E68*(1+F68)</f>
        <v>-0.38699999999999996</v>
      </c>
      <c r="I68" s="76">
        <v>0.56000000000000005</v>
      </c>
      <c r="J68" s="77">
        <v>7.4999999999999997E-2</v>
      </c>
      <c r="K68" s="77">
        <f>+I68*(1-J68)</f>
        <v>0.51800000000000013</v>
      </c>
    </row>
    <row r="69" spans="1:11" x14ac:dyDescent="0.2">
      <c r="A69" s="191" t="s">
        <v>134</v>
      </c>
      <c r="B69" s="189"/>
      <c r="D69" s="103"/>
      <c r="E69" s="20">
        <v>-0.36</v>
      </c>
      <c r="F69" s="20">
        <v>7.4999999999999997E-2</v>
      </c>
      <c r="G69" s="20">
        <f>+E69*(1-F69)</f>
        <v>-0.33300000000000002</v>
      </c>
      <c r="I69" s="76">
        <v>0.56000000000000005</v>
      </c>
      <c r="J69" s="77">
        <v>1.4999999999999999E-2</v>
      </c>
      <c r="K69" s="77">
        <f>+I69-J69</f>
        <v>0.54500000000000004</v>
      </c>
    </row>
    <row r="70" spans="1:11" x14ac:dyDescent="0.2">
      <c r="A70" s="190" t="s">
        <v>133</v>
      </c>
      <c r="B70" s="190"/>
      <c r="D70" s="103"/>
      <c r="E70" s="20">
        <v>-0.36</v>
      </c>
      <c r="F70" s="20">
        <v>1.4999999999999999E-2</v>
      </c>
      <c r="G70" s="20">
        <f>+E70-F70</f>
        <v>-0.375</v>
      </c>
      <c r="I70" s="76">
        <v>0.56000000000000005</v>
      </c>
      <c r="J70" s="77">
        <v>1.4999999999999999E-2</v>
      </c>
      <c r="K70" s="77">
        <f>+I70+J70</f>
        <v>0.57500000000000007</v>
      </c>
    </row>
    <row r="71" spans="1:11" x14ac:dyDescent="0.2">
      <c r="A71" s="182" t="s">
        <v>135</v>
      </c>
      <c r="B71" s="183"/>
      <c r="D71" s="103"/>
      <c r="E71" s="20">
        <v>-0.36</v>
      </c>
      <c r="F71" s="20">
        <v>1.4999999999999999E-2</v>
      </c>
      <c r="G71" s="20">
        <f>+E71+F71</f>
        <v>-0.34499999999999997</v>
      </c>
    </row>
    <row r="73" spans="1:11" x14ac:dyDescent="0.2">
      <c r="A73" s="104" t="s">
        <v>148</v>
      </c>
      <c r="D73" s="103"/>
    </row>
    <row r="74" spans="1:11" x14ac:dyDescent="0.2">
      <c r="A74" s="76" t="s">
        <v>140</v>
      </c>
      <c r="B74" s="76">
        <f>+G24</f>
        <v>0</v>
      </c>
      <c r="C74" s="76"/>
    </row>
    <row r="75" spans="1:11" x14ac:dyDescent="0.2">
      <c r="A75" s="76" t="s">
        <v>147</v>
      </c>
      <c r="B75" s="76">
        <v>8176</v>
      </c>
      <c r="C75" s="76" t="s">
        <v>141</v>
      </c>
    </row>
    <row r="76" spans="1:11" x14ac:dyDescent="0.2">
      <c r="A76" s="76" t="s">
        <v>142</v>
      </c>
      <c r="B76" s="105">
        <v>3.634E-8</v>
      </c>
      <c r="C76" s="76" t="s">
        <v>143</v>
      </c>
    </row>
    <row r="77" spans="1:11" x14ac:dyDescent="0.2">
      <c r="B77" s="105">
        <f>B76/B75*B74</f>
        <v>0</v>
      </c>
      <c r="C77" s="76" t="s">
        <v>144</v>
      </c>
    </row>
    <row r="78" spans="1:11" x14ac:dyDescent="0.2">
      <c r="A78" s="76" t="s">
        <v>149</v>
      </c>
      <c r="B78" s="105">
        <f>0.00000000007111-B77</f>
        <v>7.1110000000000001E-11</v>
      </c>
      <c r="C78" s="76" t="s">
        <v>145</v>
      </c>
    </row>
    <row r="79" spans="1:11" x14ac:dyDescent="0.2">
      <c r="A79" s="76" t="s">
        <v>150</v>
      </c>
      <c r="B79" s="106">
        <f>B78/0.00000000007111</f>
        <v>1</v>
      </c>
      <c r="C79" s="76" t="s">
        <v>146</v>
      </c>
      <c r="F79" s="202"/>
      <c r="G79" s="202"/>
      <c r="H79" s="202"/>
    </row>
    <row r="80" spans="1:11" x14ac:dyDescent="0.2">
      <c r="F80" s="116"/>
      <c r="G80" s="116"/>
      <c r="H80" s="116"/>
    </row>
    <row r="81" spans="1:8" x14ac:dyDescent="0.2">
      <c r="F81" s="116"/>
      <c r="G81" s="116"/>
      <c r="H81" s="116"/>
    </row>
    <row r="82" spans="1:8" x14ac:dyDescent="0.2">
      <c r="A82" s="107" t="s">
        <v>182</v>
      </c>
      <c r="F82" s="116"/>
      <c r="G82" s="116"/>
      <c r="H82" s="116"/>
    </row>
    <row r="83" spans="1:8" x14ac:dyDescent="0.2">
      <c r="A83" s="75" t="s">
        <v>184</v>
      </c>
      <c r="F83" s="116"/>
      <c r="G83" s="116"/>
      <c r="H83" s="116"/>
    </row>
    <row r="84" spans="1:8" x14ac:dyDescent="0.2">
      <c r="A84" s="75" t="s">
        <v>183</v>
      </c>
    </row>
    <row r="86" spans="1:8" x14ac:dyDescent="0.2">
      <c r="A86" s="76" t="s">
        <v>186</v>
      </c>
      <c r="C86" s="75">
        <v>29.07</v>
      </c>
      <c r="D86" s="76">
        <v>71.11</v>
      </c>
      <c r="E86" s="76">
        <f>+C86/D86</f>
        <v>0.40880326255097738</v>
      </c>
    </row>
  </sheetData>
  <mergeCells count="12">
    <mergeCell ref="F79:H79"/>
    <mergeCell ref="E67:G67"/>
    <mergeCell ref="O41:O52"/>
    <mergeCell ref="A71:B71"/>
    <mergeCell ref="A1:B1"/>
    <mergeCell ref="G57:H57"/>
    <mergeCell ref="L57:N57"/>
    <mergeCell ref="A68:B68"/>
    <mergeCell ref="A69:B69"/>
    <mergeCell ref="A70:B70"/>
    <mergeCell ref="A59:B59"/>
    <mergeCell ref="G25:G26"/>
  </mergeCells>
  <conditionalFormatting sqref="F61:F63">
    <cfRule type="containsText" dxfId="168" priority="63" stopIfTrue="1" operator="containsText" text="Fail">
      <formula>NOT(ISERROR(SEARCH("Fail",F61)))</formula>
    </cfRule>
    <cfRule type="containsText" dxfId="167" priority="64" stopIfTrue="1" operator="containsText" text="Pass">
      <formula>NOT(ISERROR(SEARCH("Pass",F61)))</formula>
    </cfRule>
    <cfRule type="containsText" dxfId="166" priority="65" stopIfTrue="1" operator="containsText" text="N/A">
      <formula>NOT(ISERROR(SEARCH("N/A",F61)))</formula>
    </cfRule>
  </conditionalFormatting>
  <conditionalFormatting sqref="F3:F24 F26:F56">
    <cfRule type="containsText" dxfId="165" priority="5" operator="containsText" text="NT">
      <formula>NOT(ISERROR(SEARCH("NT",F3)))</formula>
    </cfRule>
    <cfRule type="containsText" dxfId="164" priority="6" stopIfTrue="1" operator="containsText" text="Fail">
      <formula>NOT(ISERROR(SEARCH("Fail",F3)))</formula>
    </cfRule>
    <cfRule type="containsText" dxfId="163" priority="7" stopIfTrue="1" operator="containsText" text="Pass">
      <formula>NOT(ISERROR(SEARCH("Pass",F3)))</formula>
    </cfRule>
    <cfRule type="containsText" dxfId="162" priority="8" stopIfTrue="1" operator="containsText" text="N/A">
      <formula>NOT(ISERROR(SEARCH("N/A",F3)))</formula>
    </cfRule>
  </conditionalFormatting>
  <conditionalFormatting sqref="F25">
    <cfRule type="containsText" dxfId="161" priority="1" operator="containsText" text="NT">
      <formula>NOT(ISERROR(SEARCH("NT",F25)))</formula>
    </cfRule>
    <cfRule type="containsText" dxfId="160" priority="2" stopIfTrue="1" operator="containsText" text="Fail">
      <formula>NOT(ISERROR(SEARCH("Fail",F25)))</formula>
    </cfRule>
    <cfRule type="containsText" dxfId="159" priority="3" stopIfTrue="1" operator="containsText" text="Pass">
      <formula>NOT(ISERROR(SEARCH("Pass",F25)))</formula>
    </cfRule>
    <cfRule type="containsText" dxfId="158" priority="4" stopIfTrue="1" operator="containsText" text="N/A">
      <formula>NOT(ISERROR(SEARCH("N/A",F25)))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F0"/>
  </sheetPr>
  <dimension ref="A1:R85"/>
  <sheetViews>
    <sheetView zoomScale="80" zoomScaleNormal="80" workbookViewId="0">
      <selection sqref="A1:B1"/>
    </sheetView>
  </sheetViews>
  <sheetFormatPr defaultRowHeight="12.75" x14ac:dyDescent="0.2"/>
  <cols>
    <col min="1" max="1" width="12.7109375" style="76" customWidth="1"/>
    <col min="2" max="2" width="40.28515625" style="76" bestFit="1" customWidth="1"/>
    <col min="3" max="3" width="20" style="75" bestFit="1" customWidth="1"/>
    <col min="4" max="4" width="12.7109375" style="76" bestFit="1" customWidth="1"/>
    <col min="5" max="5" width="15.28515625" style="76" bestFit="1" customWidth="1"/>
    <col min="6" max="6" width="9.85546875" style="76" bestFit="1" customWidth="1"/>
    <col min="7" max="7" width="12.28515625" style="77" bestFit="1" customWidth="1"/>
    <col min="8" max="8" width="12.28515625" style="77" customWidth="1"/>
    <col min="9" max="9" width="40.28515625" style="76" bestFit="1" customWidth="1"/>
    <col min="10" max="10" width="7.7109375" style="77" bestFit="1" customWidth="1"/>
    <col min="11" max="11" width="12" style="76" bestFit="1" customWidth="1"/>
    <col min="12" max="12" width="5.7109375" style="76" bestFit="1" customWidth="1"/>
    <col min="13" max="13" width="12.42578125" style="76" customWidth="1"/>
    <col min="14" max="14" width="13.7109375" style="76" bestFit="1" customWidth="1"/>
    <col min="15" max="15" width="57.140625" style="76" bestFit="1" customWidth="1"/>
    <col min="16" max="16" width="9.140625" style="76"/>
    <col min="17" max="17" width="13" style="76" bestFit="1" customWidth="1"/>
    <col min="18" max="18" width="28.85546875" style="76" bestFit="1" customWidth="1"/>
    <col min="19" max="16384" width="9.140625" style="76"/>
  </cols>
  <sheetData>
    <row r="1" spans="1:15" ht="15.75" customHeight="1" x14ac:dyDescent="0.2">
      <c r="A1" s="186" t="s">
        <v>130</v>
      </c>
      <c r="B1" s="187"/>
      <c r="D1" s="9"/>
    </row>
    <row r="2" spans="1:15" ht="25.5" x14ac:dyDescent="0.2">
      <c r="A2" s="8" t="s">
        <v>101</v>
      </c>
      <c r="B2" s="8" t="s">
        <v>2</v>
      </c>
      <c r="C2" s="72" t="s">
        <v>189</v>
      </c>
      <c r="D2" s="10" t="s">
        <v>156</v>
      </c>
      <c r="E2" s="10" t="s">
        <v>118</v>
      </c>
      <c r="F2" s="9" t="s">
        <v>61</v>
      </c>
      <c r="G2" s="10" t="s">
        <v>117</v>
      </c>
      <c r="H2" s="78" t="s">
        <v>72</v>
      </c>
      <c r="I2" s="8" t="s">
        <v>2</v>
      </c>
      <c r="J2" s="22" t="s">
        <v>73</v>
      </c>
      <c r="K2" s="22" t="s">
        <v>138</v>
      </c>
      <c r="L2" s="10" t="s">
        <v>139</v>
      </c>
      <c r="M2" s="10" t="s">
        <v>62</v>
      </c>
      <c r="N2" s="16" t="s">
        <v>71</v>
      </c>
      <c r="O2" s="8" t="s">
        <v>63</v>
      </c>
    </row>
    <row r="3" spans="1:15" x14ac:dyDescent="0.2">
      <c r="A3" s="79" t="s">
        <v>88</v>
      </c>
      <c r="B3" s="123" t="str">
        <f>+'Lane 1'!$B3</f>
        <v>SDD22</v>
      </c>
      <c r="C3" s="113">
        <f>IF(D3="","NT",IF(H3&lt;=5.6,-12+1.71*SQRT(H3),-6.7+13*LOG10((H3/7))))</f>
        <v>-12</v>
      </c>
      <c r="D3" s="52">
        <f t="shared" ref="D3:D5" si="0">+G3</f>
        <v>0</v>
      </c>
      <c r="E3" s="19" t="s">
        <v>121</v>
      </c>
      <c r="F3" s="50" t="str">
        <f>IF(D3="","Fail",IF(D3&lt;=C3,"Pass", "Fail"))</f>
        <v>Fail</v>
      </c>
      <c r="G3" s="81"/>
      <c r="H3" s="81"/>
      <c r="I3" s="80" t="str">
        <f t="shared" ref="I3:I56" si="1">+B3</f>
        <v>SDD22</v>
      </c>
      <c r="J3" s="20"/>
      <c r="K3" s="23"/>
      <c r="L3" s="10"/>
      <c r="M3" s="10"/>
      <c r="N3" s="16"/>
      <c r="O3" s="8"/>
    </row>
    <row r="4" spans="1:15" x14ac:dyDescent="0.2">
      <c r="A4" s="79" t="s">
        <v>88</v>
      </c>
      <c r="B4" s="80" t="str">
        <f>+'Lane 1'!$B4</f>
        <v>SCC22</v>
      </c>
      <c r="C4" s="114">
        <f>IF(D4="","NT",-2)</f>
        <v>-2</v>
      </c>
      <c r="D4" s="52">
        <f t="shared" si="0"/>
        <v>0</v>
      </c>
      <c r="E4" s="19" t="s">
        <v>121</v>
      </c>
      <c r="F4" s="50" t="str">
        <f t="shared" ref="F4:F5" si="2">IF(D4="","Fail",IF(D4&lt;=C4,"Pass", "Fail"))</f>
        <v>Fail</v>
      </c>
      <c r="G4" s="81"/>
      <c r="H4" s="81"/>
      <c r="I4" s="80" t="str">
        <f t="shared" si="1"/>
        <v>SCC22</v>
      </c>
      <c r="J4" s="20"/>
      <c r="K4" s="23"/>
      <c r="L4" s="10"/>
      <c r="M4" s="10"/>
      <c r="N4" s="16"/>
      <c r="O4" s="8"/>
    </row>
    <row r="5" spans="1:15" x14ac:dyDescent="0.2">
      <c r="A5" s="79" t="s">
        <v>88</v>
      </c>
      <c r="B5" s="80" t="str">
        <f>+'Lane 1'!$B5</f>
        <v>SDC22</v>
      </c>
      <c r="C5" s="114">
        <f>IF(D5="","NT",-16+((2/3)*H5))</f>
        <v>-16</v>
      </c>
      <c r="D5" s="52">
        <f t="shared" si="0"/>
        <v>0</v>
      </c>
      <c r="E5" s="19" t="s">
        <v>121</v>
      </c>
      <c r="F5" s="50" t="str">
        <f t="shared" si="2"/>
        <v>Fail</v>
      </c>
      <c r="G5" s="81"/>
      <c r="H5" s="81"/>
      <c r="I5" s="80" t="str">
        <f t="shared" si="1"/>
        <v>SDC22</v>
      </c>
      <c r="J5" s="20"/>
      <c r="K5" s="23"/>
      <c r="L5" s="10"/>
      <c r="M5" s="10"/>
      <c r="N5" s="16"/>
      <c r="O5" s="8"/>
    </row>
    <row r="6" spans="1:15" x14ac:dyDescent="0.2">
      <c r="A6" s="79" t="s">
        <v>88</v>
      </c>
      <c r="B6" s="82" t="str">
        <f>+'Lane 1'!$B6</f>
        <v>RJ - preset 0</v>
      </c>
      <c r="C6" s="74">
        <f>+'Lane 1'!C6</f>
        <v>0.15</v>
      </c>
      <c r="D6" s="83">
        <f>+K6</f>
        <v>0</v>
      </c>
      <c r="E6" s="19" t="s">
        <v>119</v>
      </c>
      <c r="F6" s="51" t="str">
        <f>IF(G6="","Fail",IF(D6&lt;=C6,"Pass", "Fail"))</f>
        <v>Fail</v>
      </c>
      <c r="G6" s="81"/>
      <c r="H6" s="20"/>
      <c r="I6" s="82" t="str">
        <f t="shared" si="1"/>
        <v>RJ - preset 0</v>
      </c>
      <c r="J6" s="20">
        <v>14.069000000000001</v>
      </c>
      <c r="K6" s="84">
        <f>(G6/1000)*J6</f>
        <v>0</v>
      </c>
      <c r="L6" s="21"/>
      <c r="M6" s="21"/>
      <c r="N6" s="21"/>
      <c r="O6" s="11" t="s">
        <v>136</v>
      </c>
    </row>
    <row r="7" spans="1:15" x14ac:dyDescent="0.2">
      <c r="A7" s="79" t="s">
        <v>88</v>
      </c>
      <c r="B7" s="82" t="str">
        <f>+'Lane 1'!$B7</f>
        <v>RJ - preset 15 - Amplitude 0</v>
      </c>
      <c r="C7" s="74">
        <f>+'Lane 1'!C7</f>
        <v>0.15</v>
      </c>
      <c r="D7" s="83">
        <f t="shared" ref="D7:D8" si="3">+K7</f>
        <v>0</v>
      </c>
      <c r="E7" s="19" t="s">
        <v>119</v>
      </c>
      <c r="F7" s="51" t="str">
        <f t="shared" ref="F7:F8" si="4">IF(G7="","Fail",IF(D7&lt;=C7,"Pass", "Fail"))</f>
        <v>Fail</v>
      </c>
      <c r="G7" s="81"/>
      <c r="H7" s="20"/>
      <c r="I7" s="82" t="str">
        <f t="shared" si="1"/>
        <v>RJ - preset 15 - Amplitude 0</v>
      </c>
      <c r="J7" s="20">
        <v>14.069000000000001</v>
      </c>
      <c r="K7" s="84">
        <f t="shared" ref="K7:K8" si="5">(G7/1000)*J7</f>
        <v>0</v>
      </c>
      <c r="L7" s="21"/>
      <c r="M7" s="21"/>
      <c r="N7" s="21"/>
      <c r="O7" s="11" t="s">
        <v>136</v>
      </c>
    </row>
    <row r="8" spans="1:15" x14ac:dyDescent="0.2">
      <c r="A8" s="79" t="s">
        <v>88</v>
      </c>
      <c r="B8" s="82" t="str">
        <f>+'Lane 1'!$B8</f>
        <v>RJ - preset 15 - Amplitude 1</v>
      </c>
      <c r="C8" s="74">
        <f>+'Lane 1'!C8</f>
        <v>0.15</v>
      </c>
      <c r="D8" s="83">
        <f t="shared" si="3"/>
        <v>0</v>
      </c>
      <c r="E8" s="19" t="s">
        <v>119</v>
      </c>
      <c r="F8" s="51" t="str">
        <f t="shared" si="4"/>
        <v>Fail</v>
      </c>
      <c r="G8" s="81"/>
      <c r="H8" s="20"/>
      <c r="I8" s="82" t="str">
        <f t="shared" si="1"/>
        <v>RJ - preset 15 - Amplitude 1</v>
      </c>
      <c r="J8" s="20">
        <v>14.069000000000001</v>
      </c>
      <c r="K8" s="84">
        <f t="shared" si="5"/>
        <v>0</v>
      </c>
      <c r="L8" s="21"/>
      <c r="M8" s="21"/>
      <c r="N8" s="21"/>
      <c r="O8" s="11" t="s">
        <v>136</v>
      </c>
    </row>
    <row r="9" spans="1:15" x14ac:dyDescent="0.2">
      <c r="A9" s="79" t="s">
        <v>88</v>
      </c>
      <c r="B9" s="82" t="str">
        <f>+'Lane 1'!$B9</f>
        <v>DCD - preset 0</v>
      </c>
      <c r="C9" s="74">
        <f>+'Lane 1'!C9</f>
        <v>3.5000000000000003E-2</v>
      </c>
      <c r="D9" s="83">
        <f t="shared" ref="D9:D17" si="6">+K9</f>
        <v>0</v>
      </c>
      <c r="E9" s="21" t="s">
        <v>119</v>
      </c>
      <c r="F9" s="50" t="str">
        <f>IF(G9="","Fail",IF(D9&lt;=C9,"Pass", "Fail"))</f>
        <v>Fail</v>
      </c>
      <c r="G9" s="81"/>
      <c r="H9" s="20"/>
      <c r="I9" s="82" t="str">
        <f t="shared" si="1"/>
        <v>DCD - preset 0</v>
      </c>
      <c r="J9" s="20">
        <v>1000</v>
      </c>
      <c r="K9" s="84">
        <f>+G9/J9</f>
        <v>0</v>
      </c>
      <c r="L9" s="21"/>
      <c r="M9" s="21"/>
      <c r="N9" s="21"/>
      <c r="O9" s="23" t="s">
        <v>74</v>
      </c>
    </row>
    <row r="10" spans="1:15" x14ac:dyDescent="0.2">
      <c r="A10" s="79" t="s">
        <v>88</v>
      </c>
      <c r="B10" s="82" t="str">
        <f>+'Lane 1'!$B10</f>
        <v>DCD - preset 15 - amplitude 0</v>
      </c>
      <c r="C10" s="74">
        <f>+'Lane 1'!C10</f>
        <v>3.5000000000000003E-2</v>
      </c>
      <c r="D10" s="83">
        <f t="shared" si="6"/>
        <v>0</v>
      </c>
      <c r="E10" s="21" t="s">
        <v>119</v>
      </c>
      <c r="F10" s="50" t="str">
        <f t="shared" ref="F10:F11" si="7">IF(G10="","Fail",IF(D10&lt;=C10,"Pass", "Fail"))</f>
        <v>Fail</v>
      </c>
      <c r="G10" s="81"/>
      <c r="H10" s="20"/>
      <c r="I10" s="82" t="str">
        <f t="shared" si="1"/>
        <v>DCD - preset 15 - amplitude 0</v>
      </c>
      <c r="J10" s="20">
        <v>1000</v>
      </c>
      <c r="K10" s="84">
        <f t="shared" ref="K10:K11" si="8">+G10/J10</f>
        <v>0</v>
      </c>
      <c r="L10" s="21"/>
      <c r="M10" s="21"/>
      <c r="N10" s="21"/>
      <c r="O10" s="23" t="s">
        <v>74</v>
      </c>
    </row>
    <row r="11" spans="1:15" x14ac:dyDescent="0.2">
      <c r="A11" s="79" t="s">
        <v>88</v>
      </c>
      <c r="B11" s="82" t="str">
        <f>+'Lane 1'!$B11</f>
        <v>DCD - preset 15 - amplitude 1</v>
      </c>
      <c r="C11" s="74">
        <f>+'Lane 1'!C11</f>
        <v>3.5000000000000003E-2</v>
      </c>
      <c r="D11" s="83">
        <f t="shared" si="6"/>
        <v>0</v>
      </c>
      <c r="E11" s="21" t="s">
        <v>119</v>
      </c>
      <c r="F11" s="50" t="str">
        <f t="shared" si="7"/>
        <v>Fail</v>
      </c>
      <c r="G11" s="81"/>
      <c r="H11" s="20"/>
      <c r="I11" s="82" t="str">
        <f t="shared" si="1"/>
        <v>DCD - preset 15 - amplitude 1</v>
      </c>
      <c r="J11" s="20">
        <v>1000</v>
      </c>
      <c r="K11" s="84">
        <f t="shared" si="8"/>
        <v>0</v>
      </c>
      <c r="L11" s="21"/>
      <c r="M11" s="21"/>
      <c r="N11" s="21"/>
      <c r="O11" s="23" t="s">
        <v>74</v>
      </c>
    </row>
    <row r="12" spans="1:15" x14ac:dyDescent="0.2">
      <c r="A12" s="79" t="s">
        <v>88</v>
      </c>
      <c r="B12" s="82" t="str">
        <f>+'Lane 1'!$B12</f>
        <v>TJ - preset 0</v>
      </c>
      <c r="C12" s="74" t="str">
        <f>+'Lane 1'!C12</f>
        <v>Used to calc TJ-DDJ</v>
      </c>
      <c r="D12" s="83">
        <f t="shared" si="6"/>
        <v>0</v>
      </c>
      <c r="E12" s="21" t="s">
        <v>119</v>
      </c>
      <c r="F12" s="50" t="s">
        <v>5</v>
      </c>
      <c r="G12" s="85"/>
      <c r="H12" s="20"/>
      <c r="I12" s="82" t="str">
        <f t="shared" si="1"/>
        <v>TJ - preset 0</v>
      </c>
      <c r="J12" s="20">
        <v>1000</v>
      </c>
      <c r="K12" s="84">
        <f>+G12/J12</f>
        <v>0</v>
      </c>
      <c r="L12" s="21"/>
      <c r="M12" s="21"/>
      <c r="N12" s="21"/>
      <c r="O12" s="23" t="s">
        <v>74</v>
      </c>
    </row>
    <row r="13" spans="1:15" x14ac:dyDescent="0.2">
      <c r="A13" s="79" t="s">
        <v>88</v>
      </c>
      <c r="B13" s="82" t="str">
        <f>+'Lane 1'!$B13</f>
        <v>TJ - preset 15 - amplitude 0</v>
      </c>
      <c r="C13" s="74" t="str">
        <f>+'Lane 1'!C13</f>
        <v>Used to calc TJ-DDJ</v>
      </c>
      <c r="D13" s="83">
        <f t="shared" si="6"/>
        <v>0</v>
      </c>
      <c r="E13" s="21" t="s">
        <v>119</v>
      </c>
      <c r="F13" s="50" t="s">
        <v>5</v>
      </c>
      <c r="G13" s="85"/>
      <c r="H13" s="20"/>
      <c r="I13" s="82" t="str">
        <f t="shared" si="1"/>
        <v>TJ - preset 15 - amplitude 0</v>
      </c>
      <c r="J13" s="20">
        <v>1000</v>
      </c>
      <c r="K13" s="84">
        <f t="shared" ref="K13:K14" si="9">+G13/J13</f>
        <v>0</v>
      </c>
      <c r="L13" s="21"/>
      <c r="M13" s="21"/>
      <c r="N13" s="21"/>
      <c r="O13" s="23" t="s">
        <v>74</v>
      </c>
    </row>
    <row r="14" spans="1:15" x14ac:dyDescent="0.2">
      <c r="A14" s="79" t="s">
        <v>88</v>
      </c>
      <c r="B14" s="82" t="str">
        <f>+'Lane 1'!$B14</f>
        <v>TJ - preset 15 - amplitude 1</v>
      </c>
      <c r="C14" s="74" t="str">
        <f>+'Lane 1'!C14</f>
        <v>Used to calc TJ-DDJ</v>
      </c>
      <c r="D14" s="83">
        <f t="shared" si="6"/>
        <v>0</v>
      </c>
      <c r="E14" s="21" t="s">
        <v>119</v>
      </c>
      <c r="F14" s="50" t="s">
        <v>5</v>
      </c>
      <c r="G14" s="85"/>
      <c r="H14" s="20"/>
      <c r="I14" s="82" t="str">
        <f t="shared" si="1"/>
        <v>TJ - preset 15 - amplitude 1</v>
      </c>
      <c r="J14" s="20">
        <v>1000</v>
      </c>
      <c r="K14" s="84">
        <f t="shared" si="9"/>
        <v>0</v>
      </c>
      <c r="L14" s="21"/>
      <c r="M14" s="21"/>
      <c r="N14" s="21"/>
      <c r="O14" s="23" t="s">
        <v>74</v>
      </c>
    </row>
    <row r="15" spans="1:15" x14ac:dyDescent="0.2">
      <c r="A15" s="79" t="s">
        <v>88</v>
      </c>
      <c r="B15" s="82" t="str">
        <f>+'Lane 1'!$B15</f>
        <v>DDJ - preset 0</v>
      </c>
      <c r="C15" s="74" t="str">
        <f>+'Lane 1'!C15</f>
        <v>Used to calc TJ-DDJ</v>
      </c>
      <c r="D15" s="83">
        <f t="shared" si="6"/>
        <v>0</v>
      </c>
      <c r="E15" s="21" t="s">
        <v>119</v>
      </c>
      <c r="F15" s="50" t="s">
        <v>5</v>
      </c>
      <c r="G15" s="85"/>
      <c r="H15" s="20"/>
      <c r="I15" s="82" t="str">
        <f t="shared" si="1"/>
        <v>DDJ - preset 0</v>
      </c>
      <c r="J15" s="20">
        <v>1000</v>
      </c>
      <c r="K15" s="84">
        <f>+G15/J15</f>
        <v>0</v>
      </c>
      <c r="L15" s="21"/>
      <c r="M15" s="21"/>
      <c r="N15" s="21"/>
      <c r="O15" s="23" t="s">
        <v>74</v>
      </c>
    </row>
    <row r="16" spans="1:15" x14ac:dyDescent="0.2">
      <c r="A16" s="79" t="s">
        <v>88</v>
      </c>
      <c r="B16" s="82" t="str">
        <f>+'Lane 1'!$B16</f>
        <v>DDJ - preset 15 - amplitude 0</v>
      </c>
      <c r="C16" s="74" t="str">
        <f>+'Lane 1'!C16</f>
        <v>Used to calc TJ-DDJ</v>
      </c>
      <c r="D16" s="83">
        <f t="shared" si="6"/>
        <v>0</v>
      </c>
      <c r="E16" s="21" t="s">
        <v>119</v>
      </c>
      <c r="F16" s="50" t="s">
        <v>5</v>
      </c>
      <c r="G16" s="85"/>
      <c r="H16" s="20"/>
      <c r="I16" s="82" t="str">
        <f t="shared" si="1"/>
        <v>DDJ - preset 15 - amplitude 0</v>
      </c>
      <c r="J16" s="20">
        <v>1000</v>
      </c>
      <c r="K16" s="84">
        <f t="shared" ref="K16:K17" si="10">+G16/J16</f>
        <v>0</v>
      </c>
      <c r="L16" s="21"/>
      <c r="M16" s="21"/>
      <c r="N16" s="21"/>
      <c r="O16" s="23" t="s">
        <v>74</v>
      </c>
    </row>
    <row r="17" spans="1:18" x14ac:dyDescent="0.2">
      <c r="A17" s="79" t="s">
        <v>88</v>
      </c>
      <c r="B17" s="82" t="str">
        <f>+'Lane 1'!$B17</f>
        <v>DDJ - preset 15 - amplitude 1</v>
      </c>
      <c r="C17" s="74" t="str">
        <f>+'Lane 1'!C17</f>
        <v>Used to calc TJ-DDJ</v>
      </c>
      <c r="D17" s="83">
        <f t="shared" si="6"/>
        <v>0</v>
      </c>
      <c r="E17" s="21" t="s">
        <v>119</v>
      </c>
      <c r="F17" s="50" t="s">
        <v>5</v>
      </c>
      <c r="G17" s="85"/>
      <c r="H17" s="20"/>
      <c r="I17" s="82" t="str">
        <f t="shared" si="1"/>
        <v>DDJ - preset 15 - amplitude 1</v>
      </c>
      <c r="J17" s="20">
        <v>1000</v>
      </c>
      <c r="K17" s="84">
        <f t="shared" si="10"/>
        <v>0</v>
      </c>
      <c r="L17" s="21"/>
      <c r="M17" s="21"/>
      <c r="N17" s="21"/>
      <c r="O17" s="23" t="s">
        <v>74</v>
      </c>
    </row>
    <row r="18" spans="1:18" x14ac:dyDescent="0.2">
      <c r="A18" s="79" t="s">
        <v>88</v>
      </c>
      <c r="B18" s="26" t="str">
        <f>+'Lane 1'!$B18</f>
        <v>TJ-DDJ - preset 0</v>
      </c>
      <c r="C18" s="74">
        <f>+'Lane 1'!C18</f>
        <v>0.25</v>
      </c>
      <c r="D18" s="83">
        <f>+K18</f>
        <v>0</v>
      </c>
      <c r="E18" s="21" t="s">
        <v>119</v>
      </c>
      <c r="F18" s="51" t="str">
        <f>IF(OR(G12="",D15=""),"Fail",IF(D18&lt;=C18,"Pass", "Fail"))</f>
        <v>Fail</v>
      </c>
      <c r="G18" s="20"/>
      <c r="H18" s="20"/>
      <c r="I18" s="26" t="str">
        <f t="shared" si="1"/>
        <v>TJ-DDJ - preset 0</v>
      </c>
      <c r="J18" s="20"/>
      <c r="K18" s="83">
        <f>+K12-K15</f>
        <v>0</v>
      </c>
      <c r="L18" s="21"/>
      <c r="M18" s="21"/>
      <c r="N18" s="21"/>
      <c r="O18" s="23" t="s">
        <v>74</v>
      </c>
    </row>
    <row r="19" spans="1:18" x14ac:dyDescent="0.2">
      <c r="A19" s="79" t="s">
        <v>88</v>
      </c>
      <c r="B19" s="26" t="str">
        <f>+'Lane 1'!$B19</f>
        <v>TJ-DDJ - preset 15 - amplitude 0</v>
      </c>
      <c r="C19" s="74">
        <f>+'Lane 1'!C19</f>
        <v>0.25</v>
      </c>
      <c r="D19" s="83">
        <f t="shared" ref="D19:D20" si="11">+K19</f>
        <v>0</v>
      </c>
      <c r="E19" s="21" t="s">
        <v>119</v>
      </c>
      <c r="F19" s="51" t="str">
        <f t="shared" ref="F19:F20" si="12">IF(OR(G13="",D16=""),"Fail",IF(D19&lt;=C19,"Pass", "Fail"))</f>
        <v>Fail</v>
      </c>
      <c r="G19" s="20"/>
      <c r="H19" s="20"/>
      <c r="I19" s="26" t="str">
        <f t="shared" si="1"/>
        <v>TJ-DDJ - preset 15 - amplitude 0</v>
      </c>
      <c r="J19" s="20"/>
      <c r="K19" s="83">
        <f t="shared" ref="K19:K20" si="13">+K13-K16</f>
        <v>0</v>
      </c>
      <c r="L19" s="21"/>
      <c r="M19" s="21"/>
      <c r="N19" s="21"/>
      <c r="O19" s="23" t="s">
        <v>74</v>
      </c>
    </row>
    <row r="20" spans="1:18" x14ac:dyDescent="0.2">
      <c r="A20" s="79" t="s">
        <v>88</v>
      </c>
      <c r="B20" s="26" t="str">
        <f>+'Lane 1'!$B20</f>
        <v>TJ-DDJ - preset 15 - amplitude 1</v>
      </c>
      <c r="C20" s="74">
        <f>+'Lane 1'!C20</f>
        <v>0.25</v>
      </c>
      <c r="D20" s="83">
        <f t="shared" si="11"/>
        <v>0</v>
      </c>
      <c r="E20" s="21" t="s">
        <v>119</v>
      </c>
      <c r="F20" s="51" t="str">
        <f t="shared" si="12"/>
        <v>Fail</v>
      </c>
      <c r="G20" s="20"/>
      <c r="H20" s="20"/>
      <c r="I20" s="26" t="str">
        <f t="shared" si="1"/>
        <v>TJ-DDJ - preset 15 - amplitude 1</v>
      </c>
      <c r="J20" s="20"/>
      <c r="K20" s="83">
        <f t="shared" si="13"/>
        <v>0</v>
      </c>
      <c r="L20" s="21"/>
      <c r="M20" s="21"/>
      <c r="N20" s="21"/>
      <c r="O20" s="23" t="s">
        <v>74</v>
      </c>
    </row>
    <row r="21" spans="1:18" x14ac:dyDescent="0.2">
      <c r="A21" s="79" t="s">
        <v>88</v>
      </c>
      <c r="B21" s="26" t="str">
        <f>+'Lane 1'!$B21</f>
        <v>J2 - preset 0</v>
      </c>
      <c r="C21" s="74">
        <f>+'Lane 1'!C21</f>
        <v>0.19</v>
      </c>
      <c r="D21" s="83">
        <f>+K21</f>
        <v>0</v>
      </c>
      <c r="E21" s="21" t="s">
        <v>119</v>
      </c>
      <c r="F21" s="51" t="str">
        <f>IF(G21="","Fail",IF(D21&lt;=C21,"Pass", "Fail"))</f>
        <v>Fail</v>
      </c>
      <c r="G21" s="81"/>
      <c r="H21" s="20"/>
      <c r="I21" s="26" t="str">
        <f t="shared" si="1"/>
        <v>J2 - preset 0</v>
      </c>
      <c r="J21" s="20">
        <v>1000</v>
      </c>
      <c r="K21" s="84">
        <f>+G21/J21</f>
        <v>0</v>
      </c>
      <c r="L21" s="21"/>
      <c r="M21" s="21"/>
      <c r="N21" s="21"/>
      <c r="O21" s="23" t="s">
        <v>74</v>
      </c>
    </row>
    <row r="22" spans="1:18" x14ac:dyDescent="0.2">
      <c r="A22" s="79" t="s">
        <v>88</v>
      </c>
      <c r="B22" s="26" t="str">
        <f>+'Lane 1'!$B22</f>
        <v>J9 - preset 0</v>
      </c>
      <c r="C22" s="74">
        <f>+'Lane 1'!C22</f>
        <v>0.33</v>
      </c>
      <c r="D22" s="83">
        <f t="shared" ref="D22:D23" si="14">+K22</f>
        <v>0</v>
      </c>
      <c r="E22" s="21" t="s">
        <v>119</v>
      </c>
      <c r="F22" s="51" t="str">
        <f>IF(G22="","Fail",IF(D22&lt;=C22,"Pass", "Fail"))</f>
        <v>Fail</v>
      </c>
      <c r="G22" s="81"/>
      <c r="H22" s="20"/>
      <c r="I22" s="26" t="str">
        <f t="shared" si="1"/>
        <v>J9 - preset 0</v>
      </c>
      <c r="J22" s="20">
        <v>1000</v>
      </c>
      <c r="K22" s="84">
        <f>+G22/J22</f>
        <v>0</v>
      </c>
      <c r="L22" s="21"/>
      <c r="M22" s="21"/>
      <c r="N22" s="21"/>
      <c r="O22" s="23" t="s">
        <v>74</v>
      </c>
    </row>
    <row r="23" spans="1:18" x14ac:dyDescent="0.2">
      <c r="A23" s="79" t="s">
        <v>88</v>
      </c>
      <c r="B23" s="26" t="str">
        <f>+'Lane 1'!$B23</f>
        <v>DDPWS</v>
      </c>
      <c r="C23" s="74">
        <f>+'Lane 1'!C23</f>
        <v>0.11</v>
      </c>
      <c r="D23" s="83">
        <f t="shared" si="14"/>
        <v>0</v>
      </c>
      <c r="E23" s="13" t="s">
        <v>119</v>
      </c>
      <c r="F23" s="51" t="str">
        <f>IF(G23="","Fail",IF(D23&lt;=C23,"Pass", "Fail"))</f>
        <v>Fail</v>
      </c>
      <c r="G23" s="85"/>
      <c r="H23" s="20"/>
      <c r="I23" s="26" t="str">
        <f t="shared" si="1"/>
        <v>DDPWS</v>
      </c>
      <c r="J23" s="20">
        <v>1000</v>
      </c>
      <c r="K23" s="84">
        <f>+G23/J23</f>
        <v>0</v>
      </c>
      <c r="L23" s="21"/>
      <c r="M23" s="21"/>
      <c r="N23" s="21"/>
      <c r="O23" s="23" t="s">
        <v>154</v>
      </c>
    </row>
    <row r="24" spans="1:18" x14ac:dyDescent="0.2">
      <c r="A24" s="79" t="s">
        <v>88</v>
      </c>
      <c r="B24" s="53" t="str">
        <f>+'Lane 1'!$B24</f>
        <v>DDPWS</v>
      </c>
      <c r="C24" s="74">
        <f>+'Lane 1'!C24</f>
        <v>0.11</v>
      </c>
      <c r="D24" s="86">
        <f>+B79</f>
        <v>1</v>
      </c>
      <c r="E24" s="13" t="s">
        <v>119</v>
      </c>
      <c r="F24" s="51" t="str">
        <f>IF(G24="","Fail",IF(D24&lt;=C24,"Pass", "Fail"))</f>
        <v>Fail</v>
      </c>
      <c r="G24" s="85"/>
      <c r="H24" s="20"/>
      <c r="I24" s="53" t="str">
        <f t="shared" si="1"/>
        <v>DDPWS</v>
      </c>
      <c r="J24" s="20"/>
      <c r="K24" s="23"/>
      <c r="L24" s="21"/>
      <c r="M24" s="21"/>
      <c r="N24" s="21"/>
      <c r="O24" s="23" t="s">
        <v>153</v>
      </c>
      <c r="Q24" s="23" t="str">
        <f t="array" ref="Q24:R34">'Lane 1'!Q24:R34</f>
        <v>Testing Order</v>
      </c>
      <c r="R24" s="23">
        <v>0</v>
      </c>
    </row>
    <row r="25" spans="1:18" x14ac:dyDescent="0.2">
      <c r="A25" s="79" t="s">
        <v>88</v>
      </c>
      <c r="B25" s="26" t="str">
        <f>+'Lane 1'!$B25</f>
        <v>X1, X2, Y1, Y2</v>
      </c>
      <c r="C25" s="44">
        <f>+'Lane 1'!C25</f>
        <v>5.0000000000000002E-5</v>
      </c>
      <c r="D25" s="83">
        <f>+L25/(M25*N25)</f>
        <v>0</v>
      </c>
      <c r="E25" s="21" t="s">
        <v>119</v>
      </c>
      <c r="F25" s="50" t="str">
        <f>IF(L25="","NT",IF(D25&lt;=C25,"Pass", "Fail"))</f>
        <v>NT</v>
      </c>
      <c r="G25" s="195" t="s">
        <v>181</v>
      </c>
      <c r="H25" s="20"/>
      <c r="I25" s="26" t="str">
        <f t="shared" si="1"/>
        <v>X1, X2, Y1, Y2</v>
      </c>
      <c r="J25" s="20"/>
      <c r="L25" s="81"/>
      <c r="M25" s="81">
        <v>110</v>
      </c>
      <c r="N25" s="81">
        <v>16200</v>
      </c>
      <c r="O25" s="23" t="s">
        <v>152</v>
      </c>
      <c r="Q25" s="23" t="str">
        <v>Preset 0</v>
      </c>
      <c r="R25" s="23" t="str">
        <v>Agilent and then BERTScope</v>
      </c>
    </row>
    <row r="26" spans="1:18" x14ac:dyDescent="0.2">
      <c r="A26" s="79" t="s">
        <v>88</v>
      </c>
      <c r="B26" s="53" t="str">
        <f>+'Lane 1'!$B26</f>
        <v>X1, X2, Y1, Y2</v>
      </c>
      <c r="C26" s="44">
        <f>+'Lane 1'!C26</f>
        <v>5.0000000000000002E-5</v>
      </c>
      <c r="D26" s="83">
        <f>+L26/(M26*N26)</f>
        <v>0</v>
      </c>
      <c r="E26" s="21" t="s">
        <v>119</v>
      </c>
      <c r="F26" s="50" t="str">
        <f>IF(L26="","Fail",IF(D26&lt;=C26,"Pass", "Fail"))</f>
        <v>Fail</v>
      </c>
      <c r="G26" s="196"/>
      <c r="H26" s="20"/>
      <c r="I26" s="53" t="str">
        <f t="shared" si="1"/>
        <v>X1, X2, Y1, Y2</v>
      </c>
      <c r="J26" s="20"/>
      <c r="K26" s="23"/>
      <c r="L26" s="81"/>
      <c r="M26" s="81">
        <v>110</v>
      </c>
      <c r="N26" s="81">
        <v>16200</v>
      </c>
      <c r="O26" s="23" t="s">
        <v>151</v>
      </c>
      <c r="Q26" s="23" t="str">
        <v>Eye Mask</v>
      </c>
      <c r="R26" s="23" t="str">
        <v>Make sure settings are correct.</v>
      </c>
    </row>
    <row r="27" spans="1:18" x14ac:dyDescent="0.2">
      <c r="A27" s="79" t="s">
        <v>88</v>
      </c>
      <c r="B27" s="53" t="str">
        <f>+'Lane 1'!$B27</f>
        <v>Tr</v>
      </c>
      <c r="C27" s="24">
        <f>+'Lane 1'!C27</f>
        <v>24</v>
      </c>
      <c r="D27" s="83">
        <f>+G27</f>
        <v>0</v>
      </c>
      <c r="E27" s="21" t="s">
        <v>126</v>
      </c>
      <c r="F27" s="50" t="str">
        <f>IF(D27="","Fail",IF(D27&gt;=C27,"Pass","Fail"))</f>
        <v>Fail</v>
      </c>
      <c r="G27" s="81"/>
      <c r="H27" s="20"/>
      <c r="I27" s="53" t="str">
        <f t="shared" si="1"/>
        <v>Tr</v>
      </c>
      <c r="J27" s="20"/>
      <c r="K27" s="23"/>
      <c r="L27" s="21"/>
      <c r="M27" s="21"/>
      <c r="N27" s="21"/>
      <c r="O27" s="23"/>
      <c r="Q27" s="23" t="str">
        <v>Tr</v>
      </c>
      <c r="R27" s="23" t="str">
        <v>PRBS11</v>
      </c>
    </row>
    <row r="28" spans="1:18" x14ac:dyDescent="0.2">
      <c r="A28" s="79" t="s">
        <v>88</v>
      </c>
      <c r="B28" s="53" t="str">
        <f>+'Lane 1'!$B28</f>
        <v>Tf</v>
      </c>
      <c r="C28" s="24">
        <f>+'Lane 1'!C28</f>
        <v>24</v>
      </c>
      <c r="D28" s="83">
        <f>+G28</f>
        <v>0</v>
      </c>
      <c r="E28" s="87" t="s">
        <v>126</v>
      </c>
      <c r="F28" s="50" t="str">
        <f>IF(D28="","Fail",IF(D28&gt;=C28,"Pass","Fail"))</f>
        <v>Fail</v>
      </c>
      <c r="G28" s="81"/>
      <c r="H28" s="20"/>
      <c r="I28" s="53" t="str">
        <f t="shared" si="1"/>
        <v>Tf</v>
      </c>
      <c r="J28" s="20"/>
      <c r="K28" s="23"/>
      <c r="L28" s="21"/>
      <c r="M28" s="21"/>
      <c r="N28" s="21"/>
      <c r="O28" s="23"/>
      <c r="Q28" s="23" t="str">
        <v>tf</v>
      </c>
      <c r="R28" s="23" t="str">
        <v>PRBS11</v>
      </c>
    </row>
    <row r="29" spans="1:18" x14ac:dyDescent="0.2">
      <c r="A29" s="88" t="s">
        <v>89</v>
      </c>
      <c r="B29" s="53" t="str">
        <f>+'Lane 1'!$B29</f>
        <v>Vcm preset 0</v>
      </c>
      <c r="C29" s="24">
        <f>+'Lane 1'!C29</f>
        <v>20</v>
      </c>
      <c r="D29" s="83">
        <f t="shared" ref="D29:D33" si="15">+K29</f>
        <v>0</v>
      </c>
      <c r="E29" s="21" t="s">
        <v>120</v>
      </c>
      <c r="F29" s="50" t="str">
        <f>IF(G29="","Fail",IF(D29&lt;=C29,"Pass", "Fail"))</f>
        <v>Fail</v>
      </c>
      <c r="G29" s="85"/>
      <c r="H29" s="20"/>
      <c r="I29" s="53" t="str">
        <f t="shared" si="1"/>
        <v>Vcm preset 0</v>
      </c>
      <c r="J29" s="20">
        <v>2</v>
      </c>
      <c r="K29" s="84">
        <f>+G29/J29</f>
        <v>0</v>
      </c>
      <c r="L29" s="21"/>
      <c r="M29" s="21"/>
      <c r="N29" s="21"/>
      <c r="O29" s="14" t="s">
        <v>66</v>
      </c>
      <c r="Q29" s="23" t="str">
        <v>vcm</v>
      </c>
      <c r="R29" s="23" t="str">
        <v>Take Max value</v>
      </c>
    </row>
    <row r="30" spans="1:18" x14ac:dyDescent="0.2">
      <c r="A30" s="88" t="s">
        <v>89</v>
      </c>
      <c r="B30" s="53" t="str">
        <f>+'Lane 1'!$B30</f>
        <v>Vcm preset 2 - amplitude 0</v>
      </c>
      <c r="C30" s="24">
        <f>+'Lane 1'!C30</f>
        <v>30</v>
      </c>
      <c r="D30" s="83">
        <f t="shared" si="15"/>
        <v>0</v>
      </c>
      <c r="E30" s="21" t="s">
        <v>120</v>
      </c>
      <c r="F30" s="50" t="str">
        <f>IF(G30="","Fail",IF(D30&lt;=C30,"Pass", "Fail"))</f>
        <v>Fail</v>
      </c>
      <c r="G30" s="85"/>
      <c r="H30" s="20"/>
      <c r="I30" s="53" t="str">
        <f t="shared" si="1"/>
        <v>Vcm preset 2 - amplitude 0</v>
      </c>
      <c r="J30" s="20">
        <v>2</v>
      </c>
      <c r="K30" s="84">
        <f>+G30/J30</f>
        <v>0</v>
      </c>
      <c r="L30" s="21"/>
      <c r="M30" s="21"/>
      <c r="N30" s="21"/>
      <c r="O30" s="14" t="s">
        <v>66</v>
      </c>
      <c r="Q30" s="23" t="str">
        <v>vdiffp</v>
      </c>
      <c r="R30" s="23" t="str">
        <v>Take Max value</v>
      </c>
    </row>
    <row r="31" spans="1:18" x14ac:dyDescent="0.2">
      <c r="A31" s="88" t="s">
        <v>89</v>
      </c>
      <c r="B31" s="53" t="str">
        <f>+'Lane 1'!$B31</f>
        <v>Vcm preset 2 - amplitude 1</v>
      </c>
      <c r="C31" s="24">
        <f>+'Lane 1'!C31</f>
        <v>30</v>
      </c>
      <c r="D31" s="83">
        <f t="shared" si="15"/>
        <v>0</v>
      </c>
      <c r="E31" s="21" t="s">
        <v>120</v>
      </c>
      <c r="F31" s="50" t="str">
        <f t="shared" ref="F31:F33" si="16">IF(G31="","Fail",IF(D31&lt;=C31,"Pass", "Fail"))</f>
        <v>Fail</v>
      </c>
      <c r="G31" s="85"/>
      <c r="H31" s="20"/>
      <c r="I31" s="53" t="str">
        <f t="shared" si="1"/>
        <v>Vcm preset 2 - amplitude 1</v>
      </c>
      <c r="J31" s="20">
        <v>2</v>
      </c>
      <c r="K31" s="84">
        <f t="shared" ref="K31:K33" si="17">+G31/J31</f>
        <v>0</v>
      </c>
      <c r="L31" s="21"/>
      <c r="M31" s="21"/>
      <c r="N31" s="21"/>
      <c r="O31" s="14" t="s">
        <v>66</v>
      </c>
      <c r="Q31" s="23" t="str">
        <v>DDPWs</v>
      </c>
      <c r="R31" s="23" t="str">
        <v>See calculations in B71:76</v>
      </c>
    </row>
    <row r="32" spans="1:18" x14ac:dyDescent="0.2">
      <c r="A32" s="88" t="s">
        <v>89</v>
      </c>
      <c r="B32" s="53" t="str">
        <f>+'Lane 1'!$B32</f>
        <v>Vcm preset 15 - amplitude 0</v>
      </c>
      <c r="C32" s="24">
        <f>+'Lane 1'!C32</f>
        <v>30</v>
      </c>
      <c r="D32" s="83">
        <f t="shared" si="15"/>
        <v>0</v>
      </c>
      <c r="E32" s="21" t="s">
        <v>120</v>
      </c>
      <c r="F32" s="50" t="str">
        <f t="shared" si="16"/>
        <v>Fail</v>
      </c>
      <c r="G32" s="85"/>
      <c r="H32" s="20"/>
      <c r="I32" s="53" t="str">
        <f t="shared" si="1"/>
        <v>Vcm preset 15 - amplitude 0</v>
      </c>
      <c r="J32" s="20">
        <v>2</v>
      </c>
      <c r="K32" s="84">
        <f t="shared" si="17"/>
        <v>0</v>
      </c>
      <c r="L32" s="21"/>
      <c r="M32" s="21"/>
      <c r="N32" s="21"/>
      <c r="O32" s="14" t="s">
        <v>66</v>
      </c>
      <c r="Q32" s="23" t="str">
        <v>Preset 1</v>
      </c>
      <c r="R32" s="23">
        <v>0</v>
      </c>
    </row>
    <row r="33" spans="1:18" x14ac:dyDescent="0.2">
      <c r="A33" s="88" t="s">
        <v>89</v>
      </c>
      <c r="B33" s="53" t="str">
        <f>+'Lane 1'!$B33</f>
        <v>Vcm preset 15 - amplitude 1</v>
      </c>
      <c r="C33" s="24">
        <f>+'Lane 1'!C33</f>
        <v>30</v>
      </c>
      <c r="D33" s="83">
        <f t="shared" si="15"/>
        <v>0</v>
      </c>
      <c r="E33" s="21" t="s">
        <v>120</v>
      </c>
      <c r="F33" s="50" t="str">
        <f t="shared" si="16"/>
        <v>Fail</v>
      </c>
      <c r="G33" s="85"/>
      <c r="H33" s="20"/>
      <c r="I33" s="53" t="str">
        <f t="shared" si="1"/>
        <v>Vcm preset 15 - amplitude 1</v>
      </c>
      <c r="J33" s="20">
        <v>2</v>
      </c>
      <c r="K33" s="84">
        <f t="shared" si="17"/>
        <v>0</v>
      </c>
      <c r="L33" s="21"/>
      <c r="M33" s="21"/>
      <c r="N33" s="21"/>
      <c r="O33" s="14" t="s">
        <v>66</v>
      </c>
      <c r="Q33" s="23" t="str">
        <v>Preset 2</v>
      </c>
      <c r="R33" s="23">
        <v>0</v>
      </c>
    </row>
    <row r="34" spans="1:18" x14ac:dyDescent="0.2">
      <c r="A34" s="79" t="s">
        <v>88</v>
      </c>
      <c r="B34" s="53" t="str">
        <f>+'Lane 1'!$B34</f>
        <v>Vdiffpp</v>
      </c>
      <c r="C34" s="24">
        <f>+'Lane 1'!C34</f>
        <v>30</v>
      </c>
      <c r="D34" s="83">
        <f>+G34</f>
        <v>0</v>
      </c>
      <c r="E34" s="24" t="s">
        <v>127</v>
      </c>
      <c r="F34" s="50" t="str">
        <f>IF(G34="","Fail",IF(D34&lt;=C34,"Pass", "Fail"))</f>
        <v>Fail</v>
      </c>
      <c r="G34" s="85"/>
      <c r="H34" s="20"/>
      <c r="I34" s="53" t="str">
        <f t="shared" si="1"/>
        <v>Vdiffpp</v>
      </c>
      <c r="J34" s="20"/>
      <c r="K34" s="23"/>
      <c r="L34" s="23"/>
      <c r="M34" s="23"/>
      <c r="N34" s="23"/>
      <c r="O34" s="23"/>
      <c r="Q34" s="23" t="str">
        <v>Preset 15</v>
      </c>
      <c r="R34" s="23">
        <v>0</v>
      </c>
    </row>
    <row r="35" spans="1:18" x14ac:dyDescent="0.2">
      <c r="A35" s="88" t="s">
        <v>89</v>
      </c>
      <c r="B35" s="53" t="str">
        <f>+'Lane 1'!$B35</f>
        <v>e preset 1 - amplitude 0</v>
      </c>
      <c r="C35" s="24">
        <f>+'Lane 1'!C35</f>
        <v>3.6999999999999998E-2</v>
      </c>
      <c r="D35" s="83">
        <f t="shared" ref="D35:D36" si="18">+G35</f>
        <v>0</v>
      </c>
      <c r="E35" s="24"/>
      <c r="F35" s="50" t="str">
        <f t="shared" ref="F35:F36" si="19">IF(G35="","Fail",IF(D35&lt;=C35,"Pass", "Fail"))</f>
        <v>Fail</v>
      </c>
      <c r="G35" s="85"/>
      <c r="H35" s="20"/>
      <c r="I35" s="53" t="str">
        <f t="shared" si="1"/>
        <v>e preset 1 - amplitude 0</v>
      </c>
      <c r="J35" s="20"/>
      <c r="K35" s="23"/>
      <c r="L35" s="23"/>
      <c r="M35" s="23"/>
      <c r="N35" s="23"/>
      <c r="O35" s="89"/>
    </row>
    <row r="36" spans="1:18" x14ac:dyDescent="0.2">
      <c r="A36" s="88" t="s">
        <v>89</v>
      </c>
      <c r="B36" s="53" t="str">
        <f>+'Lane 1'!$B36</f>
        <v>e preset 1 - amplitude 1</v>
      </c>
      <c r="C36" s="24">
        <f>+'Lane 1'!C36</f>
        <v>3.6999999999999998E-2</v>
      </c>
      <c r="D36" s="83">
        <f t="shared" si="18"/>
        <v>0</v>
      </c>
      <c r="E36" s="24"/>
      <c r="F36" s="50" t="str">
        <f t="shared" si="19"/>
        <v>Fail</v>
      </c>
      <c r="G36" s="85"/>
      <c r="H36" s="20"/>
      <c r="I36" s="53" t="str">
        <f t="shared" si="1"/>
        <v>e preset 1 - amplitude 1</v>
      </c>
      <c r="J36" s="20"/>
      <c r="K36" s="23"/>
      <c r="L36" s="23"/>
      <c r="M36" s="23"/>
      <c r="N36" s="23"/>
      <c r="O36" s="89" t="s">
        <v>163</v>
      </c>
    </row>
    <row r="37" spans="1:18" x14ac:dyDescent="0.2">
      <c r="A37" s="88" t="s">
        <v>89</v>
      </c>
      <c r="B37" s="53" t="str">
        <f>+'Lane 1'!$B37</f>
        <v>e preset 2 - amplitude 0</v>
      </c>
      <c r="C37" s="24">
        <f>+'Lane 1'!C37</f>
        <v>3.6999999999999998E-2</v>
      </c>
      <c r="D37" s="83">
        <f>+G37</f>
        <v>0</v>
      </c>
      <c r="E37" s="24"/>
      <c r="F37" s="50" t="str">
        <f>IF(G37="","Fail",IF(D37&lt;=C37,"Pass", "Fail"))</f>
        <v>Fail</v>
      </c>
      <c r="G37" s="85"/>
      <c r="H37" s="20"/>
      <c r="I37" s="53" t="str">
        <f t="shared" si="1"/>
        <v>e preset 2 - amplitude 0</v>
      </c>
      <c r="J37" s="20"/>
      <c r="K37" s="23"/>
      <c r="L37" s="23"/>
      <c r="M37" s="23"/>
      <c r="N37" s="23"/>
      <c r="O37" s="89"/>
    </row>
    <row r="38" spans="1:18" x14ac:dyDescent="0.2">
      <c r="A38" s="88" t="s">
        <v>89</v>
      </c>
      <c r="B38" s="53" t="str">
        <f>+'Lane 1'!$B38</f>
        <v>e preset 2 - amplitude 1</v>
      </c>
      <c r="C38" s="24">
        <f>+'Lane 1'!C38</f>
        <v>3.6999999999999998E-2</v>
      </c>
      <c r="D38" s="83">
        <f t="shared" ref="D38:D40" si="20">+G38</f>
        <v>0</v>
      </c>
      <c r="E38" s="24"/>
      <c r="F38" s="50" t="str">
        <f t="shared" ref="F38:F40" si="21">IF(G38="","Fail",IF(D38&lt;=C38,"Pass", "Fail"))</f>
        <v>Fail</v>
      </c>
      <c r="G38" s="85"/>
      <c r="H38" s="20"/>
      <c r="I38" s="53" t="str">
        <f t="shared" si="1"/>
        <v>e preset 2 - amplitude 1</v>
      </c>
      <c r="J38" s="20"/>
      <c r="K38" s="23"/>
      <c r="L38" s="23"/>
      <c r="M38" s="23"/>
      <c r="N38" s="23"/>
      <c r="O38" s="89"/>
    </row>
    <row r="39" spans="1:18" x14ac:dyDescent="0.2">
      <c r="A39" s="88" t="s">
        <v>89</v>
      </c>
      <c r="B39" s="53" t="str">
        <f>+'Lane 1'!$B39</f>
        <v>e preset 15 - amplitude 0</v>
      </c>
      <c r="C39" s="24">
        <f>+'Lane 1'!C39</f>
        <v>3.6999999999999998E-2</v>
      </c>
      <c r="D39" s="83">
        <f t="shared" si="20"/>
        <v>0</v>
      </c>
      <c r="E39" s="24"/>
      <c r="F39" s="50" t="str">
        <f t="shared" si="21"/>
        <v>Fail</v>
      </c>
      <c r="G39" s="85"/>
      <c r="H39" s="20"/>
      <c r="I39" s="53" t="str">
        <f t="shared" si="1"/>
        <v>e preset 15 - amplitude 0</v>
      </c>
      <c r="J39" s="20"/>
      <c r="K39" s="23"/>
      <c r="L39" s="23"/>
      <c r="M39" s="23"/>
      <c r="N39" s="23"/>
      <c r="O39" s="89"/>
    </row>
    <row r="40" spans="1:18" x14ac:dyDescent="0.2">
      <c r="A40" s="88" t="s">
        <v>89</v>
      </c>
      <c r="B40" s="53" t="str">
        <f>+'Lane 1'!$B40</f>
        <v>e preset 15 - amplitude 1</v>
      </c>
      <c r="C40" s="24">
        <f>+'Lane 1'!C40</f>
        <v>3.6999999999999998E-2</v>
      </c>
      <c r="D40" s="83">
        <f t="shared" si="20"/>
        <v>0</v>
      </c>
      <c r="E40" s="24"/>
      <c r="F40" s="50" t="str">
        <f t="shared" si="21"/>
        <v>Fail</v>
      </c>
      <c r="G40" s="85"/>
      <c r="H40" s="20"/>
      <c r="I40" s="53" t="str">
        <f t="shared" si="1"/>
        <v>e preset 15 - amplitude 1</v>
      </c>
      <c r="J40" s="20"/>
      <c r="K40" s="23"/>
      <c r="L40" s="23"/>
      <c r="M40" s="23"/>
      <c r="N40" s="23"/>
      <c r="O40" s="90"/>
    </row>
    <row r="41" spans="1:18" x14ac:dyDescent="0.2">
      <c r="A41" s="88" t="s">
        <v>89</v>
      </c>
      <c r="B41" s="53" t="str">
        <f>+'Lane 1'!$B41</f>
        <v>C-1 preset 2 - Amp 0</v>
      </c>
      <c r="C41" s="24">
        <f>+'Lane 1'!C41</f>
        <v>0</v>
      </c>
      <c r="D41" s="83">
        <f>+G41</f>
        <v>0</v>
      </c>
      <c r="E41" s="24"/>
      <c r="F41" s="50" t="str">
        <f t="shared" ref="F41:F52" si="22">IF(G41="","Fail",IF(OR(AND(C41-0.015&lt;=D41,D41&lt;=C41+0.015),AND(C41-ABS((C41*J41))&lt;=D41,D41&lt;=C41+ABS((C41*J41)))),"Pass", "Fail"))</f>
        <v>Fail</v>
      </c>
      <c r="G41" s="91"/>
      <c r="H41" s="20"/>
      <c r="I41" s="53" t="str">
        <f t="shared" si="1"/>
        <v>C-1 preset 2 - Amp 0</v>
      </c>
      <c r="J41" s="20">
        <v>7.4999999999999997E-2</v>
      </c>
      <c r="K41" s="23"/>
      <c r="L41" s="23"/>
      <c r="M41" s="23"/>
      <c r="N41" s="23"/>
      <c r="O41" s="179" t="s">
        <v>158</v>
      </c>
    </row>
    <row r="42" spans="1:18" x14ac:dyDescent="0.2">
      <c r="A42" s="88" t="s">
        <v>89</v>
      </c>
      <c r="B42" s="53" t="str">
        <f>+'Lane 1'!$B42</f>
        <v>C-1 preset 2 - Amp 1</v>
      </c>
      <c r="C42" s="24">
        <f>+'Lane 1'!C42</f>
        <v>0</v>
      </c>
      <c r="D42" s="83">
        <f t="shared" ref="D42:D56" si="23">+G42</f>
        <v>0</v>
      </c>
      <c r="E42" s="24"/>
      <c r="F42" s="50" t="str">
        <f t="shared" si="22"/>
        <v>Fail</v>
      </c>
      <c r="G42" s="91"/>
      <c r="H42" s="20"/>
      <c r="I42" s="53" t="str">
        <f t="shared" si="1"/>
        <v>C-1 preset 2 - Amp 1</v>
      </c>
      <c r="J42" s="20">
        <v>7.4999999999999997E-2</v>
      </c>
      <c r="K42" s="23"/>
      <c r="L42" s="23"/>
      <c r="M42" s="23"/>
      <c r="N42" s="23"/>
      <c r="O42" s="197"/>
    </row>
    <row r="43" spans="1:18" x14ac:dyDescent="0.2">
      <c r="A43" s="88" t="s">
        <v>89</v>
      </c>
      <c r="B43" s="53" t="str">
        <f>+'Lane 1'!$B43</f>
        <v>C-1 preset 15 - Amp 0</v>
      </c>
      <c r="C43" s="24">
        <f>+'Lane 1'!C43</f>
        <v>-0.08</v>
      </c>
      <c r="D43" s="83">
        <f t="shared" si="23"/>
        <v>0</v>
      </c>
      <c r="E43" s="24"/>
      <c r="F43" s="50" t="str">
        <f t="shared" si="22"/>
        <v>Fail</v>
      </c>
      <c r="G43" s="85"/>
      <c r="H43" s="20"/>
      <c r="I43" s="53" t="str">
        <f t="shared" si="1"/>
        <v>C-1 preset 15 - Amp 0</v>
      </c>
      <c r="J43" s="20">
        <v>7.4999999999999997E-2</v>
      </c>
      <c r="K43" s="23"/>
      <c r="L43" s="23"/>
      <c r="M43" s="23"/>
      <c r="N43" s="23"/>
      <c r="O43" s="197"/>
    </row>
    <row r="44" spans="1:18" x14ac:dyDescent="0.2">
      <c r="A44" s="88" t="s">
        <v>89</v>
      </c>
      <c r="B44" s="53" t="str">
        <f>+'Lane 1'!$B44</f>
        <v>C-1 preset 15 - Amp 1</v>
      </c>
      <c r="C44" s="24">
        <f>+'Lane 1'!C44</f>
        <v>-0.08</v>
      </c>
      <c r="D44" s="83">
        <f t="shared" si="23"/>
        <v>0</v>
      </c>
      <c r="E44" s="24"/>
      <c r="F44" s="50" t="str">
        <f t="shared" si="22"/>
        <v>Fail</v>
      </c>
      <c r="G44" s="85"/>
      <c r="H44" s="20"/>
      <c r="I44" s="53" t="str">
        <f t="shared" si="1"/>
        <v>C-1 preset 15 - Amp 1</v>
      </c>
      <c r="J44" s="20">
        <v>7.4999999999999997E-2</v>
      </c>
      <c r="K44" s="23"/>
      <c r="L44" s="23"/>
      <c r="M44" s="23"/>
      <c r="N44" s="23"/>
      <c r="O44" s="197"/>
    </row>
    <row r="45" spans="1:18" x14ac:dyDescent="0.2">
      <c r="A45" s="88" t="s">
        <v>89</v>
      </c>
      <c r="B45" s="53" t="str">
        <f>+'Lane 1'!$B45</f>
        <v>C0 preset 2 - Amp 0</v>
      </c>
      <c r="C45" s="24">
        <f>+'Lane 1'!C45</f>
        <v>0.9</v>
      </c>
      <c r="D45" s="83">
        <f t="shared" si="23"/>
        <v>0</v>
      </c>
      <c r="E45" s="24"/>
      <c r="F45" s="50" t="str">
        <f t="shared" si="22"/>
        <v>Fail</v>
      </c>
      <c r="G45" s="85"/>
      <c r="H45" s="20"/>
      <c r="I45" s="53" t="str">
        <f t="shared" si="1"/>
        <v>C0 preset 2 - Amp 0</v>
      </c>
      <c r="J45" s="20">
        <v>7.4999999999999997E-2</v>
      </c>
      <c r="K45" s="23"/>
      <c r="L45" s="23"/>
      <c r="M45" s="23"/>
      <c r="N45" s="23"/>
      <c r="O45" s="197"/>
    </row>
    <row r="46" spans="1:18" x14ac:dyDescent="0.2">
      <c r="A46" s="88" t="s">
        <v>89</v>
      </c>
      <c r="B46" s="53" t="str">
        <f>+'Lane 1'!$B46</f>
        <v>C0 preset 2 - Amp 1</v>
      </c>
      <c r="C46" s="24">
        <f>+'Lane 1'!C46</f>
        <v>0.9</v>
      </c>
      <c r="D46" s="83">
        <f t="shared" si="23"/>
        <v>0</v>
      </c>
      <c r="E46" s="24"/>
      <c r="F46" s="50" t="str">
        <f t="shared" si="22"/>
        <v>Fail</v>
      </c>
      <c r="G46" s="85"/>
      <c r="H46" s="20"/>
      <c r="I46" s="53" t="str">
        <f t="shared" si="1"/>
        <v>C0 preset 2 - Amp 1</v>
      </c>
      <c r="J46" s="20">
        <v>7.4999999999999997E-2</v>
      </c>
      <c r="K46" s="23"/>
      <c r="L46" s="23"/>
      <c r="M46" s="23"/>
      <c r="N46" s="23"/>
      <c r="O46" s="197"/>
    </row>
    <row r="47" spans="1:18" x14ac:dyDescent="0.2">
      <c r="A47" s="88" t="s">
        <v>89</v>
      </c>
      <c r="B47" s="53" t="str">
        <f>+'Lane 1'!$B47</f>
        <v>C0 preset 15 - Amp 0</v>
      </c>
      <c r="C47" s="24">
        <f>+'Lane 1'!C47</f>
        <v>0.56000000000000005</v>
      </c>
      <c r="D47" s="83">
        <f t="shared" si="23"/>
        <v>0</v>
      </c>
      <c r="E47" s="24"/>
      <c r="F47" s="50" t="str">
        <f t="shared" si="22"/>
        <v>Fail</v>
      </c>
      <c r="G47" s="85"/>
      <c r="H47" s="20"/>
      <c r="I47" s="53" t="str">
        <f t="shared" si="1"/>
        <v>C0 preset 15 - Amp 0</v>
      </c>
      <c r="J47" s="20">
        <v>7.4999999999999997E-2</v>
      </c>
      <c r="K47" s="23"/>
      <c r="L47" s="23"/>
      <c r="M47" s="23"/>
      <c r="N47" s="23"/>
      <c r="O47" s="197"/>
    </row>
    <row r="48" spans="1:18" x14ac:dyDescent="0.2">
      <c r="A48" s="88" t="s">
        <v>89</v>
      </c>
      <c r="B48" s="53" t="str">
        <f>+'Lane 1'!$B48</f>
        <v>C0 preset 15 - Amp 1</v>
      </c>
      <c r="C48" s="24">
        <f>+'Lane 1'!C48</f>
        <v>0.56000000000000005</v>
      </c>
      <c r="D48" s="83">
        <f t="shared" si="23"/>
        <v>0</v>
      </c>
      <c r="E48" s="24"/>
      <c r="F48" s="50" t="str">
        <f t="shared" si="22"/>
        <v>Fail</v>
      </c>
      <c r="G48" s="85"/>
      <c r="H48" s="20"/>
      <c r="I48" s="53" t="str">
        <f t="shared" si="1"/>
        <v>C0 preset 15 - Amp 1</v>
      </c>
      <c r="J48" s="20">
        <v>7.4999999999999997E-2</v>
      </c>
      <c r="K48" s="23"/>
      <c r="L48" s="23"/>
      <c r="M48" s="23"/>
      <c r="N48" s="23"/>
      <c r="O48" s="197"/>
    </row>
    <row r="49" spans="1:15" x14ac:dyDescent="0.2">
      <c r="A49" s="88" t="s">
        <v>89</v>
      </c>
      <c r="B49" s="53" t="str">
        <f>+'Lane 1'!$B49</f>
        <v>C+1 preset 2 - Amp 0</v>
      </c>
      <c r="C49" s="24">
        <f>+'Lane 1'!C49</f>
        <v>-0.1</v>
      </c>
      <c r="D49" s="83">
        <f t="shared" si="23"/>
        <v>0</v>
      </c>
      <c r="E49" s="24"/>
      <c r="F49" s="50" t="str">
        <f t="shared" si="22"/>
        <v>Fail</v>
      </c>
      <c r="G49" s="85"/>
      <c r="H49" s="20"/>
      <c r="I49" s="53" t="str">
        <f t="shared" si="1"/>
        <v>C+1 preset 2 - Amp 0</v>
      </c>
      <c r="J49" s="20">
        <v>7.4999999999999997E-2</v>
      </c>
      <c r="K49" s="23"/>
      <c r="L49" s="23"/>
      <c r="M49" s="23"/>
      <c r="N49" s="23"/>
      <c r="O49" s="197"/>
    </row>
    <row r="50" spans="1:15" x14ac:dyDescent="0.2">
      <c r="A50" s="88" t="s">
        <v>89</v>
      </c>
      <c r="B50" s="53" t="str">
        <f>+'Lane 1'!$B50</f>
        <v>C+1 preset 2 - Amp 1</v>
      </c>
      <c r="C50" s="24">
        <f>+'Lane 1'!C50</f>
        <v>-0.1</v>
      </c>
      <c r="D50" s="83">
        <f t="shared" si="23"/>
        <v>0</v>
      </c>
      <c r="E50" s="24"/>
      <c r="F50" s="50" t="str">
        <f t="shared" si="22"/>
        <v>Fail</v>
      </c>
      <c r="G50" s="85"/>
      <c r="H50" s="20"/>
      <c r="I50" s="53" t="str">
        <f t="shared" si="1"/>
        <v>C+1 preset 2 - Amp 1</v>
      </c>
      <c r="J50" s="20">
        <v>7.4999999999999997E-2</v>
      </c>
      <c r="K50" s="23"/>
      <c r="L50" s="23"/>
      <c r="M50" s="23"/>
      <c r="N50" s="23"/>
      <c r="O50" s="197"/>
    </row>
    <row r="51" spans="1:15" x14ac:dyDescent="0.2">
      <c r="A51" s="88" t="s">
        <v>89</v>
      </c>
      <c r="B51" s="53" t="str">
        <f>+'Lane 1'!$B51</f>
        <v>C+1 preset 15 - Amp 0</v>
      </c>
      <c r="C51" s="24">
        <f>+'Lane 1'!C51</f>
        <v>-0.36</v>
      </c>
      <c r="D51" s="83">
        <f t="shared" si="23"/>
        <v>0</v>
      </c>
      <c r="E51" s="24"/>
      <c r="F51" s="50" t="str">
        <f t="shared" si="22"/>
        <v>Fail</v>
      </c>
      <c r="G51" s="85"/>
      <c r="H51" s="20"/>
      <c r="I51" s="53" t="str">
        <f t="shared" si="1"/>
        <v>C+1 preset 15 - Amp 0</v>
      </c>
      <c r="J51" s="20">
        <v>7.4999999999999997E-2</v>
      </c>
      <c r="K51" s="23"/>
      <c r="L51" s="23"/>
      <c r="M51" s="23"/>
      <c r="N51" s="23"/>
      <c r="O51" s="197"/>
    </row>
    <row r="52" spans="1:15" x14ac:dyDescent="0.2">
      <c r="A52" s="88" t="s">
        <v>89</v>
      </c>
      <c r="B52" s="53" t="str">
        <f>+'Lane 1'!$B52</f>
        <v>C+1 preset 15 - Amp 1</v>
      </c>
      <c r="C52" s="24">
        <f>+'Lane 1'!C52</f>
        <v>-0.36</v>
      </c>
      <c r="D52" s="83">
        <f t="shared" si="23"/>
        <v>0</v>
      </c>
      <c r="E52" s="24"/>
      <c r="F52" s="50" t="str">
        <f t="shared" si="22"/>
        <v>Fail</v>
      </c>
      <c r="G52" s="85"/>
      <c r="H52" s="20"/>
      <c r="I52" s="53" t="str">
        <f t="shared" si="1"/>
        <v>C+1 preset 15 - Amp 1</v>
      </c>
      <c r="J52" s="20">
        <v>7.4999999999999997E-2</v>
      </c>
      <c r="K52" s="23"/>
      <c r="L52" s="23"/>
      <c r="M52" s="23"/>
      <c r="N52" s="23"/>
      <c r="O52" s="198"/>
    </row>
    <row r="53" spans="1:15" x14ac:dyDescent="0.2">
      <c r="A53" s="88" t="s">
        <v>89</v>
      </c>
      <c r="B53" s="53" t="str">
        <f>+'Lane 1'!$B53</f>
        <v>vf - preset 1 - Test both amplitude=0</v>
      </c>
      <c r="C53" s="24" t="str">
        <f>+'Lane 1'!C53</f>
        <v>400-600</v>
      </c>
      <c r="D53" s="83">
        <f t="shared" si="23"/>
        <v>0</v>
      </c>
      <c r="E53" s="24" t="s">
        <v>127</v>
      </c>
      <c r="F53" s="50" t="str">
        <f>IF(G53="","Fail",IF(AND(400&lt;=D53,D53&lt;=600),"Pass","Fail"))</f>
        <v>Fail</v>
      </c>
      <c r="G53" s="85"/>
      <c r="H53" s="20"/>
      <c r="I53" s="53" t="str">
        <f t="shared" si="1"/>
        <v>vf - preset 1 - Test both amplitude=0</v>
      </c>
      <c r="J53" s="20"/>
      <c r="K53" s="23"/>
      <c r="L53" s="23"/>
      <c r="M53" s="23"/>
      <c r="N53" s="23"/>
      <c r="O53" s="89" t="s">
        <v>159</v>
      </c>
    </row>
    <row r="54" spans="1:15" x14ac:dyDescent="0.2">
      <c r="A54" s="88" t="s">
        <v>89</v>
      </c>
      <c r="B54" s="53" t="str">
        <f>+'Lane 1'!$B54</f>
        <v>vf - preset 1 - Test both amplitude=1</v>
      </c>
      <c r="C54" s="24" t="str">
        <f>+'Lane 1'!C54</f>
        <v>700-900</v>
      </c>
      <c r="D54" s="83">
        <f t="shared" si="23"/>
        <v>0</v>
      </c>
      <c r="E54" s="24" t="s">
        <v>127</v>
      </c>
      <c r="F54" s="50" t="str">
        <f>IF(G54="","Fail",IF(AND(700&lt;=D54,D54&lt;=900),"Pass","Fail"))</f>
        <v>Fail</v>
      </c>
      <c r="G54" s="85"/>
      <c r="H54" s="20"/>
      <c r="I54" s="53" t="str">
        <f t="shared" si="1"/>
        <v>vf - preset 1 - Test both amplitude=1</v>
      </c>
      <c r="J54" s="20"/>
      <c r="K54" s="23"/>
      <c r="L54" s="23"/>
      <c r="M54" s="23"/>
      <c r="N54" s="23"/>
      <c r="O54" s="92" t="s">
        <v>164</v>
      </c>
    </row>
    <row r="55" spans="1:15" x14ac:dyDescent="0.2">
      <c r="A55" s="88" t="s">
        <v>89</v>
      </c>
      <c r="B55" s="53" t="str">
        <f>+'Lane 1'!$B55</f>
        <v>Peak linear fit pulse response - pre1 - amp 0</v>
      </c>
      <c r="C55" s="83">
        <f>0.6 * D53</f>
        <v>0</v>
      </c>
      <c r="D55" s="83">
        <f t="shared" si="23"/>
        <v>0</v>
      </c>
      <c r="E55" s="24" t="s">
        <v>127</v>
      </c>
      <c r="F55" s="50" t="str">
        <f>IF(G55="","Fail",IF(D55&gt;=C55,"Pass", "Fail"))</f>
        <v>Fail</v>
      </c>
      <c r="G55" s="85"/>
      <c r="H55" s="20"/>
      <c r="I55" s="53" t="str">
        <f t="shared" si="1"/>
        <v>Peak linear fit pulse response - pre1 - amp 0</v>
      </c>
      <c r="J55" s="20"/>
      <c r="K55" s="23"/>
      <c r="L55" s="23"/>
      <c r="M55" s="23"/>
      <c r="N55" s="23"/>
      <c r="O55" s="89"/>
    </row>
    <row r="56" spans="1:15" x14ac:dyDescent="0.2">
      <c r="A56" s="88" t="s">
        <v>89</v>
      </c>
      <c r="B56" s="53" t="str">
        <f>+'Lane 1'!$B56</f>
        <v>Peak linear fit pulse response - pre1 - amp 1</v>
      </c>
      <c r="C56" s="83">
        <f>0.6 *D54</f>
        <v>0</v>
      </c>
      <c r="D56" s="83">
        <f t="shared" si="23"/>
        <v>0</v>
      </c>
      <c r="E56" s="24" t="s">
        <v>127</v>
      </c>
      <c r="F56" s="50" t="str">
        <f>IF(G56="","Fail",IF(D56&gt;=C56,"Pass", "Fail"))</f>
        <v>Fail</v>
      </c>
      <c r="G56" s="85"/>
      <c r="H56" s="20"/>
      <c r="I56" s="53" t="str">
        <f t="shared" si="1"/>
        <v>Peak linear fit pulse response - pre1 - amp 1</v>
      </c>
      <c r="J56" s="20"/>
      <c r="K56" s="23"/>
      <c r="L56" s="23"/>
      <c r="M56" s="23"/>
      <c r="N56" s="23"/>
      <c r="O56" s="89" t="s">
        <v>162</v>
      </c>
    </row>
    <row r="57" spans="1:15" s="100" customFormat="1" x14ac:dyDescent="0.2">
      <c r="A57" s="93" t="s">
        <v>137</v>
      </c>
      <c r="B57" s="94"/>
      <c r="C57" s="95"/>
      <c r="D57" s="96" t="s">
        <v>22</v>
      </c>
      <c r="E57" s="94"/>
      <c r="F57" s="97" t="s">
        <v>116</v>
      </c>
      <c r="G57" s="184" t="s">
        <v>83</v>
      </c>
      <c r="H57" s="185"/>
      <c r="I57" s="94"/>
      <c r="J57" s="98"/>
      <c r="K57" s="99" t="s">
        <v>22</v>
      </c>
      <c r="L57" s="184" t="s">
        <v>83</v>
      </c>
      <c r="M57" s="185"/>
      <c r="N57" s="185"/>
      <c r="O57" s="94"/>
    </row>
    <row r="58" spans="1:15" s="133" customFormat="1" x14ac:dyDescent="0.2">
      <c r="A58" s="127"/>
      <c r="B58" s="128"/>
      <c r="C58" s="129"/>
      <c r="D58" s="130"/>
      <c r="E58" s="128"/>
      <c r="F58" s="130"/>
      <c r="G58" s="130"/>
      <c r="H58" s="131"/>
      <c r="I58" s="128"/>
      <c r="J58" s="132"/>
      <c r="K58" s="127"/>
      <c r="L58" s="130"/>
      <c r="M58" s="131"/>
      <c r="N58" s="131"/>
      <c r="O58" s="128"/>
    </row>
    <row r="59" spans="1:15" ht="15.75" customHeight="1" x14ac:dyDescent="0.2">
      <c r="A59" s="193" t="s">
        <v>129</v>
      </c>
      <c r="B59" s="194"/>
      <c r="C59" s="108"/>
      <c r="D59" s="125"/>
    </row>
    <row r="60" spans="1:15" ht="25.5" x14ac:dyDescent="0.2">
      <c r="A60" s="8" t="s">
        <v>101</v>
      </c>
      <c r="B60" s="8" t="s">
        <v>2</v>
      </c>
      <c r="C60" s="10" t="s">
        <v>190</v>
      </c>
      <c r="D60" s="10" t="s">
        <v>155</v>
      </c>
      <c r="E60" s="10" t="s">
        <v>118</v>
      </c>
      <c r="F60" s="9" t="s">
        <v>61</v>
      </c>
      <c r="G60" s="10" t="s">
        <v>117</v>
      </c>
      <c r="H60" s="78" t="s">
        <v>72</v>
      </c>
      <c r="I60" s="8" t="s">
        <v>2</v>
      </c>
      <c r="J60" s="22" t="s">
        <v>73</v>
      </c>
      <c r="K60" s="22" t="s">
        <v>138</v>
      </c>
      <c r="L60" s="10" t="s">
        <v>139</v>
      </c>
      <c r="M60" s="10" t="s">
        <v>62</v>
      </c>
      <c r="N60" s="16" t="s">
        <v>71</v>
      </c>
      <c r="O60" s="8" t="s">
        <v>63</v>
      </c>
    </row>
    <row r="61" spans="1:15" x14ac:dyDescent="0.2">
      <c r="A61" s="79" t="s">
        <v>88</v>
      </c>
      <c r="B61" s="80" t="s">
        <v>84</v>
      </c>
      <c r="C61" s="113">
        <f>IF(D61="","NT",IF(H61&lt;=5.6,-12+1.71*SQRT(H61),-6.7+13*LOG10((H61/7))))</f>
        <v>-12</v>
      </c>
      <c r="D61" s="52">
        <f>+G61</f>
        <v>0</v>
      </c>
      <c r="E61" s="19" t="s">
        <v>121</v>
      </c>
      <c r="F61" s="50" t="str">
        <f>IF(D61="","Fail",IF(D61&lt;=C61,"Pass", "Fail"))</f>
        <v>Fail</v>
      </c>
      <c r="G61" s="81"/>
      <c r="H61" s="81"/>
      <c r="I61" s="80" t="str">
        <f>+B61</f>
        <v>SDD11</v>
      </c>
      <c r="J61" s="20"/>
      <c r="K61" s="23"/>
      <c r="L61" s="10"/>
      <c r="M61" s="10"/>
      <c r="N61" s="16"/>
      <c r="O61" s="8"/>
    </row>
    <row r="62" spans="1:15" x14ac:dyDescent="0.2">
      <c r="A62" s="79" t="s">
        <v>88</v>
      </c>
      <c r="B62" s="80" t="s">
        <v>85</v>
      </c>
      <c r="C62" s="114">
        <f>IF(D62="","NT",-2)</f>
        <v>-2</v>
      </c>
      <c r="D62" s="52">
        <f>+G62</f>
        <v>0</v>
      </c>
      <c r="E62" s="19" t="s">
        <v>121</v>
      </c>
      <c r="F62" s="50" t="str">
        <f>IF(D62="","Fail",IF(D62&lt;=C62,"Pass", "Fail"))</f>
        <v>Fail</v>
      </c>
      <c r="G62" s="81"/>
      <c r="H62" s="81"/>
      <c r="I62" s="80" t="str">
        <f>+B62</f>
        <v>SCC11</v>
      </c>
      <c r="J62" s="20"/>
      <c r="K62" s="23"/>
      <c r="L62" s="10"/>
      <c r="M62" s="10"/>
      <c r="N62" s="16"/>
      <c r="O62" s="8"/>
    </row>
    <row r="63" spans="1:15" x14ac:dyDescent="0.2">
      <c r="A63" s="79" t="s">
        <v>88</v>
      </c>
      <c r="B63" s="80" t="s">
        <v>86</v>
      </c>
      <c r="C63" s="114">
        <f>IF(D63="","NT",-16+((2/3)*H63))</f>
        <v>-16</v>
      </c>
      <c r="D63" s="52">
        <f>+G63</f>
        <v>0</v>
      </c>
      <c r="E63" s="19" t="s">
        <v>121</v>
      </c>
      <c r="F63" s="50" t="str">
        <f>IF(D63="","Fail",IF(D63&lt;=C63,"Pass", "Fail"))</f>
        <v>Fail</v>
      </c>
      <c r="G63" s="81"/>
      <c r="H63" s="81"/>
      <c r="I63" s="80" t="str">
        <f>+B63</f>
        <v>SDC11</v>
      </c>
      <c r="J63" s="20"/>
      <c r="K63" s="23"/>
      <c r="L63" s="10"/>
      <c r="M63" s="10"/>
      <c r="N63" s="16"/>
      <c r="O63" s="8"/>
    </row>
    <row r="64" spans="1:15" s="100" customFormat="1" x14ac:dyDescent="0.2">
      <c r="C64" s="101"/>
      <c r="H64" s="102"/>
      <c r="J64" s="102"/>
    </row>
    <row r="65" spans="1:10" s="100" customFormat="1" x14ac:dyDescent="0.2">
      <c r="A65" s="100" t="s">
        <v>128</v>
      </c>
      <c r="C65" s="101"/>
      <c r="H65" s="102"/>
      <c r="J65" s="102"/>
    </row>
    <row r="66" spans="1:10" s="100" customFormat="1" x14ac:dyDescent="0.2">
      <c r="C66" s="101"/>
      <c r="H66" s="102"/>
      <c r="J66" s="102"/>
    </row>
    <row r="67" spans="1:10" x14ac:dyDescent="0.2">
      <c r="D67" s="103"/>
      <c r="E67" s="192" t="s">
        <v>185</v>
      </c>
      <c r="F67" s="192"/>
      <c r="G67" s="192"/>
    </row>
    <row r="68" spans="1:10" x14ac:dyDescent="0.2">
      <c r="A68" s="188" t="s">
        <v>132</v>
      </c>
      <c r="B68" s="189"/>
      <c r="D68" s="103"/>
      <c r="E68" s="20">
        <v>-0.36</v>
      </c>
      <c r="F68" s="20">
        <v>7.4999999999999997E-2</v>
      </c>
      <c r="G68" s="20">
        <f>+E68*(1+F68)</f>
        <v>-0.38699999999999996</v>
      </c>
    </row>
    <row r="69" spans="1:10" x14ac:dyDescent="0.2">
      <c r="A69" s="191" t="s">
        <v>134</v>
      </c>
      <c r="B69" s="189"/>
      <c r="D69" s="103"/>
      <c r="E69" s="20">
        <v>-0.36</v>
      </c>
      <c r="F69" s="20">
        <v>7.4999999999999997E-2</v>
      </c>
      <c r="G69" s="20">
        <f>+E69*(1-F69)</f>
        <v>-0.33300000000000002</v>
      </c>
    </row>
    <row r="70" spans="1:10" x14ac:dyDescent="0.2">
      <c r="A70" s="190" t="s">
        <v>133</v>
      </c>
      <c r="B70" s="190"/>
      <c r="D70" s="103"/>
      <c r="E70" s="20">
        <v>-0.36</v>
      </c>
      <c r="F70" s="20">
        <v>1.4999999999999999E-2</v>
      </c>
      <c r="G70" s="20">
        <f>+E70-F70</f>
        <v>-0.375</v>
      </c>
    </row>
    <row r="71" spans="1:10" x14ac:dyDescent="0.2">
      <c r="A71" s="182" t="s">
        <v>135</v>
      </c>
      <c r="B71" s="183"/>
      <c r="D71" s="103"/>
      <c r="E71" s="20">
        <v>-0.36</v>
      </c>
      <c r="F71" s="20">
        <v>1.4999999999999999E-2</v>
      </c>
      <c r="G71" s="20">
        <f>+E71+F71</f>
        <v>-0.34499999999999997</v>
      </c>
    </row>
    <row r="73" spans="1:10" x14ac:dyDescent="0.2">
      <c r="A73" s="104" t="s">
        <v>148</v>
      </c>
      <c r="D73" s="103"/>
    </row>
    <row r="74" spans="1:10" x14ac:dyDescent="0.2">
      <c r="A74" s="76" t="s">
        <v>140</v>
      </c>
      <c r="B74" s="76">
        <f>+G24</f>
        <v>0</v>
      </c>
      <c r="C74" s="76"/>
    </row>
    <row r="75" spans="1:10" x14ac:dyDescent="0.2">
      <c r="A75" s="76" t="s">
        <v>147</v>
      </c>
      <c r="B75" s="76">
        <v>8176</v>
      </c>
      <c r="C75" s="76" t="s">
        <v>141</v>
      </c>
    </row>
    <row r="76" spans="1:10" x14ac:dyDescent="0.2">
      <c r="A76" s="76" t="s">
        <v>142</v>
      </c>
      <c r="B76" s="105">
        <v>3.634E-8</v>
      </c>
      <c r="C76" s="76" t="s">
        <v>143</v>
      </c>
    </row>
    <row r="77" spans="1:10" x14ac:dyDescent="0.2">
      <c r="B77" s="105">
        <f>B76/B75*B74</f>
        <v>0</v>
      </c>
      <c r="C77" s="76" t="s">
        <v>144</v>
      </c>
    </row>
    <row r="78" spans="1:10" x14ac:dyDescent="0.2">
      <c r="A78" s="76" t="s">
        <v>149</v>
      </c>
      <c r="B78" s="105">
        <f>0.00000000007111-B77</f>
        <v>7.1110000000000001E-11</v>
      </c>
      <c r="C78" s="76" t="s">
        <v>145</v>
      </c>
    </row>
    <row r="79" spans="1:10" x14ac:dyDescent="0.2">
      <c r="A79" s="76" t="s">
        <v>150</v>
      </c>
      <c r="B79" s="106">
        <f>B78/0.00000000007111</f>
        <v>1</v>
      </c>
      <c r="C79" s="76" t="s">
        <v>146</v>
      </c>
    </row>
    <row r="81" spans="1:5" x14ac:dyDescent="0.2">
      <c r="A81" s="107" t="s">
        <v>182</v>
      </c>
    </row>
    <row r="82" spans="1:5" x14ac:dyDescent="0.2">
      <c r="A82" s="75" t="s">
        <v>184</v>
      </c>
    </row>
    <row r="83" spans="1:5" x14ac:dyDescent="0.2">
      <c r="A83" s="75" t="s">
        <v>183</v>
      </c>
    </row>
    <row r="85" spans="1:5" x14ac:dyDescent="0.2">
      <c r="A85" s="76" t="s">
        <v>186</v>
      </c>
      <c r="C85" s="75">
        <v>29.07</v>
      </c>
      <c r="D85" s="76">
        <v>71.11</v>
      </c>
      <c r="E85" s="76">
        <f>+C85/D85</f>
        <v>0.40880326255097738</v>
      </c>
    </row>
  </sheetData>
  <mergeCells count="11">
    <mergeCell ref="O41:O52"/>
    <mergeCell ref="A71:B71"/>
    <mergeCell ref="A1:B1"/>
    <mergeCell ref="G57:H57"/>
    <mergeCell ref="L57:N57"/>
    <mergeCell ref="A68:B68"/>
    <mergeCell ref="A69:B69"/>
    <mergeCell ref="A70:B70"/>
    <mergeCell ref="E67:G67"/>
    <mergeCell ref="A59:B59"/>
    <mergeCell ref="G25:G26"/>
  </mergeCells>
  <conditionalFormatting sqref="F61:F63">
    <cfRule type="containsText" dxfId="157" priority="81" stopIfTrue="1" operator="containsText" text="Fail">
      <formula>NOT(ISERROR(SEARCH("Fail",F61)))</formula>
    </cfRule>
    <cfRule type="containsText" dxfId="156" priority="82" stopIfTrue="1" operator="containsText" text="Pass">
      <formula>NOT(ISERROR(SEARCH("Pass",F61)))</formula>
    </cfRule>
    <cfRule type="containsText" dxfId="155" priority="83" stopIfTrue="1" operator="containsText" text="N/A">
      <formula>NOT(ISERROR(SEARCH("N/A",F61)))</formula>
    </cfRule>
  </conditionalFormatting>
  <conditionalFormatting sqref="F3:F24 F26:F56">
    <cfRule type="containsText" dxfId="154" priority="5" operator="containsText" text="NT">
      <formula>NOT(ISERROR(SEARCH("NT",F3)))</formula>
    </cfRule>
    <cfRule type="containsText" dxfId="153" priority="6" stopIfTrue="1" operator="containsText" text="Fail">
      <formula>NOT(ISERROR(SEARCH("Fail",F3)))</formula>
    </cfRule>
    <cfRule type="containsText" dxfId="152" priority="7" stopIfTrue="1" operator="containsText" text="Pass">
      <formula>NOT(ISERROR(SEARCH("Pass",F3)))</formula>
    </cfRule>
    <cfRule type="containsText" dxfId="151" priority="8" stopIfTrue="1" operator="containsText" text="N/A">
      <formula>NOT(ISERROR(SEARCH("N/A",F3)))</formula>
    </cfRule>
  </conditionalFormatting>
  <conditionalFormatting sqref="F25">
    <cfRule type="containsText" dxfId="150" priority="1" operator="containsText" text="NT">
      <formula>NOT(ISERROR(SEARCH("NT",F25)))</formula>
    </cfRule>
    <cfRule type="containsText" dxfId="149" priority="2" stopIfTrue="1" operator="containsText" text="Fail">
      <formula>NOT(ISERROR(SEARCH("Fail",F25)))</formula>
    </cfRule>
    <cfRule type="containsText" dxfId="148" priority="3" stopIfTrue="1" operator="containsText" text="Pass">
      <formula>NOT(ISERROR(SEARCH("Pass",F25)))</formula>
    </cfRule>
    <cfRule type="containsText" dxfId="147" priority="4" stopIfTrue="1" operator="containsText" text="N/A">
      <formula>NOT(ISERROR(SEARCH("N/A",F25)))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00FF"/>
  </sheetPr>
  <dimension ref="A1:T70"/>
  <sheetViews>
    <sheetView zoomScale="80" zoomScaleNormal="80" workbookViewId="0">
      <selection sqref="A1:G1"/>
    </sheetView>
  </sheetViews>
  <sheetFormatPr defaultRowHeight="15" x14ac:dyDescent="0.25"/>
  <cols>
    <col min="1" max="1" width="17.85546875" style="1" customWidth="1"/>
    <col min="2" max="2" width="9" style="1" bestFit="1" customWidth="1"/>
    <col min="3" max="3" width="11.5703125" style="1" bestFit="1" customWidth="1"/>
    <col min="4" max="4" width="9.85546875" style="1" bestFit="1" customWidth="1"/>
    <col min="5" max="5" width="13" style="69" bestFit="1" customWidth="1"/>
    <col min="6" max="6" width="8.85546875" style="69" bestFit="1" customWidth="1"/>
    <col min="7" max="7" width="17.42578125" style="1" bestFit="1" customWidth="1"/>
    <col min="8" max="10" width="9.140625" style="1"/>
    <col min="11" max="11" width="16.42578125" style="1" bestFit="1" customWidth="1"/>
    <col min="12" max="12" width="9" style="1" bestFit="1" customWidth="1"/>
    <col min="13" max="13" width="12.85546875" style="1" customWidth="1"/>
    <col min="14" max="16" width="10.140625" style="1" customWidth="1"/>
    <col min="17" max="17" width="16.7109375" style="1" bestFit="1" customWidth="1"/>
    <col min="18" max="16384" width="9.140625" style="1"/>
  </cols>
  <sheetData>
    <row r="1" spans="1:20" ht="18.75" x14ac:dyDescent="0.25">
      <c r="A1" s="203" t="s">
        <v>77</v>
      </c>
      <c r="B1" s="204"/>
      <c r="C1" s="204"/>
      <c r="D1" s="204"/>
      <c r="E1" s="204"/>
      <c r="F1" s="204"/>
      <c r="G1" s="205"/>
      <c r="K1" s="206" t="s">
        <v>81</v>
      </c>
      <c r="L1" s="207"/>
      <c r="M1" s="207"/>
      <c r="N1" s="207"/>
      <c r="O1" s="207"/>
      <c r="P1" s="207"/>
      <c r="Q1" s="205"/>
    </row>
    <row r="2" spans="1:20" ht="25.5" x14ac:dyDescent="0.25">
      <c r="A2" s="55" t="s">
        <v>2</v>
      </c>
      <c r="B2" s="56" t="s">
        <v>59</v>
      </c>
      <c r="C2" s="57" t="s">
        <v>60</v>
      </c>
      <c r="D2" s="58" t="s">
        <v>61</v>
      </c>
      <c r="E2" s="59" t="s">
        <v>75</v>
      </c>
      <c r="F2" s="59" t="s">
        <v>76</v>
      </c>
      <c r="G2" s="57" t="s">
        <v>79</v>
      </c>
      <c r="K2" s="55" t="s">
        <v>2</v>
      </c>
      <c r="L2" s="56" t="s">
        <v>59</v>
      </c>
      <c r="M2" s="57" t="s">
        <v>60</v>
      </c>
      <c r="N2" s="58" t="s">
        <v>61</v>
      </c>
      <c r="O2" s="59" t="s">
        <v>75</v>
      </c>
      <c r="P2" s="59" t="s">
        <v>76</v>
      </c>
      <c r="Q2" s="57" t="s">
        <v>79</v>
      </c>
    </row>
    <row r="3" spans="1:20" x14ac:dyDescent="0.25">
      <c r="A3" s="60" t="str">
        <f>+'Lane 1'!$B$61</f>
        <v>SDD11</v>
      </c>
      <c r="B3" s="61">
        <f>+'Lane 1'!$C$61</f>
        <v>-12</v>
      </c>
      <c r="C3" s="62">
        <f>+'Lane 1'!$D$61</f>
        <v>0</v>
      </c>
      <c r="D3" s="63" t="str">
        <f>IF(C3&lt;=B3,"Pass","Fail")</f>
        <v>Fail</v>
      </c>
      <c r="E3" s="63">
        <f>+C3-B3</f>
        <v>12</v>
      </c>
      <c r="F3" s="64">
        <f>+E3/B3</f>
        <v>-1</v>
      </c>
      <c r="G3" s="71" t="s">
        <v>49</v>
      </c>
      <c r="K3" s="60" t="str">
        <f>+'Lane 2'!$B$61</f>
        <v>SDD11</v>
      </c>
      <c r="L3" s="61">
        <f>+'Lane 2'!$C$61</f>
        <v>-12</v>
      </c>
      <c r="M3" s="62">
        <f>+'Lane 2'!$D$61</f>
        <v>0</v>
      </c>
      <c r="N3" s="63" t="str">
        <f>IF(M3&lt;=L3,"Pass","Fail")</f>
        <v>Fail</v>
      </c>
      <c r="O3" s="63">
        <f>+M3-L3</f>
        <v>12</v>
      </c>
      <c r="P3" s="64">
        <f>+O3/L3</f>
        <v>-1</v>
      </c>
      <c r="Q3" s="71" t="s">
        <v>49</v>
      </c>
    </row>
    <row r="4" spans="1:20" x14ac:dyDescent="0.25">
      <c r="A4" s="60" t="str">
        <f>+'Lane 1'!$B$3</f>
        <v>SDD22</v>
      </c>
      <c r="B4" s="61">
        <f>+'Lane 1'!$C$3</f>
        <v>-12</v>
      </c>
      <c r="C4" s="62">
        <f>+'Lane 1'!$D$3</f>
        <v>0</v>
      </c>
      <c r="D4" s="63" t="str">
        <f>IF(C4&lt;=B4,"Pass","Fail")</f>
        <v>Fail</v>
      </c>
      <c r="E4" s="63">
        <f>+C4-B4</f>
        <v>12</v>
      </c>
      <c r="F4" s="64">
        <f>+E4/B4</f>
        <v>-1</v>
      </c>
      <c r="G4" s="71" t="s">
        <v>49</v>
      </c>
      <c r="K4" s="60" t="str">
        <f>+'Lane 2'!$B$3</f>
        <v>SDD22</v>
      </c>
      <c r="L4" s="61">
        <f>+'Lane 2'!$C$3</f>
        <v>-12</v>
      </c>
      <c r="M4" s="62">
        <f>+'Lane 2'!$D$3</f>
        <v>0</v>
      </c>
      <c r="N4" s="63" t="str">
        <f>IF(M4&lt;=L4,"Pass","Fail")</f>
        <v>Fail</v>
      </c>
      <c r="O4" s="63">
        <f>+M4-L4</f>
        <v>12</v>
      </c>
      <c r="P4" s="64">
        <f>+O4/L4</f>
        <v>-1</v>
      </c>
      <c r="Q4" s="71" t="s">
        <v>49</v>
      </c>
    </row>
    <row r="5" spans="1:20" x14ac:dyDescent="0.25">
      <c r="A5" s="60" t="str">
        <f>+'Lane 1'!$B$62</f>
        <v>SCC11</v>
      </c>
      <c r="B5" s="61">
        <f>+'Lane 1'!$C$62</f>
        <v>-2</v>
      </c>
      <c r="C5" s="62">
        <f>+'Lane 1'!$D$62</f>
        <v>0</v>
      </c>
      <c r="D5" s="63" t="str">
        <f t="shared" ref="D5" si="0">IF(C5&lt;=B5,"Pass","Fail")</f>
        <v>Fail</v>
      </c>
      <c r="E5" s="63">
        <f t="shared" ref="E5" si="1">+C5-B5</f>
        <v>2</v>
      </c>
      <c r="F5" s="64">
        <f t="shared" ref="F5" si="2">+E5/B5</f>
        <v>-1</v>
      </c>
      <c r="G5" s="71" t="s">
        <v>49</v>
      </c>
      <c r="K5" s="60" t="str">
        <f>+'Lane 2'!$B$62</f>
        <v>SCC11</v>
      </c>
      <c r="L5" s="61">
        <f>+'Lane 2'!$C$62</f>
        <v>-2</v>
      </c>
      <c r="M5" s="62">
        <f>+'Lane 2'!$D$62</f>
        <v>0</v>
      </c>
      <c r="N5" s="63" t="str">
        <f t="shared" ref="N5:N8" si="3">IF(M5&lt;=L5,"Pass","Fail")</f>
        <v>Fail</v>
      </c>
      <c r="O5" s="63">
        <f t="shared" ref="O5:O8" si="4">+M5-L5</f>
        <v>2</v>
      </c>
      <c r="P5" s="64">
        <f t="shared" ref="P5:P8" si="5">+O5/L5</f>
        <v>-1</v>
      </c>
      <c r="Q5" s="71" t="s">
        <v>49</v>
      </c>
    </row>
    <row r="6" spans="1:20" x14ac:dyDescent="0.25">
      <c r="A6" s="60" t="str">
        <f>+'Lane 1'!$B$4</f>
        <v>SCC22</v>
      </c>
      <c r="B6" s="61">
        <f>+'Lane 1'!$C$4</f>
        <v>-2</v>
      </c>
      <c r="C6" s="62">
        <f>+'Lane 1'!$D$4</f>
        <v>0</v>
      </c>
      <c r="D6" s="63" t="str">
        <f t="shared" ref="D6:D8" si="6">IF(C6&lt;=B6,"Pass","Fail")</f>
        <v>Fail</v>
      </c>
      <c r="E6" s="63">
        <f t="shared" ref="E6:E8" si="7">+C6-B6</f>
        <v>2</v>
      </c>
      <c r="F6" s="64">
        <f t="shared" ref="F6:F8" si="8">+E6/B6</f>
        <v>-1</v>
      </c>
      <c r="G6" s="71" t="s">
        <v>49</v>
      </c>
      <c r="K6" s="60" t="str">
        <f>+'Lane 2'!$B$4</f>
        <v>SCC22</v>
      </c>
      <c r="L6" s="61">
        <f>+'Lane 2'!$C$4</f>
        <v>-2</v>
      </c>
      <c r="M6" s="62">
        <f>+'Lane 2'!$D$4</f>
        <v>0</v>
      </c>
      <c r="N6" s="63" t="str">
        <f t="shared" si="3"/>
        <v>Fail</v>
      </c>
      <c r="O6" s="63">
        <f t="shared" si="4"/>
        <v>2</v>
      </c>
      <c r="P6" s="64">
        <f t="shared" si="5"/>
        <v>-1</v>
      </c>
      <c r="Q6" s="71" t="s">
        <v>49</v>
      </c>
    </row>
    <row r="7" spans="1:20" x14ac:dyDescent="0.25">
      <c r="A7" s="60" t="str">
        <f>+'Lane 1'!$B$63</f>
        <v>SDC11</v>
      </c>
      <c r="B7" s="61">
        <f>+'Lane 1'!$C$63</f>
        <v>-16</v>
      </c>
      <c r="C7" s="62">
        <f>+'Lane 1'!$D$63</f>
        <v>0</v>
      </c>
      <c r="D7" s="63" t="str">
        <f t="shared" si="6"/>
        <v>Fail</v>
      </c>
      <c r="E7" s="63">
        <f t="shared" si="7"/>
        <v>16</v>
      </c>
      <c r="F7" s="64">
        <f t="shared" si="8"/>
        <v>-1</v>
      </c>
      <c r="G7" s="71" t="s">
        <v>49</v>
      </c>
      <c r="K7" s="60" t="str">
        <f>+'Lane 2'!$B$63</f>
        <v>SDC11</v>
      </c>
      <c r="L7" s="61">
        <f>+'Lane 2'!$C$63</f>
        <v>-16</v>
      </c>
      <c r="M7" s="62">
        <f>+'Lane 2'!$D$63</f>
        <v>0</v>
      </c>
      <c r="N7" s="63" t="str">
        <f t="shared" si="3"/>
        <v>Fail</v>
      </c>
      <c r="O7" s="63">
        <f t="shared" si="4"/>
        <v>16</v>
      </c>
      <c r="P7" s="64">
        <f t="shared" si="5"/>
        <v>-1</v>
      </c>
      <c r="Q7" s="71" t="s">
        <v>49</v>
      </c>
    </row>
    <row r="8" spans="1:20" x14ac:dyDescent="0.25">
      <c r="A8" s="60" t="str">
        <f>+'Lane 1'!$B$5</f>
        <v>SDC22</v>
      </c>
      <c r="B8" s="61">
        <f>+'Lane 1'!$C$5</f>
        <v>-16</v>
      </c>
      <c r="C8" s="62">
        <f>+'Lane 1'!$D$5</f>
        <v>0</v>
      </c>
      <c r="D8" s="63" t="str">
        <f t="shared" si="6"/>
        <v>Fail</v>
      </c>
      <c r="E8" s="63">
        <f t="shared" si="7"/>
        <v>16</v>
      </c>
      <c r="F8" s="64">
        <f t="shared" si="8"/>
        <v>-1</v>
      </c>
      <c r="G8" s="71" t="s">
        <v>49</v>
      </c>
      <c r="K8" s="60" t="str">
        <f>+'Lane 2'!$B$5</f>
        <v>SDC22</v>
      </c>
      <c r="L8" s="61">
        <f>+'Lane 2'!$C$5</f>
        <v>-16</v>
      </c>
      <c r="M8" s="62">
        <f>+'Lane 2'!$D$5</f>
        <v>0</v>
      </c>
      <c r="N8" s="63" t="str">
        <f t="shared" si="3"/>
        <v>Fail</v>
      </c>
      <c r="O8" s="63">
        <f t="shared" si="4"/>
        <v>16</v>
      </c>
      <c r="P8" s="64">
        <f t="shared" si="5"/>
        <v>-1</v>
      </c>
      <c r="Q8" s="71" t="s">
        <v>49</v>
      </c>
    </row>
    <row r="9" spans="1:20" x14ac:dyDescent="0.25">
      <c r="A9" s="60" t="str">
        <f>+'Lane 1'!$B$6</f>
        <v>RJ - preset 0</v>
      </c>
      <c r="B9" s="63">
        <f>+'Lane 1'!$C$6</f>
        <v>0.15</v>
      </c>
      <c r="C9" s="62">
        <f>+'Lane 1'!$D$6</f>
        <v>0</v>
      </c>
      <c r="D9" s="63" t="str">
        <f>IF('Lane 1'!$G$6="","Fail",IF(C9&lt;=B9,"Pass","Fail"))</f>
        <v>Fail</v>
      </c>
      <c r="E9" s="66">
        <f>+B9-C9</f>
        <v>0.15</v>
      </c>
      <c r="F9" s="64">
        <f>+E9/B9</f>
        <v>1</v>
      </c>
      <c r="G9" s="65" t="s">
        <v>52</v>
      </c>
      <c r="K9" s="60" t="str">
        <f>+'Lane 2'!$B$6</f>
        <v>RJ - preset 0</v>
      </c>
      <c r="L9" s="63">
        <f>+'Lane 2'!$C$6</f>
        <v>0.15</v>
      </c>
      <c r="M9" s="62">
        <f>+'Lane 2'!$D$6</f>
        <v>0</v>
      </c>
      <c r="N9" s="63" t="str">
        <f>IF('Lane 2'!$G$6="","Fail",IF(M9&lt;=L9,"Pass","Fail"))</f>
        <v>Fail</v>
      </c>
      <c r="O9" s="66">
        <f>+L9-M9</f>
        <v>0.15</v>
      </c>
      <c r="P9" s="64">
        <f>+O9/L9</f>
        <v>1</v>
      </c>
      <c r="Q9" s="65" t="s">
        <v>52</v>
      </c>
    </row>
    <row r="10" spans="1:20" x14ac:dyDescent="0.25">
      <c r="A10" s="60" t="str">
        <f>+'Lane 1'!$B$9</f>
        <v>DCD - preset 0</v>
      </c>
      <c r="B10" s="63">
        <f>+'Lane 1'!$C$9</f>
        <v>3.5000000000000003E-2</v>
      </c>
      <c r="C10" s="62">
        <f>+'Lane 1'!$D$9</f>
        <v>0</v>
      </c>
      <c r="D10" s="63" t="str">
        <f>IF('Lane 1'!$G$9="","Fail",IF(C10&lt;=B10,"Pass","Fail"))</f>
        <v>Fail</v>
      </c>
      <c r="E10" s="66">
        <f>+B10-C10</f>
        <v>3.5000000000000003E-2</v>
      </c>
      <c r="F10" s="64">
        <f>+E10/B10</f>
        <v>1</v>
      </c>
      <c r="G10" s="65" t="s">
        <v>52</v>
      </c>
      <c r="K10" s="60" t="str">
        <f>+'Lane 2'!$B$9</f>
        <v>DCD - preset 0</v>
      </c>
      <c r="L10" s="63">
        <f>+'Lane 2'!$C$9</f>
        <v>3.5000000000000003E-2</v>
      </c>
      <c r="M10" s="62">
        <f>+'Lane 2'!$D$9</f>
        <v>0</v>
      </c>
      <c r="N10" s="63" t="str">
        <f>IF('Lane 2'!$G$9="","Fail",IF(M10&lt;=L10,"Pass","Fail"))</f>
        <v>Fail</v>
      </c>
      <c r="O10" s="66">
        <f>+L10-M10</f>
        <v>3.5000000000000003E-2</v>
      </c>
      <c r="P10" s="64">
        <f>+O10/L10</f>
        <v>1</v>
      </c>
      <c r="Q10" s="65" t="s">
        <v>52</v>
      </c>
    </row>
    <row r="11" spans="1:20" x14ac:dyDescent="0.25">
      <c r="A11" s="60" t="str">
        <f>+'Lane 1'!$B$18</f>
        <v>TJ-DDJ - preset 0</v>
      </c>
      <c r="B11" s="63">
        <f>+'Lane 1'!$C$18</f>
        <v>0.25</v>
      </c>
      <c r="C11" s="62">
        <f>+'Lane 1'!$D$18</f>
        <v>0</v>
      </c>
      <c r="D11" s="63" t="str">
        <f>IF(OR('Lane 1'!$G$12="",'Lane 1'!$G$15=""),"Fail",IF(C11&lt;=B11,"Pass","Fail"))</f>
        <v>Fail</v>
      </c>
      <c r="E11" s="66">
        <f>+B11-C11</f>
        <v>0.25</v>
      </c>
      <c r="F11" s="64">
        <f>+E11/B11</f>
        <v>1</v>
      </c>
      <c r="G11" s="65" t="s">
        <v>52</v>
      </c>
      <c r="K11" s="60" t="str">
        <f>+'Lane 2'!$B$18</f>
        <v>TJ-DDJ - preset 0</v>
      </c>
      <c r="L11" s="63">
        <f>+'Lane 2'!$C$18</f>
        <v>0.25</v>
      </c>
      <c r="M11" s="62">
        <f>+'Lane 2'!$D$18</f>
        <v>0</v>
      </c>
      <c r="N11" s="63" t="str">
        <f>IF(OR('Lane 2'!$G$12="",'Lane 2'!$G$15=""),"Fail",IF(M11&lt;=L11,"Pass","Fail"))</f>
        <v>Fail</v>
      </c>
      <c r="O11" s="66">
        <f>+L11-M11</f>
        <v>0.25</v>
      </c>
      <c r="P11" s="64">
        <f>+O11/L11</f>
        <v>1</v>
      </c>
      <c r="Q11" s="65" t="s">
        <v>52</v>
      </c>
      <c r="T11" s="70"/>
    </row>
    <row r="12" spans="1:20" x14ac:dyDescent="0.25">
      <c r="A12" s="60" t="str">
        <f>+'Lane 1'!$B$21</f>
        <v>J2 - preset 0</v>
      </c>
      <c r="B12" s="63">
        <f>+'Lane 1'!$C$21</f>
        <v>0.19</v>
      </c>
      <c r="C12" s="62">
        <f>+'Lane 1'!$D$21</f>
        <v>0</v>
      </c>
      <c r="D12" s="63" t="str">
        <f>IF('Lane 1'!$G$21="","Fail",IF(C12&lt;=B12,"Pass","Fail"))</f>
        <v>Fail</v>
      </c>
      <c r="E12" s="63">
        <f t="shared" ref="E12:E14" si="9">+C12-B12</f>
        <v>-0.19</v>
      </c>
      <c r="F12" s="64">
        <f t="shared" ref="F12:F14" si="10">+E12/B12</f>
        <v>-1</v>
      </c>
      <c r="G12" s="65" t="s">
        <v>52</v>
      </c>
      <c r="K12" s="60" t="str">
        <f>+'Lane 2'!$B$21</f>
        <v>J2 - preset 0</v>
      </c>
      <c r="L12" s="63">
        <f>+'Lane 2'!$C$21</f>
        <v>0.19</v>
      </c>
      <c r="M12" s="62">
        <f>+'Lane 2'!$D$21</f>
        <v>0</v>
      </c>
      <c r="N12" s="63" t="str">
        <f>IF('Lane 2'!$G$21="","Fail",IF(M12&lt;=L12,"Pass","Fail"))</f>
        <v>Fail</v>
      </c>
      <c r="O12" s="63">
        <f t="shared" ref="O12:O19" si="11">+M12-L12</f>
        <v>-0.19</v>
      </c>
      <c r="P12" s="64">
        <f t="shared" ref="P12:P19" si="12">+O12/L12</f>
        <v>-1</v>
      </c>
      <c r="Q12" s="65" t="s">
        <v>52</v>
      </c>
    </row>
    <row r="13" spans="1:20" x14ac:dyDescent="0.25">
      <c r="A13" s="60" t="str">
        <f>+'Lane 1'!$B$22</f>
        <v>J9 - preset 0</v>
      </c>
      <c r="B13" s="63">
        <f>+'Lane 1'!$C$22</f>
        <v>0.33</v>
      </c>
      <c r="C13" s="62">
        <f>+'Lane 1'!$D$22</f>
        <v>0</v>
      </c>
      <c r="D13" s="63" t="str">
        <f>IF('Lane 1'!$G$22="","Fail",IF(C13&lt;=B13,"Pass","Fail"))</f>
        <v>Fail</v>
      </c>
      <c r="E13" s="63">
        <f t="shared" si="9"/>
        <v>-0.33</v>
      </c>
      <c r="F13" s="64">
        <f t="shared" si="10"/>
        <v>-1</v>
      </c>
      <c r="G13" s="65" t="s">
        <v>52</v>
      </c>
      <c r="K13" s="60" t="str">
        <f>+'Lane 2'!$B$22</f>
        <v>J9 - preset 0</v>
      </c>
      <c r="L13" s="63">
        <f>+'Lane 2'!$C$22</f>
        <v>0.33</v>
      </c>
      <c r="M13" s="62">
        <f>+'Lane 2'!$D$22</f>
        <v>0</v>
      </c>
      <c r="N13" s="63" t="str">
        <f>IF('Lane 2'!$G$22="","Fail",IF(M13&lt;=L13,"Pass","Fail"))</f>
        <v>Fail</v>
      </c>
      <c r="O13" s="63">
        <f t="shared" si="11"/>
        <v>-0.33</v>
      </c>
      <c r="P13" s="64">
        <f t="shared" si="12"/>
        <v>-1</v>
      </c>
      <c r="Q13" s="65" t="s">
        <v>52</v>
      </c>
    </row>
    <row r="14" spans="1:20" x14ac:dyDescent="0.25">
      <c r="A14" s="60" t="str">
        <f>+'Lane 1'!$B$23</f>
        <v>DDPWS</v>
      </c>
      <c r="B14" s="63">
        <f>+'Lane 1'!$C$24</f>
        <v>0.11</v>
      </c>
      <c r="C14" s="62">
        <f>+'Lane 1'!$D$24</f>
        <v>1</v>
      </c>
      <c r="D14" s="63" t="str">
        <f>IF('Lane 1'!$G$24="","Fail",IF(C14&lt;=B14,"Pass","Fail"))</f>
        <v>Fail</v>
      </c>
      <c r="E14" s="63">
        <f t="shared" si="9"/>
        <v>0.89</v>
      </c>
      <c r="F14" s="64">
        <f t="shared" si="10"/>
        <v>8.0909090909090917</v>
      </c>
      <c r="G14" s="65" t="s">
        <v>187</v>
      </c>
      <c r="K14" s="60" t="str">
        <f>+'Lane 2'!$B$23</f>
        <v>DDPWS</v>
      </c>
      <c r="L14" s="63">
        <f>+'Lane 2'!$C$24</f>
        <v>0.11</v>
      </c>
      <c r="M14" s="62">
        <f>+'Lane 2'!$D$24</f>
        <v>1</v>
      </c>
      <c r="N14" s="63" t="str">
        <f>IF('Lane 2'!$G$24="","Fail",IF(M14&lt;=L14,"Pass","Fail"))</f>
        <v>Fail</v>
      </c>
      <c r="O14" s="63">
        <f t="shared" si="11"/>
        <v>0.89</v>
      </c>
      <c r="P14" s="64">
        <f t="shared" si="12"/>
        <v>8.0909090909090917</v>
      </c>
      <c r="Q14" s="65" t="s">
        <v>187</v>
      </c>
    </row>
    <row r="15" spans="1:20" x14ac:dyDescent="0.25">
      <c r="A15" s="60" t="str">
        <f>+'Lane 1'!$B$26</f>
        <v>X1, X2, Y1, Y2</v>
      </c>
      <c r="B15" s="67">
        <f>+'Lane 1'!$C$26</f>
        <v>5.0000000000000002E-5</v>
      </c>
      <c r="C15" s="68">
        <f>+'Lane 1'!$D$26</f>
        <v>0</v>
      </c>
      <c r="D15" s="63" t="str">
        <f>IF('Lane 1'!$L$26="","Fail",IF(C15&lt;=B15,"Pass","Fail"))</f>
        <v>Fail</v>
      </c>
      <c r="E15" s="63">
        <f t="shared" ref="E15:E19" si="13">+C15-B15</f>
        <v>-5.0000000000000002E-5</v>
      </c>
      <c r="F15" s="64">
        <f t="shared" ref="F15:F19" si="14">+E15/B15</f>
        <v>-1</v>
      </c>
      <c r="G15" s="65" t="s">
        <v>187</v>
      </c>
      <c r="K15" s="60" t="str">
        <f>+'Lane 2'!$B$26</f>
        <v>X1, X2, Y1, Y2</v>
      </c>
      <c r="L15" s="67">
        <f>+'Lane 2'!$C$26</f>
        <v>5.0000000000000002E-5</v>
      </c>
      <c r="M15" s="68">
        <f>+'Lane 2'!$D$26</f>
        <v>0</v>
      </c>
      <c r="N15" s="63" t="str">
        <f>IF('Lane 2'!$L$26="","Fail",IF(M15&lt;=L15,"Pass","Fail"))</f>
        <v>Fail</v>
      </c>
      <c r="O15" s="63">
        <f t="shared" si="11"/>
        <v>-5.0000000000000002E-5</v>
      </c>
      <c r="P15" s="64">
        <f t="shared" si="12"/>
        <v>-1</v>
      </c>
      <c r="Q15" s="65" t="s">
        <v>187</v>
      </c>
    </row>
    <row r="16" spans="1:20" x14ac:dyDescent="0.25">
      <c r="A16" s="60" t="str">
        <f>+'Lane 1'!$B$27</f>
        <v>Tr</v>
      </c>
      <c r="B16" s="63">
        <f>+'Lane 1'!$C$27</f>
        <v>24</v>
      </c>
      <c r="C16" s="62">
        <f>+'Lane 1'!$D$27</f>
        <v>0</v>
      </c>
      <c r="D16" s="63" t="str">
        <f>IF(C16&gt;=B16,"Pass","Fail")</f>
        <v>Fail</v>
      </c>
      <c r="E16" s="63">
        <f t="shared" si="13"/>
        <v>-24</v>
      </c>
      <c r="F16" s="64">
        <f t="shared" si="14"/>
        <v>-1</v>
      </c>
      <c r="G16" s="65" t="s">
        <v>187</v>
      </c>
      <c r="K16" s="60" t="str">
        <f>+'Lane 2'!$B$27</f>
        <v>Tr</v>
      </c>
      <c r="L16" s="63">
        <f>+'Lane 2'!$C$27</f>
        <v>24</v>
      </c>
      <c r="M16" s="62">
        <f>+'Lane 2'!$D$27</f>
        <v>0</v>
      </c>
      <c r="N16" s="63" t="str">
        <f>IF(M16&gt;=L16,"Pass","Fail")</f>
        <v>Fail</v>
      </c>
      <c r="O16" s="63">
        <f t="shared" si="11"/>
        <v>-24</v>
      </c>
      <c r="P16" s="64">
        <f t="shared" si="12"/>
        <v>-1</v>
      </c>
      <c r="Q16" s="65" t="s">
        <v>187</v>
      </c>
    </row>
    <row r="17" spans="1:17" x14ac:dyDescent="0.25">
      <c r="A17" s="60" t="str">
        <f>+'Lane 1'!$B$28</f>
        <v>Tf</v>
      </c>
      <c r="B17" s="63">
        <f>+'Lane 1'!$C$28</f>
        <v>24</v>
      </c>
      <c r="C17" s="62">
        <f>+'Lane 1'!$D$28</f>
        <v>0</v>
      </c>
      <c r="D17" s="63" t="str">
        <f>IF(C17&gt;=B17,"Pass","Fail")</f>
        <v>Fail</v>
      </c>
      <c r="E17" s="63">
        <f t="shared" si="13"/>
        <v>-24</v>
      </c>
      <c r="F17" s="64">
        <f t="shared" si="14"/>
        <v>-1</v>
      </c>
      <c r="G17" s="65" t="s">
        <v>187</v>
      </c>
      <c r="K17" s="60" t="str">
        <f>+'Lane 2'!$B$28</f>
        <v>Tf</v>
      </c>
      <c r="L17" s="63">
        <f>+'Lane 2'!$C$28</f>
        <v>24</v>
      </c>
      <c r="M17" s="62">
        <f>+'Lane 2'!$D$28</f>
        <v>0</v>
      </c>
      <c r="N17" s="63" t="str">
        <f>IF(M17&gt;=L17,"Pass","Fail")</f>
        <v>Fail</v>
      </c>
      <c r="O17" s="63">
        <f t="shared" si="11"/>
        <v>-24</v>
      </c>
      <c r="P17" s="64">
        <f t="shared" si="12"/>
        <v>-1</v>
      </c>
      <c r="Q17" s="65" t="s">
        <v>187</v>
      </c>
    </row>
    <row r="18" spans="1:17" x14ac:dyDescent="0.25">
      <c r="A18" s="60" t="str">
        <f>+'Lane 1'!$B$29</f>
        <v>Vcm preset 0</v>
      </c>
      <c r="B18" s="63">
        <f>+'Lane 1'!$C$29</f>
        <v>20</v>
      </c>
      <c r="C18" s="62">
        <f>+'Lane 1'!$D$29</f>
        <v>0</v>
      </c>
      <c r="D18" s="63" t="str">
        <f>IF('Lane 1'!$G$29="","Fail",IF(C18&lt;=B18,"Pass","Fail"))</f>
        <v>Fail</v>
      </c>
      <c r="E18" s="63">
        <f t="shared" si="13"/>
        <v>-20</v>
      </c>
      <c r="F18" s="64">
        <f t="shared" si="14"/>
        <v>-1</v>
      </c>
      <c r="G18" s="65" t="s">
        <v>187</v>
      </c>
      <c r="K18" s="60" t="str">
        <f>+'Lane 2'!$B$29</f>
        <v>Vcm preset 0</v>
      </c>
      <c r="L18" s="63">
        <f>+'Lane 2'!$C$29</f>
        <v>20</v>
      </c>
      <c r="M18" s="62">
        <f>+'Lane 2'!$D$29</f>
        <v>0</v>
      </c>
      <c r="N18" s="63" t="str">
        <f>IF('Lane 2'!$G$29="","Fail",IF(M18&lt;=L18,"Pass","Fail"))</f>
        <v>Fail</v>
      </c>
      <c r="O18" s="63">
        <f t="shared" si="11"/>
        <v>-20</v>
      </c>
      <c r="P18" s="64">
        <f t="shared" si="12"/>
        <v>-1</v>
      </c>
      <c r="Q18" s="65" t="s">
        <v>187</v>
      </c>
    </row>
    <row r="19" spans="1:17" x14ac:dyDescent="0.25">
      <c r="A19" s="60" t="str">
        <f>+'Lane 1'!$B$34</f>
        <v>Vdiffpp</v>
      </c>
      <c r="B19" s="63">
        <f>+'Lane 1'!$C$34</f>
        <v>30</v>
      </c>
      <c r="C19" s="62">
        <f>+'Lane 1'!$D$34</f>
        <v>0</v>
      </c>
      <c r="D19" s="63" t="str">
        <f>IF('Lane 1'!$G$34="","Fail",IF(C19&lt;=B19,"Pass","Fail"))</f>
        <v>Fail</v>
      </c>
      <c r="E19" s="63">
        <f t="shared" si="13"/>
        <v>-30</v>
      </c>
      <c r="F19" s="64">
        <f t="shared" si="14"/>
        <v>-1</v>
      </c>
      <c r="G19" s="65" t="s">
        <v>187</v>
      </c>
      <c r="K19" s="60" t="str">
        <f>+'Lane 2'!$B$34</f>
        <v>Vdiffpp</v>
      </c>
      <c r="L19" s="63">
        <f>+'Lane 2'!$C$34</f>
        <v>30</v>
      </c>
      <c r="M19" s="62">
        <f>+'Lane 2'!$D$34</f>
        <v>0</v>
      </c>
      <c r="N19" s="63" t="str">
        <f>IF('Lane 2'!$G$34="","Fail",IF(M19&lt;=L19,"Pass","Fail"))</f>
        <v>Fail</v>
      </c>
      <c r="O19" s="63">
        <f t="shared" si="11"/>
        <v>-30</v>
      </c>
      <c r="P19" s="64">
        <f t="shared" si="12"/>
        <v>-1</v>
      </c>
      <c r="Q19" s="65" t="s">
        <v>187</v>
      </c>
    </row>
    <row r="29" spans="1:17" x14ac:dyDescent="0.25">
      <c r="A29" s="1" t="s">
        <v>240</v>
      </c>
      <c r="K29" s="1" t="s">
        <v>240</v>
      </c>
    </row>
    <row r="44" spans="1:17" ht="18.75" x14ac:dyDescent="0.25">
      <c r="A44" s="208" t="s">
        <v>78</v>
      </c>
      <c r="B44" s="209"/>
      <c r="C44" s="209"/>
      <c r="D44" s="209"/>
      <c r="E44" s="209"/>
      <c r="F44" s="209"/>
      <c r="G44" s="205"/>
      <c r="K44" s="210" t="s">
        <v>82</v>
      </c>
      <c r="L44" s="211"/>
      <c r="M44" s="211"/>
      <c r="N44" s="211"/>
      <c r="O44" s="211"/>
      <c r="P44" s="211"/>
      <c r="Q44" s="205"/>
    </row>
    <row r="45" spans="1:17" ht="25.5" x14ac:dyDescent="0.25">
      <c r="A45" s="55" t="s">
        <v>2</v>
      </c>
      <c r="B45" s="56" t="s">
        <v>59</v>
      </c>
      <c r="C45" s="57" t="s">
        <v>60</v>
      </c>
      <c r="D45" s="58" t="s">
        <v>61</v>
      </c>
      <c r="E45" s="59" t="s">
        <v>75</v>
      </c>
      <c r="F45" s="59" t="s">
        <v>76</v>
      </c>
      <c r="G45" s="57" t="s">
        <v>79</v>
      </c>
      <c r="K45" s="55" t="s">
        <v>2</v>
      </c>
      <c r="L45" s="56" t="s">
        <v>59</v>
      </c>
      <c r="M45" s="57" t="s">
        <v>60</v>
      </c>
      <c r="N45" s="58" t="s">
        <v>61</v>
      </c>
      <c r="O45" s="59" t="s">
        <v>75</v>
      </c>
      <c r="P45" s="59" t="s">
        <v>76</v>
      </c>
      <c r="Q45" s="57" t="s">
        <v>79</v>
      </c>
    </row>
    <row r="46" spans="1:17" x14ac:dyDescent="0.25">
      <c r="A46" s="60" t="str">
        <f>+'Lane 3'!$B$61</f>
        <v>SDD11</v>
      </c>
      <c r="B46" s="61">
        <f>+'Lane 3'!$C$61</f>
        <v>-12</v>
      </c>
      <c r="C46" s="62">
        <f>+'Lane 3'!$D$61</f>
        <v>0</v>
      </c>
      <c r="D46" s="63" t="str">
        <f>IF(C46&lt;=B46,"Pass","Fail")</f>
        <v>Fail</v>
      </c>
      <c r="E46" s="63">
        <f>+C46-B46</f>
        <v>12</v>
      </c>
      <c r="F46" s="64">
        <f>+E46/B46</f>
        <v>-1</v>
      </c>
      <c r="G46" s="71" t="s">
        <v>49</v>
      </c>
      <c r="K46" s="60" t="str">
        <f>+'Lane 4'!$B$61</f>
        <v>SDD11</v>
      </c>
      <c r="L46" s="61">
        <f>+'Lane 4'!$C$61</f>
        <v>-12</v>
      </c>
      <c r="M46" s="62">
        <f>+'Lane 4'!$D$61</f>
        <v>0</v>
      </c>
      <c r="N46" s="63" t="str">
        <f>IF(M46&lt;=L46,"Pass","Fail")</f>
        <v>Fail</v>
      </c>
      <c r="O46" s="63">
        <f>+M46-L46</f>
        <v>12</v>
      </c>
      <c r="P46" s="64">
        <f>+O46/L46</f>
        <v>-1</v>
      </c>
      <c r="Q46" s="71" t="s">
        <v>49</v>
      </c>
    </row>
    <row r="47" spans="1:17" x14ac:dyDescent="0.25">
      <c r="A47" s="60" t="str">
        <f>+'Lane 3'!$B$3</f>
        <v>SDD22</v>
      </c>
      <c r="B47" s="61">
        <f>+'Lane 3'!$C$3</f>
        <v>-12</v>
      </c>
      <c r="C47" s="62">
        <f>+'Lane 3'!$D$3</f>
        <v>0</v>
      </c>
      <c r="D47" s="63" t="str">
        <f>IF(C47&lt;=B47,"Pass","Fail")</f>
        <v>Fail</v>
      </c>
      <c r="E47" s="63">
        <f>+C47-B47</f>
        <v>12</v>
      </c>
      <c r="F47" s="64">
        <f>+E47/B47</f>
        <v>-1</v>
      </c>
      <c r="G47" s="71" t="s">
        <v>49</v>
      </c>
      <c r="K47" s="60" t="str">
        <f>+'Lane 4'!$B$3</f>
        <v>SDD22</v>
      </c>
      <c r="L47" s="61">
        <f>+'Lane 4'!$C$3</f>
        <v>-12</v>
      </c>
      <c r="M47" s="62">
        <f>+'Lane 4'!$D$3</f>
        <v>0</v>
      </c>
      <c r="N47" s="63" t="str">
        <f>IF(M47&lt;=L47,"Pass","Fail")</f>
        <v>Fail</v>
      </c>
      <c r="O47" s="63">
        <f>+M47-L47</f>
        <v>12</v>
      </c>
      <c r="P47" s="64">
        <f>+O47/L47</f>
        <v>-1</v>
      </c>
      <c r="Q47" s="71" t="s">
        <v>49</v>
      </c>
    </row>
    <row r="48" spans="1:17" x14ac:dyDescent="0.25">
      <c r="A48" s="60" t="str">
        <f>+'Lane 3'!$B$62</f>
        <v>SCC11</v>
      </c>
      <c r="B48" s="61">
        <f>+'Lane 3'!$C$62</f>
        <v>-2</v>
      </c>
      <c r="C48" s="62">
        <f>+'Lane 3'!$D$62</f>
        <v>0</v>
      </c>
      <c r="D48" s="63" t="str">
        <f t="shared" ref="D48:D51" si="15">IF(C48&lt;=B48,"Pass","Fail")</f>
        <v>Fail</v>
      </c>
      <c r="E48" s="63">
        <f t="shared" ref="E48:E51" si="16">+C48-B48</f>
        <v>2</v>
      </c>
      <c r="F48" s="64">
        <f t="shared" ref="F48:F51" si="17">+E48/B48</f>
        <v>-1</v>
      </c>
      <c r="G48" s="71" t="s">
        <v>49</v>
      </c>
      <c r="K48" s="60" t="str">
        <f>+'Lane 4'!$B$62</f>
        <v>SCC11</v>
      </c>
      <c r="L48" s="61">
        <f>+'Lane 4'!$C$62</f>
        <v>-2</v>
      </c>
      <c r="M48" s="62">
        <f>+'Lane 4'!$D$62</f>
        <v>0</v>
      </c>
      <c r="N48" s="63" t="str">
        <f t="shared" ref="N48:N51" si="18">IF(M48&lt;=L48,"Pass","Fail")</f>
        <v>Fail</v>
      </c>
      <c r="O48" s="63">
        <f t="shared" ref="O48:O51" si="19">+M48-L48</f>
        <v>2</v>
      </c>
      <c r="P48" s="64">
        <f t="shared" ref="P48:P51" si="20">+O48/L48</f>
        <v>-1</v>
      </c>
      <c r="Q48" s="71" t="s">
        <v>49</v>
      </c>
    </row>
    <row r="49" spans="1:17" x14ac:dyDescent="0.25">
      <c r="A49" s="60" t="str">
        <f>+'Lane 3'!$B$4</f>
        <v>SCC22</v>
      </c>
      <c r="B49" s="61">
        <f>+'Lane 3'!$C$4</f>
        <v>-2</v>
      </c>
      <c r="C49" s="62">
        <f>+'Lane 3'!$D$4</f>
        <v>0</v>
      </c>
      <c r="D49" s="63" t="str">
        <f t="shared" si="15"/>
        <v>Fail</v>
      </c>
      <c r="E49" s="63">
        <f t="shared" si="16"/>
        <v>2</v>
      </c>
      <c r="F49" s="64">
        <f t="shared" si="17"/>
        <v>-1</v>
      </c>
      <c r="G49" s="71" t="s">
        <v>49</v>
      </c>
      <c r="K49" s="60" t="str">
        <f>+'Lane 4'!$B$4</f>
        <v>SCC22</v>
      </c>
      <c r="L49" s="61">
        <f>+'Lane 4'!$C$4</f>
        <v>-2</v>
      </c>
      <c r="M49" s="62">
        <f>+'Lane 4'!$D$4</f>
        <v>0</v>
      </c>
      <c r="N49" s="63" t="str">
        <f t="shared" si="18"/>
        <v>Fail</v>
      </c>
      <c r="O49" s="63">
        <f t="shared" si="19"/>
        <v>2</v>
      </c>
      <c r="P49" s="64">
        <f t="shared" si="20"/>
        <v>-1</v>
      </c>
      <c r="Q49" s="71" t="s">
        <v>49</v>
      </c>
    </row>
    <row r="50" spans="1:17" x14ac:dyDescent="0.25">
      <c r="A50" s="60" t="str">
        <f>+'Lane 3'!$B$63</f>
        <v>SDC11</v>
      </c>
      <c r="B50" s="61">
        <f>+'Lane 3'!$C$63</f>
        <v>-16</v>
      </c>
      <c r="C50" s="62">
        <f>+'Lane 3'!$D$63</f>
        <v>0</v>
      </c>
      <c r="D50" s="63" t="str">
        <f t="shared" si="15"/>
        <v>Fail</v>
      </c>
      <c r="E50" s="63">
        <f t="shared" si="16"/>
        <v>16</v>
      </c>
      <c r="F50" s="64">
        <f t="shared" si="17"/>
        <v>-1</v>
      </c>
      <c r="G50" s="71" t="s">
        <v>49</v>
      </c>
      <c r="K50" s="60" t="str">
        <f>+'Lane 4'!$B$63</f>
        <v>SDC11</v>
      </c>
      <c r="L50" s="61">
        <f>+'Lane 4'!$C$63</f>
        <v>-16</v>
      </c>
      <c r="M50" s="62">
        <f>+'Lane 4'!$D$63</f>
        <v>0</v>
      </c>
      <c r="N50" s="63" t="str">
        <f t="shared" si="18"/>
        <v>Fail</v>
      </c>
      <c r="O50" s="63">
        <f t="shared" si="19"/>
        <v>16</v>
      </c>
      <c r="P50" s="64">
        <f t="shared" si="20"/>
        <v>-1</v>
      </c>
      <c r="Q50" s="71" t="s">
        <v>49</v>
      </c>
    </row>
    <row r="51" spans="1:17" x14ac:dyDescent="0.25">
      <c r="A51" s="60" t="str">
        <f>+'Lane 3'!$B$5</f>
        <v>SDC22</v>
      </c>
      <c r="B51" s="61">
        <f>+'Lane 3'!$C$5</f>
        <v>-16</v>
      </c>
      <c r="C51" s="62">
        <f>+'Lane 3'!$D$5</f>
        <v>0</v>
      </c>
      <c r="D51" s="63" t="str">
        <f t="shared" si="15"/>
        <v>Fail</v>
      </c>
      <c r="E51" s="63">
        <f t="shared" si="16"/>
        <v>16</v>
      </c>
      <c r="F51" s="64">
        <f t="shared" si="17"/>
        <v>-1</v>
      </c>
      <c r="G51" s="71" t="s">
        <v>49</v>
      </c>
      <c r="K51" s="60" t="str">
        <f>+'Lane 4'!$B$5</f>
        <v>SDC22</v>
      </c>
      <c r="L51" s="61">
        <f>+'Lane 4'!$C$5</f>
        <v>-16</v>
      </c>
      <c r="M51" s="62">
        <f>+'Lane 4'!$D$5</f>
        <v>0</v>
      </c>
      <c r="N51" s="63" t="str">
        <f t="shared" si="18"/>
        <v>Fail</v>
      </c>
      <c r="O51" s="63">
        <f t="shared" si="19"/>
        <v>16</v>
      </c>
      <c r="P51" s="64">
        <f t="shared" si="20"/>
        <v>-1</v>
      </c>
      <c r="Q51" s="71" t="s">
        <v>49</v>
      </c>
    </row>
    <row r="52" spans="1:17" x14ac:dyDescent="0.25">
      <c r="A52" s="60" t="str">
        <f>+'Lane 3'!$B$6</f>
        <v>RJ - preset 0</v>
      </c>
      <c r="B52" s="63">
        <f>+'Lane 3'!$C$6</f>
        <v>0.15</v>
      </c>
      <c r="C52" s="62">
        <f>+'Lane 3'!$D$6</f>
        <v>0</v>
      </c>
      <c r="D52" s="63" t="str">
        <f>IF('Lane 3'!$G$6="","Fail",IF(C52&lt;=B52,"Pass","Fail"))</f>
        <v>Fail</v>
      </c>
      <c r="E52" s="66">
        <f>+B52-C52</f>
        <v>0.15</v>
      </c>
      <c r="F52" s="64">
        <f>+E52/B52</f>
        <v>1</v>
      </c>
      <c r="G52" s="65" t="s">
        <v>52</v>
      </c>
      <c r="K52" s="60" t="str">
        <f>+'Lane 4'!$B$6</f>
        <v>RJ - preset 0</v>
      </c>
      <c r="L52" s="63">
        <f>+'Lane 4'!$C$6</f>
        <v>0.15</v>
      </c>
      <c r="M52" s="62">
        <f>+'Lane 4'!$D$6</f>
        <v>0</v>
      </c>
      <c r="N52" s="63" t="str">
        <f>IF('Lane 4'!$G$6="","Fail",IF(M52&lt;=L52,"Pass","Fail"))</f>
        <v>Fail</v>
      </c>
      <c r="O52" s="66">
        <f>+L52-M52</f>
        <v>0.15</v>
      </c>
      <c r="P52" s="64">
        <f>+O52/L52</f>
        <v>1</v>
      </c>
      <c r="Q52" s="65" t="s">
        <v>52</v>
      </c>
    </row>
    <row r="53" spans="1:17" x14ac:dyDescent="0.25">
      <c r="A53" s="60" t="str">
        <f>+'Lane 3'!$B$9</f>
        <v>DCD - preset 0</v>
      </c>
      <c r="B53" s="63">
        <f>+'Lane 3'!$C$9</f>
        <v>3.5000000000000003E-2</v>
      </c>
      <c r="C53" s="62">
        <f>+'Lane 3'!$D$9</f>
        <v>0</v>
      </c>
      <c r="D53" s="63" t="str">
        <f>IF('Lane 3'!$G$9="","Fail",IF(C53&lt;=B53,"Pass","Fail"))</f>
        <v>Fail</v>
      </c>
      <c r="E53" s="66">
        <f>+B53-C53</f>
        <v>3.5000000000000003E-2</v>
      </c>
      <c r="F53" s="64">
        <f>+E53/B53</f>
        <v>1</v>
      </c>
      <c r="G53" s="65" t="s">
        <v>52</v>
      </c>
      <c r="K53" s="60" t="str">
        <f>+'Lane 4'!$B$9</f>
        <v>DCD - preset 0</v>
      </c>
      <c r="L53" s="63">
        <f>+'Lane 4'!$C$9</f>
        <v>3.5000000000000003E-2</v>
      </c>
      <c r="M53" s="62">
        <f>+'Lane 4'!$D$9</f>
        <v>0</v>
      </c>
      <c r="N53" s="63" t="str">
        <f>IF('Lane 4'!$G$9="","Fail",IF(M53&lt;=L53,"Pass","Fail"))</f>
        <v>Fail</v>
      </c>
      <c r="O53" s="66">
        <f>+L53-M53</f>
        <v>3.5000000000000003E-2</v>
      </c>
      <c r="P53" s="64">
        <f>+O53/L53</f>
        <v>1</v>
      </c>
      <c r="Q53" s="65" t="s">
        <v>52</v>
      </c>
    </row>
    <row r="54" spans="1:17" x14ac:dyDescent="0.25">
      <c r="A54" s="60" t="str">
        <f>+'Lane 3'!$B$18</f>
        <v>TJ-DDJ - preset 0</v>
      </c>
      <c r="B54" s="63">
        <f>+'Lane 3'!$C$18</f>
        <v>0.25</v>
      </c>
      <c r="C54" s="62">
        <f>+'Lane 3'!$D$18</f>
        <v>0</v>
      </c>
      <c r="D54" s="63" t="str">
        <f>IF(OR('Lane 3'!$G$12="",'Lane 3'!$G$15=""),"Fail",IF(C54&lt;=B54,"Pass","Fail"))</f>
        <v>Fail</v>
      </c>
      <c r="E54" s="66">
        <f>+B54-C54</f>
        <v>0.25</v>
      </c>
      <c r="F54" s="64">
        <f>+E54/B54</f>
        <v>1</v>
      </c>
      <c r="G54" s="65" t="s">
        <v>52</v>
      </c>
      <c r="K54" s="60" t="str">
        <f>+'Lane 4'!$B$18</f>
        <v>TJ-DDJ - preset 0</v>
      </c>
      <c r="L54" s="63">
        <f>+'Lane 4'!$C$18</f>
        <v>0.25</v>
      </c>
      <c r="M54" s="62">
        <f>+'Lane 4'!$D$18</f>
        <v>0</v>
      </c>
      <c r="N54" s="63" t="str">
        <f>IF(OR('Lane 4'!$G$12="",'Lane 4'!$G$15=""),"Fail",IF(M54&lt;=L54,"Pass","Fail"))</f>
        <v>Fail</v>
      </c>
      <c r="O54" s="66">
        <f>+L54-M54</f>
        <v>0.25</v>
      </c>
      <c r="P54" s="64">
        <f>+O54/L54</f>
        <v>1</v>
      </c>
      <c r="Q54" s="65" t="s">
        <v>52</v>
      </c>
    </row>
    <row r="55" spans="1:17" x14ac:dyDescent="0.25">
      <c r="A55" s="60" t="str">
        <f>+'Lane 3'!$B$21</f>
        <v>J2 - preset 0</v>
      </c>
      <c r="B55" s="63">
        <f>+'Lane 3'!$C$21</f>
        <v>0.19</v>
      </c>
      <c r="C55" s="62">
        <f>+'Lane 3'!$D$21</f>
        <v>0</v>
      </c>
      <c r="D55" s="63" t="str">
        <f>IF('Lane 3'!$G$21="","Fail",IF(C55&lt;=B55,"Pass","Fail"))</f>
        <v>Fail</v>
      </c>
      <c r="E55" s="63">
        <f t="shared" ref="E55:E62" si="21">+C55-B55</f>
        <v>-0.19</v>
      </c>
      <c r="F55" s="64">
        <f t="shared" ref="F55:F62" si="22">+E55/B55</f>
        <v>-1</v>
      </c>
      <c r="G55" s="65" t="s">
        <v>52</v>
      </c>
      <c r="K55" s="60" t="str">
        <f>+'Lane 4'!$B$21</f>
        <v>J2 - preset 0</v>
      </c>
      <c r="L55" s="63">
        <f>+'Lane 4'!$C$21</f>
        <v>0.19</v>
      </c>
      <c r="M55" s="62">
        <f>+'Lane 4'!$D$21</f>
        <v>0</v>
      </c>
      <c r="N55" s="63" t="str">
        <f>IF('Lane 4'!$G$21="","Fail",IF(M55&lt;=L55,"Pass","Fail"))</f>
        <v>Fail</v>
      </c>
      <c r="O55" s="63">
        <f t="shared" ref="O55:O62" si="23">+M55-L55</f>
        <v>-0.19</v>
      </c>
      <c r="P55" s="64">
        <f t="shared" ref="P55:P62" si="24">+O55/L55</f>
        <v>-1</v>
      </c>
      <c r="Q55" s="65" t="s">
        <v>52</v>
      </c>
    </row>
    <row r="56" spans="1:17" x14ac:dyDescent="0.25">
      <c r="A56" s="60" t="str">
        <f>+'Lane 3'!$B$22</f>
        <v>J9 - preset 0</v>
      </c>
      <c r="B56" s="63">
        <f>+'Lane 3'!$C$22</f>
        <v>0.33</v>
      </c>
      <c r="C56" s="62">
        <f>+'Lane 3'!$D$22</f>
        <v>0</v>
      </c>
      <c r="D56" s="63" t="str">
        <f>IF('Lane 3'!$G$22="","Fail",IF(C56&lt;=B56,"Pass","Fail"))</f>
        <v>Fail</v>
      </c>
      <c r="E56" s="63">
        <f t="shared" si="21"/>
        <v>-0.33</v>
      </c>
      <c r="F56" s="64">
        <f t="shared" si="22"/>
        <v>-1</v>
      </c>
      <c r="G56" s="65" t="s">
        <v>52</v>
      </c>
      <c r="K56" s="60" t="str">
        <f>+'Lane 4'!$B$22</f>
        <v>J9 - preset 0</v>
      </c>
      <c r="L56" s="63">
        <f>+'Lane 4'!$C$22</f>
        <v>0.33</v>
      </c>
      <c r="M56" s="62">
        <f>+'Lane 4'!$D$22</f>
        <v>0</v>
      </c>
      <c r="N56" s="63" t="str">
        <f>IF('Lane 4'!$G$22="","Fail",IF(M56&lt;=L56,"Pass","Fail"))</f>
        <v>Fail</v>
      </c>
      <c r="O56" s="63">
        <f t="shared" si="23"/>
        <v>-0.33</v>
      </c>
      <c r="P56" s="64">
        <f t="shared" si="24"/>
        <v>-1</v>
      </c>
      <c r="Q56" s="65" t="s">
        <v>52</v>
      </c>
    </row>
    <row r="57" spans="1:17" x14ac:dyDescent="0.25">
      <c r="A57" s="60" t="str">
        <f>+'Lane 3'!$B$23</f>
        <v>DDPWS</v>
      </c>
      <c r="B57" s="63">
        <f>+'Lane 3'!$C$24</f>
        <v>0.11</v>
      </c>
      <c r="C57" s="62">
        <f>+'Lane 3'!$D$24</f>
        <v>1</v>
      </c>
      <c r="D57" s="63" t="str">
        <f>IF('Lane 3'!$G$24="","Fail",IF(C57&lt;=B57,"Pass","Fail"))</f>
        <v>Fail</v>
      </c>
      <c r="E57" s="63">
        <f t="shared" si="21"/>
        <v>0.89</v>
      </c>
      <c r="F57" s="64">
        <f t="shared" si="22"/>
        <v>8.0909090909090917</v>
      </c>
      <c r="G57" s="65" t="s">
        <v>187</v>
      </c>
      <c r="K57" s="60" t="str">
        <f>+'Lane 4'!$B$23</f>
        <v>DDPWS</v>
      </c>
      <c r="L57" s="63">
        <f>+'Lane 4'!$C$24</f>
        <v>0.11</v>
      </c>
      <c r="M57" s="62">
        <f>+'Lane 4'!$D$24</f>
        <v>1</v>
      </c>
      <c r="N57" s="63" t="str">
        <f>IF('Lane 4'!$G$24="","Fail",IF(M57&lt;=L57,"Pass","Fail"))</f>
        <v>Fail</v>
      </c>
      <c r="O57" s="63">
        <f t="shared" si="23"/>
        <v>0.89</v>
      </c>
      <c r="P57" s="64">
        <f t="shared" si="24"/>
        <v>8.0909090909090917</v>
      </c>
      <c r="Q57" s="65" t="s">
        <v>187</v>
      </c>
    </row>
    <row r="58" spans="1:17" x14ac:dyDescent="0.25">
      <c r="A58" s="60" t="str">
        <f>+'Lane 3'!$B$26</f>
        <v>X1, X2, Y1, Y2</v>
      </c>
      <c r="B58" s="67">
        <f>+'Lane 3'!$C$26</f>
        <v>5.0000000000000002E-5</v>
      </c>
      <c r="C58" s="68">
        <f>+'Lane 3'!$D$26</f>
        <v>0</v>
      </c>
      <c r="D58" s="63" t="str">
        <f>IF('Lane 3'!$L$26="","Fail",IF(C58&lt;=B58,"Pass","Fail"))</f>
        <v>Fail</v>
      </c>
      <c r="E58" s="63">
        <f t="shared" si="21"/>
        <v>-5.0000000000000002E-5</v>
      </c>
      <c r="F58" s="64">
        <f t="shared" si="22"/>
        <v>-1</v>
      </c>
      <c r="G58" s="65" t="s">
        <v>187</v>
      </c>
      <c r="K58" s="60" t="str">
        <f>+'Lane 4'!$B$26</f>
        <v>X1, X2, Y1, Y2</v>
      </c>
      <c r="L58" s="67">
        <f>+'Lane 4'!$C$26</f>
        <v>5.0000000000000002E-5</v>
      </c>
      <c r="M58" s="68">
        <f>+'Lane 4'!$D$26</f>
        <v>0</v>
      </c>
      <c r="N58" s="63" t="str">
        <f>IF('Lane 4'!$L$26="","Fail",IF(M58&lt;=L58,"Pass","Fail"))</f>
        <v>Fail</v>
      </c>
      <c r="O58" s="63">
        <f t="shared" si="23"/>
        <v>-5.0000000000000002E-5</v>
      </c>
      <c r="P58" s="64">
        <f t="shared" si="24"/>
        <v>-1</v>
      </c>
      <c r="Q58" s="65" t="s">
        <v>187</v>
      </c>
    </row>
    <row r="59" spans="1:17" x14ac:dyDescent="0.25">
      <c r="A59" s="60" t="str">
        <f>+'Lane 3'!$B$27</f>
        <v>Tr</v>
      </c>
      <c r="B59" s="63">
        <f>+'Lane 3'!$C$27</f>
        <v>24</v>
      </c>
      <c r="C59" s="62">
        <f>+'Lane 3'!$D$27</f>
        <v>0</v>
      </c>
      <c r="D59" s="63" t="str">
        <f>IF(C59&gt;=B59,"Pass","Fail")</f>
        <v>Fail</v>
      </c>
      <c r="E59" s="63">
        <f t="shared" si="21"/>
        <v>-24</v>
      </c>
      <c r="F59" s="64">
        <f t="shared" si="22"/>
        <v>-1</v>
      </c>
      <c r="G59" s="65" t="s">
        <v>187</v>
      </c>
      <c r="K59" s="60" t="str">
        <f>+'Lane 4'!$B$27</f>
        <v>Tr</v>
      </c>
      <c r="L59" s="63">
        <f>+'Lane 4'!$C$27</f>
        <v>24</v>
      </c>
      <c r="M59" s="62">
        <f>+'Lane 4'!$D$27</f>
        <v>0</v>
      </c>
      <c r="N59" s="63" t="str">
        <f>IF(M59&gt;=L59,"Pass","Fail")</f>
        <v>Fail</v>
      </c>
      <c r="O59" s="63">
        <f t="shared" si="23"/>
        <v>-24</v>
      </c>
      <c r="P59" s="64">
        <f t="shared" si="24"/>
        <v>-1</v>
      </c>
      <c r="Q59" s="65" t="s">
        <v>187</v>
      </c>
    </row>
    <row r="60" spans="1:17" x14ac:dyDescent="0.25">
      <c r="A60" s="60" t="str">
        <f>+'Lane 3'!$B$28</f>
        <v>Tf</v>
      </c>
      <c r="B60" s="63">
        <f>+'Lane 3'!$C$28</f>
        <v>24</v>
      </c>
      <c r="C60" s="62">
        <f>+'Lane 3'!$D$28</f>
        <v>0</v>
      </c>
      <c r="D60" s="63" t="str">
        <f>IF(C60&gt;=B60,"Pass","Fail")</f>
        <v>Fail</v>
      </c>
      <c r="E60" s="63">
        <f t="shared" si="21"/>
        <v>-24</v>
      </c>
      <c r="F60" s="64">
        <f t="shared" si="22"/>
        <v>-1</v>
      </c>
      <c r="G60" s="65" t="s">
        <v>187</v>
      </c>
      <c r="K60" s="60" t="str">
        <f>+'Lane 4'!$B$28</f>
        <v>Tf</v>
      </c>
      <c r="L60" s="63">
        <f>+'Lane 4'!$C$28</f>
        <v>24</v>
      </c>
      <c r="M60" s="62">
        <f>+'Lane 4'!$D$28</f>
        <v>0</v>
      </c>
      <c r="N60" s="63" t="str">
        <f>IF(M60&gt;=L60,"Pass","Fail")</f>
        <v>Fail</v>
      </c>
      <c r="O60" s="63">
        <f t="shared" si="23"/>
        <v>-24</v>
      </c>
      <c r="P60" s="64">
        <f t="shared" si="24"/>
        <v>-1</v>
      </c>
      <c r="Q60" s="65" t="s">
        <v>187</v>
      </c>
    </row>
    <row r="61" spans="1:17" x14ac:dyDescent="0.25">
      <c r="A61" s="60" t="str">
        <f>+'Lane 3'!$B$29</f>
        <v>Vcm preset 0</v>
      </c>
      <c r="B61" s="63">
        <f>+'Lane 3'!$C$29</f>
        <v>20</v>
      </c>
      <c r="C61" s="62">
        <f>+'Lane 3'!$D$29</f>
        <v>0</v>
      </c>
      <c r="D61" s="63" t="str">
        <f>IF('Lane 3'!$G$29="","Fail",IF(C61&lt;=B61,"Pass","Fail"))</f>
        <v>Fail</v>
      </c>
      <c r="E61" s="63">
        <f t="shared" si="21"/>
        <v>-20</v>
      </c>
      <c r="F61" s="64">
        <f t="shared" si="22"/>
        <v>-1</v>
      </c>
      <c r="G61" s="65" t="s">
        <v>187</v>
      </c>
      <c r="K61" s="60" t="str">
        <f>+'Lane 4'!$B$29</f>
        <v>Vcm preset 0</v>
      </c>
      <c r="L61" s="63">
        <f>+'Lane 4'!$C$29</f>
        <v>20</v>
      </c>
      <c r="M61" s="62">
        <f>+'Lane 4'!$D$29</f>
        <v>0</v>
      </c>
      <c r="N61" s="63" t="str">
        <f>IF('Lane 4'!$G$29="","Fail",IF(M61&lt;=L61,"Pass","Fail"))</f>
        <v>Fail</v>
      </c>
      <c r="O61" s="63">
        <f t="shared" si="23"/>
        <v>-20</v>
      </c>
      <c r="P61" s="64">
        <f t="shared" si="24"/>
        <v>-1</v>
      </c>
      <c r="Q61" s="65" t="s">
        <v>187</v>
      </c>
    </row>
    <row r="62" spans="1:17" x14ac:dyDescent="0.25">
      <c r="A62" s="60" t="str">
        <f>+'Lane 3'!$B$34</f>
        <v>Vdiffpp</v>
      </c>
      <c r="B62" s="63">
        <f>+'Lane 3'!$C$34</f>
        <v>30</v>
      </c>
      <c r="C62" s="62">
        <f>+'Lane 3'!$D$34</f>
        <v>0</v>
      </c>
      <c r="D62" s="63" t="str">
        <f>IF('Lane 3'!$G$34="","Fail",IF(C62&lt;=B62,"Pass","Fail"))</f>
        <v>Fail</v>
      </c>
      <c r="E62" s="63">
        <f t="shared" si="21"/>
        <v>-30</v>
      </c>
      <c r="F62" s="64">
        <f t="shared" si="22"/>
        <v>-1</v>
      </c>
      <c r="G62" s="65" t="s">
        <v>187</v>
      </c>
      <c r="K62" s="60" t="str">
        <f>+'Lane 4'!$B$34</f>
        <v>Vdiffpp</v>
      </c>
      <c r="L62" s="63">
        <f>+'Lane 4'!$C$34</f>
        <v>30</v>
      </c>
      <c r="M62" s="62">
        <f>+'Lane 4'!$D$34</f>
        <v>0</v>
      </c>
      <c r="N62" s="63" t="str">
        <f>IF('Lane 4'!$G$34="","Fail",IF(M62&lt;=L62,"Pass","Fail"))</f>
        <v>Fail</v>
      </c>
      <c r="O62" s="63">
        <f t="shared" si="23"/>
        <v>-30</v>
      </c>
      <c r="P62" s="64">
        <f t="shared" si="24"/>
        <v>-1</v>
      </c>
      <c r="Q62" s="65" t="s">
        <v>187</v>
      </c>
    </row>
    <row r="70" spans="1:11" x14ac:dyDescent="0.25">
      <c r="A70" s="1" t="s">
        <v>240</v>
      </c>
      <c r="K70" s="1" t="s">
        <v>240</v>
      </c>
    </row>
  </sheetData>
  <mergeCells count="4">
    <mergeCell ref="A1:G1"/>
    <mergeCell ref="K1:Q1"/>
    <mergeCell ref="A44:G44"/>
    <mergeCell ref="K44:Q44"/>
  </mergeCells>
  <conditionalFormatting sqref="D6:D8 D12:D18">
    <cfRule type="containsText" dxfId="146" priority="332" operator="containsText" text="NT">
      <formula>NOT(ISERROR(SEARCH("NT",D6)))</formula>
    </cfRule>
    <cfRule type="containsText" dxfId="145" priority="353" stopIfTrue="1" operator="containsText" text="Fail">
      <formula>NOT(ISERROR(SEARCH("Fail",D6)))</formula>
    </cfRule>
    <cfRule type="containsText" dxfId="144" priority="354" stopIfTrue="1" operator="containsText" text="Pass">
      <formula>NOT(ISERROR(SEARCH("Pass",D6)))</formula>
    </cfRule>
  </conditionalFormatting>
  <conditionalFormatting sqref="D4:D8 D12:D14">
    <cfRule type="containsText" dxfId="143" priority="324" stopIfTrue="1" operator="containsText" text="Fail">
      <formula>NOT(ISERROR(SEARCH("Fail",D4)))</formula>
    </cfRule>
    <cfRule type="containsText" dxfId="142" priority="325" stopIfTrue="1" operator="containsText" text="Pass">
      <formula>NOT(ISERROR(SEARCH("Pass",D4)))</formula>
    </cfRule>
  </conditionalFormatting>
  <conditionalFormatting sqref="D9:D11">
    <cfRule type="containsText" dxfId="141" priority="322" stopIfTrue="1" operator="containsText" text="Fail">
      <formula>NOT(ISERROR(SEARCH("Fail",D9)))</formula>
    </cfRule>
    <cfRule type="containsText" dxfId="140" priority="323" stopIfTrue="1" operator="containsText" text="Pass">
      <formula>NOT(ISERROR(SEARCH("Pass",D9)))</formula>
    </cfRule>
  </conditionalFormatting>
  <conditionalFormatting sqref="D16:D18">
    <cfRule type="containsText" dxfId="139" priority="299" stopIfTrue="1" operator="containsText" text="Fail">
      <formula>NOT(ISERROR(SEARCH("Fail",D16)))</formula>
    </cfRule>
    <cfRule type="containsText" dxfId="138" priority="300" stopIfTrue="1" operator="containsText" text="Pass">
      <formula>NOT(ISERROR(SEARCH("Pass",D16)))</formula>
    </cfRule>
  </conditionalFormatting>
  <conditionalFormatting sqref="D3">
    <cfRule type="containsText" dxfId="137" priority="293" stopIfTrue="1" operator="containsText" text="Fail">
      <formula>NOT(ISERROR(SEARCH("Fail",D3)))</formula>
    </cfRule>
    <cfRule type="containsText" dxfId="136" priority="294" stopIfTrue="1" operator="containsText" text="Pass">
      <formula>NOT(ISERROR(SEARCH("Pass",D3)))</formula>
    </cfRule>
  </conditionalFormatting>
  <conditionalFormatting sqref="G3:G18">
    <cfRule type="containsText" dxfId="135" priority="290" operator="containsText" text="Sampling Scope">
      <formula>NOT(ISERROR(SEARCH("Sampling Scope",G3)))</formula>
    </cfRule>
    <cfRule type="containsText" dxfId="134" priority="291" operator="containsText" text="BERTScope">
      <formula>NOT(ISERROR(SEARCH("BERTScope",G3)))</formula>
    </cfRule>
    <cfRule type="containsText" dxfId="133" priority="292" operator="containsText" text="VNA">
      <formula>NOT(ISERROR(SEARCH("VNA",G3)))</formula>
    </cfRule>
  </conditionalFormatting>
  <conditionalFormatting sqref="D15">
    <cfRule type="containsText" dxfId="132" priority="288" stopIfTrue="1" operator="containsText" text="Fail">
      <formula>NOT(ISERROR(SEARCH("Fail",D15)))</formula>
    </cfRule>
    <cfRule type="containsText" dxfId="131" priority="289" stopIfTrue="1" operator="containsText" text="Pass">
      <formula>NOT(ISERROR(SEARCH("Pass",D15)))</formula>
    </cfRule>
  </conditionalFormatting>
  <conditionalFormatting sqref="G19">
    <cfRule type="containsText" dxfId="130" priority="280" operator="containsText" text="Sampling Scope">
      <formula>NOT(ISERROR(SEARCH("Sampling Scope",G19)))</formula>
    </cfRule>
    <cfRule type="containsText" dxfId="129" priority="281" operator="containsText" text="BERTScope">
      <formula>NOT(ISERROR(SEARCH("BERTScope",G19)))</formula>
    </cfRule>
    <cfRule type="containsText" dxfId="128" priority="282" operator="containsText" text="VNA">
      <formula>NOT(ISERROR(SEARCH("VNA",G19)))</formula>
    </cfRule>
  </conditionalFormatting>
  <conditionalFormatting sqref="Q46:Q61">
    <cfRule type="containsText" dxfId="127" priority="194" operator="containsText" text="Sampling Scope">
      <formula>NOT(ISERROR(SEARCH("Sampling Scope",Q46)))</formula>
    </cfRule>
    <cfRule type="containsText" dxfId="126" priority="195" operator="containsText" text="BERTScope">
      <formula>NOT(ISERROR(SEARCH("BERTScope",Q46)))</formula>
    </cfRule>
    <cfRule type="containsText" dxfId="125" priority="196" operator="containsText" text="VNA">
      <formula>NOT(ISERROR(SEARCH("VNA",Q46)))</formula>
    </cfRule>
  </conditionalFormatting>
  <conditionalFormatting sqref="Q62">
    <cfRule type="containsText" dxfId="124" priority="184" operator="containsText" text="Sampling Scope">
      <formula>NOT(ISERROR(SEARCH("Sampling Scope",Q62)))</formula>
    </cfRule>
    <cfRule type="containsText" dxfId="123" priority="185" operator="containsText" text="BERTScope">
      <formula>NOT(ISERROR(SEARCH("BERTScope",Q62)))</formula>
    </cfRule>
    <cfRule type="containsText" dxfId="122" priority="186" operator="containsText" text="VNA">
      <formula>NOT(ISERROR(SEARCH("VNA",Q62)))</formula>
    </cfRule>
  </conditionalFormatting>
  <conditionalFormatting sqref="Q3:Q18">
    <cfRule type="containsText" dxfId="121" priority="242" operator="containsText" text="Sampling Scope">
      <formula>NOT(ISERROR(SEARCH("Sampling Scope",Q3)))</formula>
    </cfRule>
    <cfRule type="containsText" dxfId="120" priority="243" operator="containsText" text="BERTScope">
      <formula>NOT(ISERROR(SEARCH("BERTScope",Q3)))</formula>
    </cfRule>
    <cfRule type="containsText" dxfId="119" priority="244" operator="containsText" text="VNA">
      <formula>NOT(ISERROR(SEARCH("VNA",Q3)))</formula>
    </cfRule>
  </conditionalFormatting>
  <conditionalFormatting sqref="Q19">
    <cfRule type="containsText" dxfId="118" priority="232" operator="containsText" text="Sampling Scope">
      <formula>NOT(ISERROR(SEARCH("Sampling Scope",Q19)))</formula>
    </cfRule>
    <cfRule type="containsText" dxfId="117" priority="233" operator="containsText" text="BERTScope">
      <formula>NOT(ISERROR(SEARCH("BERTScope",Q19)))</formula>
    </cfRule>
    <cfRule type="containsText" dxfId="116" priority="234" operator="containsText" text="VNA">
      <formula>NOT(ISERROR(SEARCH("VNA",Q19)))</formula>
    </cfRule>
  </conditionalFormatting>
  <conditionalFormatting sqref="G46:G61">
    <cfRule type="containsText" dxfId="115" priority="218" operator="containsText" text="Sampling Scope">
      <formula>NOT(ISERROR(SEARCH("Sampling Scope",G46)))</formula>
    </cfRule>
    <cfRule type="containsText" dxfId="114" priority="219" operator="containsText" text="BERTScope">
      <formula>NOT(ISERROR(SEARCH("BERTScope",G46)))</formula>
    </cfRule>
    <cfRule type="containsText" dxfId="113" priority="220" operator="containsText" text="VNA">
      <formula>NOT(ISERROR(SEARCH("VNA",G46)))</formula>
    </cfRule>
  </conditionalFormatting>
  <conditionalFormatting sqref="G62">
    <cfRule type="containsText" dxfId="112" priority="208" operator="containsText" text="Sampling Scope">
      <formula>NOT(ISERROR(SEARCH("Sampling Scope",G62)))</formula>
    </cfRule>
    <cfRule type="containsText" dxfId="111" priority="209" operator="containsText" text="BERTScope">
      <formula>NOT(ISERROR(SEARCH("BERTScope",G62)))</formula>
    </cfRule>
    <cfRule type="containsText" dxfId="110" priority="210" operator="containsText" text="VNA">
      <formula>NOT(ISERROR(SEARCH("VNA",G62)))</formula>
    </cfRule>
  </conditionalFormatting>
  <conditionalFormatting sqref="D15">
    <cfRule type="containsText" dxfId="109" priority="182" stopIfTrue="1" operator="containsText" text="Fail">
      <formula>NOT(ISERROR(SEARCH("Fail",D15)))</formula>
    </cfRule>
    <cfRule type="containsText" dxfId="108" priority="183" stopIfTrue="1" operator="containsText" text="Pass">
      <formula>NOT(ISERROR(SEARCH("Pass",D15)))</formula>
    </cfRule>
  </conditionalFormatting>
  <conditionalFormatting sqref="D18">
    <cfRule type="containsText" dxfId="107" priority="180" stopIfTrue="1" operator="containsText" text="Fail">
      <formula>NOT(ISERROR(SEARCH("Fail",D18)))</formula>
    </cfRule>
    <cfRule type="containsText" dxfId="106" priority="181" stopIfTrue="1" operator="containsText" text="Pass">
      <formula>NOT(ISERROR(SEARCH("Pass",D18)))</formula>
    </cfRule>
  </conditionalFormatting>
  <conditionalFormatting sqref="D18">
    <cfRule type="containsText" dxfId="105" priority="178" stopIfTrue="1" operator="containsText" text="Fail">
      <formula>NOT(ISERROR(SEARCH("Fail",D18)))</formula>
    </cfRule>
    <cfRule type="containsText" dxfId="104" priority="179" stopIfTrue="1" operator="containsText" text="Pass">
      <formula>NOT(ISERROR(SEARCH("Pass",D18)))</formula>
    </cfRule>
  </conditionalFormatting>
  <conditionalFormatting sqref="D19">
    <cfRule type="containsText" dxfId="103" priority="175" operator="containsText" text="NT">
      <formula>NOT(ISERROR(SEARCH("NT",D19)))</formula>
    </cfRule>
    <cfRule type="containsText" dxfId="102" priority="176" stopIfTrue="1" operator="containsText" text="Fail">
      <formula>NOT(ISERROR(SEARCH("Fail",D19)))</formula>
    </cfRule>
    <cfRule type="containsText" dxfId="101" priority="177" stopIfTrue="1" operator="containsText" text="Pass">
      <formula>NOT(ISERROR(SEARCH("Pass",D19)))</formula>
    </cfRule>
  </conditionalFormatting>
  <conditionalFormatting sqref="D19">
    <cfRule type="containsText" dxfId="100" priority="173" stopIfTrue="1" operator="containsText" text="Fail">
      <formula>NOT(ISERROR(SEARCH("Fail",D19)))</formula>
    </cfRule>
    <cfRule type="containsText" dxfId="99" priority="174" stopIfTrue="1" operator="containsText" text="Pass">
      <formula>NOT(ISERROR(SEARCH("Pass",D19)))</formula>
    </cfRule>
  </conditionalFormatting>
  <conditionalFormatting sqref="D19">
    <cfRule type="containsText" dxfId="98" priority="171" stopIfTrue="1" operator="containsText" text="Fail">
      <formula>NOT(ISERROR(SEARCH("Fail",D19)))</formula>
    </cfRule>
    <cfRule type="containsText" dxfId="97" priority="172" stopIfTrue="1" operator="containsText" text="Pass">
      <formula>NOT(ISERROR(SEARCH("Pass",D19)))</formula>
    </cfRule>
  </conditionalFormatting>
  <conditionalFormatting sqref="D19">
    <cfRule type="containsText" dxfId="96" priority="169" stopIfTrue="1" operator="containsText" text="Fail">
      <formula>NOT(ISERROR(SEARCH("Fail",D19)))</formula>
    </cfRule>
    <cfRule type="containsText" dxfId="95" priority="170" stopIfTrue="1" operator="containsText" text="Pass">
      <formula>NOT(ISERROR(SEARCH("Pass",D19)))</formula>
    </cfRule>
  </conditionalFormatting>
  <conditionalFormatting sqref="D49:D51 D55:D61">
    <cfRule type="containsText" dxfId="94" priority="82" operator="containsText" text="NT">
      <formula>NOT(ISERROR(SEARCH("NT",D49)))</formula>
    </cfRule>
    <cfRule type="containsText" dxfId="93" priority="83" stopIfTrue="1" operator="containsText" text="Fail">
      <formula>NOT(ISERROR(SEARCH("Fail",D49)))</formula>
    </cfRule>
    <cfRule type="containsText" dxfId="92" priority="84" stopIfTrue="1" operator="containsText" text="Pass">
      <formula>NOT(ISERROR(SEARCH("Pass",D49)))</formula>
    </cfRule>
  </conditionalFormatting>
  <conditionalFormatting sqref="D47:D51 D55:D57">
    <cfRule type="containsText" dxfId="91" priority="80" stopIfTrue="1" operator="containsText" text="Fail">
      <formula>NOT(ISERROR(SEARCH("Fail",D47)))</formula>
    </cfRule>
    <cfRule type="containsText" dxfId="90" priority="81" stopIfTrue="1" operator="containsText" text="Pass">
      <formula>NOT(ISERROR(SEARCH("Pass",D47)))</formula>
    </cfRule>
  </conditionalFormatting>
  <conditionalFormatting sqref="D52:D54">
    <cfRule type="containsText" dxfId="89" priority="78" stopIfTrue="1" operator="containsText" text="Fail">
      <formula>NOT(ISERROR(SEARCH("Fail",D52)))</formula>
    </cfRule>
    <cfRule type="containsText" dxfId="88" priority="79" stopIfTrue="1" operator="containsText" text="Pass">
      <formula>NOT(ISERROR(SEARCH("Pass",D52)))</formula>
    </cfRule>
  </conditionalFormatting>
  <conditionalFormatting sqref="D59:D61">
    <cfRule type="containsText" dxfId="87" priority="76" stopIfTrue="1" operator="containsText" text="Fail">
      <formula>NOT(ISERROR(SEARCH("Fail",D59)))</formula>
    </cfRule>
    <cfRule type="containsText" dxfId="86" priority="77" stopIfTrue="1" operator="containsText" text="Pass">
      <formula>NOT(ISERROR(SEARCH("Pass",D59)))</formula>
    </cfRule>
  </conditionalFormatting>
  <conditionalFormatting sqref="D46">
    <cfRule type="containsText" dxfId="85" priority="74" stopIfTrue="1" operator="containsText" text="Fail">
      <formula>NOT(ISERROR(SEARCH("Fail",D46)))</formula>
    </cfRule>
    <cfRule type="containsText" dxfId="84" priority="75" stopIfTrue="1" operator="containsText" text="Pass">
      <formula>NOT(ISERROR(SEARCH("Pass",D46)))</formula>
    </cfRule>
  </conditionalFormatting>
  <conditionalFormatting sqref="D58">
    <cfRule type="containsText" dxfId="83" priority="72" stopIfTrue="1" operator="containsText" text="Fail">
      <formula>NOT(ISERROR(SEARCH("Fail",D58)))</formula>
    </cfRule>
    <cfRule type="containsText" dxfId="82" priority="73" stopIfTrue="1" operator="containsText" text="Pass">
      <formula>NOT(ISERROR(SEARCH("Pass",D58)))</formula>
    </cfRule>
  </conditionalFormatting>
  <conditionalFormatting sqref="D58">
    <cfRule type="containsText" dxfId="81" priority="70" stopIfTrue="1" operator="containsText" text="Fail">
      <formula>NOT(ISERROR(SEARCH("Fail",D58)))</formula>
    </cfRule>
    <cfRule type="containsText" dxfId="80" priority="71" stopIfTrue="1" operator="containsText" text="Pass">
      <formula>NOT(ISERROR(SEARCH("Pass",D58)))</formula>
    </cfRule>
  </conditionalFormatting>
  <conditionalFormatting sqref="D61">
    <cfRule type="containsText" dxfId="79" priority="68" stopIfTrue="1" operator="containsText" text="Fail">
      <formula>NOT(ISERROR(SEARCH("Fail",D61)))</formula>
    </cfRule>
    <cfRule type="containsText" dxfId="78" priority="69" stopIfTrue="1" operator="containsText" text="Pass">
      <formula>NOT(ISERROR(SEARCH("Pass",D61)))</formula>
    </cfRule>
  </conditionalFormatting>
  <conditionalFormatting sqref="D61">
    <cfRule type="containsText" dxfId="77" priority="66" stopIfTrue="1" operator="containsText" text="Fail">
      <formula>NOT(ISERROR(SEARCH("Fail",D61)))</formula>
    </cfRule>
    <cfRule type="containsText" dxfId="76" priority="67" stopIfTrue="1" operator="containsText" text="Pass">
      <formula>NOT(ISERROR(SEARCH("Pass",D61)))</formula>
    </cfRule>
  </conditionalFormatting>
  <conditionalFormatting sqref="D62">
    <cfRule type="containsText" dxfId="75" priority="63" operator="containsText" text="NT">
      <formula>NOT(ISERROR(SEARCH("NT",D62)))</formula>
    </cfRule>
    <cfRule type="containsText" dxfId="74" priority="64" stopIfTrue="1" operator="containsText" text="Fail">
      <formula>NOT(ISERROR(SEARCH("Fail",D62)))</formula>
    </cfRule>
    <cfRule type="containsText" dxfId="73" priority="65" stopIfTrue="1" operator="containsText" text="Pass">
      <formula>NOT(ISERROR(SEARCH("Pass",D62)))</formula>
    </cfRule>
  </conditionalFormatting>
  <conditionalFormatting sqref="D62">
    <cfRule type="containsText" dxfId="72" priority="61" stopIfTrue="1" operator="containsText" text="Fail">
      <formula>NOT(ISERROR(SEARCH("Fail",D62)))</formula>
    </cfRule>
    <cfRule type="containsText" dxfId="71" priority="62" stopIfTrue="1" operator="containsText" text="Pass">
      <formula>NOT(ISERROR(SEARCH("Pass",D62)))</formula>
    </cfRule>
  </conditionalFormatting>
  <conditionalFormatting sqref="D62">
    <cfRule type="containsText" dxfId="70" priority="59" stopIfTrue="1" operator="containsText" text="Fail">
      <formula>NOT(ISERROR(SEARCH("Fail",D62)))</formula>
    </cfRule>
    <cfRule type="containsText" dxfId="69" priority="60" stopIfTrue="1" operator="containsText" text="Pass">
      <formula>NOT(ISERROR(SEARCH("Pass",D62)))</formula>
    </cfRule>
  </conditionalFormatting>
  <conditionalFormatting sqref="D62">
    <cfRule type="containsText" dxfId="68" priority="57" stopIfTrue="1" operator="containsText" text="Fail">
      <formula>NOT(ISERROR(SEARCH("Fail",D62)))</formula>
    </cfRule>
    <cfRule type="containsText" dxfId="67" priority="58" stopIfTrue="1" operator="containsText" text="Pass">
      <formula>NOT(ISERROR(SEARCH("Pass",D62)))</formula>
    </cfRule>
  </conditionalFormatting>
  <conditionalFormatting sqref="N49:N51 N55:N61">
    <cfRule type="containsText" dxfId="66" priority="54" operator="containsText" text="NT">
      <formula>NOT(ISERROR(SEARCH("NT",N49)))</formula>
    </cfRule>
    <cfRule type="containsText" dxfId="65" priority="55" stopIfTrue="1" operator="containsText" text="Fail">
      <formula>NOT(ISERROR(SEARCH("Fail",N49)))</formula>
    </cfRule>
    <cfRule type="containsText" dxfId="64" priority="56" stopIfTrue="1" operator="containsText" text="Pass">
      <formula>NOT(ISERROR(SEARCH("Pass",N49)))</formula>
    </cfRule>
  </conditionalFormatting>
  <conditionalFormatting sqref="N47:N51 N55:N57">
    <cfRule type="containsText" dxfId="63" priority="52" stopIfTrue="1" operator="containsText" text="Fail">
      <formula>NOT(ISERROR(SEARCH("Fail",N47)))</formula>
    </cfRule>
    <cfRule type="containsText" dxfId="62" priority="53" stopIfTrue="1" operator="containsText" text="Pass">
      <formula>NOT(ISERROR(SEARCH("Pass",N47)))</formula>
    </cfRule>
  </conditionalFormatting>
  <conditionalFormatting sqref="N52:N54">
    <cfRule type="containsText" dxfId="61" priority="50" stopIfTrue="1" operator="containsText" text="Fail">
      <formula>NOT(ISERROR(SEARCH("Fail",N52)))</formula>
    </cfRule>
    <cfRule type="containsText" dxfId="60" priority="51" stopIfTrue="1" operator="containsText" text="Pass">
      <formula>NOT(ISERROR(SEARCH("Pass",N52)))</formula>
    </cfRule>
  </conditionalFormatting>
  <conditionalFormatting sqref="N59:N61">
    <cfRule type="containsText" dxfId="59" priority="48" stopIfTrue="1" operator="containsText" text="Fail">
      <formula>NOT(ISERROR(SEARCH("Fail",N59)))</formula>
    </cfRule>
    <cfRule type="containsText" dxfId="58" priority="49" stopIfTrue="1" operator="containsText" text="Pass">
      <formula>NOT(ISERROR(SEARCH("Pass",N59)))</formula>
    </cfRule>
  </conditionalFormatting>
  <conditionalFormatting sqref="N46">
    <cfRule type="containsText" dxfId="57" priority="46" stopIfTrue="1" operator="containsText" text="Fail">
      <formula>NOT(ISERROR(SEARCH("Fail",N46)))</formula>
    </cfRule>
    <cfRule type="containsText" dxfId="56" priority="47" stopIfTrue="1" operator="containsText" text="Pass">
      <formula>NOT(ISERROR(SEARCH("Pass",N46)))</formula>
    </cfRule>
  </conditionalFormatting>
  <conditionalFormatting sqref="N58">
    <cfRule type="containsText" dxfId="55" priority="44" stopIfTrue="1" operator="containsText" text="Fail">
      <formula>NOT(ISERROR(SEARCH("Fail",N58)))</formula>
    </cfRule>
    <cfRule type="containsText" dxfId="54" priority="45" stopIfTrue="1" operator="containsText" text="Pass">
      <formula>NOT(ISERROR(SEARCH("Pass",N58)))</formula>
    </cfRule>
  </conditionalFormatting>
  <conditionalFormatting sqref="N58">
    <cfRule type="containsText" dxfId="53" priority="42" stopIfTrue="1" operator="containsText" text="Fail">
      <formula>NOT(ISERROR(SEARCH("Fail",N58)))</formula>
    </cfRule>
    <cfRule type="containsText" dxfId="52" priority="43" stopIfTrue="1" operator="containsText" text="Pass">
      <formula>NOT(ISERROR(SEARCH("Pass",N58)))</formula>
    </cfRule>
  </conditionalFormatting>
  <conditionalFormatting sqref="N61">
    <cfRule type="containsText" dxfId="51" priority="40" stopIfTrue="1" operator="containsText" text="Fail">
      <formula>NOT(ISERROR(SEARCH("Fail",N61)))</formula>
    </cfRule>
    <cfRule type="containsText" dxfId="50" priority="41" stopIfTrue="1" operator="containsText" text="Pass">
      <formula>NOT(ISERROR(SEARCH("Pass",N61)))</formula>
    </cfRule>
  </conditionalFormatting>
  <conditionalFormatting sqref="N61">
    <cfRule type="containsText" dxfId="49" priority="38" stopIfTrue="1" operator="containsText" text="Fail">
      <formula>NOT(ISERROR(SEARCH("Fail",N61)))</formula>
    </cfRule>
    <cfRule type="containsText" dxfId="48" priority="39" stopIfTrue="1" operator="containsText" text="Pass">
      <formula>NOT(ISERROR(SEARCH("Pass",N61)))</formula>
    </cfRule>
  </conditionalFormatting>
  <conditionalFormatting sqref="N62">
    <cfRule type="containsText" dxfId="47" priority="35" operator="containsText" text="NT">
      <formula>NOT(ISERROR(SEARCH("NT",N62)))</formula>
    </cfRule>
    <cfRule type="containsText" dxfId="46" priority="36" stopIfTrue="1" operator="containsText" text="Fail">
      <formula>NOT(ISERROR(SEARCH("Fail",N62)))</formula>
    </cfRule>
    <cfRule type="containsText" dxfId="45" priority="37" stopIfTrue="1" operator="containsText" text="Pass">
      <formula>NOT(ISERROR(SEARCH("Pass",N62)))</formula>
    </cfRule>
  </conditionalFormatting>
  <conditionalFormatting sqref="N62">
    <cfRule type="containsText" dxfId="44" priority="33" stopIfTrue="1" operator="containsText" text="Fail">
      <formula>NOT(ISERROR(SEARCH("Fail",N62)))</formula>
    </cfRule>
    <cfRule type="containsText" dxfId="43" priority="34" stopIfTrue="1" operator="containsText" text="Pass">
      <formula>NOT(ISERROR(SEARCH("Pass",N62)))</formula>
    </cfRule>
  </conditionalFormatting>
  <conditionalFormatting sqref="N62">
    <cfRule type="containsText" dxfId="42" priority="31" stopIfTrue="1" operator="containsText" text="Fail">
      <formula>NOT(ISERROR(SEARCH("Fail",N62)))</formula>
    </cfRule>
    <cfRule type="containsText" dxfId="41" priority="32" stopIfTrue="1" operator="containsText" text="Pass">
      <formula>NOT(ISERROR(SEARCH("Pass",N62)))</formula>
    </cfRule>
  </conditionalFormatting>
  <conditionalFormatting sqref="N62">
    <cfRule type="containsText" dxfId="40" priority="29" stopIfTrue="1" operator="containsText" text="Fail">
      <formula>NOT(ISERROR(SEARCH("Fail",N62)))</formula>
    </cfRule>
    <cfRule type="containsText" dxfId="39" priority="30" stopIfTrue="1" operator="containsText" text="Pass">
      <formula>NOT(ISERROR(SEARCH("Pass",N62)))</formula>
    </cfRule>
  </conditionalFormatting>
  <conditionalFormatting sqref="N6:N8 N12:N18">
    <cfRule type="containsText" dxfId="38" priority="26" operator="containsText" text="NT">
      <formula>NOT(ISERROR(SEARCH("NT",N6)))</formula>
    </cfRule>
    <cfRule type="containsText" dxfId="37" priority="27" stopIfTrue="1" operator="containsText" text="Fail">
      <formula>NOT(ISERROR(SEARCH("Fail",N6)))</formula>
    </cfRule>
    <cfRule type="containsText" dxfId="36" priority="28" stopIfTrue="1" operator="containsText" text="Pass">
      <formula>NOT(ISERROR(SEARCH("Pass",N6)))</formula>
    </cfRule>
  </conditionalFormatting>
  <conditionalFormatting sqref="N4:N8 N12:N14">
    <cfRule type="containsText" dxfId="35" priority="24" stopIfTrue="1" operator="containsText" text="Fail">
      <formula>NOT(ISERROR(SEARCH("Fail",N4)))</formula>
    </cfRule>
    <cfRule type="containsText" dxfId="34" priority="25" stopIfTrue="1" operator="containsText" text="Pass">
      <formula>NOT(ISERROR(SEARCH("Pass",N4)))</formula>
    </cfRule>
  </conditionalFormatting>
  <conditionalFormatting sqref="N9:N11">
    <cfRule type="containsText" dxfId="33" priority="22" stopIfTrue="1" operator="containsText" text="Fail">
      <formula>NOT(ISERROR(SEARCH("Fail",N9)))</formula>
    </cfRule>
    <cfRule type="containsText" dxfId="32" priority="23" stopIfTrue="1" operator="containsText" text="Pass">
      <formula>NOT(ISERROR(SEARCH("Pass",N9)))</formula>
    </cfRule>
  </conditionalFormatting>
  <conditionalFormatting sqref="N16:N18">
    <cfRule type="containsText" dxfId="31" priority="20" stopIfTrue="1" operator="containsText" text="Fail">
      <formula>NOT(ISERROR(SEARCH("Fail",N16)))</formula>
    </cfRule>
    <cfRule type="containsText" dxfId="30" priority="21" stopIfTrue="1" operator="containsText" text="Pass">
      <formula>NOT(ISERROR(SEARCH("Pass",N16)))</formula>
    </cfRule>
  </conditionalFormatting>
  <conditionalFormatting sqref="N3">
    <cfRule type="containsText" dxfId="29" priority="18" stopIfTrue="1" operator="containsText" text="Fail">
      <formula>NOT(ISERROR(SEARCH("Fail",N3)))</formula>
    </cfRule>
    <cfRule type="containsText" dxfId="28" priority="19" stopIfTrue="1" operator="containsText" text="Pass">
      <formula>NOT(ISERROR(SEARCH("Pass",N3)))</formula>
    </cfRule>
  </conditionalFormatting>
  <conditionalFormatting sqref="N15">
    <cfRule type="containsText" dxfId="27" priority="16" stopIfTrue="1" operator="containsText" text="Fail">
      <formula>NOT(ISERROR(SEARCH("Fail",N15)))</formula>
    </cfRule>
    <cfRule type="containsText" dxfId="26" priority="17" stopIfTrue="1" operator="containsText" text="Pass">
      <formula>NOT(ISERROR(SEARCH("Pass",N15)))</formula>
    </cfRule>
  </conditionalFormatting>
  <conditionalFormatting sqref="N15">
    <cfRule type="containsText" dxfId="25" priority="14" stopIfTrue="1" operator="containsText" text="Fail">
      <formula>NOT(ISERROR(SEARCH("Fail",N15)))</formula>
    </cfRule>
    <cfRule type="containsText" dxfId="24" priority="15" stopIfTrue="1" operator="containsText" text="Pass">
      <formula>NOT(ISERROR(SEARCH("Pass",N15)))</formula>
    </cfRule>
  </conditionalFormatting>
  <conditionalFormatting sqref="N18">
    <cfRule type="containsText" dxfId="23" priority="12" stopIfTrue="1" operator="containsText" text="Fail">
      <formula>NOT(ISERROR(SEARCH("Fail",N18)))</formula>
    </cfRule>
    <cfRule type="containsText" dxfId="22" priority="13" stopIfTrue="1" operator="containsText" text="Pass">
      <formula>NOT(ISERROR(SEARCH("Pass",N18)))</formula>
    </cfRule>
  </conditionalFormatting>
  <conditionalFormatting sqref="N18">
    <cfRule type="containsText" dxfId="21" priority="10" stopIfTrue="1" operator="containsText" text="Fail">
      <formula>NOT(ISERROR(SEARCH("Fail",N18)))</formula>
    </cfRule>
    <cfRule type="containsText" dxfId="20" priority="11" stopIfTrue="1" operator="containsText" text="Pass">
      <formula>NOT(ISERROR(SEARCH("Pass",N18)))</formula>
    </cfRule>
  </conditionalFormatting>
  <conditionalFormatting sqref="N19">
    <cfRule type="containsText" dxfId="19" priority="7" operator="containsText" text="NT">
      <formula>NOT(ISERROR(SEARCH("NT",N19)))</formula>
    </cfRule>
    <cfRule type="containsText" dxfId="18" priority="8" stopIfTrue="1" operator="containsText" text="Fail">
      <formula>NOT(ISERROR(SEARCH("Fail",N19)))</formula>
    </cfRule>
    <cfRule type="containsText" dxfId="17" priority="9" stopIfTrue="1" operator="containsText" text="Pass">
      <formula>NOT(ISERROR(SEARCH("Pass",N19)))</formula>
    </cfRule>
  </conditionalFormatting>
  <conditionalFormatting sqref="N19">
    <cfRule type="containsText" dxfId="16" priority="5" stopIfTrue="1" operator="containsText" text="Fail">
      <formula>NOT(ISERROR(SEARCH("Fail",N19)))</formula>
    </cfRule>
    <cfRule type="containsText" dxfId="15" priority="6" stopIfTrue="1" operator="containsText" text="Pass">
      <formula>NOT(ISERROR(SEARCH("Pass",N19)))</formula>
    </cfRule>
  </conditionalFormatting>
  <conditionalFormatting sqref="N19">
    <cfRule type="containsText" dxfId="14" priority="3" stopIfTrue="1" operator="containsText" text="Fail">
      <formula>NOT(ISERROR(SEARCH("Fail",N19)))</formula>
    </cfRule>
    <cfRule type="containsText" dxfId="13" priority="4" stopIfTrue="1" operator="containsText" text="Pass">
      <formula>NOT(ISERROR(SEARCH("Pass",N19)))</formula>
    </cfRule>
  </conditionalFormatting>
  <conditionalFormatting sqref="N19">
    <cfRule type="containsText" dxfId="12" priority="1" stopIfTrue="1" operator="containsText" text="Fail">
      <formula>NOT(ISERROR(SEARCH("Fail",N19)))</formula>
    </cfRule>
    <cfRule type="containsText" dxfId="11" priority="2" stopIfTrue="1" operator="containsText" text="Pass">
      <formula>NOT(ISERROR(SEARCH("Pass",N19)))</formula>
    </cfRule>
  </conditionalFormatting>
  <pageMargins left="0.7" right="0.7" top="0.75" bottom="0.75" header="0.3" footer="0.3"/>
  <pageSetup scale="63" fitToHeight="2" orientation="landscape" r:id="rId1"/>
  <rowBreaks count="1" manualBreakCount="1">
    <brk id="4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85"/>
  <sheetViews>
    <sheetView zoomScale="80" zoomScaleNormal="80" workbookViewId="0">
      <selection sqref="A1:B1"/>
    </sheetView>
  </sheetViews>
  <sheetFormatPr defaultRowHeight="12.75" x14ac:dyDescent="0.2"/>
  <cols>
    <col min="1" max="1" width="12.7109375" style="76" customWidth="1"/>
    <col min="2" max="2" width="40.28515625" style="76" bestFit="1" customWidth="1"/>
    <col min="3" max="3" width="20" style="75" bestFit="1" customWidth="1"/>
    <col min="4" max="4" width="12.7109375" style="76" bestFit="1" customWidth="1"/>
    <col min="5" max="5" width="15.28515625" style="76" bestFit="1" customWidth="1"/>
    <col min="6" max="6" width="9.85546875" style="76" bestFit="1" customWidth="1"/>
    <col min="7" max="7" width="12.28515625" style="77" bestFit="1" customWidth="1"/>
    <col min="8" max="8" width="12.28515625" style="77" customWidth="1"/>
    <col min="9" max="9" width="40.28515625" style="76" bestFit="1" customWidth="1"/>
    <col min="10" max="10" width="7.7109375" style="77" bestFit="1" customWidth="1"/>
    <col min="11" max="11" width="12" style="76" bestFit="1" customWidth="1"/>
    <col min="12" max="12" width="5.7109375" style="76" bestFit="1" customWidth="1"/>
    <col min="13" max="13" width="12.42578125" style="76" customWidth="1"/>
    <col min="14" max="14" width="13.7109375" style="76" bestFit="1" customWidth="1"/>
    <col min="15" max="15" width="57.140625" style="76" bestFit="1" customWidth="1"/>
    <col min="16" max="16" width="9.140625" style="76"/>
    <col min="17" max="17" width="13" style="76" bestFit="1" customWidth="1"/>
    <col min="18" max="18" width="28.85546875" style="76" bestFit="1" customWidth="1"/>
    <col min="19" max="16384" width="9.140625" style="76"/>
  </cols>
  <sheetData>
    <row r="1" spans="1:15" ht="15.75" customHeight="1" x14ac:dyDescent="0.2">
      <c r="A1" s="186" t="s">
        <v>130</v>
      </c>
      <c r="B1" s="187"/>
      <c r="D1" s="9"/>
    </row>
    <row r="2" spans="1:15" ht="25.5" x14ac:dyDescent="0.2">
      <c r="A2" s="8" t="s">
        <v>101</v>
      </c>
      <c r="B2" s="8" t="s">
        <v>2</v>
      </c>
      <c r="C2" s="72" t="s">
        <v>189</v>
      </c>
      <c r="D2" s="10" t="s">
        <v>156</v>
      </c>
      <c r="E2" s="10" t="s">
        <v>118</v>
      </c>
      <c r="F2" s="9" t="s">
        <v>61</v>
      </c>
      <c r="G2" s="10" t="s">
        <v>117</v>
      </c>
      <c r="H2" s="78" t="s">
        <v>72</v>
      </c>
      <c r="I2" s="8" t="s">
        <v>2</v>
      </c>
      <c r="J2" s="22" t="s">
        <v>73</v>
      </c>
      <c r="K2" s="22" t="s">
        <v>138</v>
      </c>
      <c r="L2" s="10" t="s">
        <v>139</v>
      </c>
      <c r="M2" s="10" t="s">
        <v>62</v>
      </c>
      <c r="N2" s="16" t="s">
        <v>71</v>
      </c>
      <c r="O2" s="8" t="s">
        <v>63</v>
      </c>
    </row>
    <row r="3" spans="1:15" x14ac:dyDescent="0.2">
      <c r="A3" s="79" t="s">
        <v>88</v>
      </c>
      <c r="B3" s="136" t="str">
        <f>+'Lane 1'!$B3</f>
        <v>SDD22</v>
      </c>
      <c r="C3" s="113">
        <f>IF(D3="","NT",IF(H3&lt;=5.6,-12+1.71*SQRT(H3),-6.7+13*LOG10((H3/7))))</f>
        <v>-7.7909889491608313</v>
      </c>
      <c r="D3" s="52">
        <f t="shared" ref="D3:D5" si="0">+G3</f>
        <v>-8</v>
      </c>
      <c r="E3" s="19" t="s">
        <v>121</v>
      </c>
      <c r="F3" s="50" t="str">
        <f>IF(D3="","Fail",IF(D3&lt;=C3,"Pass", "Fail"))</f>
        <v>Pass</v>
      </c>
      <c r="G3" s="81">
        <v>-8</v>
      </c>
      <c r="H3" s="81">
        <v>5.77</v>
      </c>
      <c r="I3" s="136" t="str">
        <f t="shared" ref="I3:I56" si="1">+B3</f>
        <v>SDD22</v>
      </c>
      <c r="J3" s="135"/>
      <c r="K3" s="23"/>
      <c r="L3" s="10"/>
      <c r="M3" s="10"/>
      <c r="N3" s="16"/>
      <c r="O3" s="8"/>
    </row>
    <row r="4" spans="1:15" x14ac:dyDescent="0.2">
      <c r="A4" s="79" t="s">
        <v>88</v>
      </c>
      <c r="B4" s="136" t="str">
        <f>+'Lane 1'!$B4</f>
        <v>SCC22</v>
      </c>
      <c r="C4" s="114">
        <f>IF(D4="","NT",-2)</f>
        <v>-2</v>
      </c>
      <c r="D4" s="52">
        <f t="shared" si="0"/>
        <v>-5</v>
      </c>
      <c r="E4" s="19" t="s">
        <v>121</v>
      </c>
      <c r="F4" s="50" t="str">
        <f t="shared" ref="F4:F5" si="2">IF(D4="","Fail",IF(D4&lt;=C4,"Pass", "Fail"))</f>
        <v>Pass</v>
      </c>
      <c r="G4" s="81">
        <v>-5</v>
      </c>
      <c r="H4" s="81">
        <v>2.64</v>
      </c>
      <c r="I4" s="136" t="str">
        <f t="shared" si="1"/>
        <v>SCC22</v>
      </c>
      <c r="J4" s="135"/>
      <c r="K4" s="23"/>
      <c r="L4" s="10"/>
      <c r="M4" s="10"/>
      <c r="N4" s="16"/>
      <c r="O4" s="8"/>
    </row>
    <row r="5" spans="1:15" x14ac:dyDescent="0.2">
      <c r="A5" s="79" t="s">
        <v>88</v>
      </c>
      <c r="B5" s="136" t="str">
        <f>+'Lane 1'!$B5</f>
        <v>SDC22</v>
      </c>
      <c r="C5" s="114">
        <f>IF(D5="","NT",-16+((2/3)*H5))</f>
        <v>-14.2</v>
      </c>
      <c r="D5" s="52">
        <f t="shared" si="0"/>
        <v>-21</v>
      </c>
      <c r="E5" s="19" t="s">
        <v>121</v>
      </c>
      <c r="F5" s="50" t="str">
        <f t="shared" si="2"/>
        <v>Pass</v>
      </c>
      <c r="G5" s="81">
        <v>-21</v>
      </c>
      <c r="H5" s="81">
        <v>2.7</v>
      </c>
      <c r="I5" s="136" t="str">
        <f t="shared" si="1"/>
        <v>SDC22</v>
      </c>
      <c r="J5" s="135"/>
      <c r="K5" s="23"/>
      <c r="L5" s="10"/>
      <c r="M5" s="10"/>
      <c r="N5" s="16"/>
      <c r="O5" s="8"/>
    </row>
    <row r="6" spans="1:15" x14ac:dyDescent="0.2">
      <c r="A6" s="79" t="s">
        <v>88</v>
      </c>
      <c r="B6" s="137" t="str">
        <f>+'Lane 1'!$B6</f>
        <v>RJ - preset 0</v>
      </c>
      <c r="C6" s="74">
        <f>+'Lane 1'!C6</f>
        <v>0.15</v>
      </c>
      <c r="D6" s="83">
        <f>+K6</f>
        <v>8.4414000000000003E-2</v>
      </c>
      <c r="E6" s="19" t="s">
        <v>119</v>
      </c>
      <c r="F6" s="51" t="str">
        <f>IF(G6="","Fail",IF(D6&lt;=C6,"Pass", "Fail"))</f>
        <v>Pass</v>
      </c>
      <c r="G6" s="81">
        <v>6</v>
      </c>
      <c r="H6" s="135"/>
      <c r="I6" s="137" t="str">
        <f t="shared" si="1"/>
        <v>RJ - preset 0</v>
      </c>
      <c r="J6" s="135">
        <v>14.069000000000001</v>
      </c>
      <c r="K6" s="84">
        <f>(G6/1000)*J6</f>
        <v>8.4414000000000003E-2</v>
      </c>
      <c r="L6" s="21"/>
      <c r="M6" s="21"/>
      <c r="N6" s="21"/>
      <c r="O6" s="11" t="s">
        <v>136</v>
      </c>
    </row>
    <row r="7" spans="1:15" x14ac:dyDescent="0.2">
      <c r="A7" s="79" t="s">
        <v>88</v>
      </c>
      <c r="B7" s="137" t="str">
        <f>+'Lane 1'!$B7</f>
        <v>RJ - preset 15 - Amplitude 0</v>
      </c>
      <c r="C7" s="74">
        <f>+'Lane 1'!C7</f>
        <v>0.15</v>
      </c>
      <c r="D7" s="83">
        <f t="shared" ref="D7:D17" si="3">+K7</f>
        <v>9.8483000000000001E-2</v>
      </c>
      <c r="E7" s="19" t="s">
        <v>119</v>
      </c>
      <c r="F7" s="51" t="str">
        <f t="shared" ref="F7:F8" si="4">IF(G7="","Fail",IF(D7&lt;=C7,"Pass", "Fail"))</f>
        <v>Pass</v>
      </c>
      <c r="G7" s="81">
        <v>7</v>
      </c>
      <c r="H7" s="135"/>
      <c r="I7" s="137" t="str">
        <f t="shared" si="1"/>
        <v>RJ - preset 15 - Amplitude 0</v>
      </c>
      <c r="J7" s="135">
        <v>14.069000000000001</v>
      </c>
      <c r="K7" s="84">
        <f t="shared" ref="K7:K8" si="5">(G7/1000)*J7</f>
        <v>9.8483000000000001E-2</v>
      </c>
      <c r="L7" s="21"/>
      <c r="M7" s="21"/>
      <c r="N7" s="21"/>
      <c r="O7" s="11" t="s">
        <v>136</v>
      </c>
    </row>
    <row r="8" spans="1:15" x14ac:dyDescent="0.2">
      <c r="A8" s="79" t="s">
        <v>88</v>
      </c>
      <c r="B8" s="137" t="str">
        <f>+'Lane 1'!$B8</f>
        <v>RJ - preset 15 - Amplitude 1</v>
      </c>
      <c r="C8" s="74">
        <f>+'Lane 1'!C8</f>
        <v>0.15</v>
      </c>
      <c r="D8" s="83">
        <f t="shared" si="3"/>
        <v>0.11255200000000001</v>
      </c>
      <c r="E8" s="19" t="s">
        <v>119</v>
      </c>
      <c r="F8" s="51" t="str">
        <f t="shared" si="4"/>
        <v>Pass</v>
      </c>
      <c r="G8" s="81">
        <v>8</v>
      </c>
      <c r="H8" s="135"/>
      <c r="I8" s="137" t="str">
        <f t="shared" si="1"/>
        <v>RJ - preset 15 - Amplitude 1</v>
      </c>
      <c r="J8" s="135">
        <v>14.069000000000001</v>
      </c>
      <c r="K8" s="84">
        <f t="shared" si="5"/>
        <v>0.11255200000000001</v>
      </c>
      <c r="L8" s="21"/>
      <c r="M8" s="21"/>
      <c r="N8" s="21"/>
      <c r="O8" s="11" t="s">
        <v>136</v>
      </c>
    </row>
    <row r="9" spans="1:15" x14ac:dyDescent="0.2">
      <c r="A9" s="79" t="s">
        <v>88</v>
      </c>
      <c r="B9" s="137" t="str">
        <f>+'Lane 1'!$B9</f>
        <v>DCD - preset 0</v>
      </c>
      <c r="C9" s="74">
        <f>+'Lane 1'!C9</f>
        <v>3.5000000000000003E-2</v>
      </c>
      <c r="D9" s="83">
        <f t="shared" si="3"/>
        <v>1E-3</v>
      </c>
      <c r="E9" s="21" t="s">
        <v>119</v>
      </c>
      <c r="F9" s="50" t="str">
        <f>IF(G9="","Fail",IF(D9&lt;=C9,"Pass", "Fail"))</f>
        <v>Pass</v>
      </c>
      <c r="G9" s="81">
        <v>1</v>
      </c>
      <c r="H9" s="135"/>
      <c r="I9" s="137" t="str">
        <f t="shared" si="1"/>
        <v>DCD - preset 0</v>
      </c>
      <c r="J9" s="135">
        <v>1000</v>
      </c>
      <c r="K9" s="84">
        <f>+G9/J9</f>
        <v>1E-3</v>
      </c>
      <c r="L9" s="21"/>
      <c r="M9" s="21"/>
      <c r="N9" s="21"/>
      <c r="O9" s="23" t="s">
        <v>74</v>
      </c>
    </row>
    <row r="10" spans="1:15" x14ac:dyDescent="0.2">
      <c r="A10" s="79" t="s">
        <v>88</v>
      </c>
      <c r="B10" s="137" t="str">
        <f>+'Lane 1'!$B10</f>
        <v>DCD - preset 15 - amplitude 0</v>
      </c>
      <c r="C10" s="74">
        <f>+'Lane 1'!C10</f>
        <v>3.5000000000000003E-2</v>
      </c>
      <c r="D10" s="83">
        <f t="shared" si="3"/>
        <v>1.0999999999999999E-2</v>
      </c>
      <c r="E10" s="21" t="s">
        <v>119</v>
      </c>
      <c r="F10" s="50" t="str">
        <f t="shared" ref="F10:F11" si="6">IF(G10="","Fail",IF(D10&lt;=C10,"Pass", "Fail"))</f>
        <v>Pass</v>
      </c>
      <c r="G10" s="81">
        <v>11</v>
      </c>
      <c r="H10" s="135"/>
      <c r="I10" s="137" t="str">
        <f t="shared" si="1"/>
        <v>DCD - preset 15 - amplitude 0</v>
      </c>
      <c r="J10" s="135">
        <v>1000</v>
      </c>
      <c r="K10" s="84">
        <f t="shared" ref="K10:K11" si="7">+G10/J10</f>
        <v>1.0999999999999999E-2</v>
      </c>
      <c r="L10" s="21"/>
      <c r="M10" s="21"/>
      <c r="N10" s="21"/>
      <c r="O10" s="23" t="s">
        <v>74</v>
      </c>
    </row>
    <row r="11" spans="1:15" x14ac:dyDescent="0.2">
      <c r="A11" s="79" t="s">
        <v>88</v>
      </c>
      <c r="B11" s="137" t="str">
        <f>+'Lane 1'!$B11</f>
        <v>DCD - preset 15 - amplitude 1</v>
      </c>
      <c r="C11" s="74">
        <f>+'Lane 1'!C11</f>
        <v>3.5000000000000003E-2</v>
      </c>
      <c r="D11" s="83">
        <f t="shared" si="3"/>
        <v>6.0000000000000001E-3</v>
      </c>
      <c r="E11" s="21" t="s">
        <v>119</v>
      </c>
      <c r="F11" s="50" t="str">
        <f t="shared" si="6"/>
        <v>Pass</v>
      </c>
      <c r="G11" s="81">
        <v>6</v>
      </c>
      <c r="H11" s="135"/>
      <c r="I11" s="137" t="str">
        <f t="shared" si="1"/>
        <v>DCD - preset 15 - amplitude 1</v>
      </c>
      <c r="J11" s="135">
        <v>1000</v>
      </c>
      <c r="K11" s="84">
        <f t="shared" si="7"/>
        <v>6.0000000000000001E-3</v>
      </c>
      <c r="L11" s="21"/>
      <c r="M11" s="21"/>
      <c r="N11" s="21"/>
      <c r="O11" s="23" t="s">
        <v>74</v>
      </c>
    </row>
    <row r="12" spans="1:15" x14ac:dyDescent="0.2">
      <c r="A12" s="79" t="s">
        <v>88</v>
      </c>
      <c r="B12" s="137" t="str">
        <f>+'Lane 1'!$B12</f>
        <v>TJ - preset 0</v>
      </c>
      <c r="C12" s="74" t="str">
        <f>+'Lane 1'!C12</f>
        <v>Used to calc TJ-DDJ</v>
      </c>
      <c r="D12" s="83">
        <f t="shared" si="3"/>
        <v>0.34</v>
      </c>
      <c r="E12" s="21" t="s">
        <v>119</v>
      </c>
      <c r="F12" s="50" t="s">
        <v>5</v>
      </c>
      <c r="G12" s="85">
        <v>340</v>
      </c>
      <c r="H12" s="135"/>
      <c r="I12" s="137" t="str">
        <f t="shared" si="1"/>
        <v>TJ - preset 0</v>
      </c>
      <c r="J12" s="135">
        <v>1000</v>
      </c>
      <c r="K12" s="84">
        <f>+G12/J12</f>
        <v>0.34</v>
      </c>
      <c r="L12" s="21"/>
      <c r="M12" s="21"/>
      <c r="N12" s="21"/>
      <c r="O12" s="23" t="s">
        <v>74</v>
      </c>
    </row>
    <row r="13" spans="1:15" x14ac:dyDescent="0.2">
      <c r="A13" s="79" t="s">
        <v>88</v>
      </c>
      <c r="B13" s="137" t="str">
        <f>+'Lane 1'!$B13</f>
        <v>TJ - preset 15 - amplitude 0</v>
      </c>
      <c r="C13" s="74" t="str">
        <f>+'Lane 1'!C13</f>
        <v>Used to calc TJ-DDJ</v>
      </c>
      <c r="D13" s="83">
        <f t="shared" si="3"/>
        <v>0.6</v>
      </c>
      <c r="E13" s="21" t="s">
        <v>119</v>
      </c>
      <c r="F13" s="50" t="s">
        <v>5</v>
      </c>
      <c r="G13" s="85">
        <v>600</v>
      </c>
      <c r="H13" s="135"/>
      <c r="I13" s="137" t="str">
        <f t="shared" si="1"/>
        <v>TJ - preset 15 - amplitude 0</v>
      </c>
      <c r="J13" s="135">
        <v>1000</v>
      </c>
      <c r="K13" s="84">
        <f t="shared" ref="K13:K14" si="8">+G13/J13</f>
        <v>0.6</v>
      </c>
      <c r="L13" s="21"/>
      <c r="M13" s="21"/>
      <c r="N13" s="21"/>
      <c r="O13" s="23" t="s">
        <v>74</v>
      </c>
    </row>
    <row r="14" spans="1:15" x14ac:dyDescent="0.2">
      <c r="A14" s="79" t="s">
        <v>88</v>
      </c>
      <c r="B14" s="137" t="str">
        <f>+'Lane 1'!$B14</f>
        <v>TJ - preset 15 - amplitude 1</v>
      </c>
      <c r="C14" s="74" t="str">
        <f>+'Lane 1'!C14</f>
        <v>Used to calc TJ-DDJ</v>
      </c>
      <c r="D14" s="83">
        <f t="shared" si="3"/>
        <v>0.60099999999999998</v>
      </c>
      <c r="E14" s="21" t="s">
        <v>119</v>
      </c>
      <c r="F14" s="50" t="s">
        <v>5</v>
      </c>
      <c r="G14" s="85">
        <v>601</v>
      </c>
      <c r="H14" s="135"/>
      <c r="I14" s="137" t="str">
        <f t="shared" si="1"/>
        <v>TJ - preset 15 - amplitude 1</v>
      </c>
      <c r="J14" s="135">
        <v>1000</v>
      </c>
      <c r="K14" s="84">
        <f t="shared" si="8"/>
        <v>0.60099999999999998</v>
      </c>
      <c r="L14" s="21"/>
      <c r="M14" s="21"/>
      <c r="N14" s="21"/>
      <c r="O14" s="23" t="s">
        <v>74</v>
      </c>
    </row>
    <row r="15" spans="1:15" x14ac:dyDescent="0.2">
      <c r="A15" s="79" t="s">
        <v>88</v>
      </c>
      <c r="B15" s="137" t="str">
        <f>+'Lane 1'!$B15</f>
        <v>DDJ - preset 0</v>
      </c>
      <c r="C15" s="74" t="str">
        <f>+'Lane 1'!C15</f>
        <v>Used to calc TJ-DDJ</v>
      </c>
      <c r="D15" s="83">
        <f t="shared" si="3"/>
        <v>0.23</v>
      </c>
      <c r="E15" s="21" t="s">
        <v>119</v>
      </c>
      <c r="F15" s="50" t="s">
        <v>5</v>
      </c>
      <c r="G15" s="85">
        <v>230</v>
      </c>
      <c r="H15" s="135"/>
      <c r="I15" s="137" t="str">
        <f t="shared" si="1"/>
        <v>DDJ - preset 0</v>
      </c>
      <c r="J15" s="135">
        <v>1000</v>
      </c>
      <c r="K15" s="84">
        <f>+G15/J15</f>
        <v>0.23</v>
      </c>
      <c r="L15" s="21"/>
      <c r="M15" s="21"/>
      <c r="N15" s="21"/>
      <c r="O15" s="23" t="s">
        <v>74</v>
      </c>
    </row>
    <row r="16" spans="1:15" x14ac:dyDescent="0.2">
      <c r="A16" s="79" t="s">
        <v>88</v>
      </c>
      <c r="B16" s="137" t="str">
        <f>+'Lane 1'!$B16</f>
        <v>DDJ - preset 15 - amplitude 0</v>
      </c>
      <c r="C16" s="74" t="str">
        <f>+'Lane 1'!C16</f>
        <v>Used to calc TJ-DDJ</v>
      </c>
      <c r="D16" s="83">
        <f t="shared" si="3"/>
        <v>0.375</v>
      </c>
      <c r="E16" s="21" t="s">
        <v>119</v>
      </c>
      <c r="F16" s="50" t="s">
        <v>5</v>
      </c>
      <c r="G16" s="85">
        <v>375</v>
      </c>
      <c r="H16" s="135"/>
      <c r="I16" s="137" t="str">
        <f t="shared" si="1"/>
        <v>DDJ - preset 15 - amplitude 0</v>
      </c>
      <c r="J16" s="135">
        <v>1000</v>
      </c>
      <c r="K16" s="84">
        <f t="shared" ref="K16:K17" si="9">+G16/J16</f>
        <v>0.375</v>
      </c>
      <c r="L16" s="21"/>
      <c r="M16" s="21"/>
      <c r="N16" s="21"/>
      <c r="O16" s="23" t="s">
        <v>74</v>
      </c>
    </row>
    <row r="17" spans="1:18" x14ac:dyDescent="0.2">
      <c r="A17" s="79" t="s">
        <v>88</v>
      </c>
      <c r="B17" s="137" t="str">
        <f>+'Lane 1'!$B17</f>
        <v>DDJ - preset 15 - amplitude 1</v>
      </c>
      <c r="C17" s="74" t="str">
        <f>+'Lane 1'!C17</f>
        <v>Used to calc TJ-DDJ</v>
      </c>
      <c r="D17" s="83">
        <f t="shared" si="3"/>
        <v>0.36</v>
      </c>
      <c r="E17" s="21" t="s">
        <v>119</v>
      </c>
      <c r="F17" s="50" t="s">
        <v>5</v>
      </c>
      <c r="G17" s="85">
        <v>360</v>
      </c>
      <c r="H17" s="135"/>
      <c r="I17" s="137" t="str">
        <f t="shared" si="1"/>
        <v>DDJ - preset 15 - amplitude 1</v>
      </c>
      <c r="J17" s="135">
        <v>1000</v>
      </c>
      <c r="K17" s="84">
        <f t="shared" si="9"/>
        <v>0.36</v>
      </c>
      <c r="L17" s="21"/>
      <c r="M17" s="21"/>
      <c r="N17" s="21"/>
      <c r="O17" s="23" t="s">
        <v>74</v>
      </c>
    </row>
    <row r="18" spans="1:18" x14ac:dyDescent="0.2">
      <c r="A18" s="79" t="s">
        <v>88</v>
      </c>
      <c r="B18" s="26" t="str">
        <f>+'Lane 1'!$B18</f>
        <v>TJ-DDJ - preset 0</v>
      </c>
      <c r="C18" s="74">
        <f>+'Lane 1'!C18</f>
        <v>0.25</v>
      </c>
      <c r="D18" s="83">
        <f>+K18</f>
        <v>0.11000000000000001</v>
      </c>
      <c r="E18" s="21" t="s">
        <v>119</v>
      </c>
      <c r="F18" s="51" t="str">
        <f>IF(OR(G12="",D15=""),"Fail",IF(D18&lt;=C18,"Pass", "Fail"))</f>
        <v>Pass</v>
      </c>
      <c r="G18" s="135"/>
      <c r="H18" s="135"/>
      <c r="I18" s="26" t="str">
        <f t="shared" si="1"/>
        <v>TJ-DDJ - preset 0</v>
      </c>
      <c r="J18" s="135"/>
      <c r="K18" s="83">
        <f>+K12-K15</f>
        <v>0.11000000000000001</v>
      </c>
      <c r="L18" s="21"/>
      <c r="M18" s="21"/>
      <c r="N18" s="21"/>
      <c r="O18" s="23" t="s">
        <v>74</v>
      </c>
    </row>
    <row r="19" spans="1:18" x14ac:dyDescent="0.2">
      <c r="A19" s="79" t="s">
        <v>88</v>
      </c>
      <c r="B19" s="26" t="str">
        <f>+'Lane 1'!$B19</f>
        <v>TJ-DDJ - preset 15 - amplitude 0</v>
      </c>
      <c r="C19" s="74">
        <f>+'Lane 1'!C19</f>
        <v>0.25</v>
      </c>
      <c r="D19" s="83">
        <f t="shared" ref="D19:D20" si="10">+K19</f>
        <v>0.22499999999999998</v>
      </c>
      <c r="E19" s="21" t="s">
        <v>119</v>
      </c>
      <c r="F19" s="51" t="str">
        <f t="shared" ref="F19:F20" si="11">IF(OR(G13="",D16=""),"Fail",IF(D19&lt;=C19,"Pass", "Fail"))</f>
        <v>Pass</v>
      </c>
      <c r="G19" s="135"/>
      <c r="H19" s="135"/>
      <c r="I19" s="26" t="str">
        <f t="shared" si="1"/>
        <v>TJ-DDJ - preset 15 - amplitude 0</v>
      </c>
      <c r="J19" s="135"/>
      <c r="K19" s="83">
        <f t="shared" ref="K19:K20" si="12">+K13-K16</f>
        <v>0.22499999999999998</v>
      </c>
      <c r="L19" s="21"/>
      <c r="M19" s="21"/>
      <c r="N19" s="21"/>
      <c r="O19" s="23" t="s">
        <v>74</v>
      </c>
    </row>
    <row r="20" spans="1:18" x14ac:dyDescent="0.2">
      <c r="A20" s="79" t="s">
        <v>88</v>
      </c>
      <c r="B20" s="26" t="str">
        <f>+'Lane 1'!$B20</f>
        <v>TJ-DDJ - preset 15 - amplitude 1</v>
      </c>
      <c r="C20" s="74">
        <f>+'Lane 1'!C20</f>
        <v>0.25</v>
      </c>
      <c r="D20" s="83">
        <f t="shared" si="10"/>
        <v>0.24099999999999999</v>
      </c>
      <c r="E20" s="21" t="s">
        <v>119</v>
      </c>
      <c r="F20" s="51" t="str">
        <f t="shared" si="11"/>
        <v>Pass</v>
      </c>
      <c r="G20" s="135"/>
      <c r="H20" s="135"/>
      <c r="I20" s="26" t="str">
        <f t="shared" si="1"/>
        <v>TJ-DDJ - preset 15 - amplitude 1</v>
      </c>
      <c r="J20" s="135"/>
      <c r="K20" s="83">
        <f t="shared" si="12"/>
        <v>0.24099999999999999</v>
      </c>
      <c r="L20" s="21"/>
      <c r="M20" s="21"/>
      <c r="N20" s="21"/>
      <c r="O20" s="23" t="s">
        <v>74</v>
      </c>
    </row>
    <row r="21" spans="1:18" x14ac:dyDescent="0.2">
      <c r="A21" s="79" t="s">
        <v>88</v>
      </c>
      <c r="B21" s="26" t="str">
        <f>+'Lane 1'!$B21</f>
        <v>J2 - preset 0</v>
      </c>
      <c r="C21" s="74">
        <f>+'Lane 1'!C21</f>
        <v>0.19</v>
      </c>
      <c r="D21" s="83">
        <f>+K21</f>
        <v>0.16</v>
      </c>
      <c r="E21" s="21" t="s">
        <v>119</v>
      </c>
      <c r="F21" s="51" t="str">
        <f>IF(G21="","Fail",IF(D21&lt;=C21,"Pass", "Fail"))</f>
        <v>Pass</v>
      </c>
      <c r="G21" s="81">
        <v>160</v>
      </c>
      <c r="H21" s="135"/>
      <c r="I21" s="26" t="str">
        <f t="shared" si="1"/>
        <v>J2 - preset 0</v>
      </c>
      <c r="J21" s="135">
        <v>1000</v>
      </c>
      <c r="K21" s="84">
        <f>+G21/J21</f>
        <v>0.16</v>
      </c>
      <c r="L21" s="21"/>
      <c r="M21" s="21"/>
      <c r="N21" s="21"/>
      <c r="O21" s="23" t="s">
        <v>74</v>
      </c>
    </row>
    <row r="22" spans="1:18" x14ac:dyDescent="0.2">
      <c r="A22" s="79" t="s">
        <v>88</v>
      </c>
      <c r="B22" s="26" t="str">
        <f>+'Lane 1'!$B22</f>
        <v>J9 - preset 0</v>
      </c>
      <c r="C22" s="74">
        <f>+'Lane 1'!C22</f>
        <v>0.33</v>
      </c>
      <c r="D22" s="83">
        <f t="shared" ref="D22:D23" si="13">+K22</f>
        <v>0.29499999999999998</v>
      </c>
      <c r="E22" s="21" t="s">
        <v>119</v>
      </c>
      <c r="F22" s="51" t="str">
        <f>IF(G22="","Fail",IF(D22&lt;=C22,"Pass", "Fail"))</f>
        <v>Pass</v>
      </c>
      <c r="G22" s="81">
        <v>295</v>
      </c>
      <c r="H22" s="135"/>
      <c r="I22" s="26" t="str">
        <f t="shared" si="1"/>
        <v>J9 - preset 0</v>
      </c>
      <c r="J22" s="135">
        <v>1000</v>
      </c>
      <c r="K22" s="84">
        <f>+G22/J22</f>
        <v>0.29499999999999998</v>
      </c>
      <c r="L22" s="21"/>
      <c r="M22" s="21"/>
      <c r="N22" s="21"/>
      <c r="O22" s="23" t="s">
        <v>74</v>
      </c>
    </row>
    <row r="23" spans="1:18" x14ac:dyDescent="0.2">
      <c r="A23" s="79" t="s">
        <v>88</v>
      </c>
      <c r="B23" s="26" t="str">
        <f>+'Lane 1'!$B23</f>
        <v>DDPWS</v>
      </c>
      <c r="C23" s="74">
        <f>+'Lane 1'!C23</f>
        <v>0.11</v>
      </c>
      <c r="D23" s="83">
        <f t="shared" si="13"/>
        <v>0.125</v>
      </c>
      <c r="E23" s="13" t="s">
        <v>119</v>
      </c>
      <c r="F23" s="51" t="str">
        <f>IF(G23="","Fail",IF(D23&lt;=C23,"Pass", "Fail"))</f>
        <v>Fail</v>
      </c>
      <c r="G23" s="85">
        <v>125</v>
      </c>
      <c r="H23" s="135"/>
      <c r="I23" s="26" t="str">
        <f t="shared" si="1"/>
        <v>DDPWS</v>
      </c>
      <c r="J23" s="135">
        <v>1000</v>
      </c>
      <c r="K23" s="84">
        <f>+G23/J23</f>
        <v>0.125</v>
      </c>
      <c r="L23" s="21"/>
      <c r="M23" s="21"/>
      <c r="N23" s="21"/>
      <c r="O23" s="23" t="s">
        <v>154</v>
      </c>
    </row>
    <row r="24" spans="1:18" x14ac:dyDescent="0.2">
      <c r="A24" s="79" t="s">
        <v>88</v>
      </c>
      <c r="B24" s="53" t="str">
        <f>+'Lane 1'!$B24</f>
        <v>DDPWS</v>
      </c>
      <c r="C24" s="74">
        <f>+'Lane 1'!C24</f>
        <v>0.11</v>
      </c>
      <c r="D24" s="86">
        <f>+B79</f>
        <v>6.2428018001382125E-2</v>
      </c>
      <c r="E24" s="13" t="s">
        <v>119</v>
      </c>
      <c r="F24" s="51" t="str">
        <f>IF(G24="","Fail",IF(D24&lt;=C24,"Pass", "Fail"))</f>
        <v>Pass</v>
      </c>
      <c r="G24" s="85">
        <v>15</v>
      </c>
      <c r="H24" s="135"/>
      <c r="I24" s="53" t="str">
        <f t="shared" si="1"/>
        <v>DDPWS</v>
      </c>
      <c r="J24" s="135"/>
      <c r="K24" s="23"/>
      <c r="L24" s="21"/>
      <c r="M24" s="21"/>
      <c r="N24" s="21"/>
      <c r="O24" s="23" t="s">
        <v>153</v>
      </c>
      <c r="Q24" s="23" t="str">
        <f t="array" ref="Q24:R34">'Lane 1'!Q24:R34</f>
        <v>Testing Order</v>
      </c>
      <c r="R24" s="23">
        <v>0</v>
      </c>
    </row>
    <row r="25" spans="1:18" x14ac:dyDescent="0.2">
      <c r="A25" s="79" t="s">
        <v>88</v>
      </c>
      <c r="B25" s="26" t="str">
        <f>+'Lane 1'!$B25</f>
        <v>X1, X2, Y1, Y2</v>
      </c>
      <c r="C25" s="44">
        <f>+'Lane 1'!C25</f>
        <v>5.0000000000000002E-5</v>
      </c>
      <c r="D25" s="83">
        <f>+L25/(M25*N25)</f>
        <v>0</v>
      </c>
      <c r="E25" s="21" t="s">
        <v>119</v>
      </c>
      <c r="F25" s="50" t="str">
        <f>IF(L25="","NT",IF(D25&lt;=C25,"Pass", "Fail"))</f>
        <v>NT</v>
      </c>
      <c r="G25" s="195" t="s">
        <v>181</v>
      </c>
      <c r="H25" s="135"/>
      <c r="I25" s="26" t="str">
        <f t="shared" si="1"/>
        <v>X1, X2, Y1, Y2</v>
      </c>
      <c r="J25" s="135"/>
      <c r="L25" s="81"/>
      <c r="M25" s="81">
        <v>110</v>
      </c>
      <c r="N25" s="81">
        <v>16200</v>
      </c>
      <c r="O25" s="23" t="s">
        <v>152</v>
      </c>
      <c r="Q25" s="23" t="str">
        <v>Preset 0</v>
      </c>
      <c r="R25" s="23" t="str">
        <v>Agilent and then BERTScope</v>
      </c>
    </row>
    <row r="26" spans="1:18" x14ac:dyDescent="0.2">
      <c r="A26" s="79" t="s">
        <v>88</v>
      </c>
      <c r="B26" s="53" t="str">
        <f>+'Lane 1'!$B26</f>
        <v>X1, X2, Y1, Y2</v>
      </c>
      <c r="C26" s="44">
        <f>+'Lane 1'!C26</f>
        <v>5.0000000000000002E-5</v>
      </c>
      <c r="D26" s="83">
        <f>+L26/(M26*N26)</f>
        <v>0</v>
      </c>
      <c r="E26" s="21" t="s">
        <v>119</v>
      </c>
      <c r="F26" s="50" t="str">
        <f>IF(L26="","Fail",IF(D26&lt;=C26,"Pass", "Fail"))</f>
        <v>Pass</v>
      </c>
      <c r="G26" s="196"/>
      <c r="H26" s="135"/>
      <c r="I26" s="53" t="str">
        <f t="shared" si="1"/>
        <v>X1, X2, Y1, Y2</v>
      </c>
      <c r="J26" s="135"/>
      <c r="K26" s="23"/>
      <c r="L26" s="81">
        <v>0</v>
      </c>
      <c r="M26" s="81">
        <v>110</v>
      </c>
      <c r="N26" s="81">
        <v>16200</v>
      </c>
      <c r="O26" s="23" t="s">
        <v>151</v>
      </c>
      <c r="Q26" s="23" t="str">
        <v>Eye Mask</v>
      </c>
      <c r="R26" s="23" t="str">
        <v>Make sure settings are correct.</v>
      </c>
    </row>
    <row r="27" spans="1:18" x14ac:dyDescent="0.2">
      <c r="A27" s="79" t="s">
        <v>88</v>
      </c>
      <c r="B27" s="53" t="str">
        <f>+'Lane 1'!$B27</f>
        <v>Tr</v>
      </c>
      <c r="C27" s="24">
        <f>+'Lane 1'!C27</f>
        <v>24</v>
      </c>
      <c r="D27" s="83">
        <f>+G27</f>
        <v>50</v>
      </c>
      <c r="E27" s="21" t="s">
        <v>126</v>
      </c>
      <c r="F27" s="50" t="str">
        <f>IF(D27="","Fail",IF(D27&gt;=C27,"Pass","Fail"))</f>
        <v>Pass</v>
      </c>
      <c r="G27" s="81">
        <v>50</v>
      </c>
      <c r="H27" s="135"/>
      <c r="I27" s="53" t="str">
        <f t="shared" si="1"/>
        <v>Tr</v>
      </c>
      <c r="J27" s="135"/>
      <c r="K27" s="23"/>
      <c r="L27" s="21"/>
      <c r="M27" s="21"/>
      <c r="N27" s="21"/>
      <c r="O27" s="23"/>
      <c r="Q27" s="23" t="str">
        <v>Tr</v>
      </c>
      <c r="R27" s="23" t="str">
        <v>PRBS11</v>
      </c>
    </row>
    <row r="28" spans="1:18" x14ac:dyDescent="0.2">
      <c r="A28" s="79" t="s">
        <v>88</v>
      </c>
      <c r="B28" s="53" t="str">
        <f>+'Lane 1'!$B28</f>
        <v>Tf</v>
      </c>
      <c r="C28" s="24">
        <f>+'Lane 1'!C28</f>
        <v>24</v>
      </c>
      <c r="D28" s="83">
        <f>+G28</f>
        <v>45</v>
      </c>
      <c r="E28" s="87" t="s">
        <v>126</v>
      </c>
      <c r="F28" s="50" t="str">
        <f>IF(D28="","Fail",IF(D28&gt;=C28,"Pass","Fail"))</f>
        <v>Pass</v>
      </c>
      <c r="G28" s="81">
        <v>45</v>
      </c>
      <c r="H28" s="135"/>
      <c r="I28" s="53" t="str">
        <f t="shared" si="1"/>
        <v>Tf</v>
      </c>
      <c r="J28" s="135"/>
      <c r="K28" s="23"/>
      <c r="L28" s="21"/>
      <c r="M28" s="21"/>
      <c r="N28" s="21"/>
      <c r="O28" s="23"/>
      <c r="Q28" s="23" t="str">
        <v>tf</v>
      </c>
      <c r="R28" s="23" t="str">
        <v>PRBS11</v>
      </c>
    </row>
    <row r="29" spans="1:18" x14ac:dyDescent="0.2">
      <c r="A29" s="88" t="s">
        <v>89</v>
      </c>
      <c r="B29" s="53" t="str">
        <f>+'Lane 1'!$B29</f>
        <v>Vcm preset 0</v>
      </c>
      <c r="C29" s="24">
        <f>+'Lane 1'!C29</f>
        <v>20</v>
      </c>
      <c r="D29" s="83">
        <f t="shared" ref="D29:D33" si="14">+K29</f>
        <v>11</v>
      </c>
      <c r="E29" s="21" t="s">
        <v>120</v>
      </c>
      <c r="F29" s="50" t="str">
        <f>IF(G29="","Fail",IF(D29&lt;=C29,"Pass", "Fail"))</f>
        <v>Pass</v>
      </c>
      <c r="G29" s="85">
        <v>22</v>
      </c>
      <c r="H29" s="135"/>
      <c r="I29" s="53" t="str">
        <f t="shared" si="1"/>
        <v>Vcm preset 0</v>
      </c>
      <c r="J29" s="135">
        <v>2</v>
      </c>
      <c r="K29" s="84">
        <f>+G29/J29</f>
        <v>11</v>
      </c>
      <c r="L29" s="21"/>
      <c r="M29" s="21"/>
      <c r="N29" s="21"/>
      <c r="O29" s="14" t="s">
        <v>66</v>
      </c>
      <c r="Q29" s="23" t="str">
        <v>vcm</v>
      </c>
      <c r="R29" s="23" t="str">
        <v>Take Max value</v>
      </c>
    </row>
    <row r="30" spans="1:18" x14ac:dyDescent="0.2">
      <c r="A30" s="88" t="s">
        <v>89</v>
      </c>
      <c r="B30" s="53" t="str">
        <f>+'Lane 1'!$B30</f>
        <v>Vcm preset 2 - amplitude 0</v>
      </c>
      <c r="C30" s="24">
        <f>+'Lane 1'!C30</f>
        <v>30</v>
      </c>
      <c r="D30" s="83">
        <f t="shared" si="14"/>
        <v>7</v>
      </c>
      <c r="E30" s="21" t="s">
        <v>120</v>
      </c>
      <c r="F30" s="50" t="str">
        <f>IF(G30="","Fail",IF(D30&lt;=C30,"Pass", "Fail"))</f>
        <v>Pass</v>
      </c>
      <c r="G30" s="85">
        <v>14</v>
      </c>
      <c r="H30" s="135"/>
      <c r="I30" s="53" t="str">
        <f t="shared" si="1"/>
        <v>Vcm preset 2 - amplitude 0</v>
      </c>
      <c r="J30" s="135">
        <v>2</v>
      </c>
      <c r="K30" s="84">
        <f>+G30/J30</f>
        <v>7</v>
      </c>
      <c r="L30" s="21"/>
      <c r="M30" s="21"/>
      <c r="N30" s="21"/>
      <c r="O30" s="14" t="s">
        <v>66</v>
      </c>
      <c r="Q30" s="23" t="str">
        <v>vdiffp</v>
      </c>
      <c r="R30" s="23" t="str">
        <v>Take Max value</v>
      </c>
    </row>
    <row r="31" spans="1:18" x14ac:dyDescent="0.2">
      <c r="A31" s="88" t="s">
        <v>89</v>
      </c>
      <c r="B31" s="53" t="str">
        <f>+'Lane 1'!$B31</f>
        <v>Vcm preset 2 - amplitude 1</v>
      </c>
      <c r="C31" s="24">
        <f>+'Lane 1'!C31</f>
        <v>30</v>
      </c>
      <c r="D31" s="83">
        <f t="shared" si="14"/>
        <v>9</v>
      </c>
      <c r="E31" s="21" t="s">
        <v>120</v>
      </c>
      <c r="F31" s="50" t="str">
        <f t="shared" ref="F31:F33" si="15">IF(G31="","Fail",IF(D31&lt;=C31,"Pass", "Fail"))</f>
        <v>Pass</v>
      </c>
      <c r="G31" s="85">
        <v>18</v>
      </c>
      <c r="H31" s="135"/>
      <c r="I31" s="53" t="str">
        <f t="shared" si="1"/>
        <v>Vcm preset 2 - amplitude 1</v>
      </c>
      <c r="J31" s="135">
        <v>2</v>
      </c>
      <c r="K31" s="84">
        <f t="shared" ref="K31:K33" si="16">+G31/J31</f>
        <v>9</v>
      </c>
      <c r="L31" s="21"/>
      <c r="M31" s="21"/>
      <c r="N31" s="21"/>
      <c r="O31" s="14" t="s">
        <v>66</v>
      </c>
      <c r="Q31" s="23" t="str">
        <v>DDPWs</v>
      </c>
      <c r="R31" s="23" t="str">
        <v>See calculations in B71:76</v>
      </c>
    </row>
    <row r="32" spans="1:18" x14ac:dyDescent="0.2">
      <c r="A32" s="88" t="s">
        <v>89</v>
      </c>
      <c r="B32" s="53" t="str">
        <f>+'Lane 1'!$B32</f>
        <v>Vcm preset 15 - amplitude 0</v>
      </c>
      <c r="C32" s="24">
        <f>+'Lane 1'!C32</f>
        <v>30</v>
      </c>
      <c r="D32" s="83">
        <f t="shared" si="14"/>
        <v>7</v>
      </c>
      <c r="E32" s="21" t="s">
        <v>120</v>
      </c>
      <c r="F32" s="50" t="str">
        <f t="shared" si="15"/>
        <v>Pass</v>
      </c>
      <c r="G32" s="85">
        <v>14</v>
      </c>
      <c r="H32" s="135"/>
      <c r="I32" s="53" t="str">
        <f t="shared" si="1"/>
        <v>Vcm preset 15 - amplitude 0</v>
      </c>
      <c r="J32" s="135">
        <v>2</v>
      </c>
      <c r="K32" s="84">
        <f t="shared" si="16"/>
        <v>7</v>
      </c>
      <c r="L32" s="21"/>
      <c r="M32" s="21"/>
      <c r="N32" s="21"/>
      <c r="O32" s="14" t="s">
        <v>66</v>
      </c>
      <c r="Q32" s="23" t="str">
        <v>Preset 1</v>
      </c>
      <c r="R32" s="23">
        <v>0</v>
      </c>
    </row>
    <row r="33" spans="1:18" x14ac:dyDescent="0.2">
      <c r="A33" s="88" t="s">
        <v>89</v>
      </c>
      <c r="B33" s="53" t="str">
        <f>+'Lane 1'!$B33</f>
        <v>Vcm preset 15 - amplitude 1</v>
      </c>
      <c r="C33" s="24">
        <f>+'Lane 1'!C33</f>
        <v>30</v>
      </c>
      <c r="D33" s="83">
        <f t="shared" si="14"/>
        <v>9</v>
      </c>
      <c r="E33" s="21" t="s">
        <v>120</v>
      </c>
      <c r="F33" s="50" t="str">
        <f t="shared" si="15"/>
        <v>Pass</v>
      </c>
      <c r="G33" s="85">
        <v>18</v>
      </c>
      <c r="H33" s="135"/>
      <c r="I33" s="53" t="str">
        <f t="shared" si="1"/>
        <v>Vcm preset 15 - amplitude 1</v>
      </c>
      <c r="J33" s="135">
        <v>2</v>
      </c>
      <c r="K33" s="84">
        <f t="shared" si="16"/>
        <v>9</v>
      </c>
      <c r="L33" s="21"/>
      <c r="M33" s="21"/>
      <c r="N33" s="21"/>
      <c r="O33" s="14" t="s">
        <v>66</v>
      </c>
      <c r="Q33" s="23" t="str">
        <v>Preset 2</v>
      </c>
      <c r="R33" s="23">
        <v>0</v>
      </c>
    </row>
    <row r="34" spans="1:18" x14ac:dyDescent="0.2">
      <c r="A34" s="79" t="s">
        <v>88</v>
      </c>
      <c r="B34" s="53" t="str">
        <f>+'Lane 1'!$B34</f>
        <v>Vdiffpp</v>
      </c>
      <c r="C34" s="24">
        <f>+'Lane 1'!C34</f>
        <v>30</v>
      </c>
      <c r="D34" s="83">
        <f>+G34</f>
        <v>2</v>
      </c>
      <c r="E34" s="24" t="s">
        <v>127</v>
      </c>
      <c r="F34" s="50" t="str">
        <f>IF(G34="","Fail",IF(D34&lt;=C34,"Pass", "Fail"))</f>
        <v>Pass</v>
      </c>
      <c r="G34" s="85">
        <v>2</v>
      </c>
      <c r="H34" s="135"/>
      <c r="I34" s="53" t="str">
        <f t="shared" si="1"/>
        <v>Vdiffpp</v>
      </c>
      <c r="J34" s="135"/>
      <c r="K34" s="23"/>
      <c r="L34" s="23"/>
      <c r="M34" s="23"/>
      <c r="N34" s="23"/>
      <c r="O34" s="23"/>
      <c r="Q34" s="23" t="str">
        <v>Preset 15</v>
      </c>
      <c r="R34" s="23">
        <v>0</v>
      </c>
    </row>
    <row r="35" spans="1:18" x14ac:dyDescent="0.2">
      <c r="A35" s="88" t="s">
        <v>89</v>
      </c>
      <c r="B35" s="53" t="str">
        <f>+'Lane 1'!$B35</f>
        <v>e preset 1 - amplitude 0</v>
      </c>
      <c r="C35" s="24">
        <f>+'Lane 1'!C35</f>
        <v>3.6999999999999998E-2</v>
      </c>
      <c r="D35" s="83">
        <f t="shared" ref="D35:D36" si="17">+G35</f>
        <v>1.7999999999999999E-2</v>
      </c>
      <c r="E35" s="24"/>
      <c r="F35" s="50" t="str">
        <f t="shared" ref="F35:F36" si="18">IF(G35="","Fail",IF(D35&lt;=C35,"Pass", "Fail"))</f>
        <v>Pass</v>
      </c>
      <c r="G35" s="85">
        <v>1.7999999999999999E-2</v>
      </c>
      <c r="H35" s="135"/>
      <c r="I35" s="53" t="str">
        <f t="shared" si="1"/>
        <v>e preset 1 - amplitude 0</v>
      </c>
      <c r="J35" s="135"/>
      <c r="K35" s="23"/>
      <c r="L35" s="23"/>
      <c r="M35" s="23"/>
      <c r="N35" s="23"/>
      <c r="O35" s="89"/>
    </row>
    <row r="36" spans="1:18" x14ac:dyDescent="0.2">
      <c r="A36" s="88" t="s">
        <v>89</v>
      </c>
      <c r="B36" s="53" t="str">
        <f>+'Lane 1'!$B36</f>
        <v>e preset 1 - amplitude 1</v>
      </c>
      <c r="C36" s="24">
        <f>+'Lane 1'!C36</f>
        <v>3.6999999999999998E-2</v>
      </c>
      <c r="D36" s="83">
        <f t="shared" si="17"/>
        <v>1.9E-2</v>
      </c>
      <c r="E36" s="24"/>
      <c r="F36" s="50" t="str">
        <f t="shared" si="18"/>
        <v>Pass</v>
      </c>
      <c r="G36" s="85">
        <v>1.9E-2</v>
      </c>
      <c r="H36" s="135"/>
      <c r="I36" s="53" t="str">
        <f t="shared" si="1"/>
        <v>e preset 1 - amplitude 1</v>
      </c>
      <c r="J36" s="135"/>
      <c r="K36" s="23"/>
      <c r="L36" s="23"/>
      <c r="M36" s="23"/>
      <c r="N36" s="23"/>
      <c r="O36" s="89" t="s">
        <v>163</v>
      </c>
    </row>
    <row r="37" spans="1:18" x14ac:dyDescent="0.2">
      <c r="A37" s="88" t="s">
        <v>89</v>
      </c>
      <c r="B37" s="53" t="str">
        <f>+'Lane 1'!$B37</f>
        <v>e preset 2 - amplitude 0</v>
      </c>
      <c r="C37" s="24">
        <f>+'Lane 1'!C37</f>
        <v>3.6999999999999998E-2</v>
      </c>
      <c r="D37" s="83">
        <f>+G37</f>
        <v>2.1000000000000001E-2</v>
      </c>
      <c r="E37" s="24"/>
      <c r="F37" s="50" t="str">
        <f>IF(G37="","Fail",IF(D37&lt;=C37,"Pass", "Fail"))</f>
        <v>Pass</v>
      </c>
      <c r="G37" s="85">
        <v>2.1000000000000001E-2</v>
      </c>
      <c r="H37" s="135"/>
      <c r="I37" s="53" t="str">
        <f t="shared" si="1"/>
        <v>e preset 2 - amplitude 0</v>
      </c>
      <c r="J37" s="135"/>
      <c r="K37" s="23"/>
      <c r="L37" s="23"/>
      <c r="M37" s="23"/>
      <c r="N37" s="23"/>
      <c r="O37" s="89"/>
    </row>
    <row r="38" spans="1:18" x14ac:dyDescent="0.2">
      <c r="A38" s="88" t="s">
        <v>89</v>
      </c>
      <c r="B38" s="53" t="str">
        <f>+'Lane 1'!$B38</f>
        <v>e preset 2 - amplitude 1</v>
      </c>
      <c r="C38" s="24">
        <f>+'Lane 1'!C38</f>
        <v>3.6999999999999998E-2</v>
      </c>
      <c r="D38" s="83">
        <f t="shared" ref="D38:D40" si="19">+G38</f>
        <v>2.1999999999999999E-2</v>
      </c>
      <c r="E38" s="24"/>
      <c r="F38" s="50" t="str">
        <f t="shared" ref="F38:F40" si="20">IF(G38="","Fail",IF(D38&lt;=C38,"Pass", "Fail"))</f>
        <v>Pass</v>
      </c>
      <c r="G38" s="85">
        <v>2.1999999999999999E-2</v>
      </c>
      <c r="H38" s="135"/>
      <c r="I38" s="53" t="str">
        <f t="shared" si="1"/>
        <v>e preset 2 - amplitude 1</v>
      </c>
      <c r="J38" s="135"/>
      <c r="K38" s="23"/>
      <c r="L38" s="23"/>
      <c r="M38" s="23"/>
      <c r="N38" s="23"/>
      <c r="O38" s="89"/>
    </row>
    <row r="39" spans="1:18" x14ac:dyDescent="0.2">
      <c r="A39" s="88" t="s">
        <v>89</v>
      </c>
      <c r="B39" s="53" t="str">
        <f>+'Lane 1'!$B39</f>
        <v>e preset 15 - amplitude 0</v>
      </c>
      <c r="C39" s="24">
        <f>+'Lane 1'!C39</f>
        <v>3.6999999999999998E-2</v>
      </c>
      <c r="D39" s="83">
        <f t="shared" si="19"/>
        <v>2.3E-2</v>
      </c>
      <c r="E39" s="24"/>
      <c r="F39" s="50" t="str">
        <f t="shared" si="20"/>
        <v>Pass</v>
      </c>
      <c r="G39" s="85">
        <v>2.3E-2</v>
      </c>
      <c r="H39" s="135"/>
      <c r="I39" s="53" t="str">
        <f t="shared" si="1"/>
        <v>e preset 15 - amplitude 0</v>
      </c>
      <c r="J39" s="135"/>
      <c r="K39" s="23"/>
      <c r="L39" s="23"/>
      <c r="M39" s="23"/>
      <c r="N39" s="23"/>
      <c r="O39" s="89"/>
    </row>
    <row r="40" spans="1:18" x14ac:dyDescent="0.2">
      <c r="A40" s="88" t="s">
        <v>89</v>
      </c>
      <c r="B40" s="53" t="str">
        <f>+'Lane 1'!$B40</f>
        <v>e preset 15 - amplitude 1</v>
      </c>
      <c r="C40" s="24">
        <f>+'Lane 1'!C40</f>
        <v>3.6999999999999998E-2</v>
      </c>
      <c r="D40" s="83">
        <f t="shared" si="19"/>
        <v>2.4E-2</v>
      </c>
      <c r="E40" s="24"/>
      <c r="F40" s="50" t="str">
        <f t="shared" si="20"/>
        <v>Pass</v>
      </c>
      <c r="G40" s="85">
        <v>2.4E-2</v>
      </c>
      <c r="H40" s="135"/>
      <c r="I40" s="53" t="str">
        <f t="shared" si="1"/>
        <v>e preset 15 - amplitude 1</v>
      </c>
      <c r="J40" s="135"/>
      <c r="K40" s="23"/>
      <c r="L40" s="23"/>
      <c r="M40" s="23"/>
      <c r="N40" s="23"/>
      <c r="O40" s="134"/>
    </row>
    <row r="41" spans="1:18" x14ac:dyDescent="0.2">
      <c r="A41" s="88" t="s">
        <v>89</v>
      </c>
      <c r="B41" s="53" t="str">
        <f>+'Lane 1'!$B41</f>
        <v>C-1 preset 2 - Amp 0</v>
      </c>
      <c r="C41" s="24">
        <f>+'Lane 1'!C41</f>
        <v>0</v>
      </c>
      <c r="D41" s="83">
        <f>+G41</f>
        <v>-1.2099999999999999E-3</v>
      </c>
      <c r="E41" s="24"/>
      <c r="F41" s="50" t="str">
        <f t="shared" ref="F41:F52" si="21">IF(G41="","Fail",IF(OR(AND(C41-0.015&lt;=D41,D41&lt;=C41+0.015),AND(C41-ABS((C41*J41))&lt;=D41,D41&lt;=C41+ABS((C41*J41)))),"Pass", "Fail"))</f>
        <v>Pass</v>
      </c>
      <c r="G41" s="91">
        <v>-1.2099999999999999E-3</v>
      </c>
      <c r="H41" s="135"/>
      <c r="I41" s="53" t="str">
        <f t="shared" si="1"/>
        <v>C-1 preset 2 - Amp 0</v>
      </c>
      <c r="J41" s="135">
        <v>7.4999999999999997E-2</v>
      </c>
      <c r="K41" s="23"/>
      <c r="L41" s="23"/>
      <c r="M41" s="23"/>
      <c r="N41" s="23"/>
      <c r="O41" s="179" t="s">
        <v>158</v>
      </c>
    </row>
    <row r="42" spans="1:18" x14ac:dyDescent="0.2">
      <c r="A42" s="88" t="s">
        <v>89</v>
      </c>
      <c r="B42" s="53" t="str">
        <f>+'Lane 1'!$B42</f>
        <v>C-1 preset 2 - Amp 1</v>
      </c>
      <c r="C42" s="24">
        <f>+'Lane 1'!C42</f>
        <v>0</v>
      </c>
      <c r="D42" s="83">
        <f t="shared" ref="D42:D56" si="22">+G42</f>
        <v>-1.1100000000000001E-3</v>
      </c>
      <c r="E42" s="24"/>
      <c r="F42" s="50" t="str">
        <f t="shared" si="21"/>
        <v>Pass</v>
      </c>
      <c r="G42" s="91">
        <v>-1.1100000000000001E-3</v>
      </c>
      <c r="H42" s="135"/>
      <c r="I42" s="53" t="str">
        <f t="shared" si="1"/>
        <v>C-1 preset 2 - Amp 1</v>
      </c>
      <c r="J42" s="135">
        <v>7.4999999999999997E-2</v>
      </c>
      <c r="K42" s="23"/>
      <c r="L42" s="23"/>
      <c r="M42" s="23"/>
      <c r="N42" s="23"/>
      <c r="O42" s="197"/>
    </row>
    <row r="43" spans="1:18" x14ac:dyDescent="0.2">
      <c r="A43" s="88" t="s">
        <v>89</v>
      </c>
      <c r="B43" s="53" t="str">
        <f>+'Lane 1'!$B43</f>
        <v>C-1 preset 15 - Amp 0</v>
      </c>
      <c r="C43" s="24">
        <f>+'Lane 1'!C43</f>
        <v>-0.08</v>
      </c>
      <c r="D43" s="83">
        <f t="shared" si="22"/>
        <v>-6.9000000000000006E-2</v>
      </c>
      <c r="E43" s="24"/>
      <c r="F43" s="50" t="str">
        <f t="shared" si="21"/>
        <v>Pass</v>
      </c>
      <c r="G43" s="85">
        <v>-6.9000000000000006E-2</v>
      </c>
      <c r="H43" s="135"/>
      <c r="I43" s="53" t="str">
        <f t="shared" si="1"/>
        <v>C-1 preset 15 - Amp 0</v>
      </c>
      <c r="J43" s="135">
        <v>7.4999999999999997E-2</v>
      </c>
      <c r="K43" s="23"/>
      <c r="L43" s="23"/>
      <c r="M43" s="23"/>
      <c r="N43" s="23"/>
      <c r="O43" s="197"/>
    </row>
    <row r="44" spans="1:18" x14ac:dyDescent="0.2">
      <c r="A44" s="88" t="s">
        <v>89</v>
      </c>
      <c r="B44" s="53" t="str">
        <f>+'Lane 1'!$B44</f>
        <v>C-1 preset 15 - Amp 1</v>
      </c>
      <c r="C44" s="24">
        <f>+'Lane 1'!C44</f>
        <v>-0.08</v>
      </c>
      <c r="D44" s="83">
        <f t="shared" si="22"/>
        <v>-7.4999999999999997E-2</v>
      </c>
      <c r="E44" s="24"/>
      <c r="F44" s="50" t="str">
        <f t="shared" si="21"/>
        <v>Pass</v>
      </c>
      <c r="G44" s="85">
        <v>-7.4999999999999997E-2</v>
      </c>
      <c r="H44" s="135"/>
      <c r="I44" s="53" t="str">
        <f t="shared" si="1"/>
        <v>C-1 preset 15 - Amp 1</v>
      </c>
      <c r="J44" s="135">
        <v>7.4999999999999997E-2</v>
      </c>
      <c r="K44" s="23"/>
      <c r="L44" s="23"/>
      <c r="M44" s="23"/>
      <c r="N44" s="23"/>
      <c r="O44" s="197"/>
    </row>
    <row r="45" spans="1:18" x14ac:dyDescent="0.2">
      <c r="A45" s="88" t="s">
        <v>89</v>
      </c>
      <c r="B45" s="53" t="str">
        <f>+'Lane 1'!$B45</f>
        <v>C0 preset 2 - Amp 0</v>
      </c>
      <c r="C45" s="24">
        <f>+'Lane 1'!C45</f>
        <v>0.9</v>
      </c>
      <c r="D45" s="83">
        <f t="shared" si="22"/>
        <v>0.91</v>
      </c>
      <c r="E45" s="24"/>
      <c r="F45" s="50" t="str">
        <f t="shared" si="21"/>
        <v>Pass</v>
      </c>
      <c r="G45" s="85">
        <v>0.91</v>
      </c>
      <c r="H45" s="135"/>
      <c r="I45" s="53" t="str">
        <f t="shared" si="1"/>
        <v>C0 preset 2 - Amp 0</v>
      </c>
      <c r="J45" s="135">
        <v>7.4999999999999997E-2</v>
      </c>
      <c r="K45" s="23"/>
      <c r="L45" s="23"/>
      <c r="M45" s="23"/>
      <c r="N45" s="23"/>
      <c r="O45" s="197"/>
    </row>
    <row r="46" spans="1:18" x14ac:dyDescent="0.2">
      <c r="A46" s="88" t="s">
        <v>89</v>
      </c>
      <c r="B46" s="53" t="str">
        <f>+'Lane 1'!$B46</f>
        <v>C0 preset 2 - Amp 1</v>
      </c>
      <c r="C46" s="24">
        <f>+'Lane 1'!C46</f>
        <v>0.9</v>
      </c>
      <c r="D46" s="83">
        <f t="shared" si="22"/>
        <v>0.92</v>
      </c>
      <c r="E46" s="24"/>
      <c r="F46" s="50" t="str">
        <f t="shared" si="21"/>
        <v>Pass</v>
      </c>
      <c r="G46" s="85">
        <v>0.92</v>
      </c>
      <c r="H46" s="135"/>
      <c r="I46" s="53" t="str">
        <f t="shared" si="1"/>
        <v>C0 preset 2 - Amp 1</v>
      </c>
      <c r="J46" s="135">
        <v>7.4999999999999997E-2</v>
      </c>
      <c r="K46" s="23"/>
      <c r="L46" s="23"/>
      <c r="M46" s="23"/>
      <c r="N46" s="23"/>
      <c r="O46" s="197"/>
    </row>
    <row r="47" spans="1:18" x14ac:dyDescent="0.2">
      <c r="A47" s="88" t="s">
        <v>89</v>
      </c>
      <c r="B47" s="53" t="str">
        <f>+'Lane 1'!$B47</f>
        <v>C0 preset 15 - Amp 0</v>
      </c>
      <c r="C47" s="24">
        <f>+'Lane 1'!C47</f>
        <v>0.56000000000000005</v>
      </c>
      <c r="D47" s="83">
        <f t="shared" si="22"/>
        <v>0.57999999999999996</v>
      </c>
      <c r="E47" s="24"/>
      <c r="F47" s="50" t="str">
        <f t="shared" si="21"/>
        <v>Pass</v>
      </c>
      <c r="G47" s="85">
        <v>0.57999999999999996</v>
      </c>
      <c r="H47" s="135"/>
      <c r="I47" s="53" t="str">
        <f t="shared" si="1"/>
        <v>C0 preset 15 - Amp 0</v>
      </c>
      <c r="J47" s="135">
        <v>7.4999999999999997E-2</v>
      </c>
      <c r="K47" s="23"/>
      <c r="L47" s="23"/>
      <c r="M47" s="23"/>
      <c r="N47" s="23"/>
      <c r="O47" s="197"/>
    </row>
    <row r="48" spans="1:18" x14ac:dyDescent="0.2">
      <c r="A48" s="88" t="s">
        <v>89</v>
      </c>
      <c r="B48" s="53" t="str">
        <f>+'Lane 1'!$B48</f>
        <v>C0 preset 15 - Amp 1</v>
      </c>
      <c r="C48" s="24">
        <f>+'Lane 1'!C48</f>
        <v>0.56000000000000005</v>
      </c>
      <c r="D48" s="83">
        <f t="shared" si="22"/>
        <v>0.6</v>
      </c>
      <c r="E48" s="24"/>
      <c r="F48" s="50" t="str">
        <f t="shared" si="21"/>
        <v>Pass</v>
      </c>
      <c r="G48" s="85">
        <v>0.6</v>
      </c>
      <c r="H48" s="135"/>
      <c r="I48" s="53" t="str">
        <f t="shared" si="1"/>
        <v>C0 preset 15 - Amp 1</v>
      </c>
      <c r="J48" s="135">
        <v>7.4999999999999997E-2</v>
      </c>
      <c r="K48" s="23"/>
      <c r="L48" s="23"/>
      <c r="M48" s="23"/>
      <c r="N48" s="23"/>
      <c r="O48" s="197"/>
    </row>
    <row r="49" spans="1:15" x14ac:dyDescent="0.2">
      <c r="A49" s="88" t="s">
        <v>89</v>
      </c>
      <c r="B49" s="53" t="str">
        <f>+'Lane 1'!$B49</f>
        <v>C+1 preset 2 - Amp 0</v>
      </c>
      <c r="C49" s="24">
        <f>+'Lane 1'!C49</f>
        <v>-0.1</v>
      </c>
      <c r="D49" s="83">
        <f t="shared" si="22"/>
        <v>-9.7000000000000003E-2</v>
      </c>
      <c r="E49" s="24"/>
      <c r="F49" s="50" t="str">
        <f t="shared" si="21"/>
        <v>Pass</v>
      </c>
      <c r="G49" s="85">
        <v>-9.7000000000000003E-2</v>
      </c>
      <c r="H49" s="135"/>
      <c r="I49" s="53" t="str">
        <f t="shared" si="1"/>
        <v>C+1 preset 2 - Amp 0</v>
      </c>
      <c r="J49" s="135">
        <v>7.4999999999999997E-2</v>
      </c>
      <c r="K49" s="23"/>
      <c r="L49" s="23"/>
      <c r="M49" s="23"/>
      <c r="N49" s="23"/>
      <c r="O49" s="197"/>
    </row>
    <row r="50" spans="1:15" x14ac:dyDescent="0.2">
      <c r="A50" s="88" t="s">
        <v>89</v>
      </c>
      <c r="B50" s="53" t="str">
        <f>+'Lane 1'!$B50</f>
        <v>C+1 preset 2 - Amp 1</v>
      </c>
      <c r="C50" s="24">
        <f>+'Lane 1'!C50</f>
        <v>-0.1</v>
      </c>
      <c r="D50" s="83">
        <f t="shared" si="22"/>
        <v>-0.10299999999999999</v>
      </c>
      <c r="E50" s="24"/>
      <c r="F50" s="50" t="str">
        <f t="shared" si="21"/>
        <v>Pass</v>
      </c>
      <c r="G50" s="85">
        <v>-0.10299999999999999</v>
      </c>
      <c r="H50" s="135"/>
      <c r="I50" s="53" t="str">
        <f t="shared" si="1"/>
        <v>C+1 preset 2 - Amp 1</v>
      </c>
      <c r="J50" s="135">
        <v>7.4999999999999997E-2</v>
      </c>
      <c r="K50" s="23"/>
      <c r="L50" s="23"/>
      <c r="M50" s="23"/>
      <c r="N50" s="23"/>
      <c r="O50" s="197"/>
    </row>
    <row r="51" spans="1:15" x14ac:dyDescent="0.2">
      <c r="A51" s="88" t="s">
        <v>89</v>
      </c>
      <c r="B51" s="53" t="str">
        <f>+'Lane 1'!$B51</f>
        <v>C+1 preset 15 - Amp 0</v>
      </c>
      <c r="C51" s="24">
        <f>+'Lane 1'!C51</f>
        <v>-0.36</v>
      </c>
      <c r="D51" s="83">
        <f t="shared" si="22"/>
        <v>-0.37</v>
      </c>
      <c r="E51" s="24"/>
      <c r="F51" s="50" t="str">
        <f t="shared" si="21"/>
        <v>Pass</v>
      </c>
      <c r="G51" s="85">
        <v>-0.37</v>
      </c>
      <c r="H51" s="135"/>
      <c r="I51" s="53" t="str">
        <f t="shared" si="1"/>
        <v>C+1 preset 15 - Amp 0</v>
      </c>
      <c r="J51" s="135">
        <v>7.4999999999999997E-2</v>
      </c>
      <c r="K51" s="23"/>
      <c r="L51" s="23"/>
      <c r="M51" s="23"/>
      <c r="N51" s="23"/>
      <c r="O51" s="197"/>
    </row>
    <row r="52" spans="1:15" x14ac:dyDescent="0.2">
      <c r="A52" s="88" t="s">
        <v>89</v>
      </c>
      <c r="B52" s="53" t="str">
        <f>+'Lane 1'!$B52</f>
        <v>C+1 preset 15 - Amp 1</v>
      </c>
      <c r="C52" s="24">
        <f>+'Lane 1'!C52</f>
        <v>-0.36</v>
      </c>
      <c r="D52" s="83">
        <f t="shared" si="22"/>
        <v>-0.38</v>
      </c>
      <c r="E52" s="24"/>
      <c r="F52" s="50" t="str">
        <f t="shared" si="21"/>
        <v>Pass</v>
      </c>
      <c r="G52" s="85">
        <v>-0.38</v>
      </c>
      <c r="H52" s="135"/>
      <c r="I52" s="53" t="str">
        <f t="shared" si="1"/>
        <v>C+1 preset 15 - Amp 1</v>
      </c>
      <c r="J52" s="135">
        <v>7.4999999999999997E-2</v>
      </c>
      <c r="K52" s="23"/>
      <c r="L52" s="23"/>
      <c r="M52" s="23"/>
      <c r="N52" s="23"/>
      <c r="O52" s="198"/>
    </row>
    <row r="53" spans="1:15" x14ac:dyDescent="0.2">
      <c r="A53" s="88" t="s">
        <v>89</v>
      </c>
      <c r="B53" s="53" t="str">
        <f>+'Lane 1'!$B53</f>
        <v>vf - preset 1 - Test both amplitude=0</v>
      </c>
      <c r="C53" s="24" t="str">
        <f>+'Lane 1'!C53</f>
        <v>400-600</v>
      </c>
      <c r="D53" s="83">
        <f t="shared" si="22"/>
        <v>595</v>
      </c>
      <c r="E53" s="24" t="s">
        <v>127</v>
      </c>
      <c r="F53" s="50" t="str">
        <f>IF(G53="","Fail",IF(AND(400&lt;=D53,D53&lt;=600),"Pass","Fail"))</f>
        <v>Pass</v>
      </c>
      <c r="G53" s="85">
        <v>595</v>
      </c>
      <c r="H53" s="135"/>
      <c r="I53" s="53" t="str">
        <f t="shared" si="1"/>
        <v>vf - preset 1 - Test both amplitude=0</v>
      </c>
      <c r="J53" s="135"/>
      <c r="K53" s="23"/>
      <c r="L53" s="23"/>
      <c r="M53" s="23"/>
      <c r="N53" s="23"/>
      <c r="O53" s="89" t="s">
        <v>159</v>
      </c>
    </row>
    <row r="54" spans="1:15" x14ac:dyDescent="0.2">
      <c r="A54" s="88" t="s">
        <v>89</v>
      </c>
      <c r="B54" s="53" t="str">
        <f>+'Lane 1'!$B54</f>
        <v>vf - preset 1 - Test both amplitude=1</v>
      </c>
      <c r="C54" s="24" t="str">
        <f>+'Lane 1'!C54</f>
        <v>700-900</v>
      </c>
      <c r="D54" s="83">
        <f t="shared" si="22"/>
        <v>855</v>
      </c>
      <c r="E54" s="24" t="s">
        <v>127</v>
      </c>
      <c r="F54" s="50" t="str">
        <f>IF(G54="","Fail",IF(AND(700&lt;=D54,D54&lt;=900),"Pass","Fail"))</f>
        <v>Pass</v>
      </c>
      <c r="G54" s="85">
        <v>855</v>
      </c>
      <c r="H54" s="135"/>
      <c r="I54" s="53" t="str">
        <f t="shared" si="1"/>
        <v>vf - preset 1 - Test both amplitude=1</v>
      </c>
      <c r="J54" s="135"/>
      <c r="K54" s="23"/>
      <c r="L54" s="23"/>
      <c r="M54" s="23"/>
      <c r="N54" s="23"/>
      <c r="O54" s="92" t="s">
        <v>164</v>
      </c>
    </row>
    <row r="55" spans="1:15" x14ac:dyDescent="0.2">
      <c r="A55" s="88" t="s">
        <v>89</v>
      </c>
      <c r="B55" s="53" t="str">
        <f>+'Lane 1'!$B55</f>
        <v>Peak linear fit pulse response - pre1 - amp 0</v>
      </c>
      <c r="C55" s="83">
        <f>0.6 * D53</f>
        <v>357</v>
      </c>
      <c r="D55" s="83">
        <f t="shared" si="22"/>
        <v>400</v>
      </c>
      <c r="E55" s="24" t="s">
        <v>127</v>
      </c>
      <c r="F55" s="50" t="str">
        <f>IF(G55="","Fail",IF(D55&gt;=C55,"Pass", "Fail"))</f>
        <v>Pass</v>
      </c>
      <c r="G55" s="85">
        <v>400</v>
      </c>
      <c r="H55" s="135"/>
      <c r="I55" s="53" t="str">
        <f t="shared" si="1"/>
        <v>Peak linear fit pulse response - pre1 - amp 0</v>
      </c>
      <c r="J55" s="135"/>
      <c r="K55" s="23"/>
      <c r="L55" s="23"/>
      <c r="M55" s="23"/>
      <c r="N55" s="23"/>
      <c r="O55" s="89"/>
    </row>
    <row r="56" spans="1:15" x14ac:dyDescent="0.2">
      <c r="A56" s="88" t="s">
        <v>89</v>
      </c>
      <c r="B56" s="53" t="str">
        <f>+'Lane 1'!$B56</f>
        <v>Peak linear fit pulse response - pre1 - amp 1</v>
      </c>
      <c r="C56" s="83">
        <f>0.6 *D54</f>
        <v>513</v>
      </c>
      <c r="D56" s="83">
        <f t="shared" si="22"/>
        <v>550</v>
      </c>
      <c r="E56" s="24" t="s">
        <v>127</v>
      </c>
      <c r="F56" s="50" t="str">
        <f>IF(G56="","Fail",IF(D56&gt;=C56,"Pass", "Fail"))</f>
        <v>Pass</v>
      </c>
      <c r="G56" s="85">
        <v>550</v>
      </c>
      <c r="H56" s="135"/>
      <c r="I56" s="53" t="str">
        <f t="shared" si="1"/>
        <v>Peak linear fit pulse response - pre1 - amp 1</v>
      </c>
      <c r="J56" s="135"/>
      <c r="K56" s="23"/>
      <c r="L56" s="23"/>
      <c r="M56" s="23"/>
      <c r="N56" s="23"/>
      <c r="O56" s="89" t="s">
        <v>162</v>
      </c>
    </row>
    <row r="57" spans="1:15" s="100" customFormat="1" x14ac:dyDescent="0.2">
      <c r="A57" s="93" t="s">
        <v>137</v>
      </c>
      <c r="B57" s="94"/>
      <c r="C57" s="95"/>
      <c r="D57" s="96" t="s">
        <v>22</v>
      </c>
      <c r="E57" s="94"/>
      <c r="F57" s="97" t="s">
        <v>116</v>
      </c>
      <c r="G57" s="184" t="s">
        <v>83</v>
      </c>
      <c r="H57" s="185"/>
      <c r="I57" s="94"/>
      <c r="J57" s="98"/>
      <c r="K57" s="99" t="s">
        <v>22</v>
      </c>
      <c r="L57" s="184" t="s">
        <v>83</v>
      </c>
      <c r="M57" s="185"/>
      <c r="N57" s="185"/>
      <c r="O57" s="94"/>
    </row>
    <row r="58" spans="1:15" s="133" customFormat="1" x14ac:dyDescent="0.2">
      <c r="A58" s="127"/>
      <c r="B58" s="128"/>
      <c r="C58" s="129"/>
      <c r="D58" s="130"/>
      <c r="E58" s="128"/>
      <c r="F58" s="130"/>
      <c r="G58" s="130"/>
      <c r="H58" s="131"/>
      <c r="I58" s="128"/>
      <c r="J58" s="132"/>
      <c r="K58" s="127"/>
      <c r="L58" s="130"/>
      <c r="M58" s="131"/>
      <c r="N58" s="131"/>
      <c r="O58" s="128"/>
    </row>
    <row r="59" spans="1:15" ht="15.75" customHeight="1" x14ac:dyDescent="0.2">
      <c r="A59" s="193" t="s">
        <v>129</v>
      </c>
      <c r="B59" s="194"/>
      <c r="C59" s="108"/>
      <c r="D59" s="125"/>
    </row>
    <row r="60" spans="1:15" ht="25.5" x14ac:dyDescent="0.2">
      <c r="A60" s="8" t="s">
        <v>101</v>
      </c>
      <c r="B60" s="8" t="s">
        <v>2</v>
      </c>
      <c r="C60" s="10" t="s">
        <v>190</v>
      </c>
      <c r="D60" s="10" t="s">
        <v>155</v>
      </c>
      <c r="E60" s="10" t="s">
        <v>118</v>
      </c>
      <c r="F60" s="9" t="s">
        <v>61</v>
      </c>
      <c r="G60" s="10" t="s">
        <v>117</v>
      </c>
      <c r="H60" s="78" t="s">
        <v>72</v>
      </c>
      <c r="I60" s="8" t="s">
        <v>2</v>
      </c>
      <c r="J60" s="22" t="s">
        <v>73</v>
      </c>
      <c r="K60" s="22" t="s">
        <v>138</v>
      </c>
      <c r="L60" s="10" t="s">
        <v>139</v>
      </c>
      <c r="M60" s="10" t="s">
        <v>62</v>
      </c>
      <c r="N60" s="16" t="s">
        <v>71</v>
      </c>
      <c r="O60" s="8" t="s">
        <v>63</v>
      </c>
    </row>
    <row r="61" spans="1:15" x14ac:dyDescent="0.2">
      <c r="A61" s="79" t="s">
        <v>88</v>
      </c>
      <c r="B61" s="136" t="s">
        <v>84</v>
      </c>
      <c r="C61" s="113">
        <f>IF(D61="","NT",IF(H61&lt;=5.6,-12+1.71*SQRT(H61),-6.7+13*LOG10((H61/7))))</f>
        <v>-10.675439695597063</v>
      </c>
      <c r="D61" s="52">
        <f>+G61</f>
        <v>-15.01</v>
      </c>
      <c r="E61" s="19" t="s">
        <v>121</v>
      </c>
      <c r="F61" s="50" t="str">
        <f>IF(D61="","Fail",IF(D61&lt;=C61,"Pass", "Fail"))</f>
        <v>Pass</v>
      </c>
      <c r="G61" s="81">
        <v>-15.01</v>
      </c>
      <c r="H61" s="81">
        <v>0.6</v>
      </c>
      <c r="I61" s="136" t="str">
        <f>+B61</f>
        <v>SDD11</v>
      </c>
      <c r="J61" s="135"/>
      <c r="K61" s="23"/>
      <c r="L61" s="10"/>
      <c r="M61" s="10"/>
      <c r="N61" s="16"/>
      <c r="O61" s="8"/>
    </row>
    <row r="62" spans="1:15" x14ac:dyDescent="0.2">
      <c r="A62" s="79" t="s">
        <v>88</v>
      </c>
      <c r="B62" s="136" t="s">
        <v>85</v>
      </c>
      <c r="C62" s="114">
        <f>IF(D62="","NT",-2)</f>
        <v>-2</v>
      </c>
      <c r="D62" s="52">
        <f>+G62</f>
        <v>-3.99</v>
      </c>
      <c r="E62" s="19" t="s">
        <v>121</v>
      </c>
      <c r="F62" s="50" t="str">
        <f>IF(D62="","Fail",IF(D62&lt;=C62,"Pass", "Fail"))</f>
        <v>Pass</v>
      </c>
      <c r="G62" s="81">
        <v>-3.99</v>
      </c>
      <c r="H62" s="81">
        <v>0.2</v>
      </c>
      <c r="I62" s="136" t="str">
        <f>+B62</f>
        <v>SCC11</v>
      </c>
      <c r="J62" s="135"/>
      <c r="K62" s="23"/>
      <c r="L62" s="10"/>
      <c r="M62" s="10"/>
      <c r="N62" s="16"/>
      <c r="O62" s="8"/>
    </row>
    <row r="63" spans="1:15" x14ac:dyDescent="0.2">
      <c r="A63" s="79" t="s">
        <v>88</v>
      </c>
      <c r="B63" s="136" t="s">
        <v>86</v>
      </c>
      <c r="C63" s="114">
        <f>IF(D63="","NT",-16+((2/3)*H63))</f>
        <v>-13.973333333333333</v>
      </c>
      <c r="D63" s="52">
        <f>+G63</f>
        <v>-15.8</v>
      </c>
      <c r="E63" s="19" t="s">
        <v>121</v>
      </c>
      <c r="F63" s="50" t="str">
        <f>IF(D63="","Fail",IF(D63&lt;=C63,"Pass", "Fail"))</f>
        <v>Pass</v>
      </c>
      <c r="G63" s="81">
        <v>-15.8</v>
      </c>
      <c r="H63" s="81">
        <v>3.04</v>
      </c>
      <c r="I63" s="136" t="str">
        <f>+B63</f>
        <v>SDC11</v>
      </c>
      <c r="J63" s="135"/>
      <c r="K63" s="23"/>
      <c r="L63" s="10"/>
      <c r="M63" s="10"/>
      <c r="N63" s="16"/>
      <c r="O63" s="8"/>
    </row>
    <row r="64" spans="1:15" s="100" customFormat="1" x14ac:dyDescent="0.2">
      <c r="C64" s="101"/>
      <c r="H64" s="102"/>
      <c r="J64" s="102"/>
    </row>
    <row r="65" spans="1:10" s="100" customFormat="1" x14ac:dyDescent="0.2">
      <c r="A65" s="100" t="s">
        <v>128</v>
      </c>
      <c r="C65" s="101"/>
      <c r="H65" s="102"/>
      <c r="J65" s="102"/>
    </row>
    <row r="66" spans="1:10" s="100" customFormat="1" x14ac:dyDescent="0.2">
      <c r="C66" s="101"/>
      <c r="H66" s="102"/>
      <c r="J66" s="102"/>
    </row>
    <row r="67" spans="1:10" x14ac:dyDescent="0.2">
      <c r="D67" s="103"/>
      <c r="E67" s="192" t="s">
        <v>185</v>
      </c>
      <c r="F67" s="192"/>
      <c r="G67" s="192"/>
    </row>
    <row r="68" spans="1:10" x14ac:dyDescent="0.2">
      <c r="A68" s="188" t="s">
        <v>132</v>
      </c>
      <c r="B68" s="189"/>
      <c r="D68" s="103"/>
      <c r="E68" s="135">
        <v>-0.36</v>
      </c>
      <c r="F68" s="135">
        <v>7.4999999999999997E-2</v>
      </c>
      <c r="G68" s="135">
        <f>+E68*(1+F68)</f>
        <v>-0.38699999999999996</v>
      </c>
    </row>
    <row r="69" spans="1:10" x14ac:dyDescent="0.2">
      <c r="A69" s="191" t="s">
        <v>134</v>
      </c>
      <c r="B69" s="189"/>
      <c r="D69" s="103"/>
      <c r="E69" s="135">
        <v>-0.36</v>
      </c>
      <c r="F69" s="135">
        <v>7.4999999999999997E-2</v>
      </c>
      <c r="G69" s="135">
        <f>+E69*(1-F69)</f>
        <v>-0.33300000000000002</v>
      </c>
    </row>
    <row r="70" spans="1:10" x14ac:dyDescent="0.2">
      <c r="A70" s="190" t="s">
        <v>133</v>
      </c>
      <c r="B70" s="190"/>
      <c r="D70" s="103"/>
      <c r="E70" s="135">
        <v>-0.36</v>
      </c>
      <c r="F70" s="135">
        <v>1.4999999999999999E-2</v>
      </c>
      <c r="G70" s="135">
        <f>+E70-F70</f>
        <v>-0.375</v>
      </c>
    </row>
    <row r="71" spans="1:10" x14ac:dyDescent="0.2">
      <c r="A71" s="182" t="s">
        <v>135</v>
      </c>
      <c r="B71" s="183"/>
      <c r="D71" s="103"/>
      <c r="E71" s="135">
        <v>-0.36</v>
      </c>
      <c r="F71" s="135">
        <v>1.4999999999999999E-2</v>
      </c>
      <c r="G71" s="135">
        <f>+E71+F71</f>
        <v>-0.34499999999999997</v>
      </c>
    </row>
    <row r="73" spans="1:10" x14ac:dyDescent="0.2">
      <c r="A73" s="104" t="s">
        <v>148</v>
      </c>
      <c r="D73" s="103"/>
    </row>
    <row r="74" spans="1:10" x14ac:dyDescent="0.2">
      <c r="A74" s="76" t="s">
        <v>140</v>
      </c>
      <c r="B74" s="76">
        <f>+G24</f>
        <v>15</v>
      </c>
      <c r="C74" s="76"/>
    </row>
    <row r="75" spans="1:10" x14ac:dyDescent="0.2">
      <c r="A75" s="76" t="s">
        <v>147</v>
      </c>
      <c r="B75" s="76">
        <v>8176</v>
      </c>
      <c r="C75" s="76" t="s">
        <v>141</v>
      </c>
    </row>
    <row r="76" spans="1:10" x14ac:dyDescent="0.2">
      <c r="A76" s="76" t="s">
        <v>142</v>
      </c>
      <c r="B76" s="105">
        <v>3.634E-8</v>
      </c>
      <c r="C76" s="76" t="s">
        <v>143</v>
      </c>
    </row>
    <row r="77" spans="1:10" x14ac:dyDescent="0.2">
      <c r="B77" s="105">
        <f>B76/B75*B74</f>
        <v>6.6670743639921717E-11</v>
      </c>
      <c r="C77" s="76" t="s">
        <v>144</v>
      </c>
    </row>
    <row r="78" spans="1:10" x14ac:dyDescent="0.2">
      <c r="A78" s="76" t="s">
        <v>149</v>
      </c>
      <c r="B78" s="105">
        <f>0.00000000007111-B77</f>
        <v>4.4392563600782831E-12</v>
      </c>
      <c r="C78" s="76" t="s">
        <v>145</v>
      </c>
    </row>
    <row r="79" spans="1:10" x14ac:dyDescent="0.2">
      <c r="A79" s="76" t="s">
        <v>150</v>
      </c>
      <c r="B79" s="106">
        <f>B78/0.00000000007111</f>
        <v>6.2428018001382125E-2</v>
      </c>
      <c r="C79" s="76" t="s">
        <v>146</v>
      </c>
    </row>
    <row r="81" spans="1:5" x14ac:dyDescent="0.2">
      <c r="A81" s="107" t="s">
        <v>182</v>
      </c>
    </row>
    <row r="82" spans="1:5" x14ac:dyDescent="0.2">
      <c r="A82" s="75" t="s">
        <v>184</v>
      </c>
    </row>
    <row r="83" spans="1:5" x14ac:dyDescent="0.2">
      <c r="A83" s="75" t="s">
        <v>183</v>
      </c>
    </row>
    <row r="85" spans="1:5" x14ac:dyDescent="0.2">
      <c r="A85" s="76" t="s">
        <v>186</v>
      </c>
      <c r="C85" s="75">
        <v>29.07</v>
      </c>
      <c r="D85" s="76">
        <v>71.11</v>
      </c>
      <c r="E85" s="76">
        <f>+C85/D85</f>
        <v>0.40880326255097738</v>
      </c>
    </row>
  </sheetData>
  <mergeCells count="11">
    <mergeCell ref="E67:G67"/>
    <mergeCell ref="A68:B68"/>
    <mergeCell ref="A69:B69"/>
    <mergeCell ref="A70:B70"/>
    <mergeCell ref="A71:B71"/>
    <mergeCell ref="A59:B59"/>
    <mergeCell ref="A1:B1"/>
    <mergeCell ref="G25:G26"/>
    <mergeCell ref="O41:O52"/>
    <mergeCell ref="G57:H57"/>
    <mergeCell ref="L57:N57"/>
  </mergeCells>
  <conditionalFormatting sqref="F61:F63">
    <cfRule type="containsText" dxfId="10" priority="9" stopIfTrue="1" operator="containsText" text="Fail">
      <formula>NOT(ISERROR(SEARCH("Fail",F61)))</formula>
    </cfRule>
    <cfRule type="containsText" dxfId="9" priority="10" stopIfTrue="1" operator="containsText" text="Pass">
      <formula>NOT(ISERROR(SEARCH("Pass",F61)))</formula>
    </cfRule>
    <cfRule type="containsText" dxfId="8" priority="11" stopIfTrue="1" operator="containsText" text="N/A">
      <formula>NOT(ISERROR(SEARCH("N/A",F61)))</formula>
    </cfRule>
  </conditionalFormatting>
  <conditionalFormatting sqref="F3:F24 F26:F56">
    <cfRule type="containsText" dxfId="7" priority="5" operator="containsText" text="NT">
      <formula>NOT(ISERROR(SEARCH("NT",F3)))</formula>
    </cfRule>
    <cfRule type="containsText" dxfId="6" priority="6" stopIfTrue="1" operator="containsText" text="Fail">
      <formula>NOT(ISERROR(SEARCH("Fail",F3)))</formula>
    </cfRule>
    <cfRule type="containsText" dxfId="5" priority="7" stopIfTrue="1" operator="containsText" text="Pass">
      <formula>NOT(ISERROR(SEARCH("Pass",F3)))</formula>
    </cfRule>
    <cfRule type="containsText" dxfId="4" priority="8" stopIfTrue="1" operator="containsText" text="N/A">
      <formula>NOT(ISERROR(SEARCH("N/A",F3)))</formula>
    </cfRule>
  </conditionalFormatting>
  <conditionalFormatting sqref="F25">
    <cfRule type="containsText" dxfId="3" priority="1" operator="containsText" text="NT">
      <formula>NOT(ISERROR(SEARCH("NT",F25)))</formula>
    </cfRule>
    <cfRule type="containsText" dxfId="2" priority="2" stopIfTrue="1" operator="containsText" text="Fail">
      <formula>NOT(ISERROR(SEARCH("Fail",F25)))</formula>
    </cfRule>
    <cfRule type="containsText" dxfId="1" priority="3" stopIfTrue="1" operator="containsText" text="Pass">
      <formula>NOT(ISERROR(SEARCH("Pass",F25)))</formula>
    </cfRule>
    <cfRule type="containsText" dxfId="0" priority="4" stopIfTrue="1" operator="containsText" text="N/A">
      <formula>NOT(ISERROR(SEARCH("N/A",F25)))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Spec</vt:lpstr>
      <vt:lpstr>DUT Info</vt:lpstr>
      <vt:lpstr>Lane 1</vt:lpstr>
      <vt:lpstr>Lane 2</vt:lpstr>
      <vt:lpstr>Lane 3</vt:lpstr>
      <vt:lpstr>Lane 4</vt:lpstr>
      <vt:lpstr>Summary</vt:lpstr>
      <vt:lpstr>Example Data</vt:lpstr>
    </vt:vector>
  </TitlesOfParts>
  <Company>Intel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brrother</dc:creator>
  <cp:lastModifiedBy>Rupert Dance</cp:lastModifiedBy>
  <cp:lastPrinted>2012-04-28T03:47:32Z</cp:lastPrinted>
  <dcterms:created xsi:type="dcterms:W3CDTF">2012-03-23T13:58:03Z</dcterms:created>
  <dcterms:modified xsi:type="dcterms:W3CDTF">2013-03-13T19:11:04Z</dcterms:modified>
</cp:coreProperties>
</file>