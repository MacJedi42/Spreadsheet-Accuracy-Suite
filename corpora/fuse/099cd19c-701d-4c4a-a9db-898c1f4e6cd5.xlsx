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wsSortMap1.xml" ContentType="application/vnd.ms-excel.wsSortMap+xml"/>
  <Override PartName="/xl/calcChain.xml" ContentType="application/vnd.openxmlformats-officedocument.spreadsheetml.calcChain+xml"/>
  <Override PartName="/xl/revisions/userNames.xml" ContentType="application/vnd.openxmlformats-officedocument.spreadsheetml.userNames+xml"/>
  <Override PartName="/xl/revisions/revisionHeaders.xml" ContentType="application/vnd.openxmlformats-officedocument.spreadsheetml.revisionHeaders+xml"/>
  <Override PartName="/docProps/core.xml" ContentType="application/vnd.openxmlformats-package.core-properties+xml"/>
  <Override PartName="/docProps/app.xml" ContentType="application/vnd.openxmlformats-officedocument.extended-properties+xml"/>
  <Override PartName="/xl/revisions/revisionLog5.xml" ContentType="application/vnd.openxmlformats-officedocument.spreadsheetml.revisionLog+xml"/>
  <Override PartName="/xl/revisions/revisionLog13.xml" ContentType="application/vnd.openxmlformats-officedocument.spreadsheetml.revisionLog+xml"/>
  <Override PartName="/xl/revisions/revisionLog18.xml" ContentType="application/vnd.openxmlformats-officedocument.spreadsheetml.revisionLog+xml"/>
  <Override PartName="/xl/revisions/revisionLog1.xml" ContentType="application/vnd.openxmlformats-officedocument.spreadsheetml.revisionLog+xml"/>
  <Override PartName="/xl/revisions/revisionLog4.xml" ContentType="application/vnd.openxmlformats-officedocument.spreadsheetml.revisionLog+xml"/>
  <Override PartName="/xl/revisions/revisionLog9.xml" ContentType="application/vnd.openxmlformats-officedocument.spreadsheetml.revisionLog+xml"/>
  <Override PartName="/xl/revisions/revisionLog17.xml" ContentType="application/vnd.openxmlformats-officedocument.spreadsheetml.revisionLog+xml"/>
  <Override PartName="/xl/revisions/revisionLog3.xml" ContentType="application/vnd.openxmlformats-officedocument.spreadsheetml.revisionLog+xml"/>
  <Override PartName="/xl/revisions/revisionLog8.xml" ContentType="application/vnd.openxmlformats-officedocument.spreadsheetml.revisionLog+xml"/>
  <Override PartName="/xl/revisions/revisionLog16.xml" ContentType="application/vnd.openxmlformats-officedocument.spreadsheetml.revisionLog+xml"/>
  <Override PartName="/xl/revisions/revisionLog7.xml" ContentType="application/vnd.openxmlformats-officedocument.spreadsheetml.revisionLog+xml"/>
  <Override PartName="/xl/revisions/revisionLog12.xml" ContentType="application/vnd.openxmlformats-officedocument.spreadsheetml.revisionLog+xml"/>
  <Override PartName="/xl/revisions/revisionLog15.xml" ContentType="application/vnd.openxmlformats-officedocument.spreadsheetml.revisionLog+xml"/>
  <Override PartName="/xl/revisions/revisionLog6.xml" ContentType="application/vnd.openxmlformats-officedocument.spreadsheetml.revisionLog+xml"/>
  <Override PartName="/xl/revisions/revisionLog11.xml" ContentType="application/vnd.openxmlformats-officedocument.spreadsheetml.revisionLog+xml"/>
  <Override PartName="/xl/revisions/revisionLog14.xml" ContentType="application/vnd.openxmlformats-officedocument.spreadsheetml.revisionLog+xml"/>
  <Override PartName="/xl/revisions/revisionLog2.xml" ContentType="application/vnd.openxmlformats-officedocument.spreadsheetml.revisionLog+xml"/>
  <Override PartName="/xl/revisions/revisionLog10.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20490" windowHeight="7755" activeTab="1"/>
  </bookViews>
  <sheets>
    <sheet name="Dates" sheetId="1" r:id="rId1"/>
    <sheet name="Combined Elections Calendar" sheetId="2" r:id="rId2"/>
    <sheet name="1" sheetId="3" r:id="rId3"/>
    <sheet name="2" sheetId="4" r:id="rId4"/>
    <sheet name="3" sheetId="5" r:id="rId5"/>
    <sheet name="4" sheetId="6" r:id="rId6"/>
    <sheet name="5" sheetId="7" r:id="rId7"/>
    <sheet name="6" sheetId="8" r:id="rId8"/>
    <sheet name="7" sheetId="9" r:id="rId9"/>
    <sheet name="8" sheetId="10" r:id="rId10"/>
    <sheet name="9" sheetId="11" r:id="rId11"/>
    <sheet name="10" sheetId="12" r:id="rId12"/>
    <sheet name="11" sheetId="13" r:id="rId13"/>
    <sheet name="12" sheetId="14" r:id="rId14"/>
    <sheet name="13" sheetId="15" r:id="rId15"/>
    <sheet name="14" sheetId="16" r:id="rId16"/>
    <sheet name="15" sheetId="17" r:id="rId17"/>
    <sheet name="16" sheetId="18" r:id="rId18"/>
  </sheets>
  <definedNames>
    <definedName name="_xlnm._FilterDatabase" localSheetId="1" hidden="1">'Combined Elections Calendar'!$E$25:$F$1792</definedName>
    <definedName name="_xlnm.Print_Area" localSheetId="2">'1'!#REF!</definedName>
    <definedName name="_xlnm.Print_Area" localSheetId="11">'10'!#REF!</definedName>
    <definedName name="_xlnm.Print_Area" localSheetId="13">'12'!#REF!</definedName>
    <definedName name="_xlnm.Print_Area" localSheetId="14">'13'!#REF!</definedName>
    <definedName name="_xlnm.Print_Area" localSheetId="3">'2'!#REF!</definedName>
    <definedName name="_xlnm.Print_Area" localSheetId="4">'3'!#REF!</definedName>
    <definedName name="_xlnm.Print_Area" localSheetId="5">'4'!#REF!</definedName>
    <definedName name="_xlnm.Print_Area" localSheetId="6">'5'!#REF!</definedName>
    <definedName name="_xlnm.Print_Area" localSheetId="7">'6'!#REF!</definedName>
    <definedName name="_xlnm.Print_Area" localSheetId="8">'7'!#REF!</definedName>
    <definedName name="_xlnm.Print_Area" localSheetId="9">'8'!#REF!</definedName>
    <definedName name="_xlnm.Print_Area" localSheetId="10">'9'!#REF!</definedName>
    <definedName name="_xlnm.Print_Area" localSheetId="1">'Combined Elections Calendar'!$A$1:$F$1783</definedName>
    <definedName name="_xlnm.Print_Area" localSheetId="0">Dates!$B$1:$D$34</definedName>
    <definedName name="_xlnm.Print_Titles" localSheetId="2">'1'!$25:$25</definedName>
    <definedName name="_xlnm.Print_Titles" localSheetId="11">'10'!$25:$25</definedName>
    <definedName name="_xlnm.Print_Titles" localSheetId="12">'11'!$25:$25</definedName>
    <definedName name="_xlnm.Print_Titles" localSheetId="13">'12'!$25:$25</definedName>
    <definedName name="_xlnm.Print_Titles" localSheetId="14">'13'!$25:$25</definedName>
    <definedName name="_xlnm.Print_Titles" localSheetId="3">'2'!$25:$25</definedName>
    <definedName name="_xlnm.Print_Titles" localSheetId="4">'3'!$25:$25</definedName>
    <definedName name="_xlnm.Print_Titles" localSheetId="5">'4'!$25:$25</definedName>
    <definedName name="_xlnm.Print_Titles" localSheetId="6">'5'!$25:$25</definedName>
    <definedName name="_xlnm.Print_Titles" localSheetId="7">'6'!$25:$25</definedName>
    <definedName name="_xlnm.Print_Titles" localSheetId="8">'7'!$25:$25</definedName>
    <definedName name="_xlnm.Print_Titles" localSheetId="10">'9'!$25:$25</definedName>
    <definedName name="_xlnm.Print_Titles" localSheetId="1">'Combined Elections Calendar'!$25:$25</definedName>
    <definedName name="Z_30D18750_0A40_470A_8C22_C58298CCAE3D_.wvu.FilterData" localSheetId="1" hidden="1">'Combined Elections Calendar'!$E$25:$F$1783</definedName>
    <definedName name="Z_30D18750_0A40_470A_8C22_C58298CCAE3D_.wvu.PrintArea" localSheetId="1" hidden="1">'Combined Elections Calendar'!$A$1:$F$1783</definedName>
    <definedName name="Z_30D18750_0A40_470A_8C22_C58298CCAE3D_.wvu.PrintArea" localSheetId="0" hidden="1">Dates!$B$1:$D$34</definedName>
    <definedName name="Z_30D18750_0A40_470A_8C22_C58298CCAE3D_.wvu.PrintTitles" localSheetId="2" hidden="1">'1'!$25:$25</definedName>
    <definedName name="Z_30D18750_0A40_470A_8C22_C58298CCAE3D_.wvu.PrintTitles" localSheetId="11" hidden="1">'10'!$25:$25</definedName>
    <definedName name="Z_30D18750_0A40_470A_8C22_C58298CCAE3D_.wvu.PrintTitles" localSheetId="12" hidden="1">'11'!$25:$25</definedName>
    <definedName name="Z_30D18750_0A40_470A_8C22_C58298CCAE3D_.wvu.PrintTitles" localSheetId="13" hidden="1">'12'!$25:$25</definedName>
    <definedName name="Z_30D18750_0A40_470A_8C22_C58298CCAE3D_.wvu.PrintTitles" localSheetId="14" hidden="1">'13'!$25:$25</definedName>
    <definedName name="Z_30D18750_0A40_470A_8C22_C58298CCAE3D_.wvu.PrintTitles" localSheetId="3" hidden="1">'2'!$25:$25</definedName>
    <definedName name="Z_30D18750_0A40_470A_8C22_C58298CCAE3D_.wvu.PrintTitles" localSheetId="4" hidden="1">'3'!$25:$25</definedName>
    <definedName name="Z_30D18750_0A40_470A_8C22_C58298CCAE3D_.wvu.PrintTitles" localSheetId="5" hidden="1">'4'!$25:$25</definedName>
    <definedName name="Z_30D18750_0A40_470A_8C22_C58298CCAE3D_.wvu.PrintTitles" localSheetId="6" hidden="1">'5'!$25:$25</definedName>
    <definedName name="Z_30D18750_0A40_470A_8C22_C58298CCAE3D_.wvu.PrintTitles" localSheetId="7" hidden="1">'6'!$25:$25</definedName>
    <definedName name="Z_30D18750_0A40_470A_8C22_C58298CCAE3D_.wvu.PrintTitles" localSheetId="8" hidden="1">'7'!$25:$25</definedName>
    <definedName name="Z_30D18750_0A40_470A_8C22_C58298CCAE3D_.wvu.PrintTitles" localSheetId="10" hidden="1">'9'!$25:$25</definedName>
    <definedName name="Z_30D18750_0A40_470A_8C22_C58298CCAE3D_.wvu.PrintTitles" localSheetId="1" hidden="1">'Combined Elections Calendar'!$25:$25</definedName>
    <definedName name="Z_4CD37756_88F7_4A0C_8770_471EE52F0DF3_.wvu.FilterData" localSheetId="1" hidden="1">'Combined Elections Calendar'!$D$25:$F$1783</definedName>
    <definedName name="Z_4CD37756_88F7_4A0C_8770_471EE52F0DF3_.wvu.PrintArea" localSheetId="1" hidden="1">'Combined Elections Calendar'!$A$1:$F$1783</definedName>
    <definedName name="Z_4CD37756_88F7_4A0C_8770_471EE52F0DF3_.wvu.PrintArea" localSheetId="0" hidden="1">Dates!$B$1:$D$34</definedName>
    <definedName name="Z_4CD37756_88F7_4A0C_8770_471EE52F0DF3_.wvu.PrintTitles" localSheetId="2" hidden="1">'1'!$25:$25</definedName>
    <definedName name="Z_4CD37756_88F7_4A0C_8770_471EE52F0DF3_.wvu.PrintTitles" localSheetId="11" hidden="1">'10'!$25:$25</definedName>
    <definedName name="Z_4CD37756_88F7_4A0C_8770_471EE52F0DF3_.wvu.PrintTitles" localSheetId="12" hidden="1">'11'!$25:$25</definedName>
    <definedName name="Z_4CD37756_88F7_4A0C_8770_471EE52F0DF3_.wvu.PrintTitles" localSheetId="13" hidden="1">'12'!$25:$25</definedName>
    <definedName name="Z_4CD37756_88F7_4A0C_8770_471EE52F0DF3_.wvu.PrintTitles" localSheetId="14" hidden="1">'13'!$25:$25</definedName>
    <definedName name="Z_4CD37756_88F7_4A0C_8770_471EE52F0DF3_.wvu.PrintTitles" localSheetId="3" hidden="1">'2'!$25:$25</definedName>
    <definedName name="Z_4CD37756_88F7_4A0C_8770_471EE52F0DF3_.wvu.PrintTitles" localSheetId="4" hidden="1">'3'!$25:$25</definedName>
    <definedName name="Z_4CD37756_88F7_4A0C_8770_471EE52F0DF3_.wvu.PrintTitles" localSheetId="5" hidden="1">'4'!$25:$25</definedName>
    <definedName name="Z_4CD37756_88F7_4A0C_8770_471EE52F0DF3_.wvu.PrintTitles" localSheetId="6" hidden="1">'5'!$25:$25</definedName>
    <definedName name="Z_4CD37756_88F7_4A0C_8770_471EE52F0DF3_.wvu.PrintTitles" localSheetId="7" hidden="1">'6'!$25:$25</definedName>
    <definedName name="Z_4CD37756_88F7_4A0C_8770_471EE52F0DF3_.wvu.PrintTitles" localSheetId="8" hidden="1">'7'!$25:$25</definedName>
    <definedName name="Z_4CD37756_88F7_4A0C_8770_471EE52F0DF3_.wvu.PrintTitles" localSheetId="10" hidden="1">'9'!$25:$25</definedName>
    <definedName name="Z_4CD37756_88F7_4A0C_8770_471EE52F0DF3_.wvu.PrintTitles" localSheetId="1" hidden="1">'Combined Elections Calendar'!$25:$25</definedName>
    <definedName name="Z_AF05579C_59D0_4F4D_8ED6_E846AF6F886E_.wvu.FilterData" localSheetId="1" hidden="1">'Combined Elections Calendar'!$E$25:$F$1792</definedName>
    <definedName name="Z_AF05579C_59D0_4F4D_8ED6_E846AF6F886E_.wvu.PrintArea" localSheetId="1" hidden="1">'Combined Elections Calendar'!$A$1:$F$1783</definedName>
    <definedName name="Z_AF05579C_59D0_4F4D_8ED6_E846AF6F886E_.wvu.PrintArea" localSheetId="0" hidden="1">Dates!$B$1:$D$34</definedName>
    <definedName name="Z_AF05579C_59D0_4F4D_8ED6_E846AF6F886E_.wvu.PrintTitles" localSheetId="2" hidden="1">'1'!$25:$25</definedName>
    <definedName name="Z_AF05579C_59D0_4F4D_8ED6_E846AF6F886E_.wvu.PrintTitles" localSheetId="11" hidden="1">'10'!$25:$25</definedName>
    <definedName name="Z_AF05579C_59D0_4F4D_8ED6_E846AF6F886E_.wvu.PrintTitles" localSheetId="12" hidden="1">'11'!$25:$25</definedName>
    <definedName name="Z_AF05579C_59D0_4F4D_8ED6_E846AF6F886E_.wvu.PrintTitles" localSheetId="13" hidden="1">'12'!$25:$25</definedName>
    <definedName name="Z_AF05579C_59D0_4F4D_8ED6_E846AF6F886E_.wvu.PrintTitles" localSheetId="14" hidden="1">'13'!$25:$25</definedName>
    <definedName name="Z_AF05579C_59D0_4F4D_8ED6_E846AF6F886E_.wvu.PrintTitles" localSheetId="3" hidden="1">'2'!$25:$25</definedName>
    <definedName name="Z_AF05579C_59D0_4F4D_8ED6_E846AF6F886E_.wvu.PrintTitles" localSheetId="4" hidden="1">'3'!$25:$25</definedName>
    <definedName name="Z_AF05579C_59D0_4F4D_8ED6_E846AF6F886E_.wvu.PrintTitles" localSheetId="5" hidden="1">'4'!$25:$25</definedName>
    <definedName name="Z_AF05579C_59D0_4F4D_8ED6_E846AF6F886E_.wvu.PrintTitles" localSheetId="6" hidden="1">'5'!$25:$25</definedName>
    <definedName name="Z_AF05579C_59D0_4F4D_8ED6_E846AF6F886E_.wvu.PrintTitles" localSheetId="7" hidden="1">'6'!$25:$25</definedName>
    <definedName name="Z_AF05579C_59D0_4F4D_8ED6_E846AF6F886E_.wvu.PrintTitles" localSheetId="8" hidden="1">'7'!$25:$25</definedName>
    <definedName name="Z_AF05579C_59D0_4F4D_8ED6_E846AF6F886E_.wvu.PrintTitles" localSheetId="10" hidden="1">'9'!$25:$25</definedName>
    <definedName name="Z_AF05579C_59D0_4F4D_8ED6_E846AF6F886E_.wvu.PrintTitles" localSheetId="1" hidden="1">'Combined Elections Calendar'!$25:$25</definedName>
    <definedName name="Z_C3D592C8_E09B_46A0_B7A0_269FE31F7F4F_.wvu.FilterData" localSheetId="1" hidden="1">'Combined Elections Calendar'!$D$25:$F$25</definedName>
    <definedName name="Z_C3D592C8_E09B_46A0_B7A0_269FE31F7F4F_.wvu.PrintArea" localSheetId="1" hidden="1">'Combined Elections Calendar'!$A$1:$F$1783</definedName>
    <definedName name="Z_C3D592C8_E09B_46A0_B7A0_269FE31F7F4F_.wvu.PrintArea" localSheetId="0" hidden="1">Dates!$B$1:$D$34</definedName>
    <definedName name="Z_C3D592C8_E09B_46A0_B7A0_269FE31F7F4F_.wvu.PrintTitles" localSheetId="2" hidden="1">'1'!$25:$25</definedName>
    <definedName name="Z_C3D592C8_E09B_46A0_B7A0_269FE31F7F4F_.wvu.PrintTitles" localSheetId="11" hidden="1">'10'!$25:$25</definedName>
    <definedName name="Z_C3D592C8_E09B_46A0_B7A0_269FE31F7F4F_.wvu.PrintTitles" localSheetId="12" hidden="1">'11'!$25:$25</definedName>
    <definedName name="Z_C3D592C8_E09B_46A0_B7A0_269FE31F7F4F_.wvu.PrintTitles" localSheetId="13" hidden="1">'12'!$25:$25</definedName>
    <definedName name="Z_C3D592C8_E09B_46A0_B7A0_269FE31F7F4F_.wvu.PrintTitles" localSheetId="14" hidden="1">'13'!$25:$25</definedName>
    <definedName name="Z_C3D592C8_E09B_46A0_B7A0_269FE31F7F4F_.wvu.PrintTitles" localSheetId="3" hidden="1">'2'!$25:$25</definedName>
    <definedName name="Z_C3D592C8_E09B_46A0_B7A0_269FE31F7F4F_.wvu.PrintTitles" localSheetId="4" hidden="1">'3'!$25:$25</definedName>
    <definedName name="Z_C3D592C8_E09B_46A0_B7A0_269FE31F7F4F_.wvu.PrintTitles" localSheetId="5" hidden="1">'4'!$25:$25</definedName>
    <definedName name="Z_C3D592C8_E09B_46A0_B7A0_269FE31F7F4F_.wvu.PrintTitles" localSheetId="6" hidden="1">'5'!$25:$25</definedName>
    <definedName name="Z_C3D592C8_E09B_46A0_B7A0_269FE31F7F4F_.wvu.PrintTitles" localSheetId="7" hidden="1">'6'!$25:$25</definedName>
    <definedName name="Z_C3D592C8_E09B_46A0_B7A0_269FE31F7F4F_.wvu.PrintTitles" localSheetId="8" hidden="1">'7'!$25:$25</definedName>
    <definedName name="Z_C3D592C8_E09B_46A0_B7A0_269FE31F7F4F_.wvu.PrintTitles" localSheetId="10" hidden="1">'9'!$25:$25</definedName>
    <definedName name="Z_C3D592C8_E09B_46A0_B7A0_269FE31F7F4F_.wvu.PrintTitles" localSheetId="1" hidden="1">'Combined Elections Calendar'!$25:$25</definedName>
    <definedName name="Z_CB6906BD_AF04_46E9_A0FF_483553DCAC96_.wvu.FilterData" localSheetId="1" hidden="1">'Combined Elections Calendar'!$E$25:$F$1783</definedName>
    <definedName name="Z_CB6906BD_AF04_46E9_A0FF_483553DCAC96_.wvu.PrintArea" localSheetId="1" hidden="1">'Combined Elections Calendar'!$A$1:$F$1783</definedName>
    <definedName name="Z_CB6906BD_AF04_46E9_A0FF_483553DCAC96_.wvu.PrintArea" localSheetId="0" hidden="1">Dates!$B$1:$D$34</definedName>
    <definedName name="Z_CB6906BD_AF04_46E9_A0FF_483553DCAC96_.wvu.PrintTitles" localSheetId="2" hidden="1">'1'!$25:$25</definedName>
    <definedName name="Z_CB6906BD_AF04_46E9_A0FF_483553DCAC96_.wvu.PrintTitles" localSheetId="11" hidden="1">'10'!$25:$25</definedName>
    <definedName name="Z_CB6906BD_AF04_46E9_A0FF_483553DCAC96_.wvu.PrintTitles" localSheetId="12" hidden="1">'11'!$25:$25</definedName>
    <definedName name="Z_CB6906BD_AF04_46E9_A0FF_483553DCAC96_.wvu.PrintTitles" localSheetId="13" hidden="1">'12'!$25:$25</definedName>
    <definedName name="Z_CB6906BD_AF04_46E9_A0FF_483553DCAC96_.wvu.PrintTitles" localSheetId="14" hidden="1">'13'!$25:$25</definedName>
    <definedName name="Z_CB6906BD_AF04_46E9_A0FF_483553DCAC96_.wvu.PrintTitles" localSheetId="3" hidden="1">'2'!$25:$25</definedName>
    <definedName name="Z_CB6906BD_AF04_46E9_A0FF_483553DCAC96_.wvu.PrintTitles" localSheetId="4" hidden="1">'3'!$25:$25</definedName>
    <definedName name="Z_CB6906BD_AF04_46E9_A0FF_483553DCAC96_.wvu.PrintTitles" localSheetId="5" hidden="1">'4'!$25:$25</definedName>
    <definedName name="Z_CB6906BD_AF04_46E9_A0FF_483553DCAC96_.wvu.PrintTitles" localSheetId="6" hidden="1">'5'!$25:$25</definedName>
    <definedName name="Z_CB6906BD_AF04_46E9_A0FF_483553DCAC96_.wvu.PrintTitles" localSheetId="7" hidden="1">'6'!$25:$25</definedName>
    <definedName name="Z_CB6906BD_AF04_46E9_A0FF_483553DCAC96_.wvu.PrintTitles" localSheetId="8" hidden="1">'7'!$25:$25</definedName>
    <definedName name="Z_CB6906BD_AF04_46E9_A0FF_483553DCAC96_.wvu.PrintTitles" localSheetId="10" hidden="1">'9'!$25:$25</definedName>
    <definedName name="Z_CB6906BD_AF04_46E9_A0FF_483553DCAC96_.wvu.PrintTitles" localSheetId="1" hidden="1">'Combined Elections Calendar'!$25:$25</definedName>
    <definedName name="Z_E031DE5B_75C1_4BA9_A517_8F9FA84EB332_.wvu.FilterData" localSheetId="1" hidden="1">'Combined Elections Calendar'!$E$25:$F$25</definedName>
    <definedName name="Z_E031DE5B_75C1_4BA9_A517_8F9FA84EB332_.wvu.PrintArea" localSheetId="2" hidden="1">'1'!#REF!</definedName>
    <definedName name="Z_E031DE5B_75C1_4BA9_A517_8F9FA84EB332_.wvu.PrintArea" localSheetId="11" hidden="1">'10'!#REF!</definedName>
    <definedName name="Z_E031DE5B_75C1_4BA9_A517_8F9FA84EB332_.wvu.PrintArea" localSheetId="13" hidden="1">'12'!#REF!</definedName>
    <definedName name="Z_E031DE5B_75C1_4BA9_A517_8F9FA84EB332_.wvu.PrintArea" localSheetId="3" hidden="1">'2'!#REF!</definedName>
    <definedName name="Z_E031DE5B_75C1_4BA9_A517_8F9FA84EB332_.wvu.PrintArea" localSheetId="4" hidden="1">'3'!#REF!</definedName>
    <definedName name="Z_E031DE5B_75C1_4BA9_A517_8F9FA84EB332_.wvu.PrintArea" localSheetId="5" hidden="1">'4'!#REF!</definedName>
    <definedName name="Z_E031DE5B_75C1_4BA9_A517_8F9FA84EB332_.wvu.PrintArea" localSheetId="6" hidden="1">'5'!#REF!</definedName>
    <definedName name="Z_E031DE5B_75C1_4BA9_A517_8F9FA84EB332_.wvu.PrintArea" localSheetId="7" hidden="1">'6'!#REF!</definedName>
    <definedName name="Z_E031DE5B_75C1_4BA9_A517_8F9FA84EB332_.wvu.PrintArea" localSheetId="8" hidden="1">'7'!#REF!</definedName>
    <definedName name="Z_E031DE5B_75C1_4BA9_A517_8F9FA84EB332_.wvu.PrintArea" localSheetId="9" hidden="1">'8'!#REF!</definedName>
    <definedName name="Z_E031DE5B_75C1_4BA9_A517_8F9FA84EB332_.wvu.PrintArea" localSheetId="10" hidden="1">'9'!#REF!</definedName>
    <definedName name="Z_E031DE5B_75C1_4BA9_A517_8F9FA84EB332_.wvu.PrintArea" localSheetId="1" hidden="1">'Combined Elections Calendar'!$A$1:$F$1783</definedName>
    <definedName name="Z_E031DE5B_75C1_4BA9_A517_8F9FA84EB332_.wvu.PrintArea" localSheetId="0" hidden="1">Dates!$B$1:$D$34</definedName>
    <definedName name="Z_E031DE5B_75C1_4BA9_A517_8F9FA84EB332_.wvu.PrintTitles" localSheetId="2" hidden="1">'1'!$25:$25</definedName>
    <definedName name="Z_E031DE5B_75C1_4BA9_A517_8F9FA84EB332_.wvu.PrintTitles" localSheetId="11" hidden="1">'10'!$25:$25</definedName>
    <definedName name="Z_E031DE5B_75C1_4BA9_A517_8F9FA84EB332_.wvu.PrintTitles" localSheetId="12" hidden="1">'11'!$25:$25</definedName>
    <definedName name="Z_E031DE5B_75C1_4BA9_A517_8F9FA84EB332_.wvu.PrintTitles" localSheetId="13" hidden="1">'12'!$25:$25</definedName>
    <definedName name="Z_E031DE5B_75C1_4BA9_A517_8F9FA84EB332_.wvu.PrintTitles" localSheetId="14" hidden="1">'13'!$25:$25</definedName>
    <definedName name="Z_E031DE5B_75C1_4BA9_A517_8F9FA84EB332_.wvu.PrintTitles" localSheetId="3" hidden="1">'2'!$25:$25</definedName>
    <definedName name="Z_E031DE5B_75C1_4BA9_A517_8F9FA84EB332_.wvu.PrintTitles" localSheetId="4" hidden="1">'3'!$25:$25</definedName>
    <definedName name="Z_E031DE5B_75C1_4BA9_A517_8F9FA84EB332_.wvu.PrintTitles" localSheetId="5" hidden="1">'4'!$25:$25</definedName>
    <definedName name="Z_E031DE5B_75C1_4BA9_A517_8F9FA84EB332_.wvu.PrintTitles" localSheetId="6" hidden="1">'5'!$25:$25</definedName>
    <definedName name="Z_E031DE5B_75C1_4BA9_A517_8F9FA84EB332_.wvu.PrintTitles" localSheetId="7" hidden="1">'6'!$25:$25</definedName>
    <definedName name="Z_E031DE5B_75C1_4BA9_A517_8F9FA84EB332_.wvu.PrintTitles" localSheetId="8" hidden="1">'7'!$25:$25</definedName>
    <definedName name="Z_E031DE5B_75C1_4BA9_A517_8F9FA84EB332_.wvu.PrintTitles" localSheetId="10" hidden="1">'9'!$25:$25</definedName>
    <definedName name="Z_E031DE5B_75C1_4BA9_A517_8F9FA84EB332_.wvu.PrintTitles" localSheetId="1" hidden="1">'Combined Elections Calendar'!$25:$25</definedName>
  </definedNames>
  <calcPr calcId="145621"/>
  <customWorkbookViews>
    <customWorkbookView name="Stella.Hegg - Personal View" guid="{AF05579C-59D0-4F4D-8ED6-E846AF6F886E}" mergeInterval="0" personalView="1" maximized="1" windowWidth="944" windowHeight="605" activeSheetId="2"/>
    <customWorkbookView name="Lisa Klinger - Personal View" guid="{30D18750-0A40-470A-8C22-C58298CCAE3D}" mergeInterval="0" personalView="1" maximized="1" windowWidth="1280" windowHeight="799" activeSheetId="1"/>
    <customWorkbookView name="posga01 - Personal View" guid="{4CD37756-88F7-4A0C-8770-471EE52F0DF3}" mergeInterval="0" personalView="1" maximized="1" windowWidth="1276" windowHeight="852" activeSheetId="2"/>
    <customWorkbookView name="Gary Poser - Personal View" guid="{C3D592C8-E09B-46A0-B7A0-269FE31F7F4F}" mergeInterval="0" personalView="1" maximized="1" windowWidth="1276" windowHeight="628" activeSheetId="2"/>
    <customWorkbookView name="andbr01 - Personal View" guid="{E031DE5B-75C1-4BA9-A517-8F9FA84EB332}" mergeInterval="0" personalView="1" maximized="1" windowWidth="1020" windowHeight="570" activeSheetId="2"/>
    <customWorkbookView name="smh - Personal View" guid="{CB6906BD-AF04-46E9-A0FF-483553DCAC96}" mergeInterval="0" personalView="1" windowWidth="683" windowHeight="728" activeSheetId="2"/>
  </customWorkbookViews>
</workbook>
</file>

<file path=xl/calcChain.xml><?xml version="1.0" encoding="utf-8"?>
<calcChain xmlns="http://schemas.openxmlformats.org/spreadsheetml/2006/main">
  <c r="B690" i="2" l="1"/>
  <c r="A690" i="2"/>
  <c r="B408" i="2" l="1"/>
  <c r="A408" i="2"/>
  <c r="B407" i="2"/>
  <c r="A407" i="2"/>
  <c r="B406" i="2"/>
  <c r="A406" i="2"/>
  <c r="B405" i="2"/>
  <c r="A405" i="2"/>
  <c r="B404" i="2"/>
  <c r="A404" i="2"/>
  <c r="B1776" i="2" l="1"/>
  <c r="A1776" i="2"/>
  <c r="B1775" i="2"/>
  <c r="A1775" i="2"/>
  <c r="B1774" i="2"/>
  <c r="A1774" i="2"/>
  <c r="B1780" i="2"/>
  <c r="A1780" i="2"/>
  <c r="B1779" i="2"/>
  <c r="A1779" i="2"/>
  <c r="B1778" i="2"/>
  <c r="A1778" i="2"/>
  <c r="B1221" i="2"/>
  <c r="A1221" i="2"/>
  <c r="B1220" i="2"/>
  <c r="A1220" i="2"/>
  <c r="B1219" i="2"/>
  <c r="A1219" i="2"/>
  <c r="B1218" i="2"/>
  <c r="A1218" i="2"/>
  <c r="B1217" i="2"/>
  <c r="A1217" i="2"/>
  <c r="B1216" i="2"/>
  <c r="A1216" i="2"/>
  <c r="B721" i="2"/>
  <c r="A721" i="2"/>
  <c r="B720" i="2"/>
  <c r="A720" i="2"/>
  <c r="B719" i="2"/>
  <c r="A719" i="2"/>
  <c r="B718" i="2"/>
  <c r="A718" i="2"/>
  <c r="B717" i="2"/>
  <c r="A717" i="2"/>
  <c r="B716" i="2"/>
  <c r="A716" i="2"/>
  <c r="B213" i="2"/>
  <c r="A213" i="2"/>
  <c r="B212" i="2"/>
  <c r="A212" i="2"/>
  <c r="B211" i="2"/>
  <c r="A211" i="2"/>
  <c r="B1715" i="2"/>
  <c r="A1715" i="2"/>
  <c r="B1714" i="2"/>
  <c r="A1714" i="2"/>
  <c r="B1713" i="2"/>
  <c r="A1713" i="2"/>
  <c r="B998" i="2" l="1"/>
  <c r="A998" i="2"/>
  <c r="B997" i="2"/>
  <c r="A997" i="2"/>
  <c r="B996" i="2"/>
  <c r="A996" i="2"/>
  <c r="B995" i="2"/>
  <c r="A995" i="2"/>
  <c r="B994" i="2"/>
  <c r="A994" i="2"/>
  <c r="B1002" i="2"/>
  <c r="A1002" i="2"/>
  <c r="B1001" i="2"/>
  <c r="A1001" i="2"/>
  <c r="B1000" i="2"/>
  <c r="A1000" i="2"/>
  <c r="B999" i="2"/>
  <c r="A999" i="2"/>
  <c r="B1003" i="2"/>
  <c r="A1003" i="2"/>
  <c r="A1004" i="2"/>
  <c r="B1004" i="2"/>
  <c r="B1245" i="2"/>
  <c r="A1245" i="2"/>
  <c r="B1244" i="2"/>
  <c r="A1244" i="2"/>
  <c r="B1243" i="2"/>
  <c r="A1243" i="2"/>
  <c r="B1242" i="2"/>
  <c r="A1242" i="2"/>
  <c r="B1241" i="2"/>
  <c r="A1241" i="2"/>
  <c r="B1240" i="2"/>
  <c r="A1240" i="2"/>
  <c r="B322" i="2" l="1"/>
  <c r="A322" i="2"/>
  <c r="B256" i="2"/>
  <c r="A256" i="2"/>
  <c r="B221" i="2"/>
  <c r="A221" i="2"/>
  <c r="B1696" i="2"/>
  <c r="A1696" i="2"/>
  <c r="B1695" i="2"/>
  <c r="A1695" i="2"/>
  <c r="B1694" i="2"/>
  <c r="A1694" i="2"/>
  <c r="B58" i="2"/>
  <c r="A58" i="2"/>
  <c r="B1693" i="2"/>
  <c r="A1693" i="2"/>
  <c r="B1692" i="2"/>
  <c r="A1692" i="2"/>
  <c r="B1691" i="2"/>
  <c r="A1691" i="2"/>
  <c r="B53" i="2"/>
  <c r="A53" i="2"/>
  <c r="B732" i="2"/>
  <c r="A732" i="2"/>
  <c r="B731" i="2"/>
  <c r="A731" i="2"/>
  <c r="B730" i="2"/>
  <c r="A730" i="2"/>
  <c r="B725" i="2"/>
  <c r="A725" i="2"/>
  <c r="B1391" i="2"/>
  <c r="A1391" i="2"/>
  <c r="B1390" i="2"/>
  <c r="A1390" i="2"/>
  <c r="B1389" i="2"/>
  <c r="A1389" i="2"/>
  <c r="B1388" i="2"/>
  <c r="A1388" i="2"/>
  <c r="B1387" i="2"/>
  <c r="A1387" i="2"/>
  <c r="B1386" i="2"/>
  <c r="A1386" i="2"/>
  <c r="B1385" i="2"/>
  <c r="A1385" i="2"/>
  <c r="B1384" i="2"/>
  <c r="A1384" i="2"/>
  <c r="B1383" i="2"/>
  <c r="A1383" i="2"/>
  <c r="B1382" i="2"/>
  <c r="A1382" i="2"/>
  <c r="B883" i="2"/>
  <c r="A883" i="2"/>
  <c r="B882" i="2"/>
  <c r="A882" i="2"/>
  <c r="B881" i="2"/>
  <c r="A881" i="2"/>
  <c r="B880" i="2"/>
  <c r="A880" i="2"/>
  <c r="B879" i="2"/>
  <c r="A879" i="2"/>
  <c r="B878" i="2"/>
  <c r="A878" i="2"/>
  <c r="B877" i="2"/>
  <c r="A877" i="2"/>
  <c r="B1413" i="2"/>
  <c r="A1413" i="2"/>
  <c r="B1412" i="2"/>
  <c r="A1412" i="2"/>
  <c r="B1411" i="2"/>
  <c r="A1411" i="2"/>
  <c r="B1410" i="2"/>
  <c r="A1410" i="2"/>
  <c r="B1409" i="2"/>
  <c r="A1409" i="2"/>
  <c r="B1408" i="2"/>
  <c r="A1408" i="2"/>
  <c r="B1407" i="2"/>
  <c r="A1407" i="2"/>
  <c r="B1406" i="2"/>
  <c r="A1406" i="2"/>
  <c r="B1405" i="2"/>
  <c r="A1405" i="2"/>
  <c r="B1404" i="2"/>
  <c r="A1404" i="2"/>
  <c r="B1403" i="2"/>
  <c r="A1403" i="2"/>
  <c r="B906" i="2"/>
  <c r="A906" i="2"/>
  <c r="B905" i="2"/>
  <c r="A905" i="2"/>
  <c r="B904" i="2"/>
  <c r="A904" i="2"/>
  <c r="B903" i="2"/>
  <c r="A903" i="2"/>
  <c r="B902" i="2"/>
  <c r="A902" i="2"/>
  <c r="B901" i="2"/>
  <c r="A901" i="2"/>
  <c r="B900" i="2"/>
  <c r="A900" i="2"/>
  <c r="B899" i="2"/>
  <c r="A899" i="2"/>
  <c r="B1792" i="2" l="1"/>
  <c r="A1792" i="2"/>
  <c r="B1791" i="2"/>
  <c r="A1791" i="2"/>
  <c r="B1790" i="2"/>
  <c r="A1790" i="2"/>
  <c r="B1789" i="2"/>
  <c r="A1789" i="2"/>
  <c r="B1788" i="2"/>
  <c r="A1788" i="2"/>
  <c r="B1787" i="2"/>
  <c r="A1787" i="2"/>
  <c r="B1786" i="2"/>
  <c r="A1786" i="2"/>
  <c r="B1785" i="2"/>
  <c r="A1785" i="2"/>
  <c r="B1784" i="2"/>
  <c r="A1784" i="2"/>
  <c r="B1452" i="2" l="1"/>
  <c r="A1452" i="2"/>
  <c r="B354" i="2" l="1"/>
  <c r="A354" i="2"/>
  <c r="B356" i="2"/>
  <c r="A356" i="2"/>
  <c r="B335" i="2"/>
  <c r="A335" i="2"/>
  <c r="B336" i="2"/>
  <c r="A336" i="2"/>
  <c r="B334" i="2"/>
  <c r="A334" i="2"/>
  <c r="B333" i="2"/>
  <c r="A333" i="2"/>
  <c r="B332" i="2"/>
  <c r="A332" i="2"/>
  <c r="B309" i="2"/>
  <c r="A309" i="2"/>
  <c r="B308" i="2"/>
  <c r="A308" i="2"/>
  <c r="B305" i="2"/>
  <c r="A305" i="2"/>
  <c r="B306" i="2"/>
  <c r="A306" i="2"/>
  <c r="B303" i="2"/>
  <c r="A303" i="2"/>
  <c r="B302" i="2"/>
  <c r="A302" i="2"/>
  <c r="B300" i="2"/>
  <c r="A300" i="2"/>
  <c r="B299" i="2"/>
  <c r="A299" i="2"/>
  <c r="B296" i="2"/>
  <c r="A296" i="2"/>
  <c r="B295" i="2"/>
  <c r="A295" i="2"/>
  <c r="B294" i="2"/>
  <c r="A294" i="2"/>
  <c r="B283" i="2"/>
  <c r="A283" i="2"/>
  <c r="B282" i="2"/>
  <c r="A282" i="2"/>
  <c r="B287" i="2"/>
  <c r="A287" i="2"/>
  <c r="B286" i="2"/>
  <c r="A286" i="2"/>
  <c r="B285" i="2"/>
  <c r="A285" i="2"/>
  <c r="B284" i="2"/>
  <c r="A284" i="2"/>
  <c r="B280" i="2"/>
  <c r="A280" i="2"/>
  <c r="B278" i="2"/>
  <c r="A278" i="2"/>
  <c r="B259" i="2"/>
  <c r="A259" i="2"/>
  <c r="B274" i="2"/>
  <c r="A274" i="2"/>
  <c r="B273" i="2"/>
  <c r="A273" i="2"/>
  <c r="B270" i="2"/>
  <c r="A270" i="2"/>
  <c r="B268" i="2"/>
  <c r="A268" i="2"/>
  <c r="B267" i="2"/>
  <c r="A267" i="2"/>
  <c r="B234" i="2"/>
  <c r="A234" i="2"/>
  <c r="B233" i="2"/>
  <c r="A233" i="2"/>
  <c r="B184" i="2"/>
  <c r="A184" i="2"/>
  <c r="B183" i="2"/>
  <c r="A183" i="2"/>
  <c r="B172" i="2"/>
  <c r="A172" i="2"/>
  <c r="B171" i="2"/>
  <c r="A171" i="2"/>
  <c r="B109" i="2"/>
  <c r="A109" i="2"/>
  <c r="B108" i="2"/>
  <c r="A108" i="2"/>
  <c r="B99" i="2"/>
  <c r="A99" i="2"/>
  <c r="B62" i="2"/>
  <c r="A62" i="2"/>
  <c r="B61" i="2"/>
  <c r="A61" i="2"/>
  <c r="B226" i="2"/>
  <c r="A226" i="2"/>
  <c r="B1741" i="2" l="1"/>
  <c r="A1741" i="2"/>
  <c r="B89" i="2" l="1"/>
  <c r="B88" i="2"/>
  <c r="B1773" i="2"/>
  <c r="A1773" i="2"/>
  <c r="B1754" i="2"/>
  <c r="A1754" i="2"/>
  <c r="B1753" i="2"/>
  <c r="A1753" i="2"/>
  <c r="B1743" i="2"/>
  <c r="A1743" i="2"/>
  <c r="B1742" i="2"/>
  <c r="A1742" i="2"/>
  <c r="B1739" i="2"/>
  <c r="A1739" i="2"/>
  <c r="B1740" i="2"/>
  <c r="A1740" i="2"/>
  <c r="B1737" i="2"/>
  <c r="A1737" i="2"/>
  <c r="B1720" i="2"/>
  <c r="A1720" i="2"/>
  <c r="B1721" i="2"/>
  <c r="A1721" i="2"/>
  <c r="B1711" i="2"/>
  <c r="A1711" i="2"/>
  <c r="B1710" i="2"/>
  <c r="A1710" i="2"/>
  <c r="A1712" i="2"/>
  <c r="B1686" i="2"/>
  <c r="A1686" i="2"/>
  <c r="A28" i="2"/>
  <c r="B28" i="2"/>
  <c r="A29" i="2"/>
  <c r="B29" i="2"/>
  <c r="A36" i="2"/>
  <c r="B36" i="2"/>
  <c r="A37" i="2"/>
  <c r="B37" i="2"/>
  <c r="A38" i="2"/>
  <c r="B38" i="2"/>
  <c r="A39" i="2"/>
  <c r="B39" i="2"/>
  <c r="A40" i="2"/>
  <c r="B40" i="2"/>
  <c r="A41" i="2"/>
  <c r="B41" i="2"/>
  <c r="A42" i="2"/>
  <c r="B42" i="2"/>
  <c r="A43" i="2"/>
  <c r="B43" i="2"/>
  <c r="A44" i="2"/>
  <c r="B44" i="2"/>
  <c r="A45" i="2"/>
  <c r="B45" i="2"/>
  <c r="A46" i="2"/>
  <c r="B46" i="2"/>
  <c r="A47" i="2"/>
  <c r="B47" i="2"/>
  <c r="A48" i="2"/>
  <c r="B48" i="2"/>
  <c r="A49" i="2"/>
  <c r="B49" i="2"/>
  <c r="A50" i="2"/>
  <c r="B50" i="2"/>
  <c r="A51" i="2"/>
  <c r="B51" i="2"/>
  <c r="A54" i="2"/>
  <c r="B54" i="2"/>
  <c r="A55" i="2"/>
  <c r="B55" i="2"/>
  <c r="A56" i="2"/>
  <c r="B56" i="2"/>
  <c r="A57" i="2"/>
  <c r="B57" i="2"/>
  <c r="A63" i="2"/>
  <c r="B63" i="2"/>
  <c r="A66" i="2"/>
  <c r="B66" i="2"/>
  <c r="A67" i="2"/>
  <c r="B67" i="2"/>
  <c r="A68" i="2"/>
  <c r="B68" i="2"/>
  <c r="A69" i="2"/>
  <c r="B69" i="2"/>
  <c r="A70" i="2"/>
  <c r="B70" i="2"/>
  <c r="A71" i="2"/>
  <c r="B71" i="2"/>
  <c r="A72" i="2"/>
  <c r="B72" i="2"/>
  <c r="A73" i="2"/>
  <c r="B73" i="2"/>
  <c r="B90" i="2"/>
  <c r="A91" i="2"/>
  <c r="B91" i="2"/>
  <c r="A92" i="2"/>
  <c r="B92" i="2"/>
  <c r="A93" i="2"/>
  <c r="B93" i="2"/>
  <c r="A94" i="2"/>
  <c r="B94" i="2"/>
  <c r="A95" i="2"/>
  <c r="B95" i="2"/>
  <c r="A96" i="2"/>
  <c r="B96" i="2"/>
  <c r="A97" i="2"/>
  <c r="B97" i="2"/>
  <c r="A98" i="2"/>
  <c r="B98" i="2"/>
  <c r="A100" i="2"/>
  <c r="B100" i="2"/>
  <c r="A101" i="2"/>
  <c r="B101" i="2"/>
  <c r="A104" i="2"/>
  <c r="B104" i="2"/>
  <c r="A105" i="2"/>
  <c r="B105" i="2"/>
  <c r="A106" i="2"/>
  <c r="B106" i="2"/>
  <c r="A107" i="2"/>
  <c r="B107" i="2"/>
  <c r="A110" i="2"/>
  <c r="B110" i="2"/>
  <c r="A111" i="2"/>
  <c r="B111" i="2"/>
  <c r="A112" i="2"/>
  <c r="B112" i="2"/>
  <c r="A113" i="2"/>
  <c r="B113" i="2"/>
  <c r="A114" i="2"/>
  <c r="B114" i="2"/>
  <c r="A115" i="2"/>
  <c r="B115" i="2"/>
  <c r="A116" i="2"/>
  <c r="B116" i="2"/>
  <c r="A117" i="2"/>
  <c r="B117" i="2"/>
  <c r="A118" i="2"/>
  <c r="B118" i="2"/>
  <c r="A119" i="2"/>
  <c r="B119" i="2"/>
  <c r="A120" i="2"/>
  <c r="B120" i="2"/>
  <c r="A121" i="2"/>
  <c r="B121" i="2"/>
  <c r="A122" i="2"/>
  <c r="B122" i="2"/>
  <c r="A123" i="2"/>
  <c r="B123" i="2"/>
  <c r="A125" i="2"/>
  <c r="B125" i="2"/>
  <c r="A126" i="2"/>
  <c r="B126" i="2"/>
  <c r="A124" i="2"/>
  <c r="B124" i="2"/>
  <c r="A127" i="2"/>
  <c r="B127" i="2"/>
  <c r="A128" i="2"/>
  <c r="B128" i="2"/>
  <c r="A129" i="2"/>
  <c r="B129" i="2"/>
  <c r="A130" i="2"/>
  <c r="B130" i="2"/>
  <c r="A131" i="2"/>
  <c r="B131" i="2"/>
  <c r="A132" i="2"/>
  <c r="B132" i="2"/>
  <c r="A133" i="2"/>
  <c r="B133" i="2"/>
  <c r="A134" i="2"/>
  <c r="B134" i="2"/>
  <c r="A135" i="2"/>
  <c r="B135" i="2"/>
  <c r="A136" i="2"/>
  <c r="B136" i="2"/>
  <c r="A137" i="2"/>
  <c r="B137" i="2"/>
  <c r="A138" i="2"/>
  <c r="B138" i="2"/>
  <c r="A139" i="2"/>
  <c r="B139" i="2"/>
  <c r="A140" i="2"/>
  <c r="B140" i="2"/>
  <c r="A141" i="2"/>
  <c r="B141" i="2"/>
  <c r="A142" i="2"/>
  <c r="B142" i="2"/>
  <c r="A143" i="2"/>
  <c r="B143" i="2"/>
  <c r="A144" i="2"/>
  <c r="B144" i="2"/>
  <c r="A145" i="2"/>
  <c r="B145" i="2"/>
  <c r="A146" i="2"/>
  <c r="B146" i="2"/>
  <c r="A147" i="2"/>
  <c r="B147" i="2"/>
  <c r="A148" i="2"/>
  <c r="B148" i="2"/>
  <c r="A149" i="2"/>
  <c r="B149" i="2"/>
  <c r="A150" i="2"/>
  <c r="B150" i="2"/>
  <c r="A151" i="2"/>
  <c r="B151" i="2"/>
  <c r="A152" i="2"/>
  <c r="B152" i="2"/>
  <c r="A153" i="2"/>
  <c r="B153" i="2"/>
  <c r="A154" i="2"/>
  <c r="B154" i="2"/>
  <c r="A155" i="2"/>
  <c r="B155" i="2"/>
  <c r="A156" i="2"/>
  <c r="B156" i="2"/>
  <c r="A157" i="2"/>
  <c r="B157" i="2"/>
  <c r="A170" i="2"/>
  <c r="B170" i="2"/>
  <c r="A173" i="2"/>
  <c r="B173" i="2"/>
  <c r="A174" i="2"/>
  <c r="B174" i="2"/>
  <c r="A175" i="2"/>
  <c r="B175" i="2"/>
  <c r="A176" i="2"/>
  <c r="B176" i="2"/>
  <c r="A177" i="2"/>
  <c r="B177" i="2"/>
  <c r="A178" i="2"/>
  <c r="B178" i="2"/>
  <c r="A179" i="2"/>
  <c r="B179" i="2"/>
  <c r="A180" i="2"/>
  <c r="B180" i="2"/>
  <c r="A181" i="2"/>
  <c r="B181" i="2"/>
  <c r="A182" i="2"/>
  <c r="B182" i="2"/>
  <c r="A185" i="2"/>
  <c r="B185" i="2"/>
  <c r="A186" i="2"/>
  <c r="B186" i="2"/>
  <c r="A187" i="2"/>
  <c r="B187" i="2"/>
  <c r="A188" i="2"/>
  <c r="B188" i="2"/>
  <c r="A191" i="2"/>
  <c r="B191" i="2"/>
  <c r="A192" i="2"/>
  <c r="B192" i="2"/>
  <c r="A189" i="2"/>
  <c r="B189" i="2"/>
  <c r="A190" i="2"/>
  <c r="B190" i="2"/>
  <c r="A193" i="2"/>
  <c r="B193" i="2"/>
  <c r="A194" i="2"/>
  <c r="B194" i="2"/>
  <c r="A195" i="2"/>
  <c r="B195" i="2"/>
  <c r="A196" i="2"/>
  <c r="B196" i="2"/>
  <c r="A197" i="2"/>
  <c r="B197" i="2"/>
  <c r="A198" i="2"/>
  <c r="B198" i="2"/>
  <c r="A199" i="2"/>
  <c r="B199" i="2"/>
  <c r="A200" i="2"/>
  <c r="B200" i="2"/>
  <c r="A201" i="2"/>
  <c r="B201" i="2"/>
  <c r="A202" i="2"/>
  <c r="B202" i="2"/>
  <c r="A203" i="2"/>
  <c r="B203" i="2"/>
  <c r="A204" i="2"/>
  <c r="B204" i="2"/>
  <c r="A205" i="2"/>
  <c r="B205" i="2"/>
  <c r="A206" i="2"/>
  <c r="B206" i="2"/>
  <c r="A207" i="2"/>
  <c r="B207" i="2"/>
  <c r="A208" i="2"/>
  <c r="B208" i="2"/>
  <c r="A214" i="2"/>
  <c r="B214" i="2"/>
  <c r="A215" i="2"/>
  <c r="B215" i="2"/>
  <c r="A216" i="2"/>
  <c r="B216" i="2"/>
  <c r="A217" i="2"/>
  <c r="B217" i="2"/>
  <c r="A218" i="2"/>
  <c r="B218" i="2"/>
  <c r="A219" i="2"/>
  <c r="B219" i="2"/>
  <c r="A220" i="2"/>
  <c r="B220" i="2"/>
  <c r="A222" i="2"/>
  <c r="B222" i="2"/>
  <c r="A223" i="2"/>
  <c r="B223" i="2"/>
  <c r="A224" i="2"/>
  <c r="B224" i="2"/>
  <c r="A225" i="2"/>
  <c r="B225" i="2"/>
  <c r="A227" i="2"/>
  <c r="B227" i="2"/>
  <c r="A228" i="2"/>
  <c r="B228" i="2"/>
  <c r="A229" i="2"/>
  <c r="B229" i="2"/>
  <c r="A230" i="2"/>
  <c r="B230" i="2"/>
  <c r="A231" i="2"/>
  <c r="B231" i="2"/>
  <c r="A232" i="2"/>
  <c r="B232" i="2"/>
  <c r="A235" i="2"/>
  <c r="B235" i="2"/>
  <c r="A236" i="2"/>
  <c r="B236" i="2"/>
  <c r="A237" i="2"/>
  <c r="B237" i="2"/>
  <c r="A238" i="2"/>
  <c r="B238" i="2"/>
  <c r="A239" i="2"/>
  <c r="B239" i="2"/>
  <c r="A240" i="2"/>
  <c r="B240" i="2"/>
  <c r="A241" i="2"/>
  <c r="B241" i="2"/>
  <c r="A242" i="2"/>
  <c r="B242" i="2"/>
  <c r="A243" i="2"/>
  <c r="B243" i="2"/>
  <c r="A244" i="2"/>
  <c r="B244" i="2"/>
  <c r="A245" i="2"/>
  <c r="B245" i="2"/>
  <c r="A246" i="2"/>
  <c r="B246" i="2"/>
  <c r="A247" i="2"/>
  <c r="B247" i="2"/>
  <c r="A248" i="2"/>
  <c r="B248" i="2"/>
  <c r="A249" i="2"/>
  <c r="B249" i="2"/>
  <c r="A250" i="2"/>
  <c r="B250" i="2"/>
  <c r="A251" i="2"/>
  <c r="B251" i="2"/>
  <c r="A252" i="2"/>
  <c r="B252" i="2"/>
  <c r="A253" i="2"/>
  <c r="B253" i="2"/>
  <c r="A254" i="2"/>
  <c r="B254" i="2"/>
  <c r="A255" i="2"/>
  <c r="B255" i="2"/>
  <c r="A257" i="2"/>
  <c r="B257" i="2"/>
  <c r="A258" i="2"/>
  <c r="B258" i="2"/>
  <c r="A260" i="2"/>
  <c r="B260" i="2"/>
  <c r="A261" i="2"/>
  <c r="B261" i="2"/>
  <c r="A262" i="2"/>
  <c r="B262" i="2"/>
  <c r="A263" i="2"/>
  <c r="B263" i="2"/>
  <c r="A264" i="2"/>
  <c r="B264" i="2"/>
  <c r="A265" i="2"/>
  <c r="B265" i="2"/>
  <c r="A266" i="2"/>
  <c r="B266" i="2"/>
  <c r="A269" i="2"/>
  <c r="B269" i="2"/>
  <c r="A271" i="2"/>
  <c r="B271" i="2"/>
  <c r="A272" i="2"/>
  <c r="B272" i="2"/>
  <c r="A275" i="2"/>
  <c r="B275" i="2"/>
  <c r="A276" i="2"/>
  <c r="B276" i="2"/>
  <c r="A277" i="2"/>
  <c r="B277" i="2"/>
  <c r="A279" i="2"/>
  <c r="B279" i="2"/>
  <c r="A281" i="2"/>
  <c r="B281" i="2"/>
  <c r="A288" i="2"/>
  <c r="B288" i="2"/>
  <c r="A290" i="2"/>
  <c r="B290" i="2"/>
  <c r="A291" i="2"/>
  <c r="B291" i="2"/>
  <c r="A292" i="2"/>
  <c r="B292" i="2"/>
  <c r="A289" i="2"/>
  <c r="B289" i="2"/>
  <c r="A293" i="2"/>
  <c r="B293" i="2"/>
  <c r="A297" i="2"/>
  <c r="B297" i="2"/>
  <c r="A298" i="2"/>
  <c r="B298" i="2"/>
  <c r="A301" i="2"/>
  <c r="B301" i="2"/>
  <c r="A304" i="2"/>
  <c r="B304" i="2"/>
  <c r="A307" i="2"/>
  <c r="B307" i="2"/>
  <c r="A310" i="2"/>
  <c r="B310" i="2"/>
  <c r="A311" i="2"/>
  <c r="B311" i="2"/>
  <c r="A312" i="2"/>
  <c r="B312" i="2"/>
  <c r="A313" i="2"/>
  <c r="B313" i="2"/>
  <c r="A314" i="2"/>
  <c r="B314" i="2"/>
  <c r="A315" i="2"/>
  <c r="B315" i="2"/>
  <c r="A316" i="2"/>
  <c r="B316" i="2"/>
  <c r="A317" i="2"/>
  <c r="B317" i="2"/>
  <c r="A318" i="2"/>
  <c r="B318" i="2"/>
  <c r="A319" i="2"/>
  <c r="B319" i="2"/>
  <c r="A320" i="2"/>
  <c r="B320" i="2"/>
  <c r="A321" i="2"/>
  <c r="B321" i="2"/>
  <c r="A323" i="2"/>
  <c r="B323" i="2"/>
  <c r="A324" i="2"/>
  <c r="B324" i="2"/>
  <c r="A325" i="2"/>
  <c r="B325" i="2"/>
  <c r="A337" i="2"/>
  <c r="B337" i="2"/>
  <c r="A338" i="2"/>
  <c r="B338" i="2"/>
  <c r="A339" i="2"/>
  <c r="B339" i="2"/>
  <c r="A340" i="2"/>
  <c r="B340" i="2"/>
  <c r="A341" i="2"/>
  <c r="B341" i="2"/>
  <c r="A342" i="2"/>
  <c r="B342" i="2"/>
  <c r="A343" i="2"/>
  <c r="B343" i="2"/>
  <c r="A344" i="2"/>
  <c r="B344" i="2"/>
  <c r="A345" i="2"/>
  <c r="B345" i="2"/>
  <c r="A346" i="2"/>
  <c r="B346" i="2"/>
  <c r="A347" i="2"/>
  <c r="B347" i="2"/>
  <c r="A355" i="2"/>
  <c r="B355" i="2"/>
  <c r="A357" i="2"/>
  <c r="B357" i="2"/>
  <c r="A358" i="2"/>
  <c r="B358" i="2"/>
  <c r="A371" i="2"/>
  <c r="B371" i="2"/>
  <c r="A372" i="2"/>
  <c r="B372" i="2"/>
  <c r="A373" i="2"/>
  <c r="B373" i="2"/>
  <c r="A374" i="2"/>
  <c r="B374" i="2"/>
  <c r="A375" i="2"/>
  <c r="B375" i="2"/>
  <c r="A376" i="2"/>
  <c r="B376" i="2"/>
  <c r="A377" i="2"/>
  <c r="B377" i="2"/>
  <c r="A385" i="2"/>
  <c r="B385" i="2"/>
  <c r="A386" i="2"/>
  <c r="B386" i="2"/>
  <c r="A387" i="2"/>
  <c r="B387" i="2"/>
  <c r="A388" i="2"/>
  <c r="B388" i="2"/>
  <c r="A389" i="2"/>
  <c r="B389" i="2"/>
  <c r="A390" i="2"/>
  <c r="B390" i="2"/>
  <c r="A397" i="2"/>
  <c r="B397" i="2"/>
  <c r="A398" i="2"/>
  <c r="B398" i="2"/>
  <c r="A399" i="2"/>
  <c r="B399" i="2"/>
  <c r="A400" i="2"/>
  <c r="B400" i="2"/>
  <c r="A401" i="2"/>
  <c r="B401" i="2"/>
  <c r="A402" i="2"/>
  <c r="B402" i="2"/>
  <c r="A403" i="2"/>
  <c r="B403" i="2"/>
  <c r="A411" i="2"/>
  <c r="B411" i="2"/>
  <c r="A412" i="2"/>
  <c r="B412" i="2"/>
  <c r="A418" i="2"/>
  <c r="B418" i="2"/>
  <c r="A419" i="2"/>
  <c r="B419" i="2"/>
  <c r="A420" i="2"/>
  <c r="B420" i="2"/>
  <c r="A413" i="2"/>
  <c r="B413" i="2"/>
  <c r="A414" i="2"/>
  <c r="B414" i="2"/>
  <c r="A415" i="2"/>
  <c r="B415" i="2"/>
  <c r="A416" i="2"/>
  <c r="B416" i="2"/>
  <c r="A417" i="2"/>
  <c r="B417" i="2"/>
  <c r="A421" i="2"/>
  <c r="B421" i="2"/>
  <c r="A422" i="2"/>
  <c r="B422" i="2"/>
  <c r="A423" i="2"/>
  <c r="B423" i="2"/>
  <c r="A424" i="2"/>
  <c r="B424" i="2"/>
  <c r="A425" i="2"/>
  <c r="B425" i="2"/>
  <c r="A426" i="2"/>
  <c r="B426" i="2"/>
  <c r="A427" i="2"/>
  <c r="B427" i="2"/>
  <c r="A428" i="2"/>
  <c r="B428" i="2"/>
  <c r="A429" i="2"/>
  <c r="B429" i="2"/>
  <c r="A430" i="2"/>
  <c r="B430" i="2"/>
  <c r="A431" i="2"/>
  <c r="B431" i="2"/>
  <c r="A432" i="2"/>
  <c r="B432" i="2"/>
  <c r="A433" i="2"/>
  <c r="B433" i="2"/>
  <c r="A434" i="2"/>
  <c r="B434" i="2"/>
  <c r="A442" i="2"/>
  <c r="B442" i="2"/>
  <c r="A443" i="2"/>
  <c r="B443" i="2"/>
  <c r="A444" i="2"/>
  <c r="B444" i="2"/>
  <c r="A445" i="2"/>
  <c r="B445" i="2"/>
  <c r="A446" i="2"/>
  <c r="B446" i="2"/>
  <c r="A447" i="2"/>
  <c r="B447" i="2"/>
  <c r="A448" i="2"/>
  <c r="B448" i="2"/>
  <c r="A449" i="2"/>
  <c r="B449" i="2"/>
  <c r="A450" i="2"/>
  <c r="B450" i="2"/>
  <c r="A451" i="2"/>
  <c r="B451" i="2"/>
  <c r="A452" i="2"/>
  <c r="B452" i="2"/>
  <c r="A453" i="2"/>
  <c r="B453" i="2"/>
  <c r="A454" i="2"/>
  <c r="B454" i="2"/>
  <c r="A455" i="2"/>
  <c r="B455" i="2"/>
  <c r="A456" i="2"/>
  <c r="B456" i="2"/>
  <c r="A457" i="2"/>
  <c r="B457" i="2"/>
  <c r="A458" i="2"/>
  <c r="B458" i="2"/>
  <c r="A459" i="2"/>
  <c r="B459" i="2"/>
  <c r="A460" i="2"/>
  <c r="B460" i="2"/>
  <c r="A461" i="2"/>
  <c r="B461" i="2"/>
  <c r="A463" i="2"/>
  <c r="B463" i="2"/>
  <c r="A464" i="2"/>
  <c r="B464" i="2"/>
  <c r="A465" i="2"/>
  <c r="B465" i="2"/>
  <c r="A466" i="2"/>
  <c r="B466" i="2"/>
  <c r="A467" i="2"/>
  <c r="B467" i="2"/>
  <c r="A468" i="2"/>
  <c r="B468" i="2"/>
  <c r="A469" i="2"/>
  <c r="B469" i="2"/>
  <c r="A470" i="2"/>
  <c r="B470" i="2"/>
  <c r="A471" i="2"/>
  <c r="B471" i="2"/>
  <c r="A472" i="2"/>
  <c r="B472" i="2"/>
  <c r="A473" i="2"/>
  <c r="B473" i="2"/>
  <c r="A474" i="2"/>
  <c r="B474" i="2"/>
  <c r="A475" i="2"/>
  <c r="B475" i="2"/>
  <c r="A462" i="2"/>
  <c r="B462" i="2"/>
  <c r="A482" i="2"/>
  <c r="B482" i="2"/>
  <c r="A483" i="2"/>
  <c r="B483" i="2"/>
  <c r="A484" i="2"/>
  <c r="B484" i="2"/>
  <c r="A485" i="2"/>
  <c r="B485" i="2"/>
  <c r="A486" i="2"/>
  <c r="B486" i="2"/>
  <c r="A487" i="2"/>
  <c r="B487" i="2"/>
  <c r="A488" i="2"/>
  <c r="B488" i="2"/>
  <c r="A489" i="2"/>
  <c r="B489" i="2"/>
  <c r="A490" i="2"/>
  <c r="B490" i="2"/>
  <c r="A491" i="2"/>
  <c r="B491" i="2"/>
  <c r="A492" i="2"/>
  <c r="B492" i="2"/>
  <c r="A493" i="2"/>
  <c r="B493" i="2"/>
  <c r="A494" i="2"/>
  <c r="B494" i="2"/>
  <c r="A495" i="2"/>
  <c r="B495" i="2"/>
  <c r="A496" i="2"/>
  <c r="B496" i="2"/>
  <c r="A497" i="2"/>
  <c r="B497" i="2"/>
  <c r="A498" i="2"/>
  <c r="B498" i="2"/>
  <c r="A499" i="2"/>
  <c r="B499" i="2"/>
  <c r="A500" i="2"/>
  <c r="B500" i="2"/>
  <c r="A501" i="2"/>
  <c r="B501" i="2"/>
  <c r="A502" i="2"/>
  <c r="B502" i="2"/>
  <c r="A503" i="2"/>
  <c r="B503" i="2"/>
  <c r="A504" i="2"/>
  <c r="B504" i="2"/>
  <c r="A505" i="2"/>
  <c r="B505" i="2"/>
  <c r="A506" i="2"/>
  <c r="B506" i="2"/>
  <c r="A507" i="2"/>
  <c r="B507" i="2"/>
  <c r="A508" i="2"/>
  <c r="B508" i="2"/>
  <c r="A509" i="2"/>
  <c r="B509" i="2"/>
  <c r="A510" i="2"/>
  <c r="B510" i="2"/>
  <c r="A511" i="2"/>
  <c r="B511" i="2"/>
  <c r="A512" i="2"/>
  <c r="B512" i="2"/>
  <c r="A513" i="2"/>
  <c r="B513" i="2"/>
  <c r="A514" i="2"/>
  <c r="B514" i="2"/>
  <c r="A515" i="2"/>
  <c r="B515" i="2"/>
  <c r="A516" i="2"/>
  <c r="B516" i="2"/>
  <c r="A517" i="2"/>
  <c r="B517" i="2"/>
  <c r="A518" i="2"/>
  <c r="B518" i="2"/>
  <c r="A519" i="2"/>
  <c r="B519" i="2"/>
  <c r="A520" i="2"/>
  <c r="B520" i="2"/>
  <c r="A521" i="2"/>
  <c r="B521" i="2"/>
  <c r="A522" i="2"/>
  <c r="B522" i="2"/>
  <c r="A523" i="2"/>
  <c r="B523" i="2"/>
  <c r="A524" i="2"/>
  <c r="B524" i="2"/>
  <c r="A525" i="2"/>
  <c r="B525" i="2"/>
  <c r="A526" i="2"/>
  <c r="B526" i="2"/>
  <c r="A527" i="2"/>
  <c r="B527" i="2"/>
  <c r="A528" i="2"/>
  <c r="B528" i="2"/>
  <c r="A529" i="2"/>
  <c r="B529" i="2"/>
  <c r="A530" i="2"/>
  <c r="B530" i="2"/>
  <c r="A531" i="2"/>
  <c r="B531" i="2"/>
  <c r="A532" i="2"/>
  <c r="B532" i="2"/>
  <c r="A533" i="2"/>
  <c r="B533" i="2"/>
  <c r="A534" i="2"/>
  <c r="B534" i="2"/>
  <c r="A535" i="2"/>
  <c r="B535" i="2"/>
  <c r="A536" i="2"/>
  <c r="B536" i="2"/>
  <c r="A537" i="2"/>
  <c r="B537" i="2"/>
  <c r="A538" i="2"/>
  <c r="B538" i="2"/>
  <c r="A539" i="2"/>
  <c r="B539" i="2"/>
  <c r="A542" i="2"/>
  <c r="B542" i="2"/>
  <c r="A543" i="2"/>
  <c r="B543" i="2"/>
  <c r="A544" i="2"/>
  <c r="B544" i="2"/>
  <c r="A545" i="2"/>
  <c r="B545" i="2"/>
  <c r="A546" i="2"/>
  <c r="B546" i="2"/>
  <c r="A547" i="2"/>
  <c r="B547" i="2"/>
  <c r="A548" i="2"/>
  <c r="B548" i="2"/>
  <c r="A549" i="2"/>
  <c r="B549" i="2"/>
  <c r="A550" i="2"/>
  <c r="B550" i="2"/>
  <c r="A551" i="2"/>
  <c r="B551" i="2"/>
  <c r="A552" i="2"/>
  <c r="B552" i="2"/>
  <c r="A553" i="2"/>
  <c r="B553" i="2"/>
  <c r="A554" i="2"/>
  <c r="B554" i="2"/>
  <c r="A555" i="2"/>
  <c r="B555" i="2"/>
  <c r="A556" i="2"/>
  <c r="B556" i="2"/>
  <c r="A557" i="2"/>
  <c r="B557" i="2"/>
  <c r="A558" i="2"/>
  <c r="B558" i="2"/>
  <c r="A559" i="2"/>
  <c r="B559" i="2"/>
  <c r="A560" i="2"/>
  <c r="B560" i="2"/>
  <c r="A561" i="2"/>
  <c r="B561" i="2"/>
  <c r="A562" i="2"/>
  <c r="B562" i="2"/>
  <c r="A563" i="2"/>
  <c r="B563" i="2"/>
  <c r="A564" i="2"/>
  <c r="B564" i="2"/>
  <c r="A565" i="2"/>
  <c r="B565" i="2"/>
  <c r="A566" i="2"/>
  <c r="B566" i="2"/>
  <c r="A567" i="2"/>
  <c r="B567" i="2"/>
  <c r="A568" i="2"/>
  <c r="B568" i="2"/>
  <c r="A569" i="2"/>
  <c r="B569" i="2"/>
  <c r="A570" i="2"/>
  <c r="B570" i="2"/>
  <c r="A571" i="2"/>
  <c r="B571" i="2"/>
  <c r="A572" i="2"/>
  <c r="B572" i="2"/>
  <c r="A573" i="2"/>
  <c r="B573" i="2"/>
  <c r="A574" i="2"/>
  <c r="B574" i="2"/>
  <c r="A575" i="2"/>
  <c r="B575" i="2"/>
  <c r="A576" i="2"/>
  <c r="B576" i="2"/>
  <c r="A577" i="2"/>
  <c r="B577" i="2"/>
  <c r="A578" i="2"/>
  <c r="B578" i="2"/>
  <c r="A579" i="2"/>
  <c r="B579" i="2"/>
  <c r="A580" i="2"/>
  <c r="B580" i="2"/>
  <c r="A581" i="2"/>
  <c r="B581" i="2"/>
  <c r="A582" i="2"/>
  <c r="B582" i="2"/>
  <c r="A583" i="2"/>
  <c r="B583" i="2"/>
  <c r="A584" i="2"/>
  <c r="B584" i="2"/>
  <c r="A585" i="2"/>
  <c r="B585" i="2"/>
  <c r="A586" i="2"/>
  <c r="B586" i="2"/>
  <c r="A587" i="2"/>
  <c r="B587" i="2"/>
  <c r="A588" i="2"/>
  <c r="B588" i="2"/>
  <c r="A589" i="2"/>
  <c r="B589" i="2"/>
  <c r="A590" i="2"/>
  <c r="B590" i="2"/>
  <c r="A591" i="2"/>
  <c r="B591" i="2"/>
  <c r="A592" i="2"/>
  <c r="B592" i="2"/>
  <c r="A593" i="2"/>
  <c r="B593" i="2"/>
  <c r="A594" i="2"/>
  <c r="B594" i="2"/>
  <c r="A595" i="2"/>
  <c r="B595" i="2"/>
  <c r="A596" i="2"/>
  <c r="B596" i="2"/>
  <c r="A597" i="2"/>
  <c r="B597" i="2"/>
  <c r="A598" i="2"/>
  <c r="B598" i="2"/>
  <c r="A599" i="2"/>
  <c r="B599" i="2"/>
  <c r="A600" i="2"/>
  <c r="B600" i="2"/>
  <c r="A601" i="2"/>
  <c r="B601" i="2"/>
  <c r="A602" i="2"/>
  <c r="B602" i="2"/>
  <c r="A603" i="2"/>
  <c r="B603" i="2"/>
  <c r="A604" i="2"/>
  <c r="B604" i="2"/>
  <c r="A605" i="2"/>
  <c r="B605" i="2"/>
  <c r="A606" i="2"/>
  <c r="B606" i="2"/>
  <c r="A607" i="2"/>
  <c r="B607" i="2"/>
  <c r="A608" i="2"/>
  <c r="B608" i="2"/>
  <c r="A609" i="2"/>
  <c r="B609" i="2"/>
  <c r="A610" i="2"/>
  <c r="B610" i="2"/>
  <c r="A611" i="2"/>
  <c r="B611" i="2"/>
  <c r="A612" i="2"/>
  <c r="B612" i="2"/>
  <c r="A613" i="2"/>
  <c r="B613" i="2"/>
  <c r="A614" i="2"/>
  <c r="B614" i="2"/>
  <c r="A615" i="2"/>
  <c r="B615" i="2"/>
  <c r="A616" i="2"/>
  <c r="B616" i="2"/>
  <c r="A617" i="2"/>
  <c r="B617" i="2"/>
  <c r="A618" i="2"/>
  <c r="B618" i="2"/>
  <c r="A619" i="2"/>
  <c r="B619" i="2"/>
  <c r="A620" i="2"/>
  <c r="B620" i="2"/>
  <c r="A621" i="2"/>
  <c r="B621" i="2"/>
  <c r="A622" i="2"/>
  <c r="B622" i="2"/>
  <c r="A623" i="2"/>
  <c r="B623" i="2"/>
  <c r="A624" i="2"/>
  <c r="B624" i="2"/>
  <c r="A625" i="2"/>
  <c r="B625" i="2"/>
  <c r="A626" i="2"/>
  <c r="B626" i="2"/>
  <c r="A627" i="2"/>
  <c r="B627" i="2"/>
  <c r="A628" i="2"/>
  <c r="B628" i="2"/>
  <c r="A629" i="2"/>
  <c r="B629" i="2"/>
  <c r="A630" i="2"/>
  <c r="B630" i="2"/>
  <c r="A631" i="2"/>
  <c r="B631" i="2"/>
  <c r="A632" i="2"/>
  <c r="B632" i="2"/>
  <c r="A633" i="2"/>
  <c r="B633" i="2"/>
  <c r="A634" i="2"/>
  <c r="B634" i="2"/>
  <c r="A635" i="2"/>
  <c r="B635" i="2"/>
  <c r="A644" i="2"/>
  <c r="B644" i="2"/>
  <c r="A645" i="2"/>
  <c r="B645" i="2"/>
  <c r="A646" i="2"/>
  <c r="B646" i="2"/>
  <c r="A647" i="2"/>
  <c r="B647" i="2"/>
  <c r="A648" i="2"/>
  <c r="B648" i="2"/>
  <c r="A649" i="2"/>
  <c r="B649" i="2"/>
  <c r="A650" i="2"/>
  <c r="B650" i="2"/>
  <c r="A651" i="2"/>
  <c r="B651" i="2"/>
  <c r="A663" i="2"/>
  <c r="B663" i="2"/>
  <c r="A664" i="2"/>
  <c r="B664" i="2"/>
  <c r="A665" i="2"/>
  <c r="B665" i="2"/>
  <c r="A666" i="2"/>
  <c r="B666" i="2"/>
  <c r="A667" i="2"/>
  <c r="B667" i="2"/>
  <c r="A668" i="2"/>
  <c r="B668" i="2"/>
  <c r="A669" i="2"/>
  <c r="B669" i="2"/>
  <c r="A670" i="2"/>
  <c r="B670" i="2"/>
  <c r="A671" i="2"/>
  <c r="B671" i="2"/>
  <c r="A672" i="2"/>
  <c r="B672" i="2"/>
  <c r="A673" i="2"/>
  <c r="B673" i="2"/>
  <c r="A674" i="2"/>
  <c r="B674" i="2"/>
  <c r="A675" i="2"/>
  <c r="B675" i="2"/>
  <c r="A676" i="2"/>
  <c r="B676" i="2"/>
  <c r="A677" i="2"/>
  <c r="B677" i="2"/>
  <c r="A678" i="2"/>
  <c r="B678" i="2"/>
  <c r="A679" i="2"/>
  <c r="B679" i="2"/>
  <c r="A680" i="2"/>
  <c r="B680" i="2"/>
  <c r="A681" i="2"/>
  <c r="B681" i="2"/>
  <c r="A682" i="2"/>
  <c r="B682" i="2"/>
  <c r="A683" i="2"/>
  <c r="B683" i="2"/>
  <c r="A684" i="2"/>
  <c r="B684" i="2"/>
  <c r="A685" i="2"/>
  <c r="B685" i="2"/>
  <c r="A686" i="2"/>
  <c r="B686" i="2"/>
  <c r="A687" i="2"/>
  <c r="B687" i="2"/>
  <c r="A688" i="2"/>
  <c r="B688" i="2"/>
  <c r="A689" i="2"/>
  <c r="B689" i="2"/>
  <c r="A691" i="2"/>
  <c r="B691" i="2"/>
  <c r="A692" i="2"/>
  <c r="B692" i="2"/>
  <c r="A693" i="2"/>
  <c r="B693" i="2"/>
  <c r="A694" i="2"/>
  <c r="B694" i="2"/>
  <c r="A695" i="2"/>
  <c r="B695" i="2"/>
  <c r="A696" i="2"/>
  <c r="B696" i="2"/>
  <c r="A697" i="2"/>
  <c r="B697" i="2"/>
  <c r="A698" i="2"/>
  <c r="B698" i="2"/>
  <c r="A699" i="2"/>
  <c r="B699" i="2"/>
  <c r="A700" i="2"/>
  <c r="B700" i="2"/>
  <c r="A701" i="2"/>
  <c r="B701" i="2"/>
  <c r="A702" i="2"/>
  <c r="B702" i="2"/>
  <c r="A703" i="2"/>
  <c r="B703" i="2"/>
  <c r="A704" i="2"/>
  <c r="B704" i="2"/>
  <c r="A705" i="2"/>
  <c r="B705" i="2"/>
  <c r="A706" i="2"/>
  <c r="B706" i="2"/>
  <c r="A707" i="2"/>
  <c r="B707" i="2"/>
  <c r="A708" i="2"/>
  <c r="B708" i="2"/>
  <c r="A709" i="2"/>
  <c r="B709" i="2"/>
  <c r="A710" i="2"/>
  <c r="B710" i="2"/>
  <c r="A711" i="2"/>
  <c r="B711" i="2"/>
  <c r="A712" i="2"/>
  <c r="B712" i="2"/>
  <c r="A713" i="2"/>
  <c r="B713" i="2"/>
  <c r="A714" i="2"/>
  <c r="B714" i="2"/>
  <c r="A715" i="2"/>
  <c r="B715" i="2"/>
  <c r="A722" i="2"/>
  <c r="B722" i="2"/>
  <c r="A723" i="2"/>
  <c r="B723" i="2"/>
  <c r="A724" i="2"/>
  <c r="B724" i="2"/>
  <c r="A726" i="2"/>
  <c r="B726" i="2"/>
  <c r="A727" i="2"/>
  <c r="B727" i="2"/>
  <c r="A728" i="2"/>
  <c r="B728" i="2"/>
  <c r="A729" i="2"/>
  <c r="B729" i="2"/>
  <c r="A733" i="2"/>
  <c r="B733" i="2"/>
  <c r="A734" i="2"/>
  <c r="B734" i="2"/>
  <c r="A735" i="2"/>
  <c r="B735" i="2"/>
  <c r="A736" i="2"/>
  <c r="B736" i="2"/>
  <c r="A737" i="2"/>
  <c r="B737" i="2"/>
  <c r="A738" i="2"/>
  <c r="B738" i="2"/>
  <c r="A739" i="2"/>
  <c r="B739" i="2"/>
  <c r="A740" i="2"/>
  <c r="B740" i="2"/>
  <c r="A741" i="2"/>
  <c r="B741" i="2"/>
  <c r="A742" i="2"/>
  <c r="B742" i="2"/>
  <c r="A743" i="2"/>
  <c r="B743" i="2"/>
  <c r="A744" i="2"/>
  <c r="B744" i="2"/>
  <c r="A745" i="2"/>
  <c r="B745" i="2"/>
  <c r="A746" i="2"/>
  <c r="B746" i="2"/>
  <c r="A747" i="2"/>
  <c r="B747" i="2"/>
  <c r="A748" i="2"/>
  <c r="B748" i="2"/>
  <c r="A749" i="2"/>
  <c r="B749" i="2"/>
  <c r="A750" i="2"/>
  <c r="B750" i="2"/>
  <c r="A751" i="2"/>
  <c r="B751" i="2"/>
  <c r="A752" i="2"/>
  <c r="B752" i="2"/>
  <c r="A753" i="2"/>
  <c r="B753" i="2"/>
  <c r="A754" i="2"/>
  <c r="B754" i="2"/>
  <c r="A755" i="2"/>
  <c r="B755" i="2"/>
  <c r="A756" i="2"/>
  <c r="B756" i="2"/>
  <c r="A757" i="2"/>
  <c r="B757" i="2"/>
  <c r="A758" i="2"/>
  <c r="B758" i="2"/>
  <c r="A759" i="2"/>
  <c r="B759" i="2"/>
  <c r="A760" i="2"/>
  <c r="B760" i="2"/>
  <c r="A761" i="2"/>
  <c r="B761" i="2"/>
  <c r="A762" i="2"/>
  <c r="B762" i="2"/>
  <c r="A763" i="2"/>
  <c r="B763" i="2"/>
  <c r="A764" i="2"/>
  <c r="B764" i="2"/>
  <c r="A765" i="2"/>
  <c r="B765" i="2"/>
  <c r="A766" i="2"/>
  <c r="B766" i="2"/>
  <c r="A767" i="2"/>
  <c r="B767" i="2"/>
  <c r="A768" i="2"/>
  <c r="B768" i="2"/>
  <c r="A769" i="2"/>
  <c r="B769" i="2"/>
  <c r="A770" i="2"/>
  <c r="B770" i="2"/>
  <c r="A771" i="2"/>
  <c r="B771" i="2"/>
  <c r="A772" i="2"/>
  <c r="B772" i="2"/>
  <c r="A773" i="2"/>
  <c r="B773" i="2"/>
  <c r="A774" i="2"/>
  <c r="B774" i="2"/>
  <c r="A775" i="2"/>
  <c r="B775" i="2"/>
  <c r="A776" i="2"/>
  <c r="B776" i="2"/>
  <c r="A777" i="2"/>
  <c r="B777" i="2"/>
  <c r="A778" i="2"/>
  <c r="B778" i="2"/>
  <c r="A779" i="2"/>
  <c r="B779" i="2"/>
  <c r="A780" i="2"/>
  <c r="B780" i="2"/>
  <c r="A781" i="2"/>
  <c r="B781" i="2"/>
  <c r="A782" i="2"/>
  <c r="B782" i="2"/>
  <c r="A783" i="2"/>
  <c r="B783" i="2"/>
  <c r="A784" i="2"/>
  <c r="B784" i="2"/>
  <c r="A785" i="2"/>
  <c r="B785" i="2"/>
  <c r="A786" i="2"/>
  <c r="B786" i="2"/>
  <c r="A787" i="2"/>
  <c r="B787" i="2"/>
  <c r="A788" i="2"/>
  <c r="B788" i="2"/>
  <c r="A789" i="2"/>
  <c r="B789" i="2"/>
  <c r="A790" i="2"/>
  <c r="B790" i="2"/>
  <c r="A791" i="2"/>
  <c r="B791" i="2"/>
  <c r="A792" i="2"/>
  <c r="B792" i="2"/>
  <c r="A793" i="2"/>
  <c r="B793" i="2"/>
  <c r="A794" i="2"/>
  <c r="B794" i="2"/>
  <c r="A795" i="2"/>
  <c r="B795" i="2"/>
  <c r="A796" i="2"/>
  <c r="B796" i="2"/>
  <c r="A797" i="2"/>
  <c r="B797" i="2"/>
  <c r="A798" i="2"/>
  <c r="B798" i="2"/>
  <c r="A799" i="2"/>
  <c r="B799" i="2"/>
  <c r="A800" i="2"/>
  <c r="B800" i="2"/>
  <c r="A801" i="2"/>
  <c r="B801" i="2"/>
  <c r="A802" i="2"/>
  <c r="B802" i="2"/>
  <c r="A803" i="2"/>
  <c r="B803" i="2"/>
  <c r="A804" i="2"/>
  <c r="B804" i="2"/>
  <c r="A805" i="2"/>
  <c r="B805" i="2"/>
  <c r="A806" i="2"/>
  <c r="B806" i="2"/>
  <c r="A807" i="2"/>
  <c r="B807" i="2"/>
  <c r="A814" i="2"/>
  <c r="B814" i="2"/>
  <c r="A808" i="2"/>
  <c r="B808" i="2"/>
  <c r="A809" i="2"/>
  <c r="B809" i="2"/>
  <c r="A810" i="2"/>
  <c r="B810" i="2"/>
  <c r="A811" i="2"/>
  <c r="B811" i="2"/>
  <c r="A812" i="2"/>
  <c r="B812" i="2"/>
  <c r="A813" i="2"/>
  <c r="B813" i="2"/>
  <c r="A815" i="2"/>
  <c r="B815" i="2"/>
  <c r="A816" i="2"/>
  <c r="B816" i="2"/>
  <c r="A817" i="2"/>
  <c r="B817" i="2"/>
  <c r="A818" i="2"/>
  <c r="B818" i="2"/>
  <c r="A819" i="2"/>
  <c r="B819" i="2"/>
  <c r="A820" i="2"/>
  <c r="B820" i="2"/>
  <c r="A821" i="2"/>
  <c r="B821" i="2"/>
  <c r="A822" i="2"/>
  <c r="B822" i="2"/>
  <c r="A823" i="2"/>
  <c r="B823" i="2"/>
  <c r="A824" i="2"/>
  <c r="B824" i="2"/>
  <c r="A825" i="2"/>
  <c r="B825" i="2"/>
  <c r="A826" i="2"/>
  <c r="B826" i="2"/>
  <c r="A827" i="2"/>
  <c r="B827" i="2"/>
  <c r="A828" i="2"/>
  <c r="B828" i="2"/>
  <c r="A829" i="2"/>
  <c r="B829" i="2"/>
  <c r="A830" i="2"/>
  <c r="B830" i="2"/>
  <c r="A831" i="2"/>
  <c r="B831" i="2"/>
  <c r="A832" i="2"/>
  <c r="B832" i="2"/>
  <c r="A833" i="2"/>
  <c r="B833" i="2"/>
  <c r="A834" i="2"/>
  <c r="B834" i="2"/>
  <c r="A835" i="2"/>
  <c r="B835" i="2"/>
  <c r="A836" i="2"/>
  <c r="B836" i="2"/>
  <c r="A837" i="2"/>
  <c r="B837" i="2"/>
  <c r="A838" i="2"/>
  <c r="B838" i="2"/>
  <c r="A839" i="2"/>
  <c r="B839" i="2"/>
  <c r="A840" i="2"/>
  <c r="B840" i="2"/>
  <c r="A841" i="2"/>
  <c r="B841" i="2"/>
  <c r="A842" i="2"/>
  <c r="B842" i="2"/>
  <c r="A843" i="2"/>
  <c r="B843" i="2"/>
  <c r="A844" i="2"/>
  <c r="B844" i="2"/>
  <c r="A845" i="2"/>
  <c r="B845" i="2"/>
  <c r="A846" i="2"/>
  <c r="B846" i="2"/>
  <c r="A847" i="2"/>
  <c r="B847" i="2"/>
  <c r="A848" i="2"/>
  <c r="B848" i="2"/>
  <c r="A849" i="2"/>
  <c r="B849" i="2"/>
  <c r="A850" i="2"/>
  <c r="B850" i="2"/>
  <c r="A851" i="2"/>
  <c r="B851" i="2"/>
  <c r="A852" i="2"/>
  <c r="B852" i="2"/>
  <c r="A853" i="2"/>
  <c r="B853" i="2"/>
  <c r="A854" i="2"/>
  <c r="B854" i="2"/>
  <c r="A855" i="2"/>
  <c r="B855" i="2"/>
  <c r="A856" i="2"/>
  <c r="B856" i="2"/>
  <c r="A857" i="2"/>
  <c r="B857" i="2"/>
  <c r="A858" i="2"/>
  <c r="B858" i="2"/>
  <c r="A859" i="2"/>
  <c r="B859" i="2"/>
  <c r="A860" i="2"/>
  <c r="B860" i="2"/>
  <c r="A861" i="2"/>
  <c r="B861" i="2"/>
  <c r="A862" i="2"/>
  <c r="B862" i="2"/>
  <c r="A863" i="2"/>
  <c r="B863" i="2"/>
  <c r="A864" i="2"/>
  <c r="B864" i="2"/>
  <c r="A865" i="2"/>
  <c r="B865" i="2"/>
  <c r="A866" i="2"/>
  <c r="B866" i="2"/>
  <c r="A867" i="2"/>
  <c r="B867" i="2"/>
  <c r="A868" i="2"/>
  <c r="B868" i="2"/>
  <c r="A869" i="2"/>
  <c r="B869" i="2"/>
  <c r="A870" i="2"/>
  <c r="B870" i="2"/>
  <c r="A871" i="2"/>
  <c r="B871" i="2"/>
  <c r="A872" i="2"/>
  <c r="B872" i="2"/>
  <c r="A873" i="2"/>
  <c r="B873" i="2"/>
  <c r="A874" i="2"/>
  <c r="B874" i="2"/>
  <c r="A875" i="2"/>
  <c r="B875" i="2"/>
  <c r="A876" i="2"/>
  <c r="B876" i="2"/>
  <c r="A884" i="2"/>
  <c r="B884" i="2"/>
  <c r="A885" i="2"/>
  <c r="B885" i="2"/>
  <c r="A886" i="2"/>
  <c r="B886" i="2"/>
  <c r="A887" i="2"/>
  <c r="B887" i="2"/>
  <c r="A888" i="2"/>
  <c r="B888" i="2"/>
  <c r="A889" i="2"/>
  <c r="B889" i="2"/>
  <c r="A890" i="2"/>
  <c r="B890" i="2"/>
  <c r="A891" i="2"/>
  <c r="B891" i="2"/>
  <c r="A892" i="2"/>
  <c r="B892" i="2"/>
  <c r="A907" i="2"/>
  <c r="B907" i="2"/>
  <c r="A908" i="2"/>
  <c r="B908" i="2"/>
  <c r="A909" i="2"/>
  <c r="B909" i="2"/>
  <c r="A910" i="2"/>
  <c r="B910" i="2"/>
  <c r="A911" i="2"/>
  <c r="B911" i="2"/>
  <c r="A912" i="2"/>
  <c r="B912" i="2"/>
  <c r="A913" i="2"/>
  <c r="B913" i="2"/>
  <c r="A914" i="2"/>
  <c r="B914" i="2"/>
  <c r="A915" i="2"/>
  <c r="B915" i="2"/>
  <c r="A916" i="2"/>
  <c r="B916" i="2"/>
  <c r="A917" i="2"/>
  <c r="B917" i="2"/>
  <c r="A918" i="2"/>
  <c r="B918" i="2"/>
  <c r="A919" i="2"/>
  <c r="B919" i="2"/>
  <c r="A920" i="2"/>
  <c r="B920" i="2"/>
  <c r="A921" i="2"/>
  <c r="B921" i="2"/>
  <c r="A922" i="2"/>
  <c r="B922" i="2"/>
  <c r="A923" i="2"/>
  <c r="B923" i="2"/>
  <c r="A924" i="2"/>
  <c r="B924" i="2"/>
  <c r="A925" i="2"/>
  <c r="B925" i="2"/>
  <c r="A926" i="2"/>
  <c r="B926" i="2"/>
  <c r="A927" i="2"/>
  <c r="B927" i="2"/>
  <c r="A928" i="2"/>
  <c r="B928" i="2"/>
  <c r="A929" i="2"/>
  <c r="B929" i="2"/>
  <c r="A930" i="2"/>
  <c r="B930" i="2"/>
  <c r="A931" i="2"/>
  <c r="B931" i="2"/>
  <c r="A932" i="2"/>
  <c r="B932" i="2"/>
  <c r="A933" i="2"/>
  <c r="B933" i="2"/>
  <c r="A934" i="2"/>
  <c r="B934" i="2"/>
  <c r="A935" i="2"/>
  <c r="B935" i="2"/>
  <c r="A936" i="2"/>
  <c r="B936" i="2"/>
  <c r="A937" i="2"/>
  <c r="B937" i="2"/>
  <c r="A938" i="2"/>
  <c r="B938" i="2"/>
  <c r="A939" i="2"/>
  <c r="B939" i="2"/>
  <c r="A940" i="2"/>
  <c r="B940" i="2"/>
  <c r="A941" i="2"/>
  <c r="B941" i="2"/>
  <c r="A942" i="2"/>
  <c r="B942" i="2"/>
  <c r="A943" i="2"/>
  <c r="B943" i="2"/>
  <c r="A944" i="2"/>
  <c r="B944" i="2"/>
  <c r="A945" i="2"/>
  <c r="B945" i="2"/>
  <c r="A946" i="2"/>
  <c r="B946" i="2"/>
  <c r="A947" i="2"/>
  <c r="B947" i="2"/>
  <c r="A948" i="2"/>
  <c r="B948" i="2"/>
  <c r="A949" i="2"/>
  <c r="B949" i="2"/>
  <c r="A950" i="2"/>
  <c r="B950" i="2"/>
  <c r="A951" i="2"/>
  <c r="B951" i="2"/>
  <c r="A952" i="2"/>
  <c r="B952" i="2"/>
  <c r="A953" i="2"/>
  <c r="B953" i="2"/>
  <c r="A954" i="2"/>
  <c r="B954" i="2"/>
  <c r="A955" i="2"/>
  <c r="B955" i="2"/>
  <c r="A956" i="2"/>
  <c r="B956" i="2"/>
  <c r="A957" i="2"/>
  <c r="B957" i="2"/>
  <c r="A958" i="2"/>
  <c r="B958" i="2"/>
  <c r="A959" i="2"/>
  <c r="B959" i="2"/>
  <c r="A960" i="2"/>
  <c r="B960" i="2"/>
  <c r="A961" i="2"/>
  <c r="B961" i="2"/>
  <c r="A962" i="2"/>
  <c r="B962" i="2"/>
  <c r="A963" i="2"/>
  <c r="B963" i="2"/>
  <c r="A964" i="2"/>
  <c r="B964" i="2"/>
  <c r="A965" i="2"/>
  <c r="B965" i="2"/>
  <c r="A966" i="2"/>
  <c r="B966" i="2"/>
  <c r="A967" i="2"/>
  <c r="B967" i="2"/>
  <c r="A968" i="2"/>
  <c r="B968" i="2"/>
  <c r="A969" i="2"/>
  <c r="B969" i="2"/>
  <c r="A970" i="2"/>
  <c r="B970" i="2"/>
  <c r="A971" i="2"/>
  <c r="B971" i="2"/>
  <c r="A972" i="2"/>
  <c r="B972" i="2"/>
  <c r="A973" i="2"/>
  <c r="B973" i="2"/>
  <c r="A974" i="2"/>
  <c r="B974" i="2"/>
  <c r="A975" i="2"/>
  <c r="B975" i="2"/>
  <c r="A976" i="2"/>
  <c r="B976" i="2"/>
  <c r="A977" i="2"/>
  <c r="B977" i="2"/>
  <c r="A978" i="2"/>
  <c r="B978" i="2"/>
  <c r="A979" i="2"/>
  <c r="B979" i="2"/>
  <c r="A980" i="2"/>
  <c r="B980" i="2"/>
  <c r="A981" i="2"/>
  <c r="B981" i="2"/>
  <c r="A982" i="2"/>
  <c r="B982" i="2"/>
  <c r="A983" i="2"/>
  <c r="B983" i="2"/>
  <c r="A984" i="2"/>
  <c r="B984" i="2"/>
  <c r="A985" i="2"/>
  <c r="B985" i="2"/>
  <c r="A986" i="2"/>
  <c r="B986" i="2"/>
  <c r="A987" i="2"/>
  <c r="B987" i="2"/>
  <c r="A988" i="2"/>
  <c r="B988" i="2"/>
  <c r="A989" i="2"/>
  <c r="B989" i="2"/>
  <c r="A990" i="2"/>
  <c r="B990" i="2"/>
  <c r="A991" i="2"/>
  <c r="B991" i="2"/>
  <c r="A992" i="2"/>
  <c r="B992" i="2"/>
  <c r="A993" i="2"/>
  <c r="B993" i="2"/>
  <c r="A1005" i="2"/>
  <c r="B1005" i="2"/>
  <c r="A1006" i="2"/>
  <c r="B1006" i="2"/>
  <c r="A1007" i="2"/>
  <c r="B1007" i="2"/>
  <c r="A1008" i="2"/>
  <c r="B1008" i="2"/>
  <c r="A1009" i="2"/>
  <c r="B1009" i="2"/>
  <c r="A1010" i="2"/>
  <c r="B1010" i="2"/>
  <c r="A1011" i="2"/>
  <c r="B1011" i="2"/>
  <c r="A1012" i="2"/>
  <c r="B1012" i="2"/>
  <c r="A1013" i="2"/>
  <c r="B1013" i="2"/>
  <c r="A1014" i="2"/>
  <c r="B1014" i="2"/>
  <c r="A1015" i="2"/>
  <c r="B1015" i="2"/>
  <c r="A1016" i="2"/>
  <c r="B1016" i="2"/>
  <c r="A1017" i="2"/>
  <c r="B1017" i="2"/>
  <c r="A1018" i="2"/>
  <c r="B1018" i="2"/>
  <c r="A1019" i="2"/>
  <c r="B1019" i="2"/>
  <c r="A1020" i="2"/>
  <c r="B1020" i="2"/>
  <c r="A1021" i="2"/>
  <c r="B1021" i="2"/>
  <c r="A1022" i="2"/>
  <c r="B1022" i="2"/>
  <c r="A1023" i="2"/>
  <c r="B1023" i="2"/>
  <c r="A1024" i="2"/>
  <c r="B1024" i="2"/>
  <c r="A1025" i="2"/>
  <c r="B1025" i="2"/>
  <c r="A1026" i="2"/>
  <c r="B1026" i="2"/>
  <c r="A1027" i="2"/>
  <c r="B1027" i="2"/>
  <c r="A1028" i="2"/>
  <c r="B1028" i="2"/>
  <c r="A1029" i="2"/>
  <c r="B1029" i="2"/>
  <c r="A1030" i="2"/>
  <c r="B1030" i="2"/>
  <c r="A1031" i="2"/>
  <c r="B1031" i="2"/>
  <c r="A1032" i="2"/>
  <c r="B1032" i="2"/>
  <c r="A1033" i="2"/>
  <c r="B1033" i="2"/>
  <c r="A1034" i="2"/>
  <c r="B1034" i="2"/>
  <c r="A1035" i="2"/>
  <c r="B1035" i="2"/>
  <c r="A1036" i="2"/>
  <c r="B1036" i="2"/>
  <c r="A1037" i="2"/>
  <c r="B1037" i="2"/>
  <c r="A1038" i="2"/>
  <c r="B1038" i="2"/>
  <c r="A1039" i="2"/>
  <c r="B1039" i="2"/>
  <c r="A1040" i="2"/>
  <c r="B1040" i="2"/>
  <c r="A1041" i="2"/>
  <c r="B1041" i="2"/>
  <c r="A1042" i="2"/>
  <c r="B1042" i="2"/>
  <c r="A1043" i="2"/>
  <c r="B1043" i="2"/>
  <c r="A1044" i="2"/>
  <c r="B1044" i="2"/>
  <c r="A1045" i="2"/>
  <c r="B1045" i="2"/>
  <c r="A1046" i="2"/>
  <c r="B1046" i="2"/>
  <c r="A1047" i="2"/>
  <c r="B1047" i="2"/>
  <c r="A1048" i="2"/>
  <c r="B1048" i="2"/>
  <c r="A1049" i="2"/>
  <c r="B1049" i="2"/>
  <c r="A1050" i="2"/>
  <c r="B1050" i="2"/>
  <c r="A1051" i="2"/>
  <c r="B1051" i="2"/>
  <c r="A1052" i="2"/>
  <c r="B1052" i="2"/>
  <c r="A1053" i="2"/>
  <c r="B1053" i="2"/>
  <c r="A1054" i="2"/>
  <c r="B1054" i="2"/>
  <c r="A1055" i="2"/>
  <c r="B1055" i="2"/>
  <c r="A1056" i="2"/>
  <c r="B1056" i="2"/>
  <c r="A1057" i="2"/>
  <c r="B1057" i="2"/>
  <c r="A1058" i="2"/>
  <c r="B1058" i="2"/>
  <c r="A1059" i="2"/>
  <c r="B1059" i="2"/>
  <c r="A1060" i="2"/>
  <c r="B1060" i="2"/>
  <c r="A1061" i="2"/>
  <c r="B1061" i="2"/>
  <c r="A1062" i="2"/>
  <c r="B1062" i="2"/>
  <c r="A1063" i="2"/>
  <c r="B1063" i="2"/>
  <c r="A1064" i="2"/>
  <c r="B1064" i="2"/>
  <c r="A1065" i="2"/>
  <c r="B1065" i="2"/>
  <c r="A1066" i="2"/>
  <c r="B1066" i="2"/>
  <c r="A1067" i="2"/>
  <c r="B1067" i="2"/>
  <c r="A1068" i="2"/>
  <c r="B1068" i="2"/>
  <c r="A1069" i="2"/>
  <c r="B1069" i="2"/>
  <c r="A1070" i="2"/>
  <c r="B1070" i="2"/>
  <c r="A1071" i="2"/>
  <c r="B1071" i="2"/>
  <c r="A1072" i="2"/>
  <c r="B1072" i="2"/>
  <c r="A1073" i="2"/>
  <c r="B1073" i="2"/>
  <c r="A1074" i="2"/>
  <c r="B1074" i="2"/>
  <c r="A1075" i="2"/>
  <c r="B1075" i="2"/>
  <c r="A1076" i="2"/>
  <c r="B1076" i="2"/>
  <c r="A1077" i="2"/>
  <c r="B1077" i="2"/>
  <c r="A1078" i="2"/>
  <c r="B1078" i="2"/>
  <c r="A1079" i="2"/>
  <c r="B1079" i="2"/>
  <c r="A1080" i="2"/>
  <c r="B1080" i="2"/>
  <c r="A1081" i="2"/>
  <c r="B1081" i="2"/>
  <c r="A1082" i="2"/>
  <c r="B1082" i="2"/>
  <c r="A1083" i="2"/>
  <c r="B1083" i="2"/>
  <c r="A1084" i="2"/>
  <c r="B1084" i="2"/>
  <c r="A1085" i="2"/>
  <c r="B1085" i="2"/>
  <c r="A1086" i="2"/>
  <c r="B1086" i="2"/>
  <c r="A1087" i="2"/>
  <c r="B1087" i="2"/>
  <c r="A1088" i="2"/>
  <c r="B1088" i="2"/>
  <c r="A1089" i="2"/>
  <c r="B1089" i="2"/>
  <c r="A1090" i="2"/>
  <c r="B1090" i="2"/>
  <c r="A1091" i="2"/>
  <c r="B1091" i="2"/>
  <c r="A1092" i="2"/>
  <c r="B1092" i="2"/>
  <c r="A1093" i="2"/>
  <c r="B1093" i="2"/>
  <c r="A1094" i="2"/>
  <c r="B1094" i="2"/>
  <c r="A1095" i="2"/>
  <c r="B1095" i="2"/>
  <c r="A1096" i="2"/>
  <c r="B1096" i="2"/>
  <c r="A1097" i="2"/>
  <c r="B1097" i="2"/>
  <c r="A1098" i="2"/>
  <c r="B1098" i="2"/>
  <c r="A1099" i="2"/>
  <c r="B1099" i="2"/>
  <c r="A1100" i="2"/>
  <c r="B1100" i="2"/>
  <c r="A1101" i="2"/>
  <c r="B1101" i="2"/>
  <c r="A1102" i="2"/>
  <c r="B1102" i="2"/>
  <c r="A1103" i="2"/>
  <c r="B1103" i="2"/>
  <c r="A1104" i="2"/>
  <c r="B1104" i="2"/>
  <c r="A1105" i="2"/>
  <c r="B1105" i="2"/>
  <c r="A1106" i="2"/>
  <c r="B1106" i="2"/>
  <c r="A1107" i="2"/>
  <c r="B1107" i="2"/>
  <c r="A1108" i="2"/>
  <c r="B1108" i="2"/>
  <c r="A1109" i="2"/>
  <c r="B1109" i="2"/>
  <c r="A1110" i="2"/>
  <c r="B1110" i="2"/>
  <c r="A1111" i="2"/>
  <c r="B1111" i="2"/>
  <c r="A1112" i="2"/>
  <c r="B1112" i="2"/>
  <c r="A1113" i="2"/>
  <c r="B1113" i="2"/>
  <c r="A1114" i="2"/>
  <c r="B1114" i="2"/>
  <c r="A1115" i="2"/>
  <c r="B1115" i="2"/>
  <c r="A1116" i="2"/>
  <c r="B1116" i="2"/>
  <c r="A1117" i="2"/>
  <c r="B1117" i="2"/>
  <c r="A1118" i="2"/>
  <c r="B1118" i="2"/>
  <c r="A1119" i="2"/>
  <c r="B1119" i="2"/>
  <c r="A1120" i="2"/>
  <c r="B1120" i="2"/>
  <c r="A1121" i="2"/>
  <c r="B1121" i="2"/>
  <c r="A1122" i="2"/>
  <c r="B1122" i="2"/>
  <c r="A1123" i="2"/>
  <c r="B1123" i="2"/>
  <c r="A1124" i="2"/>
  <c r="B1124" i="2"/>
  <c r="A1125" i="2"/>
  <c r="B1125" i="2"/>
  <c r="A1126" i="2"/>
  <c r="B1126" i="2"/>
  <c r="A1127" i="2"/>
  <c r="B1127" i="2"/>
  <c r="A1128" i="2"/>
  <c r="B1128" i="2"/>
  <c r="A1129" i="2"/>
  <c r="B1129" i="2"/>
  <c r="A1130" i="2"/>
  <c r="B1130" i="2"/>
  <c r="A1131" i="2"/>
  <c r="B1131" i="2"/>
  <c r="A1132" i="2"/>
  <c r="B1132" i="2"/>
  <c r="A1133" i="2"/>
  <c r="B1133" i="2"/>
  <c r="A1134" i="2"/>
  <c r="B1134" i="2"/>
  <c r="A1135" i="2"/>
  <c r="B1135" i="2"/>
  <c r="A1136" i="2"/>
  <c r="B1136" i="2"/>
  <c r="A1137" i="2"/>
  <c r="B1137" i="2"/>
  <c r="A1138" i="2"/>
  <c r="B1138" i="2"/>
  <c r="A1139" i="2"/>
  <c r="B1139" i="2"/>
  <c r="A1140" i="2"/>
  <c r="B1140" i="2"/>
  <c r="A1141" i="2"/>
  <c r="B1141" i="2"/>
  <c r="A1142" i="2"/>
  <c r="B1142" i="2"/>
  <c r="A1143" i="2"/>
  <c r="B1143" i="2"/>
  <c r="A1144" i="2"/>
  <c r="B1144" i="2"/>
  <c r="A1145" i="2"/>
  <c r="B1145" i="2"/>
  <c r="A1146" i="2"/>
  <c r="B1146" i="2"/>
  <c r="A1147" i="2"/>
  <c r="B1147" i="2"/>
  <c r="A1148" i="2"/>
  <c r="B1148" i="2"/>
  <c r="A1149" i="2"/>
  <c r="B1149" i="2"/>
  <c r="A1150" i="2"/>
  <c r="B1150" i="2"/>
  <c r="A1151" i="2"/>
  <c r="B1151" i="2"/>
  <c r="A1152" i="2"/>
  <c r="B1152" i="2"/>
  <c r="A1153" i="2"/>
  <c r="B1153" i="2"/>
  <c r="A1154" i="2"/>
  <c r="B1154" i="2"/>
  <c r="A1155" i="2"/>
  <c r="B1155" i="2"/>
  <c r="A1156" i="2"/>
  <c r="B1156" i="2"/>
  <c r="A1157" i="2"/>
  <c r="B1157" i="2"/>
  <c r="A1158" i="2"/>
  <c r="B1158" i="2"/>
  <c r="A1159" i="2"/>
  <c r="B1159" i="2"/>
  <c r="A1160" i="2"/>
  <c r="B1160" i="2"/>
  <c r="A1161" i="2"/>
  <c r="B1161" i="2"/>
  <c r="A1162" i="2"/>
  <c r="B1162" i="2"/>
  <c r="A1163" i="2"/>
  <c r="B1163" i="2"/>
  <c r="A1164" i="2"/>
  <c r="B1164" i="2"/>
  <c r="A1165" i="2"/>
  <c r="B1165" i="2"/>
  <c r="A1166" i="2"/>
  <c r="B1166" i="2"/>
  <c r="A1167" i="2"/>
  <c r="B1167" i="2"/>
  <c r="A1168" i="2"/>
  <c r="B1168" i="2"/>
  <c r="A1169" i="2"/>
  <c r="B1169" i="2"/>
  <c r="A1170" i="2"/>
  <c r="B1170" i="2"/>
  <c r="A1171" i="2"/>
  <c r="B1171" i="2"/>
  <c r="A1172" i="2"/>
  <c r="B1172" i="2"/>
  <c r="A1173" i="2"/>
  <c r="B1173" i="2"/>
  <c r="A1174" i="2"/>
  <c r="B1174" i="2"/>
  <c r="A1175" i="2"/>
  <c r="B1175" i="2"/>
  <c r="A1176" i="2"/>
  <c r="B1176" i="2"/>
  <c r="A1177" i="2"/>
  <c r="B1177" i="2"/>
  <c r="A1178" i="2"/>
  <c r="B1178" i="2"/>
  <c r="A1179" i="2"/>
  <c r="B1179" i="2"/>
  <c r="A1180" i="2"/>
  <c r="B1180" i="2"/>
  <c r="A1181" i="2"/>
  <c r="B1181" i="2"/>
  <c r="A1182" i="2"/>
  <c r="B1182" i="2"/>
  <c r="A1183" i="2"/>
  <c r="B1183" i="2"/>
  <c r="A1184" i="2"/>
  <c r="B1184" i="2"/>
  <c r="A1185" i="2"/>
  <c r="B1185" i="2"/>
  <c r="A1186" i="2"/>
  <c r="B1186" i="2"/>
  <c r="A1187" i="2"/>
  <c r="B1187" i="2"/>
  <c r="A1188" i="2"/>
  <c r="B1188" i="2"/>
  <c r="A1189" i="2"/>
  <c r="B1189" i="2"/>
  <c r="A1190" i="2"/>
  <c r="B1190" i="2"/>
  <c r="A1191" i="2"/>
  <c r="B1191" i="2"/>
  <c r="A1192" i="2"/>
  <c r="B1192" i="2"/>
  <c r="A1193" i="2"/>
  <c r="B1193" i="2"/>
  <c r="A1194" i="2"/>
  <c r="B1194" i="2"/>
  <c r="A1195" i="2"/>
  <c r="B1195" i="2"/>
  <c r="A1196" i="2"/>
  <c r="B1196" i="2"/>
  <c r="A1197" i="2"/>
  <c r="B1197" i="2"/>
  <c r="A1198" i="2"/>
  <c r="B1198" i="2"/>
  <c r="A1199" i="2"/>
  <c r="B1199" i="2"/>
  <c r="A1200" i="2"/>
  <c r="B1200" i="2"/>
  <c r="A1201" i="2"/>
  <c r="B1201" i="2"/>
  <c r="A1202" i="2"/>
  <c r="B1202" i="2"/>
  <c r="A1203" i="2"/>
  <c r="B1203" i="2"/>
  <c r="A1204" i="2"/>
  <c r="B1204" i="2"/>
  <c r="A1205" i="2"/>
  <c r="B1205" i="2"/>
  <c r="A1206" i="2"/>
  <c r="B1206" i="2"/>
  <c r="A1209" i="2"/>
  <c r="B1209" i="2"/>
  <c r="A1210" i="2"/>
  <c r="B1210" i="2"/>
  <c r="A1211" i="2"/>
  <c r="B1211" i="2"/>
  <c r="A1212" i="2"/>
  <c r="B1212" i="2"/>
  <c r="A1213" i="2"/>
  <c r="B1213" i="2"/>
  <c r="A1214" i="2"/>
  <c r="B1214" i="2"/>
  <c r="A1215" i="2"/>
  <c r="B1215" i="2"/>
  <c r="A1222" i="2"/>
  <c r="B1222" i="2"/>
  <c r="A1223" i="2"/>
  <c r="B1223" i="2"/>
  <c r="A1224" i="2"/>
  <c r="B1224" i="2"/>
  <c r="A1225" i="2"/>
  <c r="B1225" i="2"/>
  <c r="A1226" i="2"/>
  <c r="B1226" i="2"/>
  <c r="A1227" i="2"/>
  <c r="B1227" i="2"/>
  <c r="A1228" i="2"/>
  <c r="B1228" i="2"/>
  <c r="A1229" i="2"/>
  <c r="B1229" i="2"/>
  <c r="A1230" i="2"/>
  <c r="B1230" i="2"/>
  <c r="A1231" i="2"/>
  <c r="B1231" i="2"/>
  <c r="A1232" i="2"/>
  <c r="B1232" i="2"/>
  <c r="A1233" i="2"/>
  <c r="B1233" i="2"/>
  <c r="A1234" i="2"/>
  <c r="B1234" i="2"/>
  <c r="A1235" i="2"/>
  <c r="B1235" i="2"/>
  <c r="A1236" i="2"/>
  <c r="B1236" i="2"/>
  <c r="A1237" i="2"/>
  <c r="B1237" i="2"/>
  <c r="A1238" i="2"/>
  <c r="B1238" i="2"/>
  <c r="A1239" i="2"/>
  <c r="B1239" i="2"/>
  <c r="A1246" i="2"/>
  <c r="B1246" i="2"/>
  <c r="A1247" i="2"/>
  <c r="B1247" i="2"/>
  <c r="A1248" i="2"/>
  <c r="B1248" i="2"/>
  <c r="A1249" i="2"/>
  <c r="B1249" i="2"/>
  <c r="A1250" i="2"/>
  <c r="B1250" i="2"/>
  <c r="A1251" i="2"/>
  <c r="B1251" i="2"/>
  <c r="A1252" i="2"/>
  <c r="B1252" i="2"/>
  <c r="A1253" i="2"/>
  <c r="B1253" i="2"/>
  <c r="A1254" i="2"/>
  <c r="B1254" i="2"/>
  <c r="A1255" i="2"/>
  <c r="B1255" i="2"/>
  <c r="A1256" i="2"/>
  <c r="B1256" i="2"/>
  <c r="A1257" i="2"/>
  <c r="B1257" i="2"/>
  <c r="A1258" i="2"/>
  <c r="B1258" i="2"/>
  <c r="A1259" i="2"/>
  <c r="B1259" i="2"/>
  <c r="A1260" i="2"/>
  <c r="B1260" i="2"/>
  <c r="A1261" i="2"/>
  <c r="B1261" i="2"/>
  <c r="A1262" i="2"/>
  <c r="B1262" i="2"/>
  <c r="A1263" i="2"/>
  <c r="B1263" i="2"/>
  <c r="A1264" i="2"/>
  <c r="B1264" i="2"/>
  <c r="A1265" i="2"/>
  <c r="B1265" i="2"/>
  <c r="A1266" i="2"/>
  <c r="B1266" i="2"/>
  <c r="A1267" i="2"/>
  <c r="B1267" i="2"/>
  <c r="A1268" i="2"/>
  <c r="B1268" i="2"/>
  <c r="A1269" i="2"/>
  <c r="B1269" i="2"/>
  <c r="A1270" i="2"/>
  <c r="B1270" i="2"/>
  <c r="A1271" i="2"/>
  <c r="B1271" i="2"/>
  <c r="A1272" i="2"/>
  <c r="B1272" i="2"/>
  <c r="A1273" i="2"/>
  <c r="B1273" i="2"/>
  <c r="A1274" i="2"/>
  <c r="B1274" i="2"/>
  <c r="A1275" i="2"/>
  <c r="B1275" i="2"/>
  <c r="A1276" i="2"/>
  <c r="B1276" i="2"/>
  <c r="A1277" i="2"/>
  <c r="B1277" i="2"/>
  <c r="A1278" i="2"/>
  <c r="B1278" i="2"/>
  <c r="A1279" i="2"/>
  <c r="B1279" i="2"/>
  <c r="A1280" i="2"/>
  <c r="B1280" i="2"/>
  <c r="A1281" i="2"/>
  <c r="B1281" i="2"/>
  <c r="A1282" i="2"/>
  <c r="B1282" i="2"/>
  <c r="A1283" i="2"/>
  <c r="B1283" i="2"/>
  <c r="A1284" i="2"/>
  <c r="B1284" i="2"/>
  <c r="A1285" i="2"/>
  <c r="B1285" i="2"/>
  <c r="A1286" i="2"/>
  <c r="B1286" i="2"/>
  <c r="A1287" i="2"/>
  <c r="B1287" i="2"/>
  <c r="A1288" i="2"/>
  <c r="B1288" i="2"/>
  <c r="A1289" i="2"/>
  <c r="B1289" i="2"/>
  <c r="A1290" i="2"/>
  <c r="B1290" i="2"/>
  <c r="A1291" i="2"/>
  <c r="B1291" i="2"/>
  <c r="A1292" i="2"/>
  <c r="B1292" i="2"/>
  <c r="A1293" i="2"/>
  <c r="B1293" i="2"/>
  <c r="A1294" i="2"/>
  <c r="B1294" i="2"/>
  <c r="A1295" i="2"/>
  <c r="B1295" i="2"/>
  <c r="A1296" i="2"/>
  <c r="B1296" i="2"/>
  <c r="A1297" i="2"/>
  <c r="B1297" i="2"/>
  <c r="A1298" i="2"/>
  <c r="B1298" i="2"/>
  <c r="A1299" i="2"/>
  <c r="B1299" i="2"/>
  <c r="A1300" i="2"/>
  <c r="B1300" i="2"/>
  <c r="A1301" i="2"/>
  <c r="B1301" i="2"/>
  <c r="A1302" i="2"/>
  <c r="B1302" i="2"/>
  <c r="A1303" i="2"/>
  <c r="B1303" i="2"/>
  <c r="A1304" i="2"/>
  <c r="B1304" i="2"/>
  <c r="A1305" i="2"/>
  <c r="B1305" i="2"/>
  <c r="A1306" i="2"/>
  <c r="B1306" i="2"/>
  <c r="A1307" i="2"/>
  <c r="B1307" i="2"/>
  <c r="A1308" i="2"/>
  <c r="B1308" i="2"/>
  <c r="A1309" i="2"/>
  <c r="B1309" i="2"/>
  <c r="A1310" i="2"/>
  <c r="B1310" i="2"/>
  <c r="A1311" i="2"/>
  <c r="B1311" i="2"/>
  <c r="A1312" i="2"/>
  <c r="B1312" i="2"/>
  <c r="A1313" i="2"/>
  <c r="B1313" i="2"/>
  <c r="A1314" i="2"/>
  <c r="B1314" i="2"/>
  <c r="A1315" i="2"/>
  <c r="B1315" i="2"/>
  <c r="A1316" i="2"/>
  <c r="B1316" i="2"/>
  <c r="A1317" i="2"/>
  <c r="B1317" i="2"/>
  <c r="A1318" i="2"/>
  <c r="B1318" i="2"/>
  <c r="A1319" i="2"/>
  <c r="B1319" i="2"/>
  <c r="A1320" i="2"/>
  <c r="B1320" i="2"/>
  <c r="A1321" i="2"/>
  <c r="B1321" i="2"/>
  <c r="A1322" i="2"/>
  <c r="B1322" i="2"/>
  <c r="A1323" i="2"/>
  <c r="B1323" i="2"/>
  <c r="A1324" i="2"/>
  <c r="B1324" i="2"/>
  <c r="A1325" i="2"/>
  <c r="B1325" i="2"/>
  <c r="A1326" i="2"/>
  <c r="B1326" i="2"/>
  <c r="A1327" i="2"/>
  <c r="B1327" i="2"/>
  <c r="A1328" i="2"/>
  <c r="B1328" i="2"/>
  <c r="A1329" i="2"/>
  <c r="B1329" i="2"/>
  <c r="A1330" i="2"/>
  <c r="B1330" i="2"/>
  <c r="A1331" i="2"/>
  <c r="B1331" i="2"/>
  <c r="A1332" i="2"/>
  <c r="B1332" i="2"/>
  <c r="A1333" i="2"/>
  <c r="B1333" i="2"/>
  <c r="A1334" i="2"/>
  <c r="B1334" i="2"/>
  <c r="A1335" i="2"/>
  <c r="B1335" i="2"/>
  <c r="A1336" i="2"/>
  <c r="B1336" i="2"/>
  <c r="A1337" i="2"/>
  <c r="B1337" i="2"/>
  <c r="A1338" i="2"/>
  <c r="B1338" i="2"/>
  <c r="A1339" i="2"/>
  <c r="B1339" i="2"/>
  <c r="A1340" i="2"/>
  <c r="B1340" i="2"/>
  <c r="A1341" i="2"/>
  <c r="B1341" i="2"/>
  <c r="A1342" i="2"/>
  <c r="B1342" i="2"/>
  <c r="A1343" i="2"/>
  <c r="B1343" i="2"/>
  <c r="A1344" i="2"/>
  <c r="B1344" i="2"/>
  <c r="A1345" i="2"/>
  <c r="B1345" i="2"/>
  <c r="A1346" i="2"/>
  <c r="B1346" i="2"/>
  <c r="A1347" i="2"/>
  <c r="B1347" i="2"/>
  <c r="A1348" i="2"/>
  <c r="B1348" i="2"/>
  <c r="A1349" i="2"/>
  <c r="B1349" i="2"/>
  <c r="A1350" i="2"/>
  <c r="B1350" i="2"/>
  <c r="A1351" i="2"/>
  <c r="B1351" i="2"/>
  <c r="A1352" i="2"/>
  <c r="B1352" i="2"/>
  <c r="A1353" i="2"/>
  <c r="B1353" i="2"/>
  <c r="A1354" i="2"/>
  <c r="B1354" i="2"/>
  <c r="A1355" i="2"/>
  <c r="B1355" i="2"/>
  <c r="A1356" i="2"/>
  <c r="B1356" i="2"/>
  <c r="A1357" i="2"/>
  <c r="B1357" i="2"/>
  <c r="A1358" i="2"/>
  <c r="B1358" i="2"/>
  <c r="A1359" i="2"/>
  <c r="B1359" i="2"/>
  <c r="A1360" i="2"/>
  <c r="B1360" i="2"/>
  <c r="A1361" i="2"/>
  <c r="B1361" i="2"/>
  <c r="A1362" i="2"/>
  <c r="B1362" i="2"/>
  <c r="A1363" i="2"/>
  <c r="B1363" i="2"/>
  <c r="A1364" i="2"/>
  <c r="B1364" i="2"/>
  <c r="A1365" i="2"/>
  <c r="B1365" i="2"/>
  <c r="A1366" i="2"/>
  <c r="B1366" i="2"/>
  <c r="A1367" i="2"/>
  <c r="B1367" i="2"/>
  <c r="A1368" i="2"/>
  <c r="B1368" i="2"/>
  <c r="A1369" i="2"/>
  <c r="B1369" i="2"/>
  <c r="A1370" i="2"/>
  <c r="B1370" i="2"/>
  <c r="A1371" i="2"/>
  <c r="B1371" i="2"/>
  <c r="A1372" i="2"/>
  <c r="B1372" i="2"/>
  <c r="A1373" i="2"/>
  <c r="B1373" i="2"/>
  <c r="A1374" i="2"/>
  <c r="B1374" i="2"/>
  <c r="A1375" i="2"/>
  <c r="B1375" i="2"/>
  <c r="A1376" i="2"/>
  <c r="B1376" i="2"/>
  <c r="A1377" i="2"/>
  <c r="B1377" i="2"/>
  <c r="A1378" i="2"/>
  <c r="B1378" i="2"/>
  <c r="A1379" i="2"/>
  <c r="B1379" i="2"/>
  <c r="A1380" i="2"/>
  <c r="B1380" i="2"/>
  <c r="A1381" i="2"/>
  <c r="B1381" i="2"/>
  <c r="A1392" i="2"/>
  <c r="B1392" i="2"/>
  <c r="A1393" i="2"/>
  <c r="B1393" i="2"/>
  <c r="A1394" i="2"/>
  <c r="B1394" i="2"/>
  <c r="A1395" i="2"/>
  <c r="B1395" i="2"/>
  <c r="A1396" i="2"/>
  <c r="B1396" i="2"/>
  <c r="A1397" i="2"/>
  <c r="B1397" i="2"/>
  <c r="A1398" i="2"/>
  <c r="B1398" i="2"/>
  <c r="A1399" i="2"/>
  <c r="B1399" i="2"/>
  <c r="A1400" i="2"/>
  <c r="B1400" i="2"/>
  <c r="A1401" i="2"/>
  <c r="B1401" i="2"/>
  <c r="A1402" i="2"/>
  <c r="B1402" i="2"/>
  <c r="A1414" i="2"/>
  <c r="B1414" i="2"/>
  <c r="A1415" i="2"/>
  <c r="B1415" i="2"/>
  <c r="A1416" i="2"/>
  <c r="B1416" i="2"/>
  <c r="A1417" i="2"/>
  <c r="B1417" i="2"/>
  <c r="A1418" i="2"/>
  <c r="B1418" i="2"/>
  <c r="A1419" i="2"/>
  <c r="B1419" i="2"/>
  <c r="A1420" i="2"/>
  <c r="B1420" i="2"/>
  <c r="A1421" i="2"/>
  <c r="B1421" i="2"/>
  <c r="A1422" i="2"/>
  <c r="B1422" i="2"/>
  <c r="A1423" i="2"/>
  <c r="B1423" i="2"/>
  <c r="A1424" i="2"/>
  <c r="B1424" i="2"/>
  <c r="A1425" i="2"/>
  <c r="B1425" i="2"/>
  <c r="A1426" i="2"/>
  <c r="B1426" i="2"/>
  <c r="A1427" i="2"/>
  <c r="B1427" i="2"/>
  <c r="A1428" i="2"/>
  <c r="B1428" i="2"/>
  <c r="A1429" i="2"/>
  <c r="B1429" i="2"/>
  <c r="A1430" i="2"/>
  <c r="B1430" i="2"/>
  <c r="A1431" i="2"/>
  <c r="B1431" i="2"/>
  <c r="A1432" i="2"/>
  <c r="B1432" i="2"/>
  <c r="A1433" i="2"/>
  <c r="B1433" i="2"/>
  <c r="A1434" i="2"/>
  <c r="B1434" i="2"/>
  <c r="A1435" i="2"/>
  <c r="B1435" i="2"/>
  <c r="A1436" i="2"/>
  <c r="B1436" i="2"/>
  <c r="A1437" i="2"/>
  <c r="B1437" i="2"/>
  <c r="A1438" i="2"/>
  <c r="B1438" i="2"/>
  <c r="A1439" i="2"/>
  <c r="B1439" i="2"/>
  <c r="A1440" i="2"/>
  <c r="B1440" i="2"/>
  <c r="A1441" i="2"/>
  <c r="B1441" i="2"/>
  <c r="A1442" i="2"/>
  <c r="B1442" i="2"/>
  <c r="A1443" i="2"/>
  <c r="B1443" i="2"/>
  <c r="A1444" i="2"/>
  <c r="B1444" i="2"/>
  <c r="A1445" i="2"/>
  <c r="B1445" i="2"/>
  <c r="A1446" i="2"/>
  <c r="B1446" i="2"/>
  <c r="A1447" i="2"/>
  <c r="B1447" i="2"/>
  <c r="A1448" i="2"/>
  <c r="B1448" i="2"/>
  <c r="A1449" i="2"/>
  <c r="B1449" i="2"/>
  <c r="A1450" i="2"/>
  <c r="B1450" i="2"/>
  <c r="A1451" i="2"/>
  <c r="B1451" i="2"/>
  <c r="A1453" i="2"/>
  <c r="B1453" i="2"/>
  <c r="A1454" i="2"/>
  <c r="B1454" i="2"/>
  <c r="A1455" i="2"/>
  <c r="B1455" i="2"/>
  <c r="A1456" i="2"/>
  <c r="B1456" i="2"/>
  <c r="A1457" i="2"/>
  <c r="B1457" i="2"/>
  <c r="A1458" i="2"/>
  <c r="B1458" i="2"/>
  <c r="A1459" i="2"/>
  <c r="B1459" i="2"/>
  <c r="A1460" i="2"/>
  <c r="B1460" i="2"/>
  <c r="A1461" i="2"/>
  <c r="B1461" i="2"/>
  <c r="A1462" i="2"/>
  <c r="B1462" i="2"/>
  <c r="A1463" i="2"/>
  <c r="B1463" i="2"/>
  <c r="A1464" i="2"/>
  <c r="B1464" i="2"/>
  <c r="A1465" i="2"/>
  <c r="B1465" i="2"/>
  <c r="A1466" i="2"/>
  <c r="B1466" i="2"/>
  <c r="A1467" i="2"/>
  <c r="B1467" i="2"/>
  <c r="A1468" i="2"/>
  <c r="B1468" i="2"/>
  <c r="A1469" i="2"/>
  <c r="B1469" i="2"/>
  <c r="A1470" i="2"/>
  <c r="B1470" i="2"/>
  <c r="A1471" i="2"/>
  <c r="B1471" i="2"/>
  <c r="A1472" i="2"/>
  <c r="B1472" i="2"/>
  <c r="A1473" i="2"/>
  <c r="B1473" i="2"/>
  <c r="A1474" i="2"/>
  <c r="B1474" i="2"/>
  <c r="A1475" i="2"/>
  <c r="B1475" i="2"/>
  <c r="A1476" i="2"/>
  <c r="B1476" i="2"/>
  <c r="A1477" i="2"/>
  <c r="B1477" i="2"/>
  <c r="A1478" i="2"/>
  <c r="B1478" i="2"/>
  <c r="A1479" i="2"/>
  <c r="B1479" i="2"/>
  <c r="A1480" i="2"/>
  <c r="B1480" i="2"/>
  <c r="A1481" i="2"/>
  <c r="B1481" i="2"/>
  <c r="A1482" i="2"/>
  <c r="B1482" i="2"/>
  <c r="A1483" i="2"/>
  <c r="B1483" i="2"/>
  <c r="A1484" i="2"/>
  <c r="B1484" i="2"/>
  <c r="A1485" i="2"/>
  <c r="B1485" i="2"/>
  <c r="A1486" i="2"/>
  <c r="B1486" i="2"/>
  <c r="A1487" i="2"/>
  <c r="B1487" i="2"/>
  <c r="A1488" i="2"/>
  <c r="B1488" i="2"/>
  <c r="A1489" i="2"/>
  <c r="B1489" i="2"/>
  <c r="A1490" i="2"/>
  <c r="B1490" i="2"/>
  <c r="A1491" i="2"/>
  <c r="B1491" i="2"/>
  <c r="A1492" i="2"/>
  <c r="B1492" i="2"/>
  <c r="A1493" i="2"/>
  <c r="B1493" i="2"/>
  <c r="A1494" i="2"/>
  <c r="B1494" i="2"/>
  <c r="A1495" i="2"/>
  <c r="B1495" i="2"/>
  <c r="A1496" i="2"/>
  <c r="B1496" i="2"/>
  <c r="A1497" i="2"/>
  <c r="B1497" i="2"/>
  <c r="A1498" i="2"/>
  <c r="B1498" i="2"/>
  <c r="A1499" i="2"/>
  <c r="B1499" i="2"/>
  <c r="A1500" i="2"/>
  <c r="B1500" i="2"/>
  <c r="A1501" i="2"/>
  <c r="B1501" i="2"/>
  <c r="A1502" i="2"/>
  <c r="B1502" i="2"/>
  <c r="A1503" i="2"/>
  <c r="B1503" i="2"/>
  <c r="A1504" i="2"/>
  <c r="B1504" i="2"/>
  <c r="A1505" i="2"/>
  <c r="B1505" i="2"/>
  <c r="A1506" i="2"/>
  <c r="B1506" i="2"/>
  <c r="A1507" i="2"/>
  <c r="B1507" i="2"/>
  <c r="A1508" i="2"/>
  <c r="B1508" i="2"/>
  <c r="A1509" i="2"/>
  <c r="B1509" i="2"/>
  <c r="A1510" i="2"/>
  <c r="B1510" i="2"/>
  <c r="A1511" i="2"/>
  <c r="B1511" i="2"/>
  <c r="A1512" i="2"/>
  <c r="B1512" i="2"/>
  <c r="A1513" i="2"/>
  <c r="B1513" i="2"/>
  <c r="A1514" i="2"/>
  <c r="B1514" i="2"/>
  <c r="A1515" i="2"/>
  <c r="B1515" i="2"/>
  <c r="A1516" i="2"/>
  <c r="B1516" i="2"/>
  <c r="A1517" i="2"/>
  <c r="B1517" i="2"/>
  <c r="A1518" i="2"/>
  <c r="B1518" i="2"/>
  <c r="A1519" i="2"/>
  <c r="B1519" i="2"/>
  <c r="A1520" i="2"/>
  <c r="B1520" i="2"/>
  <c r="A1521" i="2"/>
  <c r="B1521" i="2"/>
  <c r="A1522" i="2"/>
  <c r="B1522" i="2"/>
  <c r="A1523" i="2"/>
  <c r="B1523" i="2"/>
  <c r="A1524" i="2"/>
  <c r="B1524" i="2"/>
  <c r="A1525" i="2"/>
  <c r="B1525" i="2"/>
  <c r="A1526" i="2"/>
  <c r="B1526" i="2"/>
  <c r="A1527" i="2"/>
  <c r="B1527" i="2"/>
  <c r="A1528" i="2"/>
  <c r="B1528" i="2"/>
  <c r="A1529" i="2"/>
  <c r="B1529" i="2"/>
  <c r="A1530" i="2"/>
  <c r="B1530" i="2"/>
  <c r="A1531" i="2"/>
  <c r="B1531" i="2"/>
  <c r="A1532" i="2"/>
  <c r="B1532" i="2"/>
  <c r="A1533" i="2"/>
  <c r="B1533" i="2"/>
  <c r="A1534" i="2"/>
  <c r="B1534" i="2"/>
  <c r="A1535" i="2"/>
  <c r="B1535" i="2"/>
  <c r="A1536" i="2"/>
  <c r="B1536" i="2"/>
  <c r="A1537" i="2"/>
  <c r="B1537" i="2"/>
  <c r="A1538" i="2"/>
  <c r="B1538" i="2"/>
  <c r="A1539" i="2"/>
  <c r="B1539" i="2"/>
  <c r="A1540" i="2"/>
  <c r="B1540" i="2"/>
  <c r="A1541" i="2"/>
  <c r="B1541" i="2"/>
  <c r="A1542" i="2"/>
  <c r="B1542" i="2"/>
  <c r="A1543" i="2"/>
  <c r="B1543" i="2"/>
  <c r="A1544" i="2"/>
  <c r="B1544" i="2"/>
  <c r="A1545" i="2"/>
  <c r="B1545" i="2"/>
  <c r="A1546" i="2"/>
  <c r="B1546" i="2"/>
  <c r="A1547" i="2"/>
  <c r="B1547" i="2"/>
  <c r="A1548" i="2"/>
  <c r="B1548" i="2"/>
  <c r="A1549" i="2"/>
  <c r="B1549" i="2"/>
  <c r="A1550" i="2"/>
  <c r="B1550" i="2"/>
  <c r="A1551" i="2"/>
  <c r="B1551" i="2"/>
  <c r="A1552" i="2"/>
  <c r="B1552" i="2"/>
  <c r="A1553" i="2"/>
  <c r="B1553" i="2"/>
  <c r="A1554" i="2"/>
  <c r="B1554" i="2"/>
  <c r="A1555" i="2"/>
  <c r="B1555" i="2"/>
  <c r="A1556" i="2"/>
  <c r="B1556" i="2"/>
  <c r="A1557" i="2"/>
  <c r="B1557" i="2"/>
  <c r="A1558" i="2"/>
  <c r="B1558" i="2"/>
  <c r="A1559" i="2"/>
  <c r="B1559" i="2"/>
  <c r="A1560" i="2"/>
  <c r="B1560" i="2"/>
  <c r="A1561" i="2"/>
  <c r="B1561" i="2"/>
  <c r="A1562" i="2"/>
  <c r="B1562" i="2"/>
  <c r="A1563" i="2"/>
  <c r="B1563" i="2"/>
  <c r="A1564" i="2"/>
  <c r="B1564" i="2"/>
  <c r="A1565" i="2"/>
  <c r="B1565" i="2"/>
  <c r="A1566" i="2"/>
  <c r="B1566" i="2"/>
  <c r="A1567" i="2"/>
  <c r="B1567" i="2"/>
  <c r="A1568" i="2"/>
  <c r="B1568" i="2"/>
  <c r="A1569" i="2"/>
  <c r="B1569" i="2"/>
  <c r="A1570" i="2"/>
  <c r="B1570" i="2"/>
  <c r="A1571" i="2"/>
  <c r="B1571" i="2"/>
  <c r="A1572" i="2"/>
  <c r="B1572" i="2"/>
  <c r="A1573" i="2"/>
  <c r="B1573" i="2"/>
  <c r="A1574" i="2"/>
  <c r="B1574" i="2"/>
  <c r="A1575" i="2"/>
  <c r="B1575" i="2"/>
  <c r="A1576" i="2"/>
  <c r="B1576" i="2"/>
  <c r="A1577" i="2"/>
  <c r="B1577" i="2"/>
  <c r="A1578" i="2"/>
  <c r="B1578" i="2"/>
  <c r="A1579" i="2"/>
  <c r="B1579" i="2"/>
  <c r="A1580" i="2"/>
  <c r="B1580" i="2"/>
  <c r="A1581" i="2"/>
  <c r="B1581" i="2"/>
  <c r="A1582" i="2"/>
  <c r="B1582" i="2"/>
  <c r="A1583" i="2"/>
  <c r="B1583" i="2"/>
  <c r="A1584" i="2"/>
  <c r="B1584" i="2"/>
  <c r="A1585" i="2"/>
  <c r="B1585" i="2"/>
  <c r="A1586" i="2"/>
  <c r="B1586" i="2"/>
  <c r="A1587" i="2"/>
  <c r="B1587" i="2"/>
  <c r="A1588" i="2"/>
  <c r="B1588" i="2"/>
  <c r="A1589" i="2"/>
  <c r="B1589" i="2"/>
  <c r="A1590" i="2"/>
  <c r="B1590" i="2"/>
  <c r="A1591" i="2"/>
  <c r="B1591" i="2"/>
  <c r="A1592" i="2"/>
  <c r="B1592" i="2"/>
  <c r="A1593" i="2"/>
  <c r="B1593" i="2"/>
  <c r="A1594" i="2"/>
  <c r="B1594" i="2"/>
  <c r="A1595" i="2"/>
  <c r="B1595" i="2"/>
  <c r="A1596" i="2"/>
  <c r="B1596" i="2"/>
  <c r="A1597" i="2"/>
  <c r="B1597" i="2"/>
  <c r="A1598" i="2"/>
  <c r="B1598" i="2"/>
  <c r="A1599" i="2"/>
  <c r="B1599" i="2"/>
  <c r="A1600" i="2"/>
  <c r="B1600" i="2"/>
  <c r="A1601" i="2"/>
  <c r="B1601" i="2"/>
  <c r="A1602" i="2"/>
  <c r="B1602" i="2"/>
  <c r="A1603" i="2"/>
  <c r="B1603" i="2"/>
  <c r="A1604" i="2"/>
  <c r="B1604" i="2"/>
  <c r="A1605" i="2"/>
  <c r="B1605" i="2"/>
  <c r="A1606" i="2"/>
  <c r="B1606" i="2"/>
  <c r="A1607" i="2"/>
  <c r="B1607" i="2"/>
  <c r="A1608" i="2"/>
  <c r="B1608" i="2"/>
  <c r="A1609" i="2"/>
  <c r="B1609" i="2"/>
  <c r="A1610" i="2"/>
  <c r="B1610" i="2"/>
  <c r="A1611" i="2"/>
  <c r="B1611" i="2"/>
  <c r="A1612" i="2"/>
  <c r="B1612" i="2"/>
  <c r="A1613" i="2"/>
  <c r="B1613" i="2"/>
  <c r="A1614" i="2"/>
  <c r="B1614" i="2"/>
  <c r="A1615" i="2"/>
  <c r="B1615" i="2"/>
  <c r="A1616" i="2"/>
  <c r="B1616" i="2"/>
  <c r="A1617" i="2"/>
  <c r="B1617" i="2"/>
  <c r="A1618" i="2"/>
  <c r="B1618" i="2"/>
  <c r="A1619" i="2"/>
  <c r="B1619" i="2"/>
  <c r="A1620" i="2"/>
  <c r="B1620" i="2"/>
  <c r="A1621" i="2"/>
  <c r="B1621" i="2"/>
  <c r="A1622" i="2"/>
  <c r="B1622" i="2"/>
  <c r="A1623" i="2"/>
  <c r="B1623" i="2"/>
  <c r="A1624" i="2"/>
  <c r="B1624" i="2"/>
  <c r="A1625" i="2"/>
  <c r="B1625" i="2"/>
  <c r="A1626" i="2"/>
  <c r="B1626" i="2"/>
  <c r="A1627" i="2"/>
  <c r="B1627" i="2"/>
  <c r="A1628" i="2"/>
  <c r="B1628" i="2"/>
  <c r="A1629" i="2"/>
  <c r="B1629" i="2"/>
  <c r="A1630" i="2"/>
  <c r="B1630" i="2"/>
  <c r="A1631" i="2"/>
  <c r="B1631" i="2"/>
  <c r="A1632" i="2"/>
  <c r="B1632" i="2"/>
  <c r="A1633" i="2"/>
  <c r="B1633" i="2"/>
  <c r="A1634" i="2"/>
  <c r="B1634" i="2"/>
  <c r="A1635" i="2"/>
  <c r="B1635" i="2"/>
  <c r="A1636" i="2"/>
  <c r="B1636" i="2"/>
  <c r="A1637" i="2"/>
  <c r="B1637" i="2"/>
  <c r="A1638" i="2"/>
  <c r="B1638" i="2"/>
  <c r="A1639" i="2"/>
  <c r="B1639" i="2"/>
  <c r="A1640" i="2"/>
  <c r="B1640" i="2"/>
  <c r="A1641" i="2"/>
  <c r="B1641" i="2"/>
  <c r="A1642" i="2"/>
  <c r="B1642" i="2"/>
  <c r="A1643" i="2"/>
  <c r="B1643" i="2"/>
  <c r="A1644" i="2"/>
  <c r="B1644" i="2"/>
  <c r="A1645" i="2"/>
  <c r="B1645" i="2"/>
  <c r="A1646" i="2"/>
  <c r="B1646" i="2"/>
  <c r="A1649" i="2"/>
  <c r="B1649" i="2"/>
  <c r="A1650" i="2"/>
  <c r="B1650" i="2"/>
  <c r="A1651" i="2"/>
  <c r="B1651" i="2"/>
  <c r="A1652" i="2"/>
  <c r="B1652" i="2"/>
  <c r="A1653" i="2"/>
  <c r="B1653" i="2"/>
  <c r="A1654" i="2"/>
  <c r="B1654" i="2"/>
  <c r="A1655" i="2"/>
  <c r="B1655" i="2"/>
  <c r="A1656" i="2"/>
  <c r="B1656" i="2"/>
  <c r="A1657" i="2"/>
  <c r="B1657" i="2"/>
  <c r="A1658" i="2"/>
  <c r="B1658" i="2"/>
  <c r="A1659" i="2"/>
  <c r="B1659" i="2"/>
  <c r="A1660" i="2"/>
  <c r="B1660" i="2"/>
  <c r="A1661" i="2"/>
  <c r="B1661" i="2"/>
  <c r="A1663" i="2"/>
  <c r="B1663" i="2"/>
  <c r="A1664" i="2"/>
  <c r="B1664" i="2"/>
  <c r="A1665" i="2"/>
  <c r="B1665" i="2"/>
  <c r="A1666" i="2"/>
  <c r="B1666" i="2"/>
  <c r="A1667" i="2"/>
  <c r="B1667" i="2"/>
  <c r="A1668" i="2"/>
  <c r="B1668" i="2"/>
  <c r="A1669" i="2"/>
  <c r="B1669" i="2"/>
  <c r="A1670" i="2"/>
  <c r="B1670" i="2"/>
  <c r="A1671" i="2"/>
  <c r="B1671" i="2"/>
  <c r="A1672" i="2"/>
  <c r="B1672" i="2"/>
  <c r="A1673" i="2"/>
  <c r="B1673" i="2"/>
  <c r="A1674" i="2"/>
  <c r="B1674" i="2"/>
  <c r="A1675" i="2"/>
  <c r="B1675" i="2"/>
  <c r="A1676" i="2"/>
  <c r="B1676" i="2"/>
  <c r="A1677" i="2"/>
  <c r="B1677" i="2"/>
  <c r="A1678" i="2"/>
  <c r="B1678" i="2"/>
  <c r="A1679" i="2"/>
  <c r="B1679" i="2"/>
  <c r="A1680" i="2"/>
  <c r="B1680" i="2"/>
  <c r="A1681" i="2"/>
  <c r="B1681" i="2"/>
  <c r="A1682" i="2"/>
  <c r="B1682" i="2"/>
  <c r="A1683" i="2"/>
  <c r="B1683" i="2"/>
  <c r="A1684" i="2"/>
  <c r="B1684" i="2"/>
  <c r="A1687" i="2"/>
  <c r="B1687" i="2"/>
  <c r="A1688" i="2"/>
  <c r="B1688" i="2"/>
  <c r="A1689" i="2"/>
  <c r="B1689" i="2"/>
  <c r="A1690" i="2"/>
  <c r="B1690" i="2"/>
  <c r="A1697" i="2"/>
  <c r="B1697" i="2"/>
  <c r="A1698" i="2"/>
  <c r="B1698" i="2"/>
  <c r="A1699" i="2"/>
  <c r="B1699" i="2"/>
  <c r="A1700" i="2"/>
  <c r="B1700" i="2"/>
  <c r="A1701" i="2"/>
  <c r="B1701" i="2"/>
  <c r="A1702" i="2"/>
  <c r="B1702" i="2"/>
  <c r="A1703" i="2"/>
  <c r="B1703" i="2"/>
  <c r="A1704" i="2"/>
  <c r="B1704" i="2"/>
  <c r="A1705" i="2"/>
  <c r="B1705" i="2"/>
  <c r="A1706" i="2"/>
  <c r="B1706" i="2"/>
  <c r="A1707" i="2"/>
  <c r="B1707" i="2"/>
  <c r="A1708" i="2"/>
  <c r="B1708" i="2"/>
  <c r="A1709" i="2"/>
  <c r="B1709" i="2"/>
  <c r="A1685" i="2"/>
  <c r="B1685" i="2"/>
  <c r="B1712" i="2"/>
  <c r="A1722" i="2"/>
  <c r="B1722" i="2"/>
  <c r="A1738" i="2"/>
  <c r="B1738" i="2"/>
  <c r="A1747" i="2"/>
  <c r="B1747" i="2"/>
  <c r="A1748" i="2"/>
  <c r="B1748" i="2"/>
  <c r="A1745" i="2"/>
  <c r="B1745" i="2"/>
  <c r="A1752" i="2"/>
  <c r="B1752" i="2"/>
  <c r="A1744" i="2"/>
  <c r="B1744" i="2"/>
  <c r="A1750" i="2"/>
  <c r="B1750" i="2"/>
  <c r="A1751" i="2"/>
  <c r="B1751" i="2"/>
  <c r="A1746" i="2"/>
  <c r="B1746" i="2"/>
  <c r="A1749" i="2"/>
  <c r="B1749" i="2"/>
  <c r="A1755" i="2"/>
  <c r="B1755" i="2"/>
  <c r="A1759" i="2"/>
  <c r="B1759" i="2"/>
  <c r="A1772" i="2"/>
  <c r="B1772" i="2"/>
</calcChain>
</file>

<file path=xl/sharedStrings.xml><?xml version="1.0" encoding="utf-8"?>
<sst xmlns="http://schemas.openxmlformats.org/spreadsheetml/2006/main" count="7100" uniqueCount="1951">
  <si>
    <t>205A.07, subd. 3a</t>
  </si>
  <si>
    <t>201.121, 201.27</t>
  </si>
  <si>
    <t>204B.09, subd. 1</t>
  </si>
  <si>
    <r>
      <t>Secretary of State:</t>
    </r>
    <r>
      <rPr>
        <sz val="12"/>
        <rFont val="Times New Roman"/>
        <family val="1"/>
      </rPr>
      <t xml:space="preserve"> First day for candidates to prepare and sign affidavits of candidacy - during the 60 day period prior to the first filing date.  </t>
    </r>
    <r>
      <rPr>
        <i/>
        <sz val="12"/>
        <rFont val="Times New Roman"/>
        <family val="1"/>
      </rPr>
      <t>Minn. Stat. §204B.09, subd. 1</t>
    </r>
  </si>
  <si>
    <t>201.171</t>
  </si>
  <si>
    <t>204B.45, subd. 2; 8210.3000, subp. 3</t>
  </si>
  <si>
    <t>201.061, subd. 4</t>
  </si>
  <si>
    <t>412.02, subd. 2; 367.03, subd. 4; 123B.09</t>
  </si>
  <si>
    <t>205.10, subd. 3</t>
  </si>
  <si>
    <t>447.32, subd. 3</t>
  </si>
  <si>
    <t>447.32, subd. 4</t>
  </si>
  <si>
    <t>447.32</t>
  </si>
  <si>
    <r>
      <t xml:space="preserve">Columbus Day Holiday:  </t>
    </r>
    <r>
      <rPr>
        <sz val="12"/>
        <rFont val="Times New Roman"/>
        <family val="1"/>
      </rPr>
      <t xml:space="preserve">Political subdivisions have the option of determining whether Columbus Day shall be a holiday on which no business shall be transacted.  Where it is determined that Columbus Day is not a holiday,  public business may be conducted.  </t>
    </r>
    <r>
      <rPr>
        <i/>
        <sz val="12"/>
        <rFont val="Times New Roman"/>
        <family val="1"/>
      </rPr>
      <t xml:space="preserve">Minn. Stat. §645.44, subd. 5 </t>
    </r>
  </si>
  <si>
    <r>
      <t xml:space="preserve">Cities with a Primary: </t>
    </r>
    <r>
      <rPr>
        <sz val="12"/>
        <rFont val="Times New Roman"/>
        <family val="1"/>
      </rPr>
      <t xml:space="preserve">Last day to appoint election judges for November Election - at least 25 days before election. </t>
    </r>
    <r>
      <rPr>
        <i/>
        <sz val="12"/>
        <rFont val="Times New Roman"/>
        <family val="1"/>
      </rPr>
      <t>Minn. Stat. §204B.21, subd. 2</t>
    </r>
  </si>
  <si>
    <t>Minn. Const. Article IV, Section 12</t>
  </si>
  <si>
    <r>
      <t xml:space="preserve">Memorial Day Holiday:  </t>
    </r>
    <r>
      <rPr>
        <sz val="12"/>
        <rFont val="Times New Roman"/>
        <family val="1"/>
      </rPr>
      <t xml:space="preserve">No public business shall be transacted  except in cases of necessity.  </t>
    </r>
    <r>
      <rPr>
        <i/>
        <sz val="12"/>
        <rFont val="Times New Roman"/>
        <family val="1"/>
      </rPr>
      <t>Minn. Stat.§645.44, subd. 5</t>
    </r>
  </si>
  <si>
    <t>447.32, subd. 2</t>
  </si>
  <si>
    <t>Special Elections</t>
  </si>
  <si>
    <t>205A.05, subd. 1</t>
  </si>
  <si>
    <r>
      <t xml:space="preserve">Towns with November Elections: </t>
    </r>
    <r>
      <rPr>
        <sz val="12"/>
        <rFont val="Times New Roman"/>
        <family val="1"/>
      </rPr>
      <t xml:space="preserve">(Less than 500 inhabitants and in a *non-metro area) Last day to publish or post notice of changed hours for voting and notify the County Auditor of the changed hours - 30 days before the election.  </t>
    </r>
    <r>
      <rPr>
        <i/>
        <sz val="12"/>
        <rFont val="Times New Roman"/>
        <family val="1"/>
      </rPr>
      <t xml:space="preserve">Minn. Stat. §204C.05, subd. 1a </t>
    </r>
  </si>
  <si>
    <r>
      <t xml:space="preserve">Secretary of State: </t>
    </r>
    <r>
      <rPr>
        <sz val="12"/>
        <rFont val="Times New Roman"/>
        <family val="1"/>
      </rPr>
      <t xml:space="preserve">Last day for Secretary of State to make the absentee ballot application forms available to County Auditors through electronic means - by January 1 of each even-numbered.  </t>
    </r>
    <r>
      <rPr>
        <i/>
        <sz val="12"/>
        <rFont val="Times New Roman"/>
        <family val="1"/>
      </rPr>
      <t>Minn. Stat. §203B.04, subd. 1</t>
    </r>
    <r>
      <rPr>
        <sz val="12"/>
        <rFont val="Times New Roman"/>
        <family val="1"/>
      </rPr>
      <t xml:space="preserve"> </t>
    </r>
  </si>
  <si>
    <t>203B.04, subd. 1</t>
  </si>
  <si>
    <t>204C.30</t>
  </si>
  <si>
    <r>
      <t xml:space="preserve">STATE GENERAL ELECTION DAY: Soil and Water Convervation Districts: </t>
    </r>
    <r>
      <rPr>
        <sz val="12"/>
        <rFont val="Times New Roman"/>
        <family val="1"/>
      </rPr>
      <t xml:space="preserve">Elections must be held at the State General Election - the first Tuesday after the first Monday in November in each even-numbered year. </t>
    </r>
    <r>
      <rPr>
        <i/>
        <sz val="12"/>
        <rFont val="Times New Roman"/>
        <family val="1"/>
      </rPr>
      <t>Minn. Stat. §103C.305, subd. 1; §204D.03, subd. 2</t>
    </r>
  </si>
  <si>
    <r>
      <t xml:space="preserve">Towns with March Elections: </t>
    </r>
    <r>
      <rPr>
        <sz val="12"/>
        <rFont val="Times New Roman"/>
        <family val="1"/>
      </rPr>
      <t>Township faxes unofficial results to auditor.</t>
    </r>
  </si>
  <si>
    <t>205A.06, subd. 2</t>
  </si>
  <si>
    <t>203B.04, subd. 5 &amp; 6; 203B.06; 8210.0200, subp. 4</t>
  </si>
  <si>
    <r>
      <t xml:space="preserve">STATE PRIMARY ELECTION DAY: Counties: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</si>
  <si>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Counties:</t>
    </r>
    <r>
      <rPr>
        <sz val="12"/>
        <rFont val="Times New Roman"/>
        <family val="1"/>
      </rPr>
      <t xml:space="preserve"> Voter history from State Primary must be posted, including election-day registrations - within 6 weeks after election. </t>
    </r>
    <r>
      <rPr>
        <i/>
        <sz val="12"/>
        <rFont val="Times New Roman"/>
        <family val="1"/>
      </rPr>
      <t>Minn. Stat. §201.171</t>
    </r>
  </si>
  <si>
    <r>
      <t xml:space="preserve">Cities with a Primary: </t>
    </r>
    <r>
      <rPr>
        <sz val="12"/>
        <rFont val="Times New Roman"/>
        <family val="1"/>
      </rPr>
      <t xml:space="preserve">PER Phase 2 (if necessary):  If the results of the electronic voting system differ from the results of the manual count by more than one-half of one percent, or more than 2 votes in a precinct where 400 or fewer voters cast ballots then a second level of review is necessary.  At least 3 additional precincts must be reviewed (if the difference is more than one-half of one percent in any of these precincts, or more than 2 votes in a precinct where 400 or fewer voters cast ballots then a  Phase 3 review is required) - the additional review must be completed within 2 days after the initial PER is completed.  </t>
    </r>
    <r>
      <rPr>
        <i/>
        <sz val="12"/>
        <rFont val="Times New Roman"/>
        <family val="1"/>
      </rPr>
      <t>Minn. Stat. §206.89, subd. 4 &amp; 5</t>
    </r>
  </si>
  <si>
    <r>
      <t xml:space="preserve">Counties: </t>
    </r>
    <r>
      <rPr>
        <sz val="12"/>
        <rFont val="Times New Roman"/>
        <family val="1"/>
      </rPr>
      <t xml:space="preserve">Write-in votes may be compiled - before the county canvass (write-in votes for a candidate for county, state, or federal office must not be counted unless the candidate has timely filed a request under 204B.09, subd. 3).  </t>
    </r>
    <r>
      <rPr>
        <i/>
        <sz val="12"/>
        <rFont val="Times New Roman"/>
        <family val="1"/>
      </rPr>
      <t>Minn. Stat. §204C.33</t>
    </r>
  </si>
  <si>
    <t>l;l</t>
  </si>
  <si>
    <t>kk</t>
  </si>
  <si>
    <r>
      <t>Counties:</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</si>
  <si>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Secretary of State:</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</si>
  <si>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 xml:space="preserve">Cities with a Primary: </t>
    </r>
    <r>
      <rPr>
        <sz val="12"/>
        <rFont val="Times New Roman"/>
        <family val="1"/>
      </rPr>
      <t xml:space="preserve">Last day to post notice of filing - at least 10 days before filing.  </t>
    </r>
    <r>
      <rPr>
        <i/>
        <sz val="12"/>
        <rFont val="Times New Roman"/>
        <family val="1"/>
      </rPr>
      <t>Minn. Stat. §205.13, subd. 2</t>
    </r>
  </si>
  <si>
    <t>206.82, subd. 2</t>
  </si>
  <si>
    <r>
      <t xml:space="preserve">Towns with March Elections: </t>
    </r>
    <r>
      <rPr>
        <sz val="12"/>
        <rFont val="Times New Roman"/>
        <family val="1"/>
      </rPr>
      <t xml:space="preserve">Election Judges must return election materials to Clerk’s office – within 24 hours of the end of the hours for voting.  </t>
    </r>
    <r>
      <rPr>
        <i/>
        <sz val="12"/>
        <rFont val="Times New Roman"/>
        <family val="1"/>
      </rPr>
      <t>Minn. Stat §204C.27</t>
    </r>
  </si>
  <si>
    <t>204C.27</t>
  </si>
  <si>
    <r>
      <t xml:space="preserve">Towns with March Elections:  </t>
    </r>
    <r>
      <rPr>
        <sz val="12"/>
        <rFont val="Times New Roman"/>
        <family val="1"/>
      </rPr>
      <t xml:space="preserve">Bad weather alternate date for township election and annual town meeting – third Tuesday in March. </t>
    </r>
    <r>
      <rPr>
        <i/>
        <sz val="12"/>
        <rFont val="Times New Roman"/>
        <family val="1"/>
      </rPr>
      <t xml:space="preserve"> Minn. Stat. §365.51, subd. 1</t>
    </r>
  </si>
  <si>
    <t>365.51, subd. 1</t>
  </si>
  <si>
    <r>
      <t xml:space="preserve">Charter Commissions:  </t>
    </r>
    <r>
      <rPr>
        <sz val="12"/>
        <rFont val="Times New Roman"/>
        <family val="1"/>
      </rPr>
      <t xml:space="preserve">Deadline for Charter Commissions to submit proposed charter amendments - at least 17 weeks before the general election. </t>
    </r>
    <r>
      <rPr>
        <i/>
        <sz val="12"/>
        <rFont val="Times New Roman"/>
        <family val="1"/>
      </rPr>
      <t>Minn. Stat. §410.12, subd.1</t>
    </r>
  </si>
  <si>
    <t>205.13, subd. 2; 205A.06, subd. 2; 447.323, subd. 3</t>
  </si>
  <si>
    <r>
      <t xml:space="preserve">STATE PRIMARY ELECTION DAY: Cities without a Primary: </t>
    </r>
    <r>
      <rPr>
        <sz val="12"/>
        <rFont val="Times New Roman"/>
        <family val="1"/>
      </rPr>
      <t xml:space="preserve">The second Tuesday in August.  </t>
    </r>
    <r>
      <rPr>
        <i/>
        <sz val="12"/>
        <rFont val="Times New Roman"/>
        <family val="1"/>
      </rPr>
      <t xml:space="preserve">Minn. Stat. §204D.03 </t>
    </r>
  </si>
  <si>
    <r>
      <t xml:space="preserve">STATE PRIMARY ELECTION DAY: Counties: </t>
    </r>
    <r>
      <rPr>
        <sz val="12"/>
        <rFont val="Times New Roman"/>
        <family val="1"/>
      </rPr>
      <t xml:space="preserve">The second Tuesday in August.  </t>
    </r>
    <r>
      <rPr>
        <i/>
        <sz val="12"/>
        <rFont val="Times New Roman"/>
        <family val="1"/>
      </rPr>
      <t>Minn. Stat. §204D.03</t>
    </r>
  </si>
  <si>
    <r>
      <t xml:space="preserve">STATE PRIMARY ELECTION DAY: Towns with March Elections: </t>
    </r>
    <r>
      <rPr>
        <sz val="12"/>
        <rFont val="Times New Roman"/>
        <family val="1"/>
      </rPr>
      <t xml:space="preserve">The second Tuesday in August in each even numbered year.  </t>
    </r>
    <r>
      <rPr>
        <i/>
        <sz val="12"/>
        <rFont val="Times New Roman"/>
        <family val="1"/>
      </rPr>
      <t>Minn. Stat. §204D.03, subd. 1</t>
    </r>
  </si>
  <si>
    <r>
      <t xml:space="preserve">STATE PRIMARY ELECTION DAY:  Secretary of State: </t>
    </r>
    <r>
      <rPr>
        <sz val="12"/>
        <rFont val="Times New Roman"/>
        <family val="1"/>
      </rPr>
      <t xml:space="preserve">The second Tuesday in August in each even-numbered year.  </t>
    </r>
    <r>
      <rPr>
        <i/>
        <sz val="12"/>
        <rFont val="Times New Roman"/>
        <family val="1"/>
      </rPr>
      <t>Minn. Stat. §204D.03</t>
    </r>
  </si>
  <si>
    <r>
      <t xml:space="preserve">STATE PRIMARY ELECTION DAY: Towns with November Elections: </t>
    </r>
    <r>
      <rPr>
        <sz val="12"/>
        <rFont val="Times New Roman"/>
        <family val="1"/>
      </rPr>
      <t xml:space="preserve">The second Tuesday in August in each even numbered year.  </t>
    </r>
    <r>
      <rPr>
        <i/>
        <sz val="12"/>
        <rFont val="Times New Roman"/>
        <family val="1"/>
      </rPr>
      <t>Minn. Stat. §204D.03, subd. 1</t>
    </r>
  </si>
  <si>
    <r>
      <t xml:space="preserve">Cities with a Primary: </t>
    </r>
    <r>
      <rPr>
        <sz val="12"/>
        <rFont val="Times New Roman"/>
        <family val="1"/>
      </rPr>
      <t xml:space="preserve">Election Judges must return election material to Clerk's office - within 24 hours after the end of hours for voting. </t>
    </r>
    <r>
      <rPr>
        <i/>
        <sz val="12"/>
        <rFont val="Times New Roman"/>
        <family val="1"/>
      </rPr>
      <t xml:space="preserve"> Minn. Stat. §204C.27</t>
    </r>
  </si>
  <si>
    <t>203B.04, subd. 5 &amp; 6;  203B.06, subd. 1;  8210.0200, subp. 4</t>
  </si>
  <si>
    <t>203B.04, subd. 5 &amp; 6; 203B.06, subd. 1 8210.0200, subp. 4</t>
  </si>
  <si>
    <t>203B.04, subd. 5 &amp; 6; 203B.06, subd. 1; 8210.0200, subp. 4</t>
  </si>
  <si>
    <t>203B.04, subd. 5 &amp; 6; 203B.06, Subd. 1; 8210.0200, subp. 4</t>
  </si>
  <si>
    <t>205.16, subd. 5; 205A.07, subd. 3b</t>
  </si>
  <si>
    <t>205A.05, subd. 3</t>
  </si>
  <si>
    <r>
      <t xml:space="preserve">Secretary of State: </t>
    </r>
    <r>
      <rPr>
        <sz val="12"/>
        <rFont val="Times New Roman"/>
        <family val="1"/>
      </rPr>
      <t xml:space="preserve">The State Canvassing Board shall choose 4 precincts in each Congressional District for which the Secretary of State shall monitor and evaluate election procedures in precincts subject to the PER Audit in section 206.89 - the precincts must be chosen by lot by the State Canvassing Board at its meeting to canvass the State General Election. </t>
    </r>
    <r>
      <rPr>
        <i/>
        <sz val="12"/>
        <rFont val="Times New Roman"/>
        <family val="1"/>
      </rPr>
      <t>Minn. Stat. §206.895</t>
    </r>
  </si>
  <si>
    <t>PER</t>
  </si>
  <si>
    <r>
      <t xml:space="preserve">Towns with March Elections: </t>
    </r>
    <r>
      <rPr>
        <sz val="12"/>
        <rFont val="Times New Roman"/>
        <family val="1"/>
      </rPr>
      <t>Township sends official canvassed results to auditor</t>
    </r>
  </si>
  <si>
    <t>Adm</t>
  </si>
  <si>
    <t>205A.10, subd. 3</t>
  </si>
  <si>
    <r>
      <t xml:space="preserve">Thanksgiving Holiday:  </t>
    </r>
    <r>
      <rPr>
        <sz val="12"/>
        <rFont val="Times New Roman"/>
        <family val="1"/>
      </rPr>
      <t xml:space="preserve">No public business shall be transacted, except in cases of necessity.  </t>
    </r>
    <r>
      <rPr>
        <i/>
        <sz val="12"/>
        <rFont val="Times New Roman"/>
        <family val="1"/>
      </rPr>
      <t>Minn. Stat. §645.44, subd. 5</t>
    </r>
  </si>
  <si>
    <t>Secretary of State</t>
  </si>
  <si>
    <r>
      <t xml:space="preserve">Secretary of State: </t>
    </r>
    <r>
      <rPr>
        <sz val="12"/>
        <rFont val="Times New Roman"/>
        <family val="1"/>
      </rPr>
      <t xml:space="preserve">Period of time during which Election Judge training courses may be provided - not more than 60 days before the state primary election or fewer than 3 days before the state general election.  </t>
    </r>
    <r>
      <rPr>
        <i/>
        <sz val="12"/>
        <rFont val="Times New Roman"/>
        <family val="1"/>
      </rPr>
      <t>Minn. Rule 8240.1300, subp. 4</t>
    </r>
  </si>
  <si>
    <t>204B.27, subd. 2</t>
  </si>
  <si>
    <r>
      <t xml:space="preserve">Towns with November Elections: </t>
    </r>
    <r>
      <rPr>
        <sz val="12"/>
        <rFont val="Times New Roman"/>
        <family val="1"/>
      </rPr>
      <t xml:space="preserve">Period of time during which Election Judge training courses may be provided - not more than 60 days before the state primary election or fewer than 3 days before the state general election. </t>
    </r>
    <r>
      <rPr>
        <i/>
        <sz val="12"/>
        <rFont val="Times New Roman"/>
        <family val="1"/>
      </rPr>
      <t xml:space="preserve"> Minn. Rule 8240.1300, subp. 4</t>
    </r>
  </si>
  <si>
    <t>Enter Date of Primary Election (2nd Tues.)</t>
  </si>
  <si>
    <r>
      <t xml:space="preserve">PRECINCT CAUCUS: Towns with November Elections: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</si>
  <si>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Towns with March Elections: </t>
    </r>
    <r>
      <rPr>
        <sz val="12"/>
        <rFont val="Times New Roman"/>
        <family val="1"/>
      </rPr>
      <t xml:space="preserve">Last day to appoint election judges for March Township Elections – at least 25 days before election.  </t>
    </r>
    <r>
      <rPr>
        <i/>
        <sz val="12"/>
        <rFont val="Times New Roman"/>
        <family val="1"/>
      </rPr>
      <t>Minn. Stat. §204B.21, subd. 2</t>
    </r>
  </si>
  <si>
    <r>
      <t>Towns with March Elections:</t>
    </r>
    <r>
      <rPr>
        <sz val="12"/>
        <rFont val="Times New Roman"/>
        <family val="1"/>
      </rPr>
      <t xml:space="preserve">  Last day to notify affected voters of a polling place change – at least 25 days before election.  </t>
    </r>
    <r>
      <rPr>
        <i/>
        <sz val="12"/>
        <rFont val="Times New Roman"/>
        <family val="1"/>
      </rPr>
      <t>Minn. Stat. §204B.16, subd. 1a</t>
    </r>
  </si>
  <si>
    <r>
      <t>Towns with March Elections:</t>
    </r>
    <r>
      <rPr>
        <sz val="12"/>
        <rFont val="Times New Roman"/>
        <family val="1"/>
      </rPr>
      <t xml:space="preserve"> Secretary of State must send Example Ballots to township clerk - 30 days before absentee ballots must be made available.  </t>
    </r>
    <r>
      <rPr>
        <i/>
        <sz val="12"/>
        <rFont val="Times New Roman"/>
        <family val="1"/>
      </rPr>
      <t>Minn. Stat. §205.17, subd. 7</t>
    </r>
    <r>
      <rPr>
        <sz val="12"/>
        <rFont val="Times New Roman"/>
        <family val="1"/>
      </rPr>
      <t xml:space="preserve"> </t>
    </r>
  </si>
  <si>
    <r>
      <t xml:space="preserve">Counties:  </t>
    </r>
    <r>
      <rPr>
        <sz val="12"/>
        <rFont val="Times New Roman"/>
        <family val="1"/>
      </rPr>
      <t xml:space="preserve">Date, stamp, and record absentee return envelopes retained in office.  </t>
    </r>
    <r>
      <rPr>
        <i/>
        <sz val="12"/>
        <rFont val="Times New Roman"/>
        <family val="1"/>
      </rPr>
      <t>Minn. Stat. §203B.08; Minn. Rule 8210.4000</t>
    </r>
  </si>
  <si>
    <t>203B.04</t>
  </si>
  <si>
    <t>204C.03</t>
  </si>
  <si>
    <r>
      <t xml:space="preserve">Campaign Finance: </t>
    </r>
    <r>
      <rPr>
        <sz val="12"/>
        <rFont val="Times New Roman"/>
        <family val="1"/>
      </rPr>
      <t xml:space="preserve">Campaign Finance Report due - 30 days after the March Township election (If more than $750 raised or spent).  </t>
    </r>
    <r>
      <rPr>
        <i/>
        <sz val="12"/>
        <rFont val="Times New Roman"/>
        <family val="1"/>
      </rPr>
      <t>Minn. Stat. §211A.02, subd. 1</t>
    </r>
  </si>
  <si>
    <r>
      <t xml:space="preserve">Towns with March Elections: </t>
    </r>
    <r>
      <rPr>
        <sz val="12"/>
        <rFont val="Times New Roman"/>
        <family val="1"/>
      </rPr>
      <t xml:space="preserve">Campaign Finance Report Due - 30 days after the March Township election (If more than $750 raised or spent). </t>
    </r>
    <r>
      <rPr>
        <i/>
        <sz val="12"/>
        <rFont val="Times New Roman"/>
        <family val="1"/>
      </rPr>
      <t>Minn. Stat. §211A.02, subd. 1</t>
    </r>
  </si>
  <si>
    <r>
      <t>Campaign Finance:</t>
    </r>
    <r>
      <rPr>
        <sz val="12"/>
        <rFont val="Times New Roman"/>
        <family val="1"/>
      </rPr>
      <t xml:space="preserve"> Campaign finance reports due (If more than $750 raised or spent) - 10 days before the March Township election.  </t>
    </r>
    <r>
      <rPr>
        <i/>
        <sz val="12"/>
        <rFont val="Times New Roman"/>
        <family val="1"/>
      </rPr>
      <t>Minn. Stat. §211A.02, subd. 1</t>
    </r>
  </si>
  <si>
    <t>206.89, subd. 4 &amp; 5</t>
  </si>
  <si>
    <t>203B.08</t>
  </si>
  <si>
    <t>204B.34</t>
  </si>
  <si>
    <r>
      <t>Counties:</t>
    </r>
    <r>
      <rPr>
        <sz val="12"/>
        <rFont val="Times New Roman"/>
        <family val="1"/>
      </rPr>
      <t xml:space="preserve"> Last day for Secretary of State to make the absentee ballot application forms available to County Auditors through electronic means - by January 1 of each even-numbered.  </t>
    </r>
    <r>
      <rPr>
        <i/>
        <sz val="12"/>
        <rFont val="Times New Roman"/>
        <family val="1"/>
      </rPr>
      <t xml:space="preserve">Minn. Stat. §203B.04, subd. 1 </t>
    </r>
  </si>
  <si>
    <t>Counties</t>
  </si>
  <si>
    <r>
      <t>Counties:</t>
    </r>
    <r>
      <rPr>
        <sz val="12"/>
        <rFont val="Times New Roman"/>
        <family val="1"/>
      </rPr>
      <t xml:space="preserve">  Final updated voter registration master list must be available – 7 days before election.  </t>
    </r>
    <r>
      <rPr>
        <i/>
        <sz val="12"/>
        <rFont val="Times New Roman"/>
        <family val="1"/>
      </rPr>
      <t>Minn. Stat. §201.091, subd. 2</t>
    </r>
    <r>
      <rPr>
        <b/>
        <sz val="12"/>
        <rFont val="Times New Roman"/>
        <family val="1"/>
      </rPr>
      <t xml:space="preserve">  </t>
    </r>
  </si>
  <si>
    <r>
      <t xml:space="preserve">STATE PRIMARY ELECTION DAY: Cities without a primary: </t>
    </r>
    <r>
      <rPr>
        <sz val="12"/>
        <rFont val="Times New Roman"/>
        <family val="1"/>
      </rPr>
      <t xml:space="preserve">Minimum voting hours 7:00 a.m. to 8:00 p.m.  </t>
    </r>
    <r>
      <rPr>
        <i/>
        <sz val="12"/>
        <rFont val="Times New Roman"/>
        <family val="1"/>
      </rPr>
      <t>Minn. Stat. §204C.05</t>
    </r>
  </si>
  <si>
    <t>204D.03</t>
  </si>
  <si>
    <r>
      <t xml:space="preserve">Counties: </t>
    </r>
    <r>
      <rPr>
        <sz val="12"/>
        <rFont val="Times New Roman"/>
        <family val="1"/>
      </rPr>
      <t xml:space="preserve">Last day for the Chair of the county or legislative district executive committee of a political party to issue the call for the precinct caucus - at least 20 days before the time set for holding the caucuses.  </t>
    </r>
    <r>
      <rPr>
        <i/>
        <sz val="12"/>
        <rFont val="Times New Roman"/>
        <family val="1"/>
      </rPr>
      <t xml:space="preserve"> Minn. Stat. §202A.14, subd. 2</t>
    </r>
  </si>
  <si>
    <r>
      <t xml:space="preserve">Counties: </t>
    </r>
    <r>
      <rPr>
        <sz val="12"/>
        <rFont val="Times New Roman"/>
        <family val="1"/>
      </rPr>
      <t xml:space="preserve">(Towns with less than 500 inhabitants and in a *non-metro area) Last day to publish or post notice of changed hours for voting and notify the County Auditor of the changed hours - 30 days before the election.  </t>
    </r>
    <r>
      <rPr>
        <i/>
        <sz val="12"/>
        <rFont val="Times New Roman"/>
        <family val="1"/>
      </rPr>
      <t>Minn. Stat. §204C.05, subd. 1a</t>
    </r>
  </si>
  <si>
    <r>
      <t xml:space="preserve">School Districts with a Primary:  </t>
    </r>
    <r>
      <rPr>
        <sz val="12"/>
        <rFont val="Times New Roman"/>
        <family val="1"/>
      </rPr>
      <t xml:space="preserve">Last day for the school board to cancel a special election scheduled for State Primary Day that was ordered by the school board on its own motion - not less than 74 days before the election.  </t>
    </r>
    <r>
      <rPr>
        <i/>
        <sz val="12"/>
        <rFont val="Times New Roman"/>
        <family val="1"/>
      </rPr>
      <t>Minn. Stat.  §205A.05, subd. 3</t>
    </r>
  </si>
  <si>
    <t>203B.04, subd. 5; 203B.06, subd. 1; 8210.0200, subp. 4</t>
  </si>
  <si>
    <r>
      <t xml:space="preserve">School Districts without a Primary:  </t>
    </r>
    <r>
      <rPr>
        <sz val="12"/>
        <rFont val="Times New Roman"/>
        <family val="1"/>
      </rPr>
      <t xml:space="preserve">Last day for the school board to cancel a special election scheduled for State Primary Day that was ordered by the school board on its own motion - not less than 74 days before the election.  </t>
    </r>
    <r>
      <rPr>
        <i/>
        <sz val="12"/>
        <rFont val="Times New Roman"/>
        <family val="1"/>
      </rPr>
      <t>Minn. Stat.  §205A.05, subd. 3</t>
    </r>
  </si>
  <si>
    <r>
      <t xml:space="preserve">School Districts without a Primary: </t>
    </r>
    <r>
      <rPr>
        <sz val="12"/>
        <rFont val="Times New Roman"/>
        <family val="1"/>
      </rPr>
      <t xml:space="preserve">Last day for County Auditor to mail absentee ballot applications to voters on the permanent list and voters on the ongoing absentee list - at least 60 days before the primary.  </t>
    </r>
    <r>
      <rPr>
        <i/>
        <sz val="12"/>
        <rFont val="Times New Roman"/>
        <family val="1"/>
      </rPr>
      <t>Minn. Stat. §§203B.04, subd. 5 &amp; 6; 203B.06, subd. 1; Minn. Rule 8210.0200, subp. 4</t>
    </r>
  </si>
  <si>
    <t>204D.16</t>
  </si>
  <si>
    <r>
      <t xml:space="preserve">Counties: </t>
    </r>
    <r>
      <rPr>
        <sz val="12"/>
        <rFont val="Times New Roman"/>
        <family val="1"/>
      </rPr>
      <t xml:space="preserve">(In unorganized territories which constitute a voting district) Last day for County Auditor to either post or publish notice of the changed hours for voting - 30 days before the election.  </t>
    </r>
    <r>
      <rPr>
        <i/>
        <sz val="12"/>
        <rFont val="Times New Roman"/>
        <family val="1"/>
      </rPr>
      <t>Minn. Stat.§204C.05, subd. 1b</t>
    </r>
  </si>
  <si>
    <r>
      <t>Cities with a Primary:</t>
    </r>
    <r>
      <rPr>
        <sz val="12"/>
        <rFont val="Times New Roman"/>
        <family val="1"/>
      </rPr>
      <t xml:space="preserve"> Last day to notify affected voters of a polling place change - 25 days before the primary.  </t>
    </r>
    <r>
      <rPr>
        <i/>
        <sz val="12"/>
        <rFont val="Times New Roman"/>
        <family val="1"/>
      </rPr>
      <t>Minn. Stat.§204B.16, subd. 1a</t>
    </r>
  </si>
  <si>
    <t>204B.16, subd. 1a</t>
  </si>
  <si>
    <t>Notice - Polling Place</t>
  </si>
  <si>
    <t>410.12, subd. 1</t>
  </si>
  <si>
    <t>Charter Commissions</t>
  </si>
  <si>
    <t>Charter Elections</t>
  </si>
  <si>
    <t>204B.28, subd. 1</t>
  </si>
  <si>
    <t>204C.33</t>
  </si>
  <si>
    <r>
      <t xml:space="preserve">645.13 Time; publication for successive weeks.  </t>
    </r>
    <r>
      <rPr>
        <sz val="12"/>
        <rFont val="Times New Roman"/>
        <family val="1"/>
      </rPr>
      <t xml:space="preserve">
When the term "successive weeks" is used in any law providing for the publishing of notices, the word "weeks" shall be construed as calendar weeks.  The publication upon any day of such weeks shall be sufficient publication for that week, but at least five days shall elapse between each publication.  At least the number of weeks specified in "successive weeks" shall elapse between the first publication and the day for the happening of the event for which the publication is made.  </t>
    </r>
  </si>
  <si>
    <r>
      <t xml:space="preserve">645.151 Timely delivery or filing. </t>
    </r>
    <r>
      <rPr>
        <sz val="12"/>
        <rFont val="Times New Roman"/>
        <family val="1"/>
      </rPr>
      <t xml:space="preserve">
When an application, payment, return, claim, statement or other document is to be delivered to or filed with a department, agency or instrumentality of this state or of a political subdivision on or before a prescribed date and the prescribed date falls on a Saturday, Sunday or legal holiday, it is timely delivered or filed if it is delivered or filed on the next succeeding day which is not a Saturday, Sunday or legal holiday. </t>
    </r>
  </si>
  <si>
    <t>205.16, subd. 4</t>
  </si>
  <si>
    <t>Notice</t>
  </si>
  <si>
    <t>205.16, subd.5</t>
  </si>
  <si>
    <t xml:space="preserve">AB </t>
  </si>
  <si>
    <t>8210.3000, subp. 2</t>
  </si>
  <si>
    <t>Mail Elections</t>
  </si>
  <si>
    <r>
      <t xml:space="preserve">Martin Luther King Jr. Day Holiday - </t>
    </r>
    <r>
      <rPr>
        <sz val="12"/>
        <rFont val="Times New Roman"/>
        <family val="1"/>
      </rPr>
      <t xml:space="preserve">No public business shall be transacted, except in cases of necessity. </t>
    </r>
    <r>
      <rPr>
        <i/>
        <sz val="12"/>
        <rFont val="Times New Roman"/>
        <family val="1"/>
      </rPr>
      <t>Minn. Stat. §645.44, subd. 5</t>
    </r>
    <r>
      <rPr>
        <b/>
        <i/>
        <sz val="12"/>
        <rFont val="Times New Roman"/>
        <family val="1"/>
      </rPr>
      <t xml:space="preserve"> </t>
    </r>
  </si>
  <si>
    <t>205.13, subd. 6</t>
  </si>
  <si>
    <t>204B.28, subd. 2</t>
  </si>
  <si>
    <t>Election Day</t>
  </si>
  <si>
    <t>205.16, subd. 3</t>
  </si>
  <si>
    <r>
      <t>Secretary of State:</t>
    </r>
    <r>
      <rPr>
        <sz val="12"/>
        <rFont val="Times New Roman"/>
        <family val="1"/>
      </rPr>
      <t xml:space="preserve"> PER Phase 3 (if necessary):  If, in Phase 2 of the PER, the results of the electronic voting system differ from the results of the manual hand count by more than one-half of one percent or by more than 2 votes in a precinct where 400 or fewer voters cast ballots then a third level of review is necessary.  A review must be conducted of the ballots from all the remaining precincts in the county (If the results of Phase 3 from one or more counties comprising in the aggregate more than ten percent of the total number of persons voting in the election clearly indicate that an error in vote counting has occurred, then a Phase 4 PER is required) - the review must be completed and the results reported to the Secretary of State within one one week after Phase 2 was completed.  </t>
    </r>
    <r>
      <rPr>
        <i/>
        <sz val="12"/>
        <rFont val="Times New Roman"/>
        <family val="1"/>
      </rPr>
      <t>Minn. Stat. §206.89, subd. 5</t>
    </r>
  </si>
  <si>
    <t>211A.02</t>
  </si>
  <si>
    <t>Key Dates for Odd year Election Calendar</t>
  </si>
  <si>
    <t>DATES</t>
  </si>
  <si>
    <t>204D.09, subd. 1</t>
  </si>
  <si>
    <t>Ballots</t>
  </si>
  <si>
    <t>Boundaries</t>
  </si>
  <si>
    <r>
      <t>Cities with a Primary:</t>
    </r>
    <r>
      <rPr>
        <sz val="12"/>
        <rFont val="Times New Roman"/>
        <family val="1"/>
      </rPr>
      <t xml:space="preserve">  Last day to change polling place prior to primary election - not less than 90 days prior to election.  </t>
    </r>
    <r>
      <rPr>
        <i/>
        <sz val="12"/>
        <rFont val="Times New Roman"/>
        <family val="1"/>
      </rPr>
      <t>Minn. Stat. §204B.16, subd. 3</t>
    </r>
  </si>
  <si>
    <t>204B.16, subd. 3</t>
  </si>
  <si>
    <t>203B.081</t>
  </si>
  <si>
    <t>AB/Polling Place</t>
  </si>
  <si>
    <t>205.13, subd. 2</t>
  </si>
  <si>
    <t>205.065, subd. 2</t>
  </si>
  <si>
    <t>Primary Elections</t>
  </si>
  <si>
    <t>203B.08; 8210.4000</t>
  </si>
  <si>
    <r>
      <t xml:space="preserve">Counties: </t>
    </r>
    <r>
      <rPr>
        <sz val="12"/>
        <rFont val="Times New Roman"/>
        <family val="1"/>
      </rPr>
      <t xml:space="preserve">Record absentee agent name and address for hand delivered absentee return envelopes.  </t>
    </r>
    <r>
      <rPr>
        <i/>
        <sz val="12"/>
        <rFont val="Times New Roman"/>
        <family val="1"/>
      </rPr>
      <t>Minn. Stat. §203B.08; and Minn. Rule 8210.2200</t>
    </r>
  </si>
  <si>
    <t>203B.08; 8210.2200</t>
  </si>
  <si>
    <r>
      <t xml:space="preserve">PRECINCT CAUCUS: Towns with March Elections: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</si>
  <si>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Towns with March Elections: </t>
    </r>
    <r>
      <rPr>
        <sz val="12"/>
        <rFont val="Times New Roman"/>
        <family val="1"/>
      </rPr>
      <t xml:space="preserve">Newly elected town officers to file oath of office - within 10 days of receiving certificate of election. </t>
    </r>
    <r>
      <rPr>
        <i/>
        <sz val="12"/>
        <rFont val="Times New Roman"/>
        <family val="1"/>
      </rPr>
      <t>Minn. Stat. §367.25, subd. 1</t>
    </r>
  </si>
  <si>
    <t>365.25, subd. 1</t>
  </si>
  <si>
    <t>204B.21, subd. 1</t>
  </si>
  <si>
    <r>
      <t xml:space="preserve">Campaign Finance: </t>
    </r>
    <r>
      <rPr>
        <sz val="12"/>
        <rFont val="Times New Roman"/>
        <family val="1"/>
      </rPr>
      <t xml:space="preserve">Initial Campaign Financial Report due within 14 days of raising or spending more than $750.  </t>
    </r>
    <r>
      <rPr>
        <i/>
        <sz val="12"/>
        <rFont val="Times New Roman"/>
        <family val="1"/>
      </rPr>
      <t>Minn. Stat. §211A.02, subd. 1</t>
    </r>
  </si>
  <si>
    <t>Campaign Finance</t>
  </si>
  <si>
    <r>
      <t xml:space="preserve">Secretary of State: (Major Political Parties): </t>
    </r>
    <r>
      <rPr>
        <sz val="12"/>
        <rFont val="Times New Roman"/>
        <family val="1"/>
      </rPr>
      <t xml:space="preserve">Date by which a Major Political Party needs to qualify for inclusion on the income tax form and property tax refund return - must qualify as a Major Political Party by July 1 of the taxable year.  </t>
    </r>
    <r>
      <rPr>
        <i/>
        <sz val="12"/>
        <rFont val="Times New Roman"/>
        <family val="1"/>
      </rPr>
      <t xml:space="preserve">Minn. Stat. §10A.31, subd. 3a </t>
    </r>
  </si>
  <si>
    <r>
      <t>Cities with a Primary:</t>
    </r>
    <r>
      <rPr>
        <sz val="12"/>
        <rFont val="Times New Roman"/>
        <family val="1"/>
      </rPr>
      <t xml:space="preserve"> Annual Campaign Finance Reports due - January 31 of each year.  </t>
    </r>
    <r>
      <rPr>
        <i/>
        <sz val="12"/>
        <rFont val="Times New Roman"/>
        <family val="1"/>
      </rPr>
      <t>Minn. Stat. §211A.02, subd. 1</t>
    </r>
  </si>
  <si>
    <r>
      <t>Cities without a Primary:</t>
    </r>
    <r>
      <rPr>
        <sz val="12"/>
        <rFont val="Times New Roman"/>
        <family val="1"/>
      </rPr>
      <t xml:space="preserve"> Annual Campaign Finance Reports due - January 31 of each year.  </t>
    </r>
    <r>
      <rPr>
        <i/>
        <sz val="12"/>
        <rFont val="Times New Roman"/>
        <family val="1"/>
      </rPr>
      <t>Minn. Stat. §211A.02, subd. 1</t>
    </r>
  </si>
  <si>
    <t>204C.32</t>
  </si>
  <si>
    <t>204C.10; 8200.9115</t>
  </si>
  <si>
    <t>204B.14, subd.4</t>
  </si>
  <si>
    <r>
      <t xml:space="preserve">Towns with March Elections: </t>
    </r>
    <r>
      <rPr>
        <sz val="12"/>
        <rFont val="Times New Roman"/>
        <family val="1"/>
      </rPr>
      <t xml:space="preserve">Last day for candidate to request a recount or contest election – within 7 days after canvass is completed.  </t>
    </r>
    <r>
      <rPr>
        <i/>
        <sz val="12"/>
        <rFont val="Times New Roman"/>
        <family val="1"/>
      </rPr>
      <t>Minn. Stat. §204C.36, subd. 1(c); §209.021, subd. 1</t>
    </r>
    <r>
      <rPr>
        <b/>
        <sz val="12"/>
        <rFont val="Times New Roman"/>
        <family val="1"/>
      </rPr>
      <t xml:space="preserve">  </t>
    </r>
  </si>
  <si>
    <t>204C.36, subd. 1(c); 209.021, subd. 1</t>
  </si>
  <si>
    <r>
      <t xml:space="preserve">Counties: </t>
    </r>
    <r>
      <rPr>
        <sz val="12"/>
        <rFont val="Times New Roman"/>
        <family val="1"/>
      </rPr>
      <t xml:space="preserve">Period of time during which Election Judge training courses may be provided - not more than 60 days before the state primary election or fewer than 3 days before the state general election.  </t>
    </r>
    <r>
      <rPr>
        <i/>
        <sz val="12"/>
        <rFont val="Times New Roman"/>
        <family val="1"/>
      </rPr>
      <t>Minn. Rule 8240.1300, subp. 4</t>
    </r>
  </si>
  <si>
    <t>8240.1300, subp. 4</t>
  </si>
  <si>
    <r>
      <t xml:space="preserve">STATE GENERAL ELECTION DAY: Towns with November Elections:  </t>
    </r>
    <r>
      <rPr>
        <sz val="12"/>
        <rFont val="Times New Roman"/>
        <family val="1"/>
      </rPr>
      <t xml:space="preserve">First Tuesday after the first Monday in November. </t>
    </r>
    <r>
      <rPr>
        <i/>
        <sz val="12"/>
        <rFont val="Times New Roman"/>
        <family val="1"/>
      </rPr>
      <t>Minn. Stat. §205.065, subd. 1; §204D.03</t>
    </r>
  </si>
  <si>
    <t>205.065, subd. 1; 204D.03</t>
  </si>
  <si>
    <t>205A.06, subd. 1a</t>
  </si>
  <si>
    <t xml:space="preserve">Filing </t>
  </si>
  <si>
    <t>205.16, subd. 1</t>
  </si>
  <si>
    <t>203B.11, subd. 2</t>
  </si>
  <si>
    <r>
      <t xml:space="preserve">Independence Day Holiday:  </t>
    </r>
    <r>
      <rPr>
        <sz val="12"/>
        <rFont val="Times New Roman"/>
        <family val="1"/>
      </rPr>
      <t xml:space="preserve">No public business shall be transacted, except in cases of necessity.  </t>
    </r>
    <r>
      <rPr>
        <i/>
        <sz val="12"/>
        <rFont val="Times New Roman"/>
        <family val="1"/>
      </rPr>
      <t>Minn. Stat. §645.44, subd. 5</t>
    </r>
  </si>
  <si>
    <t>203B.23</t>
  </si>
  <si>
    <r>
      <t>Cities without a Primary:</t>
    </r>
    <r>
      <rPr>
        <sz val="12"/>
        <rFont val="Times New Roman"/>
        <family val="1"/>
      </rPr>
      <t xml:space="preserve"> (If city administering absentee voting)  Must be open for absentee voting until 5:00 p.m. </t>
    </r>
    <r>
      <rPr>
        <i/>
        <sz val="12"/>
        <rFont val="Times New Roman"/>
        <family val="1"/>
      </rPr>
      <t>Minn. Stat. §203B.085</t>
    </r>
  </si>
  <si>
    <t>204B.45, subd. 2</t>
  </si>
  <si>
    <r>
      <t xml:space="preserve">TOWNSHIP ELECTION DAY: Towns with March Elections: Metro Area: </t>
    </r>
    <r>
      <rPr>
        <sz val="12"/>
        <rFont val="Times New Roman"/>
        <family val="1"/>
      </rPr>
      <t xml:space="preserve">Minimum voting hours 10:00 a.m. to 8:00 p.m  (*Metro Area includes the following Counties:  Anoka, Carver, Chisago, Dakota, Hennepin, Isanti, Ramsey, Scott, Sherburne, Washington, and Wright.)  </t>
    </r>
    <r>
      <rPr>
        <i/>
        <sz val="12"/>
        <rFont val="Times New Roman"/>
        <family val="1"/>
      </rPr>
      <t>Minn. Stat. §205.175</t>
    </r>
  </si>
  <si>
    <r>
      <t xml:space="preserve">TOWNSHIP ELECTION DAY: Towns with March Elections: Non-Metro Area: </t>
    </r>
    <r>
      <rPr>
        <sz val="12"/>
        <rFont val="Times New Roman"/>
        <family val="1"/>
      </rPr>
      <t xml:space="preserve">Minimum voting hours 5:00 p.m. to 8:00 p.m. (*Metro area includes the following Counties:  Anoka, Carver, Chisago, Dakota, Hennepin, Isanti, Ramsey, Scott, Sherburne, Washington, and Wright)   </t>
    </r>
    <r>
      <rPr>
        <i/>
        <sz val="12"/>
        <rFont val="Times New Roman"/>
        <family val="1"/>
      </rPr>
      <t>Minn. Stat. §205.175</t>
    </r>
  </si>
  <si>
    <t>Formulas on next pages will automatically update Calendar (Even Year)</t>
  </si>
  <si>
    <r>
      <t xml:space="preserve">Towns with March Elections: </t>
    </r>
    <r>
      <rPr>
        <sz val="12"/>
        <rFont val="Times New Roman"/>
        <family val="1"/>
      </rPr>
      <t>Candidate filing period for March township elections— Between 70 and 56 days before the election</t>
    </r>
    <r>
      <rPr>
        <b/>
        <sz val="12"/>
        <rFont val="Times New Roman"/>
        <family val="1"/>
      </rPr>
      <t xml:space="preserve">.  </t>
    </r>
    <r>
      <rPr>
        <i/>
        <sz val="12"/>
        <rFont val="Times New Roman"/>
        <family val="1"/>
      </rPr>
      <t>Minn. Stat. § 205.13, subd.1a</t>
    </r>
  </si>
  <si>
    <t>School Districts without a Primary</t>
  </si>
  <si>
    <t>205A.03, subd. 1</t>
  </si>
  <si>
    <t>Enter Columbus Day</t>
  </si>
  <si>
    <t>Enter Veterans' Day</t>
  </si>
  <si>
    <t>Enter Thanksgiving Day</t>
  </si>
  <si>
    <t>Enter Christmas Day</t>
  </si>
  <si>
    <t>201.121; 201.27</t>
  </si>
  <si>
    <t>205A.07, subd. 3</t>
  </si>
  <si>
    <t>204C.05, subd. 1b</t>
  </si>
  <si>
    <t>204C.05, subd. 1a</t>
  </si>
  <si>
    <t>204C.05</t>
  </si>
  <si>
    <r>
      <t xml:space="preserve">STATE PRIMARY ELECTION DAY: Cities with a Primary:  </t>
    </r>
    <r>
      <rPr>
        <sz val="12"/>
        <rFont val="Times New Roman"/>
        <family val="1"/>
      </rPr>
      <t xml:space="preserve">Minimum voting hours 7:00 a.m. to 8:00 p.m.  </t>
    </r>
    <r>
      <rPr>
        <i/>
        <sz val="12"/>
        <rFont val="Times New Roman"/>
        <family val="1"/>
      </rPr>
      <t xml:space="preserve"> Minn. Stat. §204C.05</t>
    </r>
  </si>
  <si>
    <r>
      <t>Counties:</t>
    </r>
    <r>
      <rPr>
        <sz val="12"/>
        <rFont val="Times New Roman"/>
        <family val="1"/>
      </rPr>
      <t xml:space="preserve">  Voter pre-registration closes at 5:00 p.m. for voters in the State Primary - 21 days before the primary.  </t>
    </r>
    <r>
      <rPr>
        <i/>
        <sz val="12"/>
        <rFont val="Times New Roman"/>
        <family val="1"/>
      </rPr>
      <t>Minn. Stat. §201.061, subd. 1</t>
    </r>
  </si>
  <si>
    <r>
      <t>Cities with a Primary:</t>
    </r>
    <r>
      <rPr>
        <sz val="12"/>
        <rFont val="Times New Roman"/>
        <family val="1"/>
      </rPr>
      <t xml:space="preserve"> Last day for the Chair of the county or legislative district executive committee to provide the County Auditor and Municipal Clerk with the place, date, and time of the caucus - at least 20 days before the precinct caucus.  </t>
    </r>
    <r>
      <rPr>
        <i/>
        <sz val="12"/>
        <rFont val="Times New Roman"/>
        <family val="1"/>
      </rPr>
      <t>Minn. Stat. §202A.14, subd. 3</t>
    </r>
  </si>
  <si>
    <r>
      <t xml:space="preserve">Campaign Finance: </t>
    </r>
    <r>
      <rPr>
        <sz val="12"/>
        <rFont val="Times New Roman"/>
        <family val="1"/>
      </rPr>
      <t xml:space="preserve">Campaign finance reports due - 10 days before the general election.  </t>
    </r>
    <r>
      <rPr>
        <i/>
        <sz val="12"/>
        <rFont val="Times New Roman"/>
        <family val="1"/>
      </rPr>
      <t>Minn. Stat. §211A.02</t>
    </r>
  </si>
  <si>
    <r>
      <t xml:space="preserve">TOWNSHIP ELECTION DAY: Towns with March Elections: - </t>
    </r>
    <r>
      <rPr>
        <sz val="12"/>
        <rFont val="Times New Roman"/>
        <family val="1"/>
      </rPr>
      <t xml:space="preserve">2nd Tuesday in March.  </t>
    </r>
    <r>
      <rPr>
        <i/>
        <sz val="12"/>
        <rFont val="Times New Roman"/>
        <family val="1"/>
      </rPr>
      <t xml:space="preserve">Minn. Stat. §205.075, subd. 1.  </t>
    </r>
  </si>
  <si>
    <t>205.075, subd. 1</t>
  </si>
  <si>
    <t>204B.09, Subd. 3</t>
  </si>
  <si>
    <r>
      <t>Towns with March Elections:</t>
    </r>
    <r>
      <rPr>
        <sz val="12"/>
        <rFont val="Times New Roman"/>
        <family val="1"/>
      </rPr>
      <t xml:space="preserve">  Last day to change polling place prior to primary election - not less than 90 days prior to election.  </t>
    </r>
    <r>
      <rPr>
        <i/>
        <sz val="12"/>
        <rFont val="Times New Roman"/>
        <family val="1"/>
      </rPr>
      <t>Minn. Stat. §204B.16, subd. 3</t>
    </r>
  </si>
  <si>
    <r>
      <t>Towns with November Elections:</t>
    </r>
    <r>
      <rPr>
        <sz val="12"/>
        <rFont val="Times New Roman"/>
        <family val="1"/>
      </rPr>
      <t xml:space="preserve">  Last day to change polling place prior to primary election - not less than 90 days prior to election.  </t>
    </r>
    <r>
      <rPr>
        <i/>
        <sz val="12"/>
        <rFont val="Times New Roman"/>
        <family val="1"/>
      </rPr>
      <t>Minn. Stat. §204B.16, subd. 3</t>
    </r>
  </si>
  <si>
    <t>202A.14. subd. 1</t>
  </si>
  <si>
    <r>
      <t xml:space="preserve">Towns with March Elections:  </t>
    </r>
    <r>
      <rPr>
        <sz val="12"/>
        <rFont val="Times New Roman"/>
        <family val="1"/>
      </rPr>
      <t xml:space="preserve">First day to issue certificates of elections – after the time for contesting elections has passed.  </t>
    </r>
    <r>
      <rPr>
        <i/>
        <sz val="12"/>
        <rFont val="Times New Roman"/>
        <family val="1"/>
      </rPr>
      <t>Minn. Stat. §205.185, subd. 3(b).</t>
    </r>
    <r>
      <rPr>
        <sz val="12"/>
        <rFont val="Times New Roman"/>
        <family val="1"/>
      </rPr>
      <t xml:space="preserve">(Clerk issues certificate of election to winning candidates if: 1) Candidate has submitted a </t>
    </r>
    <r>
      <rPr>
        <i/>
        <sz val="12"/>
        <rFont val="Times New Roman"/>
        <family val="1"/>
      </rPr>
      <t xml:space="preserve">Campaign Financial Report Certification of Filing </t>
    </r>
    <r>
      <rPr>
        <sz val="12"/>
        <rFont val="Times New Roman"/>
        <family val="1"/>
      </rPr>
      <t xml:space="preserve">form.  </t>
    </r>
    <r>
      <rPr>
        <i/>
        <sz val="12"/>
        <rFont val="Times New Roman"/>
        <family val="1"/>
      </rPr>
      <t xml:space="preserve">Minn. Stat. §211A.05, subd. 1; </t>
    </r>
    <r>
      <rPr>
        <sz val="12"/>
        <rFont val="Times New Roman"/>
        <family val="1"/>
      </rPr>
      <t>2)The losing candidate has not requested a recount.</t>
    </r>
    <r>
      <rPr>
        <i/>
        <sz val="12"/>
        <rFont val="Times New Roman"/>
        <family val="1"/>
      </rPr>
      <t xml:space="preserve">  Minn. Stat. §204C.36;§ 205.185, subd. 3</t>
    </r>
    <r>
      <rPr>
        <sz val="12"/>
        <rFont val="Times New Roman"/>
        <family val="1"/>
      </rPr>
      <t xml:space="preserve">; 3) A notice of contest has not been filed. </t>
    </r>
    <r>
      <rPr>
        <i/>
        <sz val="12"/>
        <rFont val="Times New Roman"/>
        <family val="1"/>
      </rPr>
      <t xml:space="preserve"> Minn. Stat. §209.021, subd. 1; §205.185, subd. 1.  </t>
    </r>
  </si>
  <si>
    <r>
      <t xml:space="preserve">Towns with March Elections: </t>
    </r>
    <r>
      <rPr>
        <sz val="12"/>
        <rFont val="Times New Roman"/>
        <family val="1"/>
      </rPr>
      <t xml:space="preserve">Clerk’s office open 10:00 a.m. to Noon for absentee voting – Saturday before election. </t>
    </r>
    <r>
      <rPr>
        <i/>
        <sz val="12"/>
        <rFont val="Times New Roman"/>
        <family val="1"/>
      </rPr>
      <t>Minn. Stat. §203B.085</t>
    </r>
  </si>
  <si>
    <t>206.83</t>
  </si>
  <si>
    <t>204B.29, subd. 1</t>
  </si>
  <si>
    <t>201.061, subd. 3</t>
  </si>
  <si>
    <t xml:space="preserve">Towns with November Elections </t>
  </si>
  <si>
    <r>
      <t xml:space="preserve">Cities without a Primary: </t>
    </r>
    <r>
      <rPr>
        <sz val="12"/>
        <rFont val="Times New Roman"/>
        <family val="1"/>
      </rPr>
      <t xml:space="preserve">Last day for an election judge to submit written notice of serving voluntarily without pay - no later than 10 days before the election.  </t>
    </r>
    <r>
      <rPr>
        <i/>
        <sz val="12"/>
        <rFont val="Times New Roman"/>
        <family val="1"/>
      </rPr>
      <t>Minn. Stat. §204B.31, subd. 2</t>
    </r>
  </si>
  <si>
    <t>205.17, subd. 7</t>
  </si>
  <si>
    <r>
      <t xml:space="preserve">Secretary of State:  </t>
    </r>
    <r>
      <rPr>
        <sz val="12"/>
        <rFont val="Times New Roman"/>
        <family val="1"/>
      </rPr>
      <t xml:space="preserve">Secretary of State must send Example Ballot to township clerk - 30 days before absentee ballots must be made available.  </t>
    </r>
    <r>
      <rPr>
        <i/>
        <sz val="12"/>
        <rFont val="Times New Roman"/>
        <family val="1"/>
      </rPr>
      <t>Minn. Stat. §205.17, subd. 7</t>
    </r>
  </si>
  <si>
    <r>
      <t>Cities with a Primary:</t>
    </r>
    <r>
      <rPr>
        <sz val="12"/>
        <rFont val="Times New Roman"/>
        <family val="1"/>
      </rPr>
      <t xml:space="preserve"> PER Phase 3 (if necessary):  If, in Phase 2 of the PER, the results of the electronic voting system differ from the results of the manual hand count by more than one-half of one percent or by more than 2 votes in a precinct where 400 or fewer voters cast ballots then a third level of review is necessary.  A review must be conducted of the ballots from all the remaining precincts in the county (If the results of Phase 3 from one or more counties comprising in the aggregate more than ten percent of the total number of persons voting in the election clearly indicate that an error in vote counting has occurred, then a Phase 4 PER is required) - the review must be completed and the results reported to the Secretary of State within one one week after Phase 2 was completed.  </t>
    </r>
    <r>
      <rPr>
        <i/>
        <sz val="12"/>
        <rFont val="Times New Roman"/>
        <family val="1"/>
      </rPr>
      <t>Minn. Stat. §206.89, subd. 5</t>
    </r>
  </si>
  <si>
    <r>
      <t xml:space="preserve">Towns with March Elections: </t>
    </r>
    <r>
      <rPr>
        <sz val="12"/>
        <rFont val="Times New Roman"/>
        <family val="1"/>
      </rPr>
      <t xml:space="preserve"> Last day for townships to change polling place location prior to March Election except in a case when a polling place is not available – 90 days prior to election. </t>
    </r>
    <r>
      <rPr>
        <i/>
        <sz val="12"/>
        <rFont val="Times New Roman"/>
        <family val="1"/>
      </rPr>
      <t>Minn. Stat. §204B.16</t>
    </r>
  </si>
  <si>
    <t xml:space="preserve">204B.16 </t>
  </si>
  <si>
    <r>
      <t xml:space="preserve">School Districts with a Primary: </t>
    </r>
    <r>
      <rPr>
        <sz val="12"/>
        <rFont val="Times New Roman"/>
        <family val="1"/>
      </rPr>
      <t>Last day for candidates to withdraw.</t>
    </r>
    <r>
      <rPr>
        <b/>
        <sz val="12"/>
        <rFont val="Times New Roman"/>
        <family val="1"/>
      </rPr>
      <t xml:space="preserve"> </t>
    </r>
    <r>
      <rPr>
        <sz val="12"/>
        <rFont val="Times New Roman"/>
        <family val="1"/>
      </rPr>
      <t xml:space="preserve">Candidates may withdraw until 5:00 p.m. by filing an Affidavit of Withdrawal - within 2 days after filing closes.  </t>
    </r>
    <r>
      <rPr>
        <i/>
        <sz val="12"/>
        <rFont val="Times New Roman"/>
        <family val="1"/>
      </rPr>
      <t>Minn. Stat. §205A.06, subd. 5</t>
    </r>
  </si>
  <si>
    <t>201.091, subd. 2</t>
  </si>
  <si>
    <t>Reg.</t>
  </si>
  <si>
    <r>
      <t xml:space="preserve">TOWNSHIP ELECTION DAY:  Counties: </t>
    </r>
    <r>
      <rPr>
        <sz val="12"/>
        <rFont val="Times New Roman"/>
        <family val="1"/>
      </rPr>
      <t xml:space="preserve">No public meetings or school events between 6:00 p.m. and 8:00 p.m. - on a day when an election is held within the County.  </t>
    </r>
    <r>
      <rPr>
        <i/>
        <sz val="12"/>
        <rFont val="Times New Roman"/>
        <family val="1"/>
      </rPr>
      <t>Minn. Stat. §204C.03</t>
    </r>
  </si>
  <si>
    <t>103C.305, subd. 2</t>
  </si>
  <si>
    <r>
      <t xml:space="preserve">Soil and Water Conservation Districts: </t>
    </r>
    <r>
      <rPr>
        <sz val="12"/>
        <rFont val="Times New Roman"/>
        <family val="1"/>
      </rPr>
      <t xml:space="preserve">Filing period for Soil and Water Conservation District Supervisors,  with the County Auditor's office in the county in which the district office is located - during the period for filing affidavits of candidacy for county offices.  (A primary may not be held)  </t>
    </r>
    <r>
      <rPr>
        <i/>
        <sz val="12"/>
        <rFont val="Times New Roman"/>
        <family val="1"/>
      </rPr>
      <t>Minn. Stat. §103C.305, subd. 2</t>
    </r>
    <r>
      <rPr>
        <sz val="12"/>
        <rFont val="Times New Roman"/>
        <family val="1"/>
      </rPr>
      <t xml:space="preserve">  </t>
    </r>
  </si>
  <si>
    <t>103C.305, subd. 1; 204D.03, subd. 2</t>
  </si>
  <si>
    <t>Caucus</t>
  </si>
  <si>
    <r>
      <t xml:space="preserve">Counties: </t>
    </r>
    <r>
      <rPr>
        <sz val="12"/>
        <rFont val="Times New Roman"/>
        <family val="1"/>
      </rPr>
      <t>The County Canvassing Board in each county must set the date, time and place for the Post Election Equipment Review (PER) of the State General Election - at the County Canvass of the State Primary.</t>
    </r>
    <r>
      <rPr>
        <i/>
        <sz val="12"/>
        <rFont val="Times New Roman"/>
        <family val="1"/>
      </rPr>
      <t xml:space="preserve">  Minn. Stat. §206.89, subd. 2</t>
    </r>
  </si>
  <si>
    <t xml:space="preserve">204D.03 </t>
  </si>
  <si>
    <r>
      <t xml:space="preserve">Secretary of State: </t>
    </r>
    <r>
      <rPr>
        <sz val="12"/>
        <rFont val="Times New Roman"/>
        <family val="1"/>
      </rPr>
      <t xml:space="preserve">PER Phase 2 (if necessary):  If the results of the electronic voting system differ from the results of the manual count by more than one-half of one percent, or more than 2 votes in a precinct where 400 or fewer voters cast ballots then a second level of review is necessary.  At least 3 additional precincts must be reviewed (if the difference is more than one-half of one percent in any of these precincts, or more than 2 votes in a precinct where 400 or fewer voters cast ballots then a  Phase 3 review is required) - the additional review must be completed within 2 days after the initial PER is completed.  </t>
    </r>
    <r>
      <rPr>
        <i/>
        <sz val="12"/>
        <rFont val="Times New Roman"/>
        <family val="1"/>
      </rPr>
      <t>Minn. Stat. §206.89, subd. 4 &amp; 5</t>
    </r>
  </si>
  <si>
    <r>
      <t xml:space="preserve">PRECINCT CAUCUS: School Districts without a Primary: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</si>
  <si>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PRECINCT CAUCUS: Secretary of State: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</si>
  <si>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PRECINCT CAUCUS: Soil and Water Conservation Districts: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</si>
  <si>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TOWNSHIP ELECTION DAY: Secretary of State: </t>
    </r>
    <r>
      <rPr>
        <sz val="12"/>
        <rFont val="Times New Roman"/>
        <family val="1"/>
      </rPr>
      <t xml:space="preserve">2nd Tuesday in March.  </t>
    </r>
    <r>
      <rPr>
        <i/>
        <sz val="12"/>
        <rFont val="Times New Roman"/>
        <family val="1"/>
      </rPr>
      <t>Minn. Stat. §205.075, subd. 1</t>
    </r>
  </si>
  <si>
    <r>
      <t>TOWNSHIP ELECTION DAY: Campaign Finance:</t>
    </r>
    <r>
      <rPr>
        <sz val="12"/>
        <rFont val="Times New Roman"/>
        <family val="1"/>
      </rPr>
      <t xml:space="preserve">  2nd Tuesday in March.  </t>
    </r>
    <r>
      <rPr>
        <i/>
        <sz val="12"/>
        <rFont val="Times New Roman"/>
        <family val="1"/>
      </rPr>
      <t>Minn. Stat. §205.075, subd. 1</t>
    </r>
    <r>
      <rPr>
        <b/>
        <sz val="12"/>
        <rFont val="Times New Roman"/>
        <family val="1"/>
      </rPr>
      <t xml:space="preserve"> </t>
    </r>
  </si>
  <si>
    <r>
      <t>Cities without a Primary:</t>
    </r>
    <r>
      <rPr>
        <sz val="12"/>
        <rFont val="Times New Roman"/>
        <family val="1"/>
      </rPr>
      <t xml:space="preserve"> Last day for the Chair of the county or legislative district executive committee to provide the County Auditor and Municipal Clerk with the place, date, and time of the caucus - at least 20 days before the precinct caucus. </t>
    </r>
    <r>
      <rPr>
        <i/>
        <sz val="12"/>
        <rFont val="Times New Roman"/>
        <family val="1"/>
      </rPr>
      <t xml:space="preserve"> Minn. Stat. §202A.14, subd. 3</t>
    </r>
  </si>
  <si>
    <r>
      <t xml:space="preserve">Political Parties: </t>
    </r>
    <r>
      <rPr>
        <sz val="12"/>
        <rFont val="Times New Roman"/>
        <family val="1"/>
      </rPr>
      <t xml:space="preserve">Last day for the Chair of the county or legislative district executive committee of a political party to issue the call for the precinct caucus - at least 20 days before the time set for holding the caucuses.   </t>
    </r>
    <r>
      <rPr>
        <i/>
        <sz val="12"/>
        <rFont val="Times New Roman"/>
        <family val="1"/>
      </rPr>
      <t>Minn. Stat. §202A.14, subd. 2</t>
    </r>
  </si>
  <si>
    <r>
      <t xml:space="preserve">Political Parties: </t>
    </r>
    <r>
      <rPr>
        <sz val="12"/>
        <rFont val="Times New Roman"/>
        <family val="1"/>
      </rPr>
      <t xml:space="preserve"> Last day for the Chair of the county or legislative district executive committee to provide the County Auditor and Municipal Clerk with the place, date, and time of the caucus - at least 20 days before the precinct caucus.  </t>
    </r>
    <r>
      <rPr>
        <i/>
        <sz val="12"/>
        <rFont val="Times New Roman"/>
        <family val="1"/>
      </rPr>
      <t>Minn. Stat. §202A.14, subd. 3</t>
    </r>
  </si>
  <si>
    <r>
      <t xml:space="preserve">Secretary of State: </t>
    </r>
    <r>
      <rPr>
        <sz val="12"/>
        <rFont val="Times New Roman"/>
        <family val="1"/>
      </rPr>
      <t xml:space="preserve">Last day for the Chair of the county or legislative district executive committee of a political party to issue the call for the precinct caucus - at least 20 days before the time set for holding the caucuses.  </t>
    </r>
    <r>
      <rPr>
        <i/>
        <sz val="12"/>
        <rFont val="Times New Roman"/>
        <family val="1"/>
      </rPr>
      <t>Minn. Stat. §202A.14, subd. 2</t>
    </r>
  </si>
  <si>
    <r>
      <t>Secretary of State:</t>
    </r>
    <r>
      <rPr>
        <sz val="12"/>
        <rFont val="Times New Roman"/>
        <family val="1"/>
      </rPr>
      <t xml:space="preserve">  Last day for the Chair of the county or legislative district executive committee to provide the County Auditor and Municipal Clerk with the place, date, and time of the caucus - at least 20 days before the precinct caucus.  </t>
    </r>
    <r>
      <rPr>
        <i/>
        <sz val="12"/>
        <rFont val="Times New Roman"/>
        <family val="1"/>
      </rPr>
      <t>Minn. Stat. §202A.14, subd. 3</t>
    </r>
  </si>
  <si>
    <t>204C.26, subd. 3</t>
  </si>
  <si>
    <t>206.82, subd. 1</t>
  </si>
  <si>
    <t>204D.04, subd. 2</t>
  </si>
  <si>
    <t>205A.06, subd. 5</t>
  </si>
  <si>
    <t>204B.12, subd. 1</t>
  </si>
  <si>
    <t>10A.09, subd. 2</t>
  </si>
  <si>
    <t>205A.07, subd. 2</t>
  </si>
  <si>
    <t>205.175</t>
  </si>
  <si>
    <r>
      <t xml:space="preserve">PRECINCT CAUCUS: Counties: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</si>
  <si>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t>204C.36; 209.021, subd. 1</t>
  </si>
  <si>
    <r>
      <t>Towns with November Elections:</t>
    </r>
    <r>
      <rPr>
        <sz val="12"/>
        <rFont val="Times New Roman"/>
        <family val="1"/>
      </rPr>
      <t xml:space="preserve"> Annual Campaign Finance Reports due - January 31 of each year. </t>
    </r>
    <r>
      <rPr>
        <i/>
        <sz val="12"/>
        <rFont val="Times New Roman"/>
        <family val="1"/>
      </rPr>
      <t xml:space="preserve"> Minn. Stat. §211A.02, subd. 1</t>
    </r>
  </si>
  <si>
    <r>
      <t xml:space="preserve">Political Parties: </t>
    </r>
    <r>
      <rPr>
        <sz val="12"/>
        <rFont val="Times New Roman"/>
        <family val="1"/>
      </rPr>
      <t xml:space="preserve">Last day for candidates to withdraw.  Candidates may withdraw until 5:00 p.m. by filing an Affidavit of Withdrawal - within 2 days after filing closes.  </t>
    </r>
    <r>
      <rPr>
        <i/>
        <sz val="12"/>
        <rFont val="Times New Roman"/>
        <family val="1"/>
      </rPr>
      <t xml:space="preserve">Minn. Stat. §204B.12, subd. 1 </t>
    </r>
  </si>
  <si>
    <t>204D.03, subd. 1</t>
  </si>
  <si>
    <r>
      <t xml:space="preserve">Towns with March Elections: </t>
    </r>
    <r>
      <rPr>
        <sz val="12"/>
        <rFont val="Times New Roman"/>
        <family val="1"/>
      </rPr>
      <t xml:space="preserve">Last day for an election judge to submit written notice of serving voluntarily without pay – no later than 10 days before the election.  </t>
    </r>
    <r>
      <rPr>
        <i/>
        <sz val="12"/>
        <rFont val="Times New Roman"/>
        <family val="1"/>
      </rPr>
      <t>Minn. Stat. §204B.31, subd. 2</t>
    </r>
  </si>
  <si>
    <t>204B.31, subd. 2</t>
  </si>
  <si>
    <r>
      <t xml:space="preserve">Counties: </t>
    </r>
    <r>
      <rPr>
        <sz val="12"/>
        <rFont val="Times New Roman"/>
        <family val="1"/>
      </rPr>
      <t xml:space="preserve">Final corrected master list available for Township Elections – 7 days before Election. </t>
    </r>
    <r>
      <rPr>
        <i/>
        <sz val="12"/>
        <rFont val="Times New Roman"/>
        <family val="1"/>
      </rPr>
      <t xml:space="preserve"> Minn. Stat. §201.091, subd. 2</t>
    </r>
  </si>
  <si>
    <t>205.16, subd. 2</t>
  </si>
  <si>
    <t>206.58, subd. 1</t>
  </si>
  <si>
    <r>
      <t xml:space="preserve">Counties: </t>
    </r>
    <r>
      <rPr>
        <sz val="12"/>
        <rFont val="Times New Roman"/>
        <family val="1"/>
      </rPr>
      <t xml:space="preserve">PER Phase 2 (if necessary):  If the results of the electronic voting system differ from the results of the manual count by more than one-half of one percent, or more than 2 votes in a precinct where 400 or fewer voters cast ballots then a second level of review is necessary.  At least 3 additional precincts must be reviewed (if the difference is more than one-half of one percent in any of these precincts, or more than 2 votes in a precinct where 400 or fewer voters cast ballots then a  Phase 3 review is required) - the additional review must be completed within 2 days after the initial PER is completed.  </t>
    </r>
    <r>
      <rPr>
        <i/>
        <sz val="12"/>
        <rFont val="Times New Roman"/>
        <family val="1"/>
      </rPr>
      <t>Minn. Stat. §206.89, subd. 4 &amp; 5</t>
    </r>
  </si>
  <si>
    <t>202A.14, subd. 1</t>
  </si>
  <si>
    <t>447.32, subd. 1</t>
  </si>
  <si>
    <t>206.89, subd. 2</t>
  </si>
  <si>
    <r>
      <t>Political Parties:</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</si>
  <si>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t>205.185, subd. 3(b); 211A.05, subd. 1; 204C.36; 205.185, subd. 3; 209.021, subd. 1; 205.185, subd. 1</t>
  </si>
  <si>
    <r>
      <t>Towns with March Elections:</t>
    </r>
    <r>
      <rPr>
        <sz val="12"/>
        <rFont val="Times New Roman"/>
        <family val="1"/>
      </rPr>
      <t xml:space="preserve"> (If town administering absentee voting)  Must be open for absentee voting from 10:00 a.m. to 3:00 p.m. </t>
    </r>
    <r>
      <rPr>
        <i/>
        <sz val="12"/>
        <rFont val="Times New Roman"/>
        <family val="1"/>
      </rPr>
      <t>Minn. Stat. §203B.085</t>
    </r>
  </si>
  <si>
    <t>204D.02, subd. 2</t>
  </si>
  <si>
    <t>204D.09, subd. 2</t>
  </si>
  <si>
    <t>HAVA</t>
  </si>
  <si>
    <t>204B.27, subd. 1</t>
  </si>
  <si>
    <r>
      <t xml:space="preserve">Counties:  </t>
    </r>
    <r>
      <rPr>
        <sz val="12"/>
        <rFont val="Times New Roman"/>
        <family val="1"/>
      </rPr>
      <t>MACO winter conference.</t>
    </r>
  </si>
  <si>
    <r>
      <t xml:space="preserve">Secretary of State: </t>
    </r>
    <r>
      <rPr>
        <sz val="12"/>
        <rFont val="Times New Roman"/>
        <family val="1"/>
      </rPr>
      <t>MACO winter conference.</t>
    </r>
  </si>
  <si>
    <r>
      <t xml:space="preserve">School Districts without a Primary: </t>
    </r>
    <r>
      <rPr>
        <sz val="12"/>
        <rFont val="Times New Roman"/>
        <family val="1"/>
      </rPr>
      <t xml:space="preserve">Annual Campaign Finance Reports due - January 31 of each year.  </t>
    </r>
    <r>
      <rPr>
        <i/>
        <sz val="12"/>
        <rFont val="Times New Roman"/>
        <family val="1"/>
      </rPr>
      <t>Minn. Stat. §211A.02, subd. 1</t>
    </r>
  </si>
  <si>
    <r>
      <t>Veterans Day Holiday:</t>
    </r>
    <r>
      <rPr>
        <sz val="12"/>
        <rFont val="Times New Roman"/>
        <family val="1"/>
      </rPr>
      <t xml:space="preserve">  No public business shall be transacted, except in cases of necessity.  </t>
    </r>
    <r>
      <rPr>
        <i/>
        <sz val="12"/>
        <rFont val="Times New Roman"/>
        <family val="1"/>
      </rPr>
      <t>Minn. Stat. §645.44, subd. 5</t>
    </r>
  </si>
  <si>
    <t>211A.05</t>
  </si>
  <si>
    <r>
      <t>Towns with November Elections:</t>
    </r>
    <r>
      <rPr>
        <sz val="12"/>
        <rFont val="Times New Roman"/>
        <family val="1"/>
      </rPr>
      <t xml:space="preserve"> (If town administering absentee voting)  Must be open for absentee voting from 10:00 a.m. to 3:00 p.m. </t>
    </r>
    <r>
      <rPr>
        <i/>
        <sz val="12"/>
        <rFont val="Times New Roman"/>
        <family val="1"/>
      </rPr>
      <t>Minn. Stat. §203B.085</t>
    </r>
  </si>
  <si>
    <r>
      <t>Towns with November Elections:</t>
    </r>
    <r>
      <rPr>
        <sz val="12"/>
        <rFont val="Times New Roman"/>
        <family val="1"/>
      </rPr>
      <t xml:space="preserve"> (If town administering absentee voting)  Must be open for absentee voting until 5:00 p.m. </t>
    </r>
    <r>
      <rPr>
        <i/>
        <sz val="12"/>
        <rFont val="Times New Roman"/>
        <family val="1"/>
      </rPr>
      <t>Minn. Stat. §203B.085</t>
    </r>
  </si>
  <si>
    <t xml:space="preserve"> 204D.03</t>
  </si>
  <si>
    <r>
      <t xml:space="preserve">STATE GENERAL ELECTION DAY: Cities without a Primary: </t>
    </r>
    <r>
      <rPr>
        <sz val="12"/>
        <rFont val="Times New Roman"/>
        <family val="1"/>
      </rPr>
      <t xml:space="preserve">First Tuesday after the first Monday in November. </t>
    </r>
    <r>
      <rPr>
        <i/>
        <sz val="12"/>
        <rFont val="Times New Roman"/>
        <family val="1"/>
      </rPr>
      <t>Minn. Stat. §205.065, subd. 1; §204D.03</t>
    </r>
  </si>
  <si>
    <t>447.32; 204D.03</t>
  </si>
  <si>
    <t>205A.04; 204D.03</t>
  </si>
  <si>
    <r>
      <t xml:space="preserve">STATE GENERAL ELECTION DAY: Towns with March Elections:  </t>
    </r>
    <r>
      <rPr>
        <sz val="12"/>
        <rFont val="Times New Roman"/>
        <family val="1"/>
      </rPr>
      <t xml:space="preserve">First Tuesday after the first Monday in November. </t>
    </r>
    <r>
      <rPr>
        <i/>
        <sz val="12"/>
        <rFont val="Times New Roman"/>
        <family val="1"/>
      </rPr>
      <t>Minn. Stat. §205.065, subd. 1; §204D.03</t>
    </r>
  </si>
  <si>
    <r>
      <t xml:space="preserve">STATE GENERAL ELECTION DAY: Secretary of State: </t>
    </r>
    <r>
      <rPr>
        <sz val="12"/>
        <rFont val="Times New Roman"/>
        <family val="1"/>
      </rPr>
      <t xml:space="preserve">First Tuesday after the first Monday in November in even-numbered years.  </t>
    </r>
    <r>
      <rPr>
        <i/>
        <sz val="12"/>
        <rFont val="Times New Roman"/>
        <family val="1"/>
      </rPr>
      <t xml:space="preserve">Minn. Stat. §204D.03, subd. 2 </t>
    </r>
  </si>
  <si>
    <r>
      <t xml:space="preserve">Christmas Day Holiday:  </t>
    </r>
    <r>
      <rPr>
        <sz val="12"/>
        <rFont val="Times New Roman"/>
        <family val="1"/>
      </rPr>
      <t xml:space="preserve">No public business shall be transacted, except in cases of necessity.  </t>
    </r>
    <r>
      <rPr>
        <i/>
        <sz val="12"/>
        <rFont val="Times New Roman"/>
        <family val="1"/>
      </rPr>
      <t>Minn. Stat. §645.44, subd. 5</t>
    </r>
  </si>
  <si>
    <r>
      <t>Cities with a Primary:</t>
    </r>
    <r>
      <rPr>
        <sz val="12"/>
        <rFont val="Times New Roman"/>
        <family val="1"/>
      </rPr>
      <t xml:space="preserve"> Last day for election judges to secure election supplies from clerk - by 9 p.m. the day preeding the election.  </t>
    </r>
    <r>
      <rPr>
        <i/>
        <sz val="12"/>
        <rFont val="Times New Roman"/>
        <family val="1"/>
      </rPr>
      <t>Minn. Stat. §204B.29, subd. 1</t>
    </r>
  </si>
  <si>
    <r>
      <t xml:space="preserve">Counties: </t>
    </r>
    <r>
      <rPr>
        <sz val="12"/>
        <rFont val="Times New Roman"/>
        <family val="1"/>
      </rPr>
      <t xml:space="preserve">County Auditor's office open until 5:00 p.m. on the day immediately preceding the election for acceptance of absentee ballot applications and casting of absentee ballots.  </t>
    </r>
    <r>
      <rPr>
        <i/>
        <sz val="12"/>
        <rFont val="Times New Roman"/>
        <family val="1"/>
      </rPr>
      <t>Minn. Stat. §203B.085</t>
    </r>
  </si>
  <si>
    <t>201.121; 8200.2700</t>
  </si>
  <si>
    <t>204C.32, subd. 2</t>
  </si>
  <si>
    <t>10A.09, subd. 6</t>
  </si>
  <si>
    <r>
      <t xml:space="preserve">Counties: </t>
    </r>
    <r>
      <rPr>
        <sz val="12"/>
        <rFont val="Times New Roman"/>
        <family val="1"/>
      </rPr>
      <t xml:space="preserve">County Auditor's office open from 10:00 a.m. to 3:00 p.m. for acceptance of absentee ballot applications and casting of absentee ballots - on the Saturday immediately preceding the election.  </t>
    </r>
    <r>
      <rPr>
        <i/>
        <sz val="12"/>
        <rFont val="Times New Roman"/>
        <family val="1"/>
      </rPr>
      <t>Minn. Stat. §203B.085</t>
    </r>
  </si>
  <si>
    <t>203B.085</t>
  </si>
  <si>
    <t>8200.3100</t>
  </si>
  <si>
    <r>
      <t xml:space="preserve">Towns with March Elections: </t>
    </r>
    <r>
      <rPr>
        <sz val="12"/>
        <rFont val="Times New Roman"/>
        <family val="1"/>
      </rPr>
      <t xml:space="preserve">(Less than 500 inhabitants and in a *non-metro area) Last day to publish or post notice of changed hours for voting and notify the County Auditor of the changed hours - 30 days before the election.  </t>
    </r>
    <r>
      <rPr>
        <i/>
        <sz val="12"/>
        <rFont val="Times New Roman"/>
        <family val="1"/>
      </rPr>
      <t>Minn. Stat. §204C.05, 1a</t>
    </r>
  </si>
  <si>
    <t>Enter Date of General Election (1st Tuesday after 1st Monday in Nov.)</t>
  </si>
  <si>
    <t>Enter Date of Next Years March Township Election</t>
  </si>
  <si>
    <t>Enter New Years Day</t>
  </si>
  <si>
    <t>Enter Martin Luther King Jr. Day</t>
  </si>
  <si>
    <t>Enter Presidents Day</t>
  </si>
  <si>
    <t>Enter Memorial Day</t>
  </si>
  <si>
    <t>Enter Independence Day Holiday</t>
  </si>
  <si>
    <t xml:space="preserve">Enter Labor Day </t>
  </si>
  <si>
    <r>
      <t xml:space="preserve">Cities without a Primary: </t>
    </r>
    <r>
      <rPr>
        <sz val="12"/>
        <rFont val="Times New Roman"/>
        <family val="1"/>
      </rPr>
      <t xml:space="preserve"> Last day for County or Legislative District Chair to provide published notice of the holding of the precinct caucus stating the place, date, and time for holding the caucus - at least 6 days published notice. </t>
    </r>
    <r>
      <rPr>
        <i/>
        <sz val="12"/>
        <rFont val="Times New Roman"/>
        <family val="1"/>
      </rPr>
      <t xml:space="preserve"> Minn. Stat. §202A.14, subd. 3 </t>
    </r>
  </si>
  <si>
    <r>
      <t xml:space="preserve">Counties: </t>
    </r>
    <r>
      <rPr>
        <sz val="12"/>
        <rFont val="Times New Roman"/>
        <family val="1"/>
      </rPr>
      <t xml:space="preserve"> Last day for County or Legislative District Chair to provide published notice of the holding of the precinct caucus stating the place, date, and time for holding the caucus - at least 6 days published notice.  </t>
    </r>
    <r>
      <rPr>
        <i/>
        <sz val="12"/>
        <rFont val="Times New Roman"/>
        <family val="1"/>
      </rPr>
      <t xml:space="preserve">Minn. Stat. §202A.14, subd. 3 </t>
    </r>
  </si>
  <si>
    <t>Enter First Monday following the 3rd Sat. in May (Leg. Ending Date)</t>
  </si>
  <si>
    <t>Enter Auditors' Summer Conference Beginning Date</t>
  </si>
  <si>
    <t>Enter Auditors' Summer Conference Ending Date</t>
  </si>
  <si>
    <t>Enter next years New Year's Day Holiday</t>
  </si>
  <si>
    <t>Enter next years 1st Monday in January</t>
  </si>
  <si>
    <t>Enter next years Martin Luther King, Jr. Day</t>
  </si>
  <si>
    <t>Begin Date</t>
  </si>
  <si>
    <t>End Date</t>
  </si>
  <si>
    <t>Bolded type indicates subdivision affected:</t>
  </si>
  <si>
    <t>Statute §</t>
  </si>
  <si>
    <t xml:space="preserve">Affected </t>
  </si>
  <si>
    <t>Reference</t>
  </si>
  <si>
    <t>412.02, subd. 2</t>
  </si>
  <si>
    <t>Cities with a Primary</t>
  </si>
  <si>
    <t>After the Election</t>
  </si>
  <si>
    <t>Cities without a Primary</t>
  </si>
  <si>
    <t xml:space="preserve">Counties </t>
  </si>
  <si>
    <t>645.44, subd. 5</t>
  </si>
  <si>
    <t>Holiday</t>
  </si>
  <si>
    <t>Hospital Districts</t>
  </si>
  <si>
    <t>367.03, subd.4</t>
  </si>
  <si>
    <t>Towns with November Elections</t>
  </si>
  <si>
    <t>211A.02, subd. 1</t>
  </si>
  <si>
    <t>Filing</t>
  </si>
  <si>
    <t>205.13, subd. 1a</t>
  </si>
  <si>
    <t>Towns with March Elections</t>
  </si>
  <si>
    <t>Legislative Session Begins</t>
  </si>
  <si>
    <t>Legislature</t>
  </si>
  <si>
    <t>203B.19</t>
  </si>
  <si>
    <t>AB</t>
  </si>
  <si>
    <t>Equipment</t>
  </si>
  <si>
    <r>
      <t xml:space="preserve">TOWNSHIP ELECTION DAY: School Districts without a Primary: </t>
    </r>
    <r>
      <rPr>
        <sz val="12"/>
        <rFont val="Times New Roman"/>
        <family val="1"/>
      </rPr>
      <t xml:space="preserve">No public meetings or school events between 6:00 p.m. and 8:00 p.m. - on a day when an election is held within the district boundaries.  </t>
    </r>
    <r>
      <rPr>
        <i/>
        <sz val="12"/>
        <rFont val="Times New Roman"/>
        <family val="1"/>
      </rPr>
      <t>Minn. Stat. §204C.03</t>
    </r>
  </si>
  <si>
    <r>
      <t xml:space="preserve">Hospital Districts: </t>
    </r>
    <r>
      <rPr>
        <sz val="12"/>
        <rFont val="Times New Roman"/>
        <family val="1"/>
      </rPr>
      <t xml:space="preserve">Campaign finance reports due - 10 days before the general election.  </t>
    </r>
    <r>
      <rPr>
        <i/>
        <sz val="12"/>
        <rFont val="Times New Roman"/>
        <family val="1"/>
      </rPr>
      <t>Minn. Stat. §211A.02</t>
    </r>
  </si>
  <si>
    <t>Enter Date that Legislative Session Begins</t>
  </si>
  <si>
    <t>Enter Date of First Monday in January</t>
  </si>
  <si>
    <t>Enter Date of Township Election (2nd Tues in March)</t>
  </si>
  <si>
    <r>
      <t xml:space="preserve">Cities without a Primary: </t>
    </r>
    <r>
      <rPr>
        <sz val="12"/>
        <rFont val="Times New Roman"/>
        <family val="1"/>
      </rPr>
      <t xml:space="preserve">Period of time during which Election Judge training courses may be provided - not more than 60 days before the state primary election or fewer than 3 days before the state general election.  </t>
    </r>
    <r>
      <rPr>
        <i/>
        <sz val="12"/>
        <rFont val="Times New Roman"/>
        <family val="1"/>
      </rPr>
      <t>Minn. Rule 8240.1300, subp. 4</t>
    </r>
  </si>
  <si>
    <r>
      <t xml:space="preserve">Towns with November Elections: </t>
    </r>
    <r>
      <rPr>
        <sz val="12"/>
        <rFont val="Times New Roman"/>
        <family val="1"/>
      </rPr>
      <t xml:space="preserve"> Last day for County or Legislative District Chair to provide published notice of the holding of the precinct caucus stating the place, date, and time for holding the caucus - at least 6 days published notice.  </t>
    </r>
    <r>
      <rPr>
        <i/>
        <sz val="12"/>
        <rFont val="Times New Roman"/>
        <family val="1"/>
      </rPr>
      <t xml:space="preserve">Minn. Stat. §202A.14, subd. 3 </t>
    </r>
  </si>
  <si>
    <r>
      <t xml:space="preserve">STATE GENERAL ELECTION DAY: Political Parties: </t>
    </r>
    <r>
      <rPr>
        <sz val="12"/>
        <rFont val="Times New Roman"/>
        <family val="1"/>
      </rPr>
      <t xml:space="preserve">First Tuesday after the first Monday in November in even-numbered years.  </t>
    </r>
    <r>
      <rPr>
        <i/>
        <sz val="12"/>
        <rFont val="Times New Roman"/>
        <family val="1"/>
      </rPr>
      <t xml:space="preserve">Minn. Stat. §204D.03, subd. 2 </t>
    </r>
  </si>
  <si>
    <t>201.171; 201.121</t>
  </si>
  <si>
    <r>
      <t xml:space="preserve">TOWNSHIP ELECTION DAY: Hospital Districts: </t>
    </r>
    <r>
      <rPr>
        <sz val="12"/>
        <rFont val="Times New Roman"/>
        <family val="1"/>
      </rPr>
      <t xml:space="preserve">No special taxing district governing body shall conduct a meeting between 6:00 p.m. and 8:00 p.m. - on the day that an election is held within the boundaries of the special taxing district.  </t>
    </r>
    <r>
      <rPr>
        <i/>
        <sz val="12"/>
        <rFont val="Times New Roman"/>
        <family val="1"/>
      </rPr>
      <t>Minn. Stat. §204C.03</t>
    </r>
  </si>
  <si>
    <r>
      <t>Towns with November Elections:</t>
    </r>
    <r>
      <rPr>
        <sz val="12"/>
        <rFont val="Times New Roman"/>
        <family val="1"/>
      </rPr>
      <t xml:space="preserve"> Last day for the Chair of the county or legislative district executive committee to provide the County Auditor and Municipal Clerk with the place, date, and time of the caucus - at least 20 days before the precinct caucus.  </t>
    </r>
    <r>
      <rPr>
        <i/>
        <sz val="12"/>
        <rFont val="Times New Roman"/>
        <family val="1"/>
      </rPr>
      <t>Minn. Stat. §202A.14, subd. 3</t>
    </r>
  </si>
  <si>
    <r>
      <t xml:space="preserve">Counties: </t>
    </r>
    <r>
      <rPr>
        <sz val="12"/>
        <rFont val="Times New Roman"/>
        <family val="1"/>
      </rPr>
      <t xml:space="preserve">The County Auditor shall make available information about the place, date and time of the precinct caucuses upon request - at least 10 days before the date of the caucuses. </t>
    </r>
    <r>
      <rPr>
        <i/>
        <sz val="12"/>
        <rFont val="Times New Roman"/>
        <family val="1"/>
      </rPr>
      <t xml:space="preserve"> Minn. Stat. §202A.14, subd. 3 </t>
    </r>
  </si>
  <si>
    <r>
      <t xml:space="preserve">Political Parties: </t>
    </r>
    <r>
      <rPr>
        <sz val="12"/>
        <rFont val="Times New Roman"/>
        <family val="1"/>
      </rPr>
      <t xml:space="preserve">The County Auditor shall make available information about the place, date and time of the precinct caucuses upon request  - at least 10 days before the date of the caucuses.  </t>
    </r>
    <r>
      <rPr>
        <i/>
        <sz val="12"/>
        <rFont val="Times New Roman"/>
        <family val="1"/>
      </rPr>
      <t>Minn. Stat. §202A.14, subd. 3</t>
    </r>
    <r>
      <rPr>
        <sz val="12"/>
        <rFont val="Times New Roman"/>
        <family val="1"/>
      </rPr>
      <t xml:space="preserve"> </t>
    </r>
  </si>
  <si>
    <r>
      <t>Secretary of State:</t>
    </r>
    <r>
      <rPr>
        <sz val="12"/>
        <rFont val="Times New Roman"/>
        <family val="1"/>
      </rPr>
      <t xml:space="preserve"> The County Auditor shall make available information about the place, date and time of the precinct caucuses upon request - at least 10 days before the date of the caucuses.  </t>
    </r>
    <r>
      <rPr>
        <i/>
        <sz val="12"/>
        <rFont val="Times New Roman"/>
        <family val="1"/>
      </rPr>
      <t xml:space="preserve">Minn. Stat. §202A.14, subd. 3 </t>
    </r>
  </si>
  <si>
    <r>
      <t xml:space="preserve">PRECINCT CAUCUS: Hospital Districts: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</si>
  <si>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Secretary of State: </t>
    </r>
    <r>
      <rPr>
        <sz val="12"/>
        <rFont val="Times New Roman"/>
        <family val="1"/>
      </rPr>
      <t xml:space="preserve">Last day for County or Legislative District Chair to provide published notice of the holding of the precinct caucus stating the place, date, and time for holding the caucus - at least 6 days published notice.  </t>
    </r>
    <r>
      <rPr>
        <i/>
        <sz val="12"/>
        <rFont val="Times New Roman"/>
        <family val="1"/>
      </rPr>
      <t xml:space="preserve">Minn. Stat. §202A.14, subd. 3 </t>
    </r>
  </si>
  <si>
    <r>
      <t xml:space="preserve">PRECINCT CAUCUS: School Districts with a Primary: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</si>
  <si>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School Districts without a Primary:</t>
    </r>
    <r>
      <rPr>
        <sz val="12"/>
        <rFont val="Times New Roman"/>
        <family val="1"/>
      </rPr>
      <t xml:space="preserve">  Last day for winning candidates to file an acceptance and oath of office with the clerk - within 30 days of issuance of certificate of election.  </t>
    </r>
    <r>
      <rPr>
        <i/>
        <sz val="12"/>
        <rFont val="Times New Roman"/>
        <family val="1"/>
      </rPr>
      <t>Minn. Stat. §205A.10, subd. 3</t>
    </r>
  </si>
  <si>
    <r>
      <t xml:space="preserve">STATE GENERAL ELECTION DAY: Counties: </t>
    </r>
    <r>
      <rPr>
        <sz val="12"/>
        <rFont val="Times New Roman"/>
        <family val="1"/>
      </rPr>
      <t xml:space="preserve">First Tuesday after the first Monday in November.  </t>
    </r>
    <r>
      <rPr>
        <i/>
        <sz val="12"/>
        <rFont val="Times New Roman"/>
        <family val="1"/>
      </rPr>
      <t>Minn. Stat. §204D.03</t>
    </r>
  </si>
  <si>
    <r>
      <t xml:space="preserve">Cities with a Primary: </t>
    </r>
    <r>
      <rPr>
        <sz val="12"/>
        <rFont val="Times New Roman"/>
        <family val="1"/>
      </rPr>
      <t xml:space="preserve">(If city administering absentee voting)  Must be open for absentee voting from 10:00 a.m. to 3:00 p.m. </t>
    </r>
    <r>
      <rPr>
        <i/>
        <sz val="12"/>
        <rFont val="Times New Roman"/>
        <family val="1"/>
      </rPr>
      <t>Minn. Stat. §203B.085</t>
    </r>
  </si>
  <si>
    <r>
      <t xml:space="preserve">Cities without a Primary: </t>
    </r>
    <r>
      <rPr>
        <sz val="12"/>
        <rFont val="Times New Roman"/>
        <family val="1"/>
      </rPr>
      <t xml:space="preserve">(If city administering absenting voting)  Must be open for absentee voting from 10:00 a.m. to 3:00 p.m. </t>
    </r>
    <r>
      <rPr>
        <i/>
        <sz val="12"/>
        <rFont val="Times New Roman"/>
        <family val="1"/>
      </rPr>
      <t>Minn. Stat. §203B.085</t>
    </r>
  </si>
  <si>
    <r>
      <t>Political Parties:</t>
    </r>
    <r>
      <rPr>
        <sz val="12"/>
        <rFont val="Times New Roman"/>
        <family val="1"/>
      </rPr>
      <t xml:space="preserve"> County Auditors office must be open for absentee voting from 10:00 a.m. to 3:00 p.m. </t>
    </r>
    <r>
      <rPr>
        <i/>
        <sz val="12"/>
        <rFont val="Times New Roman"/>
        <family val="1"/>
      </rPr>
      <t>Minn. Stat. §203B.085</t>
    </r>
  </si>
  <si>
    <r>
      <t xml:space="preserve">TOWNSHIP ELECTION DAY: Soil and Water Conservation Districts: </t>
    </r>
    <r>
      <rPr>
        <sz val="12"/>
        <rFont val="Times New Roman"/>
        <family val="1"/>
      </rPr>
      <t xml:space="preserve">No special taxing district governing body shall conduct a meeting between 6:00 p.m. and 8:00 p.m. - on the day that an election is held within the boundaies of the special taxing district.  </t>
    </r>
    <r>
      <rPr>
        <i/>
        <sz val="12"/>
        <rFont val="Times New Roman"/>
        <family val="1"/>
      </rPr>
      <t>Minn. Stat. §204C.03</t>
    </r>
  </si>
  <si>
    <t>204B.35</t>
  </si>
  <si>
    <t>204B.21, subd. 2</t>
  </si>
  <si>
    <t>Election Judges</t>
  </si>
  <si>
    <t>School Districts with a Primary</t>
  </si>
  <si>
    <r>
      <t xml:space="preserve">School Districts with a Primary: </t>
    </r>
    <r>
      <rPr>
        <sz val="12"/>
        <rFont val="Times New Roman"/>
        <family val="1"/>
      </rPr>
      <t xml:space="preserve">Annual Campaign Finance Reports due - January 31 of each year.  </t>
    </r>
    <r>
      <rPr>
        <i/>
        <sz val="12"/>
        <rFont val="Times New Roman"/>
        <family val="1"/>
      </rPr>
      <t>Minn. Stat. §211A.02, subd. 1</t>
    </r>
  </si>
  <si>
    <t>201.061, subd. 1</t>
  </si>
  <si>
    <t>8210.3000, subp. 3</t>
  </si>
  <si>
    <r>
      <t xml:space="preserve">Cities without a Primary: </t>
    </r>
    <r>
      <rPr>
        <sz val="12"/>
        <rFont val="Times New Roman"/>
        <family val="1"/>
      </rPr>
      <t xml:space="preserve">Election Judges must return election material to Clerk's office - within 24 hours after the end of hours for voting. </t>
    </r>
    <r>
      <rPr>
        <i/>
        <sz val="12"/>
        <rFont val="Times New Roman"/>
        <family val="1"/>
      </rPr>
      <t xml:space="preserve"> Minn. Stat. §204C.27</t>
    </r>
  </si>
  <si>
    <r>
      <t>New Year's Day Holiday.</t>
    </r>
    <r>
      <rPr>
        <sz val="12"/>
        <rFont val="Times New Roman"/>
        <family val="1"/>
      </rPr>
      <t xml:space="preserve">  No public business shall be transacted, except in cases of necessity.  </t>
    </r>
    <r>
      <rPr>
        <i/>
        <sz val="12"/>
        <rFont val="Times New Roman"/>
        <family val="1"/>
      </rPr>
      <t>Minn. Stat. §645.44, subd.5</t>
    </r>
  </si>
  <si>
    <r>
      <t xml:space="preserve">Presidents' Day Holiday: </t>
    </r>
    <r>
      <rPr>
        <sz val="12"/>
        <rFont val="Times New Roman"/>
        <family val="1"/>
      </rPr>
      <t xml:space="preserve">No public business shall be transacted, except in cases of necessity.  </t>
    </r>
    <r>
      <rPr>
        <i/>
        <sz val="12"/>
        <rFont val="Times New Roman"/>
        <family val="1"/>
      </rPr>
      <t>Minn. Stat. §645.44, subd. 5</t>
    </r>
  </si>
  <si>
    <r>
      <t xml:space="preserve">New Year's Day Holiday:  </t>
    </r>
    <r>
      <rPr>
        <sz val="12"/>
        <rFont val="Times New Roman"/>
        <family val="1"/>
      </rPr>
      <t xml:space="preserve">No public business shall be transacted, except in cases of necessity.  </t>
    </r>
    <r>
      <rPr>
        <i/>
        <sz val="12"/>
        <rFont val="Times New Roman"/>
        <family val="1"/>
      </rPr>
      <t>Minn. Stat. §645.44, subd. 5</t>
    </r>
  </si>
  <si>
    <t>204C.33, subd. 3</t>
  </si>
  <si>
    <t>206.895</t>
  </si>
  <si>
    <t>202A.14, subd. 2</t>
  </si>
  <si>
    <t>202A.14, subd. 3</t>
  </si>
  <si>
    <r>
      <t xml:space="preserve">TOWNSHIP ELECTION DAY: School Districts with a Primary: </t>
    </r>
    <r>
      <rPr>
        <sz val="12"/>
        <rFont val="Times New Roman"/>
        <family val="1"/>
      </rPr>
      <t xml:space="preserve">No public meetings or school events between 6:00 p.m. and 8:00 p.m. - on a day when an election is held within the district boundaries.  </t>
    </r>
    <r>
      <rPr>
        <i/>
        <sz val="12"/>
        <rFont val="Times New Roman"/>
        <family val="1"/>
      </rPr>
      <t>Minn. Stat. §204C.03</t>
    </r>
  </si>
  <si>
    <r>
      <t>School Districts with a Primary:</t>
    </r>
    <r>
      <rPr>
        <sz val="12"/>
        <rFont val="Times New Roman"/>
        <family val="1"/>
      </rPr>
      <t xml:space="preserve"> Last day to publish notice of filing - at least 2 weeks before filing opens.  </t>
    </r>
    <r>
      <rPr>
        <i/>
        <sz val="12"/>
        <rFont val="Times New Roman"/>
        <family val="1"/>
      </rPr>
      <t>Minn. Stat. §205A.06, subd. 2</t>
    </r>
  </si>
  <si>
    <r>
      <t xml:space="preserve">School Districts with a Primary: </t>
    </r>
    <r>
      <rPr>
        <sz val="12"/>
        <rFont val="Times New Roman"/>
        <family val="1"/>
      </rPr>
      <t xml:space="preserve">Last day to post notice of filing - at least 10 days before filing.  </t>
    </r>
    <r>
      <rPr>
        <i/>
        <sz val="12"/>
        <rFont val="Times New Roman"/>
        <family val="1"/>
      </rPr>
      <t>Minn. Stat. §205A.06, subd. 2</t>
    </r>
  </si>
  <si>
    <t>42 USC 15421</t>
  </si>
  <si>
    <r>
      <t>Secretary of State:</t>
    </r>
    <r>
      <rPr>
        <sz val="12"/>
        <rFont val="Times New Roman"/>
        <family val="1"/>
      </rPr>
      <t xml:space="preserve">  Last day for county or municipality to change polling place prior to primary election - not less than 90 days prior to election.  </t>
    </r>
    <r>
      <rPr>
        <i/>
        <sz val="12"/>
        <rFont val="Times New Roman"/>
        <family val="1"/>
      </rPr>
      <t>Minn. Stat. §204B.16, subd. 3</t>
    </r>
  </si>
  <si>
    <r>
      <t>Counties:</t>
    </r>
    <r>
      <rPr>
        <sz val="12"/>
        <rFont val="Times New Roman"/>
        <family val="1"/>
      </rPr>
      <t xml:space="preserve">  Last day for county to change polling place in unorganized territories prior to primary election - not less than 90 days prior to election.  </t>
    </r>
    <r>
      <rPr>
        <i/>
        <sz val="12"/>
        <rFont val="Times New Roman"/>
        <family val="1"/>
      </rPr>
      <t>Minn. Stat. §204B.16, subd. 3</t>
    </r>
  </si>
  <si>
    <r>
      <t xml:space="preserve">Cities with a Primary:  </t>
    </r>
    <r>
      <rPr>
        <sz val="12"/>
        <rFont val="Times New Roman"/>
        <family val="1"/>
      </rPr>
      <t xml:space="preserve">Last day to return rosters and voter registration applications to county auditor - within 48 hours after voting hours end.  </t>
    </r>
    <r>
      <rPr>
        <i/>
        <sz val="12"/>
        <rFont val="Times New Roman"/>
        <family val="1"/>
      </rPr>
      <t>Minn. Stat. §204C.27</t>
    </r>
  </si>
  <si>
    <r>
      <t xml:space="preserve">Cities without a Primary: </t>
    </r>
    <r>
      <rPr>
        <sz val="12"/>
        <rFont val="Times New Roman"/>
        <family val="1"/>
      </rPr>
      <t xml:space="preserve">PER Phase 2 (if necessary):  If the results of the electronic voting system differ from the results of the manual count by more than one-half of one percent, or more than 2 votes in a precinct where 400 or fewer voters cast ballots then a second level of review is necessary.  At least 3 additional precincts must be reviewed (if the difference is more than one-half of one percent in any of these precincts, or more than 2 votes in a precinct where 400 or fewer voters cast ballots then a  Phase 3 review is required) - the additional review must be completed within 2 days after the initial PER is completed.  </t>
    </r>
    <r>
      <rPr>
        <i/>
        <sz val="12"/>
        <rFont val="Times New Roman"/>
        <family val="1"/>
      </rPr>
      <t>Minn. Stat. §206.89, subd. 4 &amp; 5</t>
    </r>
  </si>
  <si>
    <r>
      <t>Counties:</t>
    </r>
    <r>
      <rPr>
        <sz val="12"/>
        <rFont val="Times New Roman"/>
        <family val="1"/>
      </rPr>
      <t xml:space="preserve"> PER Phase 3 (if necessary):  If, in Phase 2 of the PER, the results of the electronic voting system differ from the results of the manual hand count by more than one-half of one percent or by more than 2 votes in a precinct where 400 or fewer voters cast ballots then a third level of review is necessary.  A review must be conducted of the ballots from all the remaining precincts in the county (If the results of Phase 3 from one or more counties comprising in the aggregate more than ten percent of the total number of persons voting in the election clearly indicate that an error in vote counting has occurred, then a Phase 4 PER is required) - the review must be completed and the results reported to the Secretary of State within one one week after Phase 2 was completed.  </t>
    </r>
    <r>
      <rPr>
        <i/>
        <sz val="12"/>
        <rFont val="Times New Roman"/>
        <family val="1"/>
      </rPr>
      <t>Minn. Stat. §206.89, subd. 5</t>
    </r>
  </si>
  <si>
    <r>
      <t xml:space="preserve">Campaign Finance: </t>
    </r>
    <r>
      <rPr>
        <sz val="12"/>
        <rFont val="Times New Roman"/>
        <family val="1"/>
      </rPr>
      <t xml:space="preserve">Campaign financial reports due - 30 days after general election.  </t>
    </r>
    <r>
      <rPr>
        <i/>
        <sz val="12"/>
        <rFont val="Times New Roman"/>
        <family val="1"/>
      </rPr>
      <t>Minn. Stat. §211A.02, subd. 1</t>
    </r>
  </si>
  <si>
    <r>
      <t>Cities with a Primary:</t>
    </r>
    <r>
      <rPr>
        <sz val="12"/>
        <rFont val="Times New Roman"/>
        <family val="1"/>
      </rPr>
      <t xml:space="preserve">  Last day for candidates to withdraw.  Candidates may withdraw until 5:00 p.m. by filing an Affidavit of Withdrawal - within 2 days after filing closes.  </t>
    </r>
    <r>
      <rPr>
        <i/>
        <sz val="12"/>
        <rFont val="Times New Roman"/>
        <family val="1"/>
      </rPr>
      <t>Minn. Stat. §205.13, subd. 6</t>
    </r>
  </si>
  <si>
    <r>
      <t>Counties:</t>
    </r>
    <r>
      <rPr>
        <sz val="12"/>
        <rFont val="Times New Roman"/>
        <family val="1"/>
      </rPr>
      <t xml:space="preserve"> Last day for candidates to withdraw.  Candidates may withdraw until 5:00 p.m. by filing an Affidavit of Withdrawal - within 2 days after filing closes.  </t>
    </r>
    <r>
      <rPr>
        <i/>
        <sz val="12"/>
        <rFont val="Times New Roman"/>
        <family val="1"/>
      </rPr>
      <t>Minn. Stat. §204B.12, subd. 1</t>
    </r>
  </si>
  <si>
    <r>
      <t xml:space="preserve">Secretary of State: </t>
    </r>
    <r>
      <rPr>
        <sz val="12"/>
        <rFont val="Times New Roman"/>
        <family val="1"/>
      </rPr>
      <t xml:space="preserve">Last day for candidate to withdraw.  Candidates may withdraw until 5:00 p.m. by filing an Affidavit of Withdrawal - within 2 days after filing closes.  </t>
    </r>
    <r>
      <rPr>
        <i/>
        <sz val="12"/>
        <rFont val="Times New Roman"/>
        <family val="1"/>
      </rPr>
      <t xml:space="preserve">Minn. Stat. §204B.12, subd. 1 </t>
    </r>
  </si>
  <si>
    <r>
      <t xml:space="preserve">TOWNSHIP ELECTION DAY: Towns with March Elections: - </t>
    </r>
    <r>
      <rPr>
        <sz val="12"/>
        <rFont val="Times New Roman"/>
        <family val="1"/>
      </rPr>
      <t xml:space="preserve">No public meetings or school events between 6:00 p.m. and 8:00 p.m.  - on a day when an election is held within the townships boundaries.   </t>
    </r>
    <r>
      <rPr>
        <i/>
        <sz val="12"/>
        <rFont val="Times New Roman"/>
        <family val="1"/>
      </rPr>
      <t>Minn. Stat. §204C.03</t>
    </r>
  </si>
  <si>
    <t>205.065, subd. 5</t>
  </si>
  <si>
    <r>
      <t xml:space="preserve">Political Parties: (Major Political Parties): </t>
    </r>
    <r>
      <rPr>
        <sz val="12"/>
        <rFont val="Times New Roman"/>
        <family val="1"/>
      </rPr>
      <t xml:space="preserve">Date by which a Major Political Party needs to qualify for inclusion on the income tax form and property tax refund return - must qualify as a Major Political Party by July 1 of the taxable year.  </t>
    </r>
    <r>
      <rPr>
        <i/>
        <sz val="12"/>
        <rFont val="Times New Roman"/>
        <family val="1"/>
      </rPr>
      <t xml:space="preserve">Minn. Stat. §10A.31, subd. 3a </t>
    </r>
  </si>
  <si>
    <r>
      <t xml:space="preserve">Political Parties: (Minor Political Parties): </t>
    </r>
    <r>
      <rPr>
        <sz val="12"/>
        <rFont val="Times New Roman"/>
        <family val="1"/>
      </rPr>
      <t xml:space="preserve">Date by which a Minor Political Party needs to qualify for inclusion on the income tax form and property tax refund return - must qualify as a Minor Political Party by July 1 of the taxable year.  </t>
    </r>
    <r>
      <rPr>
        <i/>
        <sz val="12"/>
        <rFont val="Times New Roman"/>
        <family val="1"/>
      </rPr>
      <t>Minn. Stat.</t>
    </r>
    <r>
      <rPr>
        <sz val="12"/>
        <rFont val="Times New Roman"/>
        <family val="1"/>
      </rPr>
      <t xml:space="preserve"> </t>
    </r>
    <r>
      <rPr>
        <i/>
        <sz val="12"/>
        <rFont val="Times New Roman"/>
        <family val="1"/>
      </rPr>
      <t>§10A.31, subd. 3a</t>
    </r>
  </si>
  <si>
    <t>206.89, subd. 5</t>
  </si>
  <si>
    <t>201.061</t>
  </si>
  <si>
    <r>
      <t xml:space="preserve">Secretary of State: (Minor Political Parties): </t>
    </r>
    <r>
      <rPr>
        <sz val="12"/>
        <rFont val="Times New Roman"/>
        <family val="1"/>
      </rPr>
      <t xml:space="preserve">Date by which a Minor Political Party needs to qualify for inclusion on the income tax form and property tax refund return - must qualify as a Minor Political Party by July 1 of the taxable year.  </t>
    </r>
    <r>
      <rPr>
        <i/>
        <sz val="12"/>
        <rFont val="Times New Roman"/>
        <family val="1"/>
      </rPr>
      <t>Minn. Stat.</t>
    </r>
    <r>
      <rPr>
        <sz val="12"/>
        <rFont val="Times New Roman"/>
        <family val="1"/>
      </rPr>
      <t xml:space="preserve"> </t>
    </r>
    <r>
      <rPr>
        <i/>
        <sz val="12"/>
        <rFont val="Times New Roman"/>
        <family val="1"/>
      </rPr>
      <t>§10A.31, subd. 3a</t>
    </r>
  </si>
  <si>
    <r>
      <t xml:space="preserve">Cities with a Primary: </t>
    </r>
    <r>
      <rPr>
        <sz val="12"/>
        <rFont val="Times New Roman"/>
        <family val="1"/>
      </rPr>
      <t xml:space="preserve">Campaign finance reports due - 10 days before the general election.  </t>
    </r>
    <r>
      <rPr>
        <i/>
        <sz val="12"/>
        <rFont val="Times New Roman"/>
        <family val="1"/>
      </rPr>
      <t>Minn. Stat. §211A.02</t>
    </r>
  </si>
  <si>
    <t>205.185, subd. 3</t>
  </si>
  <si>
    <r>
      <t xml:space="preserve">Towns with March Elections: </t>
    </r>
    <r>
      <rPr>
        <sz val="12"/>
        <rFont val="Times New Roman"/>
        <family val="1"/>
      </rPr>
      <t xml:space="preserve">Last day to return township polling place rosters and completed voter registration cards to county auditor – within 48 hours after voting ends.  </t>
    </r>
    <r>
      <rPr>
        <i/>
        <sz val="12"/>
        <rFont val="Times New Roman"/>
        <family val="1"/>
      </rPr>
      <t>Minn. Stat.§204C.27</t>
    </r>
  </si>
  <si>
    <t>211A.05, subd. 1</t>
  </si>
  <si>
    <r>
      <t xml:space="preserve">Cities with a Primary: </t>
    </r>
    <r>
      <rPr>
        <sz val="12"/>
        <rFont val="Times New Roman"/>
        <family val="1"/>
      </rPr>
      <t xml:space="preserve">Last day to submit changes in previously filed electronic voting plans to Secretary of State - Prior to May 1 of general election year. </t>
    </r>
    <r>
      <rPr>
        <i/>
        <sz val="12"/>
        <rFont val="Times New Roman"/>
        <family val="1"/>
      </rPr>
      <t xml:space="preserve">Minn. Stat. §206.82, subd. 2 </t>
    </r>
  </si>
  <si>
    <t>Note: When Minnesota Election Law requires that action be taken on or before a date that falls on a weekend, this calendar usually uses the previous Friday date to ensure timely action.</t>
  </si>
  <si>
    <t xml:space="preserve">For relevant law on the calculation of dates, see Minn. Stat. §§ 645.13; 645.15; 645.151; 331A.08, subd. 1; 331A.08, subd. 2. </t>
  </si>
  <si>
    <t>203B.11, subd. 4</t>
  </si>
  <si>
    <r>
      <t xml:space="preserve">Counties: </t>
    </r>
    <r>
      <rPr>
        <sz val="12"/>
        <rFont val="Times New Roman"/>
        <family val="1"/>
      </rPr>
      <t xml:space="preserve">(If County Auditor is administering absentee voting for the town) County Auditor's office open from 10:00 a.m. to 3:00 p.m. for acceptance of absentee ballot applications and casting of absentee ballots - on the Saturday immediately preceding the election.  </t>
    </r>
    <r>
      <rPr>
        <i/>
        <sz val="12"/>
        <rFont val="Times New Roman"/>
        <family val="1"/>
      </rPr>
      <t>Minn. Stat. §203B.085</t>
    </r>
  </si>
  <si>
    <r>
      <t xml:space="preserve">Secretary of State: </t>
    </r>
    <r>
      <rPr>
        <sz val="12"/>
        <rFont val="Times New Roman"/>
        <family val="1"/>
      </rPr>
      <t xml:space="preserve">County Auditor's office open from 10:00 a.m. to 3:00 p.m. for acceptance of absentee ballot applications and casting of absentee ballots - on the Saturday immediately preceding the election.  </t>
    </r>
    <r>
      <rPr>
        <i/>
        <sz val="12"/>
        <rFont val="Times New Roman"/>
        <family val="1"/>
      </rPr>
      <t>Minn. Stat. §203B.085</t>
    </r>
  </si>
  <si>
    <r>
      <t xml:space="preserve">Secretary of State: </t>
    </r>
    <r>
      <rPr>
        <sz val="12"/>
        <rFont val="Times New Roman"/>
        <family val="1"/>
      </rPr>
      <t xml:space="preserve">County Auditor's office open until 5:00 p.m. on the day immediately preceding the March Township election for acceptance of absentee ballot applications and casting of absentee ballots. (If County Auditor is administering absentee voting for the township)   </t>
    </r>
    <r>
      <rPr>
        <i/>
        <sz val="12"/>
        <rFont val="Times New Roman"/>
        <family val="1"/>
      </rPr>
      <t>Minn. Stat. §203B.085</t>
    </r>
  </si>
  <si>
    <r>
      <t xml:space="preserve">Counties: </t>
    </r>
    <r>
      <rPr>
        <sz val="12"/>
        <rFont val="Times New Roman"/>
        <family val="1"/>
      </rPr>
      <t xml:space="preserve">County Auditor's office open until 5:00 p.m. on the day immediately preceding the March Township election for acceptance of absentee ballot applications and casting of absentee ballots. (If County Auditor is administering absentee voting for the township)  </t>
    </r>
    <r>
      <rPr>
        <i/>
        <sz val="12"/>
        <rFont val="Times New Roman"/>
        <family val="1"/>
      </rPr>
      <t>Minn. Stat. §203B.085</t>
    </r>
  </si>
  <si>
    <r>
      <t xml:space="preserve">Secretary of State: </t>
    </r>
    <r>
      <rPr>
        <sz val="12"/>
        <rFont val="Times New Roman"/>
        <family val="1"/>
      </rPr>
      <t xml:space="preserve">County Auditor's office open until 5:00 p.m. on the day immediately preceding the election for acceptance of absentee ballot applications and casting of absentee ballots.  </t>
    </r>
    <r>
      <rPr>
        <i/>
        <sz val="12"/>
        <rFont val="Times New Roman"/>
        <family val="1"/>
      </rPr>
      <t>Minn. Stat. §203B.085</t>
    </r>
  </si>
  <si>
    <r>
      <t xml:space="preserve">Secretary of State: </t>
    </r>
    <r>
      <rPr>
        <sz val="12"/>
        <rFont val="Times New Roman"/>
        <family val="1"/>
      </rPr>
      <t xml:space="preserve">Last day for township board to canvass election results – within 2 days of election.  </t>
    </r>
    <r>
      <rPr>
        <i/>
        <sz val="12"/>
        <rFont val="Times New Roman"/>
        <family val="1"/>
      </rPr>
      <t>Minn. Stat. §205.185, subd. 3</t>
    </r>
  </si>
  <si>
    <r>
      <t xml:space="preserve">Secretary of State: </t>
    </r>
    <r>
      <rPr>
        <sz val="12"/>
        <rFont val="Times New Roman"/>
        <family val="1"/>
      </rPr>
      <t xml:space="preserve">Last day for Secretry of State to transmit examples of any blank forms to be used at the State General Election - at least14 days before every State Election.  </t>
    </r>
    <r>
      <rPr>
        <i/>
        <sz val="12"/>
        <rFont val="Times New Roman"/>
        <family val="1"/>
      </rPr>
      <t>Minn. Stat. §204B.27, subd. 1</t>
    </r>
  </si>
  <si>
    <r>
      <t xml:space="preserve">Secretary of State: </t>
    </r>
    <r>
      <rPr>
        <sz val="12"/>
        <rFont val="Times New Roman"/>
        <family val="1"/>
      </rPr>
      <t xml:space="preserve">Last day for jurisdictions awarded EAID grants to sign and return contract to Secretary of State's Office.  </t>
    </r>
    <r>
      <rPr>
        <i/>
        <sz val="12"/>
        <rFont val="Times New Roman"/>
        <family val="1"/>
      </rPr>
      <t>42 U.S.C. 15421 et seq. (HAVA)</t>
    </r>
  </si>
  <si>
    <r>
      <t xml:space="preserve">Counties: </t>
    </r>
    <r>
      <rPr>
        <sz val="12"/>
        <rFont val="Times New Roman"/>
        <family val="1"/>
      </rPr>
      <t xml:space="preserve">Last day for Counties awarded EAID grants to sign and return contract to Secretary of State's Office.  </t>
    </r>
    <r>
      <rPr>
        <i/>
        <sz val="12"/>
        <rFont val="Times New Roman"/>
        <family val="1"/>
      </rPr>
      <t>42 U.S.C. 15421 et seq. (HAVA)</t>
    </r>
  </si>
  <si>
    <r>
      <t xml:space="preserve">Towns with November Elections: </t>
    </r>
    <r>
      <rPr>
        <sz val="12"/>
        <rFont val="Times New Roman"/>
        <family val="1"/>
      </rPr>
      <t xml:space="preserve">Last day for Towns awarded EAID grants to sign and return contract to Secretary of State's Office. </t>
    </r>
    <r>
      <rPr>
        <i/>
        <sz val="12"/>
        <rFont val="Times New Roman"/>
        <family val="1"/>
      </rPr>
      <t xml:space="preserve"> 42 U.S.C. 15421 et seq. (HAVA)</t>
    </r>
  </si>
  <si>
    <r>
      <t xml:space="preserve">Counties: </t>
    </r>
    <r>
      <rPr>
        <sz val="12"/>
        <rFont val="Times New Roman"/>
        <family val="1"/>
      </rPr>
      <t xml:space="preserve">Last day for township board to canvass election results – within 2 days of election.  </t>
    </r>
    <r>
      <rPr>
        <i/>
        <sz val="12"/>
        <rFont val="Times New Roman"/>
        <family val="1"/>
      </rPr>
      <t>Minn. Stat. §205.185, subd. 3</t>
    </r>
  </si>
  <si>
    <r>
      <t xml:space="preserve">Soil and Water Conservation District: </t>
    </r>
    <r>
      <rPr>
        <sz val="12"/>
        <rFont val="Times New Roman"/>
        <family val="1"/>
      </rPr>
      <t xml:space="preserve">Last day for candidates to withdraw.  Candidates may withdraw until 5:00 p.m. by filing an Affidavit of Withdrawal - within 2 days after filing closes.  </t>
    </r>
    <r>
      <rPr>
        <i/>
        <sz val="12"/>
        <rFont val="Times New Roman"/>
        <family val="1"/>
      </rPr>
      <t xml:space="preserve">Minn. Stat. §204B.12, subd. 1 </t>
    </r>
  </si>
  <si>
    <t>202A.19, subds. 1 and 5</t>
  </si>
  <si>
    <t>205.13, subd. 1a; 205A.06, subd. 1a; 447.32, subd. 4</t>
  </si>
  <si>
    <r>
      <t xml:space="preserve">PRECINCT CAUCUS: Cities without a Primary: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</si>
  <si>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PRECINCT CAUCUS: Political Parties: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</si>
  <si>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Towns with March Elections: </t>
    </r>
    <r>
      <rPr>
        <sz val="12"/>
        <rFont val="Times New Roman"/>
        <family val="1"/>
      </rPr>
      <t xml:space="preserve"> Last day for the Chair of the county or legislative district executive committee to provide the County Auditor and Municipal Clerk with the place, date, and time of the caucus - at least 20 days before the precinct caucus.  </t>
    </r>
    <r>
      <rPr>
        <i/>
        <sz val="12"/>
        <rFont val="Times New Roman"/>
        <family val="1"/>
      </rPr>
      <t>Minn. Stat. §202A.14, subd. 3</t>
    </r>
  </si>
  <si>
    <r>
      <t xml:space="preserve">645.15 Computation of time. </t>
    </r>
    <r>
      <rPr>
        <sz val="12"/>
        <rFont val="Times New Roman"/>
        <family val="1"/>
      </rPr>
      <t xml:space="preserve">
Where the performance or doing of any act, duty, matter, payment, or thing is ordered or directed, and the period of time or duration for the performance or doing thereof is prescribed and fixed by law, the time, except as otherwise provided in sections 645.13 and 645.14, shall be computed so as to exclude the first and include the last day of the prescribed or fixed period or duration of time.  When the last day of the period falls on Saturday, Sunday or a legal holiday, that day shall be omitted from the computation. </t>
    </r>
  </si>
  <si>
    <t>Political Parties</t>
  </si>
  <si>
    <t>10A.31, subd. 3a</t>
  </si>
  <si>
    <r>
      <t xml:space="preserve">Counties:  </t>
    </r>
    <r>
      <rPr>
        <sz val="12"/>
        <rFont val="Times New Roman"/>
        <family val="1"/>
      </rPr>
      <t xml:space="preserve">Last day for school district to adopt a resolution to choose nominees for school board by Primary - by resolution adopted by April 15.   </t>
    </r>
    <r>
      <rPr>
        <i/>
        <sz val="12"/>
        <rFont val="Times New Roman"/>
        <family val="1"/>
      </rPr>
      <t xml:space="preserve">Minn. Stat. §205A.03, subd. 1 </t>
    </r>
  </si>
  <si>
    <r>
      <t xml:space="preserve">School Districts without a Primary:  </t>
    </r>
    <r>
      <rPr>
        <sz val="12"/>
        <rFont val="Times New Roman"/>
        <family val="1"/>
      </rPr>
      <t xml:space="preserve">Last day for school district to adopt a resolution to choose nominees for school board by Primary - by resolution adopted by April 15.   </t>
    </r>
    <r>
      <rPr>
        <i/>
        <sz val="12"/>
        <rFont val="Times New Roman"/>
        <family val="1"/>
      </rPr>
      <t xml:space="preserve">Minn. Stat. §205A.03, subd. 1 </t>
    </r>
  </si>
  <si>
    <t>U.S. Constitution, Amendment XX, Section 1</t>
  </si>
  <si>
    <t xml:space="preserve">204B.45, subd. 2 </t>
  </si>
  <si>
    <r>
      <t xml:space="preserve">Political Parties: </t>
    </r>
    <r>
      <rPr>
        <sz val="12"/>
        <rFont val="Times New Roman"/>
        <family val="1"/>
      </rPr>
      <t xml:space="preserve">Period of time during which Election Judge training courses may be provided - not more than 60 days before the state primary election or fewer than 3 days before the state general election.  </t>
    </r>
    <r>
      <rPr>
        <i/>
        <sz val="12"/>
        <rFont val="Times New Roman"/>
        <family val="1"/>
      </rPr>
      <t>Minn. Rule 8240.1300, subp. 4</t>
    </r>
  </si>
  <si>
    <r>
      <t xml:space="preserve">Martin Luther King Jr. Day Holiday:  </t>
    </r>
    <r>
      <rPr>
        <sz val="12"/>
        <rFont val="Times New Roman"/>
        <family val="1"/>
      </rPr>
      <t xml:space="preserve">No public business shall be transacted, except in cases of necessity.  </t>
    </r>
    <r>
      <rPr>
        <i/>
        <sz val="12"/>
        <rFont val="Times New Roman"/>
        <family val="1"/>
      </rPr>
      <t>Minn. Stat. §645.44, subd. 5</t>
    </r>
  </si>
  <si>
    <r>
      <t xml:space="preserve">Campaign Finance: </t>
    </r>
    <r>
      <rPr>
        <sz val="12"/>
        <rFont val="Times New Roman"/>
        <family val="1"/>
      </rPr>
      <t>Candidate filing period for March township elections— Between 70 and 56 days before the election</t>
    </r>
    <r>
      <rPr>
        <b/>
        <sz val="12"/>
        <rFont val="Times New Roman"/>
        <family val="1"/>
      </rPr>
      <t xml:space="preserve">.  </t>
    </r>
    <r>
      <rPr>
        <i/>
        <sz val="12"/>
        <rFont val="Times New Roman"/>
        <family val="1"/>
      </rPr>
      <t>Minn. Stat. § 205.13, subd.1a</t>
    </r>
  </si>
  <si>
    <t>203B.121, subd. 5</t>
  </si>
  <si>
    <r>
      <t xml:space="preserve">Political Parties: </t>
    </r>
    <r>
      <rPr>
        <sz val="12"/>
        <rFont val="Times New Roman"/>
        <family val="1"/>
      </rPr>
      <t xml:space="preserve"> Last day for County or Legislative District Chair to provide published notice of the holding of the precinct caucus stating the place, date, and time for holding the caucus - at least 6 days published notice.  </t>
    </r>
    <r>
      <rPr>
        <i/>
        <sz val="12"/>
        <rFont val="Times New Roman"/>
        <family val="1"/>
      </rPr>
      <t xml:space="preserve">Minn. Stat. §202A.14, subd. 3 </t>
    </r>
  </si>
  <si>
    <r>
      <t xml:space="preserve">331A.08 </t>
    </r>
    <r>
      <rPr>
        <sz val="12"/>
        <rFont val="Times New Roman"/>
        <family val="1"/>
      </rPr>
      <t xml:space="preserve">
Subd.1.   </t>
    </r>
    <r>
      <rPr>
        <b/>
        <sz val="12"/>
        <rFont val="Times New Roman"/>
        <family val="1"/>
      </rPr>
      <t xml:space="preserve"> Time for publication.</t>
    </r>
    <r>
      <rPr>
        <sz val="12"/>
        <rFont val="Times New Roman"/>
        <family val="1"/>
      </rPr>
      <t xml:space="preserve">  The time for publication of public notices shall be computed to exclude the first day of publication and include the day on which the act or event, of which notice is given, is to happen or which completes the full period required for publication.  
Subd. 2.    </t>
    </r>
    <r>
      <rPr>
        <b/>
        <sz val="12"/>
        <rFont val="Times New Roman"/>
        <family val="1"/>
      </rPr>
      <t xml:space="preserve">Time for act or proceeding. </t>
    </r>
    <r>
      <rPr>
        <sz val="12"/>
        <rFont val="Times New Roman"/>
        <family val="1"/>
      </rPr>
      <t xml:space="preserve"> The time within which an act is to be done or proceeding had or taken, as prescribed by the rules of procedure, shall be computed by excluding the first day and including the last.  If the last day is Sunday or a legal holiday the party shall have the next secular day in which to do the act or take the proceeding.  </t>
    </r>
  </si>
  <si>
    <r>
      <t xml:space="preserve">PRECINCT CAUCUS: Cities with a Primary: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</si>
  <si>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PRECINCT CAUCUS: Cities without a Primary: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</si>
  <si>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PRECINCT CAUCUS: Towns with March Elections: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</si>
  <si>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PRECINCT CAUCUS: Towns with November Elections: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</si>
  <si>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PRECINCT CAUCUS: School Districts with a Primary: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</si>
  <si>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PRECINCT CAUCUS: School Districts without a Primary: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</si>
  <si>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PRECINCT CAUCUS: Hospital Districts: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</si>
  <si>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PRECINCT CAUCUS: Soil and Water Conservation District: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</si>
  <si>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Cities with a Primary:</t>
    </r>
    <r>
      <rPr>
        <sz val="12"/>
        <rFont val="Times New Roman"/>
        <family val="1"/>
      </rPr>
      <t xml:space="preserve"> (If city administering absentee voting)  Must be open for absentee voting until 5:00 p.m. </t>
    </r>
    <r>
      <rPr>
        <i/>
        <sz val="12"/>
        <rFont val="Times New Roman"/>
        <family val="1"/>
      </rPr>
      <t>Minn. Stat. §203B.085</t>
    </r>
  </si>
  <si>
    <r>
      <t>Political Parties:</t>
    </r>
    <r>
      <rPr>
        <sz val="12"/>
        <rFont val="Times New Roman"/>
        <family val="1"/>
      </rPr>
      <t xml:space="preserve"> The County Auditor's office must be open for absentee voting until 5:00 p.m. </t>
    </r>
    <r>
      <rPr>
        <i/>
        <sz val="12"/>
        <rFont val="Times New Roman"/>
        <family val="1"/>
      </rPr>
      <t>Minn. Stat. §203B.085</t>
    </r>
  </si>
  <si>
    <r>
      <t>Towns with March Elections:</t>
    </r>
    <r>
      <rPr>
        <sz val="12"/>
        <rFont val="Times New Roman"/>
        <family val="1"/>
      </rPr>
      <t xml:space="preserve"> (If town administering absentee voting)  Must be open for absentee voting until 5:00 p.m. </t>
    </r>
    <r>
      <rPr>
        <i/>
        <sz val="12"/>
        <rFont val="Times New Roman"/>
        <family val="1"/>
      </rPr>
      <t>Minn. Stat. §203B.085</t>
    </r>
  </si>
  <si>
    <t>204D.03; 205A.03, subd. 2</t>
  </si>
  <si>
    <r>
      <t>Towns with November Elections:</t>
    </r>
    <r>
      <rPr>
        <sz val="12"/>
        <rFont val="Times New Roman"/>
        <family val="1"/>
      </rPr>
      <t xml:space="preserve"> PER Phase 3 (if necessary):  If, in Phase 2 of the PER, the results of the electronic voting system differ from the results of the manual hand count by more than one-half of one percent or by more than 2 votes in a precinct where 400 or fewer voters cast ballots then a third level of review is necessary.  A review must be conducted of the ballots from all the remaining precincts in the county (If the results of Phase 3 from one or more counties comprising in the aggregate more than ten percent of the total number of persons voting in the election clearly indicate that an error in vote counting has occurred, then a Phase 4 PER is required) - the review must be completed and the results reported to the Secretary of State within one one week after Phase 2 was completed.  </t>
    </r>
    <r>
      <rPr>
        <i/>
        <sz val="12"/>
        <rFont val="Times New Roman"/>
        <family val="1"/>
      </rPr>
      <t>Minn. Stat. §206.89, subd. 5</t>
    </r>
  </si>
  <si>
    <r>
      <t>Counties:</t>
    </r>
    <r>
      <rPr>
        <sz val="12"/>
        <rFont val="Times New Roman"/>
        <family val="1"/>
      </rPr>
      <t xml:space="preserve"> Print registration counts by precinct and precinct split for ballot rotation programming - 8:00 a.m. on May 1 of the election year. </t>
    </r>
    <r>
      <rPr>
        <i/>
        <sz val="12"/>
        <rFont val="Times New Roman"/>
        <family val="1"/>
      </rPr>
      <t>Minn. Stat. §206.61, subd. 5; Minn. Rule 8220.0825</t>
    </r>
  </si>
  <si>
    <t>206.61 subd. 5 8220.0825</t>
  </si>
  <si>
    <r>
      <t xml:space="preserve">Secretary of State:  </t>
    </r>
    <r>
      <rPr>
        <sz val="12"/>
        <rFont val="Times New Roman"/>
        <family val="1"/>
      </rPr>
      <t xml:space="preserve">Last day for Secretary of State to supply example primary and general ballot to county auditors (no later than May 1). </t>
    </r>
    <r>
      <rPr>
        <i/>
        <sz val="12"/>
        <rFont val="Times New Roman"/>
        <family val="1"/>
      </rPr>
      <t xml:space="preserve"> Minn. Stat. §204D.09, subd. 1</t>
    </r>
  </si>
  <si>
    <t>203B.121, subd. 4</t>
  </si>
  <si>
    <t>205.10, subd. 6</t>
  </si>
  <si>
    <r>
      <t xml:space="preserve">Cities without a Primary: </t>
    </r>
    <r>
      <rPr>
        <sz val="12"/>
        <rFont val="Times New Roman"/>
        <family val="1"/>
      </rPr>
      <t xml:space="preserve">Last day to submit changes in previously filed electronic voting plans to Secretary of State - Prior to May 1 of general election year.  </t>
    </r>
    <r>
      <rPr>
        <i/>
        <sz val="12"/>
        <rFont val="Times New Roman"/>
        <family val="1"/>
      </rPr>
      <t>Minn. Stat. §206.82, subd. 2</t>
    </r>
  </si>
  <si>
    <r>
      <t xml:space="preserve">Counties:  </t>
    </r>
    <r>
      <rPr>
        <sz val="12"/>
        <rFont val="Times New Roman"/>
        <family val="1"/>
      </rPr>
      <t xml:space="preserve">Last day for counties to submit changes to previous counting center plans - prior to May 1 of general election year.  </t>
    </r>
    <r>
      <rPr>
        <i/>
        <sz val="12"/>
        <rFont val="Times New Roman"/>
        <family val="1"/>
      </rPr>
      <t>Minn. Stat. §206.82, subd. 2</t>
    </r>
  </si>
  <si>
    <t xml:space="preserve">Enter last business day before May 1 </t>
  </si>
  <si>
    <r>
      <t>Towns with March Elections:</t>
    </r>
    <r>
      <rPr>
        <sz val="12"/>
        <rFont val="Times New Roman"/>
        <family val="1"/>
      </rPr>
      <t xml:space="preserve">  Last day to submit changes in previously filed electronic voting plans to Secretary of State - prior to May 1 of general election year.  </t>
    </r>
    <r>
      <rPr>
        <i/>
        <sz val="12"/>
        <rFont val="Times New Roman"/>
        <family val="1"/>
      </rPr>
      <t>Minn. Stat. §206.82, subd. 2</t>
    </r>
  </si>
  <si>
    <r>
      <t xml:space="preserve">Towns with November Elections: </t>
    </r>
    <r>
      <rPr>
        <sz val="12"/>
        <rFont val="Times New Roman"/>
        <family val="1"/>
      </rPr>
      <t xml:space="preserve">Last day to submit changes in previously filed electronic voting plans to Secretary of State - Prior to May 1 of general election year. </t>
    </r>
    <r>
      <rPr>
        <i/>
        <sz val="12"/>
        <rFont val="Times New Roman"/>
        <family val="1"/>
      </rPr>
      <t>Minn. Stat. §206.82, subd. 2</t>
    </r>
  </si>
  <si>
    <t>201.11, subd. 2</t>
  </si>
  <si>
    <t>201.212, subd. 3</t>
  </si>
  <si>
    <t>201.13, subd. 3</t>
  </si>
  <si>
    <t>201.157</t>
  </si>
  <si>
    <t>Towns with March elections</t>
  </si>
  <si>
    <t>Towns with November elections</t>
  </si>
  <si>
    <t>204D.195</t>
  </si>
  <si>
    <r>
      <t xml:space="preserve">Towns with March Elections:  </t>
    </r>
    <r>
      <rPr>
        <sz val="12"/>
        <rFont val="Times New Roman"/>
        <family val="1"/>
      </rPr>
      <t xml:space="preserve">Last day to disseminate information to the public about the use of a new voting system – at least 60 days prior to the election.  </t>
    </r>
    <r>
      <rPr>
        <i/>
        <sz val="12"/>
        <rFont val="Times New Roman"/>
        <family val="1"/>
      </rPr>
      <t>Minn. Stat. §206.58, subd. 1</t>
    </r>
  </si>
  <si>
    <t>Polling Place</t>
  </si>
  <si>
    <t>Adm.</t>
  </si>
  <si>
    <t xml:space="preserve">Adm. </t>
  </si>
  <si>
    <t>204D.06</t>
  </si>
  <si>
    <t>204B.35; 203B.085, 203B.05, subd. 2</t>
  </si>
  <si>
    <t>204B.27, subd. 3</t>
  </si>
  <si>
    <t>211B.045</t>
  </si>
  <si>
    <t>Campaigns</t>
  </si>
  <si>
    <r>
      <t>Campaign Finance:</t>
    </r>
    <r>
      <rPr>
        <sz val="12"/>
        <rFont val="Times New Roman"/>
        <family val="1"/>
      </rPr>
      <t xml:space="preserve"> Candidate filing period for federal offices, state offices, county offices, cities with a primary,  school districts with a primary, and soil and water conservation districts -  opens 84 days before election and closes 70 days before election.  </t>
    </r>
    <r>
      <rPr>
        <i/>
        <sz val="12"/>
        <rFont val="Times New Roman"/>
        <family val="1"/>
      </rPr>
      <t>Minn. Stat. §§204B.09, subd. 1; 205.13, subd. 1a; 205A.06, subd. 1a; 103C.305, subd. 2</t>
    </r>
  </si>
  <si>
    <t>204B.09, subd. 1; 205.13, subd. 1a; 205A.06, subd. 1a; 103C.305, subd. 2</t>
  </si>
  <si>
    <r>
      <t>Cities with a Primary:</t>
    </r>
    <r>
      <rPr>
        <sz val="12"/>
        <rFont val="Times New Roman"/>
        <family val="1"/>
      </rPr>
      <t xml:space="preserve"> Candidate filing period -  opens 84 days before election and closes 70 days before primary election.  </t>
    </r>
    <r>
      <rPr>
        <i/>
        <sz val="12"/>
        <rFont val="Times New Roman"/>
        <family val="1"/>
      </rPr>
      <t>Minn. Stat. §205.13, subd. 1a</t>
    </r>
  </si>
  <si>
    <r>
      <t xml:space="preserve">Political Parties: </t>
    </r>
    <r>
      <rPr>
        <sz val="12"/>
        <rFont val="Times New Roman"/>
        <family val="1"/>
      </rPr>
      <t xml:space="preserve">Candidate filing period - opens 84 days before primary election and closes 70 days before primary election. </t>
    </r>
    <r>
      <rPr>
        <i/>
        <sz val="12"/>
        <rFont val="Times New Roman"/>
        <family val="1"/>
      </rPr>
      <t>Minn. Stat. §204B.09, subd. 1</t>
    </r>
  </si>
  <si>
    <r>
      <t xml:space="preserve">School Districts with a Primary: </t>
    </r>
    <r>
      <rPr>
        <sz val="12"/>
        <rFont val="Times New Roman"/>
        <family val="1"/>
      </rPr>
      <t xml:space="preserve">Candidate filing period - opens 84 days before election and closes 70 days before primary election.  </t>
    </r>
    <r>
      <rPr>
        <i/>
        <sz val="12"/>
        <rFont val="Times New Roman"/>
        <family val="1"/>
      </rPr>
      <t>Minn. Stat. §205A.06, subd. 1a</t>
    </r>
  </si>
  <si>
    <t>203B.04, subds. 5 &amp; 6; 203B.06, subd. 1; 8210.0200, subp. 4</t>
  </si>
  <si>
    <r>
      <t xml:space="preserve">PRECINCT CAUCUS: Secretary of State: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</si>
  <si>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PRECINCT CAUCUS: Counties: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</si>
  <si>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t>203B.28</t>
  </si>
  <si>
    <r>
      <t xml:space="preserve">Secretary of State: </t>
    </r>
    <r>
      <rPr>
        <sz val="12"/>
        <rFont val="Times New Roman"/>
        <family val="1"/>
      </rPr>
      <t xml:space="preserve">The State Canvassing Board shall meet at the Secretary of State's office to canvass the certified copies of the county canvassing board reports  received from the County Auditor - shall meet at the Secretary of State's office on the third Tuesday following the State General Election.  </t>
    </r>
    <r>
      <rPr>
        <i/>
        <sz val="12"/>
        <rFont val="Times New Roman"/>
        <family val="1"/>
      </rPr>
      <t>Minn. Stat. §204C.33</t>
    </r>
  </si>
  <si>
    <r>
      <t xml:space="preserve">Towns with November Elections: </t>
    </r>
    <r>
      <rPr>
        <sz val="12"/>
        <rFont val="Times New Roman"/>
        <family val="1"/>
      </rPr>
      <t xml:space="preserve">PER Phase 2 (if necessary):  If the results of the electronic voting system differ from the results of the manual count by more than one-half of one percent, or more than 2 votes in a precinct where 400 or fewer voters cast ballots then a second level of review is necessary.  At least 3 additional precincts must be reviewed (if the difference is more than one-half of one percent in any of these precincts, or more than 2 votes in a precinct where 400 or fewer voters cast ballots then a  Phase 3 review is required) - the additional review must be completed within 2 days after the initial PER is completed.  </t>
    </r>
    <r>
      <rPr>
        <i/>
        <sz val="12"/>
        <rFont val="Times New Roman"/>
        <family val="1"/>
      </rPr>
      <t>Minn. Stat. §206.89, subd. 4 &amp; 5</t>
    </r>
  </si>
  <si>
    <r>
      <t>Cities without a Primary:</t>
    </r>
    <r>
      <rPr>
        <sz val="12"/>
        <rFont val="Times New Roman"/>
        <family val="1"/>
      </rPr>
      <t xml:space="preserve"> PER Phase 3 (if necessary):  If, in Phase 2 of the PER, the results of the electronic voting system differ from the results of the manual hand count by more than one-half of one percent or by more than 2 votes in a precinct where 400 or fewer voters cast ballots then a third level of review is necessary.  A review must be conducted of the ballots from all the remaining precincts in the county (If the results of Phase 3 from one or more counties comprising in the aggregate more than ten percent of the total number of persons voting in the election clearly indicate that an error in vote counting has occurred, then a Phase 4 PER is required) - the review must be completed and the results reported to the Secretary of State within one one week after Phase 2 was completed.  </t>
    </r>
    <r>
      <rPr>
        <i/>
        <sz val="12"/>
        <rFont val="Times New Roman"/>
        <family val="1"/>
      </rPr>
      <t>Minn. Stat. §206.89, subd. 5</t>
    </r>
  </si>
  <si>
    <r>
      <t xml:space="preserve">Counties: </t>
    </r>
    <r>
      <rPr>
        <sz val="12"/>
        <rFont val="Times New Roman"/>
        <family val="1"/>
      </rPr>
      <t xml:space="preserve">Annual Campaign Finance Reports due—January 31 of each year.  </t>
    </r>
    <r>
      <rPr>
        <i/>
        <sz val="12"/>
        <rFont val="Times New Roman"/>
        <family val="1"/>
      </rPr>
      <t xml:space="preserve">Minn. Stat. </t>
    </r>
    <r>
      <rPr>
        <sz val="12"/>
        <rFont val="Times New Roman"/>
        <family val="1"/>
      </rPr>
      <t>§</t>
    </r>
    <r>
      <rPr>
        <i/>
        <sz val="12"/>
        <rFont val="Times New Roman"/>
        <family val="1"/>
      </rPr>
      <t>211A.02, subd. 1</t>
    </r>
    <r>
      <rPr>
        <sz val="12"/>
        <rFont val="Times New Roman"/>
        <family val="1"/>
      </rPr>
      <t xml:space="preserve"> </t>
    </r>
  </si>
  <si>
    <t>204D.03, subd. 2</t>
  </si>
  <si>
    <r>
      <t>Towns with March Elections:</t>
    </r>
    <r>
      <rPr>
        <sz val="12"/>
        <rFont val="Times New Roman"/>
        <family val="1"/>
      </rPr>
      <t xml:space="preserve"> Candidates may withdraw until 5:00 p.m. – within two days after filing closes. </t>
    </r>
    <r>
      <rPr>
        <i/>
        <sz val="12"/>
        <rFont val="Times New Roman"/>
        <family val="1"/>
      </rPr>
      <t xml:space="preserve"> Minn. Stat. §205.13, subd. 6</t>
    </r>
  </si>
  <si>
    <r>
      <t>Calculation of Dates:</t>
    </r>
    <r>
      <rPr>
        <sz val="12"/>
        <rFont val="Times New Roman"/>
        <family val="1"/>
      </rPr>
      <t xml:space="preserve">
Dates on the 2014 Minnesota Combined Election Calendar are calculated in the following manner, pursuant to Minnesota Statutes, Chapter 645:  When counting the number of days before an election or other event, the day before the event is the first day counted.  When counting the number of days after an election or other event, the day after the event is the first day counted.  When the last day falls on a weekend or legal holiday, that day is usually omitted from the computation.  
</t>
    </r>
  </si>
  <si>
    <r>
      <t xml:space="preserve">Towns with March Elections: </t>
    </r>
    <r>
      <rPr>
        <sz val="12"/>
        <rFont val="Times New Roman"/>
        <family val="1"/>
      </rPr>
      <t xml:space="preserve">Last day to change precinct boundary prior to March Township Election - at least 10 weeks before the date of the next election. </t>
    </r>
    <r>
      <rPr>
        <i/>
        <sz val="12"/>
        <rFont val="Times New Roman"/>
        <family val="1"/>
      </rPr>
      <t xml:space="preserve">Minn. Stat. §204B.14, subd. 4 </t>
    </r>
  </si>
  <si>
    <t>Enter date of 2014 Precinct Caucuses</t>
  </si>
  <si>
    <r>
      <t xml:space="preserve">Towns with March Elections: </t>
    </r>
    <r>
      <rPr>
        <sz val="12"/>
        <rFont val="Times New Roman"/>
        <family val="1"/>
      </rPr>
      <t>Period of time for AB Voting.</t>
    </r>
    <r>
      <rPr>
        <b/>
        <sz val="12"/>
        <rFont val="Times New Roman"/>
        <family val="1"/>
      </rPr>
      <t xml:space="preserve"> </t>
    </r>
    <r>
      <rPr>
        <sz val="12"/>
        <rFont val="Times New Roman"/>
        <family val="1"/>
      </rPr>
      <t xml:space="preserve">Absentee ballots ready for use – at least 30 days before election.  </t>
    </r>
    <r>
      <rPr>
        <i/>
        <sz val="12"/>
        <rFont val="Times New Roman"/>
        <family val="1"/>
      </rPr>
      <t>Minn. Stat. §204B.35</t>
    </r>
  </si>
  <si>
    <r>
      <t>Towns with March Elections:</t>
    </r>
    <r>
      <rPr>
        <sz val="12"/>
        <rFont val="Times New Roman"/>
        <family val="1"/>
      </rPr>
      <t xml:space="preserve"> Period of time to do public accuracy test of voting equipment – within 14 days of election.  Publish notice at least two days before test.  </t>
    </r>
    <r>
      <rPr>
        <i/>
        <sz val="12"/>
        <rFont val="Times New Roman"/>
        <family val="1"/>
      </rPr>
      <t>Minn. Stat. §206.83</t>
    </r>
  </si>
  <si>
    <r>
      <t xml:space="preserve">Towns with March Elections: </t>
    </r>
    <r>
      <rPr>
        <sz val="12"/>
        <rFont val="Times New Roman"/>
        <family val="1"/>
      </rPr>
      <t xml:space="preserve">Last day to secure election materials from auditor – four days before election.  </t>
    </r>
    <r>
      <rPr>
        <i/>
        <sz val="12"/>
        <rFont val="Times New Roman"/>
        <family val="1"/>
      </rPr>
      <t>Minn. Stat. §204B.28, subd. 2</t>
    </r>
  </si>
  <si>
    <r>
      <t xml:space="preserve">Towns with March Elections:  </t>
    </r>
    <r>
      <rPr>
        <sz val="12"/>
        <rFont val="Times New Roman"/>
        <family val="1"/>
      </rPr>
      <t xml:space="preserve">Last day to do public accuracy test of voting equipment - within 14 days of election. Publish notice at least two days before test.  </t>
    </r>
    <r>
      <rPr>
        <i/>
        <sz val="12"/>
        <rFont val="Times New Roman"/>
        <family val="1"/>
      </rPr>
      <t>Minn. Stat. §206.83</t>
    </r>
  </si>
  <si>
    <r>
      <t xml:space="preserve">Towns with March Elections:  </t>
    </r>
    <r>
      <rPr>
        <sz val="12"/>
        <rFont val="Times New Roman"/>
        <family val="1"/>
      </rPr>
      <t xml:space="preserve">Last day for election judges to secure election supplies from town clerk – no later than 9:00 p.m. the day before the election. </t>
    </r>
    <r>
      <rPr>
        <i/>
        <sz val="12"/>
        <rFont val="Times New Roman"/>
        <family val="1"/>
      </rPr>
      <t>Minn. Stat. §204B.29, subd. 1</t>
    </r>
  </si>
  <si>
    <r>
      <t xml:space="preserve">Towns with March Elections: </t>
    </r>
    <r>
      <rPr>
        <sz val="12"/>
        <rFont val="Times New Roman"/>
        <family val="1"/>
      </rPr>
      <t xml:space="preserve">Last day for candidates to file </t>
    </r>
    <r>
      <rPr>
        <i/>
        <sz val="12"/>
        <rFont val="Times New Roman"/>
        <family val="1"/>
      </rPr>
      <t xml:space="preserve">Campaign Financial Report Certification of Filing – </t>
    </r>
    <r>
      <rPr>
        <sz val="12"/>
        <rFont val="Times New Roman"/>
        <family val="1"/>
      </rPr>
      <t xml:space="preserve">no later than seven days after the election.  </t>
    </r>
    <r>
      <rPr>
        <i/>
        <sz val="12"/>
        <rFont val="Times New Roman"/>
        <family val="1"/>
      </rPr>
      <t>Minn. Stat. §211A.05, subd. 1</t>
    </r>
  </si>
  <si>
    <r>
      <t xml:space="preserve">Campaign Finance: </t>
    </r>
    <r>
      <rPr>
        <sz val="12"/>
        <rFont val="Times New Roman"/>
        <family val="1"/>
      </rPr>
      <t xml:space="preserve">Last day for township board to canvass election results – within two days of election.  </t>
    </r>
    <r>
      <rPr>
        <i/>
        <sz val="12"/>
        <rFont val="Times New Roman"/>
        <family val="1"/>
      </rPr>
      <t>Minn. Stat. §205.185, subd. 3</t>
    </r>
  </si>
  <si>
    <r>
      <t>Day After Thanksgiving Holiday:</t>
    </r>
    <r>
      <rPr>
        <sz val="12"/>
        <rFont val="Times New Roman"/>
        <family val="1"/>
      </rPr>
      <t xml:space="preserve"> Political subdivisions have the option of determing whether Friday after Thanksgiving day shall be a holiday. Where it is determined that day after Thanksgiving is not a holiday, public business may be conducted. </t>
    </r>
    <r>
      <rPr>
        <i/>
        <sz val="12"/>
        <rFont val="Times New Roman"/>
        <family val="1"/>
      </rPr>
      <t xml:space="preserve">Minn. Stat. §645.44, subd. 5 </t>
    </r>
  </si>
  <si>
    <r>
      <t xml:space="preserve">Cities with a Primary: </t>
    </r>
    <r>
      <rPr>
        <sz val="12"/>
        <rFont val="Times New Roman"/>
        <family val="1"/>
      </rPr>
      <t xml:space="preserve">Last day to publish notice of filing - at least two weeks before filing opens.  </t>
    </r>
    <r>
      <rPr>
        <i/>
        <sz val="12"/>
        <rFont val="Times New Roman"/>
        <family val="1"/>
      </rPr>
      <t>Minn. Stat.§205.13, subd. 2</t>
    </r>
  </si>
  <si>
    <r>
      <t xml:space="preserve">Cities with a Primary: </t>
    </r>
    <r>
      <rPr>
        <sz val="12"/>
        <rFont val="Times New Roman"/>
        <family val="1"/>
      </rPr>
      <t xml:space="preserve">Must provide instruction for voters on a new voting system that will be used for the first time, including a demonstration voting system in a public place - for six weeks immediately prior to the first election at which the voting system will be used. </t>
    </r>
    <r>
      <rPr>
        <i/>
        <sz val="12"/>
        <rFont val="Times New Roman"/>
        <family val="1"/>
      </rPr>
      <t>Minn. Stat. §206.58, subd. 1</t>
    </r>
  </si>
  <si>
    <t xml:space="preserve">This calendar lists important election dates related to the 2014 Election Cycle.  Date entries include citations to Minnesota Statutes or Minnesota Rules.  Minnesota Statutes and Rules are available at http://www.revisor.leg.state.mn.us.  In all matters, Minnesota  Election Law is the final authority, not this calendar.  Changes to Minnesota Election Law enacted by the Minnesota State Legislature in 2014 may alter dates or other information on this calendar.  For the most current version of this document please check the Secretary of State's website at www.sos.state.mn.us. </t>
  </si>
  <si>
    <t>This calendar is not intended to provide legal advice and should not be used as a substitute for legal guidance.  Readers should consult with an attorney for advice concerning specific situations.</t>
  </si>
  <si>
    <r>
      <t>*Metro Towns (200.02, subd. 24)</t>
    </r>
    <r>
      <rPr>
        <sz val="12"/>
        <rFont val="Times New Roman"/>
        <family val="1"/>
      </rPr>
      <t>:  Towns located in Anoka, Carver, Chisago, Dakota, Hennepin, Isanti, Ramsey, Scott, Sherburne, Washington, and Wright Counties.</t>
    </r>
  </si>
  <si>
    <r>
      <t>**Metropolitan area (473.121, subd. 2)</t>
    </r>
    <r>
      <rPr>
        <sz val="12"/>
        <rFont val="Times New Roman"/>
        <family val="1"/>
      </rPr>
      <t>:  The area over which the Metropolitan Council has jurisdiction, including only the counties of Anoka; Carver; Dakota excluding the city of Northfield; Hennepin excluding the cities of Hanover and Rockford; Ramsey; Scott excluding the city of New Prague; and Washington.</t>
    </r>
  </si>
  <si>
    <t>Enter First Thursday in December (Truth in Taxation)</t>
  </si>
  <si>
    <r>
      <t xml:space="preserve">Counties: </t>
    </r>
    <r>
      <rPr>
        <sz val="12"/>
        <rFont val="Times New Roman"/>
        <family val="1"/>
      </rPr>
      <t xml:space="preserve">Deadline for 2013 HAVA Grant Progress Reports on HAVA grant funds used for both the 2005 HAVA grants and 2010 HAVA equipment grants.  Unless all funds have been disbursed and reported on in a previous year.  These reports cover the period of 10/1/2012 to 9/30/2013. </t>
    </r>
    <r>
      <rPr>
        <i/>
        <sz val="12"/>
        <rFont val="Times New Roman"/>
        <family val="1"/>
      </rPr>
      <t>42 U.S.C. 15421</t>
    </r>
  </si>
  <si>
    <r>
      <t xml:space="preserve">Secretary of State: </t>
    </r>
    <r>
      <rPr>
        <sz val="12"/>
        <rFont val="Times New Roman"/>
        <family val="1"/>
      </rPr>
      <t xml:space="preserve">Deadline for 2013 HAVA Grant Progress Reports on HAVA grant funds used for both the 2005 HAVA grants and 2010 HAVA equipment grants.  Unless all funds have been disbursed and reported on in a previous year.  These reports cover the period of 10/1/2012 to 9/30/2013. </t>
    </r>
    <r>
      <rPr>
        <i/>
        <sz val="12"/>
        <rFont val="Times New Roman"/>
        <family val="1"/>
      </rPr>
      <t>42 U.S.C. 15421</t>
    </r>
  </si>
  <si>
    <r>
      <t xml:space="preserve">Cities with a Primary:  </t>
    </r>
    <r>
      <rPr>
        <sz val="12"/>
        <rFont val="Times New Roman"/>
        <family val="1"/>
      </rPr>
      <t xml:space="preserve">Application deadline for cities, townships, and counties applying for 2013-2014 EAID Grant. </t>
    </r>
    <r>
      <rPr>
        <i/>
        <sz val="12"/>
        <rFont val="Times New Roman"/>
        <family val="1"/>
      </rPr>
      <t>42 U.S.C. 15421</t>
    </r>
  </si>
  <si>
    <r>
      <t xml:space="preserve">Counties: </t>
    </r>
    <r>
      <rPr>
        <sz val="12"/>
        <rFont val="Times New Roman"/>
        <family val="1"/>
      </rPr>
      <t xml:space="preserve">Last day to designate location for March township elections absentee voting - 14 weeks before election.  </t>
    </r>
    <r>
      <rPr>
        <i/>
        <sz val="12"/>
        <rFont val="Times New Roman"/>
        <family val="1"/>
      </rPr>
      <t>Minn. Stat. §203B.081</t>
    </r>
  </si>
  <si>
    <r>
      <t xml:space="preserve">Towns with March Elections: </t>
    </r>
    <r>
      <rPr>
        <sz val="12"/>
        <rFont val="Times New Roman"/>
        <family val="1"/>
      </rPr>
      <t xml:space="preserve">Last day to designate location for March township elections absentee voting - 14 weeks before election.  </t>
    </r>
    <r>
      <rPr>
        <i/>
        <sz val="12"/>
        <rFont val="Times New Roman"/>
        <family val="1"/>
      </rPr>
      <t>Minn. Stat. §203B.081</t>
    </r>
  </si>
  <si>
    <r>
      <t xml:space="preserve">Counties: </t>
    </r>
    <r>
      <rPr>
        <sz val="12"/>
        <rFont val="Times New Roman"/>
        <family val="1"/>
      </rPr>
      <t xml:space="preserve">Last day to change polling place prior to March township elections - not less than 90 days prior to election.  </t>
    </r>
    <r>
      <rPr>
        <i/>
        <sz val="12"/>
        <rFont val="Times New Roman"/>
        <family val="1"/>
      </rPr>
      <t xml:space="preserve">Minn. Stat. §204B.16, subd. 3 </t>
    </r>
  </si>
  <si>
    <r>
      <t xml:space="preserve">Towns with March Elections: </t>
    </r>
    <r>
      <rPr>
        <sz val="12"/>
        <rFont val="Times New Roman"/>
        <family val="1"/>
      </rPr>
      <t xml:space="preserve">Last day to change polling place prior to March township elections - not less than 90 days prior to election.  </t>
    </r>
    <r>
      <rPr>
        <i/>
        <sz val="12"/>
        <rFont val="Times New Roman"/>
        <family val="1"/>
      </rPr>
      <t xml:space="preserve">Minn. Stat. §204B.16, subd. 3 </t>
    </r>
  </si>
  <si>
    <r>
      <t xml:space="preserve">Counties: </t>
    </r>
    <r>
      <rPr>
        <sz val="12"/>
        <rFont val="Times New Roman"/>
        <family val="1"/>
      </rPr>
      <t xml:space="preserve">Suggested Administrative Procedure: Please record the following amounts relating to HAVA funds: 1) The amount spent to purchase election equipment; 2) The amount spent for operating costs; 3) The balance left from assistive voting machine grants; 4) The balance left from optical scan central count and precinct count machine grants; 5) Interest earned from: a) Assistive voting machine grants; and b) optical scan central count and precinct count machines grant; and 6) Balances left from interest earned.  </t>
    </r>
    <r>
      <rPr>
        <i/>
        <sz val="12"/>
        <rFont val="Times New Roman"/>
        <family val="1"/>
      </rPr>
      <t>42 U.S.C. 15421</t>
    </r>
  </si>
  <si>
    <r>
      <t>Christmas Day Holiday.</t>
    </r>
    <r>
      <rPr>
        <sz val="12"/>
        <rFont val="Times New Roman"/>
        <family val="1"/>
      </rPr>
      <t xml:space="preserve">  No public business shall be transacted, except in cases of necessity.  </t>
    </r>
    <r>
      <rPr>
        <i/>
        <sz val="12"/>
        <rFont val="Times New Roman"/>
        <family val="1"/>
      </rPr>
      <t>Minn. Stat. §645.44, subd.5</t>
    </r>
  </si>
  <si>
    <r>
      <t xml:space="preserve">Secretary of State: </t>
    </r>
    <r>
      <rPr>
        <sz val="12"/>
        <rFont val="Times New Roman"/>
        <family val="1"/>
      </rPr>
      <t xml:space="preserve">Deadline for Secretary of State to file HAVA grant and EAID grant reports with the EAC for federal fiscal year ending September 30, 2013.  </t>
    </r>
    <r>
      <rPr>
        <i/>
        <sz val="12"/>
        <rFont val="Times New Roman"/>
        <family val="1"/>
      </rPr>
      <t>42.U.S.C. 15421</t>
    </r>
  </si>
  <si>
    <t>Enter Date of Previous November General Election</t>
  </si>
  <si>
    <t>412.02, subd. 2; 367.03, subd. 4; 123B.09, subd. 1</t>
  </si>
  <si>
    <t>123B.09, subd. 1</t>
  </si>
  <si>
    <r>
      <t>Secretary of State:</t>
    </r>
    <r>
      <rPr>
        <sz val="12"/>
        <rFont val="Times New Roman"/>
        <family val="1"/>
      </rPr>
      <t xml:space="preserve"> Candidate filing closes for March township elections - 56 days before the election.  The municipal clerk's office must be open for filing from 1:00 p.m. to 5:00 p.m. on the last day of the filing period. </t>
    </r>
    <r>
      <rPr>
        <i/>
        <sz val="12"/>
        <rFont val="Times New Roman"/>
        <family val="1"/>
      </rPr>
      <t>Minn. Stat.</t>
    </r>
    <r>
      <rPr>
        <sz val="12"/>
        <rFont val="Times New Roman"/>
        <family val="1"/>
      </rPr>
      <t>§</t>
    </r>
    <r>
      <rPr>
        <i/>
        <sz val="12"/>
        <rFont val="Times New Roman"/>
        <family val="1"/>
      </rPr>
      <t>205.13, subd. 1a</t>
    </r>
  </si>
  <si>
    <r>
      <t>Counties:</t>
    </r>
    <r>
      <rPr>
        <sz val="12"/>
        <rFont val="Times New Roman"/>
        <family val="1"/>
      </rPr>
      <t xml:space="preserve"> Candidate filing closes for March township elections - 56 days before the election.  The municipal clerk's office must be open for filing from 1:00 p.m. to 5:00 p.m. on the last day of the filing period. </t>
    </r>
    <r>
      <rPr>
        <i/>
        <sz val="12"/>
        <rFont val="Times New Roman"/>
        <family val="1"/>
      </rPr>
      <t>Minn. Stat.</t>
    </r>
    <r>
      <rPr>
        <sz val="12"/>
        <rFont val="Times New Roman"/>
        <family val="1"/>
      </rPr>
      <t>§</t>
    </r>
    <r>
      <rPr>
        <i/>
        <sz val="12"/>
        <rFont val="Times New Roman"/>
        <family val="1"/>
      </rPr>
      <t>205.13, subd. 1a</t>
    </r>
  </si>
  <si>
    <r>
      <t>Towns with March Elections:</t>
    </r>
    <r>
      <rPr>
        <sz val="12"/>
        <rFont val="Times New Roman"/>
        <family val="1"/>
      </rPr>
      <t xml:space="preserve"> Candidate filing closes for March township elections - 56 days before the election.  The municipal clerk's office must be open for filing from 1:00 p.m. to 5:00 p.m. on the last day of the filing period. </t>
    </r>
    <r>
      <rPr>
        <i/>
        <sz val="12"/>
        <rFont val="Times New Roman"/>
        <family val="1"/>
      </rPr>
      <t>Minn. Stat.</t>
    </r>
    <r>
      <rPr>
        <sz val="12"/>
        <rFont val="Times New Roman"/>
        <family val="1"/>
      </rPr>
      <t>§</t>
    </r>
    <r>
      <rPr>
        <i/>
        <sz val="12"/>
        <rFont val="Times New Roman"/>
        <family val="1"/>
      </rPr>
      <t>205.13, subd. 1a</t>
    </r>
  </si>
  <si>
    <r>
      <t>Campaign Finance:</t>
    </r>
    <r>
      <rPr>
        <sz val="12"/>
        <rFont val="Times New Roman"/>
        <family val="1"/>
      </rPr>
      <t xml:space="preserve"> Candidate filing closes for March township elections - 56 days before the election.  The municipal clerk's office must be open for filing from 1:00 p.m. to 5:00 p.m. on the last day of the filing period. </t>
    </r>
    <r>
      <rPr>
        <i/>
        <sz val="12"/>
        <rFont val="Times New Roman"/>
        <family val="1"/>
      </rPr>
      <t>Minn. Stat.</t>
    </r>
    <r>
      <rPr>
        <sz val="12"/>
        <rFont val="Times New Roman"/>
        <family val="1"/>
      </rPr>
      <t>§</t>
    </r>
    <r>
      <rPr>
        <i/>
        <sz val="12"/>
        <rFont val="Times New Roman"/>
        <family val="1"/>
      </rPr>
      <t>205.13, subd. 1a</t>
    </r>
  </si>
  <si>
    <r>
      <t xml:space="preserve">Towns with March Elections: </t>
    </r>
    <r>
      <rPr>
        <sz val="12"/>
        <rFont val="Times New Roman"/>
        <family val="1"/>
      </rPr>
      <t xml:space="preserve">Provide for instruction of voters with a demonstration voting system in a public place for the 6 weeks immediately prior to the 1st election at which the new voting system will be used. </t>
    </r>
    <r>
      <rPr>
        <i/>
        <sz val="12"/>
        <rFont val="Times New Roman"/>
        <family val="1"/>
      </rPr>
      <t>Minn. Stat. 206.58, subd. 1</t>
    </r>
  </si>
  <si>
    <r>
      <t xml:space="preserve">Counties:  </t>
    </r>
    <r>
      <rPr>
        <sz val="12"/>
        <rFont val="Times New Roman"/>
        <family val="1"/>
      </rPr>
      <t xml:space="preserve">Last day for townships with March election to revoke mail election precinct prior to election - no later than 90 days before the next affected election.  </t>
    </r>
    <r>
      <rPr>
        <i/>
        <sz val="12"/>
        <rFont val="Times New Roman"/>
        <family val="1"/>
      </rPr>
      <t>Minn. Rule 8210.3000, subp. 2</t>
    </r>
  </si>
  <si>
    <r>
      <t xml:space="preserve">Counties:  </t>
    </r>
    <r>
      <rPr>
        <sz val="12"/>
        <rFont val="Times New Roman"/>
        <family val="1"/>
      </rPr>
      <t xml:space="preserve">The municipal governing body, school board, or county board may authorize mail balloting by resolution - no later than 90 days prior to the first election at which mail balloting will be used.  </t>
    </r>
    <r>
      <rPr>
        <i/>
        <sz val="12"/>
        <rFont val="Times New Roman"/>
        <family val="1"/>
      </rPr>
      <t>Minn. Rule 8210.3000, subp. 2</t>
    </r>
  </si>
  <si>
    <r>
      <t xml:space="preserve">Secretary of State:  </t>
    </r>
    <r>
      <rPr>
        <sz val="12"/>
        <rFont val="Times New Roman"/>
        <family val="1"/>
      </rPr>
      <t xml:space="preserve">The municipal governing body, school board, or county board may authorize mail balloting by resolution - no later than 90 days prior to the first election at which mail balloting will be used.  </t>
    </r>
    <r>
      <rPr>
        <i/>
        <sz val="12"/>
        <rFont val="Times New Roman"/>
        <family val="1"/>
      </rPr>
      <t>Minn. Rule 8210.3000, subp. 2</t>
    </r>
  </si>
  <si>
    <r>
      <t xml:space="preserve">Towns with March Elections:  </t>
    </r>
    <r>
      <rPr>
        <sz val="12"/>
        <rFont val="Times New Roman"/>
        <family val="1"/>
      </rPr>
      <t xml:space="preserve">The municipal governing body, school board, or county board may authorize mail balloting by resolution - no later than 90 days prior to the first election at which mail balloting will be used.  </t>
    </r>
    <r>
      <rPr>
        <i/>
        <sz val="12"/>
        <rFont val="Times New Roman"/>
        <family val="1"/>
      </rPr>
      <t>Minn. Rule 8210.3000, subp. 2</t>
    </r>
  </si>
  <si>
    <r>
      <t xml:space="preserve">Secretary of State:  </t>
    </r>
    <r>
      <rPr>
        <sz val="12"/>
        <rFont val="Times New Roman"/>
        <family val="1"/>
      </rPr>
      <t xml:space="preserve">Last day for townships with March election to revoke mail election precinct prior to election - no later than 90 days before the next affected election.  </t>
    </r>
    <r>
      <rPr>
        <i/>
        <sz val="12"/>
        <rFont val="Times New Roman"/>
        <family val="1"/>
      </rPr>
      <t>Minn. Rule 8210.3000, subp. 2</t>
    </r>
  </si>
  <si>
    <r>
      <t xml:space="preserve">Towns with March Elections:  </t>
    </r>
    <r>
      <rPr>
        <sz val="12"/>
        <rFont val="Times New Roman"/>
        <family val="1"/>
      </rPr>
      <t xml:space="preserve">Last day for townships with March election to revoke mail election precinct prior to election - no later than 90 days before the next affected election.  </t>
    </r>
    <r>
      <rPr>
        <i/>
        <sz val="12"/>
        <rFont val="Times New Roman"/>
        <family val="1"/>
      </rPr>
      <t>Minn. Rule 8210.3000, subp. 2</t>
    </r>
  </si>
  <si>
    <r>
      <t>Towns with March Elections:</t>
    </r>
    <r>
      <rPr>
        <sz val="12"/>
        <rFont val="Times New Roman"/>
        <family val="1"/>
      </rPr>
      <t xml:space="preserve">  Last day to send an absentee ballot application to each person on the list of voters who have applied to automatically receive an absentee ballot application – at least 45 days before the election. </t>
    </r>
    <r>
      <rPr>
        <i/>
        <sz val="12"/>
        <rFont val="Times New Roman"/>
        <family val="1"/>
      </rPr>
      <t>Minn. Rule 8210.0200, subp. 4</t>
    </r>
  </si>
  <si>
    <t>8210.0200, subp. 4</t>
  </si>
  <si>
    <r>
      <t>Counties:</t>
    </r>
    <r>
      <rPr>
        <sz val="12"/>
        <rFont val="Times New Roman"/>
        <family val="1"/>
      </rPr>
      <t xml:space="preserve">  Last day to send an absentee ballot application to each person on the list of voters who have applied to automatically receive an absentee ballot application – at least 45 days before the election. </t>
    </r>
    <r>
      <rPr>
        <i/>
        <sz val="12"/>
        <rFont val="Times New Roman"/>
        <family val="1"/>
      </rPr>
      <t>Minn. Rule 8210.0200, subp. 4</t>
    </r>
  </si>
  <si>
    <r>
      <t xml:space="preserve">Secretary of State:  </t>
    </r>
    <r>
      <rPr>
        <sz val="12"/>
        <rFont val="Times New Roman"/>
        <family val="1"/>
      </rPr>
      <t xml:space="preserve">Last day to post notice of mail ballot procedures - 6 weeks before the election.  </t>
    </r>
    <r>
      <rPr>
        <i/>
        <sz val="12"/>
        <rFont val="Times New Roman"/>
        <family val="1"/>
      </rPr>
      <t>Minn. Rules 8210.3000, subp. 3</t>
    </r>
  </si>
  <si>
    <r>
      <t xml:space="preserve">Counties:  </t>
    </r>
    <r>
      <rPr>
        <sz val="12"/>
        <rFont val="Times New Roman"/>
        <family val="1"/>
      </rPr>
      <t xml:space="preserve">Last day to post notice of mail ballot procedures - 6 weeks before the election.  </t>
    </r>
    <r>
      <rPr>
        <i/>
        <sz val="12"/>
        <rFont val="Times New Roman"/>
        <family val="1"/>
      </rPr>
      <t>Minn. Rules 8210.3000, subp. 3</t>
    </r>
  </si>
  <si>
    <r>
      <t xml:space="preserve">Towns with March Elections:  </t>
    </r>
    <r>
      <rPr>
        <sz val="12"/>
        <rFont val="Times New Roman"/>
        <family val="1"/>
      </rPr>
      <t xml:space="preserve">Last day to post notice of mail ballot procedures - 6 weeks before the election.  </t>
    </r>
    <r>
      <rPr>
        <i/>
        <sz val="12"/>
        <rFont val="Times New Roman"/>
        <family val="1"/>
      </rPr>
      <t>Minn. Rules 8210.3000, subp. 3</t>
    </r>
  </si>
  <si>
    <r>
      <t xml:space="preserve">Counties: </t>
    </r>
    <r>
      <rPr>
        <sz val="12"/>
        <rFont val="Times New Roman"/>
        <family val="1"/>
      </rPr>
      <t xml:space="preserve">Provide for instruction of voters with a demonstration voting system in a public place for the 6 weeks immediately prior to the 1st election at which the new voting system will be used. </t>
    </r>
    <r>
      <rPr>
        <i/>
        <sz val="12"/>
        <rFont val="Times New Roman"/>
        <family val="1"/>
      </rPr>
      <t>Minn. Stat. 206.58, subd. 1</t>
    </r>
  </si>
  <si>
    <r>
      <t xml:space="preserve">Towns with March Elections: </t>
    </r>
    <r>
      <rPr>
        <sz val="12"/>
        <rFont val="Times New Roman"/>
        <family val="1"/>
      </rPr>
      <t xml:space="preserve"> Last day for County or Legislative District Chair to provide published notice of the holding of the precinct caucus stating the place, date, and time for holding the caucus - at least 6 days published notice.  </t>
    </r>
    <r>
      <rPr>
        <i/>
        <sz val="12"/>
        <rFont val="Times New Roman"/>
        <family val="1"/>
      </rPr>
      <t xml:space="preserve">Minn. Stat. §202A.14, subd. 3 </t>
    </r>
  </si>
  <si>
    <r>
      <t xml:space="preserve">Cities without a Primary: </t>
    </r>
    <r>
      <rPr>
        <sz val="12"/>
        <rFont val="Times New Roman"/>
        <family val="1"/>
      </rPr>
      <t xml:space="preserve">Last day for Cities awarded EAID grants to sign and return contract to Secretary of State's Office.  </t>
    </r>
    <r>
      <rPr>
        <i/>
        <sz val="12"/>
        <rFont val="Times New Roman"/>
        <family val="1"/>
      </rPr>
      <t>42 U.S.C. 15421 et seq. (HAVA)</t>
    </r>
  </si>
  <si>
    <r>
      <t xml:space="preserve">Cities with a Primary: </t>
    </r>
    <r>
      <rPr>
        <sz val="12"/>
        <rFont val="Times New Roman"/>
        <family val="1"/>
      </rPr>
      <t xml:space="preserve">Last day for Cities awarded EAID grants to sign and return contract to Secretary of State's Office.  </t>
    </r>
    <r>
      <rPr>
        <i/>
        <sz val="12"/>
        <rFont val="Times New Roman"/>
        <family val="1"/>
      </rPr>
      <t>42 U.S.C. 15421 et seq. (HAVA)</t>
    </r>
  </si>
  <si>
    <r>
      <t xml:space="preserve">Towns with March Elections: </t>
    </r>
    <r>
      <rPr>
        <sz val="12"/>
        <rFont val="Times New Roman"/>
        <family val="1"/>
      </rPr>
      <t xml:space="preserve">Last day for Towns awarded EAID grants to sign and return contract to Secretary of State's Office. </t>
    </r>
    <r>
      <rPr>
        <i/>
        <sz val="12"/>
        <rFont val="Times New Roman"/>
        <family val="1"/>
      </rPr>
      <t xml:space="preserve"> 42 U.S.C. 15421 et seq. (HAVA)</t>
    </r>
  </si>
  <si>
    <r>
      <t>Towns with March Elections:</t>
    </r>
    <r>
      <rPr>
        <sz val="12"/>
        <rFont val="Times New Roman"/>
        <family val="1"/>
      </rPr>
      <t xml:space="preserve"> Annual Campaign Finance Reports due - January 31 of each year. </t>
    </r>
    <r>
      <rPr>
        <i/>
        <sz val="12"/>
        <rFont val="Times New Roman"/>
        <family val="1"/>
      </rPr>
      <t xml:space="preserve"> Minn. Stat. §211A.02, subd. 1</t>
    </r>
  </si>
  <si>
    <r>
      <t xml:space="preserve">PRECINCT CAUCUS: Cities with a Primary: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</si>
  <si>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Secretary of State: </t>
    </r>
    <r>
      <rPr>
        <sz val="12"/>
        <rFont val="Times New Roman"/>
        <family val="1"/>
      </rPr>
      <t>Legislative Session Begins</t>
    </r>
  </si>
  <si>
    <r>
      <t xml:space="preserve">Counties: </t>
    </r>
    <r>
      <rPr>
        <sz val="12"/>
        <rFont val="Times New Roman"/>
        <family val="1"/>
      </rPr>
      <t>An updated master list for each precinct must be available for absentee voting - 32 days before each election.</t>
    </r>
    <r>
      <rPr>
        <i/>
        <sz val="12"/>
        <rFont val="Times New Roman"/>
        <family val="1"/>
      </rPr>
      <t xml:space="preserve">  </t>
    </r>
    <r>
      <rPr>
        <sz val="12"/>
        <rFont val="Times New Roman"/>
        <family val="1"/>
      </rPr>
      <t>(Absentee voting for a town general election held in March may begin 30 days before that election - as opposed to 46 days for all other elections)</t>
    </r>
    <r>
      <rPr>
        <i/>
        <sz val="12"/>
        <rFont val="Times New Roman"/>
        <family val="1"/>
      </rPr>
      <t xml:space="preserve"> Minn. Stat. §201.091, subd. 2 </t>
    </r>
  </si>
  <si>
    <r>
      <t xml:space="preserve">Towns with March Elections: </t>
    </r>
    <r>
      <rPr>
        <sz val="12"/>
        <rFont val="Times New Roman"/>
        <family val="1"/>
      </rPr>
      <t>An updated master list for each precinct must be available for absentee voting - 32 days before each election.</t>
    </r>
    <r>
      <rPr>
        <i/>
        <sz val="12"/>
        <rFont val="Times New Roman"/>
        <family val="1"/>
      </rPr>
      <t xml:space="preserve">  </t>
    </r>
    <r>
      <rPr>
        <sz val="12"/>
        <rFont val="Times New Roman"/>
        <family val="1"/>
      </rPr>
      <t>(Absentee voting for a town general election held in March may begin 30 days before that election - as opposed to 46 days for all other elections)</t>
    </r>
    <r>
      <rPr>
        <i/>
        <sz val="12"/>
        <rFont val="Times New Roman"/>
        <family val="1"/>
      </rPr>
      <t xml:space="preserve"> Minn. Stat. §201.091, subd. 2 </t>
    </r>
  </si>
  <si>
    <r>
      <t xml:space="preserve">Secretary of State: </t>
    </r>
    <r>
      <rPr>
        <sz val="12"/>
        <rFont val="Times New Roman"/>
        <family val="1"/>
      </rPr>
      <t>An updated master list for each precinct must be available for absentee voting - 32 days before each election.</t>
    </r>
    <r>
      <rPr>
        <i/>
        <sz val="12"/>
        <rFont val="Times New Roman"/>
        <family val="1"/>
      </rPr>
      <t xml:space="preserve">  </t>
    </r>
    <r>
      <rPr>
        <sz val="12"/>
        <rFont val="Times New Roman"/>
        <family val="1"/>
      </rPr>
      <t>(Absentee voting for a town general election held in March may begin 30 days before that election - as opposed to 46 days for all other elections)</t>
    </r>
    <r>
      <rPr>
        <i/>
        <sz val="12"/>
        <rFont val="Times New Roman"/>
        <family val="1"/>
      </rPr>
      <t xml:space="preserve"> Minn. Stat. §201.091, subd. 2 </t>
    </r>
  </si>
  <si>
    <t>8210.2200, subp. 3</t>
  </si>
  <si>
    <r>
      <t xml:space="preserve">Counties: </t>
    </r>
    <r>
      <rPr>
        <sz val="12"/>
        <rFont val="Times New Roman"/>
        <family val="1"/>
      </rPr>
      <t xml:space="preserve">Last day to appoint election judges for March Township Elections – at least 25 days before election.  </t>
    </r>
    <r>
      <rPr>
        <i/>
        <sz val="12"/>
        <rFont val="Times New Roman"/>
        <family val="1"/>
      </rPr>
      <t>Minn. Stat. §204B.21, subd. 2</t>
    </r>
  </si>
  <si>
    <r>
      <t>Counties:</t>
    </r>
    <r>
      <rPr>
        <sz val="12"/>
        <rFont val="Times New Roman"/>
        <family val="1"/>
      </rPr>
      <t xml:space="preserve">  Last day to notify affected voters of a polling place change – at least 25 days before election.  </t>
    </r>
    <r>
      <rPr>
        <i/>
        <sz val="12"/>
        <rFont val="Times New Roman"/>
        <family val="1"/>
      </rPr>
      <t>Minn. Stat. §204B.16, subd. 1a</t>
    </r>
  </si>
  <si>
    <r>
      <t xml:space="preserve">Secretary of State: </t>
    </r>
    <r>
      <rPr>
        <sz val="12"/>
        <rFont val="Times New Roman"/>
        <family val="1"/>
      </rPr>
      <t xml:space="preserve">Secretary of State shall prepare the master list for each county auditor - by February 15 of each year (the 15th is a Saturday in 2014).  </t>
    </r>
    <r>
      <rPr>
        <i/>
        <sz val="12"/>
        <rFont val="Times New Roman"/>
        <family val="1"/>
      </rPr>
      <t>Minn. Stat. §201.091, subd. 2</t>
    </r>
  </si>
  <si>
    <r>
      <t xml:space="preserve">Counties: </t>
    </r>
    <r>
      <rPr>
        <sz val="12"/>
        <rFont val="Times New Roman"/>
        <family val="1"/>
      </rPr>
      <t xml:space="preserve">Secretary of State shall prepare the master list for each county auditor - by February 15 of each year (the 15th is a Saturday in 2014).  </t>
    </r>
    <r>
      <rPr>
        <i/>
        <sz val="12"/>
        <rFont val="Times New Roman"/>
        <family val="1"/>
      </rPr>
      <t>Minn. Stat. §201.091, subd. 2</t>
    </r>
  </si>
  <si>
    <r>
      <t xml:space="preserve">Hospital Districts:  </t>
    </r>
    <r>
      <rPr>
        <sz val="12"/>
        <rFont val="Times New Roman"/>
        <family val="1"/>
      </rPr>
      <t xml:space="preserve">A special election may not be conducted either during the 56 days before or the 56 days after a regularly scheduled primary or general election [March township elections] conducted wholly or partially within the hospital district. </t>
    </r>
    <r>
      <rPr>
        <i/>
        <sz val="12"/>
        <rFont val="Times New Roman"/>
        <family val="1"/>
      </rPr>
      <t>Minn. Stat. §447.32, subd. 2</t>
    </r>
  </si>
  <si>
    <r>
      <t>School Districts with a Primary:</t>
    </r>
    <r>
      <rPr>
        <sz val="12"/>
        <rFont val="Times New Roman"/>
        <family val="1"/>
      </rPr>
      <t xml:space="preserve"> A special election may not be held during the 56 days before and the 56 days after a regularly scheduled primary or general election [March township elections] conducted wholly or partially within the school district.</t>
    </r>
    <r>
      <rPr>
        <i/>
        <sz val="12"/>
        <rFont val="Times New Roman"/>
        <family val="1"/>
      </rPr>
      <t xml:space="preserve"> Minn. Stat. §205A.05, subd. 1</t>
    </r>
  </si>
  <si>
    <r>
      <t>School Districts without a Primary:</t>
    </r>
    <r>
      <rPr>
        <sz val="12"/>
        <rFont val="Times New Roman"/>
        <family val="1"/>
      </rPr>
      <t xml:space="preserve"> A special election may not be held during the 56 days before and the 56 days after a regularly scheduled primary or general election [March township elections] conducted wholly or partially within the school district.</t>
    </r>
    <r>
      <rPr>
        <i/>
        <sz val="12"/>
        <rFont val="Times New Roman"/>
        <family val="1"/>
      </rPr>
      <t xml:space="preserve"> Minn. Stat. §205A.05, subd. 1</t>
    </r>
  </si>
  <si>
    <r>
      <t xml:space="preserve">Counties: </t>
    </r>
    <r>
      <rPr>
        <sz val="12"/>
        <rFont val="Times New Roman"/>
        <family val="1"/>
      </rPr>
      <t xml:space="preserve">Mail incomplete or deficient registration letters to those with March elections who did not meet the pre-registration deadline.  </t>
    </r>
    <r>
      <rPr>
        <i/>
        <sz val="12"/>
        <rFont val="Times New Roman"/>
        <family val="1"/>
      </rPr>
      <t>Minn. Rule 8200.3100</t>
    </r>
  </si>
  <si>
    <t>201.061, subd. 3(4)(b)</t>
  </si>
  <si>
    <r>
      <t>Counties:</t>
    </r>
    <r>
      <rPr>
        <sz val="12"/>
        <rFont val="Times New Roman"/>
        <family val="1"/>
      </rPr>
      <t xml:space="preserve"> Period of time to do public accuracy test of voting equipment – within 14 days of election.  Publish notice at least two days before test.  </t>
    </r>
    <r>
      <rPr>
        <i/>
        <sz val="12"/>
        <rFont val="Times New Roman"/>
        <family val="1"/>
      </rPr>
      <t>Minn. Stat. §206.83</t>
    </r>
  </si>
  <si>
    <r>
      <t>Secretary of State:</t>
    </r>
    <r>
      <rPr>
        <sz val="12"/>
        <rFont val="Times New Roman"/>
        <family val="1"/>
      </rPr>
      <t xml:space="preserve"> Period of time to do public accuracy test of voting equipment – within 14 days of election.  Publish notice at least two days before test.  </t>
    </r>
    <r>
      <rPr>
        <i/>
        <sz val="12"/>
        <rFont val="Times New Roman"/>
        <family val="1"/>
      </rPr>
      <t>Minn. Stat. §206.83</t>
    </r>
  </si>
  <si>
    <t>205.16, subd. 1; 365.51, subd.2; 205.105; 205A.055; 373.50</t>
  </si>
  <si>
    <r>
      <t xml:space="preserve">Secretary of State: </t>
    </r>
    <r>
      <rPr>
        <sz val="12"/>
        <rFont val="Times New Roman"/>
        <family val="1"/>
      </rPr>
      <t xml:space="preserve">Final corrected master list available for Township Elections – 7 days before Election. </t>
    </r>
    <r>
      <rPr>
        <i/>
        <sz val="12"/>
        <rFont val="Times New Roman"/>
        <family val="1"/>
      </rPr>
      <t xml:space="preserve"> Minn. Stat. §201.091, subd. 2</t>
    </r>
  </si>
  <si>
    <r>
      <t xml:space="preserve">Towns with March Elections: </t>
    </r>
    <r>
      <rPr>
        <sz val="12"/>
        <rFont val="Times New Roman"/>
        <family val="1"/>
      </rPr>
      <t xml:space="preserve">Final corrected master list available for Township elections - 7 days before election.  </t>
    </r>
    <r>
      <rPr>
        <i/>
        <sz val="12"/>
        <rFont val="Times New Roman"/>
        <family val="1"/>
      </rPr>
      <t xml:space="preserve">Minn. Stat. §201.091, subd. 2 </t>
    </r>
  </si>
  <si>
    <r>
      <t xml:space="preserve">Counties: </t>
    </r>
    <r>
      <rPr>
        <sz val="12"/>
        <rFont val="Times New Roman"/>
        <family val="1"/>
      </rPr>
      <t xml:space="preserve">Last day to secure election materials from auditor – four days before election.  </t>
    </r>
    <r>
      <rPr>
        <i/>
        <sz val="12"/>
        <rFont val="Times New Roman"/>
        <family val="1"/>
      </rPr>
      <t>Minn. Stat. §204B.28, subd. 2</t>
    </r>
  </si>
  <si>
    <r>
      <t xml:space="preserve">Secretary of State: </t>
    </r>
    <r>
      <rPr>
        <sz val="12"/>
        <rFont val="Times New Roman"/>
        <family val="1"/>
      </rPr>
      <t xml:space="preserve">Clerk’s office open 10:00 a.m. to Noon for absentee voting.  If County Auditor administers the absentee voting, the County Auditor's Office must remain open from 10:00 a.m. to 3:00 p.m. for acceptance of absentee ballots – Saturday before election. </t>
    </r>
    <r>
      <rPr>
        <i/>
        <sz val="12"/>
        <rFont val="Times New Roman"/>
        <family val="1"/>
      </rPr>
      <t>Minn. Stat. §203B.085</t>
    </r>
  </si>
  <si>
    <r>
      <t xml:space="preserve">Counties:  </t>
    </r>
    <r>
      <rPr>
        <sz val="12"/>
        <rFont val="Times New Roman"/>
        <family val="1"/>
      </rPr>
      <t xml:space="preserve">Last day to do public accuracy test of voting equipment - within 14 days of election. Publish notice at least two days before test.  </t>
    </r>
    <r>
      <rPr>
        <i/>
        <sz val="12"/>
        <rFont val="Times New Roman"/>
        <family val="1"/>
      </rPr>
      <t>Minn. Stat. §206.83</t>
    </r>
  </si>
  <si>
    <r>
      <t>Counties:</t>
    </r>
    <r>
      <rPr>
        <sz val="12"/>
        <rFont val="Times New Roman"/>
        <family val="1"/>
      </rPr>
      <t xml:space="preserve"> Campaign finance reports due (If more than $750 raised or spent) - 10 days before the March Township election.  </t>
    </r>
    <r>
      <rPr>
        <i/>
        <sz val="12"/>
        <rFont val="Times New Roman"/>
        <family val="1"/>
      </rPr>
      <t>Minn. Stat. §211A.02, subd. 1</t>
    </r>
  </si>
  <si>
    <r>
      <t>Towns with March Elections:</t>
    </r>
    <r>
      <rPr>
        <sz val="12"/>
        <rFont val="Times New Roman"/>
        <family val="1"/>
      </rPr>
      <t xml:space="preserve"> Campaign finance reports due (If more than $750 raised or spent) - 10 days before the March Township election.  </t>
    </r>
    <r>
      <rPr>
        <i/>
        <sz val="12"/>
        <rFont val="Times New Roman"/>
        <family val="1"/>
      </rPr>
      <t>Minn. Stat. §211A.02, subd. 1</t>
    </r>
  </si>
  <si>
    <r>
      <t xml:space="preserve">TOWNSHIP ELECTION DAY: Counties: - </t>
    </r>
    <r>
      <rPr>
        <sz val="12"/>
        <rFont val="Times New Roman"/>
        <family val="1"/>
      </rPr>
      <t xml:space="preserve">2nd Tuesday in March.  </t>
    </r>
    <r>
      <rPr>
        <i/>
        <sz val="12"/>
        <rFont val="Times New Roman"/>
        <family val="1"/>
      </rPr>
      <t xml:space="preserve">Minn. Stat. §205.075, subd. 1.  </t>
    </r>
  </si>
  <si>
    <t xml:space="preserve">203B.11, subd. 4 </t>
  </si>
  <si>
    <r>
      <t xml:space="preserve">Counties: </t>
    </r>
    <r>
      <rPr>
        <sz val="12"/>
        <rFont val="Times New Roman"/>
        <family val="1"/>
      </rPr>
      <t xml:space="preserve">Begin Challenging returned PVC registrants.  </t>
    </r>
    <r>
      <rPr>
        <i/>
        <sz val="12"/>
        <rFont val="Times New Roman"/>
        <family val="1"/>
      </rPr>
      <t>Minn. Stat. §201.12, subd. 4</t>
    </r>
  </si>
  <si>
    <t>201.12, subd. 4</t>
  </si>
  <si>
    <r>
      <t xml:space="preserve">Counties: </t>
    </r>
    <r>
      <rPr>
        <sz val="12"/>
        <rFont val="Times New Roman"/>
        <family val="1"/>
      </rPr>
      <t xml:space="preserve">Last day to return township polling place rosters and completed voter registration cards to county auditor – within 48 hours after voting ends.  </t>
    </r>
    <r>
      <rPr>
        <i/>
        <sz val="12"/>
        <rFont val="Times New Roman"/>
        <family val="1"/>
      </rPr>
      <t>Minn. Stat.§204C.27</t>
    </r>
  </si>
  <si>
    <r>
      <t xml:space="preserve">Counties:  </t>
    </r>
    <r>
      <rPr>
        <sz val="12"/>
        <rFont val="Times New Roman"/>
        <family val="1"/>
      </rPr>
      <t xml:space="preserve">Bad weather alternate date for township election and annual town meeting – third Tuesday in March. </t>
    </r>
    <r>
      <rPr>
        <i/>
        <sz val="12"/>
        <rFont val="Times New Roman"/>
        <family val="1"/>
      </rPr>
      <t xml:space="preserve"> Minn. Stat. §365.51, subd. 1</t>
    </r>
  </si>
  <si>
    <r>
      <t xml:space="preserve">Secretary of State:  </t>
    </r>
    <r>
      <rPr>
        <sz val="12"/>
        <rFont val="Times New Roman"/>
        <family val="1"/>
      </rPr>
      <t xml:space="preserve">Bad weather alternate date for township election and annual town meeting – third Tuesday in March. </t>
    </r>
    <r>
      <rPr>
        <i/>
        <sz val="12"/>
        <rFont val="Times New Roman"/>
        <family val="1"/>
      </rPr>
      <t xml:space="preserve"> Minn. Stat. §365.51, subd. 1</t>
    </r>
  </si>
  <si>
    <r>
      <t>Counties:</t>
    </r>
    <r>
      <rPr>
        <sz val="12"/>
        <rFont val="Times New Roman"/>
        <family val="1"/>
      </rPr>
      <t xml:space="preserve"> Complete PVC mailing to 3% random sampling of March Township election-day registrants - within 10 days after election. Minn. Stat. </t>
    </r>
    <r>
      <rPr>
        <i/>
        <sz val="12"/>
        <rFont val="Times New Roman"/>
        <family val="1"/>
      </rPr>
      <t>§201.121,subd. 3;</t>
    </r>
    <r>
      <rPr>
        <sz val="12"/>
        <rFont val="Times New Roman"/>
        <family val="1"/>
      </rPr>
      <t xml:space="preserve"> </t>
    </r>
    <r>
      <rPr>
        <i/>
        <sz val="12"/>
        <rFont val="Times New Roman"/>
        <family val="1"/>
      </rPr>
      <t>Minn. Rules 8200.2700</t>
    </r>
  </si>
  <si>
    <t>201.121, subd. 3; 8200.2700</t>
  </si>
  <si>
    <r>
      <t>Secretary of State:</t>
    </r>
    <r>
      <rPr>
        <sz val="12"/>
        <rFont val="Times New Roman"/>
        <family val="1"/>
      </rPr>
      <t xml:space="preserve"> Complete PVC mailing to 3% random sampling of March Township election-day registrants - within 10 days after election. Minn. Stat. </t>
    </r>
    <r>
      <rPr>
        <i/>
        <sz val="12"/>
        <rFont val="Times New Roman"/>
        <family val="1"/>
      </rPr>
      <t>§201.121,subd. 3;</t>
    </r>
    <r>
      <rPr>
        <sz val="12"/>
        <rFont val="Times New Roman"/>
        <family val="1"/>
      </rPr>
      <t xml:space="preserve"> </t>
    </r>
    <r>
      <rPr>
        <i/>
        <sz val="12"/>
        <rFont val="Times New Roman"/>
        <family val="1"/>
      </rPr>
      <t>Minn. Rules 8200.2700</t>
    </r>
  </si>
  <si>
    <r>
      <t xml:space="preserve">Counties:  </t>
    </r>
    <r>
      <rPr>
        <sz val="12"/>
        <rFont val="Times New Roman"/>
        <family val="1"/>
      </rPr>
      <t xml:space="preserve">First day for state and county candidates to prepare and sign affidavits of candidacy - during the 60 day period prior to the first filing date.  </t>
    </r>
    <r>
      <rPr>
        <i/>
        <sz val="12"/>
        <rFont val="Times New Roman"/>
        <family val="1"/>
      </rPr>
      <t>Minn. Stat. §204B.09, subd. 1</t>
    </r>
  </si>
  <si>
    <r>
      <t xml:space="preserve">Hospital Districts: </t>
    </r>
    <r>
      <rPr>
        <sz val="12"/>
        <rFont val="Times New Roman"/>
        <family val="1"/>
      </rPr>
      <t xml:space="preserve">First day to conduct a hospital district special election following a township election in the district - not within 56 days after regularly scheduled municipal election within the hospital district.  </t>
    </r>
    <r>
      <rPr>
        <i/>
        <sz val="12"/>
        <rFont val="Times New Roman"/>
        <family val="1"/>
      </rPr>
      <t>Minn. Stat. §447.32, subd. 2</t>
    </r>
  </si>
  <si>
    <r>
      <t xml:space="preserve">School Districts with a Primary: </t>
    </r>
    <r>
      <rPr>
        <sz val="12"/>
        <rFont val="Times New Roman"/>
        <family val="1"/>
      </rPr>
      <t xml:space="preserve">First day to conduct a school district special election following a township election in the district - not within 56 days after regularly scheduled municipal election within the school district.  </t>
    </r>
    <r>
      <rPr>
        <i/>
        <sz val="12"/>
        <rFont val="Times New Roman"/>
        <family val="1"/>
      </rPr>
      <t>Minn. Stat. §205A.05, subd. 1</t>
    </r>
  </si>
  <si>
    <r>
      <t xml:space="preserve">School Districts without a Primary: </t>
    </r>
    <r>
      <rPr>
        <sz val="12"/>
        <rFont val="Times New Roman"/>
        <family val="1"/>
      </rPr>
      <t xml:space="preserve">First day to conduct a school district special election following a township election in the district - not within 56 days after regularly scheduled municipal election within the school district.  </t>
    </r>
    <r>
      <rPr>
        <i/>
        <sz val="12"/>
        <rFont val="Times New Roman"/>
        <family val="1"/>
      </rPr>
      <t>Minn. Stat. §205A.05, subd. 1</t>
    </r>
  </si>
  <si>
    <r>
      <t xml:space="preserve">Cities without a Primary: </t>
    </r>
    <r>
      <rPr>
        <sz val="12"/>
        <rFont val="Times New Roman"/>
        <family val="1"/>
      </rPr>
      <t xml:space="preserve"> Last day for city to withdraw from participating in a combined polling place by filing a resolution of withdrawal with county auditor - no later than April 1 of any year.  </t>
    </r>
    <r>
      <rPr>
        <i/>
        <sz val="12"/>
        <rFont val="Times New Roman"/>
        <family val="1"/>
      </rPr>
      <t>Minn. Stat. §204B.14, subd. 2(4)</t>
    </r>
  </si>
  <si>
    <t>204B.14, subd. 2(4)</t>
  </si>
  <si>
    <r>
      <t xml:space="preserve">Cities with a Primary: </t>
    </r>
    <r>
      <rPr>
        <sz val="12"/>
        <rFont val="Times New Roman"/>
        <family val="1"/>
      </rPr>
      <t xml:space="preserve">Last day for city to withdraw from participating in a combined polling place by filing a resolution of withdrawal with county auditor - no later than April 1 of any year.  </t>
    </r>
    <r>
      <rPr>
        <i/>
        <sz val="12"/>
        <rFont val="Times New Roman"/>
        <family val="1"/>
      </rPr>
      <t>Minn. Stat. §204B.14, subd. 2(4)</t>
    </r>
  </si>
  <si>
    <r>
      <t xml:space="preserve">Towns with March Elections:  </t>
    </r>
    <r>
      <rPr>
        <sz val="12"/>
        <rFont val="Times New Roman"/>
        <family val="1"/>
      </rPr>
      <t xml:space="preserve">Last day for Township to withdraw from participating in a combined polling place by filing a resolution of withdrawal with the county auditor - no later than April 1 of any year.  </t>
    </r>
    <r>
      <rPr>
        <i/>
        <sz val="12"/>
        <rFont val="Times New Roman"/>
        <family val="1"/>
      </rPr>
      <t>Minn. Stat. §204B.14, subd. 2(4)</t>
    </r>
  </si>
  <si>
    <r>
      <t xml:space="preserve">Towns with November Elections:  </t>
    </r>
    <r>
      <rPr>
        <sz val="12"/>
        <rFont val="Times New Roman"/>
        <family val="1"/>
      </rPr>
      <t xml:space="preserve">Last day for township to withdraw from participating in a combined polling place by filing a resolution of withdrawal with county auditor - no later than April 1 of any year.  </t>
    </r>
    <r>
      <rPr>
        <i/>
        <sz val="12"/>
        <rFont val="Times New Roman"/>
        <family val="1"/>
      </rPr>
      <t>Minn. Stat. §204B.14, subd. 2(4)</t>
    </r>
  </si>
  <si>
    <r>
      <t xml:space="preserve">Counties: </t>
    </r>
    <r>
      <rPr>
        <sz val="12"/>
        <rFont val="Times New Roman"/>
        <family val="1"/>
      </rPr>
      <t xml:space="preserve">Investigate March township elections Election Day registrant returned PVCs.  Notify county attorney and Secretary of State of those with unsatisfactory proof of eligibility to vote - Mail notices for voting in wrong place.  </t>
    </r>
    <r>
      <rPr>
        <i/>
        <sz val="12"/>
        <rFont val="Times New Roman"/>
        <family val="1"/>
      </rPr>
      <t>Minn. Stat. §201.121, §201.27</t>
    </r>
  </si>
  <si>
    <r>
      <t xml:space="preserve">Secretary of State: </t>
    </r>
    <r>
      <rPr>
        <sz val="12"/>
        <rFont val="Times New Roman"/>
        <family val="1"/>
      </rPr>
      <t xml:space="preserve">Investigate March township elections Election Day registrant returned PVCs.  Notify county attorney and Secretary of State of those with unsatisfactory proof of eligibility to vote - Mail notices for voting in wrong place.  </t>
    </r>
    <r>
      <rPr>
        <i/>
        <sz val="12"/>
        <rFont val="Times New Roman"/>
        <family val="1"/>
      </rPr>
      <t>Minn. Stat. §201.121, §201.27</t>
    </r>
  </si>
  <si>
    <r>
      <t xml:space="preserve">Counties: </t>
    </r>
    <r>
      <rPr>
        <sz val="12"/>
        <rFont val="Times New Roman"/>
        <family val="1"/>
      </rPr>
      <t xml:space="preserve">Campaign Finance Report Due - 30 days after the March Township election (If more than $750 raised or spent). </t>
    </r>
    <r>
      <rPr>
        <i/>
        <sz val="12"/>
        <rFont val="Times New Roman"/>
        <family val="1"/>
      </rPr>
      <t>Minn. Stat. §211A.02, subd. 1</t>
    </r>
  </si>
  <si>
    <r>
      <t>Cities without a Primary:</t>
    </r>
    <r>
      <rPr>
        <sz val="12"/>
        <rFont val="Times New Roman"/>
        <family val="1"/>
      </rPr>
      <t xml:space="preserve"> Last day for cities with even-year elections to establish a primary - by April 15 in the year when a municipal Election is.  </t>
    </r>
    <r>
      <rPr>
        <i/>
        <sz val="12"/>
        <rFont val="Times New Roman"/>
        <family val="1"/>
      </rPr>
      <t>Minn. Stat. §205.065, subd. 2</t>
    </r>
  </si>
  <si>
    <r>
      <t>Secretary of State:</t>
    </r>
    <r>
      <rPr>
        <sz val="12"/>
        <rFont val="Times New Roman"/>
        <family val="1"/>
      </rPr>
      <t xml:space="preserve"> Last day for cities with even-year elections to establish a primary - by April 15 in the year when a municipal Election is.  </t>
    </r>
    <r>
      <rPr>
        <i/>
        <sz val="12"/>
        <rFont val="Times New Roman"/>
        <family val="1"/>
      </rPr>
      <t>Minn. Stat. §205.065, subd. 2</t>
    </r>
  </si>
  <si>
    <r>
      <t>Counties:</t>
    </r>
    <r>
      <rPr>
        <sz val="12"/>
        <rFont val="Times New Roman"/>
        <family val="1"/>
      </rPr>
      <t xml:space="preserve"> Last day for cities with even-year elections to establish a primary - by April 15 in the year when a municipal Election is.  </t>
    </r>
    <r>
      <rPr>
        <i/>
        <sz val="12"/>
        <rFont val="Times New Roman"/>
        <family val="1"/>
      </rPr>
      <t>Minn. Stat. §205.065, subd. 2</t>
    </r>
  </si>
  <si>
    <r>
      <t xml:space="preserve">Secretary of State:  </t>
    </r>
    <r>
      <rPr>
        <sz val="12"/>
        <rFont val="Times New Roman"/>
        <family val="1"/>
      </rPr>
      <t xml:space="preserve">Last day for school district to adopt a resolution to choose nominees for school board by Primary - by resolution adopted by April 15.   </t>
    </r>
    <r>
      <rPr>
        <i/>
        <sz val="12"/>
        <rFont val="Times New Roman"/>
        <family val="1"/>
      </rPr>
      <t xml:space="preserve">Minn. Stat. §205A.03, subd. 1 </t>
    </r>
  </si>
  <si>
    <r>
      <t xml:space="preserve">Counties:  </t>
    </r>
    <r>
      <rPr>
        <sz val="12"/>
        <rFont val="Times New Roman"/>
        <family val="1"/>
      </rPr>
      <t xml:space="preserve">Last day for Secretary of State to supply example primary and general ballot to county auditors (no later than May 1).  The county auditors shall distribute copies of the example ballot to municipal and school district clerks in municipalities and school districts holding elections that year.  The official ballot must conform in all respects to the example ballot. </t>
    </r>
    <r>
      <rPr>
        <i/>
        <sz val="12"/>
        <rFont val="Times New Roman"/>
        <family val="1"/>
      </rPr>
      <t xml:space="preserve"> Minn. Stat. §204D.09, subd. 1</t>
    </r>
  </si>
  <si>
    <r>
      <t xml:space="preserve">Counties: </t>
    </r>
    <r>
      <rPr>
        <sz val="12"/>
        <rFont val="Times New Roman"/>
        <family val="1"/>
      </rPr>
      <t xml:space="preserve">Auditor designates county absentee polling locations for primary - at least 14 weeks before the election. </t>
    </r>
    <r>
      <rPr>
        <i/>
        <sz val="12"/>
        <rFont val="Times New Roman"/>
        <family val="1"/>
      </rPr>
      <t>Minn. Stat. §203B.081</t>
    </r>
  </si>
  <si>
    <r>
      <t xml:space="preserve">School Districts with a Primary: </t>
    </r>
    <r>
      <rPr>
        <sz val="12"/>
        <rFont val="Times New Roman"/>
        <family val="1"/>
      </rPr>
      <t xml:space="preserve">Last day for County Auditor to designate location for absentee voting for primary election - at least 14 weeks before election.  </t>
    </r>
    <r>
      <rPr>
        <i/>
        <sz val="12"/>
        <rFont val="Times New Roman"/>
        <family val="1"/>
      </rPr>
      <t>Minn. Stat. §203B.081</t>
    </r>
  </si>
  <si>
    <r>
      <t xml:space="preserve">Secretary of State: </t>
    </r>
    <r>
      <rPr>
        <sz val="12"/>
        <rFont val="Times New Roman"/>
        <family val="1"/>
      </rPr>
      <t xml:space="preserve">Auditor designates county absentee polling locations for primary - at least 14 weeks before the election. </t>
    </r>
    <r>
      <rPr>
        <i/>
        <sz val="12"/>
        <rFont val="Times New Roman"/>
        <family val="1"/>
      </rPr>
      <t>Minn. Stat. §203B.081</t>
    </r>
  </si>
  <si>
    <r>
      <t xml:space="preserve">Cities with a Primary: </t>
    </r>
    <r>
      <rPr>
        <sz val="12"/>
        <rFont val="Times New Roman"/>
        <family val="1"/>
      </rPr>
      <t xml:space="preserve">Last day for County Auditor to designate location for absentee voting for primary election - at least 14 weeks before election.  </t>
    </r>
    <r>
      <rPr>
        <i/>
        <sz val="12"/>
        <rFont val="Times New Roman"/>
        <family val="1"/>
      </rPr>
      <t>Minn. Stat. §203B.081</t>
    </r>
  </si>
  <si>
    <t>204B.33 (b)</t>
  </si>
  <si>
    <t>204B.33 (a)</t>
  </si>
  <si>
    <r>
      <t xml:space="preserve">Counties: </t>
    </r>
    <r>
      <rPr>
        <sz val="12"/>
        <rFont val="Times New Roman"/>
        <family val="1"/>
      </rPr>
      <t xml:space="preserve">Last day for cities and school districts with a primary to publish notice of filing - at least two weeks before filing opens.  </t>
    </r>
    <r>
      <rPr>
        <i/>
        <sz val="12"/>
        <rFont val="Times New Roman"/>
        <family val="1"/>
      </rPr>
      <t>Minn. Stat.§205.13, subd. 2</t>
    </r>
  </si>
  <si>
    <t>204B.25, subd. 2; 204B.27, subd. 5; 8240.2900</t>
  </si>
  <si>
    <r>
      <t xml:space="preserve">Secretary of State:  </t>
    </r>
    <r>
      <rPr>
        <sz val="12"/>
        <rFont val="Times New Roman"/>
        <family val="1"/>
      </rPr>
      <t xml:space="preserve">Secretary of State shall send notice of filing to County Auditors.  This shall indicate the offices for which candidates need to file with the Secretary of State along with the time and place of filing - At least 16 weeks before the state primary.  </t>
    </r>
    <r>
      <rPr>
        <i/>
        <sz val="12"/>
        <rFont val="Times New Roman"/>
        <family val="1"/>
      </rPr>
      <t>Minn. Stat. §204B.33 (a)</t>
    </r>
  </si>
  <si>
    <r>
      <t xml:space="preserve">Counties:  </t>
    </r>
    <r>
      <rPr>
        <sz val="12"/>
        <rFont val="Times New Roman"/>
        <family val="1"/>
      </rPr>
      <t xml:space="preserve">Secretary of State shall send notice of filing to County Auditors.  This shall indicate the offices for which candidates need to file with the Secretary of State along with the time and place of filing - At least 16 weeks before the state primary.  </t>
    </r>
    <r>
      <rPr>
        <i/>
        <sz val="12"/>
        <rFont val="Times New Roman"/>
        <family val="1"/>
      </rPr>
      <t>Minn. Stat. §204B.33 (a)</t>
    </r>
  </si>
  <si>
    <r>
      <t xml:space="preserve">Secretary of State:  </t>
    </r>
    <r>
      <rPr>
        <sz val="12"/>
        <rFont val="Times New Roman"/>
        <family val="1"/>
      </rPr>
      <t xml:space="preserve">Terms begin for city, town, and school district officers elected at the November 2013 General Election - first Monday in January.  </t>
    </r>
    <r>
      <rPr>
        <i/>
        <sz val="12"/>
        <rFont val="Times New Roman"/>
        <family val="1"/>
      </rPr>
      <t xml:space="preserve">Minn. Stat. §412.02, subd. 2;  §367.03, subd. 4; 123B.09 </t>
    </r>
  </si>
  <si>
    <r>
      <t xml:space="preserve">Counties:  </t>
    </r>
    <r>
      <rPr>
        <sz val="12"/>
        <rFont val="Times New Roman"/>
        <family val="1"/>
      </rPr>
      <t xml:space="preserve">Terms begin for city, town, and school district officers elected at the November 2013 General Election - first Monday in January.  </t>
    </r>
    <r>
      <rPr>
        <i/>
        <sz val="12"/>
        <rFont val="Times New Roman"/>
        <family val="1"/>
      </rPr>
      <t>Minn. Stat. §412.02, subd. 2;  367.03, subd. 4; 123B.09 , subd. 1</t>
    </r>
  </si>
  <si>
    <r>
      <t xml:space="preserve">Cities without a Primary:  </t>
    </r>
    <r>
      <rPr>
        <sz val="12"/>
        <rFont val="Times New Roman"/>
        <family val="1"/>
      </rPr>
      <t xml:space="preserve">Terms begin for officers elected at the November 2013 General Election - first Monday in January.  </t>
    </r>
    <r>
      <rPr>
        <i/>
        <sz val="12"/>
        <rFont val="Times New Roman"/>
        <family val="1"/>
      </rPr>
      <t xml:space="preserve">Minn. Stat. §412.02, subd. 2 </t>
    </r>
  </si>
  <si>
    <r>
      <t xml:space="preserve">Cities with a Primary:  </t>
    </r>
    <r>
      <rPr>
        <sz val="12"/>
        <rFont val="Times New Roman"/>
        <family val="1"/>
      </rPr>
      <t xml:space="preserve">Terms begin for officers elected at the November 2013 General Election - first Monday in January.  </t>
    </r>
    <r>
      <rPr>
        <i/>
        <sz val="12"/>
        <rFont val="Times New Roman"/>
        <family val="1"/>
      </rPr>
      <t xml:space="preserve">Minn. Stat. §412.02, subd. 2 </t>
    </r>
  </si>
  <si>
    <r>
      <t xml:space="preserve">Towns with November Elections: </t>
    </r>
    <r>
      <rPr>
        <sz val="12"/>
        <rFont val="Times New Roman"/>
        <family val="1"/>
      </rPr>
      <t xml:space="preserve">Terms begin for township officers elected at the November 2013 General Election - first Monday in January. </t>
    </r>
    <r>
      <rPr>
        <i/>
        <sz val="12"/>
        <rFont val="Times New Roman"/>
        <family val="1"/>
      </rPr>
      <t>Minn. Stat. §367.03, subd. 4</t>
    </r>
  </si>
  <si>
    <r>
      <t xml:space="preserve">School Districts with a Primary: </t>
    </r>
    <r>
      <rPr>
        <sz val="12"/>
        <rFont val="Times New Roman"/>
        <family val="1"/>
      </rPr>
      <t xml:space="preserve">Terms begin for school district officers elected at the November 2013 General Election - first Monday in January. </t>
    </r>
    <r>
      <rPr>
        <i/>
        <sz val="12"/>
        <rFont val="Times New Roman"/>
        <family val="1"/>
      </rPr>
      <t>Minn. Stat. §123B.09, subd. 1</t>
    </r>
  </si>
  <si>
    <r>
      <t xml:space="preserve">School Districts without a Primary: </t>
    </r>
    <r>
      <rPr>
        <sz val="12"/>
        <rFont val="Times New Roman"/>
        <family val="1"/>
      </rPr>
      <t xml:space="preserve">Terms begin for school district officers elected at the November 2013 General Election - first Monday in January. </t>
    </r>
    <r>
      <rPr>
        <i/>
        <sz val="12"/>
        <rFont val="Times New Roman"/>
        <family val="1"/>
      </rPr>
      <t>Minn. Stat. §123B.09, subd. 1</t>
    </r>
  </si>
  <si>
    <r>
      <t xml:space="preserve">Counties: </t>
    </r>
    <r>
      <rPr>
        <sz val="12"/>
        <rFont val="Times New Roman"/>
        <family val="1"/>
      </rPr>
      <t xml:space="preserve">Post voter history from township election. Give history to late absentees - within 6 weeks after the election.  </t>
    </r>
    <r>
      <rPr>
        <i/>
        <sz val="12"/>
        <rFont val="Times New Roman"/>
        <family val="1"/>
      </rPr>
      <t>Minn. Stat. §201.171</t>
    </r>
  </si>
  <si>
    <r>
      <t xml:space="preserve">Secretary of State: </t>
    </r>
    <r>
      <rPr>
        <sz val="12"/>
        <rFont val="Times New Roman"/>
        <family val="1"/>
      </rPr>
      <t xml:space="preserve">Counties post voter history from township election. Give history to late absentees - within 6 weeks after the election.  </t>
    </r>
    <r>
      <rPr>
        <i/>
        <sz val="12"/>
        <rFont val="Times New Roman"/>
        <family val="1"/>
      </rPr>
      <t>Minn. Stat. §201.171</t>
    </r>
  </si>
  <si>
    <t>201.121, subd. 1</t>
  </si>
  <si>
    <r>
      <t xml:space="preserve">Secretary of State: </t>
    </r>
    <r>
      <rPr>
        <sz val="12"/>
        <rFont val="Times New Roman"/>
        <family val="1"/>
      </rPr>
      <t xml:space="preserve">Last day for County Auditor to meet or otherwise communicate with March township officials to review election procedures for 2014 March Township Elections - at least 12 weeks before the March town general election.  </t>
    </r>
    <r>
      <rPr>
        <i/>
        <sz val="12"/>
        <rFont val="Times New Roman"/>
        <family val="1"/>
      </rPr>
      <t xml:space="preserve">Minn. Stat. §204B.28, subd. 1 </t>
    </r>
  </si>
  <si>
    <r>
      <t xml:space="preserve">Towns with March Elections: </t>
    </r>
    <r>
      <rPr>
        <sz val="12"/>
        <rFont val="Times New Roman"/>
        <family val="1"/>
      </rPr>
      <t xml:space="preserve">Last day for County Auditor to meet or otherwise communicate with March township officials to review election procedures for 2014 March Township Elections - at least 12 weeks before the March town general election.  </t>
    </r>
    <r>
      <rPr>
        <i/>
        <sz val="12"/>
        <rFont val="Times New Roman"/>
        <family val="1"/>
      </rPr>
      <t xml:space="preserve">Minn. Stat. §204B.28, subd. 1 </t>
    </r>
  </si>
  <si>
    <r>
      <t xml:space="preserve">Counties: </t>
    </r>
    <r>
      <rPr>
        <sz val="12"/>
        <rFont val="Times New Roman"/>
        <family val="1"/>
      </rPr>
      <t xml:space="preserve">Last day for County Auditor to meet or otherwise communicate with March township officials to review election procedures for 2014 March Township Elections - at least 12 weeks before the March town general election.  </t>
    </r>
    <r>
      <rPr>
        <i/>
        <sz val="12"/>
        <rFont val="Times New Roman"/>
        <family val="1"/>
      </rPr>
      <t xml:space="preserve">Minn. Stat. §204B.28, subd. 1 </t>
    </r>
  </si>
  <si>
    <r>
      <t xml:space="preserve">Towns with March Elections: </t>
    </r>
    <r>
      <rPr>
        <sz val="12"/>
        <rFont val="Times New Roman"/>
        <family val="1"/>
      </rPr>
      <t xml:space="preserve">Last day to publish first of two notices of town offices to be elected at March election.   Notice to include first and last dates to file for town office, and the closing time for filing </t>
    </r>
    <r>
      <rPr>
        <i/>
        <sz val="12"/>
        <rFont val="Times New Roman"/>
        <family val="1"/>
      </rPr>
      <t xml:space="preserve">(new 2013 language </t>
    </r>
    <r>
      <rPr>
        <i/>
        <u/>
        <sz val="12"/>
        <rFont val="Times New Roman"/>
        <family val="1"/>
      </rPr>
      <t>requires</t>
    </r>
    <r>
      <rPr>
        <i/>
        <sz val="12"/>
        <rFont val="Times New Roman"/>
        <family val="1"/>
      </rPr>
      <t xml:space="preserve"> the municipal clerk's office to be open for filing from </t>
    </r>
    <r>
      <rPr>
        <i/>
        <u/>
        <sz val="12"/>
        <rFont val="Times New Roman"/>
        <family val="1"/>
      </rPr>
      <t>1-5 p.m.</t>
    </r>
    <r>
      <rPr>
        <i/>
        <sz val="12"/>
        <rFont val="Times New Roman"/>
        <family val="1"/>
      </rPr>
      <t xml:space="preserve"> on the last day of the filing period)</t>
    </r>
    <r>
      <rPr>
        <sz val="12"/>
        <rFont val="Times New Roman"/>
        <family val="1"/>
      </rPr>
      <t xml:space="preserve"> – at least two weeks before the first day to file an Affidavit of Candidacy. </t>
    </r>
    <r>
      <rPr>
        <i/>
        <sz val="12"/>
        <rFont val="Times New Roman"/>
        <family val="1"/>
      </rPr>
      <t>Minn. Stat. §205.13, subd. 2</t>
    </r>
  </si>
  <si>
    <r>
      <t xml:space="preserve">Towns with March Elections: </t>
    </r>
    <r>
      <rPr>
        <sz val="12"/>
        <rFont val="Times New Roman"/>
        <family val="1"/>
      </rPr>
      <t xml:space="preserve">Last day to publish second of two notices of town offices to be elected at March election.   Notice to include first and last dates to file for town office, and the closing time for filing </t>
    </r>
    <r>
      <rPr>
        <i/>
        <sz val="12"/>
        <rFont val="Times New Roman"/>
        <family val="1"/>
      </rPr>
      <t xml:space="preserve">(new 2013 language </t>
    </r>
    <r>
      <rPr>
        <i/>
        <u/>
        <sz val="12"/>
        <rFont val="Times New Roman"/>
        <family val="1"/>
      </rPr>
      <t>requires</t>
    </r>
    <r>
      <rPr>
        <i/>
        <sz val="12"/>
        <rFont val="Times New Roman"/>
        <family val="1"/>
      </rPr>
      <t xml:space="preserve"> the municipal clerk's office to be open for filing from </t>
    </r>
    <r>
      <rPr>
        <i/>
        <u/>
        <sz val="12"/>
        <rFont val="Times New Roman"/>
        <family val="1"/>
      </rPr>
      <t>1-5 p.m.</t>
    </r>
    <r>
      <rPr>
        <i/>
        <sz val="12"/>
        <rFont val="Times New Roman"/>
        <family val="1"/>
      </rPr>
      <t xml:space="preserve"> on the last day of the filing period)</t>
    </r>
    <r>
      <rPr>
        <sz val="12"/>
        <rFont val="Times New Roman"/>
        <family val="1"/>
      </rPr>
      <t xml:space="preserve"> – at least two weeks before the first day to file an Affidavit of Candidacy. </t>
    </r>
    <r>
      <rPr>
        <i/>
        <sz val="12"/>
        <rFont val="Times New Roman"/>
        <family val="1"/>
      </rPr>
      <t>Minn. Stat. §205.13, subd. 2</t>
    </r>
  </si>
  <si>
    <r>
      <t xml:space="preserve">Counties: </t>
    </r>
    <r>
      <rPr>
        <sz val="12"/>
        <rFont val="Times New Roman"/>
        <family val="1"/>
      </rPr>
      <t xml:space="preserve">Last day for township to provide written notice of election to auditor – at least 74 days before election.  </t>
    </r>
    <r>
      <rPr>
        <i/>
        <sz val="12"/>
        <rFont val="Times New Roman"/>
        <family val="1"/>
      </rPr>
      <t>Minn. Stat. §205.16, subd. 4</t>
    </r>
  </si>
  <si>
    <r>
      <t xml:space="preserve">Towns with March Elections: </t>
    </r>
    <r>
      <rPr>
        <sz val="12"/>
        <rFont val="Times New Roman"/>
        <family val="1"/>
      </rPr>
      <t xml:space="preserve">Last day to provide written notice of election to auditor – at least 74 days before election.  </t>
    </r>
    <r>
      <rPr>
        <i/>
        <sz val="12"/>
        <rFont val="Times New Roman"/>
        <family val="1"/>
      </rPr>
      <t>Minn. Stat. §205.16, subd. 4</t>
    </r>
  </si>
  <si>
    <r>
      <t>Secretary of State:</t>
    </r>
    <r>
      <rPr>
        <sz val="12"/>
        <rFont val="Times New Roman"/>
        <family val="1"/>
      </rPr>
      <t xml:space="preserve">  Last day to send an absentee ballot application to each person on the list of voters who have applied to automatically receive an absentee ballot application – at least 45 days before the election. </t>
    </r>
    <r>
      <rPr>
        <i/>
        <sz val="12"/>
        <rFont val="Times New Roman"/>
        <family val="1"/>
      </rPr>
      <t>Minn. Rule 8210.0200, subp. 4</t>
    </r>
  </si>
  <si>
    <t>203B.08, subd. 3; 203B.121, subd. 2</t>
  </si>
  <si>
    <r>
      <t xml:space="preserve">Cities with a Primary: </t>
    </r>
    <r>
      <rPr>
        <sz val="12"/>
        <rFont val="Times New Roman"/>
        <family val="1"/>
      </rPr>
      <t xml:space="preserve"> Last day for County or Legislative District Chair to provide published notice of the holding of the precinct caucus stating the place, date, and time for holding the caucus - at least 6 days published notice.  </t>
    </r>
    <r>
      <rPr>
        <i/>
        <sz val="12"/>
        <rFont val="Times New Roman"/>
        <family val="1"/>
      </rPr>
      <t xml:space="preserve">Minn. Stat. §202A.14, subd. 3 </t>
    </r>
  </si>
  <si>
    <r>
      <t xml:space="preserve">Secretary of State: </t>
    </r>
    <r>
      <rPr>
        <sz val="12"/>
        <rFont val="Times New Roman"/>
        <family val="1"/>
      </rPr>
      <t xml:space="preserve">Period of time for Absentee Voting in March Township Elections - at least 30 days before election.  </t>
    </r>
    <r>
      <rPr>
        <i/>
        <sz val="12"/>
        <rFont val="Times New Roman"/>
        <family val="1"/>
      </rPr>
      <t>Minn. Stat. §204B.35</t>
    </r>
  </si>
  <si>
    <r>
      <t xml:space="preserve">Counties: </t>
    </r>
    <r>
      <rPr>
        <sz val="12"/>
        <rFont val="Times New Roman"/>
        <family val="1"/>
      </rPr>
      <t xml:space="preserve">Period of time for Absentee Voting in March Township Elections - at least 30 days before election.  </t>
    </r>
    <r>
      <rPr>
        <i/>
        <sz val="12"/>
        <rFont val="Times New Roman"/>
        <family val="1"/>
      </rPr>
      <t>Minn. Stat. §204B.35</t>
    </r>
  </si>
  <si>
    <r>
      <t xml:space="preserve">Counties: </t>
    </r>
    <r>
      <rPr>
        <sz val="12"/>
        <rFont val="Times New Roman"/>
        <family val="1"/>
      </rPr>
      <t xml:space="preserve">Last day for *metro-town clerk to publish 2nd of 2 notices of election - 1 week before election. (Optional for non-metro towns)  </t>
    </r>
    <r>
      <rPr>
        <i/>
        <sz val="12"/>
        <rFont val="Times New Roman"/>
        <family val="1"/>
      </rPr>
      <t>Minn. Stat. §205.16, subd. 1</t>
    </r>
  </si>
  <si>
    <r>
      <t xml:space="preserve">Secretary of State: </t>
    </r>
    <r>
      <rPr>
        <sz val="12"/>
        <rFont val="Times New Roman"/>
        <family val="1"/>
      </rPr>
      <t xml:space="preserve">Last day for *metro-town clerk to publish 2nd of 2 notices of election - 1 week before election. (Optional for non-metro towns)  </t>
    </r>
    <r>
      <rPr>
        <i/>
        <sz val="12"/>
        <rFont val="Times New Roman"/>
        <family val="1"/>
      </rPr>
      <t>Minn. Stat. §205.16, subd. 1</t>
    </r>
  </si>
  <si>
    <r>
      <t xml:space="preserve">Towns with March Elections: </t>
    </r>
    <r>
      <rPr>
        <sz val="12"/>
        <rFont val="Times New Roman"/>
        <family val="1"/>
      </rPr>
      <t xml:space="preserve">Last day for metro-town clerk to publish 2nd of 2 notices of election - 1 week before election. (Optional for non-metro towns)  </t>
    </r>
    <r>
      <rPr>
        <i/>
        <sz val="12"/>
        <rFont val="Times New Roman"/>
        <family val="1"/>
      </rPr>
      <t>Minn. Stat. §205.16, subd. 1</t>
    </r>
  </si>
  <si>
    <r>
      <t xml:space="preserve">Towns with March Elections: </t>
    </r>
    <r>
      <rPr>
        <sz val="12"/>
        <rFont val="Times New Roman"/>
        <family val="1"/>
      </rPr>
      <t>Last day to publish sample ballot for Township Election – 2 weeks before election.  (Optional for *non-metro towns) Minn. Stat. § 205.16, subd. 2</t>
    </r>
  </si>
  <si>
    <r>
      <t>Secretary of State:</t>
    </r>
    <r>
      <rPr>
        <sz val="12"/>
        <rFont val="Times New Roman"/>
        <family val="1"/>
      </rPr>
      <t xml:space="preserve"> Campaign finance reports due (If more than $750 raised or spent) - 10 days before the March Township election.  </t>
    </r>
    <r>
      <rPr>
        <i/>
        <sz val="12"/>
        <rFont val="Times New Roman"/>
        <family val="1"/>
      </rPr>
      <t>Minn. Stat. §211A.02, subd. 1</t>
    </r>
  </si>
  <si>
    <r>
      <t>Secretary of State:</t>
    </r>
    <r>
      <rPr>
        <sz val="12"/>
        <rFont val="Times New Roman"/>
        <family val="1"/>
      </rPr>
      <t xml:space="preserve">  Last day for County Auditor to post notice of filing for federal, state and county offices - at least 10 days before filing.  </t>
    </r>
    <r>
      <rPr>
        <i/>
        <sz val="12"/>
        <rFont val="Times New Roman"/>
        <family val="1"/>
      </rPr>
      <t>Minn. Stat. §204B.33 (b)</t>
    </r>
  </si>
  <si>
    <r>
      <t>Soil and Water Conservation District:</t>
    </r>
    <r>
      <rPr>
        <sz val="12"/>
        <rFont val="Times New Roman"/>
        <family val="1"/>
      </rPr>
      <t xml:space="preserve">  Last day for County Auditor to post notice of filing of federal, state and county (SWCD) offices - at least 10 days before filing.  </t>
    </r>
    <r>
      <rPr>
        <i/>
        <sz val="12"/>
        <rFont val="Times New Roman"/>
        <family val="1"/>
      </rPr>
      <t>Minn. Stat. §204B.33 (b)</t>
    </r>
  </si>
  <si>
    <r>
      <t>Counties:</t>
    </r>
    <r>
      <rPr>
        <sz val="12"/>
        <rFont val="Times New Roman"/>
        <family val="1"/>
      </rPr>
      <t xml:space="preserve">  Last day for County Auditor to post notice of filing of federal, state and county (SWCD) offices - at least 10 days before filing.  </t>
    </r>
    <r>
      <rPr>
        <i/>
        <sz val="12"/>
        <rFont val="Times New Roman"/>
        <family val="1"/>
      </rPr>
      <t>Minn. Stat. §204B.33 (b)</t>
    </r>
  </si>
  <si>
    <r>
      <t>Cities without a Primary:</t>
    </r>
    <r>
      <rPr>
        <sz val="12"/>
        <rFont val="Times New Roman"/>
        <family val="1"/>
      </rPr>
      <t xml:space="preserve">  Last day to change polling place prior to primary election - not less than 90 days prior to election.  </t>
    </r>
    <r>
      <rPr>
        <i/>
        <sz val="12"/>
        <rFont val="Times New Roman"/>
        <family val="1"/>
      </rPr>
      <t>Minn. Stat. §204B.16, subd. 3</t>
    </r>
  </si>
  <si>
    <r>
      <t xml:space="preserve">Towns with March Elections: </t>
    </r>
    <r>
      <rPr>
        <sz val="12"/>
        <rFont val="Times New Roman"/>
        <family val="1"/>
      </rPr>
      <t xml:space="preserve">Last day for OSS to furnish electronically to county auditors a list of names for each election precinct in the jurisdiction of the appointing authority, noting the political party affiliation of each individual on the list.  The county auditor must promptly forward the names to the municipal clerk - by May 15.  </t>
    </r>
    <r>
      <rPr>
        <i/>
        <sz val="12"/>
        <rFont val="Times New Roman"/>
        <family val="1"/>
      </rPr>
      <t>Minn. Stat. §204B.21, subd. 1</t>
    </r>
  </si>
  <si>
    <r>
      <t xml:space="preserve">Secretary of State: </t>
    </r>
    <r>
      <rPr>
        <sz val="12"/>
        <rFont val="Times New Roman"/>
        <family val="1"/>
      </rPr>
      <t xml:space="preserve"> Each major political party shall prepare a list of eligible voters to act as election judges in each election precinct.  Lists are furnished electronically to the OSS, in a format specified by the OSS. - on May 1 in a year in which there is an election for partisan political office.  </t>
    </r>
    <r>
      <rPr>
        <i/>
        <sz val="12"/>
        <rFont val="Times New Roman"/>
        <family val="1"/>
      </rPr>
      <t>Minn. Stat. §204B.21, subd. 1</t>
    </r>
  </si>
  <si>
    <r>
      <t xml:space="preserve">Political Parties: </t>
    </r>
    <r>
      <rPr>
        <sz val="12"/>
        <rFont val="Times New Roman"/>
        <family val="1"/>
      </rPr>
      <t xml:space="preserve">Each major political party shall prepare a list of eligible voters to act as election judges in each election precinct.  Lists are furnished electronically to the OSS, in a format specified by the OSS. - on May 1 in a year in which there is an election for partisan political office.  </t>
    </r>
    <r>
      <rPr>
        <i/>
        <sz val="12"/>
        <rFont val="Times New Roman"/>
        <family val="1"/>
      </rPr>
      <t>Minn. Stat. §204B.21, subd. 1</t>
    </r>
  </si>
  <si>
    <r>
      <t xml:space="preserve">Counties: </t>
    </r>
    <r>
      <rPr>
        <sz val="12"/>
        <rFont val="Times New Roman"/>
        <family val="1"/>
      </rPr>
      <t xml:space="preserve"> Each major political party shall prepare a list of eligible voters to act as election judges in each election precinct.  Lists are furnished electronically to the OSS, in a format specified by the OSS. - on May 1 in a year in which there is an election for partisan political office.  </t>
    </r>
    <r>
      <rPr>
        <i/>
        <sz val="12"/>
        <rFont val="Times New Roman"/>
        <family val="1"/>
      </rPr>
      <t>Minn. Stat. §204B.21, subd. 1</t>
    </r>
  </si>
  <si>
    <t>204B.14, subd. 2 (b)</t>
  </si>
  <si>
    <r>
      <t xml:space="preserve">Secretary of State:  </t>
    </r>
    <r>
      <rPr>
        <sz val="12"/>
        <rFont val="Times New Roman"/>
        <family val="1"/>
      </rPr>
      <t xml:space="preserve">Last day to establish combined polling places for "certain" separate municipal precincts – no later than May 1 of any year.  </t>
    </r>
    <r>
      <rPr>
        <i/>
        <sz val="12"/>
        <rFont val="Times New Roman"/>
        <family val="1"/>
      </rPr>
      <t>Minn. Stat. §204B.14, subd 2 (b)</t>
    </r>
  </si>
  <si>
    <r>
      <t xml:space="preserve">Counties:  </t>
    </r>
    <r>
      <rPr>
        <sz val="12"/>
        <rFont val="Times New Roman"/>
        <family val="1"/>
      </rPr>
      <t xml:space="preserve">Last day to establish combined polling places for "certain" separate municipal precincts – no later than May 1 of any year.  </t>
    </r>
    <r>
      <rPr>
        <i/>
        <sz val="12"/>
        <rFont val="Times New Roman"/>
        <family val="1"/>
      </rPr>
      <t>Minn. Stat. §204B.14, subd 2 (b)</t>
    </r>
  </si>
  <si>
    <r>
      <t xml:space="preserve">Cities with a Primary:  </t>
    </r>
    <r>
      <rPr>
        <sz val="12"/>
        <rFont val="Times New Roman"/>
        <family val="1"/>
      </rPr>
      <t xml:space="preserve">Last day to establish combined polling places for "certain" separate municipal precincts – no later than May 1 of any year.  </t>
    </r>
    <r>
      <rPr>
        <i/>
        <sz val="12"/>
        <rFont val="Times New Roman"/>
        <family val="1"/>
      </rPr>
      <t>Minn. Stat. §204B.14, subd 2 (b)</t>
    </r>
  </si>
  <si>
    <r>
      <t xml:space="preserve">Cities without a Primary:  </t>
    </r>
    <r>
      <rPr>
        <sz val="12"/>
        <rFont val="Times New Roman"/>
        <family val="1"/>
      </rPr>
      <t xml:space="preserve">Last day to establish combined polling places for "certain" separate municipal precincts – no later than May 1 of any year.  </t>
    </r>
    <r>
      <rPr>
        <i/>
        <sz val="12"/>
        <rFont val="Times New Roman"/>
        <family val="1"/>
      </rPr>
      <t>Minn. Stat. §204B.14, subd 2 (b)</t>
    </r>
  </si>
  <si>
    <r>
      <t xml:space="preserve">Towns with March Elections:  </t>
    </r>
    <r>
      <rPr>
        <sz val="12"/>
        <rFont val="Times New Roman"/>
        <family val="1"/>
      </rPr>
      <t xml:space="preserve">Last day to establish combined polling places for "certain" separate municipal precincts – no later than May 1 of any year.  </t>
    </r>
    <r>
      <rPr>
        <i/>
        <sz val="12"/>
        <rFont val="Times New Roman"/>
        <family val="1"/>
      </rPr>
      <t>Minn. Stat. §204B.14, subd 2 (b)</t>
    </r>
  </si>
  <si>
    <r>
      <t xml:space="preserve">Towns with November Elections:  </t>
    </r>
    <r>
      <rPr>
        <sz val="12"/>
        <rFont val="Times New Roman"/>
        <family val="1"/>
      </rPr>
      <t xml:space="preserve">Last day to establish combined polling places for "certain" separate municipal precincts – no later than May 1 of any year.  </t>
    </r>
    <r>
      <rPr>
        <i/>
        <sz val="12"/>
        <rFont val="Times New Roman"/>
        <family val="1"/>
      </rPr>
      <t>Minn. Stat. §204B.14, subd 2 (b)</t>
    </r>
  </si>
  <si>
    <r>
      <t>Secretary of State:</t>
    </r>
    <r>
      <rPr>
        <sz val="12"/>
        <rFont val="Times New Roman"/>
        <family val="1"/>
      </rPr>
      <t xml:space="preserve"> Individuals file supplemental statement of economic interest (**Metropolitan Counties, all Counties for those elected or appointed to terms of office commencing on or after 1/1/2014 and cities with population over 50,000 in Metropolitan Counties) - on April 15 of each year. </t>
    </r>
    <r>
      <rPr>
        <i/>
        <sz val="12"/>
        <rFont val="Times New Roman"/>
        <family val="1"/>
      </rPr>
      <t xml:space="preserve">Minn. Stat. §10A.09, subd. 6 </t>
    </r>
  </si>
  <si>
    <r>
      <t>Campaign Finance:</t>
    </r>
    <r>
      <rPr>
        <sz val="12"/>
        <rFont val="Times New Roman"/>
        <family val="1"/>
      </rPr>
      <t xml:space="preserve"> Individuals file supplemental statement of economic interest (**Metropolitan Counties, all Counties for those elected or appointed to terms of office commencing on or after 1/1/2014 and cities with population over 50,000 in Metropolitan Counties) - on April 15 of each year. </t>
    </r>
    <r>
      <rPr>
        <i/>
        <sz val="12"/>
        <rFont val="Times New Roman"/>
        <family val="1"/>
      </rPr>
      <t xml:space="preserve">Minn. Stat. §10A.09, subd. 6 </t>
    </r>
  </si>
  <si>
    <r>
      <t>Counties:</t>
    </r>
    <r>
      <rPr>
        <sz val="12"/>
        <rFont val="Times New Roman"/>
        <family val="1"/>
      </rPr>
      <t xml:space="preserve"> Individuals file supplemental statement of economic interest (**Metropolitan Counties, all Counties for those elected or appointed to terms of office commencing on or after 1/1/2014 and cities with population over 50,000 in Metropolitan Counties) - on April 15 of each year. </t>
    </r>
    <r>
      <rPr>
        <i/>
        <sz val="12"/>
        <rFont val="Times New Roman"/>
        <family val="1"/>
      </rPr>
      <t xml:space="preserve">Minn. Stat. §10A.09, subd. 6 </t>
    </r>
  </si>
  <si>
    <r>
      <t>Cities with a Primary:</t>
    </r>
    <r>
      <rPr>
        <sz val="12"/>
        <rFont val="Times New Roman"/>
        <family val="1"/>
      </rPr>
      <t xml:space="preserve"> Individuals file supplemental statement of economic interest (**Metropolitan Counties, all Counties for those elected or appointed to terms of office commencing on or after 1/1/2014 and cities with population over 50,000 in Metropolitan Counties) - on April 15 of each year. </t>
    </r>
    <r>
      <rPr>
        <i/>
        <sz val="12"/>
        <rFont val="Times New Roman"/>
        <family val="1"/>
      </rPr>
      <t xml:space="preserve">Minn. Stat. §10A.09, subd. 6 </t>
    </r>
  </si>
  <si>
    <r>
      <t>Cities without a Primary:</t>
    </r>
    <r>
      <rPr>
        <sz val="12"/>
        <rFont val="Times New Roman"/>
        <family val="1"/>
      </rPr>
      <t xml:space="preserve"> Individuals file supplemental statement of economic interest (**Metropolitan Counties, all Counties for those elected or appointed to terms of office commencing on or after 1/1/2014 and cities with population over 50,000 in Metropolitan Counties) - on April 15 of each year. </t>
    </r>
    <r>
      <rPr>
        <i/>
        <sz val="12"/>
        <rFont val="Times New Roman"/>
        <family val="1"/>
      </rPr>
      <t xml:space="preserve">Minn. Stat. §10A.09, subd. 6 </t>
    </r>
  </si>
  <si>
    <r>
      <t>Secretary of State:</t>
    </r>
    <r>
      <rPr>
        <sz val="12"/>
        <rFont val="Times New Roman"/>
        <family val="1"/>
      </rPr>
      <t xml:space="preserve"> Candidate filing period for federal offices, state offices, county offices, cities with a primary, school districts with a primary, and soil and water conservation districts -  opens 84 days before election and closes 70 days before election.  </t>
    </r>
    <r>
      <rPr>
        <i/>
        <sz val="12"/>
        <rFont val="Times New Roman"/>
        <family val="1"/>
      </rPr>
      <t>Minn. Stat. §§204B.09, subd. 1; 205.13, subd. 1a; 205A.06, subd. 1a; 103C.305, subd. 2</t>
    </r>
  </si>
  <si>
    <r>
      <t xml:space="preserve">Counties: </t>
    </r>
    <r>
      <rPr>
        <sz val="12"/>
        <rFont val="Times New Roman"/>
        <family val="1"/>
      </rPr>
      <t xml:space="preserve">Filing period with County Auditor for state, and county offices including soil and water conversation district offices to be elected at state general election - not more than 84 days nor less than 70 days before the state primary.  </t>
    </r>
    <r>
      <rPr>
        <i/>
        <sz val="12"/>
        <rFont val="Times New Roman"/>
        <family val="1"/>
      </rPr>
      <t>Minn. Stat. §204B.09, subd. 1; 103C.305, subd. 2</t>
    </r>
  </si>
  <si>
    <r>
      <t xml:space="preserve">Secretary of State:  </t>
    </r>
    <r>
      <rPr>
        <sz val="12"/>
        <rFont val="Times New Roman"/>
        <family val="1"/>
      </rPr>
      <t xml:space="preserve">Last day for the governing body of a school district to cancel a special election scheduled for State Primary Day that was ordered by the governing body on its own motion - not less than 74 days before the election.  </t>
    </r>
    <r>
      <rPr>
        <i/>
        <sz val="12"/>
        <rFont val="Times New Roman"/>
        <family val="1"/>
      </rPr>
      <t>Minn. Stat. §205A.05, subd. 3</t>
    </r>
  </si>
  <si>
    <r>
      <t xml:space="preserve">Counties:  </t>
    </r>
    <r>
      <rPr>
        <sz val="12"/>
        <rFont val="Times New Roman"/>
        <family val="1"/>
      </rPr>
      <t xml:space="preserve">Last day for the governing body of a school district to cancel a special election scheduled for State Primary Day that was ordered by the governing body on its own motion - not less than 74 days before the election.  </t>
    </r>
    <r>
      <rPr>
        <i/>
        <sz val="12"/>
        <rFont val="Times New Roman"/>
        <family val="1"/>
      </rPr>
      <t>Minn. Stat. §205A.05, subd. 3</t>
    </r>
  </si>
  <si>
    <r>
      <t xml:space="preserve">Cities without a Primary:  </t>
    </r>
    <r>
      <rPr>
        <sz val="12"/>
        <rFont val="Times New Roman"/>
        <family val="1"/>
      </rPr>
      <t xml:space="preserve">Last day for the governing body of a municipality to cancel a special election scheduled for State Primary Day that was ordered on its own motion - not less than 46 days before the election.  </t>
    </r>
    <r>
      <rPr>
        <i/>
        <sz val="12"/>
        <rFont val="Times New Roman"/>
        <family val="1"/>
      </rPr>
      <t>Minn. Stat. §205.10, subd. 6</t>
    </r>
  </si>
  <si>
    <r>
      <t xml:space="preserve">Secretary of State:  </t>
    </r>
    <r>
      <rPr>
        <sz val="12"/>
        <rFont val="Times New Roman"/>
        <family val="1"/>
      </rPr>
      <t xml:space="preserve">Last day for the governing body of a municipality to cancel a special election scheduled for State Primary Day that was ordered on its own motion - not less than 46 days before the election.  </t>
    </r>
    <r>
      <rPr>
        <i/>
        <sz val="12"/>
        <rFont val="Times New Roman"/>
        <family val="1"/>
      </rPr>
      <t>Minn. Stat. §205.10, subd. 6</t>
    </r>
  </si>
  <si>
    <r>
      <t xml:space="preserve">Cities with a Primary:  </t>
    </r>
    <r>
      <rPr>
        <sz val="12"/>
        <rFont val="Times New Roman"/>
        <family val="1"/>
      </rPr>
      <t xml:space="preserve">Last day for the governing body of a municipality to cancel a special election scheduled for State Primary Day that was ordered on its own motion - not less than 46 days before the election.  </t>
    </r>
    <r>
      <rPr>
        <i/>
        <sz val="12"/>
        <rFont val="Times New Roman"/>
        <family val="1"/>
      </rPr>
      <t>Minn. Stat. §205.10, subd. 6</t>
    </r>
  </si>
  <si>
    <r>
      <t xml:space="preserve">Counties:  </t>
    </r>
    <r>
      <rPr>
        <sz val="12"/>
        <rFont val="Times New Roman"/>
        <family val="1"/>
      </rPr>
      <t xml:space="preserve">Last day for the governing body of a municipality to cancel a special election scheduled for State Primary Day that was ordered on its own motion - not less than 46 days before the election.  </t>
    </r>
    <r>
      <rPr>
        <i/>
        <sz val="12"/>
        <rFont val="Times New Roman"/>
        <family val="1"/>
      </rPr>
      <t>Minn. Stat. §205.10, subd. 6</t>
    </r>
  </si>
  <si>
    <r>
      <t xml:space="preserve">Towns with March Elections:  </t>
    </r>
    <r>
      <rPr>
        <sz val="12"/>
        <rFont val="Times New Roman"/>
        <family val="1"/>
      </rPr>
      <t xml:space="preserve">Last day for the governing body of a municipality to cancel a special election scheduled for State Primary Day that was ordered on its own motion - not less than 46 days before the election.  </t>
    </r>
    <r>
      <rPr>
        <i/>
        <sz val="12"/>
        <rFont val="Times New Roman"/>
        <family val="1"/>
      </rPr>
      <t>Minn. Stat. §205.10, subd. 6</t>
    </r>
  </si>
  <si>
    <r>
      <t xml:space="preserve">Towns with November Elections:  </t>
    </r>
    <r>
      <rPr>
        <sz val="12"/>
        <rFont val="Times New Roman"/>
        <family val="1"/>
      </rPr>
      <t xml:space="preserve">Last day for the governing body of a municipality to cancel a special election scheduled for State Primary Day that was ordered on its own motion - not less than 46 days before the election.  </t>
    </r>
    <r>
      <rPr>
        <i/>
        <sz val="12"/>
        <rFont val="Times New Roman"/>
        <family val="1"/>
      </rPr>
      <t>Minn. Stat. §205.10, subd. 6</t>
    </r>
  </si>
  <si>
    <r>
      <t xml:space="preserve">Counties: </t>
    </r>
    <r>
      <rPr>
        <sz val="12"/>
        <rFont val="Times New Roman"/>
        <family val="1"/>
      </rPr>
      <t xml:space="preserve">Last day for Secretary of State to prescribe form for election summary statements and abstracts.  Each county auditor and municipal or school district clerk required to furnish summary statements </t>
    </r>
    <r>
      <rPr>
        <b/>
        <i/>
        <u/>
        <sz val="12"/>
        <rFont val="Times New Roman"/>
        <family val="1"/>
      </rPr>
      <t>shall</t>
    </r>
    <r>
      <rPr>
        <sz val="12"/>
        <rFont val="Times New Roman"/>
        <family val="1"/>
      </rPr>
      <t xml:space="preserve"> prepare them in the manner prescribed by the OSS - no later than 10 weeks before the state primary of each even numbered year.  </t>
    </r>
    <r>
      <rPr>
        <i/>
        <sz val="12"/>
        <rFont val="Times New Roman"/>
        <family val="1"/>
      </rPr>
      <t>Minn. Stat. §204C.26, subd. 3</t>
    </r>
  </si>
  <si>
    <r>
      <t xml:space="preserve">Secretary of State: </t>
    </r>
    <r>
      <rPr>
        <sz val="12"/>
        <rFont val="Times New Roman"/>
        <family val="1"/>
      </rPr>
      <t xml:space="preserve">Last day for Secretary of State to prescribe form for election summary statements and abstracts.  Each county auditor and municipal or school district clerk required to furnish summary statements </t>
    </r>
    <r>
      <rPr>
        <b/>
        <i/>
        <u/>
        <sz val="12"/>
        <rFont val="Times New Roman"/>
        <family val="1"/>
      </rPr>
      <t>shall</t>
    </r>
    <r>
      <rPr>
        <sz val="12"/>
        <rFont val="Times New Roman"/>
        <family val="1"/>
      </rPr>
      <t xml:space="preserve"> prepare them in the manner prescribed by the OSS - no later than 10 weeks before the state primary of each even numbered year.  </t>
    </r>
    <r>
      <rPr>
        <i/>
        <sz val="12"/>
        <rFont val="Times New Roman"/>
        <family val="1"/>
      </rPr>
      <t>Minn. Stat. §204C.26, subd. 3</t>
    </r>
  </si>
  <si>
    <r>
      <t xml:space="preserve">Cities with a Primary: </t>
    </r>
    <r>
      <rPr>
        <sz val="12"/>
        <rFont val="Times New Roman"/>
        <family val="1"/>
      </rPr>
      <t xml:space="preserve">Last day for Secretary of State to prescribe form for election summary statements and abstracts.  Each county auditor and municipal or school district clerk required to furnish summary statements </t>
    </r>
    <r>
      <rPr>
        <b/>
        <i/>
        <u/>
        <sz val="12"/>
        <rFont val="Times New Roman"/>
        <family val="1"/>
      </rPr>
      <t>shall</t>
    </r>
    <r>
      <rPr>
        <sz val="12"/>
        <rFont val="Times New Roman"/>
        <family val="1"/>
      </rPr>
      <t xml:space="preserve"> prepare them in the manner prescribed by the OSS - no later than 10 weeks before the state primary of each even numbered year.  </t>
    </r>
    <r>
      <rPr>
        <i/>
        <sz val="12"/>
        <rFont val="Times New Roman"/>
        <family val="1"/>
      </rPr>
      <t>Minn. Stat. §204C.26, subd. 3</t>
    </r>
  </si>
  <si>
    <r>
      <t xml:space="preserve">Cities without a Primary: </t>
    </r>
    <r>
      <rPr>
        <sz val="12"/>
        <rFont val="Times New Roman"/>
        <family val="1"/>
      </rPr>
      <t xml:space="preserve">Last day for Secretary of State to prescribe form for election summary statements and abstracts.  Each county auditor and municipal or school district clerk required to furnish summary statements </t>
    </r>
    <r>
      <rPr>
        <b/>
        <i/>
        <u/>
        <sz val="12"/>
        <rFont val="Times New Roman"/>
        <family val="1"/>
      </rPr>
      <t>shall</t>
    </r>
    <r>
      <rPr>
        <sz val="12"/>
        <rFont val="Times New Roman"/>
        <family val="1"/>
      </rPr>
      <t xml:space="preserve"> prepare them in the manner prescribed by the OSS - no later than 10 weeks before the state primary of each even numbered year.  </t>
    </r>
    <r>
      <rPr>
        <i/>
        <sz val="12"/>
        <rFont val="Times New Roman"/>
        <family val="1"/>
      </rPr>
      <t>Minn. Stat. §204C.26, subd. 3</t>
    </r>
  </si>
  <si>
    <r>
      <t xml:space="preserve">Towns with March Elections: </t>
    </r>
    <r>
      <rPr>
        <sz val="12"/>
        <rFont val="Times New Roman"/>
        <family val="1"/>
      </rPr>
      <t xml:space="preserve">Last day for Secretary of State to prescribe form for election summary statements and abstracts.  Each county auditor and municipal or school district clerk required to furnish summary statements </t>
    </r>
    <r>
      <rPr>
        <b/>
        <i/>
        <u/>
        <sz val="12"/>
        <rFont val="Times New Roman"/>
        <family val="1"/>
      </rPr>
      <t>shall</t>
    </r>
    <r>
      <rPr>
        <sz val="12"/>
        <rFont val="Times New Roman"/>
        <family val="1"/>
      </rPr>
      <t xml:space="preserve"> prepare them in the manner prescribed by the OSS - no later than 10 weeks before the state primary of each even numbered year.  </t>
    </r>
    <r>
      <rPr>
        <i/>
        <sz val="12"/>
        <rFont val="Times New Roman"/>
        <family val="1"/>
      </rPr>
      <t>Minn. Stat. §204C.26, subd. 3</t>
    </r>
  </si>
  <si>
    <r>
      <t xml:space="preserve">Towns with November Elections: </t>
    </r>
    <r>
      <rPr>
        <sz val="12"/>
        <rFont val="Times New Roman"/>
        <family val="1"/>
      </rPr>
      <t xml:space="preserve">Last day for Secretary of State to prescribe form for election summary statements and abstracts.  Each county auditor and municipal or school district clerk required to furnish summary statements </t>
    </r>
    <r>
      <rPr>
        <b/>
        <i/>
        <u/>
        <sz val="12"/>
        <rFont val="Times New Roman"/>
        <family val="1"/>
      </rPr>
      <t>shall</t>
    </r>
    <r>
      <rPr>
        <sz val="12"/>
        <rFont val="Times New Roman"/>
        <family val="1"/>
      </rPr>
      <t xml:space="preserve"> prepare them in the manner prescribed by the OSS - no later than 10 weeks before the state primary of each even numbered year.  </t>
    </r>
    <r>
      <rPr>
        <i/>
        <sz val="12"/>
        <rFont val="Times New Roman"/>
        <family val="1"/>
      </rPr>
      <t>Minn. Stat. §204C.26, subd. 3</t>
    </r>
  </si>
  <si>
    <r>
      <t xml:space="preserve">School Districts without a Primary: </t>
    </r>
    <r>
      <rPr>
        <sz val="12"/>
        <rFont val="Times New Roman"/>
        <family val="1"/>
      </rPr>
      <t xml:space="preserve">Last day for Secretary of State to prescribe form for election summary statements and abstracts.  Each county auditor and municipal or school district clerk required to furnish summary statements </t>
    </r>
    <r>
      <rPr>
        <b/>
        <i/>
        <u/>
        <sz val="12"/>
        <rFont val="Times New Roman"/>
        <family val="1"/>
      </rPr>
      <t>shall</t>
    </r>
    <r>
      <rPr>
        <sz val="12"/>
        <rFont val="Times New Roman"/>
        <family val="1"/>
      </rPr>
      <t xml:space="preserve"> prepare them in the manner prescribed by the OSS - no later than 10 weeks before the state primary of each even numbered year.  </t>
    </r>
    <r>
      <rPr>
        <i/>
        <sz val="12"/>
        <rFont val="Times New Roman"/>
        <family val="1"/>
      </rPr>
      <t>Minn. Stat. §204C.26, subd. 3</t>
    </r>
  </si>
  <si>
    <r>
      <t xml:space="preserve">Secretary of State: </t>
    </r>
    <r>
      <rPr>
        <sz val="12"/>
        <rFont val="Times New Roman"/>
        <family val="1"/>
      </rPr>
      <t xml:space="preserve">Ballot layout begins (or is finalized) for the State Primary. The official charged with the preparation and distribution of primary ballots shall prepare instructions to the printer for rotation of the names of candidates and for layout of the ballot.  Except for towns, the instructions shall be approved by the legal advisor of the official before delivery of instructions (usually means proofs) to the printer.  </t>
    </r>
    <r>
      <rPr>
        <i/>
        <sz val="12"/>
        <rFont val="Times New Roman"/>
        <family val="1"/>
      </rPr>
      <t>Minn. Stat. 204D.04, subd. 2</t>
    </r>
  </si>
  <si>
    <r>
      <t xml:space="preserve">Counties: </t>
    </r>
    <r>
      <rPr>
        <sz val="12"/>
        <rFont val="Times New Roman"/>
        <family val="1"/>
      </rPr>
      <t xml:space="preserve">Ballot layout begins (or is finalized) for the State Primary. The official charged with the preparation and distribution of primary ballots shall prepare instructions to the printer for rotation of the names of candidates and for layout of the ballot.  Except for towns, the instructions shall be approved by the legal advisor of the official before delivery of instructions (usually means proofs) to the printer.  </t>
    </r>
    <r>
      <rPr>
        <i/>
        <sz val="12"/>
        <rFont val="Times New Roman"/>
        <family val="1"/>
      </rPr>
      <t>Minn. Stat. 204D.04, subd. 2</t>
    </r>
  </si>
  <si>
    <r>
      <t xml:space="preserve">Cities with a Primary: </t>
    </r>
    <r>
      <rPr>
        <sz val="12"/>
        <rFont val="Times New Roman"/>
        <family val="1"/>
      </rPr>
      <t xml:space="preserve">Ballot layout begins (or is finalized) for the State Primary. The official charged with the preparation and distribution of primary ballots shall prepare instructions to the printer for rotation of the names of candidates and for layout of the ballot.  Except for towns, the instructions shall be approved by the legal advisor of the official before delivery of instructions (usually means proofs) to the printer.  </t>
    </r>
    <r>
      <rPr>
        <i/>
        <sz val="12"/>
        <rFont val="Times New Roman"/>
        <family val="1"/>
      </rPr>
      <t>Minn. Stat. 204D.04, subd. 2</t>
    </r>
  </si>
  <si>
    <r>
      <t xml:space="preserve">School Districts with a Primary: </t>
    </r>
    <r>
      <rPr>
        <sz val="12"/>
        <rFont val="Times New Roman"/>
        <family val="1"/>
      </rPr>
      <t xml:space="preserve">Ballot layout begins (or is finalized) for the State Primary. The official charged with the preparation and distribution of primary ballots shall prepare instructions to the printer for rotation of the names of candidates and for layout of the ballot.  Except for towns, the instructions shall be approved by the legal advisor of the official before delivery of instructions (usually means proofs) to the printer.  </t>
    </r>
    <r>
      <rPr>
        <i/>
        <sz val="12"/>
        <rFont val="Times New Roman"/>
        <family val="1"/>
      </rPr>
      <t>Minn. Stat. 204D.04, subd. 2</t>
    </r>
  </si>
  <si>
    <r>
      <t xml:space="preserve">Counties: </t>
    </r>
    <r>
      <rPr>
        <sz val="12"/>
        <rFont val="Times New Roman"/>
        <family val="1"/>
      </rPr>
      <t xml:space="preserve">Send candidate names, addresses, phone numbers to auditor for city and school district primary candidates.  </t>
    </r>
  </si>
  <si>
    <r>
      <t xml:space="preserve">Cities with a Primary: </t>
    </r>
    <r>
      <rPr>
        <sz val="12"/>
        <rFont val="Times New Roman"/>
        <family val="1"/>
      </rPr>
      <t xml:space="preserve">Send candidate names, addresses, phone numbers to auditor for city primary candidates.  </t>
    </r>
  </si>
  <si>
    <r>
      <t>School Districts with a Primary:</t>
    </r>
    <r>
      <rPr>
        <sz val="12"/>
        <rFont val="Times New Roman"/>
        <family val="1"/>
      </rPr>
      <t xml:space="preserve"> Send Candidate names, addresses, phone numbers to auditor for school district primary candidates.</t>
    </r>
  </si>
  <si>
    <t>205.16, subd. 4; 205A.07, subd. 3</t>
  </si>
  <si>
    <r>
      <t>Cities with a Primary:</t>
    </r>
    <r>
      <rPr>
        <sz val="12"/>
        <rFont val="Times New Roman"/>
        <family val="1"/>
      </rPr>
      <t xml:space="preserve"> Last day to notify auditor of primary election for questions and offices. </t>
    </r>
    <r>
      <rPr>
        <i/>
        <sz val="12"/>
        <rFont val="Times New Roman"/>
        <family val="1"/>
      </rPr>
      <t>(May not know if enough candidates exist to require an office primary election until 6/5/14--end of filing and withdrawal period)</t>
    </r>
    <r>
      <rPr>
        <sz val="12"/>
        <rFont val="Times New Roman"/>
        <family val="1"/>
      </rPr>
      <t xml:space="preserve"> - at least 74 days before primary.  </t>
    </r>
    <r>
      <rPr>
        <i/>
        <sz val="12"/>
        <rFont val="Times New Roman"/>
        <family val="1"/>
      </rPr>
      <t xml:space="preserve"> Minn. Stat. §205.16, subd. 4</t>
    </r>
  </si>
  <si>
    <r>
      <t xml:space="preserve">School Districts with a Primary: </t>
    </r>
    <r>
      <rPr>
        <sz val="12"/>
        <rFont val="Times New Roman"/>
        <family val="1"/>
      </rPr>
      <t xml:space="preserve">Last day to notify auditor of Primary election for questions and offices. </t>
    </r>
    <r>
      <rPr>
        <i/>
        <sz val="12"/>
        <rFont val="Times New Roman"/>
        <family val="1"/>
      </rPr>
      <t>(May not know if enough candidates exist to require an office primary election until 6/5/14--end of filing and withdrawal period)</t>
    </r>
    <r>
      <rPr>
        <sz val="12"/>
        <rFont val="Times New Roman"/>
        <family val="1"/>
      </rPr>
      <t xml:space="preserve"> - 74 days before primary. </t>
    </r>
    <r>
      <rPr>
        <i/>
        <sz val="12"/>
        <rFont val="Times New Roman"/>
        <family val="1"/>
      </rPr>
      <t>Minn. Stat. §205A.07, subd. 3</t>
    </r>
  </si>
  <si>
    <r>
      <t xml:space="preserve">Secretary of State: </t>
    </r>
    <r>
      <rPr>
        <sz val="12"/>
        <rFont val="Times New Roman"/>
        <family val="1"/>
      </rPr>
      <t xml:space="preserve">Secretary of State certifies candidates to County Auditor for Primary Election </t>
    </r>
    <r>
      <rPr>
        <i/>
        <sz val="12"/>
        <rFont val="Times New Roman"/>
        <family val="1"/>
      </rPr>
      <t>(usually sends list well before 42-day deadline)</t>
    </r>
    <r>
      <rPr>
        <sz val="12"/>
        <rFont val="Times New Roman"/>
        <family val="1"/>
      </rPr>
      <t xml:space="preserve"> - at least 42 days before a State Primary. </t>
    </r>
    <r>
      <rPr>
        <i/>
        <sz val="12"/>
        <rFont val="Times New Roman"/>
        <family val="1"/>
      </rPr>
      <t>Minn. Stat. §204D.06</t>
    </r>
  </si>
  <si>
    <r>
      <t xml:space="preserve">Counties: </t>
    </r>
    <r>
      <rPr>
        <sz val="12"/>
        <rFont val="Times New Roman"/>
        <family val="1"/>
      </rPr>
      <t xml:space="preserve">Secretary of State certifies candidates to County Auditor for Primary Election </t>
    </r>
    <r>
      <rPr>
        <i/>
        <sz val="12"/>
        <rFont val="Times New Roman"/>
        <family val="1"/>
      </rPr>
      <t xml:space="preserve">(usually sends list well before 42-day deadline) </t>
    </r>
    <r>
      <rPr>
        <sz val="12"/>
        <rFont val="Times New Roman"/>
        <family val="1"/>
      </rPr>
      <t xml:space="preserve">- at least 42 days before a State Primary. </t>
    </r>
    <r>
      <rPr>
        <i/>
        <sz val="12"/>
        <rFont val="Times New Roman"/>
        <family val="1"/>
      </rPr>
      <t>Minn. Stat. §204D.06</t>
    </r>
  </si>
  <si>
    <r>
      <t xml:space="preserve">School Districts without a Primary: </t>
    </r>
    <r>
      <rPr>
        <sz val="12"/>
        <rFont val="Times New Roman"/>
        <family val="1"/>
      </rPr>
      <t xml:space="preserve">Last day to notify auditor of special election during primary - 74 days before primary. </t>
    </r>
    <r>
      <rPr>
        <i/>
        <sz val="12"/>
        <rFont val="Times New Roman"/>
        <family val="1"/>
      </rPr>
      <t>Minn. Stat. §205A.07, subd. 3</t>
    </r>
  </si>
  <si>
    <r>
      <t>Cities without a Primary:</t>
    </r>
    <r>
      <rPr>
        <sz val="12"/>
        <rFont val="Times New Roman"/>
        <family val="1"/>
      </rPr>
      <t xml:space="preserve"> Last day to notify auditor of special election during primary - at least 74 days before primary.  </t>
    </r>
    <r>
      <rPr>
        <i/>
        <sz val="12"/>
        <rFont val="Times New Roman"/>
        <family val="1"/>
      </rPr>
      <t xml:space="preserve"> Minn. Stat. §205.16, subd. 4</t>
    </r>
  </si>
  <si>
    <r>
      <t xml:space="preserve">Secretary of State: </t>
    </r>
    <r>
      <rPr>
        <sz val="12"/>
        <rFont val="Times New Roman"/>
        <family val="1"/>
      </rPr>
      <t xml:space="preserve">Last day for county auditors to meet or otherwise communicate with local election officials to review election procedures - at least 18 weeks before the general election. </t>
    </r>
    <r>
      <rPr>
        <i/>
        <sz val="12"/>
        <rFont val="Times New Roman"/>
        <family val="1"/>
      </rPr>
      <t>Minn. Stat. §204B.28, subd. 1</t>
    </r>
  </si>
  <si>
    <r>
      <t xml:space="preserve">Counties: </t>
    </r>
    <r>
      <rPr>
        <sz val="12"/>
        <rFont val="Times New Roman"/>
        <family val="1"/>
      </rPr>
      <t xml:space="preserve">Last day for county auditors to meet or otherwise communicate with local election officials to review election procedures - at least 18 weeks before the general election. </t>
    </r>
    <r>
      <rPr>
        <i/>
        <sz val="12"/>
        <rFont val="Times New Roman"/>
        <family val="1"/>
      </rPr>
      <t>Minn. Stat. §204B.28, subd. 1</t>
    </r>
  </si>
  <si>
    <r>
      <t xml:space="preserve">Cities with a Primary: </t>
    </r>
    <r>
      <rPr>
        <sz val="12"/>
        <rFont val="Times New Roman"/>
        <family val="1"/>
      </rPr>
      <t xml:space="preserve">Last day for county auditors to meet or otherwise communicate with local election officials to review election procedures - at least 18 weeks before the general election. </t>
    </r>
    <r>
      <rPr>
        <i/>
        <sz val="12"/>
        <rFont val="Times New Roman"/>
        <family val="1"/>
      </rPr>
      <t>Minn. Stat. §204B.28, subd. 1</t>
    </r>
  </si>
  <si>
    <r>
      <t xml:space="preserve">Cities without a Primary: </t>
    </r>
    <r>
      <rPr>
        <sz val="12"/>
        <rFont val="Times New Roman"/>
        <family val="1"/>
      </rPr>
      <t xml:space="preserve">Last day for county auditors to meet or otherwise communicate with local election officials to review election procedures - at least 18 weeks before the general election. </t>
    </r>
    <r>
      <rPr>
        <i/>
        <sz val="12"/>
        <rFont val="Times New Roman"/>
        <family val="1"/>
      </rPr>
      <t>Minn. Stat. §204B.28, subd. 1</t>
    </r>
  </si>
  <si>
    <r>
      <t xml:space="preserve">Towns with March Elections: </t>
    </r>
    <r>
      <rPr>
        <sz val="12"/>
        <rFont val="Times New Roman"/>
        <family val="1"/>
      </rPr>
      <t xml:space="preserve">Last day for county auditors to meet or otherwise communicate with local election officials to review election procedures - at least 18 weeks before the general election. </t>
    </r>
    <r>
      <rPr>
        <i/>
        <sz val="12"/>
        <rFont val="Times New Roman"/>
        <family val="1"/>
      </rPr>
      <t>Minn. Stat. §204B.28, subd. 1</t>
    </r>
  </si>
  <si>
    <r>
      <t xml:space="preserve">Towns with November Elections: </t>
    </r>
    <r>
      <rPr>
        <sz val="12"/>
        <rFont val="Times New Roman"/>
        <family val="1"/>
      </rPr>
      <t xml:space="preserve">Last day for county auditors to meet or otherwise communicate with local election officials to review election procedures - at least 18 weeks before the general election. </t>
    </r>
    <r>
      <rPr>
        <i/>
        <sz val="12"/>
        <rFont val="Times New Roman"/>
        <family val="1"/>
      </rPr>
      <t>Minn. Stat. §204B.28, subd. 1</t>
    </r>
  </si>
  <si>
    <r>
      <t xml:space="preserve">School Districts without a Primary: </t>
    </r>
    <r>
      <rPr>
        <sz val="12"/>
        <rFont val="Times New Roman"/>
        <family val="1"/>
      </rPr>
      <t xml:space="preserve">Last day for county auditors to meet or otherwise communicate with local election officials to review election procedures - at least 18 weeks before the general election. </t>
    </r>
    <r>
      <rPr>
        <i/>
        <sz val="12"/>
        <rFont val="Times New Roman"/>
        <family val="1"/>
      </rPr>
      <t>Minn. Stat. §204B.28, subd. 1</t>
    </r>
  </si>
  <si>
    <r>
      <t xml:space="preserve">School Districts with a Primary: </t>
    </r>
    <r>
      <rPr>
        <sz val="12"/>
        <rFont val="Times New Roman"/>
        <family val="1"/>
      </rPr>
      <t xml:space="preserve">Last day for county auditors to meet or otherwise communicate with local election officials to review election procedures - at least 18 weeks before the general election. </t>
    </r>
    <r>
      <rPr>
        <i/>
        <sz val="12"/>
        <rFont val="Times New Roman"/>
        <family val="1"/>
      </rPr>
      <t>Minn. Stat. §204B.28, subd. 1</t>
    </r>
  </si>
  <si>
    <r>
      <t xml:space="preserve">Secretary of State:  </t>
    </r>
    <r>
      <rPr>
        <sz val="12"/>
        <rFont val="Times New Roman"/>
        <family val="1"/>
      </rPr>
      <t xml:space="preserve">Last day for municipality to cancel a special election scheduled for State Primary Day that was ordered on its own motion - not less than 46 days before the election.  </t>
    </r>
    <r>
      <rPr>
        <i/>
        <sz val="12"/>
        <rFont val="Times New Roman"/>
        <family val="1"/>
      </rPr>
      <t>Minn. Stat. §205.10, subd. 6</t>
    </r>
  </si>
  <si>
    <r>
      <t xml:space="preserve">Counties:  </t>
    </r>
    <r>
      <rPr>
        <sz val="12"/>
        <rFont val="Times New Roman"/>
        <family val="1"/>
      </rPr>
      <t xml:space="preserve">Last day for municipality to cancel a special election scheduled for State Primary Day that was ordered on its own motion - not less than 46 days before the election.  </t>
    </r>
    <r>
      <rPr>
        <i/>
        <sz val="12"/>
        <rFont val="Times New Roman"/>
        <family val="1"/>
      </rPr>
      <t>Minn. Stat. §205.10, subd. 6</t>
    </r>
  </si>
  <si>
    <r>
      <t xml:space="preserve">Cities with a Primary:  </t>
    </r>
    <r>
      <rPr>
        <sz val="12"/>
        <rFont val="Times New Roman"/>
        <family val="1"/>
      </rPr>
      <t xml:space="preserve">Last day for municipality to cancel a special election scheduled for State Primary Day that was ordered on its own motion - not less than 46 days before the election.  </t>
    </r>
    <r>
      <rPr>
        <i/>
        <sz val="12"/>
        <rFont val="Times New Roman"/>
        <family val="1"/>
      </rPr>
      <t>Minn. Stat. §205.10, subd. 6</t>
    </r>
  </si>
  <si>
    <r>
      <t xml:space="preserve">Cities without a Primary:  </t>
    </r>
    <r>
      <rPr>
        <sz val="12"/>
        <rFont val="Times New Roman"/>
        <family val="1"/>
      </rPr>
      <t xml:space="preserve">Last day for municipality to cancel a special election scheduled for State Primary Day that was ordered on its own motion - not less than 46 days before the election.  </t>
    </r>
    <r>
      <rPr>
        <i/>
        <sz val="12"/>
        <rFont val="Times New Roman"/>
        <family val="1"/>
      </rPr>
      <t>Minn. Stat. §205.10, subd. 6</t>
    </r>
  </si>
  <si>
    <r>
      <t xml:space="preserve">Towns with March Elections:  </t>
    </r>
    <r>
      <rPr>
        <sz val="12"/>
        <rFont val="Times New Roman"/>
        <family val="1"/>
      </rPr>
      <t xml:space="preserve">Last day for municipality to cancel a special election scheduled for State Primary Day that was ordered on its own motion - not less than 46 days before the election.  </t>
    </r>
    <r>
      <rPr>
        <i/>
        <sz val="12"/>
        <rFont val="Times New Roman"/>
        <family val="1"/>
      </rPr>
      <t>Minn. Stat. §205.10, subd. 6</t>
    </r>
  </si>
  <si>
    <r>
      <t xml:space="preserve">Towns with November Elections:  </t>
    </r>
    <r>
      <rPr>
        <sz val="12"/>
        <rFont val="Times New Roman"/>
        <family val="1"/>
      </rPr>
      <t xml:space="preserve">Last day for municipality to cancel a special election scheduled for State Primary Day that was ordered on its own motion - not less than 46 days before the election.  </t>
    </r>
    <r>
      <rPr>
        <i/>
        <sz val="12"/>
        <rFont val="Times New Roman"/>
        <family val="1"/>
      </rPr>
      <t>Minn. Stat. §205.10, subd. 6</t>
    </r>
  </si>
  <si>
    <r>
      <t>Counties:</t>
    </r>
    <r>
      <rPr>
        <sz val="12"/>
        <rFont val="Times New Roman"/>
        <family val="1"/>
      </rPr>
      <t xml:space="preserve"> County auditors/municipal clerks shall prepare a new electronic voting system plan for precincts and counting centers and submit signed and notarized to OSS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</si>
  <si>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Secretary of State:</t>
    </r>
    <r>
      <rPr>
        <sz val="12"/>
        <rFont val="Times New Roman"/>
        <family val="1"/>
      </rPr>
      <t xml:space="preserve"> County auditors/municipal clerks shall prepare a new electronic voting system plan for precincts and counting centers and submit signed and notarized to OSS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</si>
  <si>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Cities with a Primary:</t>
    </r>
    <r>
      <rPr>
        <sz val="12"/>
        <rFont val="Times New Roman"/>
        <family val="1"/>
      </rPr>
      <t xml:space="preserve"> County auditors/municipal clerks shall prepare a new electronic voting system plan for precincts and counting centers and submit signed and notarized to OSS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</si>
  <si>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Cities without a Primary:</t>
    </r>
    <r>
      <rPr>
        <sz val="12"/>
        <rFont val="Times New Roman"/>
        <family val="1"/>
      </rPr>
      <t xml:space="preserve"> County auditors/municipal clerks shall prepare a new electronic voting system plan for precincts and counting centers and submit signed and notarized to OSS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</si>
  <si>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Towns with March Elections:</t>
    </r>
    <r>
      <rPr>
        <sz val="12"/>
        <rFont val="Times New Roman"/>
        <family val="1"/>
      </rPr>
      <t xml:space="preserve"> County auditors/municipal clerks shall prepare a new electronic voting system plan for precincts and counting centers and submit signed and notarized to OSS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</si>
  <si>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Towns with November Elections:</t>
    </r>
    <r>
      <rPr>
        <sz val="12"/>
        <rFont val="Times New Roman"/>
        <family val="1"/>
      </rPr>
      <t xml:space="preserve"> County auditors/municipal clerks shall prepare a new electronic voting system plan for precincts and counting centers and submit signed and notarized to OSS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</si>
  <si>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 xml:space="preserve">Secretary of State: </t>
    </r>
    <r>
      <rPr>
        <sz val="12"/>
        <rFont val="Times New Roman"/>
        <family val="1"/>
      </rPr>
      <t xml:space="preserve">Last day for municipalities to disseminate information to the public about the use of a new voting system - at least 60 days prior to the first-use election.  </t>
    </r>
    <r>
      <rPr>
        <i/>
        <sz val="12"/>
        <rFont val="Times New Roman"/>
        <family val="1"/>
      </rPr>
      <t xml:space="preserve">Minn. Stat. §206.58, subd. 1 </t>
    </r>
  </si>
  <si>
    <r>
      <t xml:space="preserve">Counties: </t>
    </r>
    <r>
      <rPr>
        <sz val="12"/>
        <rFont val="Times New Roman"/>
        <family val="1"/>
      </rPr>
      <t xml:space="preserve">Last day for municipalities to disseminate information to the public about the use of a new voting system - at least 60 days prior to the first-use election.  </t>
    </r>
    <r>
      <rPr>
        <i/>
        <sz val="12"/>
        <rFont val="Times New Roman"/>
        <family val="1"/>
      </rPr>
      <t xml:space="preserve">Minn. Stat. §206.58, subd. 1 </t>
    </r>
  </si>
  <si>
    <r>
      <t xml:space="preserve">Cities with a Primary: </t>
    </r>
    <r>
      <rPr>
        <sz val="12"/>
        <rFont val="Times New Roman"/>
        <family val="1"/>
      </rPr>
      <t xml:space="preserve">Last day for municipalities to disseminate information to the public about the use of a new voting system - at least 60 days prior to the first-use election.  </t>
    </r>
    <r>
      <rPr>
        <i/>
        <sz val="12"/>
        <rFont val="Times New Roman"/>
        <family val="1"/>
      </rPr>
      <t xml:space="preserve">Minn. Stat. §206.58, subd. 1 </t>
    </r>
  </si>
  <si>
    <r>
      <t xml:space="preserve">Cities without a Primary: </t>
    </r>
    <r>
      <rPr>
        <sz val="12"/>
        <rFont val="Times New Roman"/>
        <family val="1"/>
      </rPr>
      <t xml:space="preserve">Last day for municipalities to disseminate information to the public about the use of a new voting system - at least 60 days prior to the first-use election.  </t>
    </r>
    <r>
      <rPr>
        <i/>
        <sz val="12"/>
        <rFont val="Times New Roman"/>
        <family val="1"/>
      </rPr>
      <t xml:space="preserve">Minn. Stat. §206.58, subd. 1 </t>
    </r>
  </si>
  <si>
    <r>
      <t xml:space="preserve">Towns with March Elections: </t>
    </r>
    <r>
      <rPr>
        <sz val="12"/>
        <rFont val="Times New Roman"/>
        <family val="1"/>
      </rPr>
      <t xml:space="preserve">Last day for municipalities to disseminate information to the public about the use of a new voting system - at least 60 days prior to the first-use election.  </t>
    </r>
    <r>
      <rPr>
        <i/>
        <sz val="12"/>
        <rFont val="Times New Roman"/>
        <family val="1"/>
      </rPr>
      <t xml:space="preserve">Minn. Stat. §206.58, subd. 1 </t>
    </r>
  </si>
  <si>
    <r>
      <t xml:space="preserve">Towns with November Elections: </t>
    </r>
    <r>
      <rPr>
        <sz val="12"/>
        <rFont val="Times New Roman"/>
        <family val="1"/>
      </rPr>
      <t xml:space="preserve">Last day for municipalities to disseminate information to the public about the use of a new voting system - at least 60 days prior to the first-use election.  </t>
    </r>
    <r>
      <rPr>
        <i/>
        <sz val="12"/>
        <rFont val="Times New Roman"/>
        <family val="1"/>
      </rPr>
      <t xml:space="preserve">Minn. Stat. §206.58, subd. 1 </t>
    </r>
  </si>
  <si>
    <r>
      <t xml:space="preserve">Towns with March Elections: </t>
    </r>
    <r>
      <rPr>
        <sz val="12"/>
        <rFont val="Times New Roman"/>
        <family val="1"/>
      </rPr>
      <t xml:space="preserve">Period of time during which Election Judge training courses may be provided - not more than 60 days before the state primary election or fewer than 3 days before the state general election. </t>
    </r>
    <r>
      <rPr>
        <i/>
        <sz val="12"/>
        <rFont val="Times New Roman"/>
        <family val="1"/>
      </rPr>
      <t xml:space="preserve"> Minn. Rule 8240.1300, subp. 4</t>
    </r>
  </si>
  <si>
    <r>
      <t xml:space="preserve">Counties: </t>
    </r>
    <r>
      <rPr>
        <sz val="12"/>
        <rFont val="Times New Roman"/>
        <family val="1"/>
      </rPr>
      <t xml:space="preserve">MACO Auditors Conference </t>
    </r>
    <r>
      <rPr>
        <i/>
        <sz val="12"/>
        <rFont val="Times New Roman"/>
        <family val="1"/>
      </rPr>
      <t>(not confirmed)</t>
    </r>
  </si>
  <si>
    <r>
      <t xml:space="preserve">Secretary of State: </t>
    </r>
    <r>
      <rPr>
        <sz val="12"/>
        <rFont val="Times New Roman"/>
        <family val="1"/>
      </rPr>
      <t xml:space="preserve">MACO Auditors Conference </t>
    </r>
    <r>
      <rPr>
        <i/>
        <sz val="12"/>
        <rFont val="Times New Roman"/>
        <family val="1"/>
      </rPr>
      <t>(not confirmed)</t>
    </r>
  </si>
  <si>
    <r>
      <t xml:space="preserve">Secretary of State: </t>
    </r>
    <r>
      <rPr>
        <sz val="12"/>
        <rFont val="Times New Roman"/>
        <family val="1"/>
      </rPr>
      <t xml:space="preserve">Last day for OSS to load NCOA data - not within 47 days before the state primary.  </t>
    </r>
    <r>
      <rPr>
        <i/>
        <sz val="12"/>
        <rFont val="Times New Roman"/>
        <family val="1"/>
      </rPr>
      <t>Minn. Stat. 201.13, subd. 3</t>
    </r>
  </si>
  <si>
    <r>
      <t xml:space="preserve">Counties: </t>
    </r>
    <r>
      <rPr>
        <sz val="12"/>
        <rFont val="Times New Roman"/>
        <family val="1"/>
      </rPr>
      <t xml:space="preserve">Last day for OSS to load NCOA data - not within 47 days before the state primary.  </t>
    </r>
    <r>
      <rPr>
        <i/>
        <sz val="12"/>
        <rFont val="Times New Roman"/>
        <family val="1"/>
      </rPr>
      <t>Minn. Stat. 201.13, subd. 3</t>
    </r>
  </si>
  <si>
    <r>
      <t xml:space="preserve">Cities with a Primary: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</si>
  <si>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Secretary of State: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</si>
  <si>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Political Parties: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</si>
  <si>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Counties: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</si>
  <si>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Cities without a Primary: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</si>
  <si>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Soil and Water Conservation Districts: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</si>
  <si>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Towns with March Elections: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</si>
  <si>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Towns with November Elections: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</si>
  <si>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School Districts with a Primary: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</si>
  <si>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School Districts without a Primary: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</si>
  <si>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Hospital Districts: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</si>
  <si>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Secretary of State: </t>
    </r>
    <r>
      <rPr>
        <sz val="12"/>
        <rFont val="Times New Roman"/>
        <family val="1"/>
      </rPr>
      <t xml:space="preserve">Last day for municipal governing body, school board, or county board to authorize or revoke mail balloting by resolution - adopted no later than 90 days prior to 1st election at which mail balloting will be used or the next affected election.  </t>
    </r>
    <r>
      <rPr>
        <i/>
        <sz val="12"/>
        <rFont val="Times New Roman"/>
        <family val="1"/>
      </rPr>
      <t>Minn. Rule 8210.3000, subp. 2</t>
    </r>
  </si>
  <si>
    <r>
      <t xml:space="preserve">Counties: </t>
    </r>
    <r>
      <rPr>
        <sz val="12"/>
        <rFont val="Times New Roman"/>
        <family val="1"/>
      </rPr>
      <t xml:space="preserve">Last day for municipal governing body, school board, or county board to authorize or revoke mail balloting by resolution - adopted no later than 90 days prior to 1st election at which mail balloting will be used or the next affected election.  </t>
    </r>
    <r>
      <rPr>
        <i/>
        <sz val="12"/>
        <rFont val="Times New Roman"/>
        <family val="1"/>
      </rPr>
      <t>Minn. Rule 8210.3000, subp. 2</t>
    </r>
  </si>
  <si>
    <r>
      <t xml:space="preserve">Cities with a Primary: </t>
    </r>
    <r>
      <rPr>
        <sz val="12"/>
        <rFont val="Times New Roman"/>
        <family val="1"/>
      </rPr>
      <t xml:space="preserve">Last day for municipal governing body, school board, or county board to authorize or revoke mail balloting by resolution - adopted no later than 90 days prior to 1st election at which mail balloting will be used or the next affected election.  </t>
    </r>
    <r>
      <rPr>
        <i/>
        <sz val="12"/>
        <rFont val="Times New Roman"/>
        <family val="1"/>
      </rPr>
      <t>Minn. Rule 8210.3000, subp. 2</t>
    </r>
  </si>
  <si>
    <r>
      <t xml:space="preserve">Cities without a Primary: </t>
    </r>
    <r>
      <rPr>
        <sz val="12"/>
        <rFont val="Times New Roman"/>
        <family val="1"/>
      </rPr>
      <t xml:space="preserve">Last day for municipal governing body, school board, or county board to authorize or revoke mail balloting by resolution - adopted no later than 90 days prior to 1st election at which mail balloting will be used or the next affected election.  </t>
    </r>
    <r>
      <rPr>
        <i/>
        <sz val="12"/>
        <rFont val="Times New Roman"/>
        <family val="1"/>
      </rPr>
      <t>Minn. Rule 8210.3000, subp. 2</t>
    </r>
  </si>
  <si>
    <r>
      <t xml:space="preserve">Towns with March Elections: </t>
    </r>
    <r>
      <rPr>
        <sz val="12"/>
        <rFont val="Times New Roman"/>
        <family val="1"/>
      </rPr>
      <t xml:space="preserve">Last day for municipal governing body, school board, or county board to authorize or revoke mail balloting by resolution - adopted no later than 90 days prior to 1st election at which mail balloting will be used or the next affected election.  </t>
    </r>
    <r>
      <rPr>
        <i/>
        <sz val="12"/>
        <rFont val="Times New Roman"/>
        <family val="1"/>
      </rPr>
      <t>Minn. Rule 8210.3000, subp. 2</t>
    </r>
  </si>
  <si>
    <r>
      <t xml:space="preserve">Towns with November Elections: </t>
    </r>
    <r>
      <rPr>
        <sz val="12"/>
        <rFont val="Times New Roman"/>
        <family val="1"/>
      </rPr>
      <t xml:space="preserve">Last day for municipal governing body, school board, or county board to authorize or revoke mail balloting by resolution - adopted no later than 90 days prior to 1st election at which mail balloting will be used or the next affected election.  </t>
    </r>
    <r>
      <rPr>
        <i/>
        <sz val="12"/>
        <rFont val="Times New Roman"/>
        <family val="1"/>
      </rPr>
      <t>Minn. Rule 8210.3000, subp. 2</t>
    </r>
  </si>
  <si>
    <r>
      <t xml:space="preserve">School Districts with a Primary: </t>
    </r>
    <r>
      <rPr>
        <sz val="12"/>
        <rFont val="Times New Roman"/>
        <family val="1"/>
      </rPr>
      <t xml:space="preserve">Last day for municipal governing body, school board, or county board to authorize or revoke mail balloting by resolution - adopted no later than 90 days prior to 1st election at which mail balloting will be used or the next affected election.  </t>
    </r>
    <r>
      <rPr>
        <i/>
        <sz val="12"/>
        <rFont val="Times New Roman"/>
        <family val="1"/>
      </rPr>
      <t>Minn. Rule 8210.3000, subp. 2</t>
    </r>
  </si>
  <si>
    <r>
      <t xml:space="preserve">School Districts without a Primary: </t>
    </r>
    <r>
      <rPr>
        <sz val="12"/>
        <rFont val="Times New Roman"/>
        <family val="1"/>
      </rPr>
      <t xml:space="preserve">Last day for municipal governing body, school board, or county board to authorize or revoke mail balloting by resolution - adopted no later than 90 days prior to 1st election at which mail balloting will be used or the next affected election.  </t>
    </r>
    <r>
      <rPr>
        <i/>
        <sz val="12"/>
        <rFont val="Times New Roman"/>
        <family val="1"/>
      </rPr>
      <t>Minn. Rule 8210.3000, subp. 2</t>
    </r>
  </si>
  <si>
    <r>
      <t xml:space="preserve">Secretary of State: </t>
    </r>
    <r>
      <rPr>
        <sz val="12"/>
        <rFont val="Times New Roman"/>
        <family val="1"/>
      </rPr>
      <t xml:space="preserve">County auditor makes master list available for absentee voting - 32 days before primary </t>
    </r>
    <r>
      <rPr>
        <i/>
        <sz val="12"/>
        <rFont val="Times New Roman"/>
        <family val="1"/>
      </rPr>
      <t>(However, ballots must be available for absentee voting at least 46 days prior to the State Primary)</t>
    </r>
    <r>
      <rPr>
        <sz val="12"/>
        <rFont val="Times New Roman"/>
        <family val="1"/>
      </rPr>
      <t xml:space="preserve">.  </t>
    </r>
    <r>
      <rPr>
        <i/>
        <sz val="12"/>
        <rFont val="Times New Roman"/>
        <family val="1"/>
      </rPr>
      <t xml:space="preserve">Minn. Stat. §201.091, subd. 2 </t>
    </r>
  </si>
  <si>
    <r>
      <t xml:space="preserve">Counties: </t>
    </r>
    <r>
      <rPr>
        <sz val="12"/>
        <rFont val="Times New Roman"/>
        <family val="1"/>
      </rPr>
      <t xml:space="preserve">County auditor makes master list available for absentee voting - 32 days before primary </t>
    </r>
    <r>
      <rPr>
        <i/>
        <sz val="12"/>
        <rFont val="Times New Roman"/>
        <family val="1"/>
      </rPr>
      <t>(However, ballots must be available for absentee voting at least 46 days prior to the State Primary)</t>
    </r>
    <r>
      <rPr>
        <sz val="12"/>
        <rFont val="Times New Roman"/>
        <family val="1"/>
      </rPr>
      <t xml:space="preserve">.  </t>
    </r>
    <r>
      <rPr>
        <i/>
        <sz val="12"/>
        <rFont val="Times New Roman"/>
        <family val="1"/>
      </rPr>
      <t xml:space="preserve">Minn. Stat. §201.091, subd. 2 </t>
    </r>
  </si>
  <si>
    <r>
      <t xml:space="preserve">Cities with a Primary: </t>
    </r>
    <r>
      <rPr>
        <sz val="12"/>
        <rFont val="Times New Roman"/>
        <family val="1"/>
      </rPr>
      <t xml:space="preserve">County auditor makes master list available for absentee voting - 32 days before primary </t>
    </r>
    <r>
      <rPr>
        <i/>
        <sz val="12"/>
        <rFont val="Times New Roman"/>
        <family val="1"/>
      </rPr>
      <t>(However, ballots must be available for absentee voting at least 46 days prior to the State Primary)</t>
    </r>
    <r>
      <rPr>
        <sz val="12"/>
        <rFont val="Times New Roman"/>
        <family val="1"/>
      </rPr>
      <t xml:space="preserve">.  </t>
    </r>
    <r>
      <rPr>
        <i/>
        <sz val="12"/>
        <rFont val="Times New Roman"/>
        <family val="1"/>
      </rPr>
      <t xml:space="preserve">Minn. Stat. §201.091, subd. 2 </t>
    </r>
  </si>
  <si>
    <r>
      <t xml:space="preserve">Cities without a Primary: </t>
    </r>
    <r>
      <rPr>
        <sz val="12"/>
        <rFont val="Times New Roman"/>
        <family val="1"/>
      </rPr>
      <t xml:space="preserve">County auditor makes master list available for absentee voting - 32 days before primary </t>
    </r>
    <r>
      <rPr>
        <i/>
        <sz val="12"/>
        <rFont val="Times New Roman"/>
        <family val="1"/>
      </rPr>
      <t>(However, ballots must be available for absentee voting at least 46 days prior to the State Primary)</t>
    </r>
    <r>
      <rPr>
        <sz val="12"/>
        <rFont val="Times New Roman"/>
        <family val="1"/>
      </rPr>
      <t xml:space="preserve">.  </t>
    </r>
    <r>
      <rPr>
        <i/>
        <sz val="12"/>
        <rFont val="Times New Roman"/>
        <family val="1"/>
      </rPr>
      <t xml:space="preserve">Minn. Stat. §201.091, subd. 2 </t>
    </r>
  </si>
  <si>
    <r>
      <t xml:space="preserve">Towns with March Elections: </t>
    </r>
    <r>
      <rPr>
        <sz val="12"/>
        <rFont val="Times New Roman"/>
        <family val="1"/>
      </rPr>
      <t xml:space="preserve">County auditor makes master list available for absentee voting - 32 days before primary </t>
    </r>
    <r>
      <rPr>
        <i/>
        <sz val="12"/>
        <rFont val="Times New Roman"/>
        <family val="1"/>
      </rPr>
      <t>(However, ballots must be available for absentee voting at least 46 days prior to the State Primary)</t>
    </r>
    <r>
      <rPr>
        <sz val="12"/>
        <rFont val="Times New Roman"/>
        <family val="1"/>
      </rPr>
      <t xml:space="preserve">.  </t>
    </r>
    <r>
      <rPr>
        <i/>
        <sz val="12"/>
        <rFont val="Times New Roman"/>
        <family val="1"/>
      </rPr>
      <t xml:space="preserve">Minn. Stat. §201.091, subd. 2 </t>
    </r>
  </si>
  <si>
    <r>
      <t xml:space="preserve">Towns with November Elections: </t>
    </r>
    <r>
      <rPr>
        <sz val="12"/>
        <rFont val="Times New Roman"/>
        <family val="1"/>
      </rPr>
      <t xml:space="preserve">County auditor makes master list available for absentee voting - 32 days before primary </t>
    </r>
    <r>
      <rPr>
        <i/>
        <sz val="12"/>
        <rFont val="Times New Roman"/>
        <family val="1"/>
      </rPr>
      <t>(However, ballots must be available for absentee voting at least 46 days prior to the State Primary)</t>
    </r>
    <r>
      <rPr>
        <sz val="12"/>
        <rFont val="Times New Roman"/>
        <family val="1"/>
      </rPr>
      <t xml:space="preserve">.  </t>
    </r>
    <r>
      <rPr>
        <i/>
        <sz val="12"/>
        <rFont val="Times New Roman"/>
        <family val="1"/>
      </rPr>
      <t xml:space="preserve">Minn. Stat. §201.091, subd. 2 </t>
    </r>
  </si>
  <si>
    <r>
      <t xml:space="preserve">Secretary of State: </t>
    </r>
    <r>
      <rPr>
        <sz val="12"/>
        <rFont val="Times New Roman"/>
        <family val="1"/>
      </rPr>
      <t xml:space="preserve">Record absentee agent name and address for hand delivered absentee return envelopes.  </t>
    </r>
    <r>
      <rPr>
        <i/>
        <sz val="12"/>
        <rFont val="Times New Roman"/>
        <family val="1"/>
      </rPr>
      <t>Minn. Stat. §203B.08; and Minn. Rule 8210.2200</t>
    </r>
  </si>
  <si>
    <r>
      <t xml:space="preserve">Cities with a Primary: </t>
    </r>
    <r>
      <rPr>
        <sz val="12"/>
        <rFont val="Times New Roman"/>
        <family val="1"/>
      </rPr>
      <t xml:space="preserve">Record absentee agent name and address for hand delivered absentee return envelopes.  </t>
    </r>
    <r>
      <rPr>
        <i/>
        <sz val="12"/>
        <rFont val="Times New Roman"/>
        <family val="1"/>
      </rPr>
      <t>Minn. Stat. §203B.08; and Minn. Rule 8210.2200</t>
    </r>
  </si>
  <si>
    <r>
      <t xml:space="preserve">Cities without a Primary: </t>
    </r>
    <r>
      <rPr>
        <sz val="12"/>
        <rFont val="Times New Roman"/>
        <family val="1"/>
      </rPr>
      <t xml:space="preserve">Record absentee agent name and address for hand delivered absentee return envelopes.  </t>
    </r>
    <r>
      <rPr>
        <i/>
        <sz val="12"/>
        <rFont val="Times New Roman"/>
        <family val="1"/>
      </rPr>
      <t>Minn. Stat. §203B.08; and Minn. Rule 8210.2200</t>
    </r>
  </si>
  <si>
    <r>
      <t xml:space="preserve">Towns with March Elections: </t>
    </r>
    <r>
      <rPr>
        <sz val="12"/>
        <rFont val="Times New Roman"/>
        <family val="1"/>
      </rPr>
      <t xml:space="preserve">Record absentee agent name and address for hand delivered absentee return envelopes.  </t>
    </r>
    <r>
      <rPr>
        <i/>
        <sz val="12"/>
        <rFont val="Times New Roman"/>
        <family val="1"/>
      </rPr>
      <t>Minn. Stat. §203B.08; and Minn. Rule 8210.2200</t>
    </r>
  </si>
  <si>
    <r>
      <t xml:space="preserve">Towns with November Elections:  </t>
    </r>
    <r>
      <rPr>
        <sz val="12"/>
        <rFont val="Times New Roman"/>
        <family val="1"/>
      </rPr>
      <t xml:space="preserve">Date, stamp, and record absentee return envelopes retained in office.  </t>
    </r>
    <r>
      <rPr>
        <i/>
        <sz val="12"/>
        <rFont val="Times New Roman"/>
        <family val="1"/>
      </rPr>
      <t>Minn. Stat. §203B.08; Minn. Rule 8210.4000</t>
    </r>
  </si>
  <si>
    <r>
      <t xml:space="preserve">Towns with November Elections: </t>
    </r>
    <r>
      <rPr>
        <sz val="12"/>
        <rFont val="Times New Roman"/>
        <family val="1"/>
      </rPr>
      <t xml:space="preserve">Record absentee agent name and address for hand delivered absentee return envelopes.  </t>
    </r>
    <r>
      <rPr>
        <i/>
        <sz val="12"/>
        <rFont val="Times New Roman"/>
        <family val="1"/>
      </rPr>
      <t>Minn. Stat. §203B.08; and Minn. Rule 8210.2200</t>
    </r>
  </si>
  <si>
    <r>
      <t xml:space="preserve">Secretary of State:  </t>
    </r>
    <r>
      <rPr>
        <sz val="12"/>
        <rFont val="Times New Roman"/>
        <family val="1"/>
      </rPr>
      <t xml:space="preserve">Date, stamp, and record absentee return envelopes retained in office.  </t>
    </r>
    <r>
      <rPr>
        <i/>
        <sz val="12"/>
        <rFont val="Times New Roman"/>
        <family val="1"/>
      </rPr>
      <t>Minn. Stat. §203B.08; Minn. Rule 8210.4000</t>
    </r>
  </si>
  <si>
    <r>
      <t xml:space="preserve">Cities with a Primary:  </t>
    </r>
    <r>
      <rPr>
        <sz val="12"/>
        <rFont val="Times New Roman"/>
        <family val="1"/>
      </rPr>
      <t xml:space="preserve">Date, stamp, and record absentee return envelopes retained in office.  </t>
    </r>
    <r>
      <rPr>
        <i/>
        <sz val="12"/>
        <rFont val="Times New Roman"/>
        <family val="1"/>
      </rPr>
      <t>Minn. Stat. §203B.08; Minn. Rule 8210.4000</t>
    </r>
  </si>
  <si>
    <r>
      <t xml:space="preserve">Cities without a Primary:  </t>
    </r>
    <r>
      <rPr>
        <sz val="12"/>
        <rFont val="Times New Roman"/>
        <family val="1"/>
      </rPr>
      <t xml:space="preserve">Date, stamp, and record absentee return envelopes retained in office.  </t>
    </r>
    <r>
      <rPr>
        <i/>
        <sz val="12"/>
        <rFont val="Times New Roman"/>
        <family val="1"/>
      </rPr>
      <t>Minn. Stat. §203B.08; Minn. Rule 8210.4000</t>
    </r>
  </si>
  <si>
    <r>
      <t xml:space="preserve">Towns with March Elections:  </t>
    </r>
    <r>
      <rPr>
        <sz val="12"/>
        <rFont val="Times New Roman"/>
        <family val="1"/>
      </rPr>
      <t xml:space="preserve">Date, stamp, and record absentee return envelopes retained in office.  </t>
    </r>
    <r>
      <rPr>
        <i/>
        <sz val="12"/>
        <rFont val="Times New Roman"/>
        <family val="1"/>
      </rPr>
      <t>Minn. Stat. §203B.08; Minn. Rule 8210.4000</t>
    </r>
  </si>
  <si>
    <r>
      <t>Cities without a Primary:</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</si>
  <si>
    <r>
      <t>Secretary of State:</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</si>
  <si>
    <r>
      <t>Counties:</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</si>
  <si>
    <r>
      <t>Cities with a Primary:</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</si>
  <si>
    <r>
      <t>Towns with March Elections:</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</si>
  <si>
    <r>
      <t>Towns with November Elections:</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</si>
  <si>
    <r>
      <t>School Districts with a Primary:</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</si>
  <si>
    <r>
      <t xml:space="preserve">Secretary of State: </t>
    </r>
    <r>
      <rPr>
        <sz val="12"/>
        <rFont val="Times New Roman"/>
        <family val="1"/>
      </rPr>
      <t xml:space="preserve">The Secretary of State shall notify each political party, the commissioner of revenue, and the Campaign Finance and Public Disclosure Board which political parties qualify for inclusion on the income tax form and property tax return - by July 1st of the taxable year. </t>
    </r>
    <r>
      <rPr>
        <i/>
        <sz val="12"/>
        <rFont val="Times New Roman"/>
        <family val="1"/>
      </rPr>
      <t>Minn. Stat. §10A.31, subd. 3a</t>
    </r>
  </si>
  <si>
    <r>
      <t xml:space="preserve">Political Parties: </t>
    </r>
    <r>
      <rPr>
        <sz val="12"/>
        <rFont val="Times New Roman"/>
        <family val="1"/>
      </rPr>
      <t>The Secretary of State shall notify each political party, the commissioner of revenue, and the Campaign Finance and Public Disclosure Board which political parties qualify for inclusion on the income tax form and property tax return - by July 1st of the taxable year.</t>
    </r>
    <r>
      <rPr>
        <b/>
        <sz val="12"/>
        <rFont val="Times New Roman"/>
        <family val="1"/>
      </rPr>
      <t xml:space="preserve"> </t>
    </r>
    <r>
      <rPr>
        <i/>
        <sz val="12"/>
        <rFont val="Times New Roman"/>
        <family val="1"/>
      </rPr>
      <t>Minn. Stat. §10A.31, subd. 3a</t>
    </r>
  </si>
  <si>
    <r>
      <t xml:space="preserve">Secretary of State: </t>
    </r>
    <r>
      <rPr>
        <sz val="12"/>
        <rFont val="Times New Roman"/>
        <family val="1"/>
      </rPr>
      <t xml:space="preserve">Must provide instruction for voters on a new voting system that will be used for the first time, including a demonstration voting system in a public place - for six weeks immediately prior to the first election at which the voting system will be used. </t>
    </r>
    <r>
      <rPr>
        <i/>
        <sz val="12"/>
        <rFont val="Times New Roman"/>
        <family val="1"/>
      </rPr>
      <t>Minn. Stat. §206.58, subd. 1</t>
    </r>
  </si>
  <si>
    <r>
      <t xml:space="preserve">Counties: </t>
    </r>
    <r>
      <rPr>
        <sz val="12"/>
        <rFont val="Times New Roman"/>
        <family val="1"/>
      </rPr>
      <t xml:space="preserve">Must provide instruction for voters on a new voting system that will be used for the first time, including a demonstration voting system in a public place - for six weeks immediately prior to the first election at which the voting system will be used. </t>
    </r>
    <r>
      <rPr>
        <i/>
        <sz val="12"/>
        <rFont val="Times New Roman"/>
        <family val="1"/>
      </rPr>
      <t>Minn. Stat. §206.58, subd. 1</t>
    </r>
  </si>
  <si>
    <r>
      <t xml:space="preserve">Cities without a Primary: </t>
    </r>
    <r>
      <rPr>
        <sz val="12"/>
        <rFont val="Times New Roman"/>
        <family val="1"/>
      </rPr>
      <t xml:space="preserve">Must provide instruction for voters on a new voting system that will be used for the first time, including a demonstration voting system in a public place - for six weeks immediately prior to the first election at which the voting system will be used. </t>
    </r>
    <r>
      <rPr>
        <i/>
        <sz val="12"/>
        <rFont val="Times New Roman"/>
        <family val="1"/>
      </rPr>
      <t>Minn. Stat. §206.58, subd. 1</t>
    </r>
  </si>
  <si>
    <r>
      <t xml:space="preserve">Towns with March Elections: </t>
    </r>
    <r>
      <rPr>
        <sz val="12"/>
        <rFont val="Times New Roman"/>
        <family val="1"/>
      </rPr>
      <t xml:space="preserve">Must provide instruction for voters on a new voting system that will be used for the first time, including a demonstration voting system in a public place - for six weeks immediately prior to the first election at which the voting system will be used. </t>
    </r>
    <r>
      <rPr>
        <i/>
        <sz val="12"/>
        <rFont val="Times New Roman"/>
        <family val="1"/>
      </rPr>
      <t>Minn. Stat. §206.58, subd. 1</t>
    </r>
  </si>
  <si>
    <r>
      <t xml:space="preserve">Towns with November Elections: </t>
    </r>
    <r>
      <rPr>
        <sz val="12"/>
        <rFont val="Times New Roman"/>
        <family val="1"/>
      </rPr>
      <t xml:space="preserve">Must provide instruction for voters on a new voting system that will be used for the first time, including a demonstration voting system in a public place - for six weeks immediately prior to the first election at which the voting system will be used. </t>
    </r>
    <r>
      <rPr>
        <i/>
        <sz val="12"/>
        <rFont val="Times New Roman"/>
        <family val="1"/>
      </rPr>
      <t>Minn. Stat. §206.58, subd. 1</t>
    </r>
  </si>
  <si>
    <r>
      <t xml:space="preserve">Secretary of State:  </t>
    </r>
    <r>
      <rPr>
        <sz val="12"/>
        <rFont val="Times New Roman"/>
        <family val="1"/>
      </rPr>
      <t xml:space="preserve">Deadline for Charter Commissions to submit proposed charter amendments - at least 17 weeks before the general election. </t>
    </r>
    <r>
      <rPr>
        <i/>
        <sz val="12"/>
        <rFont val="Times New Roman"/>
        <family val="1"/>
      </rPr>
      <t>Minn. Stat. §410.12, subd.1</t>
    </r>
  </si>
  <si>
    <r>
      <t xml:space="preserve">Counties:  </t>
    </r>
    <r>
      <rPr>
        <sz val="12"/>
        <rFont val="Times New Roman"/>
        <family val="1"/>
      </rPr>
      <t xml:space="preserve">Deadline for Charter Commissions to submit proposed charter amendments - at least 17 weeks before the general election. </t>
    </r>
    <r>
      <rPr>
        <i/>
        <sz val="12"/>
        <rFont val="Times New Roman"/>
        <family val="1"/>
      </rPr>
      <t>Minn. Stat. §410.12, subd.1</t>
    </r>
  </si>
  <si>
    <r>
      <t xml:space="preserve">Cities with a Primary:  </t>
    </r>
    <r>
      <rPr>
        <sz val="12"/>
        <rFont val="Times New Roman"/>
        <family val="1"/>
      </rPr>
      <t xml:space="preserve">Deadline for Charter Commissions to submit proposed charter amendments - at least 17 weeks before the general election. </t>
    </r>
    <r>
      <rPr>
        <i/>
        <sz val="12"/>
        <rFont val="Times New Roman"/>
        <family val="1"/>
      </rPr>
      <t>Minn. Stat. §410.12, subd.1</t>
    </r>
  </si>
  <si>
    <r>
      <t xml:space="preserve">Cities without a Primary:  </t>
    </r>
    <r>
      <rPr>
        <sz val="12"/>
        <rFont val="Times New Roman"/>
        <family val="1"/>
      </rPr>
      <t xml:space="preserve">Deadline for Charter Commissions to submit proposed charter amendments - at least 17 weeks before the general election. </t>
    </r>
    <r>
      <rPr>
        <i/>
        <sz val="12"/>
        <rFont val="Times New Roman"/>
        <family val="1"/>
      </rPr>
      <t>Minn. Stat. §410.12, subd.1</t>
    </r>
  </si>
  <si>
    <r>
      <t xml:space="preserve">Secretary of State: </t>
    </r>
    <r>
      <rPr>
        <sz val="12"/>
        <rFont val="Times New Roman"/>
        <family val="1"/>
      </rPr>
      <t xml:space="preserve">(Towns with less than 500 inhabitants and in a *non-metro area) Last day to publish or post notice of changed hours for voting and notify the County Auditor of the changed hours - 30 days before the election.  </t>
    </r>
    <r>
      <rPr>
        <i/>
        <sz val="12"/>
        <rFont val="Times New Roman"/>
        <family val="1"/>
      </rPr>
      <t>Minn. Stat. §204C.05, subd. 1a</t>
    </r>
  </si>
  <si>
    <r>
      <t xml:space="preserve">Secretary of State: </t>
    </r>
    <r>
      <rPr>
        <sz val="12"/>
        <rFont val="Times New Roman"/>
        <family val="1"/>
      </rPr>
      <t xml:space="preserve">(In unorganized territories which constitute a voting district) Last day for County Auditor to either post or publish notice of the changed hours for voting - 30 days before the election.  </t>
    </r>
    <r>
      <rPr>
        <i/>
        <sz val="12"/>
        <rFont val="Times New Roman"/>
        <family val="1"/>
      </rPr>
      <t>Minn. Stat.§204C.05, subd. 1b</t>
    </r>
  </si>
  <si>
    <r>
      <t xml:space="preserve">Secretary of State:  </t>
    </r>
    <r>
      <rPr>
        <sz val="12"/>
        <rFont val="Times New Roman"/>
        <family val="1"/>
      </rPr>
      <t xml:space="preserve">A Hospital District special election </t>
    </r>
    <r>
      <rPr>
        <u/>
        <sz val="12"/>
        <rFont val="Times New Roman"/>
        <family val="1"/>
      </rPr>
      <t>may not be conducted</t>
    </r>
    <r>
      <rPr>
        <sz val="12"/>
        <rFont val="Times New Roman"/>
        <family val="1"/>
      </rPr>
      <t xml:space="preserve"> either during the 56 days before or the 56 days after a regularly scheduled primary or general election, conducted wholly or partially within the hospital district - 56 days before through 56 days after.  </t>
    </r>
    <r>
      <rPr>
        <i/>
        <sz val="12"/>
        <rFont val="Times New Roman"/>
        <family val="1"/>
      </rPr>
      <t>Minn. Stat. §447.32, subd. 2</t>
    </r>
  </si>
  <si>
    <r>
      <t xml:space="preserve">Counties:  </t>
    </r>
    <r>
      <rPr>
        <sz val="12"/>
        <rFont val="Times New Roman"/>
        <family val="1"/>
      </rPr>
      <t xml:space="preserve">A Hopsital District special election </t>
    </r>
    <r>
      <rPr>
        <u/>
        <sz val="12"/>
        <rFont val="Times New Roman"/>
        <family val="1"/>
      </rPr>
      <t>may not be conducted</t>
    </r>
    <r>
      <rPr>
        <sz val="12"/>
        <rFont val="Times New Roman"/>
        <family val="1"/>
      </rPr>
      <t xml:space="preserve"> either during the 56 days before or the 56 days after a regularly scheduled primary or general election, conducted wholly or partially within the hospital district - 56 days before through 56 days after.  </t>
    </r>
    <r>
      <rPr>
        <i/>
        <sz val="12"/>
        <rFont val="Times New Roman"/>
        <family val="1"/>
      </rPr>
      <t>Minn. Stat. §447.32, subd. 2</t>
    </r>
  </si>
  <si>
    <r>
      <t xml:space="preserve">Hospital Districts:  </t>
    </r>
    <r>
      <rPr>
        <sz val="12"/>
        <rFont val="Times New Roman"/>
        <family val="1"/>
      </rPr>
      <t xml:space="preserve">A Hospital District special election </t>
    </r>
    <r>
      <rPr>
        <u/>
        <sz val="12"/>
        <rFont val="Times New Roman"/>
        <family val="1"/>
      </rPr>
      <t>may not be conducted</t>
    </r>
    <r>
      <rPr>
        <sz val="12"/>
        <rFont val="Times New Roman"/>
        <family val="1"/>
      </rPr>
      <t xml:space="preserve"> either during the 56 days before or the 56 days after a regularly scheduled primary or general election, conducted wholly or partially within the hospital district - 56 days before through 56 days after.  </t>
    </r>
    <r>
      <rPr>
        <i/>
        <sz val="12"/>
        <rFont val="Times New Roman"/>
        <family val="1"/>
      </rPr>
      <t>Minn. Stat. §447.32, subd. 2</t>
    </r>
  </si>
  <si>
    <r>
      <t xml:space="preserve">School Districts with a Primary:  </t>
    </r>
    <r>
      <rPr>
        <sz val="12"/>
        <rFont val="Times New Roman"/>
        <family val="1"/>
      </rPr>
      <t xml:space="preserve">A School District special election may not be held during the 56 days before and the 56 days after a regularly scheduled primary or general election conducted wholly or partially within the school district - 56 days before through 56 days after.  </t>
    </r>
    <r>
      <rPr>
        <i/>
        <sz val="12"/>
        <rFont val="Times New Roman"/>
        <family val="1"/>
      </rPr>
      <t>Minn. Stat. §205A.05, subd. 1</t>
    </r>
  </si>
  <si>
    <r>
      <t xml:space="preserve">School Districts without a Primary:  </t>
    </r>
    <r>
      <rPr>
        <sz val="12"/>
        <rFont val="Times New Roman"/>
        <family val="1"/>
      </rPr>
      <t xml:space="preserve">A School District special election may not be held during the 56 days before and the 56 days after a regularly scheduled primary or general election conducted wholly or partially within the school district - 56 days before through 56 days after.  </t>
    </r>
    <r>
      <rPr>
        <i/>
        <sz val="12"/>
        <rFont val="Times New Roman"/>
        <family val="1"/>
      </rPr>
      <t>Minn. Stat. §205A.05, subd. 1</t>
    </r>
  </si>
  <si>
    <r>
      <t xml:space="preserve">Secretary of State:  </t>
    </r>
    <r>
      <rPr>
        <sz val="12"/>
        <rFont val="Times New Roman"/>
        <family val="1"/>
      </rPr>
      <t xml:space="preserve">A School District special election may not be held during the 56 days before and the 56 days after a regularly scheduled primary or general election conducted wholly or partially within the school district - 56 days before through 56 days after.  </t>
    </r>
    <r>
      <rPr>
        <i/>
        <sz val="12"/>
        <rFont val="Times New Roman"/>
        <family val="1"/>
      </rPr>
      <t>Minn. Stat. §205A.05, subd. 1</t>
    </r>
  </si>
  <si>
    <r>
      <t xml:space="preserve">Counties:  </t>
    </r>
    <r>
      <rPr>
        <sz val="12"/>
        <rFont val="Times New Roman"/>
        <family val="1"/>
      </rPr>
      <t xml:space="preserve">A School District special election may not be held during the 56 days before and the 56 days after a regularly scheduled primary or general election conducted wholly or partially within the school district - 56 days before through 56 days after.  </t>
    </r>
    <r>
      <rPr>
        <i/>
        <sz val="12"/>
        <rFont val="Times New Roman"/>
        <family val="1"/>
      </rPr>
      <t>Minn. Stat. §205A.05, subd. 1</t>
    </r>
  </si>
  <si>
    <r>
      <t xml:space="preserve">Campaign Finance: </t>
    </r>
    <r>
      <rPr>
        <sz val="12"/>
        <rFont val="Times New Roman"/>
        <family val="1"/>
      </rPr>
      <t xml:space="preserve">Last day for candidates to withdraw.  Candidates may withdraw until 5:00 p.m. by filing an Affidavit of Withdrawal - within 2 days after filing closes.  </t>
    </r>
    <r>
      <rPr>
        <i/>
        <sz val="12"/>
        <rFont val="Times New Roman"/>
        <family val="1"/>
      </rPr>
      <t xml:space="preserve">Minn. Stat. §204B.12, subd. 1 </t>
    </r>
  </si>
  <si>
    <r>
      <t xml:space="preserve">Counties: </t>
    </r>
    <r>
      <rPr>
        <sz val="12"/>
        <rFont val="Times New Roman"/>
        <family val="1"/>
      </rPr>
      <t xml:space="preserve">Last day for the Secretary of State to prepare and furnish voter instruction posters printed in large type upon cards or heavy paper to County Auditors - at least 25 days before every state primary election.  </t>
    </r>
    <r>
      <rPr>
        <i/>
        <sz val="12"/>
        <rFont val="Times New Roman"/>
        <family val="1"/>
      </rPr>
      <t>Minn. Stat. §204B.27, subd. 3</t>
    </r>
  </si>
  <si>
    <r>
      <t xml:space="preserve">Secretary of State: </t>
    </r>
    <r>
      <rPr>
        <sz val="12"/>
        <rFont val="Times New Roman"/>
        <family val="1"/>
      </rPr>
      <t xml:space="preserve">Last day for the Secretary of State to prepare and furnish voter instruction posters printed in large type upon cards or heavy paper to County Auditors - at least 25 days before every state primary election.  </t>
    </r>
    <r>
      <rPr>
        <i/>
        <sz val="12"/>
        <rFont val="Times New Roman"/>
        <family val="1"/>
      </rPr>
      <t>Minn. Stat. §204B.27, subd. 3</t>
    </r>
  </si>
  <si>
    <r>
      <t>Towns with November Elections:</t>
    </r>
    <r>
      <rPr>
        <sz val="12"/>
        <rFont val="Times New Roman"/>
        <family val="1"/>
      </rPr>
      <t xml:space="preserve"> Last day to appoint election judges for State Primary (municipalities &amp; unorganized territory) - 25 days before the primary.  </t>
    </r>
    <r>
      <rPr>
        <i/>
        <sz val="12"/>
        <rFont val="Times New Roman"/>
        <family val="1"/>
      </rPr>
      <t>Minn. Stat. §204B.21, subd. 2</t>
    </r>
  </si>
  <si>
    <r>
      <t>Secretary of State:</t>
    </r>
    <r>
      <rPr>
        <sz val="12"/>
        <rFont val="Times New Roman"/>
        <family val="1"/>
      </rPr>
      <t xml:space="preserve"> Last day to appoint election judges for State Primary (municipalities &amp; unorganized territory) - 25 days before the primary.  </t>
    </r>
    <r>
      <rPr>
        <i/>
        <sz val="12"/>
        <rFont val="Times New Roman"/>
        <family val="1"/>
      </rPr>
      <t>Minn. Stat. §204B.21, subd. 2</t>
    </r>
  </si>
  <si>
    <r>
      <t>Political Parties:</t>
    </r>
    <r>
      <rPr>
        <sz val="12"/>
        <rFont val="Times New Roman"/>
        <family val="1"/>
      </rPr>
      <t xml:space="preserve"> Last day to appoint election judges for State Primary (municipalities &amp; unorganized territory) - 25 days before the primary.  </t>
    </r>
    <r>
      <rPr>
        <i/>
        <sz val="12"/>
        <rFont val="Times New Roman"/>
        <family val="1"/>
      </rPr>
      <t>Minn. Stat. §204B.21, subd. 2</t>
    </r>
  </si>
  <si>
    <r>
      <t>Counties:</t>
    </r>
    <r>
      <rPr>
        <sz val="12"/>
        <rFont val="Times New Roman"/>
        <family val="1"/>
      </rPr>
      <t xml:space="preserve"> Last day to appoint election judges for State Primary (municipalities &amp; unorganized territory) - 25 days before the primary.  </t>
    </r>
    <r>
      <rPr>
        <i/>
        <sz val="12"/>
        <rFont val="Times New Roman"/>
        <family val="1"/>
      </rPr>
      <t>Minn. Stat. §204B.21, subd. 2</t>
    </r>
  </si>
  <si>
    <r>
      <t>Cities with a Primary:</t>
    </r>
    <r>
      <rPr>
        <sz val="12"/>
        <rFont val="Times New Roman"/>
        <family val="1"/>
      </rPr>
      <t xml:space="preserve"> Last day to appoint election judges for State Primary (municipalities &amp; unorganized territory) - 25 days before the primary.  </t>
    </r>
    <r>
      <rPr>
        <i/>
        <sz val="12"/>
        <rFont val="Times New Roman"/>
        <family val="1"/>
      </rPr>
      <t>Minn. Stat. §204B.21, subd. 2</t>
    </r>
  </si>
  <si>
    <r>
      <t>Cities without a Primary:</t>
    </r>
    <r>
      <rPr>
        <sz val="12"/>
        <rFont val="Times New Roman"/>
        <family val="1"/>
      </rPr>
      <t xml:space="preserve"> Last day to appoint election judges for State Primary (municipalities &amp; unorganized territory) - 25 days before the primary.  </t>
    </r>
    <r>
      <rPr>
        <i/>
        <sz val="12"/>
        <rFont val="Times New Roman"/>
        <family val="1"/>
      </rPr>
      <t>Minn. Stat. §204B.21, subd. 2</t>
    </r>
  </si>
  <si>
    <r>
      <t>Towns with March Elections:</t>
    </r>
    <r>
      <rPr>
        <sz val="12"/>
        <rFont val="Times New Roman"/>
        <family val="1"/>
      </rPr>
      <t xml:space="preserve"> Last day to appoint election judges for State Primary (municipalities &amp; unorganized territory) - 25 days before the primary.  </t>
    </r>
    <r>
      <rPr>
        <i/>
        <sz val="12"/>
        <rFont val="Times New Roman"/>
        <family val="1"/>
      </rPr>
      <t>Minn. Stat. §204B.21, subd. 2</t>
    </r>
  </si>
  <si>
    <t>205.13, subd. 2; 205A.06, subd. 2; 447.32, subd. 3</t>
  </si>
  <si>
    <r>
      <t xml:space="preserve">Cities without a Primary:  </t>
    </r>
    <r>
      <rPr>
        <sz val="12"/>
        <rFont val="Times New Roman"/>
        <family val="1"/>
      </rPr>
      <t xml:space="preserve">Last day for Cities without a Primary, School Districts without a Primary, Hospital Districts, and Towns with a November Election to publish notice of filing - at least 2 weeks before filing opens.  </t>
    </r>
    <r>
      <rPr>
        <i/>
        <sz val="12"/>
        <rFont val="Times New Roman"/>
        <family val="1"/>
      </rPr>
      <t>Minn. Stat. §§205.13, subd. 2; 205A.06, subd.  2; 447.32, subd. 3</t>
    </r>
  </si>
  <si>
    <r>
      <t xml:space="preserve">Towns with November Elections:  </t>
    </r>
    <r>
      <rPr>
        <sz val="12"/>
        <rFont val="Times New Roman"/>
        <family val="1"/>
      </rPr>
      <t xml:space="preserve">Last day for Cities without a Primary, School Districts without a Primary, Hospital Districts, and Towns with a November Election to publish notice of filing - at least 2 weeks before filing opens.  </t>
    </r>
    <r>
      <rPr>
        <i/>
        <sz val="12"/>
        <rFont val="Times New Roman"/>
        <family val="1"/>
      </rPr>
      <t>Minn. Stat. §§205.13, subd. 2; 205A.06, subd.  2; 447.32, subd. 3</t>
    </r>
  </si>
  <si>
    <r>
      <t xml:space="preserve">Hospital Districts:  </t>
    </r>
    <r>
      <rPr>
        <sz val="12"/>
        <rFont val="Times New Roman"/>
        <family val="1"/>
      </rPr>
      <t xml:space="preserve">Last day for Cities without a Primary, School Districts without a Primary, Hospital Districts, and Towns with a November Election to publish notice of filing - at least 2 weeks before filing opens.  </t>
    </r>
    <r>
      <rPr>
        <i/>
        <sz val="12"/>
        <rFont val="Times New Roman"/>
        <family val="1"/>
      </rPr>
      <t>Minn. Stat. §§205.13, subd. 2; 205A.06, subd.  2; 447.32, subd. 3</t>
    </r>
  </si>
  <si>
    <r>
      <t xml:space="preserve">Cities with a Primary: </t>
    </r>
    <r>
      <rPr>
        <sz val="12"/>
        <rFont val="Times New Roman"/>
        <family val="1"/>
      </rPr>
      <t xml:space="preserve">Last day for </t>
    </r>
    <r>
      <rPr>
        <b/>
        <i/>
        <u/>
        <sz val="12"/>
        <rFont val="Times New Roman"/>
        <family val="1"/>
      </rPr>
      <t>Hospital Districts</t>
    </r>
    <r>
      <rPr>
        <sz val="12"/>
        <rFont val="Times New Roman"/>
        <family val="1"/>
      </rPr>
      <t xml:space="preserve"> to publish notice of filing - at least 2 weeks before filing opens.  </t>
    </r>
    <r>
      <rPr>
        <i/>
        <sz val="12"/>
        <rFont val="Times New Roman"/>
        <family val="1"/>
      </rPr>
      <t>Minn. Stat. 447.32, subd. 3</t>
    </r>
  </si>
  <si>
    <r>
      <t xml:space="preserve">Towns with March Elections: </t>
    </r>
    <r>
      <rPr>
        <sz val="12"/>
        <rFont val="Times New Roman"/>
        <family val="1"/>
      </rPr>
      <t xml:space="preserve">Last day for </t>
    </r>
    <r>
      <rPr>
        <b/>
        <i/>
        <u/>
        <sz val="12"/>
        <rFont val="Times New Roman"/>
        <family val="1"/>
      </rPr>
      <t>Hospital Districts</t>
    </r>
    <r>
      <rPr>
        <sz val="12"/>
        <rFont val="Times New Roman"/>
        <family val="1"/>
      </rPr>
      <t xml:space="preserve"> to publish notice of filing - at least 2 weeks before filing opens.  </t>
    </r>
    <r>
      <rPr>
        <i/>
        <sz val="12"/>
        <rFont val="Times New Roman"/>
        <family val="1"/>
      </rPr>
      <t>Minn. Stat. 447.32, subd. 3</t>
    </r>
  </si>
  <si>
    <r>
      <t>Secretary of State:</t>
    </r>
    <r>
      <rPr>
        <sz val="12"/>
        <rFont val="Times New Roman"/>
        <family val="1"/>
      </rPr>
      <t xml:space="preserve">  Voter pre-registration closes at 5:00 p.m. for voters in the State Primary - 21 days before the primary.  </t>
    </r>
    <r>
      <rPr>
        <i/>
        <sz val="12"/>
        <rFont val="Times New Roman"/>
        <family val="1"/>
      </rPr>
      <t>Minn. Stat. §201.061, subd. 1</t>
    </r>
  </si>
  <si>
    <r>
      <t>Political Parties:</t>
    </r>
    <r>
      <rPr>
        <sz val="12"/>
        <rFont val="Times New Roman"/>
        <family val="1"/>
      </rPr>
      <t xml:space="preserve">  Voter pre-registration closes at 5:00 p.m. for voters in the State Primary - 21 days before the primary.  </t>
    </r>
    <r>
      <rPr>
        <i/>
        <sz val="12"/>
        <rFont val="Times New Roman"/>
        <family val="1"/>
      </rPr>
      <t>Minn. Stat. §201.061, subd. 1</t>
    </r>
  </si>
  <si>
    <r>
      <t>Cities with a Primary:</t>
    </r>
    <r>
      <rPr>
        <sz val="12"/>
        <rFont val="Times New Roman"/>
        <family val="1"/>
      </rPr>
      <t xml:space="preserve">  Voter pre-registration closes at 5:00 p.m. for voters in the State Primary - 21 days before the primary.  </t>
    </r>
    <r>
      <rPr>
        <i/>
        <sz val="12"/>
        <rFont val="Times New Roman"/>
        <family val="1"/>
      </rPr>
      <t>Minn. Stat. §201.061, subd. 1</t>
    </r>
  </si>
  <si>
    <r>
      <t>Cities without a Primary:</t>
    </r>
    <r>
      <rPr>
        <sz val="12"/>
        <rFont val="Times New Roman"/>
        <family val="1"/>
      </rPr>
      <t xml:space="preserve">  Voter pre-registration closes at 5:00 p.m. for voters in the State Primary - 21 days before the primary.  </t>
    </r>
    <r>
      <rPr>
        <i/>
        <sz val="12"/>
        <rFont val="Times New Roman"/>
        <family val="1"/>
      </rPr>
      <t>Minn. Stat. §201.061, subd. 1</t>
    </r>
  </si>
  <si>
    <r>
      <t>Towns with March Elections:</t>
    </r>
    <r>
      <rPr>
        <sz val="12"/>
        <rFont val="Times New Roman"/>
        <family val="1"/>
      </rPr>
      <t xml:space="preserve">  Voter pre-registration closes at 5:00 p.m. for voters in the State Primary - 21 days before the primary.  </t>
    </r>
    <r>
      <rPr>
        <i/>
        <sz val="12"/>
        <rFont val="Times New Roman"/>
        <family val="1"/>
      </rPr>
      <t>Minn. Stat. §201.061, subd. 1</t>
    </r>
  </si>
  <si>
    <r>
      <t>Towns with November Elections:</t>
    </r>
    <r>
      <rPr>
        <sz val="12"/>
        <rFont val="Times New Roman"/>
        <family val="1"/>
      </rPr>
      <t xml:space="preserve">  Voter pre-registration closes at 5:00 p.m. for voters in the State Primary - 21 days before the primary.  </t>
    </r>
    <r>
      <rPr>
        <i/>
        <sz val="12"/>
        <rFont val="Times New Roman"/>
        <family val="1"/>
      </rPr>
      <t>Minn. Stat. §201.061, subd. 1</t>
    </r>
  </si>
  <si>
    <r>
      <t>Secretary of State:</t>
    </r>
    <r>
      <rPr>
        <sz val="12"/>
        <rFont val="Times New Roman"/>
        <family val="1"/>
      </rPr>
      <t xml:space="preserve"> Last day to notify affected voters of a polling place change - 25 days before the primary.  </t>
    </r>
    <r>
      <rPr>
        <i/>
        <sz val="12"/>
        <rFont val="Times New Roman"/>
        <family val="1"/>
      </rPr>
      <t>Minn. Stat.§204B.16, subd. 1a</t>
    </r>
  </si>
  <si>
    <r>
      <t>Cities without a Primary:</t>
    </r>
    <r>
      <rPr>
        <sz val="12"/>
        <rFont val="Times New Roman"/>
        <family val="1"/>
      </rPr>
      <t xml:space="preserve"> Last day to notify affected voters of a polling place change - 25 days before the primary.  </t>
    </r>
    <r>
      <rPr>
        <i/>
        <sz val="12"/>
        <rFont val="Times New Roman"/>
        <family val="1"/>
      </rPr>
      <t>Minn. Stat.§204B.16, subd. 1a</t>
    </r>
  </si>
  <si>
    <r>
      <t>Towns with March Elections:</t>
    </r>
    <r>
      <rPr>
        <sz val="12"/>
        <rFont val="Times New Roman"/>
        <family val="1"/>
      </rPr>
      <t xml:space="preserve"> Last day to notify affected voters of a polling place change - 25 days before the primary.  </t>
    </r>
    <r>
      <rPr>
        <i/>
        <sz val="12"/>
        <rFont val="Times New Roman"/>
        <family val="1"/>
      </rPr>
      <t>Minn. Stat.§204B.16, subd. 1a</t>
    </r>
  </si>
  <si>
    <r>
      <t>Towns with November Elections:</t>
    </r>
    <r>
      <rPr>
        <sz val="12"/>
        <rFont val="Times New Roman"/>
        <family val="1"/>
      </rPr>
      <t xml:space="preserve"> Last day to notify affected voters of a polling place change - 25 days before the primary.  </t>
    </r>
    <r>
      <rPr>
        <i/>
        <sz val="12"/>
        <rFont val="Times New Roman"/>
        <family val="1"/>
      </rPr>
      <t>Minn. Stat.§204B.16, subd. 1a</t>
    </r>
  </si>
  <si>
    <r>
      <t>Counties:</t>
    </r>
    <r>
      <rPr>
        <sz val="12"/>
        <rFont val="Times New Roman"/>
        <family val="1"/>
      </rPr>
      <t xml:space="preserve"> Last day to notify affected voters of a polling place change (municipalities &amp; unorganized territory) - 25 days before the primary.  </t>
    </r>
    <r>
      <rPr>
        <i/>
        <sz val="12"/>
        <rFont val="Times New Roman"/>
        <family val="1"/>
      </rPr>
      <t>Minn. Stat.§204B.16, subd. 1a</t>
    </r>
  </si>
  <si>
    <r>
      <t xml:space="preserve">Counties: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</si>
  <si>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Secretary of State: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</si>
  <si>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Cities with a Primary: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</si>
  <si>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Cities without a Primary: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</si>
  <si>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Towns with March Elections: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</si>
  <si>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Towns with November Elections: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</si>
  <si>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Secretary of State: </t>
    </r>
    <r>
      <rPr>
        <sz val="12"/>
        <rFont val="Times New Roman"/>
        <family val="1"/>
      </rPr>
      <t>Last day for Cities without a Primary, School Districts without a Primary, Towns with November Elections, and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§205.13, subd. 2; 205A.06, subd. 2; 447.32, subd. 3</t>
    </r>
  </si>
  <si>
    <r>
      <t xml:space="preserve">Political Parties: </t>
    </r>
    <r>
      <rPr>
        <sz val="12"/>
        <rFont val="Times New Roman"/>
        <family val="1"/>
      </rPr>
      <t>Last day for Cities without a Primary, School Districts without a Primary, Towns with November Elections, and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§205.13, subd. 2; 205A.06, subd. 2; 447.32, subd. 3</t>
    </r>
  </si>
  <si>
    <r>
      <t xml:space="preserve">Campaign Finance: </t>
    </r>
    <r>
      <rPr>
        <sz val="12"/>
        <rFont val="Times New Roman"/>
        <family val="1"/>
      </rPr>
      <t>Last day for Cities without a Primary, School Districts without a Primary, Towns with November Elections, and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§205.13, subd. 2; 205A.06, subd. 2; 447.32, subd. 3</t>
    </r>
  </si>
  <si>
    <r>
      <t xml:space="preserve">Counties: </t>
    </r>
    <r>
      <rPr>
        <sz val="12"/>
        <rFont val="Times New Roman"/>
        <family val="1"/>
      </rPr>
      <t>Last day for Cities without a Primary, School Districts without a Primary, Towns with November Elections, and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§205.13, subd. 2; 205A.06, subd. 2; 447.32, subd. 3</t>
    </r>
  </si>
  <si>
    <r>
      <t xml:space="preserve">Cities without a Primary: </t>
    </r>
    <r>
      <rPr>
        <sz val="12"/>
        <rFont val="Times New Roman"/>
        <family val="1"/>
      </rPr>
      <t>Last day for Cities without a Primary, School Districts without a Primary, Towns with November Elections, and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§205.13, subd. 2; 205A.06, subd. 2; 447.32, subd. 3</t>
    </r>
  </si>
  <si>
    <r>
      <t xml:space="preserve">School Districts without a Primary: </t>
    </r>
    <r>
      <rPr>
        <sz val="12"/>
        <rFont val="Times New Roman"/>
        <family val="1"/>
      </rPr>
      <t>Last day for Cities without a Primary, School Districts without a Primary, Towns with November Elections, and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§205.13, subd. 2; 205A.06, subd. 2; 447.32, subd. 3</t>
    </r>
  </si>
  <si>
    <r>
      <t xml:space="preserve">Towns with November Elections: </t>
    </r>
    <r>
      <rPr>
        <sz val="12"/>
        <rFont val="Times New Roman"/>
        <family val="1"/>
      </rPr>
      <t>Last day for Cities without a Primary, School Districts without a Primary, Towns with November Elections, and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§205.13, subd. 2; 205A.06, subd. 2; 447.32, subd. 3</t>
    </r>
  </si>
  <si>
    <r>
      <t xml:space="preserve">Hospital Districts: </t>
    </r>
    <r>
      <rPr>
        <sz val="12"/>
        <rFont val="Times New Roman"/>
        <family val="1"/>
      </rPr>
      <t>Last day for Cities without a Primary, School Districts without a Primary, Towns with November Elections, and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§205.13, subd. 2; 205A.06, subd. 2; 447.32, subd. 3</t>
    </r>
  </si>
  <si>
    <r>
      <t xml:space="preserve">Cities with a Primary: </t>
    </r>
    <r>
      <rPr>
        <sz val="12"/>
        <rFont val="Times New Roman"/>
        <family val="1"/>
      </rPr>
      <t>Last day for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447.32, subd. 3</t>
    </r>
  </si>
  <si>
    <t>447.323, subd. 3</t>
  </si>
  <si>
    <r>
      <t xml:space="preserve">Towns with March Elections: </t>
    </r>
    <r>
      <rPr>
        <sz val="12"/>
        <rFont val="Times New Roman"/>
        <family val="1"/>
      </rPr>
      <t>Last day for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447.32, subd. 3</t>
    </r>
  </si>
  <si>
    <t>205.16, subd. 1; 205A.07, subd. 1</t>
  </si>
  <si>
    <r>
      <t xml:space="preserve">Secretary of State: </t>
    </r>
    <r>
      <rPr>
        <sz val="12"/>
        <rFont val="Times New Roman"/>
        <family val="1"/>
      </rPr>
      <t xml:space="preserve">Last day for County Auditor to designate location for absentee voting for </t>
    </r>
    <r>
      <rPr>
        <b/>
        <sz val="12"/>
        <rFont val="Times New Roman"/>
        <family val="1"/>
      </rPr>
      <t xml:space="preserve">general </t>
    </r>
    <r>
      <rPr>
        <sz val="12"/>
        <rFont val="Times New Roman"/>
        <family val="1"/>
      </rPr>
      <t xml:space="preserve">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</si>
  <si>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Counties: </t>
    </r>
    <r>
      <rPr>
        <sz val="12"/>
        <rFont val="Times New Roman"/>
        <family val="1"/>
      </rPr>
      <t xml:space="preserve">Last day for County Auditor to designate location for absentee voting for </t>
    </r>
    <r>
      <rPr>
        <b/>
        <sz val="12"/>
        <rFont val="Times New Roman"/>
        <family val="1"/>
      </rPr>
      <t xml:space="preserve">general </t>
    </r>
    <r>
      <rPr>
        <sz val="12"/>
        <rFont val="Times New Roman"/>
        <family val="1"/>
      </rPr>
      <t xml:space="preserve">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</si>
  <si>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Soil and Water Conservation Districts: </t>
    </r>
    <r>
      <rPr>
        <sz val="12"/>
        <rFont val="Times New Roman"/>
        <family val="1"/>
      </rPr>
      <t xml:space="preserve">Last day for County Auditor to designate location for absentee voting for </t>
    </r>
    <r>
      <rPr>
        <b/>
        <sz val="12"/>
        <rFont val="Times New Roman"/>
        <family val="1"/>
      </rPr>
      <t xml:space="preserve">general </t>
    </r>
    <r>
      <rPr>
        <sz val="12"/>
        <rFont val="Times New Roman"/>
        <family val="1"/>
      </rPr>
      <t xml:space="preserve">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</si>
  <si>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Cities with a Primary: </t>
    </r>
    <r>
      <rPr>
        <sz val="12"/>
        <rFont val="Times New Roman"/>
        <family val="1"/>
      </rPr>
      <t xml:space="preserve">Last day for County Auditor to designate location for absentee voting for </t>
    </r>
    <r>
      <rPr>
        <b/>
        <sz val="12"/>
        <rFont val="Times New Roman"/>
        <family val="1"/>
      </rPr>
      <t xml:space="preserve">general </t>
    </r>
    <r>
      <rPr>
        <sz val="12"/>
        <rFont val="Times New Roman"/>
        <family val="1"/>
      </rPr>
      <t xml:space="preserve">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</si>
  <si>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Cities without a Primary: </t>
    </r>
    <r>
      <rPr>
        <sz val="12"/>
        <rFont val="Times New Roman"/>
        <family val="1"/>
      </rPr>
      <t xml:space="preserve">Last day for County Auditor to designate location for absentee voting for </t>
    </r>
    <r>
      <rPr>
        <b/>
        <sz val="12"/>
        <rFont val="Times New Roman"/>
        <family val="1"/>
      </rPr>
      <t>general</t>
    </r>
    <r>
      <rPr>
        <sz val="12"/>
        <rFont val="Times New Roman"/>
        <family val="1"/>
      </rPr>
      <t xml:space="preserve"> 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</si>
  <si>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Towns with March Elections: </t>
    </r>
    <r>
      <rPr>
        <sz val="12"/>
        <rFont val="Times New Roman"/>
        <family val="1"/>
      </rPr>
      <t xml:space="preserve">Last day for County Auditor to designate location for absentee voting for </t>
    </r>
    <r>
      <rPr>
        <b/>
        <sz val="12"/>
        <rFont val="Times New Roman"/>
        <family val="1"/>
      </rPr>
      <t xml:space="preserve">general </t>
    </r>
    <r>
      <rPr>
        <sz val="12"/>
        <rFont val="Times New Roman"/>
        <family val="1"/>
      </rPr>
      <t xml:space="preserve">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</si>
  <si>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Towns with November Elections: </t>
    </r>
    <r>
      <rPr>
        <sz val="12"/>
        <rFont val="Times New Roman"/>
        <family val="1"/>
      </rPr>
      <t xml:space="preserve">Last day for County Auditor to designate location for absentee voting for </t>
    </r>
    <r>
      <rPr>
        <b/>
        <sz val="12"/>
        <rFont val="Times New Roman"/>
        <family val="1"/>
      </rPr>
      <t xml:space="preserve">general </t>
    </r>
    <r>
      <rPr>
        <sz val="12"/>
        <rFont val="Times New Roman"/>
        <family val="1"/>
      </rPr>
      <t xml:space="preserve">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</si>
  <si>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School Districts with a Primary: </t>
    </r>
    <r>
      <rPr>
        <sz val="12"/>
        <rFont val="Times New Roman"/>
        <family val="1"/>
      </rPr>
      <t xml:space="preserve">Last day for County Auditor to designate location for absentee voting for </t>
    </r>
    <r>
      <rPr>
        <b/>
        <sz val="12"/>
        <rFont val="Times New Roman"/>
        <family val="1"/>
      </rPr>
      <t xml:space="preserve">general </t>
    </r>
    <r>
      <rPr>
        <sz val="12"/>
        <rFont val="Times New Roman"/>
        <family val="1"/>
      </rPr>
      <t xml:space="preserve">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</si>
  <si>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School Districts without a Primary: </t>
    </r>
    <r>
      <rPr>
        <sz val="12"/>
        <rFont val="Times New Roman"/>
        <family val="1"/>
      </rPr>
      <t xml:space="preserve">Last day for County Auditor to designate location for absentee voting for </t>
    </r>
    <r>
      <rPr>
        <b/>
        <sz val="12"/>
        <rFont val="Times New Roman"/>
        <family val="1"/>
      </rPr>
      <t xml:space="preserve">general </t>
    </r>
    <r>
      <rPr>
        <sz val="12"/>
        <rFont val="Times New Roman"/>
        <family val="1"/>
      </rPr>
      <t xml:space="preserve">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</si>
  <si>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Hospital Districts: </t>
    </r>
    <r>
      <rPr>
        <sz val="12"/>
        <rFont val="Times New Roman"/>
        <family val="1"/>
      </rPr>
      <t xml:space="preserve">Last day for County Auditor to designate location for absentee voting for </t>
    </r>
    <r>
      <rPr>
        <b/>
        <sz val="12"/>
        <rFont val="Times New Roman"/>
        <family val="1"/>
      </rPr>
      <t>general</t>
    </r>
    <r>
      <rPr>
        <sz val="12"/>
        <rFont val="Times New Roman"/>
        <family val="1"/>
      </rPr>
      <t xml:space="preserve"> 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</si>
  <si>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Secretary of State: </t>
    </r>
    <r>
      <rPr>
        <sz val="12"/>
        <rFont val="Times New Roman"/>
        <family val="1"/>
      </rPr>
      <t xml:space="preserve">The county auditor shall prepare a sample ballot for each precinct in the primary election for public inspection and </t>
    </r>
    <r>
      <rPr>
        <i/>
        <sz val="12"/>
        <rFont val="Times New Roman"/>
        <family val="1"/>
      </rPr>
      <t>transmit an electronic copy of each to the OSS</t>
    </r>
    <r>
      <rPr>
        <sz val="12"/>
        <rFont val="Times New Roman"/>
        <family val="1"/>
      </rPr>
      <t xml:space="preserve"> - at least 46 days before the state primary. </t>
    </r>
    <r>
      <rPr>
        <i/>
        <sz val="12"/>
        <rFont val="Times New Roman"/>
        <family val="1"/>
      </rPr>
      <t>Minn. Stat. 204D.09, subd. 2</t>
    </r>
  </si>
  <si>
    <r>
      <t xml:space="preserve">Political Parties: </t>
    </r>
    <r>
      <rPr>
        <sz val="12"/>
        <rFont val="Times New Roman"/>
        <family val="1"/>
      </rPr>
      <t xml:space="preserve">The county auditor shall prepare a sample ballot for each precinct in the primary election for public inspection and </t>
    </r>
    <r>
      <rPr>
        <i/>
        <sz val="12"/>
        <rFont val="Times New Roman"/>
        <family val="1"/>
      </rPr>
      <t>transmit an electronic copy of each to the OSS</t>
    </r>
    <r>
      <rPr>
        <sz val="12"/>
        <rFont val="Times New Roman"/>
        <family val="1"/>
      </rPr>
      <t xml:space="preserve"> - at least 46 days before the state primary. </t>
    </r>
    <r>
      <rPr>
        <i/>
        <sz val="12"/>
        <rFont val="Times New Roman"/>
        <family val="1"/>
      </rPr>
      <t>Minn. Stat. 204D.09, subd. 2</t>
    </r>
  </si>
  <si>
    <r>
      <t xml:space="preserve">Counties: </t>
    </r>
    <r>
      <rPr>
        <sz val="12"/>
        <rFont val="Times New Roman"/>
        <family val="1"/>
      </rPr>
      <t xml:space="preserve">The county auditor shall prepare a sample ballot for each precinct in the primary election for public inspection and </t>
    </r>
    <r>
      <rPr>
        <i/>
        <sz val="12"/>
        <rFont val="Times New Roman"/>
        <family val="1"/>
      </rPr>
      <t>transmit an electronic copy of each to the OSS</t>
    </r>
    <r>
      <rPr>
        <sz val="12"/>
        <rFont val="Times New Roman"/>
        <family val="1"/>
      </rPr>
      <t xml:space="preserve"> - at least 46 days before the state primary. </t>
    </r>
    <r>
      <rPr>
        <i/>
        <sz val="12"/>
        <rFont val="Times New Roman"/>
        <family val="1"/>
      </rPr>
      <t>Minn. Stat. 204D.09, subd. 2</t>
    </r>
  </si>
  <si>
    <r>
      <t xml:space="preserve">Cities with a Primary: </t>
    </r>
    <r>
      <rPr>
        <sz val="12"/>
        <rFont val="Times New Roman"/>
        <family val="1"/>
      </rPr>
      <t xml:space="preserve">The county auditor shall prepare a sample ballot for each precinct in the primary election for public inspection and </t>
    </r>
    <r>
      <rPr>
        <i/>
        <sz val="12"/>
        <rFont val="Times New Roman"/>
        <family val="1"/>
      </rPr>
      <t>transmit an electronic copy of each to the OSS</t>
    </r>
    <r>
      <rPr>
        <sz val="12"/>
        <rFont val="Times New Roman"/>
        <family val="1"/>
      </rPr>
      <t xml:space="preserve"> - at least 46 days before the state primary. </t>
    </r>
    <r>
      <rPr>
        <i/>
        <sz val="12"/>
        <rFont val="Times New Roman"/>
        <family val="1"/>
      </rPr>
      <t>Minn. Stat. 204D.09, subd. 2</t>
    </r>
  </si>
  <si>
    <r>
      <t xml:space="preserve">Cities without a Primary: </t>
    </r>
    <r>
      <rPr>
        <sz val="12"/>
        <rFont val="Times New Roman"/>
        <family val="1"/>
      </rPr>
      <t xml:space="preserve">The county auditor shall prepare a sample ballot for each precinct in the primary election for public inspection and </t>
    </r>
    <r>
      <rPr>
        <i/>
        <sz val="12"/>
        <rFont val="Times New Roman"/>
        <family val="1"/>
      </rPr>
      <t>transmit an electronic copy of each to the OSS</t>
    </r>
    <r>
      <rPr>
        <sz val="12"/>
        <rFont val="Times New Roman"/>
        <family val="1"/>
      </rPr>
      <t xml:space="preserve"> - at least 46 days before the state primary. </t>
    </r>
    <r>
      <rPr>
        <i/>
        <sz val="12"/>
        <rFont val="Times New Roman"/>
        <family val="1"/>
      </rPr>
      <t>Minn. Stat. 204D.09, subd. 2</t>
    </r>
  </si>
  <si>
    <r>
      <t xml:space="preserve">Towns with March Elections: </t>
    </r>
    <r>
      <rPr>
        <sz val="12"/>
        <rFont val="Times New Roman"/>
        <family val="1"/>
      </rPr>
      <t xml:space="preserve">The county auditor shall prepare a sample ballot for each precinct in the primary election for public inspection and </t>
    </r>
    <r>
      <rPr>
        <i/>
        <sz val="12"/>
        <rFont val="Times New Roman"/>
        <family val="1"/>
      </rPr>
      <t>transmit an electronic copy of each to the OSS</t>
    </r>
    <r>
      <rPr>
        <sz val="12"/>
        <rFont val="Times New Roman"/>
        <family val="1"/>
      </rPr>
      <t xml:space="preserve"> - at least 46 days before the state primary. </t>
    </r>
    <r>
      <rPr>
        <i/>
        <sz val="12"/>
        <rFont val="Times New Roman"/>
        <family val="1"/>
      </rPr>
      <t>Minn. Stat. 204D.09, subd. 2</t>
    </r>
  </si>
  <si>
    <r>
      <t xml:space="preserve">Towns with November Elections: </t>
    </r>
    <r>
      <rPr>
        <sz val="12"/>
        <rFont val="Times New Roman"/>
        <family val="1"/>
      </rPr>
      <t xml:space="preserve">The county auditor shall prepare a sample ballot for each precinct in the primary election for public inspection and </t>
    </r>
    <r>
      <rPr>
        <i/>
        <sz val="12"/>
        <rFont val="Times New Roman"/>
        <family val="1"/>
      </rPr>
      <t>transmit an electronic copy of each to the OSS</t>
    </r>
    <r>
      <rPr>
        <sz val="12"/>
        <rFont val="Times New Roman"/>
        <family val="1"/>
      </rPr>
      <t xml:space="preserve"> - at least 46 days before the state primary. </t>
    </r>
    <r>
      <rPr>
        <i/>
        <sz val="12"/>
        <rFont val="Times New Roman"/>
        <family val="1"/>
      </rPr>
      <t>Minn. Stat. 204D.09, subd. 2</t>
    </r>
  </si>
  <si>
    <r>
      <t xml:space="preserve">School Districts with a Primary: </t>
    </r>
    <r>
      <rPr>
        <sz val="12"/>
        <rFont val="Times New Roman"/>
        <family val="1"/>
      </rPr>
      <t xml:space="preserve">The county auditor shall prepare a sample ballot for each precinct in the primary election for public inspection and </t>
    </r>
    <r>
      <rPr>
        <i/>
        <sz val="12"/>
        <rFont val="Times New Roman"/>
        <family val="1"/>
      </rPr>
      <t>transmit an electronic copy of each to the OSS</t>
    </r>
    <r>
      <rPr>
        <sz val="12"/>
        <rFont val="Times New Roman"/>
        <family val="1"/>
      </rPr>
      <t xml:space="preserve"> - at least 46 days before the state primary. </t>
    </r>
    <r>
      <rPr>
        <i/>
        <sz val="12"/>
        <rFont val="Times New Roman"/>
        <family val="1"/>
      </rPr>
      <t>Minn. Stat. 204D.09, subd. 2</t>
    </r>
  </si>
  <si>
    <r>
      <t xml:space="preserve">Secretary of State: </t>
    </r>
    <r>
      <rPr>
        <sz val="12"/>
        <rFont val="Times New Roman"/>
        <family val="1"/>
      </rPr>
      <t>The county auditor shall post the sample ballots in a conspicuous place in the auditor's office and shall cause them to be published in at least 1 newspaper of general circulation in the county - at least 1 week before the state primary.</t>
    </r>
    <r>
      <rPr>
        <i/>
        <sz val="12"/>
        <rFont val="Times New Roman"/>
        <family val="1"/>
      </rPr>
      <t xml:space="preserve"> Minn Stat. 204D.09, subd. 2</t>
    </r>
  </si>
  <si>
    <r>
      <t xml:space="preserve">Political Parties: </t>
    </r>
    <r>
      <rPr>
        <sz val="12"/>
        <rFont val="Times New Roman"/>
        <family val="1"/>
      </rPr>
      <t>The county auditor shall post the sample ballots in a conspicuous place in the auditor's office and shall cause them to be published in at least 1 newspaper of general circulation in the county - at least 1 week before the state primary.</t>
    </r>
    <r>
      <rPr>
        <i/>
        <sz val="12"/>
        <rFont val="Times New Roman"/>
        <family val="1"/>
      </rPr>
      <t xml:space="preserve"> Minn Stat. 204D.09, subd. 2</t>
    </r>
  </si>
  <si>
    <r>
      <t xml:space="preserve">Counties: </t>
    </r>
    <r>
      <rPr>
        <sz val="12"/>
        <rFont val="Times New Roman"/>
        <family val="1"/>
      </rPr>
      <t>The county auditor shall post the sample ballots in a conspicuous place in the auditor's office and shall cause them to be published in at least 1 newspaper of general circulation in the county - at least 1 week before the state primary.</t>
    </r>
    <r>
      <rPr>
        <i/>
        <sz val="12"/>
        <rFont val="Times New Roman"/>
        <family val="1"/>
      </rPr>
      <t xml:space="preserve"> Minn Stat. 204D.09, subd. 2</t>
    </r>
  </si>
  <si>
    <r>
      <t xml:space="preserve">Secretary of State: </t>
    </r>
    <r>
      <rPr>
        <sz val="12"/>
        <rFont val="Times New Roman"/>
        <family val="1"/>
      </rPr>
      <t xml:space="preserve">Last day for OSS to transmit to county auditors examples of any blank forms to be used at the Primary Election - at least 14 days before every State Election.  </t>
    </r>
    <r>
      <rPr>
        <i/>
        <sz val="12"/>
        <rFont val="Times New Roman"/>
        <family val="1"/>
      </rPr>
      <t xml:space="preserve">Minn. Stat. §204B.27, subd. 1 </t>
    </r>
  </si>
  <si>
    <r>
      <t xml:space="preserve">Counties: </t>
    </r>
    <r>
      <rPr>
        <sz val="12"/>
        <rFont val="Times New Roman"/>
        <family val="1"/>
      </rPr>
      <t xml:space="preserve">Last day for OSS to transmit to county auditors examples of any blank forms to be used at the Primary Election - at least 14 days before every State Election.  </t>
    </r>
    <r>
      <rPr>
        <i/>
        <sz val="12"/>
        <rFont val="Times New Roman"/>
        <family val="1"/>
      </rPr>
      <t xml:space="preserve">Minn. Stat. §204B.27, subd. 1 </t>
    </r>
  </si>
  <si>
    <r>
      <t xml:space="preserve">Cities with a Primary: </t>
    </r>
    <r>
      <rPr>
        <sz val="12"/>
        <rFont val="Times New Roman"/>
        <family val="1"/>
      </rPr>
      <t xml:space="preserve">Last day for OSS to transmit to county auditors examples of any blank forms to be used at the Primary Election - at least 14 days before every State Election.  </t>
    </r>
    <r>
      <rPr>
        <i/>
        <sz val="12"/>
        <rFont val="Times New Roman"/>
        <family val="1"/>
      </rPr>
      <t xml:space="preserve">Minn. Stat. §204B.27, subd. 1 </t>
    </r>
  </si>
  <si>
    <r>
      <t xml:space="preserve">Cities without a Primary: </t>
    </r>
    <r>
      <rPr>
        <sz val="12"/>
        <rFont val="Times New Roman"/>
        <family val="1"/>
      </rPr>
      <t xml:space="preserve">Last day for OSS to transmit to county auditors examples of any blank forms to be used at the Primary Election - at least 14 days before every State Election.  </t>
    </r>
    <r>
      <rPr>
        <i/>
        <sz val="12"/>
        <rFont val="Times New Roman"/>
        <family val="1"/>
      </rPr>
      <t xml:space="preserve">Minn. Stat. §204B.27, subd. 1 </t>
    </r>
  </si>
  <si>
    <r>
      <t xml:space="preserve">Towns with March Elections: </t>
    </r>
    <r>
      <rPr>
        <sz val="12"/>
        <rFont val="Times New Roman"/>
        <family val="1"/>
      </rPr>
      <t xml:space="preserve">Last day for OSS to transmit to county auditors examples of any blank forms to be used at the Primary Election - at least 14 days before every State Election.  </t>
    </r>
    <r>
      <rPr>
        <i/>
        <sz val="12"/>
        <rFont val="Times New Roman"/>
        <family val="1"/>
      </rPr>
      <t xml:space="preserve">Minn. Stat. §204B.27, subd. 1 </t>
    </r>
  </si>
  <si>
    <r>
      <t xml:space="preserve">Towns with November Elections: </t>
    </r>
    <r>
      <rPr>
        <sz val="12"/>
        <rFont val="Times New Roman"/>
        <family val="1"/>
      </rPr>
      <t xml:space="preserve">Last day for OSS to transmit to county auditors examples of any blank forms to be used at the Primary Election - at least 14 days before every State Election.  </t>
    </r>
    <r>
      <rPr>
        <i/>
        <sz val="12"/>
        <rFont val="Times New Roman"/>
        <family val="1"/>
      </rPr>
      <t xml:space="preserve">Minn. Stat. §204B.27, subd. 1 </t>
    </r>
  </si>
  <si>
    <t>205.16, subds. 2 &amp;3</t>
  </si>
  <si>
    <r>
      <t xml:space="preserve">Secretary of State: </t>
    </r>
    <r>
      <rPr>
        <sz val="12"/>
        <rFont val="Times New Roman"/>
        <family val="1"/>
      </rPr>
      <t xml:space="preserve">Period of time for official in charge of elections to conduct public accuracy test of optical scan voting equipment </t>
    </r>
    <r>
      <rPr>
        <i/>
        <sz val="12"/>
        <rFont val="Times New Roman"/>
        <family val="1"/>
      </rPr>
      <t xml:space="preserve">(Publish notice at least 2 days BEFORE test) </t>
    </r>
    <r>
      <rPr>
        <sz val="12"/>
        <rFont val="Times New Roman"/>
        <family val="1"/>
      </rPr>
      <t>- within 14 days of election.</t>
    </r>
    <r>
      <rPr>
        <i/>
        <sz val="12"/>
        <rFont val="Times New Roman"/>
        <family val="1"/>
      </rPr>
      <t>Minn. Stat. §206.83</t>
    </r>
  </si>
  <si>
    <r>
      <t xml:space="preserve">Political Parties: </t>
    </r>
    <r>
      <rPr>
        <sz val="12"/>
        <rFont val="Times New Roman"/>
        <family val="1"/>
      </rPr>
      <t xml:space="preserve">Period of time for official in charge of elections to conduct public accuracy test of optical scan voting equipment </t>
    </r>
    <r>
      <rPr>
        <i/>
        <sz val="12"/>
        <rFont val="Times New Roman"/>
        <family val="1"/>
      </rPr>
      <t xml:space="preserve">(Publish notice at least 2 days BEFORE test) </t>
    </r>
    <r>
      <rPr>
        <sz val="12"/>
        <rFont val="Times New Roman"/>
        <family val="1"/>
      </rPr>
      <t>- within 14 days of election.</t>
    </r>
    <r>
      <rPr>
        <i/>
        <sz val="12"/>
        <rFont val="Times New Roman"/>
        <family val="1"/>
      </rPr>
      <t>Minn. Stat. §206.83</t>
    </r>
  </si>
  <si>
    <r>
      <t xml:space="preserve">Counties: </t>
    </r>
    <r>
      <rPr>
        <sz val="12"/>
        <rFont val="Times New Roman"/>
        <family val="1"/>
      </rPr>
      <t xml:space="preserve">Period of time for official in charge of elections to conduct public accuracy test of optical scan voting equipment </t>
    </r>
    <r>
      <rPr>
        <i/>
        <sz val="12"/>
        <rFont val="Times New Roman"/>
        <family val="1"/>
      </rPr>
      <t xml:space="preserve">(Publish notice at least 2 days BEFORE test) </t>
    </r>
    <r>
      <rPr>
        <sz val="12"/>
        <rFont val="Times New Roman"/>
        <family val="1"/>
      </rPr>
      <t>- within 14 days of election.</t>
    </r>
    <r>
      <rPr>
        <i/>
        <sz val="12"/>
        <rFont val="Times New Roman"/>
        <family val="1"/>
      </rPr>
      <t>Minn. Stat. §206.83</t>
    </r>
  </si>
  <si>
    <r>
      <t xml:space="preserve">Cities with a Primary: </t>
    </r>
    <r>
      <rPr>
        <sz val="12"/>
        <rFont val="Times New Roman"/>
        <family val="1"/>
      </rPr>
      <t xml:space="preserve">Period of time for official in charge of elections to conduct public accuracy test of optical scan voting equipment </t>
    </r>
    <r>
      <rPr>
        <i/>
        <sz val="12"/>
        <rFont val="Times New Roman"/>
        <family val="1"/>
      </rPr>
      <t xml:space="preserve">(Publish notice at least 2 days BEFORE test) </t>
    </r>
    <r>
      <rPr>
        <sz val="12"/>
        <rFont val="Times New Roman"/>
        <family val="1"/>
      </rPr>
      <t>- within 14 days of election.</t>
    </r>
    <r>
      <rPr>
        <i/>
        <sz val="12"/>
        <rFont val="Times New Roman"/>
        <family val="1"/>
      </rPr>
      <t>Minn. Stat. §206.83</t>
    </r>
  </si>
  <si>
    <r>
      <t xml:space="preserve">Cities without a Primary: </t>
    </r>
    <r>
      <rPr>
        <sz val="12"/>
        <rFont val="Times New Roman"/>
        <family val="1"/>
      </rPr>
      <t xml:space="preserve">Period of time for official in charge of elections to conduct public accuracy test of optical scan voting equipment </t>
    </r>
    <r>
      <rPr>
        <i/>
        <sz val="12"/>
        <rFont val="Times New Roman"/>
        <family val="1"/>
      </rPr>
      <t xml:space="preserve">(Publish notice at least 2 days BEFORE test) </t>
    </r>
    <r>
      <rPr>
        <sz val="12"/>
        <rFont val="Times New Roman"/>
        <family val="1"/>
      </rPr>
      <t>- within 14 days of election.</t>
    </r>
    <r>
      <rPr>
        <i/>
        <sz val="12"/>
        <rFont val="Times New Roman"/>
        <family val="1"/>
      </rPr>
      <t>Minn. Stat. §206.83</t>
    </r>
  </si>
  <si>
    <r>
      <t xml:space="preserve">Towns with March Elections: </t>
    </r>
    <r>
      <rPr>
        <sz val="12"/>
        <rFont val="Times New Roman"/>
        <family val="1"/>
      </rPr>
      <t xml:space="preserve">Period of time for official in charge of elections to conduct public accuracy test of optical scan voting equipment </t>
    </r>
    <r>
      <rPr>
        <i/>
        <sz val="12"/>
        <rFont val="Times New Roman"/>
        <family val="1"/>
      </rPr>
      <t xml:space="preserve">(Publish notice at least 2 days BEFORE test) </t>
    </r>
    <r>
      <rPr>
        <sz val="12"/>
        <rFont val="Times New Roman"/>
        <family val="1"/>
      </rPr>
      <t>- within 14 days of election.</t>
    </r>
    <r>
      <rPr>
        <i/>
        <sz val="12"/>
        <rFont val="Times New Roman"/>
        <family val="1"/>
      </rPr>
      <t>Minn. Stat. §206.83</t>
    </r>
  </si>
  <si>
    <r>
      <t xml:space="preserve">Town with November Elections: </t>
    </r>
    <r>
      <rPr>
        <sz val="12"/>
        <rFont val="Times New Roman"/>
        <family val="1"/>
      </rPr>
      <t xml:space="preserve">Period of time for official in charge of elections to conduct public accuracy test of optical scan voting equipment </t>
    </r>
    <r>
      <rPr>
        <i/>
        <sz val="12"/>
        <rFont val="Times New Roman"/>
        <family val="1"/>
      </rPr>
      <t xml:space="preserve">(Publish notice at least 2 days BEFORE test) </t>
    </r>
    <r>
      <rPr>
        <sz val="12"/>
        <rFont val="Times New Roman"/>
        <family val="1"/>
      </rPr>
      <t>- within 14 days of election.</t>
    </r>
    <r>
      <rPr>
        <i/>
        <sz val="12"/>
        <rFont val="Times New Roman"/>
        <family val="1"/>
      </rPr>
      <t>Minn. Stat. §206.83</t>
    </r>
  </si>
  <si>
    <r>
      <t xml:space="preserve">School Districts with a Primary: </t>
    </r>
    <r>
      <rPr>
        <sz val="12"/>
        <rFont val="Times New Roman"/>
        <family val="1"/>
      </rPr>
      <t xml:space="preserve">Period of time for official in charge of elections to conduct public accuracy test of optical scan voting equipment </t>
    </r>
    <r>
      <rPr>
        <i/>
        <sz val="12"/>
        <rFont val="Times New Roman"/>
        <family val="1"/>
      </rPr>
      <t xml:space="preserve">(Publish notice at least 2 days BEFORE test) </t>
    </r>
    <r>
      <rPr>
        <sz val="12"/>
        <rFont val="Times New Roman"/>
        <family val="1"/>
      </rPr>
      <t>- within 14 days of election.</t>
    </r>
    <r>
      <rPr>
        <i/>
        <sz val="12"/>
        <rFont val="Times New Roman"/>
        <family val="1"/>
      </rPr>
      <t>Minn. Stat. §206.83</t>
    </r>
  </si>
  <si>
    <r>
      <t>Secretary of State:</t>
    </r>
    <r>
      <rPr>
        <sz val="12"/>
        <rFont val="Times New Roman"/>
        <family val="1"/>
      </rPr>
      <t xml:space="preserve"> Last day for cities and school districts with primaries to </t>
    </r>
    <r>
      <rPr>
        <i/>
        <sz val="12"/>
        <rFont val="Times New Roman"/>
        <family val="1"/>
      </rPr>
      <t xml:space="preserve">post </t>
    </r>
    <r>
      <rPr>
        <sz val="12"/>
        <rFont val="Times New Roman"/>
        <family val="1"/>
      </rPr>
      <t xml:space="preserve">notice of primary election </t>
    </r>
    <r>
      <rPr>
        <i/>
        <sz val="12"/>
        <rFont val="Times New Roman"/>
        <family val="1"/>
      </rPr>
      <t xml:space="preserve">(Required for school districts and 4th class cities who dispensed with published notice) </t>
    </r>
    <r>
      <rPr>
        <sz val="12"/>
        <rFont val="Times New Roman"/>
        <family val="1"/>
      </rPr>
      <t xml:space="preserve">- 10 days before election. </t>
    </r>
    <r>
      <rPr>
        <i/>
        <sz val="12"/>
        <rFont val="Times New Roman"/>
        <family val="1"/>
      </rPr>
      <t>Minn. Stat. §205.16, subd. 1; 205A.07, subd. 1</t>
    </r>
  </si>
  <si>
    <r>
      <t>Political Parties:</t>
    </r>
    <r>
      <rPr>
        <sz val="12"/>
        <rFont val="Times New Roman"/>
        <family val="1"/>
      </rPr>
      <t xml:space="preserve"> Last day for cities and school districts with primaries to </t>
    </r>
    <r>
      <rPr>
        <i/>
        <sz val="12"/>
        <rFont val="Times New Roman"/>
        <family val="1"/>
      </rPr>
      <t xml:space="preserve">post </t>
    </r>
    <r>
      <rPr>
        <sz val="12"/>
        <rFont val="Times New Roman"/>
        <family val="1"/>
      </rPr>
      <t xml:space="preserve">notice of primary election </t>
    </r>
    <r>
      <rPr>
        <i/>
        <sz val="12"/>
        <rFont val="Times New Roman"/>
        <family val="1"/>
      </rPr>
      <t xml:space="preserve">(Required for school districts and 4th class cities who dispensed with published notice) </t>
    </r>
    <r>
      <rPr>
        <sz val="12"/>
        <rFont val="Times New Roman"/>
        <family val="1"/>
      </rPr>
      <t xml:space="preserve">- 10 days before election. </t>
    </r>
    <r>
      <rPr>
        <i/>
        <sz val="12"/>
        <rFont val="Times New Roman"/>
        <family val="1"/>
      </rPr>
      <t>Minn. Stat. §205.16, subd. 1; 205A.07, subd. 1</t>
    </r>
  </si>
  <si>
    <r>
      <t>Counties:</t>
    </r>
    <r>
      <rPr>
        <sz val="12"/>
        <rFont val="Times New Roman"/>
        <family val="1"/>
      </rPr>
      <t xml:space="preserve"> Last day for cities and school districts with primaries to </t>
    </r>
    <r>
      <rPr>
        <i/>
        <sz val="12"/>
        <rFont val="Times New Roman"/>
        <family val="1"/>
      </rPr>
      <t xml:space="preserve">post </t>
    </r>
    <r>
      <rPr>
        <sz val="12"/>
        <rFont val="Times New Roman"/>
        <family val="1"/>
      </rPr>
      <t xml:space="preserve">notice of primary election </t>
    </r>
    <r>
      <rPr>
        <i/>
        <sz val="12"/>
        <rFont val="Times New Roman"/>
        <family val="1"/>
      </rPr>
      <t xml:space="preserve">(Required for school districts and 4th class cities who dispensed with published notice) </t>
    </r>
    <r>
      <rPr>
        <sz val="12"/>
        <rFont val="Times New Roman"/>
        <family val="1"/>
      </rPr>
      <t xml:space="preserve">- 10 days before election. </t>
    </r>
    <r>
      <rPr>
        <i/>
        <sz val="12"/>
        <rFont val="Times New Roman"/>
        <family val="1"/>
      </rPr>
      <t>Minn. Stat. §205.16, subd. 1; 205A.07, subd. 1</t>
    </r>
  </si>
  <si>
    <r>
      <t>Cities with a Primary:</t>
    </r>
    <r>
      <rPr>
        <sz val="12"/>
        <rFont val="Times New Roman"/>
        <family val="1"/>
      </rPr>
      <t xml:space="preserve"> Last day for cities and school districts with primaries to </t>
    </r>
    <r>
      <rPr>
        <i/>
        <sz val="12"/>
        <rFont val="Times New Roman"/>
        <family val="1"/>
      </rPr>
      <t xml:space="preserve">post </t>
    </r>
    <r>
      <rPr>
        <sz val="12"/>
        <rFont val="Times New Roman"/>
        <family val="1"/>
      </rPr>
      <t xml:space="preserve">notice of primary election </t>
    </r>
    <r>
      <rPr>
        <i/>
        <sz val="12"/>
        <rFont val="Times New Roman"/>
        <family val="1"/>
      </rPr>
      <t xml:space="preserve">(Required for school districts and 4th class cities who dispensed with published notice) </t>
    </r>
    <r>
      <rPr>
        <sz val="12"/>
        <rFont val="Times New Roman"/>
        <family val="1"/>
      </rPr>
      <t xml:space="preserve">- 10 days before election. </t>
    </r>
    <r>
      <rPr>
        <i/>
        <sz val="12"/>
        <rFont val="Times New Roman"/>
        <family val="1"/>
      </rPr>
      <t>Minn. Stat. §205.16, subd. 1; 205A.07, subd. 1</t>
    </r>
  </si>
  <si>
    <r>
      <t>School Districts with a Primary:</t>
    </r>
    <r>
      <rPr>
        <sz val="12"/>
        <rFont val="Times New Roman"/>
        <family val="1"/>
      </rPr>
      <t xml:space="preserve"> Last day for cities and school districts with primaries to </t>
    </r>
    <r>
      <rPr>
        <i/>
        <sz val="12"/>
        <rFont val="Times New Roman"/>
        <family val="1"/>
      </rPr>
      <t xml:space="preserve">post </t>
    </r>
    <r>
      <rPr>
        <sz val="12"/>
        <rFont val="Times New Roman"/>
        <family val="1"/>
      </rPr>
      <t xml:space="preserve">notice of primary election </t>
    </r>
    <r>
      <rPr>
        <i/>
        <sz val="12"/>
        <rFont val="Times New Roman"/>
        <family val="1"/>
      </rPr>
      <t xml:space="preserve">(Required for school districts and 4th class cities who dispensed with published notice) </t>
    </r>
    <r>
      <rPr>
        <sz val="12"/>
        <rFont val="Times New Roman"/>
        <family val="1"/>
      </rPr>
      <t xml:space="preserve">- 10 days before election. </t>
    </r>
    <r>
      <rPr>
        <i/>
        <sz val="12"/>
        <rFont val="Times New Roman"/>
        <family val="1"/>
      </rPr>
      <t>Minn. Stat. §205.16, subd. 1; 205A.07, subd. 1</t>
    </r>
  </si>
  <si>
    <r>
      <t>Secretary of State:</t>
    </r>
    <r>
      <rPr>
        <sz val="12"/>
        <rFont val="Times New Roman"/>
        <family val="1"/>
      </rPr>
      <t xml:space="preserve"> Last day for an election judge to submit written notice of serving voluntarily without  pay at primary - no later than 10 days before an election.  </t>
    </r>
    <r>
      <rPr>
        <i/>
        <sz val="12"/>
        <rFont val="Times New Roman"/>
        <family val="1"/>
      </rPr>
      <t>Minn. Stat. §204B.31, subd. 2</t>
    </r>
  </si>
  <si>
    <r>
      <t>Counties:</t>
    </r>
    <r>
      <rPr>
        <sz val="12"/>
        <rFont val="Times New Roman"/>
        <family val="1"/>
      </rPr>
      <t xml:space="preserve"> Last day for an election judge to submit written notice of serving voluntarily without  pay at primary - no later than 10 days before an election.  </t>
    </r>
    <r>
      <rPr>
        <i/>
        <sz val="12"/>
        <rFont val="Times New Roman"/>
        <family val="1"/>
      </rPr>
      <t>Minn. Stat. §204B.31, subd. 2</t>
    </r>
  </si>
  <si>
    <r>
      <t>Cities with a Primary:</t>
    </r>
    <r>
      <rPr>
        <sz val="12"/>
        <rFont val="Times New Roman"/>
        <family val="1"/>
      </rPr>
      <t xml:space="preserve"> Last day for an election judge to submit written notice of serving voluntarily without  pay at primary - no later than 10 days before an election.  </t>
    </r>
    <r>
      <rPr>
        <i/>
        <sz val="12"/>
        <rFont val="Times New Roman"/>
        <family val="1"/>
      </rPr>
      <t>Minn. Stat. §204B.31, subd. 2</t>
    </r>
  </si>
  <si>
    <r>
      <t>Cities without a Primary:</t>
    </r>
    <r>
      <rPr>
        <sz val="12"/>
        <rFont val="Times New Roman"/>
        <family val="1"/>
      </rPr>
      <t xml:space="preserve"> Last day for an election judge to submit written notice of serving voluntarily without  pay at primary - no later than 10 days before an election.  </t>
    </r>
    <r>
      <rPr>
        <i/>
        <sz val="12"/>
        <rFont val="Times New Roman"/>
        <family val="1"/>
      </rPr>
      <t>Minn. Stat. §204B.31, subd. 2</t>
    </r>
  </si>
  <si>
    <r>
      <t>Towns with March Elections:</t>
    </r>
    <r>
      <rPr>
        <sz val="12"/>
        <rFont val="Times New Roman"/>
        <family val="1"/>
      </rPr>
      <t xml:space="preserve"> Last day for an election judge to submit written notice of serving voluntarily without  pay at primary - no later than 10 days before an election.  </t>
    </r>
    <r>
      <rPr>
        <i/>
        <sz val="12"/>
        <rFont val="Times New Roman"/>
        <family val="1"/>
      </rPr>
      <t>Minn. Stat. §204B.31, subd. 2</t>
    </r>
  </si>
  <si>
    <r>
      <t>Towns with November Elections:</t>
    </r>
    <r>
      <rPr>
        <sz val="12"/>
        <rFont val="Times New Roman"/>
        <family val="1"/>
      </rPr>
      <t xml:space="preserve"> Last day for an election judge to submit written notice of serving voluntarily without  pay at primary - no later than 10 days before an election.  </t>
    </r>
    <r>
      <rPr>
        <i/>
        <sz val="12"/>
        <rFont val="Times New Roman"/>
        <family val="1"/>
      </rPr>
      <t>Minn. Stat. §204B.31, subd. 2</t>
    </r>
  </si>
  <si>
    <r>
      <t>Secretary of State:</t>
    </r>
    <r>
      <rPr>
        <sz val="12"/>
        <rFont val="Times New Roman"/>
        <family val="1"/>
      </rPr>
      <t xml:space="preserve"> If initial report has been filed, campaign finance reports due - 10 days before primary.  </t>
    </r>
    <r>
      <rPr>
        <i/>
        <sz val="12"/>
        <rFont val="Times New Roman"/>
        <family val="1"/>
      </rPr>
      <t>Minn. Stat. §211A.02</t>
    </r>
  </si>
  <si>
    <r>
      <t>Campaign Finance:</t>
    </r>
    <r>
      <rPr>
        <sz val="12"/>
        <rFont val="Times New Roman"/>
        <family val="1"/>
      </rPr>
      <t xml:space="preserve"> If initial report has been filed, campaign finance reports due - 10 days before primary.  </t>
    </r>
    <r>
      <rPr>
        <i/>
        <sz val="12"/>
        <rFont val="Times New Roman"/>
        <family val="1"/>
      </rPr>
      <t>Minn. Stat. §211A.02</t>
    </r>
  </si>
  <si>
    <r>
      <t>Political Parties:</t>
    </r>
    <r>
      <rPr>
        <sz val="12"/>
        <rFont val="Times New Roman"/>
        <family val="1"/>
      </rPr>
      <t xml:space="preserve"> If initial report has been filed, campaign finance reports due - 10 days before primary.  </t>
    </r>
    <r>
      <rPr>
        <i/>
        <sz val="12"/>
        <rFont val="Times New Roman"/>
        <family val="1"/>
      </rPr>
      <t>Minn. Stat. §211A.02</t>
    </r>
  </si>
  <si>
    <r>
      <t>Counties:</t>
    </r>
    <r>
      <rPr>
        <sz val="12"/>
        <rFont val="Times New Roman"/>
        <family val="1"/>
      </rPr>
      <t xml:space="preserve"> If initial report has been filed, campaign finance reports due - 10 days before primary.  </t>
    </r>
    <r>
      <rPr>
        <i/>
        <sz val="12"/>
        <rFont val="Times New Roman"/>
        <family val="1"/>
      </rPr>
      <t>Minn. Stat. §211A.02</t>
    </r>
  </si>
  <si>
    <r>
      <t>Cities with a Primary:</t>
    </r>
    <r>
      <rPr>
        <sz val="12"/>
        <rFont val="Times New Roman"/>
        <family val="1"/>
      </rPr>
      <t xml:space="preserve"> If initial report has been filed, campaign finance reports due - 10 days before primary.  </t>
    </r>
    <r>
      <rPr>
        <i/>
        <sz val="12"/>
        <rFont val="Times New Roman"/>
        <family val="1"/>
      </rPr>
      <t>Minn. Stat. §211A.02</t>
    </r>
  </si>
  <si>
    <r>
      <t>School Districts with a Primary:</t>
    </r>
    <r>
      <rPr>
        <sz val="12"/>
        <rFont val="Times New Roman"/>
        <family val="1"/>
      </rPr>
      <t xml:space="preserve"> If initial report has been filed, campaign finance reports due - 10 days before primary.  </t>
    </r>
    <r>
      <rPr>
        <i/>
        <sz val="12"/>
        <rFont val="Times New Roman"/>
        <family val="1"/>
      </rPr>
      <t>Minn. Stat. §211A.02</t>
    </r>
  </si>
  <si>
    <r>
      <t>Political Parties:</t>
    </r>
    <r>
      <rPr>
        <sz val="12"/>
        <rFont val="Times New Roman"/>
        <family val="1"/>
      </rPr>
      <t xml:space="preserve"> Last day for cities with a primary to publish sample ballots (optional for 4th class cities).  All cities with primary shall prepare a sample ballot and make available for public inspection in clerk's office - at least 2 weeks before primary. </t>
    </r>
    <r>
      <rPr>
        <i/>
        <sz val="12"/>
        <rFont val="Times New Roman"/>
        <family val="1"/>
      </rPr>
      <t>Minn. Stat. §205.16, subds. 2 &amp; 3</t>
    </r>
  </si>
  <si>
    <r>
      <t>Secretary of State:</t>
    </r>
    <r>
      <rPr>
        <sz val="12"/>
        <rFont val="Times New Roman"/>
        <family val="1"/>
      </rPr>
      <t xml:space="preserve"> Last day for cities with a primary to publish sample ballots (optional for 4th class cities).  All cities with primary shall prepare a sample ballot and make available for public inspection in clerk's office - at least 2 weeks before primary. </t>
    </r>
    <r>
      <rPr>
        <i/>
        <sz val="12"/>
        <rFont val="Times New Roman"/>
        <family val="1"/>
      </rPr>
      <t>Minn. Stat. §205.16, subds. 2 &amp; 3</t>
    </r>
  </si>
  <si>
    <r>
      <t>Counties:</t>
    </r>
    <r>
      <rPr>
        <sz val="12"/>
        <rFont val="Times New Roman"/>
        <family val="1"/>
      </rPr>
      <t xml:space="preserve"> Last day for cities with a primary to publish sample ballots (optional for 4th class cities).  All cities with primary shall prepare a sample ballot and make available for public inspection in clerk's office - at least 2 weeks before primary. </t>
    </r>
    <r>
      <rPr>
        <i/>
        <sz val="12"/>
        <rFont val="Times New Roman"/>
        <family val="1"/>
      </rPr>
      <t>Minn. Stat. §205.16, subds. 2 &amp; 3</t>
    </r>
  </si>
  <si>
    <r>
      <t>Cities with a Primary:</t>
    </r>
    <r>
      <rPr>
        <sz val="12"/>
        <rFont val="Times New Roman"/>
        <family val="1"/>
      </rPr>
      <t xml:space="preserve"> Last day for cities with primary to publish sample ballots (optional for 4th class cities).  All cities with primary shall prepare a sample ballot and make available for public inspection in clerk's office - at least 2 weeks before primary. </t>
    </r>
    <r>
      <rPr>
        <i/>
        <sz val="12"/>
        <rFont val="Times New Roman"/>
        <family val="1"/>
      </rPr>
      <t>Minn. Stat. §205.16, subds. 2 &amp; 3</t>
    </r>
  </si>
  <si>
    <r>
      <t xml:space="preserve">Secretary of State: </t>
    </r>
    <r>
      <rPr>
        <sz val="12"/>
        <rFont val="Times New Roman"/>
        <family val="1"/>
      </rPr>
      <t xml:space="preserve">Final updated voter registration master list available from county auditor - 7 days before each election. </t>
    </r>
    <r>
      <rPr>
        <i/>
        <sz val="12"/>
        <rFont val="Times New Roman"/>
        <family val="1"/>
      </rPr>
      <t>Minn. Stat. §201.091, subd. 2</t>
    </r>
  </si>
  <si>
    <r>
      <t xml:space="preserve">Counties: </t>
    </r>
    <r>
      <rPr>
        <sz val="12"/>
        <rFont val="Times New Roman"/>
        <family val="1"/>
      </rPr>
      <t xml:space="preserve">Final updated voter registration master list available from county auditor - 7 days before each election. </t>
    </r>
    <r>
      <rPr>
        <i/>
        <sz val="12"/>
        <rFont val="Times New Roman"/>
        <family val="1"/>
      </rPr>
      <t>Minn. Stat. §201.091, subd. 2</t>
    </r>
  </si>
  <si>
    <r>
      <t xml:space="preserve">Cities with a Primary: </t>
    </r>
    <r>
      <rPr>
        <sz val="12"/>
        <rFont val="Times New Roman"/>
        <family val="1"/>
      </rPr>
      <t xml:space="preserve">Final updated voter registration master list available from county auditor - 7 days before each election. </t>
    </r>
    <r>
      <rPr>
        <i/>
        <sz val="12"/>
        <rFont val="Times New Roman"/>
        <family val="1"/>
      </rPr>
      <t>Minn. Stat. §201.091, subd. 2</t>
    </r>
  </si>
  <si>
    <r>
      <t xml:space="preserve">Cities without a Primary: </t>
    </r>
    <r>
      <rPr>
        <sz val="12"/>
        <rFont val="Times New Roman"/>
        <family val="1"/>
      </rPr>
      <t xml:space="preserve">Final updated voter registration master list available from county auditor - 7 days before each election. </t>
    </r>
    <r>
      <rPr>
        <i/>
        <sz val="12"/>
        <rFont val="Times New Roman"/>
        <family val="1"/>
      </rPr>
      <t>Minn. Stat. §201.091, subd. 2</t>
    </r>
  </si>
  <si>
    <r>
      <t xml:space="preserve">Towns with March Elections: </t>
    </r>
    <r>
      <rPr>
        <sz val="12"/>
        <rFont val="Times New Roman"/>
        <family val="1"/>
      </rPr>
      <t xml:space="preserve">Final updated voter registration master list available from county auditor - 7 days before each election. </t>
    </r>
    <r>
      <rPr>
        <i/>
        <sz val="12"/>
        <rFont val="Times New Roman"/>
        <family val="1"/>
      </rPr>
      <t>Minn. Stat. §201.091, subd. 2</t>
    </r>
  </si>
  <si>
    <r>
      <t xml:space="preserve">Towns with November Elections: </t>
    </r>
    <r>
      <rPr>
        <sz val="12"/>
        <rFont val="Times New Roman"/>
        <family val="1"/>
      </rPr>
      <t xml:space="preserve">Final updated voter registration master list available from county auditor - 7 days before each election. </t>
    </r>
    <r>
      <rPr>
        <i/>
        <sz val="12"/>
        <rFont val="Times New Roman"/>
        <family val="1"/>
      </rPr>
      <t>Minn. Stat. §201.091, subd. 2</t>
    </r>
  </si>
  <si>
    <r>
      <t xml:space="preserve">School Districts with a Primary: </t>
    </r>
    <r>
      <rPr>
        <sz val="12"/>
        <rFont val="Times New Roman"/>
        <family val="1"/>
      </rPr>
      <t xml:space="preserve">Final updated voter registration master list available from county auditor - 7 days before each election. </t>
    </r>
    <r>
      <rPr>
        <i/>
        <sz val="12"/>
        <rFont val="Times New Roman"/>
        <family val="1"/>
      </rPr>
      <t>Minn. Stat. §201.091, subd. 2</t>
    </r>
  </si>
  <si>
    <r>
      <t xml:space="preserve">Secretary of State: </t>
    </r>
    <r>
      <rPr>
        <sz val="12"/>
        <rFont val="Times New Roman"/>
        <family val="1"/>
      </rPr>
      <t xml:space="preserve">Last day for the Secretary of State to provide abstract forms to County Auditors (may be electronically via the Minnesota State Election Reporting System) - at least 1 week prior to the election. </t>
    </r>
    <r>
      <rPr>
        <i/>
        <sz val="12"/>
        <rFont val="Times New Roman"/>
        <family val="1"/>
      </rPr>
      <t>Minn. Stat. §204B.27, subd. 1</t>
    </r>
  </si>
  <si>
    <r>
      <t xml:space="preserve">Counties: </t>
    </r>
    <r>
      <rPr>
        <sz val="12"/>
        <rFont val="Times New Roman"/>
        <family val="1"/>
      </rPr>
      <t xml:space="preserve">Last day for the Secretary of State to provide abstract forms to County Auditors (may be electronically via the Minnesota State Election Reporting System) - at least 1 week prior to the election. </t>
    </r>
    <r>
      <rPr>
        <i/>
        <sz val="12"/>
        <rFont val="Times New Roman"/>
        <family val="1"/>
      </rPr>
      <t>Minn. Stat. §204B.27, subd. 1</t>
    </r>
  </si>
  <si>
    <r>
      <t xml:space="preserve">Cities with a Primary: </t>
    </r>
    <r>
      <rPr>
        <sz val="12"/>
        <rFont val="Times New Roman"/>
        <family val="1"/>
      </rPr>
      <t xml:space="preserve">Last day for the Secretary of State to provide abstract forms to County Auditors (may be electronically via the Minnesota State Election Reporting System) - at least 1 week prior to the election. </t>
    </r>
    <r>
      <rPr>
        <i/>
        <sz val="12"/>
        <rFont val="Times New Roman"/>
        <family val="1"/>
      </rPr>
      <t>Minn. Stat. §204B.27, subd. 1</t>
    </r>
  </si>
  <si>
    <r>
      <t xml:space="preserve">School Districts with a Primary: </t>
    </r>
    <r>
      <rPr>
        <sz val="12"/>
        <rFont val="Times New Roman"/>
        <family val="1"/>
      </rPr>
      <t xml:space="preserve">Last day for the Secretary of State to provide abstract forms to County Auditors (may be electronically via the Minnesota State Election Reporting System) - at least 1 week prior to the election. </t>
    </r>
    <r>
      <rPr>
        <i/>
        <sz val="12"/>
        <rFont val="Times New Roman"/>
        <family val="1"/>
      </rPr>
      <t>Minn. Stat. §204B.27, subd. 1</t>
    </r>
  </si>
  <si>
    <r>
      <t xml:space="preserve">Secretary of State: </t>
    </r>
    <r>
      <rPr>
        <sz val="12"/>
        <rFont val="Times New Roman"/>
        <family val="1"/>
      </rPr>
      <t xml:space="preserve">Candidate filing period for Cities without a Primary, Towns with November Elections, School Districts without a Primary, and Hospital Districts - opens 98 days before election and closes 84 days before election. Hospital District candidates file with their municipality of residence.  The municipal clerk's office MUST be open for filing from 1:00 p.m. to 5:00 p.m. on the last day of the filing period. </t>
    </r>
    <r>
      <rPr>
        <i/>
        <sz val="12"/>
        <rFont val="Times New Roman"/>
        <family val="1"/>
      </rPr>
      <t>Minn. Stat. §§205.13, subd. 1a; 205A.06, subd. 1a; 447.32, subd. 4</t>
    </r>
  </si>
  <si>
    <r>
      <t xml:space="preserve">Campaign Finance: </t>
    </r>
    <r>
      <rPr>
        <sz val="12"/>
        <rFont val="Times New Roman"/>
        <family val="1"/>
      </rPr>
      <t xml:space="preserve">Candidate filing period for Cities without a Primary, Towns with November Elections, School Districts without a Primary, and Hospital Districts - opens 98 days before election and closes 84 days before election. Hospital District candidates file with their municipality of residence.  The municipal clerk's office MUST be open for filing from 1:00 p.m. to 5:00 p.m. on the last day of the filing period. </t>
    </r>
    <r>
      <rPr>
        <i/>
        <sz val="12"/>
        <rFont val="Times New Roman"/>
        <family val="1"/>
      </rPr>
      <t>Minn. Stat. §§205.13, subd. 1a; 205A.06, subd. 1a; 447.32, subd. 4</t>
    </r>
  </si>
  <si>
    <r>
      <t xml:space="preserve">Political Parties: </t>
    </r>
    <r>
      <rPr>
        <sz val="12"/>
        <rFont val="Times New Roman"/>
        <family val="1"/>
      </rPr>
      <t xml:space="preserve">Candidate filing period for Cities without a Primary, Towns with November Elections, School Districts without a Primary, and Hospital Districts - opens 98 days before election and closes 84 days before election. Hospital District candidates file with their municipality of residence.  The municipal clerk's office MUST be open for filing from 1:00 p.m. to 5:00 p.m. on the last day of the filing period. </t>
    </r>
    <r>
      <rPr>
        <i/>
        <sz val="12"/>
        <rFont val="Times New Roman"/>
        <family val="1"/>
      </rPr>
      <t>Minn. Stat. §§205.13, subd. 1a; 205A.06, subd. 1a; 447.32, subd. 4</t>
    </r>
  </si>
  <si>
    <r>
      <t xml:space="preserve">Counties: </t>
    </r>
    <r>
      <rPr>
        <sz val="12"/>
        <rFont val="Times New Roman"/>
        <family val="1"/>
      </rPr>
      <t xml:space="preserve">Candidate filing period for Cities without a Primary, Towns with November Elections, School Districts without a Primary, and Hospital Districts - opens 98 days before election and closes 84 days before election. Hospital District candidates file with their municipality of residence.  The municipal clerk's office MUST be open for filing from 1:00 p.m. to 5:00 p.m. on the last day of the filing period. </t>
    </r>
    <r>
      <rPr>
        <i/>
        <sz val="12"/>
        <rFont val="Times New Roman"/>
        <family val="1"/>
      </rPr>
      <t>Minn. Stat. §§205.13, subd. 1a; 205A.06, subd. 1a; 447.32, subd. 4</t>
    </r>
  </si>
  <si>
    <r>
      <t xml:space="preserve">Cities without a Primary: </t>
    </r>
    <r>
      <rPr>
        <sz val="12"/>
        <rFont val="Times New Roman"/>
        <family val="1"/>
      </rPr>
      <t xml:space="preserve">Candidate filing period for Cities without a Primary, Towns with November Elections, School Districts without a Primary, and Hospital Districts - opens 98 days before election and closes 84 days before election. Hospital District candidates file with their municipality of residence.  The municipal clerk's office MUST be open for filing from 1:00 p.m. to 5:00 p.m. on the last day of the filing period. </t>
    </r>
    <r>
      <rPr>
        <i/>
        <sz val="12"/>
        <rFont val="Times New Roman"/>
        <family val="1"/>
      </rPr>
      <t>Minn. Stat. §§205.13, subd. 1a; 205A.06, subd. 1a; 447.32, subd. 4</t>
    </r>
  </si>
  <si>
    <r>
      <t xml:space="preserve">Towns with November Elections: </t>
    </r>
    <r>
      <rPr>
        <sz val="12"/>
        <rFont val="Times New Roman"/>
        <family val="1"/>
      </rPr>
      <t xml:space="preserve">Candidate filing period for Cities without a Primary, Towns with November Elections, School Districts without a Primary, and Hospital Districts - opens 98 days before election and closes 84 days before election. Hospital District candidates file with their municipality of residence.  The municipal clerk's office MUST be open for filing from 1:00 p.m. to 5:00 p.m. on the last day of the filing period. </t>
    </r>
    <r>
      <rPr>
        <i/>
        <sz val="12"/>
        <rFont val="Times New Roman"/>
        <family val="1"/>
      </rPr>
      <t>Minn. Stat. §§205.13, subd. 1a; 205A.06, subd. 1a; 447.32, subd. 4</t>
    </r>
  </si>
  <si>
    <r>
      <t xml:space="preserve">School Districts without a Primary: </t>
    </r>
    <r>
      <rPr>
        <sz val="12"/>
        <rFont val="Times New Roman"/>
        <family val="1"/>
      </rPr>
      <t xml:space="preserve">Candidate filing period for Cities without a Primary, Towns with November Elections, School Districts without a Primary, and Hospital Districts - opens 98 days before election and closes 84 days before election. Hospital District candidates file with their municipality of residence.  The municipal clerk's office MUST be open for filing from 1:00 p.m. to 5:00 p.m. on the last day of the filing period. </t>
    </r>
    <r>
      <rPr>
        <i/>
        <sz val="12"/>
        <rFont val="Times New Roman"/>
        <family val="1"/>
      </rPr>
      <t>Minn. Stat. §§205.13, subd. 1a; 205A.06, subd. 1a; 447.32, subd. 4</t>
    </r>
  </si>
  <si>
    <r>
      <t xml:space="preserve">Cities with a Primary: </t>
    </r>
    <r>
      <rPr>
        <sz val="12"/>
        <rFont val="Times New Roman"/>
        <family val="1"/>
      </rPr>
      <t xml:space="preserve">Candidate filing period for </t>
    </r>
    <r>
      <rPr>
        <b/>
        <sz val="12"/>
        <rFont val="Times New Roman"/>
        <family val="1"/>
      </rPr>
      <t>Hospital Districts</t>
    </r>
    <r>
      <rPr>
        <sz val="12"/>
        <rFont val="Times New Roman"/>
        <family val="1"/>
      </rPr>
      <t xml:space="preserve"> - opens 98 days before election and closes 84 days before election. Hospital District candidates file with their municipality of residence. </t>
    </r>
    <r>
      <rPr>
        <i/>
        <sz val="12"/>
        <rFont val="Times New Roman"/>
        <family val="1"/>
      </rPr>
      <t>Minn. Stat. 447.32, subd. 4</t>
    </r>
  </si>
  <si>
    <r>
      <t xml:space="preserve">Towns with March Elections: </t>
    </r>
    <r>
      <rPr>
        <sz val="12"/>
        <rFont val="Times New Roman"/>
        <family val="1"/>
      </rPr>
      <t xml:space="preserve">Candidate filing period for </t>
    </r>
    <r>
      <rPr>
        <b/>
        <sz val="12"/>
        <rFont val="Times New Roman"/>
        <family val="1"/>
      </rPr>
      <t xml:space="preserve">Hospital Districts </t>
    </r>
    <r>
      <rPr>
        <sz val="12"/>
        <rFont val="Times New Roman"/>
        <family val="1"/>
      </rPr>
      <t xml:space="preserve">- opens 98 days before election and closes 84 days before election. Hospital District candidates file with their municipality of residence. </t>
    </r>
    <r>
      <rPr>
        <i/>
        <sz val="12"/>
        <rFont val="Times New Roman"/>
        <family val="1"/>
      </rPr>
      <t>Minn. Stat. 447.32, subd. 4</t>
    </r>
  </si>
  <si>
    <t>10A.09, subd. 1(2)</t>
  </si>
  <si>
    <r>
      <t xml:space="preserve">Counties: </t>
    </r>
    <r>
      <rPr>
        <sz val="12"/>
        <rFont val="Times New Roman"/>
        <family val="1"/>
      </rPr>
      <t xml:space="preserve">An individual must file a statement of economic interest with the board after filing an affidavit of candidacy or petition to appear on the ballot for an elective state office or an elective local office in a metro governmental unit - within 14 days after filing an affidavit of candidacy. (i.e., any member of the legislature, all county commissioners-new 1/1/2014, and other county offices within metropolitan governmental unit)  (see  M.S. 10A.01 &amp; 10A.09 for more details). </t>
    </r>
    <r>
      <rPr>
        <i/>
        <sz val="12"/>
        <rFont val="Times New Roman"/>
        <family val="1"/>
      </rPr>
      <t>Minn. Stat. 10A.09, subd. 1(2)</t>
    </r>
  </si>
  <si>
    <r>
      <t xml:space="preserve">Cities with a Primary: </t>
    </r>
    <r>
      <rPr>
        <sz val="12"/>
        <rFont val="Times New Roman"/>
        <family val="1"/>
      </rPr>
      <t xml:space="preserve">An individual must file a statement of economic interest with the board after filing an affidavit of candidacy or petition to appear on the ballot for an elective state office or an elective local office in a metro governmental unit - within 14 days after filing an affidavit of candidacy. (i.e., a city with a population of over 50,000 located in the metro area)  (see  M.S. 10A.01 &amp; 10A.09 for more details). </t>
    </r>
    <r>
      <rPr>
        <i/>
        <sz val="12"/>
        <rFont val="Times New Roman"/>
        <family val="1"/>
      </rPr>
      <t>Minn. Stat. 10A.09, subd. 1(2)</t>
    </r>
  </si>
  <si>
    <r>
      <t xml:space="preserve">Secretary of State: </t>
    </r>
    <r>
      <rPr>
        <sz val="12"/>
        <rFont val="Times New Roman"/>
        <family val="1"/>
      </rPr>
      <t xml:space="preserve">An individual must file a statement of economic interest with the board after filing an affidavit of candidacy or petition to appear on the ballot for an elective state office or an elective local office in a metro governmental unit - within 14 days after filing an affidavit of candidacy. (i.e., any member of the legislature)  (see  M.S. 10A.01 &amp; 10A.09 for more details). </t>
    </r>
    <r>
      <rPr>
        <i/>
        <sz val="12"/>
        <rFont val="Times New Roman"/>
        <family val="1"/>
      </rPr>
      <t>Minn. Stat. 10A.09, subd. 1(2)</t>
    </r>
  </si>
  <si>
    <r>
      <t xml:space="preserve">Political Parties: </t>
    </r>
    <r>
      <rPr>
        <sz val="12"/>
        <rFont val="Times New Roman"/>
        <family val="1"/>
      </rPr>
      <t>An individual must file a statement of economic interest with the board after filing an affidavit of candidacy or petition to appear on the ballot for an elective state office or an elective local office in a metro governmental unit - within 14 days after filing an affidavit of candidacy. (see  M.S. 10A.01 &amp; 10A.09 for more details).</t>
    </r>
    <r>
      <rPr>
        <i/>
        <sz val="12"/>
        <rFont val="Times New Roman"/>
        <family val="1"/>
      </rPr>
      <t>Minn. Stat. 10A.09, subd. 1(2)</t>
    </r>
  </si>
  <si>
    <r>
      <t xml:space="preserve">Campaign Finance: </t>
    </r>
    <r>
      <rPr>
        <sz val="12"/>
        <rFont val="Times New Roman"/>
        <family val="1"/>
      </rPr>
      <t xml:space="preserve">An individual must file a statement of economic interest with the board after filing an affidavit of candidacy or petition to appear on the ballot for an elective state office or an elective local office in a metro governmental unit - within 14 days after filing an affidavit of candidacy. (see  M.S. 10A.01 &amp; 10A.09 for more details). </t>
    </r>
    <r>
      <rPr>
        <i/>
        <sz val="12"/>
        <rFont val="Times New Roman"/>
        <family val="1"/>
      </rPr>
      <t>Minn. Stat. 10A.09, subd. 1(2)</t>
    </r>
  </si>
  <si>
    <r>
      <t xml:space="preserve">Secretary of State: </t>
    </r>
    <r>
      <rPr>
        <sz val="12"/>
        <rFont val="Times New Roman"/>
        <family val="1"/>
      </rPr>
      <t xml:space="preserve">An individual must file a statement of economic interest with the board after filing an affidavit of candidacy or petition to appear on the ballot for an elective state office or </t>
    </r>
    <r>
      <rPr>
        <i/>
        <sz val="12"/>
        <rFont val="Times New Roman"/>
        <family val="1"/>
      </rPr>
      <t xml:space="preserve">an elective local office in a metro governmental unit </t>
    </r>
    <r>
      <rPr>
        <sz val="12"/>
        <rFont val="Times New Roman"/>
        <family val="1"/>
      </rPr>
      <t xml:space="preserve">- within 14 days after filing an affidavit of candidacy. (i.e., any member of the legislature)  (see  M.S. 10A.01 &amp; 10A.09 for more details). </t>
    </r>
    <r>
      <rPr>
        <i/>
        <sz val="12"/>
        <rFont val="Times New Roman"/>
        <family val="1"/>
      </rPr>
      <t>Minn. Stat. 10A.09, subd. 1(2)</t>
    </r>
  </si>
  <si>
    <r>
      <t xml:space="preserve">Campaign Finance: </t>
    </r>
    <r>
      <rPr>
        <sz val="12"/>
        <rFont val="Times New Roman"/>
        <family val="1"/>
      </rPr>
      <t xml:space="preserve">An individual must file a statement of economic interest with the board after filing an affidavit of candidacy or petition to appear on the ballot for an elective state office or </t>
    </r>
    <r>
      <rPr>
        <i/>
        <sz val="12"/>
        <rFont val="Times New Roman"/>
        <family val="1"/>
      </rPr>
      <t>an elective local office in a metro governmental unit</t>
    </r>
    <r>
      <rPr>
        <sz val="12"/>
        <rFont val="Times New Roman"/>
        <family val="1"/>
      </rPr>
      <t xml:space="preserve"> - within 14 days after filing an affidavit of candidacy. (see  M.S. 10A.01 &amp; 10A.09 for more details). </t>
    </r>
    <r>
      <rPr>
        <i/>
        <sz val="12"/>
        <rFont val="Times New Roman"/>
        <family val="1"/>
      </rPr>
      <t>Minn. Stat. 10A.09, subd. 1(2)</t>
    </r>
  </si>
  <si>
    <r>
      <t xml:space="preserve">Political Parties: </t>
    </r>
    <r>
      <rPr>
        <sz val="12"/>
        <rFont val="Times New Roman"/>
        <family val="1"/>
      </rPr>
      <t xml:space="preserve">An individual must file a statement of economic interest with the board after filing an affidavit of candidacy or petition to appear on the ballot for an elective state office or </t>
    </r>
    <r>
      <rPr>
        <i/>
        <sz val="12"/>
        <rFont val="Times New Roman"/>
        <family val="1"/>
      </rPr>
      <t xml:space="preserve">an elective local office in a metro governmental unit </t>
    </r>
    <r>
      <rPr>
        <sz val="12"/>
        <rFont val="Times New Roman"/>
        <family val="1"/>
      </rPr>
      <t>- within 14 days after filing an affidavit of candidacy. (see  M.S. 10A.01 &amp; 10A.09 for more details).</t>
    </r>
    <r>
      <rPr>
        <i/>
        <sz val="12"/>
        <rFont val="Times New Roman"/>
        <family val="1"/>
      </rPr>
      <t>Minn. Stat. 10A.09, subd. 1(2)</t>
    </r>
  </si>
  <si>
    <r>
      <t xml:space="preserve">Counties: </t>
    </r>
    <r>
      <rPr>
        <sz val="12"/>
        <rFont val="Times New Roman"/>
        <family val="1"/>
      </rPr>
      <t xml:space="preserve">An individual must file a statement of economic interest with the board after filing an affidavit of candidacy or petition to appear on the ballot for an elective state office or </t>
    </r>
    <r>
      <rPr>
        <i/>
        <sz val="12"/>
        <rFont val="Times New Roman"/>
        <family val="1"/>
      </rPr>
      <t xml:space="preserve">an elective local office in a metro governmental unit </t>
    </r>
    <r>
      <rPr>
        <sz val="12"/>
        <rFont val="Times New Roman"/>
        <family val="1"/>
      </rPr>
      <t xml:space="preserve">- within 14 days after filing an affidavit of candidacy (see  M.S. 10A.01 &amp; 10A.09 for more details). </t>
    </r>
    <r>
      <rPr>
        <i/>
        <sz val="12"/>
        <rFont val="Times New Roman"/>
        <family val="1"/>
      </rPr>
      <t>Minn. Stat. 10A.09, subd. 1(2)</t>
    </r>
  </si>
  <si>
    <r>
      <t xml:space="preserve">Cities without a Primary: </t>
    </r>
    <r>
      <rPr>
        <sz val="12"/>
        <rFont val="Times New Roman"/>
        <family val="1"/>
      </rPr>
      <t xml:space="preserve">An individual must file a statement of economic interest with the board after filing an affidavit of candidacy or petition to appear on the ballot for an elective state office or </t>
    </r>
    <r>
      <rPr>
        <i/>
        <sz val="12"/>
        <rFont val="Times New Roman"/>
        <family val="1"/>
      </rPr>
      <t xml:space="preserve">an elective local office in a metro governmental unit </t>
    </r>
    <r>
      <rPr>
        <sz val="12"/>
        <rFont val="Times New Roman"/>
        <family val="1"/>
      </rPr>
      <t xml:space="preserve">- within 14 days after filing an affidavit of candidacy. (i.e., a city with a population of over 50,000 located in the metro area)  (see  M.S. 10A.01 &amp; 10A.09 for more details). </t>
    </r>
    <r>
      <rPr>
        <i/>
        <sz val="12"/>
        <rFont val="Times New Roman"/>
        <family val="1"/>
      </rPr>
      <t>Minn. Stat. 10A.09, subd. 1(2)</t>
    </r>
  </si>
  <si>
    <r>
      <t xml:space="preserve">Counties: </t>
    </r>
    <r>
      <rPr>
        <sz val="12"/>
        <rFont val="Times New Roman"/>
        <family val="1"/>
      </rPr>
      <t xml:space="preserve">Last day for County Auditor to complete the preparation of the election materials for Primary Election.  Last day for municipal clerk to secure election materials from County Auditor - at least 4 days before every State Primary.  </t>
    </r>
    <r>
      <rPr>
        <i/>
        <sz val="12"/>
        <rFont val="Times New Roman"/>
        <family val="1"/>
      </rPr>
      <t>Minn. Stat. §204B.28, subd. 2</t>
    </r>
  </si>
  <si>
    <r>
      <t xml:space="preserve">Secretary of State: </t>
    </r>
    <r>
      <rPr>
        <sz val="12"/>
        <rFont val="Times New Roman"/>
        <family val="1"/>
      </rPr>
      <t xml:space="preserve">Last day for County Auditor to complete the preparation of the election materials for Primary Election.  Last day for municipal clerk to secure election materials from County Auditor - at least 4 days before every State Primary.  </t>
    </r>
    <r>
      <rPr>
        <i/>
        <sz val="12"/>
        <rFont val="Times New Roman"/>
        <family val="1"/>
      </rPr>
      <t>Minn. Stat. §204B.28, subd. 2</t>
    </r>
  </si>
  <si>
    <r>
      <t xml:space="preserve">Cities with a Primary: </t>
    </r>
    <r>
      <rPr>
        <sz val="12"/>
        <rFont val="Times New Roman"/>
        <family val="1"/>
      </rPr>
      <t xml:space="preserve">Last day for County Auditor to complete the preparation of the election materials for Primary Election.  Last day for municipal clerk to secure election materials from County Auditor - at least 4 days before every State Primary.  </t>
    </r>
    <r>
      <rPr>
        <i/>
        <sz val="12"/>
        <rFont val="Times New Roman"/>
        <family val="1"/>
      </rPr>
      <t>Minn. Stat. §204B.28, subd. 2</t>
    </r>
  </si>
  <si>
    <r>
      <t xml:space="preserve">Cities without a Primary: </t>
    </r>
    <r>
      <rPr>
        <sz val="12"/>
        <rFont val="Times New Roman"/>
        <family val="1"/>
      </rPr>
      <t xml:space="preserve">Last day for County Auditor to complete the preparation of the election materials for Primary Election.  Last day for municipal clerk to secure election materials from County Auditor - at least 4 days before every State Primary.  </t>
    </r>
    <r>
      <rPr>
        <i/>
        <sz val="12"/>
        <rFont val="Times New Roman"/>
        <family val="1"/>
      </rPr>
      <t>Minn. Stat. §204B.28, subd. 2</t>
    </r>
  </si>
  <si>
    <r>
      <t xml:space="preserve">Towns with March Elections: </t>
    </r>
    <r>
      <rPr>
        <sz val="12"/>
        <rFont val="Times New Roman"/>
        <family val="1"/>
      </rPr>
      <t xml:space="preserve">Last day for County Auditor to complete the preparation of the election materials for Primary Election.  Last day for municipal clerk to secure election materials from County Auditor - at least 4 days before every State Primary.  </t>
    </r>
    <r>
      <rPr>
        <i/>
        <sz val="12"/>
        <rFont val="Times New Roman"/>
        <family val="1"/>
      </rPr>
      <t>Minn. Stat. §204B.28, subd. 2</t>
    </r>
  </si>
  <si>
    <r>
      <t xml:space="preserve">Towns with November Elections: </t>
    </r>
    <r>
      <rPr>
        <sz val="12"/>
        <rFont val="Times New Roman"/>
        <family val="1"/>
      </rPr>
      <t xml:space="preserve">Last day for County Auditor to complete the preparation of the election materials for Primary Election.  Last day for municipal clerk to secure election materials from County Auditor - at least 4 days before every State Primary.  </t>
    </r>
    <r>
      <rPr>
        <i/>
        <sz val="12"/>
        <rFont val="Times New Roman"/>
        <family val="1"/>
      </rPr>
      <t>Minn. Stat. §204B.28, subd. 2</t>
    </r>
  </si>
  <si>
    <r>
      <t xml:space="preserve">Secretary of State: </t>
    </r>
    <r>
      <rPr>
        <sz val="12"/>
        <rFont val="Times New Roman"/>
        <family val="1"/>
      </rPr>
      <t xml:space="preserve">Last day for Counties to use the money rcvd under the 2010 HAVA Equipment Grant. </t>
    </r>
    <r>
      <rPr>
        <i/>
        <sz val="12"/>
        <rFont val="Times New Roman"/>
        <family val="1"/>
      </rPr>
      <t>Minnesota Laws 2010, Chapter 379, sect. 4, subd. 4</t>
    </r>
  </si>
  <si>
    <t>Minnesota Laws 2010, Chapter 379, sect. 4, subd. 4</t>
  </si>
  <si>
    <r>
      <t xml:space="preserve">Counties: </t>
    </r>
    <r>
      <rPr>
        <sz val="12"/>
        <rFont val="Times New Roman"/>
        <family val="1"/>
      </rPr>
      <t xml:space="preserve">Last day for Counties to use the money rcvd under the 2010 HAVA Equipment Grant. </t>
    </r>
    <r>
      <rPr>
        <i/>
        <sz val="12"/>
        <rFont val="Times New Roman"/>
        <family val="1"/>
      </rPr>
      <t>Minnesota Laws 2010, Chapter 379, sect. 4, subd. 4</t>
    </r>
  </si>
  <si>
    <r>
      <t xml:space="preserve">Secretary of State: </t>
    </r>
    <r>
      <rPr>
        <sz val="12"/>
        <rFont val="Times New Roman"/>
        <family val="1"/>
      </rPr>
      <t xml:space="preserve">Last day for Counties to return money from the 2010 HAVA Equipment Grant that was not used by 6/15/14. </t>
    </r>
    <r>
      <rPr>
        <i/>
        <sz val="12"/>
        <rFont val="Times New Roman"/>
        <family val="1"/>
      </rPr>
      <t>Minnesota Laws 2010, Chapter 379, sect. 4, subd. 4</t>
    </r>
  </si>
  <si>
    <r>
      <t xml:space="preserve">Counties: </t>
    </r>
    <r>
      <rPr>
        <sz val="12"/>
        <rFont val="Times New Roman"/>
        <family val="1"/>
      </rPr>
      <t xml:space="preserve">Last day for Counties to return money from the 2010 HAVA Equipment Grant that was not used by 6/15/14. </t>
    </r>
    <r>
      <rPr>
        <i/>
        <sz val="12"/>
        <rFont val="Times New Roman"/>
        <family val="1"/>
      </rPr>
      <t>Minnesota Laws 2010, Chapter 379, sect. 4, subd. 4</t>
    </r>
  </si>
  <si>
    <r>
      <t xml:space="preserve">Secretary of State: </t>
    </r>
    <r>
      <rPr>
        <sz val="12"/>
        <rFont val="Times New Roman"/>
        <family val="1"/>
      </rPr>
      <t>Last day for Counties, Cities and Towns awarded EAID Grants to complete work under the EAID Grant Contracts. All reports must be completed and rcvd by the OSS by this date in order to qualify for reimbursement.</t>
    </r>
    <r>
      <rPr>
        <i/>
        <sz val="12"/>
        <rFont val="Times New Roman"/>
        <family val="1"/>
      </rPr>
      <t xml:space="preserve"> 42 U.S.C. 15421</t>
    </r>
  </si>
  <si>
    <r>
      <t xml:space="preserve">Counties: </t>
    </r>
    <r>
      <rPr>
        <sz val="12"/>
        <rFont val="Times New Roman"/>
        <family val="1"/>
      </rPr>
      <t>Last day for Counties, Cities and Towns awarded EAID Grants to complete work under the EAID Grant Contracts. All reports must be completed and rcvd by the OSS by this date in order to qualify for reimbursement.</t>
    </r>
    <r>
      <rPr>
        <i/>
        <sz val="12"/>
        <rFont val="Times New Roman"/>
        <family val="1"/>
      </rPr>
      <t xml:space="preserve"> 42 U.S.C. 15421</t>
    </r>
  </si>
  <si>
    <r>
      <t xml:space="preserve">Cities with a Primary: </t>
    </r>
    <r>
      <rPr>
        <sz val="12"/>
        <rFont val="Times New Roman"/>
        <family val="1"/>
      </rPr>
      <t>Last day for Counties, Cities and Towns awarded EAID Grants to complete work under the EAID Grant Contracts. All reports must be completed and rcvd by the OSS by this date in order to qualify for reimbursement.</t>
    </r>
    <r>
      <rPr>
        <i/>
        <sz val="12"/>
        <rFont val="Times New Roman"/>
        <family val="1"/>
      </rPr>
      <t xml:space="preserve"> 42 U.S.C. 15421</t>
    </r>
  </si>
  <si>
    <r>
      <t xml:space="preserve">Cities without a Primary: </t>
    </r>
    <r>
      <rPr>
        <sz val="12"/>
        <rFont val="Times New Roman"/>
        <family val="1"/>
      </rPr>
      <t>Last day for Counties, Cities and Towns awarded EAID Grants to complete work under the EAID Grant Contracts. All reports must be completed and rcvd by the OSS by this date in order to qualify for reimbursement.</t>
    </r>
    <r>
      <rPr>
        <i/>
        <sz val="12"/>
        <rFont val="Times New Roman"/>
        <family val="1"/>
      </rPr>
      <t xml:space="preserve"> 42 U.S.C. 15421</t>
    </r>
  </si>
  <si>
    <r>
      <t xml:space="preserve">Towns with March Elections: </t>
    </r>
    <r>
      <rPr>
        <sz val="12"/>
        <rFont val="Times New Roman"/>
        <family val="1"/>
      </rPr>
      <t>Last day for Counties, Cities and Towns awarded EAID Grants to complete work under the EAID Grant Contracts. All reports must be completed and rcvd by the OSS by this date in order to qualify for reimbursement.</t>
    </r>
    <r>
      <rPr>
        <i/>
        <sz val="12"/>
        <rFont val="Times New Roman"/>
        <family val="1"/>
      </rPr>
      <t xml:space="preserve"> 42 U.S.C. 15421</t>
    </r>
  </si>
  <si>
    <r>
      <t xml:space="preserve">Towns with November Elections: </t>
    </r>
    <r>
      <rPr>
        <sz val="12"/>
        <rFont val="Times New Roman"/>
        <family val="1"/>
      </rPr>
      <t>Last day for Counties, Cities and Towns awarded EAID Grants to complete work under the EAID Grant Contracts. All reports must be completed and rcvd by the OSS by this date in order to qualify for reimbursement.</t>
    </r>
    <r>
      <rPr>
        <i/>
        <sz val="12"/>
        <rFont val="Times New Roman"/>
        <family val="1"/>
      </rPr>
      <t xml:space="preserve"> 42 U.S.C. 15421</t>
    </r>
  </si>
  <si>
    <r>
      <t>Secretary of State:</t>
    </r>
    <r>
      <rPr>
        <sz val="12"/>
        <rFont val="Times New Roman"/>
        <family val="1"/>
      </rPr>
      <t xml:space="preserve"> Last day to post primary sample ballot in school district clerk's office - at least 4 days before election.  </t>
    </r>
    <r>
      <rPr>
        <i/>
        <sz val="12"/>
        <rFont val="Times New Roman"/>
        <family val="1"/>
      </rPr>
      <t>Minn. Stat. §205A.07, subd. 2</t>
    </r>
  </si>
  <si>
    <r>
      <t>Counties:</t>
    </r>
    <r>
      <rPr>
        <sz val="12"/>
        <rFont val="Times New Roman"/>
        <family val="1"/>
      </rPr>
      <t xml:space="preserve"> Last day to post primary sample ballot in school district clerk's office - at least 4 days before election.  </t>
    </r>
    <r>
      <rPr>
        <i/>
        <sz val="12"/>
        <rFont val="Times New Roman"/>
        <family val="1"/>
      </rPr>
      <t>Minn. Stat. §205A.07, subd. 2</t>
    </r>
  </si>
  <si>
    <r>
      <t>School Districts with a Primary:</t>
    </r>
    <r>
      <rPr>
        <sz val="12"/>
        <rFont val="Times New Roman"/>
        <family val="1"/>
      </rPr>
      <t xml:space="preserve"> Last day to post primary sample ballot in school district clerk's office - at least 4 days before election.  </t>
    </r>
    <r>
      <rPr>
        <i/>
        <sz val="12"/>
        <rFont val="Times New Roman"/>
        <family val="1"/>
      </rPr>
      <t>Minn. Stat. §205A.07, subd. 2</t>
    </r>
  </si>
  <si>
    <r>
      <t>School Districts with a Primary:</t>
    </r>
    <r>
      <rPr>
        <sz val="12"/>
        <rFont val="Times New Roman"/>
        <family val="1"/>
      </rPr>
      <t xml:space="preserve"> If County Auditor is administering absentee voting for school district, their office must be open for absentee voting from 10:00 a.m. to 3:00 p.m. If School District administers AB, then exempt. </t>
    </r>
    <r>
      <rPr>
        <i/>
        <sz val="12"/>
        <rFont val="Times New Roman"/>
        <family val="1"/>
      </rPr>
      <t>Minn. Stat. §203B.085</t>
    </r>
  </si>
  <si>
    <r>
      <t>School Districts with a Primary:</t>
    </r>
    <r>
      <rPr>
        <sz val="12"/>
        <rFont val="Times New Roman"/>
        <family val="1"/>
      </rPr>
      <t xml:space="preserve"> If County Auditor is administering absentee voting for school district, their office must be open for absentee voting until 5:00 p.m. If School District administers AB, then exempt. </t>
    </r>
    <r>
      <rPr>
        <i/>
        <sz val="12"/>
        <rFont val="Times New Roman"/>
        <family val="1"/>
      </rPr>
      <t>Minn. Stat. §203B.085</t>
    </r>
  </si>
  <si>
    <t>204D.13, subd. 3</t>
  </si>
  <si>
    <r>
      <t xml:space="preserve">Secretary of State: </t>
    </r>
    <r>
      <rPr>
        <sz val="12"/>
        <rFont val="Times New Roman"/>
        <family val="1"/>
      </rPr>
      <t xml:space="preserve">Last day for OSS to determine by lot the order of candidates nominated by petition - No later than 11 weeks before the state general election.  </t>
    </r>
    <r>
      <rPr>
        <i/>
        <sz val="12"/>
        <rFont val="Times New Roman"/>
        <family val="1"/>
      </rPr>
      <t>Minn. Stat. § 204D.13, subd. 3</t>
    </r>
  </si>
  <si>
    <r>
      <t xml:space="preserve">Political Parties: </t>
    </r>
    <r>
      <rPr>
        <sz val="12"/>
        <rFont val="Times New Roman"/>
        <family val="1"/>
      </rPr>
      <t xml:space="preserve">Last day for OSS to determine by lot the order of candidates nominated by petition - No later than 11 weeks before the state general election.  </t>
    </r>
    <r>
      <rPr>
        <i/>
        <sz val="12"/>
        <rFont val="Times New Roman"/>
        <family val="1"/>
      </rPr>
      <t>Minn. Stat. § 204D.13, subd. 3</t>
    </r>
  </si>
  <si>
    <r>
      <t xml:space="preserve">Counties: </t>
    </r>
    <r>
      <rPr>
        <sz val="12"/>
        <rFont val="Times New Roman"/>
        <family val="1"/>
      </rPr>
      <t xml:space="preserve">Last day for OSS to determine by lot the order of candidates nominated by petition - No later than 11 weeks before the state general election.  </t>
    </r>
    <r>
      <rPr>
        <i/>
        <sz val="12"/>
        <rFont val="Times New Roman"/>
        <family val="1"/>
      </rPr>
      <t>Minn. Stat. § 204D.13, subd. 3</t>
    </r>
  </si>
  <si>
    <r>
      <t xml:space="preserve">STATE PRIMARY ELECTION DAY: Political Parties: </t>
    </r>
    <r>
      <rPr>
        <sz val="12"/>
        <rFont val="Times New Roman"/>
        <family val="1"/>
      </rPr>
      <t xml:space="preserve">The second Tuesday in August in each even numbered year.  </t>
    </r>
    <r>
      <rPr>
        <i/>
        <sz val="12"/>
        <rFont val="Times New Roman"/>
        <family val="1"/>
      </rPr>
      <t>Minn. Stat. §204D.03</t>
    </r>
  </si>
  <si>
    <r>
      <t xml:space="preserve">STATE PRIMARY ELECTION DAY:  School Districts without a Primary: </t>
    </r>
    <r>
      <rPr>
        <sz val="12"/>
        <rFont val="Times New Roman"/>
        <family val="1"/>
      </rPr>
      <t xml:space="preserve">The second Tuesday in August.  </t>
    </r>
    <r>
      <rPr>
        <i/>
        <sz val="12"/>
        <rFont val="Times New Roman"/>
        <family val="1"/>
      </rPr>
      <t>Minn. Stat. §204D.03</t>
    </r>
  </si>
  <si>
    <r>
      <t xml:space="preserve">STATE PRIMARY ELECTION DAY: Soil and Water Conservation District: </t>
    </r>
    <r>
      <rPr>
        <sz val="12"/>
        <rFont val="Times New Roman"/>
        <family val="1"/>
      </rPr>
      <t xml:space="preserve">The second Tuesday in August.  </t>
    </r>
    <r>
      <rPr>
        <i/>
        <sz val="12"/>
        <rFont val="Times New Roman"/>
        <family val="1"/>
      </rPr>
      <t>Minn. Stat. §204D.03</t>
    </r>
  </si>
  <si>
    <r>
      <t xml:space="preserve">STATE PRIMARY ELECTION DAY:  Hospital Districts: </t>
    </r>
    <r>
      <rPr>
        <sz val="12"/>
        <rFont val="Times New Roman"/>
        <family val="1"/>
      </rPr>
      <t xml:space="preserve">The second Tuesday in August.  </t>
    </r>
    <r>
      <rPr>
        <i/>
        <sz val="12"/>
        <rFont val="Times New Roman"/>
        <family val="1"/>
      </rPr>
      <t>Minn. Stat. §204D.03</t>
    </r>
  </si>
  <si>
    <r>
      <t xml:space="preserve">STATE PRIMARY ELECTION DAY: Secretary of State: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</si>
  <si>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PRIMARY ELECTION DAY: Political Parties: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</si>
  <si>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PRIMARY ELECTION DAY: School Districts with a Primary: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</si>
  <si>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PRIMARY ELECTION DAY: School Districts without a Primary: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</si>
  <si>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PRIMARY ELECTION DAY: Towns with March Elections: </t>
    </r>
    <r>
      <rPr>
        <sz val="12"/>
        <rFont val="Times New Roman"/>
        <family val="1"/>
      </rPr>
      <t xml:space="preserve">Minimum voting hours 7:00 a.m. to 8:00 p.m. except for Townships with fewer than 500 inhabitants which are not located in the metro area if the town board fixes a later time and the change is approved by the electors at the annual town meeting. These areas may open their polls as late as 10:00 a.m.  </t>
    </r>
    <r>
      <rPr>
        <i/>
        <sz val="12"/>
        <rFont val="Times New Roman"/>
        <family val="1"/>
      </rPr>
      <t>Minn. Stat. §204C.05</t>
    </r>
  </si>
  <si>
    <r>
      <t xml:space="preserve">STATE PRIMARY ELECTION DAY: Towns with November Elections: </t>
    </r>
    <r>
      <rPr>
        <sz val="12"/>
        <rFont val="Times New Roman"/>
        <family val="1"/>
      </rPr>
      <t xml:space="preserve">Minimum voting hours 7:00 a.m. to 8:00 p.m. except for Townships with fewer than 500 inhabitants which are not located in the metro area if the town board fixes a later time and the change is approved by the electors at the annual town meeting. These areas may open their polls as late as 10:00 a.m.  </t>
    </r>
    <r>
      <rPr>
        <i/>
        <sz val="12"/>
        <rFont val="Times New Roman"/>
        <family val="1"/>
      </rPr>
      <t>Minn. Stat. §204C.05</t>
    </r>
  </si>
  <si>
    <r>
      <t xml:space="preserve">STATE PRIMARY ELECTION DAY: Secretary of State: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</si>
  <si>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PRIMARY ELECTION DAY: Counties: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</si>
  <si>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PRIMARY ELECTION DAY: Cities with a Primary: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</si>
  <si>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PRIMARY ELECTION DAY: Cities without a Primary: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</si>
  <si>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PRIMARY ELECTION DAY: Towns with March Elections: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</si>
  <si>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PRIMARY ELECTION DAY: Towns with November Elections: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</si>
  <si>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PRIMARY ELECTION DAY: School Districts with a Primary: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</si>
  <si>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PRIMARY ELECTION DAY: Secretary of State: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</si>
  <si>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Political Parties: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</si>
  <si>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Counties: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</si>
  <si>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Cities with a Primary: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</si>
  <si>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Cities without a Primary: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</si>
  <si>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Soil and Water Conservation Districts: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</si>
  <si>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Towns with March Elections: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</si>
  <si>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Towns with November Elections: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</si>
  <si>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School Districts with a Primary: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</si>
  <si>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School Districts without a Primary: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</si>
  <si>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Hospital Districts: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</si>
  <si>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Campaign Finance: </t>
    </r>
    <r>
      <rPr>
        <sz val="12"/>
        <rFont val="Times New Roman"/>
        <family val="1"/>
      </rPr>
      <t xml:space="preserve">The second Tuesday in August in each even numbered year.  </t>
    </r>
    <r>
      <rPr>
        <i/>
        <sz val="12"/>
        <rFont val="Times New Roman"/>
        <family val="1"/>
      </rPr>
      <t>Minn. Stat. §204D.03</t>
    </r>
  </si>
  <si>
    <r>
      <t xml:space="preserve">Secretary of State: </t>
    </r>
    <r>
      <rPr>
        <sz val="12"/>
        <rFont val="Times New Roman"/>
        <family val="1"/>
      </rPr>
      <t xml:space="preserve">Election Judges must return election material to Clerk's office - within 24 hours after the end of hours for voting. </t>
    </r>
    <r>
      <rPr>
        <i/>
        <sz val="12"/>
        <rFont val="Times New Roman"/>
        <family val="1"/>
      </rPr>
      <t xml:space="preserve"> Minn. Stat. §204C.27</t>
    </r>
  </si>
  <si>
    <r>
      <t xml:space="preserve">Counties: </t>
    </r>
    <r>
      <rPr>
        <sz val="12"/>
        <rFont val="Times New Roman"/>
        <family val="1"/>
      </rPr>
      <t xml:space="preserve">Election Judges must return election material to Clerk's office - within 24 hours after the end of hours for voting. </t>
    </r>
    <r>
      <rPr>
        <i/>
        <sz val="12"/>
        <rFont val="Times New Roman"/>
        <family val="1"/>
      </rPr>
      <t xml:space="preserve"> Minn. Stat. §204C.27</t>
    </r>
  </si>
  <si>
    <r>
      <t xml:space="preserve">Towns with March Elections: </t>
    </r>
    <r>
      <rPr>
        <sz val="12"/>
        <rFont val="Times New Roman"/>
        <family val="1"/>
      </rPr>
      <t xml:space="preserve">Election Judges must return election material to Clerk's office - within 24 hours after the end of hours for voting. </t>
    </r>
    <r>
      <rPr>
        <i/>
        <sz val="12"/>
        <rFont val="Times New Roman"/>
        <family val="1"/>
      </rPr>
      <t xml:space="preserve"> Minn. Stat. §204C.27</t>
    </r>
  </si>
  <si>
    <r>
      <t xml:space="preserve">Towns with November Elections: </t>
    </r>
    <r>
      <rPr>
        <sz val="12"/>
        <rFont val="Times New Roman"/>
        <family val="1"/>
      </rPr>
      <t xml:space="preserve">Election Judges must return election material to Clerk's office - within 24 hours after the end of hours for voting. </t>
    </r>
    <r>
      <rPr>
        <i/>
        <sz val="12"/>
        <rFont val="Times New Roman"/>
        <family val="1"/>
      </rPr>
      <t xml:space="preserve"> Minn. Stat. §204C.27</t>
    </r>
  </si>
  <si>
    <r>
      <t>Counties:</t>
    </r>
    <r>
      <rPr>
        <sz val="12"/>
        <rFont val="Times New Roman"/>
        <family val="1"/>
      </rPr>
      <t xml:space="preserve"> The county auditor shall post the voting history for every person who voted in the election  There are no extensions for posting history (only for EDR entry).  Give history to late absentees - within 6 weeks. </t>
    </r>
    <r>
      <rPr>
        <i/>
        <sz val="12"/>
        <rFont val="Times New Roman"/>
        <family val="1"/>
      </rPr>
      <t>Minn. Stat.§201.171</t>
    </r>
  </si>
  <si>
    <r>
      <t>Secretary of State:</t>
    </r>
    <r>
      <rPr>
        <sz val="12"/>
        <rFont val="Times New Roman"/>
        <family val="1"/>
      </rPr>
      <t xml:space="preserve"> The county auditor shall post the voting history for every person who voted in the election  There are no extensions for posting history (only for EDR entry).  Give history to late absentees - within 6 weeks. </t>
    </r>
    <r>
      <rPr>
        <i/>
        <sz val="12"/>
        <rFont val="Times New Roman"/>
        <family val="1"/>
      </rPr>
      <t>Minn. Stat.§201.171</t>
    </r>
  </si>
  <si>
    <r>
      <t>Political Parties:</t>
    </r>
    <r>
      <rPr>
        <sz val="12"/>
        <rFont val="Times New Roman"/>
        <family val="1"/>
      </rPr>
      <t xml:space="preserve"> The county auditor shall post the voting history for every person who voted in the election  There are no extensions for posting history (only for EDR entry).  Give history to late absentees - within 6 weeks. </t>
    </r>
    <r>
      <rPr>
        <i/>
        <sz val="12"/>
        <rFont val="Times New Roman"/>
        <family val="1"/>
      </rPr>
      <t>Minn. Stat.§201.171</t>
    </r>
  </si>
  <si>
    <r>
      <t xml:space="preserve">School Districts with a Primary: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</si>
  <si>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School Districts without a Primary: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</si>
  <si>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Hospital Districts: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</si>
  <si>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Secretary of State: </t>
    </r>
    <r>
      <rPr>
        <sz val="12"/>
        <rFont val="Times New Roman"/>
        <family val="1"/>
      </rPr>
      <t xml:space="preserve">Last day to return rosters and completed voter registration applications to county auditor - within 48 hours after voting hours end. </t>
    </r>
    <r>
      <rPr>
        <i/>
        <sz val="12"/>
        <rFont val="Times New Roman"/>
        <family val="1"/>
      </rPr>
      <t>Minn. Stat. §204C.27</t>
    </r>
  </si>
  <si>
    <r>
      <t xml:space="preserve">Counties: </t>
    </r>
    <r>
      <rPr>
        <sz val="12"/>
        <rFont val="Times New Roman"/>
        <family val="1"/>
      </rPr>
      <t xml:space="preserve">Last day to return rosters and completed voter registration applications to county auditor - within 48 hours after voting hours end. </t>
    </r>
    <r>
      <rPr>
        <i/>
        <sz val="12"/>
        <rFont val="Times New Roman"/>
        <family val="1"/>
      </rPr>
      <t>Minn. Stat. §204C.27</t>
    </r>
  </si>
  <si>
    <r>
      <t xml:space="preserve">Cities with a Primary: </t>
    </r>
    <r>
      <rPr>
        <sz val="12"/>
        <rFont val="Times New Roman"/>
        <family val="1"/>
      </rPr>
      <t xml:space="preserve">Last day to return rosters and completed voter registration applications to county auditor - within 48 hours after voting hours end. </t>
    </r>
    <r>
      <rPr>
        <i/>
        <sz val="12"/>
        <rFont val="Times New Roman"/>
        <family val="1"/>
      </rPr>
      <t>Minn. Stat. §204C.27</t>
    </r>
  </si>
  <si>
    <r>
      <t xml:space="preserve">Cities without a Primary: </t>
    </r>
    <r>
      <rPr>
        <sz val="12"/>
        <rFont val="Times New Roman"/>
        <family val="1"/>
      </rPr>
      <t xml:space="preserve">Last day to return rosters and completed voter registration applications to county auditor - within 48 hours after voting hours end. </t>
    </r>
    <r>
      <rPr>
        <i/>
        <sz val="12"/>
        <rFont val="Times New Roman"/>
        <family val="1"/>
      </rPr>
      <t>Minn. Stat. §204C.27</t>
    </r>
  </si>
  <si>
    <r>
      <t xml:space="preserve">Towns with March Elections: </t>
    </r>
    <r>
      <rPr>
        <sz val="12"/>
        <rFont val="Times New Roman"/>
        <family val="1"/>
      </rPr>
      <t xml:space="preserve">Last day to return rosters and completed voter registration applications to county auditor - within 48 hours after voting hours end. </t>
    </r>
    <r>
      <rPr>
        <i/>
        <sz val="12"/>
        <rFont val="Times New Roman"/>
        <family val="1"/>
      </rPr>
      <t>Minn. Stat. §204C.27</t>
    </r>
  </si>
  <si>
    <r>
      <t xml:space="preserve">Towns with November Elections: </t>
    </r>
    <r>
      <rPr>
        <sz val="12"/>
        <rFont val="Times New Roman"/>
        <family val="1"/>
      </rPr>
      <t xml:space="preserve">Last day to return rosters and completed voter registration applications to county auditor - within 48 hours after voting hours end. </t>
    </r>
    <r>
      <rPr>
        <i/>
        <sz val="12"/>
        <rFont val="Times New Roman"/>
        <family val="1"/>
      </rPr>
      <t>Minn. Stat. §204C.27</t>
    </r>
  </si>
  <si>
    <r>
      <t>Cities with a Primary:</t>
    </r>
    <r>
      <rPr>
        <sz val="12"/>
        <rFont val="Times New Roman"/>
        <family val="1"/>
      </rPr>
      <t xml:space="preserve"> Municipal canvass of local primary results.  In conjunction with the state primary, the canvass must be conducted on the 3rd day after the primary (unless discussed with and approved by all county auditors of jurisdiction--giving them enough time to provide accurate stats for poll and AB voting) - on the 3rd day after the primary. </t>
    </r>
    <r>
      <rPr>
        <i/>
        <sz val="12"/>
        <rFont val="Times New Roman"/>
        <family val="1"/>
      </rPr>
      <t>Minn. Stat. §205.065, subd. 5</t>
    </r>
  </si>
  <si>
    <r>
      <t xml:space="preserve">Counties: </t>
    </r>
    <r>
      <rPr>
        <sz val="12"/>
        <rFont val="Times New Roman"/>
        <family val="1"/>
      </rPr>
      <t xml:space="preserve">County Auditor delivers 1 set of the summary statements rcvd from each precinct to the Secretary of State - the County Auditor shall promptly deliver.  </t>
    </r>
    <r>
      <rPr>
        <i/>
        <sz val="12"/>
        <rFont val="Times New Roman"/>
        <family val="1"/>
      </rPr>
      <t>Minn. Stat. §204C.30</t>
    </r>
  </si>
  <si>
    <r>
      <t xml:space="preserve">Secretary of State: </t>
    </r>
    <r>
      <rPr>
        <sz val="12"/>
        <rFont val="Times New Roman"/>
        <family val="1"/>
      </rPr>
      <t xml:space="preserve">County Auditor delivers 1 set of the summary statements rcvd from each precinct to the Secretary of State - the County Auditor shall promptly deliver.  </t>
    </r>
    <r>
      <rPr>
        <i/>
        <sz val="12"/>
        <rFont val="Times New Roman"/>
        <family val="1"/>
      </rPr>
      <t>Minn. Stat. §204C.30</t>
    </r>
  </si>
  <si>
    <r>
      <t xml:space="preserve">Political Parties: </t>
    </r>
    <r>
      <rPr>
        <sz val="12"/>
        <rFont val="Times New Roman"/>
        <family val="1"/>
      </rPr>
      <t xml:space="preserve">County Auditor delivers 1 set of the summary statements rcvd from each precinct to the Secretary of State - the County Auditor shall promptly deliver.  </t>
    </r>
    <r>
      <rPr>
        <i/>
        <sz val="12"/>
        <rFont val="Times New Roman"/>
        <family val="1"/>
      </rPr>
      <t>Minn. Stat. §204C.30</t>
    </r>
  </si>
  <si>
    <r>
      <t>Secretary of State:</t>
    </r>
    <r>
      <rPr>
        <sz val="12"/>
        <rFont val="Times New Roman"/>
        <family val="1"/>
      </rPr>
      <t xml:space="preserve"> Municipal canvass of local primary results.  In conjunction with the state primary, the canvass must be conducted on the 3rd day after the primary (unless discussed with and approved by all county auditors of jurisdiction--giving them enough time to provide accurate stats for poll and AB voting). Names are certified  to the municipal clerk for placement on the general ballot - on the 3rd day after the primary. </t>
    </r>
    <r>
      <rPr>
        <i/>
        <sz val="12"/>
        <rFont val="Times New Roman"/>
        <family val="1"/>
      </rPr>
      <t>Minn. Stat. §205.065, subd. 5</t>
    </r>
  </si>
  <si>
    <r>
      <t>Political Parties:</t>
    </r>
    <r>
      <rPr>
        <sz val="12"/>
        <rFont val="Times New Roman"/>
        <family val="1"/>
      </rPr>
      <t xml:space="preserve"> Municipal canvass of local primary results.  In conjunction with the state primary, the canvass must be conducted on the 3rd day after the primary (unless discussed with and approved by all county auditors of jurisdiction--giving them enough time to provide accurate stats for poll and AB voting). Names are certified  to the municipal clerk for placement on the general ballot - on the 3rd day after the primary. </t>
    </r>
    <r>
      <rPr>
        <i/>
        <sz val="12"/>
        <rFont val="Times New Roman"/>
        <family val="1"/>
      </rPr>
      <t>Minn. Stat. §205.065, subd. 5</t>
    </r>
  </si>
  <si>
    <r>
      <t>Counties:</t>
    </r>
    <r>
      <rPr>
        <sz val="12"/>
        <rFont val="Times New Roman"/>
        <family val="1"/>
      </rPr>
      <t xml:space="preserve"> Municipal canvass of local primary results.  In conjunction with the state primary, the canvass must be conducted on the 3rd day after the primary (unless discussed with and approved by all county auditors of jurisdiction--giving them enough time to provide accurate stats for poll and AB voting). Names are certified  to the municipal clerk for placement on the general ballot - on the 3rd day after the primary. </t>
    </r>
    <r>
      <rPr>
        <i/>
        <sz val="12"/>
        <rFont val="Times New Roman"/>
        <family val="1"/>
      </rPr>
      <t>Minn. Stat. §205.065, subd. 5</t>
    </r>
  </si>
  <si>
    <r>
      <t xml:space="preserve">Secretary of State: </t>
    </r>
    <r>
      <rPr>
        <sz val="12"/>
        <rFont val="Times New Roman"/>
        <family val="1"/>
      </rPr>
      <t xml:space="preserve">The county canvassing board shall meet on either the 2nd or 3rd day following the state primary.  The county auditor shall transmit 1 of the certified copies of the report for state and fed offices to the OSS by express mail upon conclusion.  Upon completion, the county auditor shall mail or deliver a notice of nomination to each nominee. </t>
    </r>
    <r>
      <rPr>
        <i/>
        <sz val="12"/>
        <rFont val="Times New Roman"/>
        <family val="1"/>
      </rPr>
      <t>Minn. Stat. 204C.32</t>
    </r>
  </si>
  <si>
    <r>
      <t xml:space="preserve">Political Parties: </t>
    </r>
    <r>
      <rPr>
        <sz val="12"/>
        <rFont val="Times New Roman"/>
        <family val="1"/>
      </rPr>
      <t xml:space="preserve">The county canvassing board shall meet on either the 2nd or 3rd day following the state primary.  The county auditor shall transmit 1 of the certified copies of the report for state and fed offices to the OSS by express mail upon conclusion.  Upon completion, the county auditor shall mail or deliver a notice of nomination to each nominee. </t>
    </r>
    <r>
      <rPr>
        <i/>
        <sz val="12"/>
        <rFont val="Times New Roman"/>
        <family val="1"/>
      </rPr>
      <t>Minn. Stat. 204C.32</t>
    </r>
  </si>
  <si>
    <r>
      <t xml:space="preserve">Counties: </t>
    </r>
    <r>
      <rPr>
        <sz val="12"/>
        <rFont val="Times New Roman"/>
        <family val="1"/>
      </rPr>
      <t xml:space="preserve">The county canvassing board shall meet on either the 2nd or 3rd day following the state primary.  The county auditor shall transmit 1 of the certified copies of the report for state and fed offices to the OSS by express mail upon conclusion.  Upon completion, the county auditor shall mail or deliver a notice of nomination to each nominee. </t>
    </r>
    <r>
      <rPr>
        <i/>
        <sz val="12"/>
        <rFont val="Times New Roman"/>
        <family val="1"/>
      </rPr>
      <t>Minn. Stat. 204C.32</t>
    </r>
  </si>
  <si>
    <r>
      <t>Secretary of State:</t>
    </r>
    <r>
      <rPr>
        <sz val="12"/>
        <rFont val="Times New Roman"/>
        <family val="1"/>
      </rPr>
      <t xml:space="preserve"> School District canvass of local primary results.  In conjunction with the state primary, the canvass must be conducted on the 3rd day after the primary (unless discussed with and approved by all county auditors of jurisdiction--giving them enough time to provide accurate stats for poll and AB voting). Names are certified  to the school district clerk for placement on the general ballot - on the 3rd day after the primary. </t>
    </r>
    <r>
      <rPr>
        <i/>
        <sz val="12"/>
        <rFont val="Times New Roman"/>
        <family val="1"/>
      </rPr>
      <t>Minn. Stat. §205.065, subd. 5</t>
    </r>
  </si>
  <si>
    <r>
      <t>School Districts with a Primary:</t>
    </r>
    <r>
      <rPr>
        <sz val="12"/>
        <rFont val="Times New Roman"/>
        <family val="1"/>
      </rPr>
      <t xml:space="preserve"> School District canvass of local primary results.  In conjunction with the state primary, the canvass must be conducted on the 3rd day after the primary (unless discussed with and approved by all county auditors of jurisdiction--giving them enough time to provide accurate stats for poll and AB voting). Names are certified  to the school district clerk for placement on the general ballot - on the 3rd day after the primary. </t>
    </r>
    <r>
      <rPr>
        <i/>
        <sz val="12"/>
        <rFont val="Times New Roman"/>
        <family val="1"/>
      </rPr>
      <t>Minn. Stat. §205.065, subd. 5</t>
    </r>
  </si>
  <si>
    <r>
      <t>Counties:</t>
    </r>
    <r>
      <rPr>
        <sz val="12"/>
        <rFont val="Times New Roman"/>
        <family val="1"/>
      </rPr>
      <t xml:space="preserve"> School District canvass of local primary results.  In conjunction with the state primary, the canvass must be conducted on the 3rd day after the primary (unless discussed with and approved by all county auditors of jurisdiction--giving them enough time to provide accurate stats for poll and AB voting). Names are certified  to the school district clerk for placement on the general ballot - on the 3rd day after the primary. </t>
    </r>
    <r>
      <rPr>
        <i/>
        <sz val="12"/>
        <rFont val="Times New Roman"/>
        <family val="1"/>
      </rPr>
      <t>Minn. Stat. §205.065, subd. 5</t>
    </r>
  </si>
  <si>
    <r>
      <t>Political Parties:</t>
    </r>
    <r>
      <rPr>
        <sz val="12"/>
        <rFont val="Times New Roman"/>
        <family val="1"/>
      </rPr>
      <t xml:space="preserve"> School District canvass of local primary results.  In conjunction with the state primary, the canvass must be conducted on the 3rd day after the primary (unless discussed with and approved by all county auditors of jurisdiction--giving them enough time to provide accurate stats for poll and AB voting). Names are certified  to the school district clerk for placement on the general ballot - on the 3rd day after the primary. </t>
    </r>
    <r>
      <rPr>
        <i/>
        <sz val="12"/>
        <rFont val="Times New Roman"/>
        <family val="1"/>
      </rPr>
      <t>Minn. Stat. §205.065, subd. 5</t>
    </r>
  </si>
  <si>
    <r>
      <t xml:space="preserve">Secretary of State: </t>
    </r>
    <r>
      <rPr>
        <sz val="12"/>
        <rFont val="Times New Roman"/>
        <family val="1"/>
      </rPr>
      <t>The County Canvassing Board in each county must set the date, time and place for the Post Election Equipment Review (PER) of the State General Election - at the County Canvass of the State Primary.</t>
    </r>
    <r>
      <rPr>
        <i/>
        <sz val="12"/>
        <rFont val="Times New Roman"/>
        <family val="1"/>
      </rPr>
      <t xml:space="preserve">  Minn. Stat. §206.89, subd. 2</t>
    </r>
  </si>
  <si>
    <r>
      <t xml:space="preserve">Political Parties: </t>
    </r>
    <r>
      <rPr>
        <sz val="12"/>
        <rFont val="Times New Roman"/>
        <family val="1"/>
      </rPr>
      <t>The County Canvassing Board in each county must set the date, time and place for the Post Election Equipment Review (PER) of the State General Election - at the County Canvass of the State Primary.</t>
    </r>
    <r>
      <rPr>
        <i/>
        <sz val="12"/>
        <rFont val="Times New Roman"/>
        <family val="1"/>
      </rPr>
      <t xml:space="preserve">  Minn. Stat. §206.89, subd. 2</t>
    </r>
  </si>
  <si>
    <r>
      <t xml:space="preserve">Cities with a Primary: </t>
    </r>
    <r>
      <rPr>
        <sz val="12"/>
        <rFont val="Times New Roman"/>
        <family val="1"/>
      </rPr>
      <t>The County Canvassing Board in each county must set the date, time and place for the Post Election Equipment Review (PER) of the State General Election - at the County Canvass of the State Primary.</t>
    </r>
    <r>
      <rPr>
        <i/>
        <sz val="12"/>
        <rFont val="Times New Roman"/>
        <family val="1"/>
      </rPr>
      <t xml:space="preserve">  Minn. Stat. §206.89, subd. 2</t>
    </r>
  </si>
  <si>
    <r>
      <t xml:space="preserve">Cities without a Primary: </t>
    </r>
    <r>
      <rPr>
        <sz val="12"/>
        <rFont val="Times New Roman"/>
        <family val="1"/>
      </rPr>
      <t>The County Canvassing Board in each county must set the date, time and place for the Post Election Equipment Review (PER) of the State General Election - at the County Canvass of the State Primary.</t>
    </r>
    <r>
      <rPr>
        <i/>
        <sz val="12"/>
        <rFont val="Times New Roman"/>
        <family val="1"/>
      </rPr>
      <t xml:space="preserve">  Minn. Stat. §206.89, subd. 2</t>
    </r>
  </si>
  <si>
    <r>
      <t xml:space="preserve">Towns with March Elections: </t>
    </r>
    <r>
      <rPr>
        <sz val="12"/>
        <rFont val="Times New Roman"/>
        <family val="1"/>
      </rPr>
      <t>The County Canvassing Board in each county must set the date, time and place for the Post Election Equipment Review (PER) of the State General Election - at the County Canvass of the State Primary.</t>
    </r>
    <r>
      <rPr>
        <i/>
        <sz val="12"/>
        <rFont val="Times New Roman"/>
        <family val="1"/>
      </rPr>
      <t xml:space="preserve">  Minn. Stat. §206.89, subd. 2</t>
    </r>
  </si>
  <si>
    <r>
      <t xml:space="preserve">Towns with November Elections: </t>
    </r>
    <r>
      <rPr>
        <sz val="12"/>
        <rFont val="Times New Roman"/>
        <family val="1"/>
      </rPr>
      <t>The County Canvassing Board in each county must set the date, time and place for the Post Election Equipment Review (PER) of the State General Election - at the County Canvass of the State Primary.</t>
    </r>
    <r>
      <rPr>
        <i/>
        <sz val="12"/>
        <rFont val="Times New Roman"/>
        <family val="1"/>
      </rPr>
      <t xml:space="preserve">  Minn. Stat. §206.89, subd. 2</t>
    </r>
  </si>
  <si>
    <r>
      <t>Campaign Finance:</t>
    </r>
    <r>
      <rPr>
        <sz val="12"/>
        <rFont val="Times New Roman"/>
        <family val="1"/>
      </rPr>
      <t xml:space="preserve"> Municipal canvass of local primary results.  In conjunction with the state primary, the canvass must be conducted on the 3rd day after the primary (unless discussed with and approved by all county auditors of jurisdiction--giving them enough time to provide accurate stats for poll and AB voting). Names are certified  to the municipal clerk for placement on the general ballot - on the 3rd day after the primary. </t>
    </r>
    <r>
      <rPr>
        <i/>
        <sz val="12"/>
        <rFont val="Times New Roman"/>
        <family val="1"/>
      </rPr>
      <t>Minn. Stat. §205.065, subd. 5</t>
    </r>
  </si>
  <si>
    <r>
      <t xml:space="preserve">Campaign Finance: </t>
    </r>
    <r>
      <rPr>
        <sz val="12"/>
        <rFont val="Times New Roman"/>
        <family val="1"/>
      </rPr>
      <t xml:space="preserve">The county canvassing board shall meet on either the 2nd or 3rd day following the state primary.  The county auditor shall transmit 1 of the certified copies of the report for state and fed offices to the OSS by express mail upon conclusion.  Upon completion, the county auditor shall mail or deliver a notice of nomination to each nominee. </t>
    </r>
    <r>
      <rPr>
        <i/>
        <sz val="12"/>
        <rFont val="Times New Roman"/>
        <family val="1"/>
      </rPr>
      <t>Minn. Stat. 204C.32</t>
    </r>
  </si>
  <si>
    <t>School Districts</t>
  </si>
  <si>
    <r>
      <t xml:space="preserve">Towns with March Elections: </t>
    </r>
    <r>
      <rPr>
        <sz val="12"/>
        <rFont val="Times New Roman"/>
        <family val="1"/>
      </rPr>
      <t xml:space="preserve">Candidate filing period closes for hospital districts - 84 days before election. </t>
    </r>
    <r>
      <rPr>
        <i/>
        <sz val="12"/>
        <rFont val="Times New Roman"/>
        <family val="1"/>
      </rPr>
      <t>Minn. Stat. 447.32, subd. 4</t>
    </r>
  </si>
  <si>
    <r>
      <t xml:space="preserve">Cities with a Primary: </t>
    </r>
    <r>
      <rPr>
        <sz val="12"/>
        <rFont val="Times New Roman"/>
        <family val="1"/>
      </rPr>
      <t xml:space="preserve">Candidate filing period closes for hospital districts - 84 days before election. </t>
    </r>
    <r>
      <rPr>
        <i/>
        <sz val="12"/>
        <rFont val="Times New Roman"/>
        <family val="1"/>
      </rPr>
      <t>Minn. Stat. 447.32, subd. 4</t>
    </r>
  </si>
  <si>
    <r>
      <t>Secretary of State:</t>
    </r>
    <r>
      <rPr>
        <sz val="12"/>
        <rFont val="Times New Roman"/>
        <family val="1"/>
      </rPr>
      <t xml:space="preserve"> Time period for county, municipal and school district office losing candidate to request recount in writing - within 5 days of canvass. </t>
    </r>
    <r>
      <rPr>
        <i/>
        <sz val="12"/>
        <rFont val="Times New Roman"/>
        <family val="1"/>
      </rPr>
      <t>Minn. Stat. §204C.36; §209.021, subd. 1</t>
    </r>
  </si>
  <si>
    <r>
      <t>Campaign Finance:</t>
    </r>
    <r>
      <rPr>
        <sz val="12"/>
        <rFont val="Times New Roman"/>
        <family val="1"/>
      </rPr>
      <t xml:space="preserve"> Time period for county, municipal and school district office losing candidate to request recount in writing - within 5 days of canvass. </t>
    </r>
    <r>
      <rPr>
        <i/>
        <sz val="12"/>
        <rFont val="Times New Roman"/>
        <family val="1"/>
      </rPr>
      <t>Minn. Stat. §204C.36; §209.021, subd. 1</t>
    </r>
  </si>
  <si>
    <r>
      <t>Political Parties:</t>
    </r>
    <r>
      <rPr>
        <sz val="12"/>
        <rFont val="Times New Roman"/>
        <family val="1"/>
      </rPr>
      <t xml:space="preserve"> Time period for county, municipal and school district office losing candidate to request recount in writing - within 5 days of canvass. </t>
    </r>
    <r>
      <rPr>
        <i/>
        <sz val="12"/>
        <rFont val="Times New Roman"/>
        <family val="1"/>
      </rPr>
      <t>Minn. Stat. §204C.36; §209.021, subd. 1</t>
    </r>
  </si>
  <si>
    <r>
      <t>Counties:</t>
    </r>
    <r>
      <rPr>
        <sz val="12"/>
        <rFont val="Times New Roman"/>
        <family val="1"/>
      </rPr>
      <t xml:space="preserve"> Time period for county, municipal and school district office losing candidate to request recount in writing - within 5 days of canvass. </t>
    </r>
    <r>
      <rPr>
        <i/>
        <sz val="12"/>
        <rFont val="Times New Roman"/>
        <family val="1"/>
      </rPr>
      <t>Minn. Stat. §204C.36; §209.021, subd. 1</t>
    </r>
  </si>
  <si>
    <r>
      <t>Cities with a Primary:</t>
    </r>
    <r>
      <rPr>
        <sz val="12"/>
        <rFont val="Times New Roman"/>
        <family val="1"/>
      </rPr>
      <t xml:space="preserve"> Time period for county,  municipal and school district office losing candidate to request recount in writing - within 5 days of canvass. </t>
    </r>
    <r>
      <rPr>
        <i/>
        <sz val="12"/>
        <rFont val="Times New Roman"/>
        <family val="1"/>
      </rPr>
      <t>Minn. Stat. §204C.36; §209.021, subd. 1</t>
    </r>
  </si>
  <si>
    <r>
      <t>School Districts with a Primary:</t>
    </r>
    <r>
      <rPr>
        <sz val="12"/>
        <rFont val="Times New Roman"/>
        <family val="1"/>
      </rPr>
      <t xml:space="preserve"> Time period for county, municipal and school district office losing candidate to request recount in writing - within 5 days of canvass. </t>
    </r>
    <r>
      <rPr>
        <i/>
        <sz val="12"/>
        <rFont val="Times New Roman"/>
        <family val="1"/>
      </rPr>
      <t>Minn. Stat. §204C.36; §209.021, subd. 1</t>
    </r>
  </si>
  <si>
    <r>
      <t xml:space="preserve">Secretary of State: </t>
    </r>
    <r>
      <rPr>
        <sz val="12"/>
        <rFont val="Times New Roman"/>
        <family val="1"/>
      </rPr>
      <t xml:space="preserve">State Canvassing Board meets to canvass the certified copies of the county canvassing board reports. State certifies nominees for general election to the County Auditors - immediately after the canvassing board declares the results. OSS shall mail a notice of nomination to each nominee - 7 days after the State Primary. </t>
    </r>
    <r>
      <rPr>
        <i/>
        <sz val="12"/>
        <rFont val="Times New Roman"/>
        <family val="1"/>
      </rPr>
      <t>Minn. Stat. §204C.32, subd. 2</t>
    </r>
  </si>
  <si>
    <r>
      <t xml:space="preserve">Campaign Finance: </t>
    </r>
    <r>
      <rPr>
        <sz val="12"/>
        <rFont val="Times New Roman"/>
        <family val="1"/>
      </rPr>
      <t xml:space="preserve">State Canvassing Board meets to canvass the certified copies of the county canvassing board reports. State certifies nominees for general election to the County Auditors - immediately after the canvassing board declares the results. OSS shall mail a notice of nomination to each nominee - 7 days after the State Primary. </t>
    </r>
    <r>
      <rPr>
        <i/>
        <sz val="12"/>
        <rFont val="Times New Roman"/>
        <family val="1"/>
      </rPr>
      <t>Minn. Stat. §204C.32, subd. 2</t>
    </r>
  </si>
  <si>
    <r>
      <t xml:space="preserve">Political Parties: </t>
    </r>
    <r>
      <rPr>
        <sz val="12"/>
        <rFont val="Times New Roman"/>
        <family val="1"/>
      </rPr>
      <t xml:space="preserve">State Canvassing Board meets to canvass the certified copies of the county canvassing board reports. State certifies nominees for general election to the County Auditors - immediately after the canvassing board declares the results. OSS shall mail a notice of nomination to each nominee - 7 days after the State Primary. </t>
    </r>
    <r>
      <rPr>
        <i/>
        <sz val="12"/>
        <rFont val="Times New Roman"/>
        <family val="1"/>
      </rPr>
      <t>Minn. Stat. §204C.32, subd. 2</t>
    </r>
  </si>
  <si>
    <r>
      <t xml:space="preserve">Counties: </t>
    </r>
    <r>
      <rPr>
        <sz val="12"/>
        <rFont val="Times New Roman"/>
        <family val="1"/>
      </rPr>
      <t xml:space="preserve">State Canvassing Board meets to canvass the certified copies of the county canvassing board reports. State certifies nominees for general election to the County Auditors - immediately after the canvassing board declares the results. OSS shall mail a notice of nomination to each nominee - 7 days after the State Primary. </t>
    </r>
    <r>
      <rPr>
        <i/>
        <sz val="12"/>
        <rFont val="Times New Roman"/>
        <family val="1"/>
      </rPr>
      <t>Minn. Stat. §204C.32, subd. 2</t>
    </r>
  </si>
  <si>
    <r>
      <t xml:space="preserve">Secretary of State: </t>
    </r>
    <r>
      <rPr>
        <sz val="12"/>
        <rFont val="Times New Roman"/>
        <family val="1"/>
      </rPr>
      <t xml:space="preserve">Municipal Clerk forwards completed Affidivits of Candidacy for Hospital District candidates to the Hospital District Clerk - immediately after the last day of the filing period. </t>
    </r>
    <r>
      <rPr>
        <i/>
        <sz val="12"/>
        <rFont val="Times New Roman"/>
        <family val="1"/>
      </rPr>
      <t>Minn. Stat. §447.32, subd. 4</t>
    </r>
  </si>
  <si>
    <r>
      <t xml:space="preserve">Counties: </t>
    </r>
    <r>
      <rPr>
        <sz val="12"/>
        <rFont val="Times New Roman"/>
        <family val="1"/>
      </rPr>
      <t xml:space="preserve">Municipal Clerk forwards completed Affidivits of Candidacy for Hospital District candidates to the Hospital District Clerk - immediately after the last day of the filing period. </t>
    </r>
    <r>
      <rPr>
        <i/>
        <sz val="12"/>
        <rFont val="Times New Roman"/>
        <family val="1"/>
      </rPr>
      <t>Minn. Stat. §447.32, subd. 4</t>
    </r>
  </si>
  <si>
    <r>
      <t xml:space="preserve">Cities with a Primary: </t>
    </r>
    <r>
      <rPr>
        <sz val="12"/>
        <rFont val="Times New Roman"/>
        <family val="1"/>
      </rPr>
      <t xml:space="preserve">Municipal Clerk forwards completed Affidivits of Candidacy for Hospital District candidates to the Hospital District Clerk - immediately after the last day of the filing period. </t>
    </r>
    <r>
      <rPr>
        <i/>
        <sz val="12"/>
        <rFont val="Times New Roman"/>
        <family val="1"/>
      </rPr>
      <t>Minn. Stat. §447.32, subd. 4</t>
    </r>
  </si>
  <si>
    <r>
      <t xml:space="preserve">Cities without a Primary: </t>
    </r>
    <r>
      <rPr>
        <sz val="12"/>
        <rFont val="Times New Roman"/>
        <family val="1"/>
      </rPr>
      <t xml:space="preserve">Municipal Clerk forwards completed Affidivits of Candidacy for Hospital District candidates to the Hospital District Clerk - immediately after the last day of the filing period. </t>
    </r>
    <r>
      <rPr>
        <i/>
        <sz val="12"/>
        <rFont val="Times New Roman"/>
        <family val="1"/>
      </rPr>
      <t>Minn. Stat. §447.32, subd. 4</t>
    </r>
  </si>
  <si>
    <r>
      <t xml:space="preserve">Towns with March Elections: </t>
    </r>
    <r>
      <rPr>
        <sz val="12"/>
        <rFont val="Times New Roman"/>
        <family val="1"/>
      </rPr>
      <t xml:space="preserve">Municipal Clerk forwards completed Affidivits of Candidacy for Hospital District candidates to the Hospital District Clerk - immediately after the last day of the filing period. </t>
    </r>
    <r>
      <rPr>
        <i/>
        <sz val="12"/>
        <rFont val="Times New Roman"/>
        <family val="1"/>
      </rPr>
      <t>Minn. Stat. §447.32, subd. 4</t>
    </r>
  </si>
  <si>
    <r>
      <t xml:space="preserve">Towns with November Elections: </t>
    </r>
    <r>
      <rPr>
        <sz val="12"/>
        <rFont val="Times New Roman"/>
        <family val="1"/>
      </rPr>
      <t xml:space="preserve">Municipal Clerk forwards completed Affidivits of Candidacy for Hospital District candidates to the Hospital District Clerk - immediately after the last day of the filing period. </t>
    </r>
    <r>
      <rPr>
        <i/>
        <sz val="12"/>
        <rFont val="Times New Roman"/>
        <family val="1"/>
      </rPr>
      <t>Minn. Stat. §447.32, subd. 4</t>
    </r>
  </si>
  <si>
    <r>
      <t xml:space="preserve">Hospital Districts: </t>
    </r>
    <r>
      <rPr>
        <sz val="12"/>
        <rFont val="Times New Roman"/>
        <family val="1"/>
      </rPr>
      <t xml:space="preserve">Municipal Clerk forwards completed Affidivits of Candidacy for Hospital District candidates to the Hospital District Clerk - immediately after the last day of the filing period. </t>
    </r>
    <r>
      <rPr>
        <i/>
        <sz val="12"/>
        <rFont val="Times New Roman"/>
        <family val="1"/>
      </rPr>
      <t>Minn. Stat. §447.32, subd. 4</t>
    </r>
  </si>
  <si>
    <r>
      <t>Cities without a Primary:</t>
    </r>
    <r>
      <rPr>
        <sz val="12"/>
        <rFont val="Times New Roman"/>
        <family val="1"/>
      </rPr>
      <t xml:space="preserve"> Last day for "late filing" candidates to withdraw. Candidates may withdraw until 5:00 p.m. by filing an Affidavit of Withdrawal - no later than 5:00 p.m. 2 days after filing closes. </t>
    </r>
    <r>
      <rPr>
        <i/>
        <sz val="12"/>
        <rFont val="Times New Roman"/>
        <family val="1"/>
      </rPr>
      <t xml:space="preserve">Minn. Stat. §205.13, subd. 6 </t>
    </r>
  </si>
  <si>
    <r>
      <t>Towns with November Elections:</t>
    </r>
    <r>
      <rPr>
        <sz val="12"/>
        <rFont val="Times New Roman"/>
        <family val="1"/>
      </rPr>
      <t xml:space="preserve"> Last day for "late filing" candidates to withdraw. Candidates may withdraw until 5:00 p.m. by filing an Affidavit of Withdrawal - no later than 5:00 p.m. 2 days after filing closes. </t>
    </r>
    <r>
      <rPr>
        <i/>
        <sz val="12"/>
        <rFont val="Times New Roman"/>
        <family val="1"/>
      </rPr>
      <t xml:space="preserve">Minn. Stat. §205.13, subd. 6 </t>
    </r>
  </si>
  <si>
    <r>
      <t xml:space="preserve">Secretary of State: </t>
    </r>
    <r>
      <rPr>
        <sz val="12"/>
        <rFont val="Times New Roman"/>
        <family val="1"/>
      </rPr>
      <t>After 5:00 p.m. cities without a primary, towns with November elections, school districts without a primary and hospital districts send candidate names, addresses and phone numbers to auditor.</t>
    </r>
  </si>
  <si>
    <r>
      <t xml:space="preserve">Counties: </t>
    </r>
    <r>
      <rPr>
        <sz val="12"/>
        <rFont val="Times New Roman"/>
        <family val="1"/>
      </rPr>
      <t>After 5:00 p.m. cities without a primary, towns with November elections, school districts without a primary and hospital districts send candidate names, addresses and phone numbers to auditor.</t>
    </r>
  </si>
  <si>
    <r>
      <t xml:space="preserve">Cities without a Primary: </t>
    </r>
    <r>
      <rPr>
        <sz val="12"/>
        <rFont val="Times New Roman"/>
        <family val="1"/>
      </rPr>
      <t>After 5:00 p.m. cities without a primary, towns with November elections, school districts without a primary and hospital districts send candidate names, addresses and phone numbers to auditor.</t>
    </r>
  </si>
  <si>
    <r>
      <t xml:space="preserve">Towns with November Elections: </t>
    </r>
    <r>
      <rPr>
        <sz val="12"/>
        <rFont val="Times New Roman"/>
        <family val="1"/>
      </rPr>
      <t>After 5:00 p.m. cities without a primary, towns with November elections, school districts without a primary and hospital districts send candidate names, addresses and phone numbers to auditor.</t>
    </r>
  </si>
  <si>
    <r>
      <t xml:space="preserve">School Districts without a Primary: </t>
    </r>
    <r>
      <rPr>
        <sz val="12"/>
        <rFont val="Times New Roman"/>
        <family val="1"/>
      </rPr>
      <t>After 5:00 p.m. cities without a primary, towns with November elections, school districts without a primary and hospital districts send candidate names, addresses and phone numbers to auditor.</t>
    </r>
  </si>
  <si>
    <r>
      <t xml:space="preserve">Hospital Districts: </t>
    </r>
    <r>
      <rPr>
        <sz val="12"/>
        <rFont val="Times New Roman"/>
        <family val="1"/>
      </rPr>
      <t>After 5:00 p.m. cities without a primary, towns with November elections, school districts without a primary and hospital districts send candidate names, addresses and phone numbers to auditor.</t>
    </r>
  </si>
  <si>
    <r>
      <t xml:space="preserve">Secretary of State: </t>
    </r>
    <r>
      <rPr>
        <sz val="12"/>
        <rFont val="Times New Roman"/>
        <family val="1"/>
      </rPr>
      <t xml:space="preserve">Ballot layout begins using known offices and candidate names for the general ballot.  </t>
    </r>
    <r>
      <rPr>
        <i/>
        <sz val="12"/>
        <rFont val="Times New Roman"/>
        <family val="1"/>
      </rPr>
      <t>M.S. 206.82, subd. 1</t>
    </r>
  </si>
  <si>
    <r>
      <t xml:space="preserve">Counties: </t>
    </r>
    <r>
      <rPr>
        <sz val="12"/>
        <rFont val="Times New Roman"/>
        <family val="1"/>
      </rPr>
      <t xml:space="preserve">Ballot layout begins using known offices and candidate names for the general ballot.  </t>
    </r>
    <r>
      <rPr>
        <i/>
        <sz val="12"/>
        <rFont val="Times New Roman"/>
        <family val="1"/>
      </rPr>
      <t>M.S. 206.82, subd. 1</t>
    </r>
  </si>
  <si>
    <r>
      <t xml:space="preserve">Secretary of State: </t>
    </r>
    <r>
      <rPr>
        <sz val="12"/>
        <rFont val="Times New Roman"/>
        <family val="1"/>
      </rPr>
      <t xml:space="preserve">Ballot layout &amp; programming continues and suggest verifying ballot information against each notice of election.  </t>
    </r>
    <r>
      <rPr>
        <i/>
        <sz val="12"/>
        <rFont val="Times New Roman"/>
        <family val="1"/>
      </rPr>
      <t>Minn. Stat. 206.82, subd. 1</t>
    </r>
  </si>
  <si>
    <r>
      <t xml:space="preserve">Counties: </t>
    </r>
    <r>
      <rPr>
        <sz val="12"/>
        <rFont val="Times New Roman"/>
        <family val="1"/>
      </rPr>
      <t xml:space="preserve">Ballot layout &amp; programming continues and suggest verifying ballot information against each notice of election.  </t>
    </r>
    <r>
      <rPr>
        <i/>
        <sz val="12"/>
        <rFont val="Times New Roman"/>
        <family val="1"/>
      </rPr>
      <t>Minn. Stat. 206.82, subd. 1</t>
    </r>
  </si>
  <si>
    <r>
      <t xml:space="preserve">Counties: </t>
    </r>
    <r>
      <rPr>
        <sz val="12"/>
        <rFont val="Times New Roman"/>
        <family val="1"/>
      </rPr>
      <t xml:space="preserve">Complete PVC mailing to 3% random sampling of primary EDRs - within 10 days after election. </t>
    </r>
    <r>
      <rPr>
        <i/>
        <sz val="12"/>
        <rFont val="Times New Roman"/>
        <family val="1"/>
      </rPr>
      <t>Minn. Stat. §201.121; Minn. Rules 8200.2700</t>
    </r>
  </si>
  <si>
    <r>
      <t xml:space="preserve">Secretary of State: </t>
    </r>
    <r>
      <rPr>
        <sz val="12"/>
        <rFont val="Times New Roman"/>
        <family val="1"/>
      </rPr>
      <t xml:space="preserve">Complete PVC mailing to 3% random sampling of primary EDRs - within 10 days after election. </t>
    </r>
    <r>
      <rPr>
        <i/>
        <sz val="12"/>
        <rFont val="Times New Roman"/>
        <family val="1"/>
      </rPr>
      <t>Minn. Stat. §201.121; Minn. Rules 8200.2700</t>
    </r>
  </si>
  <si>
    <t>204C.35, subd. 2</t>
  </si>
  <si>
    <r>
      <t xml:space="preserve">Secretary of State: </t>
    </r>
    <r>
      <rPr>
        <sz val="12"/>
        <rFont val="Times New Roman"/>
        <family val="1"/>
      </rPr>
      <t xml:space="preserve">Time period for a candidate for nomination to statewide federal office, state constitutional office, statewide judicial office, congressional office, state legislative office, or district judicial office to request an optional recount - written request rcvd by filing officer no later than 48 hrs after the canvass. </t>
    </r>
    <r>
      <rPr>
        <i/>
        <sz val="12"/>
        <rFont val="Times New Roman"/>
        <family val="1"/>
      </rPr>
      <t>Minn. Stat. §204C.35, subd. 2</t>
    </r>
  </si>
  <si>
    <r>
      <t xml:space="preserve">Counties: </t>
    </r>
    <r>
      <rPr>
        <sz val="12"/>
        <rFont val="Times New Roman"/>
        <family val="1"/>
      </rPr>
      <t xml:space="preserve">Time period for a candidate for nomination to statewide federal office, state constitutional office, statewide judicial office, congressional office, state legislative office, or district judicial office to request an optional recount - written request rcvd by filing officer no later than 48 hrs after the canvass. </t>
    </r>
    <r>
      <rPr>
        <i/>
        <sz val="12"/>
        <rFont val="Times New Roman"/>
        <family val="1"/>
      </rPr>
      <t>Minn. Stat. §204C.35, subd. 2</t>
    </r>
  </si>
  <si>
    <r>
      <t xml:space="preserve">Campaign Finance: </t>
    </r>
    <r>
      <rPr>
        <sz val="12"/>
        <rFont val="Times New Roman"/>
        <family val="1"/>
      </rPr>
      <t xml:space="preserve">Time period for a candidate for nomination to statewide federal office, state constitutional office, statewide judicial office, congressional office, state legislative office, or district judicial office to request an optional recount - written request rcvd by filing officer no later than 48 hrs after the canvass. </t>
    </r>
    <r>
      <rPr>
        <i/>
        <sz val="12"/>
        <rFont val="Times New Roman"/>
        <family val="1"/>
      </rPr>
      <t>Minn. Stat. §204C.35, subd. 2</t>
    </r>
  </si>
  <si>
    <r>
      <t xml:space="preserve">Political Parties: </t>
    </r>
    <r>
      <rPr>
        <sz val="12"/>
        <rFont val="Times New Roman"/>
        <family val="1"/>
      </rPr>
      <t xml:space="preserve">Time period for a candidate for nomination to statewide federal office, state constitutional office, statewide judicial office, congressional office, state legislative office, or district judicial office to request an optional recount - written request rcvd by filing officer no later than 48 hrs after the canvass. </t>
    </r>
    <r>
      <rPr>
        <i/>
        <sz val="12"/>
        <rFont val="Times New Roman"/>
        <family val="1"/>
      </rPr>
      <t>Minn. Stat. §204C.35, subd. 2</t>
    </r>
  </si>
  <si>
    <r>
      <t xml:space="preserve">Labor Day Holiday: </t>
    </r>
    <r>
      <rPr>
        <sz val="12"/>
        <rFont val="Times New Roman"/>
        <family val="1"/>
      </rPr>
      <t>No public business shall be transacted, except in cases of necessity.</t>
    </r>
    <r>
      <rPr>
        <i/>
        <sz val="12"/>
        <rFont val="Times New Roman"/>
        <family val="1"/>
      </rPr>
      <t xml:space="preserve">  Minn. Stat. §645.44, subd. 5</t>
    </r>
    <r>
      <rPr>
        <sz val="12"/>
        <rFont val="Times New Roman"/>
        <family val="1"/>
      </rPr>
      <t xml:space="preserve">  </t>
    </r>
  </si>
  <si>
    <r>
      <t xml:space="preserve">Secretary of State: </t>
    </r>
    <r>
      <rPr>
        <sz val="12"/>
        <rFont val="Times New Roman"/>
        <family val="1"/>
      </rPr>
      <t xml:space="preserve">Last day for municipality to cancel a special election scheduled for State General Election Day that was ordered on its own motion - not less than 46 days before the election.  </t>
    </r>
    <r>
      <rPr>
        <i/>
        <sz val="12"/>
        <rFont val="Times New Roman"/>
        <family val="1"/>
      </rPr>
      <t>Minn. Stat.  §205.10, subd. 6</t>
    </r>
  </si>
  <si>
    <r>
      <t xml:space="preserve">Cities with a Primary: </t>
    </r>
    <r>
      <rPr>
        <sz val="12"/>
        <rFont val="Times New Roman"/>
        <family val="1"/>
      </rPr>
      <t xml:space="preserve">Last day for the city council to cancel a special election scheduled for State General Election Day that was ordered by the city council on its own motion - not less than 46 days before the election.  </t>
    </r>
    <r>
      <rPr>
        <i/>
        <sz val="12"/>
        <rFont val="Times New Roman"/>
        <family val="1"/>
      </rPr>
      <t>Minn. Stat.  §205.10, subd. 6</t>
    </r>
  </si>
  <si>
    <r>
      <t xml:space="preserve">Counties: </t>
    </r>
    <r>
      <rPr>
        <sz val="12"/>
        <rFont val="Times New Roman"/>
        <family val="1"/>
      </rPr>
      <t xml:space="preserve">Last day for municipality to cancel a special election scheduled for State General Election Day that was ordered on its own motion - not less than 46 days before the election.  </t>
    </r>
    <r>
      <rPr>
        <i/>
        <sz val="12"/>
        <rFont val="Times New Roman"/>
        <family val="1"/>
      </rPr>
      <t>Minn. Stat.  §205.10, subd. 6</t>
    </r>
  </si>
  <si>
    <r>
      <t xml:space="preserve">Cities without a Primary: </t>
    </r>
    <r>
      <rPr>
        <sz val="12"/>
        <rFont val="Times New Roman"/>
        <family val="1"/>
      </rPr>
      <t xml:space="preserve">Last day for the city council to cancel a special election scheduled for State General Election Day that was ordered by the city council on its own motion - not less than 46 days before the election.  </t>
    </r>
    <r>
      <rPr>
        <i/>
        <sz val="12"/>
        <rFont val="Times New Roman"/>
        <family val="1"/>
      </rPr>
      <t>Minn. Stat.  §205.10, subd. 6</t>
    </r>
  </si>
  <si>
    <r>
      <t xml:space="preserve">Towns with March Elections: </t>
    </r>
    <r>
      <rPr>
        <sz val="12"/>
        <rFont val="Times New Roman"/>
        <family val="1"/>
      </rPr>
      <t xml:space="preserve">Last day for town board to cancel a special election scheduled for State General Election Day that was ordered by the town board on its own motion - not less than 46 days before the election.  </t>
    </r>
    <r>
      <rPr>
        <i/>
        <sz val="12"/>
        <rFont val="Times New Roman"/>
        <family val="1"/>
      </rPr>
      <t>Minn. Stat.  §205.10, subd. 6</t>
    </r>
  </si>
  <si>
    <r>
      <t xml:space="preserve">Towns with November Elections: </t>
    </r>
    <r>
      <rPr>
        <sz val="12"/>
        <rFont val="Times New Roman"/>
        <family val="1"/>
      </rPr>
      <t xml:space="preserve">Last day for the town board to cancel a special election scheduled for State General Election Day that was ordered by the town board on its own motion - not less than 46 days before the election.  </t>
    </r>
    <r>
      <rPr>
        <i/>
        <sz val="12"/>
        <rFont val="Times New Roman"/>
        <family val="1"/>
      </rPr>
      <t>Minn. Stat.  §205.10, subd. 6</t>
    </r>
  </si>
  <si>
    <r>
      <t xml:space="preserve">Counties: </t>
    </r>
    <r>
      <rPr>
        <sz val="12"/>
        <rFont val="Times New Roman"/>
        <family val="1"/>
      </rPr>
      <t xml:space="preserve">Last day for governing body of a school district to cancel a special election scheduled for State General Election Day that was ordered on its own motion - not less than 74 days before the election.  </t>
    </r>
    <r>
      <rPr>
        <i/>
        <sz val="12"/>
        <rFont val="Times New Roman"/>
        <family val="1"/>
      </rPr>
      <t>Minn. Stat.  §205A.05, subd. 3</t>
    </r>
  </si>
  <si>
    <r>
      <t xml:space="preserve">Secretray of State: </t>
    </r>
    <r>
      <rPr>
        <sz val="12"/>
        <rFont val="Times New Roman"/>
        <family val="1"/>
      </rPr>
      <t xml:space="preserve">Last day for governing body of a school district to cancel a special election scheduled for State General Election Day that was ordered on its own motion - not less than 74 days before the election.  </t>
    </r>
    <r>
      <rPr>
        <i/>
        <sz val="12"/>
        <rFont val="Times New Roman"/>
        <family val="1"/>
      </rPr>
      <t>Minn. Stat.  §205A.05, subd. 3</t>
    </r>
  </si>
  <si>
    <r>
      <t xml:space="preserve">School Districts with a Primary: </t>
    </r>
    <r>
      <rPr>
        <sz val="12"/>
        <rFont val="Times New Roman"/>
        <family val="1"/>
      </rPr>
      <t xml:space="preserve">Last day for governing body of a school district to cancel a special election scheduled for State General Election Day that was ordered on its own motion - not less than 74 days before the election.  </t>
    </r>
    <r>
      <rPr>
        <i/>
        <sz val="12"/>
        <rFont val="Times New Roman"/>
        <family val="1"/>
      </rPr>
      <t>Minn. Stat.  §205A.05, subd. 3</t>
    </r>
  </si>
  <si>
    <r>
      <t xml:space="preserve">School Districts without a Primary: </t>
    </r>
    <r>
      <rPr>
        <sz val="12"/>
        <rFont val="Times New Roman"/>
        <family val="1"/>
      </rPr>
      <t xml:space="preserve">Last day for governing body of a school district to cancel a special election scheduled for State General Election Day that was ordered on its own motion - not less than 74 days before the election.  </t>
    </r>
    <r>
      <rPr>
        <i/>
        <sz val="12"/>
        <rFont val="Times New Roman"/>
        <family val="1"/>
      </rPr>
      <t>Minn. Stat.  §205A.05, subd. 3</t>
    </r>
  </si>
  <si>
    <r>
      <t xml:space="preserve">Tows with March Elections: </t>
    </r>
    <r>
      <rPr>
        <sz val="12"/>
        <rFont val="Times New Roman"/>
        <family val="1"/>
      </rPr>
      <t xml:space="preserve">Last day for municipal governing body, school board, or county board to authorize or revoke mail balloting by resolution - adopted no later than 90 days prior to 1st election at which mail balloting will be used or the next affected election.  </t>
    </r>
    <r>
      <rPr>
        <i/>
        <sz val="12"/>
        <rFont val="Times New Roman"/>
        <family val="1"/>
      </rPr>
      <t>Minn. Rule 8210.3000, subp. 2</t>
    </r>
  </si>
  <si>
    <r>
      <t xml:space="preserve">Secretary of State: </t>
    </r>
    <r>
      <rPr>
        <sz val="12"/>
        <rFont val="Times New Roman"/>
        <family val="1"/>
      </rPr>
      <t xml:space="preserve">Master list available from county auditor for city and township absentee voting. However, AB ballots are to be available at least 46 days prior – 32 days before election.  </t>
    </r>
    <r>
      <rPr>
        <i/>
        <sz val="12"/>
        <rFont val="Times New Roman"/>
        <family val="1"/>
      </rPr>
      <t>Minn. Stat. §201.091, subd. 2</t>
    </r>
  </si>
  <si>
    <r>
      <t xml:space="preserve">Counties: </t>
    </r>
    <r>
      <rPr>
        <sz val="12"/>
        <rFont val="Times New Roman"/>
        <family val="1"/>
      </rPr>
      <t xml:space="preserve">Master list available from county auditor for city and township absentee voting. However, AB ballots are to be available at least 46 days prior – 32 days before election.  </t>
    </r>
    <r>
      <rPr>
        <i/>
        <sz val="12"/>
        <rFont val="Times New Roman"/>
        <family val="1"/>
      </rPr>
      <t>Minn. Stat. §201.091, subd. 2</t>
    </r>
  </si>
  <si>
    <r>
      <t xml:space="preserve">Cities with a Primary: </t>
    </r>
    <r>
      <rPr>
        <sz val="12"/>
        <rFont val="Times New Roman"/>
        <family val="1"/>
      </rPr>
      <t xml:space="preserve">Master list available from county auditor for city and township absentee voting. However, AB ballots are to be available at least 46 days prior – 32 days before election.  </t>
    </r>
    <r>
      <rPr>
        <i/>
        <sz val="12"/>
        <rFont val="Times New Roman"/>
        <family val="1"/>
      </rPr>
      <t>Minn. Stat. §201.091, subd. 2</t>
    </r>
  </si>
  <si>
    <r>
      <t xml:space="preserve">Cities without a Primary: </t>
    </r>
    <r>
      <rPr>
        <sz val="12"/>
        <rFont val="Times New Roman"/>
        <family val="1"/>
      </rPr>
      <t xml:space="preserve">Master list available from county auditor for city and township absentee voting. However, AB ballots are to be available at least 46 days prior – 32 days before election.  </t>
    </r>
    <r>
      <rPr>
        <i/>
        <sz val="12"/>
        <rFont val="Times New Roman"/>
        <family val="1"/>
      </rPr>
      <t>Minn. Stat. §201.091, subd. 2</t>
    </r>
  </si>
  <si>
    <r>
      <t xml:space="preserve">Towns with March Elections: </t>
    </r>
    <r>
      <rPr>
        <sz val="12"/>
        <rFont val="Times New Roman"/>
        <family val="1"/>
      </rPr>
      <t xml:space="preserve">Master list available from county auditor for city and township absentee voting. However, AB ballots are to be available at least 46 days prior – 32 days before election.  </t>
    </r>
    <r>
      <rPr>
        <i/>
        <sz val="12"/>
        <rFont val="Times New Roman"/>
        <family val="1"/>
      </rPr>
      <t>Minn. Stat. §201.091, subd. 2</t>
    </r>
  </si>
  <si>
    <r>
      <t xml:space="preserve">Towns with November Elections: </t>
    </r>
    <r>
      <rPr>
        <sz val="12"/>
        <rFont val="Times New Roman"/>
        <family val="1"/>
      </rPr>
      <t xml:space="preserve">Master list available from county auditor for city and township absentee voting. However, AB ballots are to be available at least 46 days prior – 32 days before election.  </t>
    </r>
    <r>
      <rPr>
        <i/>
        <sz val="12"/>
        <rFont val="Times New Roman"/>
        <family val="1"/>
      </rPr>
      <t>Minn. Stat. §201.091, subd. 2</t>
    </r>
  </si>
  <si>
    <r>
      <t xml:space="preserve">Counties: </t>
    </r>
    <r>
      <rPr>
        <sz val="12"/>
        <rFont val="Times New Roman"/>
        <family val="1"/>
      </rPr>
      <t xml:space="preserve">The County Auditor must establish UOCAVA absentee ballot board for the 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</si>
  <si>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Secretary of State:</t>
    </r>
    <r>
      <rPr>
        <sz val="12"/>
        <rFont val="Times New Roman"/>
        <family val="1"/>
      </rPr>
      <t xml:space="preserve"> Voter history from State Primary must be posted, including election-day registrations - within 6 weeks after election. </t>
    </r>
    <r>
      <rPr>
        <i/>
        <sz val="12"/>
        <rFont val="Times New Roman"/>
        <family val="1"/>
      </rPr>
      <t>Minn. Stat. §201.171</t>
    </r>
  </si>
  <si>
    <r>
      <t xml:space="preserve">Towns with November Elections: </t>
    </r>
    <r>
      <rPr>
        <sz val="12"/>
        <rFont val="Times New Roman"/>
        <family val="1"/>
      </rPr>
      <t xml:space="preserve">Must provide instruction for voters on a new voting system that will be used for the 1st time, including a demonstration voting system in a public place – for 6 weeks immediately prior to the first election at which the voting system will be used.  </t>
    </r>
    <r>
      <rPr>
        <i/>
        <sz val="12"/>
        <rFont val="Times New Roman"/>
        <family val="1"/>
      </rPr>
      <t>Minn. Stat. §206.58, subd. 1</t>
    </r>
  </si>
  <si>
    <r>
      <t xml:space="preserve">Secretary of State: </t>
    </r>
    <r>
      <rPr>
        <sz val="12"/>
        <rFont val="Times New Roman"/>
        <family val="1"/>
      </rPr>
      <t xml:space="preserve">Must provide instruction for voters on a new voting system that will be used for the 1st time, including a demonstration voting system in a public place – for 6 weeks immediately prior to the first election at which the voting system will be used.  </t>
    </r>
    <r>
      <rPr>
        <i/>
        <sz val="12"/>
        <rFont val="Times New Roman"/>
        <family val="1"/>
      </rPr>
      <t>Minn. Stat. §206.58, subd. 1</t>
    </r>
  </si>
  <si>
    <r>
      <t xml:space="preserve">Counties: </t>
    </r>
    <r>
      <rPr>
        <sz val="12"/>
        <rFont val="Times New Roman"/>
        <family val="1"/>
      </rPr>
      <t xml:space="preserve">Must provide instruction for voters on a new voting system that will be used for the 1st time, including a demonstration voting system in a public place – for 6 weeks immediately prior to the first election at which the voting system will be used.  </t>
    </r>
    <r>
      <rPr>
        <i/>
        <sz val="12"/>
        <rFont val="Times New Roman"/>
        <family val="1"/>
      </rPr>
      <t>Minn. Stat. §206.58, subd. 1</t>
    </r>
  </si>
  <si>
    <r>
      <t xml:space="preserve">Cities with a Primary: </t>
    </r>
    <r>
      <rPr>
        <sz val="12"/>
        <rFont val="Times New Roman"/>
        <family val="1"/>
      </rPr>
      <t xml:space="preserve">Must provide instruction for voters on a new voting system that will be used for the 1st time, including a demonstration voting system in a public place – for 6 weeks immediately prior to the first election at which the voting system will be used.  </t>
    </r>
    <r>
      <rPr>
        <i/>
        <sz val="12"/>
        <rFont val="Times New Roman"/>
        <family val="1"/>
      </rPr>
      <t>Minn. Stat. §206.58, subd. 1</t>
    </r>
  </si>
  <si>
    <r>
      <t xml:space="preserve">Cities without a Primary: </t>
    </r>
    <r>
      <rPr>
        <sz val="12"/>
        <rFont val="Times New Roman"/>
        <family val="1"/>
      </rPr>
      <t xml:space="preserve">Must provide instruction for voters on a new voting system that will be used for the 1st time, including a demonstration voting system in a public place – for 6 weeks immediately prior to the first election at which the voting system will be used.  </t>
    </r>
    <r>
      <rPr>
        <i/>
        <sz val="12"/>
        <rFont val="Times New Roman"/>
        <family val="1"/>
      </rPr>
      <t>Minn. Stat. §206.58, subd. 1</t>
    </r>
  </si>
  <si>
    <r>
      <t xml:space="preserve">Towns with March Elections: </t>
    </r>
    <r>
      <rPr>
        <sz val="12"/>
        <rFont val="Times New Roman"/>
        <family val="1"/>
      </rPr>
      <t xml:space="preserve">Must provide instruction for voters on a new voting system that will be used for the 1st time, including a demonstration voting system in a public place – for 6 weeks immediately prior to the first election at which the voting system will be used.  </t>
    </r>
    <r>
      <rPr>
        <i/>
        <sz val="12"/>
        <rFont val="Times New Roman"/>
        <family val="1"/>
      </rPr>
      <t>Minn. Stat. §206.58, subd. 1</t>
    </r>
  </si>
  <si>
    <t>42 U.S.C 15421</t>
  </si>
  <si>
    <r>
      <t>Counties:</t>
    </r>
    <r>
      <rPr>
        <sz val="12"/>
        <rFont val="Times New Roman"/>
        <family val="1"/>
      </rPr>
      <t xml:space="preserve"> End of HAVA grant reporting period, annual County HAVA Grant Progress Report due to the OSS Monday, November 24, 2014. Begin preparing report including the following amounts relating to HAVA funds, as of September 30, 2014. 1) The amount spent to purchase elec equipment; 2) The amount spent for operating costs; 3) The balance eft from assistive voting machine grants; 4) The balance as of September 30, 2014, left from optical scan central count an precinct count machine grants; 5) a separate listing of interest earned from : a) Assistive voting machine grants; and b) Optical scan central count and precinct count machine grants; and 6) The balance from interest earned as of September 30, 2014 - begin preparing Sept. 30th.</t>
    </r>
    <r>
      <rPr>
        <i/>
        <sz val="12"/>
        <rFont val="Times New Roman"/>
        <family val="1"/>
      </rPr>
      <t xml:space="preserve"> 42 U.S.C. 15421</t>
    </r>
  </si>
  <si>
    <r>
      <t>Secretry of State:</t>
    </r>
    <r>
      <rPr>
        <sz val="12"/>
        <rFont val="Times New Roman"/>
        <family val="1"/>
      </rPr>
      <t xml:space="preserve"> End of HAVA grant reporting period, annual County HAVA Grant Progress Report due to the OSS Monday, November 24, 2014. Begin preparing report including the following amounts relating to HAVA funds, as of September 30, 2014. 1) The amount spent to purchase elec equipment; 2) The amount spent for operating costs; 3) The balance eft from assistive voting machine grants; 4) The balance as of September 30, 2014, left from optical scan central count an precinct count machine grants; 5) a separate listing of interest earned from : a) Assistive voting machine grants; and b) Optical scan central count and precinct count machine grants; and 6) The balance from interest earned as of September 30, 2014 - begin preparing Sept. 30th.</t>
    </r>
    <r>
      <rPr>
        <i/>
        <sz val="12"/>
        <rFont val="Times New Roman"/>
        <family val="1"/>
      </rPr>
      <t xml:space="preserve"> 42 U.S.C. 15421</t>
    </r>
  </si>
  <si>
    <r>
      <t>Counties:</t>
    </r>
    <r>
      <rPr>
        <sz val="12"/>
        <rFont val="Times New Roman"/>
        <family val="1"/>
      </rPr>
      <t xml:space="preserve"> Annual County HAVA Grant Progress Report due to the OSS Monday -  November 24, 2014. </t>
    </r>
    <r>
      <rPr>
        <i/>
        <sz val="12"/>
        <rFont val="Times New Roman"/>
        <family val="1"/>
      </rPr>
      <t>42 U.S.C. 15421</t>
    </r>
  </si>
  <si>
    <r>
      <t xml:space="preserve">Secretary of State: </t>
    </r>
    <r>
      <rPr>
        <sz val="12"/>
        <rFont val="Times New Roman"/>
        <family val="1"/>
      </rPr>
      <t xml:space="preserve">Last day to appoint election judges for November Election - at least 25 days before election. </t>
    </r>
    <r>
      <rPr>
        <i/>
        <sz val="12"/>
        <rFont val="Times New Roman"/>
        <family val="1"/>
      </rPr>
      <t>Minn. Stat. §204B.21, subd. 2</t>
    </r>
  </si>
  <si>
    <r>
      <t xml:space="preserve">Political Parties: </t>
    </r>
    <r>
      <rPr>
        <sz val="12"/>
        <rFont val="Times New Roman"/>
        <family val="1"/>
      </rPr>
      <t xml:space="preserve">Last day to appoint election judges for November Election - at least 25 days before election. </t>
    </r>
    <r>
      <rPr>
        <i/>
        <sz val="12"/>
        <rFont val="Times New Roman"/>
        <family val="1"/>
      </rPr>
      <t>Minn. Stat. §204B.21, subd. 2</t>
    </r>
  </si>
  <si>
    <r>
      <t xml:space="preserve">Counties: </t>
    </r>
    <r>
      <rPr>
        <sz val="12"/>
        <rFont val="Times New Roman"/>
        <family val="1"/>
      </rPr>
      <t xml:space="preserve">Last day to appoint election judges for November Election - at least 25 days before election. </t>
    </r>
    <r>
      <rPr>
        <i/>
        <sz val="12"/>
        <rFont val="Times New Roman"/>
        <family val="1"/>
      </rPr>
      <t>Minn. Stat. §204B.21, subd. 2</t>
    </r>
  </si>
  <si>
    <r>
      <t xml:space="preserve">Cities without a Primary: </t>
    </r>
    <r>
      <rPr>
        <sz val="12"/>
        <rFont val="Times New Roman"/>
        <family val="1"/>
      </rPr>
      <t xml:space="preserve">Last day to appoint election judges for November Election - at least 25 days before election. </t>
    </r>
    <r>
      <rPr>
        <i/>
        <sz val="12"/>
        <rFont val="Times New Roman"/>
        <family val="1"/>
      </rPr>
      <t>Minn. Stat. §204B.21, subd. 2</t>
    </r>
  </si>
  <si>
    <r>
      <t xml:space="preserve">Towns with March Elections: </t>
    </r>
    <r>
      <rPr>
        <sz val="12"/>
        <rFont val="Times New Roman"/>
        <family val="1"/>
      </rPr>
      <t xml:space="preserve">Last day to appoint election judges for November Election - at least 25 days before election. </t>
    </r>
    <r>
      <rPr>
        <i/>
        <sz val="12"/>
        <rFont val="Times New Roman"/>
        <family val="1"/>
      </rPr>
      <t>Minn. Stat. §204B.21, subd. 2</t>
    </r>
  </si>
  <si>
    <r>
      <t xml:space="preserve">Towns with November Elections: </t>
    </r>
    <r>
      <rPr>
        <sz val="12"/>
        <rFont val="Times New Roman"/>
        <family val="1"/>
      </rPr>
      <t xml:space="preserve">Last day to appoint election judges for November Election - at least 25 days before election. </t>
    </r>
    <r>
      <rPr>
        <i/>
        <sz val="12"/>
        <rFont val="Times New Roman"/>
        <family val="1"/>
      </rPr>
      <t>Minn. Stat. §204B.21, subd. 2</t>
    </r>
  </si>
  <si>
    <r>
      <t>Secretary of State:</t>
    </r>
    <r>
      <rPr>
        <sz val="12"/>
        <rFont val="Times New Roman"/>
        <family val="1"/>
      </rPr>
      <t xml:space="preserve"> Last day for the operator of a residential facility to provide a certified list of employees eligible to vouch for residents of the facility - no less than 20 days before the election.  </t>
    </r>
    <r>
      <rPr>
        <i/>
        <sz val="12"/>
        <rFont val="Times New Roman"/>
        <family val="1"/>
      </rPr>
      <t>Minn. Stat. §201.061, subd. 4</t>
    </r>
  </si>
  <si>
    <r>
      <t>Counties:</t>
    </r>
    <r>
      <rPr>
        <sz val="12"/>
        <rFont val="Times New Roman"/>
        <family val="1"/>
      </rPr>
      <t xml:space="preserve"> Last day for the operator of a residential facility to provide a certified list of employees eligible to vouch for residents of the facility - no less than 20 days before the election.  </t>
    </r>
    <r>
      <rPr>
        <i/>
        <sz val="12"/>
        <rFont val="Times New Roman"/>
        <family val="1"/>
      </rPr>
      <t>Minn. Stat. §201.061, subd. 4</t>
    </r>
  </si>
  <si>
    <r>
      <t>Cities with a Primary:</t>
    </r>
    <r>
      <rPr>
        <sz val="12"/>
        <rFont val="Times New Roman"/>
        <family val="1"/>
      </rPr>
      <t xml:space="preserve"> Last day for the operator of a residential facility to provide a certified list of employees eligible to vouch for residents of the facility - no less than 20 days before the election.  </t>
    </r>
    <r>
      <rPr>
        <i/>
        <sz val="12"/>
        <rFont val="Times New Roman"/>
        <family val="1"/>
      </rPr>
      <t>Minn. Stat. §201.061, subd. 4</t>
    </r>
  </si>
  <si>
    <r>
      <t>Cities without a Primary:</t>
    </r>
    <r>
      <rPr>
        <sz val="12"/>
        <rFont val="Times New Roman"/>
        <family val="1"/>
      </rPr>
      <t xml:space="preserve"> Last day for the operator of a residential facility to provide a certified list of employees eligible to vouch for residents of the facility - no less than 20 days before the election.  </t>
    </r>
    <r>
      <rPr>
        <i/>
        <sz val="12"/>
        <rFont val="Times New Roman"/>
        <family val="1"/>
      </rPr>
      <t>Minn. Stat. §201.061, subd. 4</t>
    </r>
  </si>
  <si>
    <r>
      <t>Towns with March Elections:</t>
    </r>
    <r>
      <rPr>
        <sz val="12"/>
        <rFont val="Times New Roman"/>
        <family val="1"/>
      </rPr>
      <t xml:space="preserve"> Last day for the operator of a residential facility to provide a certified list of employees eligible to vouch for residents of the facility - no less than 20 days before the election.  </t>
    </r>
    <r>
      <rPr>
        <i/>
        <sz val="12"/>
        <rFont val="Times New Roman"/>
        <family val="1"/>
      </rPr>
      <t>Minn. Stat. §201.061, subd. 4</t>
    </r>
  </si>
  <si>
    <r>
      <t>Towns with November Elections:</t>
    </r>
    <r>
      <rPr>
        <sz val="12"/>
        <rFont val="Times New Roman"/>
        <family val="1"/>
      </rPr>
      <t xml:space="preserve"> Last day for the operator of a residential facility to provide a certified list of employees eligible to vouch for residents of the facility - no less than 20 days before the election.  </t>
    </r>
    <r>
      <rPr>
        <i/>
        <sz val="12"/>
        <rFont val="Times New Roman"/>
        <family val="1"/>
      </rPr>
      <t>Minn. Stat. §201.061, subd. 4</t>
    </r>
  </si>
  <si>
    <r>
      <t xml:space="preserve">Secretary of State: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</si>
  <si>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Counties: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</si>
  <si>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Cities with a Primary: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</si>
  <si>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Cities without a Primary: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</si>
  <si>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Towns with March Elections: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</si>
  <si>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Towns with November Elections: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</si>
  <si>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Secretary of State:</t>
    </r>
    <r>
      <rPr>
        <sz val="12"/>
        <rFont val="Times New Roman"/>
        <family val="1"/>
      </rPr>
      <t xml:space="preserve"> Annual County HAVA Grant Progress Report due to the OSS Monday -  November 24, 2014. </t>
    </r>
    <r>
      <rPr>
        <i/>
        <sz val="12"/>
        <rFont val="Times New Roman"/>
        <family val="1"/>
      </rPr>
      <t>42 U.S.C. 15421</t>
    </r>
  </si>
  <si>
    <t xml:space="preserve">  Cities with a Primary</t>
  </si>
  <si>
    <r>
      <t xml:space="preserve">Counties: </t>
    </r>
    <r>
      <rPr>
        <sz val="12"/>
        <rFont val="Times New Roman"/>
        <family val="1"/>
      </rPr>
      <t xml:space="preserve">The county auditor shall cause the a sample ballot to be published in at least 1 newspaper of general circulation in the county.  - no earlier than 15 days and no later than 2 days before the state general election.  </t>
    </r>
    <r>
      <rPr>
        <i/>
        <sz val="12"/>
        <rFont val="Times New Roman"/>
        <family val="1"/>
      </rPr>
      <t>Minn. Stat. §204D.16</t>
    </r>
  </si>
  <si>
    <r>
      <t xml:space="preserve">Secretary of State: </t>
    </r>
    <r>
      <rPr>
        <sz val="12"/>
        <rFont val="Times New Roman"/>
        <family val="1"/>
      </rPr>
      <t xml:space="preserve">The county auditor shall cause the a sample ballot to be published in at least 1 newspaper of general circulation in the county.  - no earlier than 15 days and no later than 2 days before the state general election.  </t>
    </r>
    <r>
      <rPr>
        <i/>
        <sz val="12"/>
        <rFont val="Times New Roman"/>
        <family val="1"/>
      </rPr>
      <t>Minn. Stat. §204D.16</t>
    </r>
  </si>
  <si>
    <r>
      <t xml:space="preserve">Soil and Water Conservation Districts: </t>
    </r>
    <r>
      <rPr>
        <sz val="12"/>
        <rFont val="Times New Roman"/>
        <family val="1"/>
      </rPr>
      <t xml:space="preserve">The county auditor shall cause the a sample ballot to be published in at least 1 newspaper of general circulation in the county.  - no earlier than 15 days and no later than 2 days before the state general election.  </t>
    </r>
    <r>
      <rPr>
        <i/>
        <sz val="12"/>
        <rFont val="Times New Roman"/>
        <family val="1"/>
      </rPr>
      <t>Minn. Stat. §204D.16</t>
    </r>
  </si>
  <si>
    <t>Soil &amp; Water Conservation Dist.</t>
  </si>
  <si>
    <r>
      <t xml:space="preserve">Counties: </t>
    </r>
    <r>
      <rPr>
        <sz val="12"/>
        <rFont val="Times New Roman"/>
        <family val="1"/>
      </rPr>
      <t xml:space="preserve">Last day for Secretry of State to transmit examples of any blank forms to be used at the State General Election - at least14 days before every State Election.  </t>
    </r>
    <r>
      <rPr>
        <i/>
        <sz val="12"/>
        <rFont val="Times New Roman"/>
        <family val="1"/>
      </rPr>
      <t>Minn. Stat. §204B.27, subd. 1</t>
    </r>
  </si>
  <si>
    <r>
      <t>Soil and Water Conservation Districts:</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</si>
  <si>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Cities without a Primary:</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</si>
  <si>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Towns with November Elections:</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</si>
  <si>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Town with March Electoins:</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</si>
  <si>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School Districts with a Primary:</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</si>
  <si>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School Districts without a Primary:</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</si>
  <si>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Hospital Districts:</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</si>
  <si>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Hospital Districts:</t>
    </r>
    <r>
      <rPr>
        <sz val="12"/>
        <rFont val="Times New Roman"/>
        <family val="1"/>
      </rPr>
      <t xml:space="preserve"> Last day to </t>
    </r>
    <r>
      <rPr>
        <i/>
        <sz val="12"/>
        <rFont val="Times New Roman"/>
        <family val="1"/>
      </rPr>
      <t xml:space="preserve">post </t>
    </r>
    <r>
      <rPr>
        <sz val="12"/>
        <rFont val="Times New Roman"/>
        <family val="1"/>
      </rPr>
      <t>notice of general election</t>
    </r>
    <r>
      <rPr>
        <i/>
        <sz val="12"/>
        <rFont val="Times New Roman"/>
        <family val="1"/>
      </rPr>
      <t xml:space="preserve"> </t>
    </r>
    <r>
      <rPr>
        <sz val="12"/>
        <rFont val="Times New Roman"/>
        <family val="1"/>
      </rPr>
      <t xml:space="preserve">- 10 days before election. </t>
    </r>
    <r>
      <rPr>
        <i/>
        <sz val="12"/>
        <rFont val="Times New Roman"/>
        <family val="1"/>
      </rPr>
      <t>Minn. Stat. §447.32, subd. 3</t>
    </r>
  </si>
  <si>
    <r>
      <t xml:space="preserve">Secretary of State: </t>
    </r>
    <r>
      <rPr>
        <sz val="12"/>
        <rFont val="Times New Roman"/>
        <family val="1"/>
      </rPr>
      <t xml:space="preserve">Last day for an election judge to submit written notice of serving voluntarily without pay - no later than 10 days before the election.  </t>
    </r>
    <r>
      <rPr>
        <i/>
        <sz val="12"/>
        <rFont val="Times New Roman"/>
        <family val="1"/>
      </rPr>
      <t>Minn. Stat. §204B.31, subd. 2</t>
    </r>
  </si>
  <si>
    <r>
      <t xml:space="preserve">Counties: </t>
    </r>
    <r>
      <rPr>
        <sz val="12"/>
        <rFont val="Times New Roman"/>
        <family val="1"/>
      </rPr>
      <t xml:space="preserve">Last day for an election judge to submit written notice of serving voluntarily without pay - no later than 10 days before the election.  </t>
    </r>
    <r>
      <rPr>
        <i/>
        <sz val="12"/>
        <rFont val="Times New Roman"/>
        <family val="1"/>
      </rPr>
      <t>Minn. Stat. §204B.31, subd. 2</t>
    </r>
  </si>
  <si>
    <r>
      <t xml:space="preserve">Cities with a Primary: </t>
    </r>
    <r>
      <rPr>
        <sz val="12"/>
        <rFont val="Times New Roman"/>
        <family val="1"/>
      </rPr>
      <t xml:space="preserve">Last day for an election judge to submit written notice of serving voluntarily without pay - no later than 10 days before the election.  </t>
    </r>
    <r>
      <rPr>
        <i/>
        <sz val="12"/>
        <rFont val="Times New Roman"/>
        <family val="1"/>
      </rPr>
      <t>Minn. Stat. §204B.31, subd. 2</t>
    </r>
  </si>
  <si>
    <r>
      <t xml:space="preserve">Towns with March Elections: </t>
    </r>
    <r>
      <rPr>
        <sz val="12"/>
        <rFont val="Times New Roman"/>
        <family val="1"/>
      </rPr>
      <t xml:space="preserve">Last day for an election judge to submit written notice of serving voluntarily without pay - no later than 10 days before the election.  </t>
    </r>
    <r>
      <rPr>
        <i/>
        <sz val="12"/>
        <rFont val="Times New Roman"/>
        <family val="1"/>
      </rPr>
      <t>Minn. Stat. §204B.31, subd. 2</t>
    </r>
  </si>
  <si>
    <r>
      <t xml:space="preserve">Towns with November Elections: </t>
    </r>
    <r>
      <rPr>
        <sz val="12"/>
        <rFont val="Times New Roman"/>
        <family val="1"/>
      </rPr>
      <t xml:space="preserve">Last day for an election judge to submit written notice of serving voluntarily without pay - no later than 10 days before the election.  </t>
    </r>
    <r>
      <rPr>
        <i/>
        <sz val="12"/>
        <rFont val="Times New Roman"/>
        <family val="1"/>
      </rPr>
      <t>Minn. Stat. §204B.31, subd. 2</t>
    </r>
  </si>
  <si>
    <r>
      <t xml:space="preserve">Secretary of State: </t>
    </r>
    <r>
      <rPr>
        <sz val="12"/>
        <rFont val="Times New Roman"/>
        <family val="1"/>
      </rPr>
      <t xml:space="preserve">Campaign finance reports due - 10 days before the general election.  </t>
    </r>
    <r>
      <rPr>
        <i/>
        <sz val="12"/>
        <rFont val="Times New Roman"/>
        <family val="1"/>
      </rPr>
      <t>Minn. Stat. §211A.02</t>
    </r>
  </si>
  <si>
    <r>
      <t xml:space="preserve">Political Parties: </t>
    </r>
    <r>
      <rPr>
        <sz val="12"/>
        <rFont val="Times New Roman"/>
        <family val="1"/>
      </rPr>
      <t xml:space="preserve">Campaign finance reports due - 10 days before the general election.  </t>
    </r>
    <r>
      <rPr>
        <i/>
        <sz val="12"/>
        <rFont val="Times New Roman"/>
        <family val="1"/>
      </rPr>
      <t>Minn. Stat. §211A.02</t>
    </r>
  </si>
  <si>
    <r>
      <t xml:space="preserve">Counties: </t>
    </r>
    <r>
      <rPr>
        <sz val="12"/>
        <rFont val="Times New Roman"/>
        <family val="1"/>
      </rPr>
      <t xml:space="preserve">Campaign finance reports due - 10 days before the general election.  </t>
    </r>
    <r>
      <rPr>
        <i/>
        <sz val="12"/>
        <rFont val="Times New Roman"/>
        <family val="1"/>
      </rPr>
      <t>Minn. Stat. §211A.02</t>
    </r>
  </si>
  <si>
    <r>
      <t xml:space="preserve">Soil and Water Conservation Districts: </t>
    </r>
    <r>
      <rPr>
        <sz val="12"/>
        <rFont val="Times New Roman"/>
        <family val="1"/>
      </rPr>
      <t xml:space="preserve">Campaign finance reports due - 10 days before the general election.  </t>
    </r>
    <r>
      <rPr>
        <i/>
        <sz val="12"/>
        <rFont val="Times New Roman"/>
        <family val="1"/>
      </rPr>
      <t>Minn. Stat. §211A.02</t>
    </r>
  </si>
  <si>
    <r>
      <t xml:space="preserve">Cities without a Primary: </t>
    </r>
    <r>
      <rPr>
        <sz val="12"/>
        <rFont val="Times New Roman"/>
        <family val="1"/>
      </rPr>
      <t xml:space="preserve">Campaign finance reports due - 10 days before the general election.  </t>
    </r>
    <r>
      <rPr>
        <i/>
        <sz val="12"/>
        <rFont val="Times New Roman"/>
        <family val="1"/>
      </rPr>
      <t>Minn. Stat. §211A.02</t>
    </r>
  </si>
  <si>
    <r>
      <t xml:space="preserve">Towns with November Elections: </t>
    </r>
    <r>
      <rPr>
        <sz val="12"/>
        <rFont val="Times New Roman"/>
        <family val="1"/>
      </rPr>
      <t xml:space="preserve">Campaign finance reports due - 10 days before the general election.  </t>
    </r>
    <r>
      <rPr>
        <i/>
        <sz val="12"/>
        <rFont val="Times New Roman"/>
        <family val="1"/>
      </rPr>
      <t>Minn. Stat. §211A.02</t>
    </r>
  </si>
  <si>
    <r>
      <t xml:space="preserve">School Districts with a Primary: </t>
    </r>
    <r>
      <rPr>
        <sz val="12"/>
        <rFont val="Times New Roman"/>
        <family val="1"/>
      </rPr>
      <t xml:space="preserve">Campaign finance reports due - 10 days before the general election.  </t>
    </r>
    <r>
      <rPr>
        <i/>
        <sz val="12"/>
        <rFont val="Times New Roman"/>
        <family val="1"/>
      </rPr>
      <t>Minn. Stat. §211A.02</t>
    </r>
  </si>
  <si>
    <r>
      <t xml:space="preserve">School Districts without a Primary: </t>
    </r>
    <r>
      <rPr>
        <sz val="12"/>
        <rFont val="Times New Roman"/>
        <family val="1"/>
      </rPr>
      <t xml:space="preserve">Campaign finance reports due - 10 days before the general election.  </t>
    </r>
    <r>
      <rPr>
        <i/>
        <sz val="12"/>
        <rFont val="Times New Roman"/>
        <family val="1"/>
      </rPr>
      <t>Minn. Stat. §211A.02</t>
    </r>
  </si>
  <si>
    <r>
      <t>Secretary of State:</t>
    </r>
    <r>
      <rPr>
        <sz val="12"/>
        <rFont val="Times New Roman"/>
        <family val="1"/>
      </rPr>
      <t xml:space="preserve">  Final updated voter registration master list must be available – 7 days before election.  </t>
    </r>
    <r>
      <rPr>
        <i/>
        <sz val="12"/>
        <rFont val="Times New Roman"/>
        <family val="1"/>
      </rPr>
      <t>Minn. Stat. §201.091, subd. 2</t>
    </r>
    <r>
      <rPr>
        <b/>
        <sz val="12"/>
        <rFont val="Times New Roman"/>
        <family val="1"/>
      </rPr>
      <t xml:space="preserve">  </t>
    </r>
  </si>
  <si>
    <r>
      <t>Cities with a Primary:</t>
    </r>
    <r>
      <rPr>
        <sz val="12"/>
        <rFont val="Times New Roman"/>
        <family val="1"/>
      </rPr>
      <t xml:space="preserve">  Final updated voter registration master list must be available – 7 days before election.  </t>
    </r>
    <r>
      <rPr>
        <i/>
        <sz val="12"/>
        <rFont val="Times New Roman"/>
        <family val="1"/>
      </rPr>
      <t>Minn. Stat. §201.091, subd. 2</t>
    </r>
    <r>
      <rPr>
        <b/>
        <sz val="12"/>
        <rFont val="Times New Roman"/>
        <family val="1"/>
      </rPr>
      <t xml:space="preserve">  </t>
    </r>
  </si>
  <si>
    <r>
      <t>Cities without a Primary:</t>
    </r>
    <r>
      <rPr>
        <sz val="12"/>
        <rFont val="Times New Roman"/>
        <family val="1"/>
      </rPr>
      <t xml:space="preserve">  Final updated voter registration master list must be available – 7 days before election.  </t>
    </r>
    <r>
      <rPr>
        <i/>
        <sz val="12"/>
        <rFont val="Times New Roman"/>
        <family val="1"/>
      </rPr>
      <t>Minn. Stat. §201.091, subd. 2</t>
    </r>
    <r>
      <rPr>
        <b/>
        <sz val="12"/>
        <rFont val="Times New Roman"/>
        <family val="1"/>
      </rPr>
      <t xml:space="preserve">  </t>
    </r>
  </si>
  <si>
    <r>
      <t>Towns with March Elections:</t>
    </r>
    <r>
      <rPr>
        <sz val="12"/>
        <rFont val="Times New Roman"/>
        <family val="1"/>
      </rPr>
      <t xml:space="preserve">  Final updated voter registration master list must be available – 7 days before election.  </t>
    </r>
    <r>
      <rPr>
        <i/>
        <sz val="12"/>
        <rFont val="Times New Roman"/>
        <family val="1"/>
      </rPr>
      <t>Minn. Stat. §201.091, subd. 2</t>
    </r>
    <r>
      <rPr>
        <b/>
        <sz val="12"/>
        <rFont val="Times New Roman"/>
        <family val="1"/>
      </rPr>
      <t xml:space="preserve">  </t>
    </r>
  </si>
  <si>
    <r>
      <t>Towns with November Elections:</t>
    </r>
    <r>
      <rPr>
        <sz val="12"/>
        <rFont val="Times New Roman"/>
        <family val="1"/>
      </rPr>
      <t xml:space="preserve">  Final updated voter registration master list must be available – 7 days before election.  </t>
    </r>
    <r>
      <rPr>
        <i/>
        <sz val="12"/>
        <rFont val="Times New Roman"/>
        <family val="1"/>
      </rPr>
      <t>Minn. Stat. §201.091, subd. 2</t>
    </r>
    <r>
      <rPr>
        <b/>
        <sz val="12"/>
        <rFont val="Times New Roman"/>
        <family val="1"/>
      </rPr>
      <t xml:space="preserve">  </t>
    </r>
  </si>
  <si>
    <r>
      <t xml:space="preserve">Secretary of State: </t>
    </r>
    <r>
      <rPr>
        <sz val="12"/>
        <rFont val="Times New Roman"/>
        <family val="1"/>
      </rPr>
      <t xml:space="preserve">Last day for write-in candidate for county, state, or federal office, who wants write-in votes to be counted, to file a written request for write-in votes to be counted with the filing officer.  (A candidate for governor must include the name of a candidate for lt. governor) - no later than the 7th day before the general.  </t>
    </r>
    <r>
      <rPr>
        <i/>
        <sz val="12"/>
        <rFont val="Times New Roman"/>
        <family val="1"/>
      </rPr>
      <t xml:space="preserve">Minn. Stat. §204B.09, subd. 3 </t>
    </r>
  </si>
  <si>
    <r>
      <t xml:space="preserve">Campaign Finance: </t>
    </r>
    <r>
      <rPr>
        <sz val="12"/>
        <rFont val="Times New Roman"/>
        <family val="1"/>
      </rPr>
      <t xml:space="preserve">Last day for write-in candidate for county, state, or federal office, who wants write-in votes to be counted, to file a written request for write-in votes to be counted with the filing officer.  (A candidate for governor must include the name of a candidate for lt. governor) - no later than the 7th day before the general.  </t>
    </r>
    <r>
      <rPr>
        <i/>
        <sz val="12"/>
        <rFont val="Times New Roman"/>
        <family val="1"/>
      </rPr>
      <t xml:space="preserve">Minn. Stat. §204B.09, subd. 3 </t>
    </r>
  </si>
  <si>
    <r>
      <t xml:space="preserve">Political Parties: </t>
    </r>
    <r>
      <rPr>
        <sz val="12"/>
        <rFont val="Times New Roman"/>
        <family val="1"/>
      </rPr>
      <t xml:space="preserve">Last day for write-in candidate for county, state, or federal office, who wants write-in votes to be counted, to file a written request for write-in votes to be counted with the filing officer.  (A candidate for governor must include the name of a candidate for lt. governor) - no later than the 7th day before the general.  </t>
    </r>
    <r>
      <rPr>
        <i/>
        <sz val="12"/>
        <rFont val="Times New Roman"/>
        <family val="1"/>
      </rPr>
      <t xml:space="preserve">Minn. Stat. §204B.09, subd. 3 </t>
    </r>
  </si>
  <si>
    <r>
      <t xml:space="preserve">Counties: </t>
    </r>
    <r>
      <rPr>
        <sz val="12"/>
        <rFont val="Times New Roman"/>
        <family val="1"/>
      </rPr>
      <t xml:space="preserve">Last day for write-in candidate for county, state, or federal office, who wants write-in votes to be counted, to file a written request for write-in votes to be counted with the filing officer.  (A candidate for governor must include the name of a candidate for lt. governor) - no later than the 7th day before the general.  </t>
    </r>
    <r>
      <rPr>
        <i/>
        <sz val="12"/>
        <rFont val="Times New Roman"/>
        <family val="1"/>
      </rPr>
      <t xml:space="preserve">Minn. Stat. §204B.09, subd. 3 </t>
    </r>
  </si>
  <si>
    <r>
      <t xml:space="preserve">Soil and Water Conservation Districts: </t>
    </r>
    <r>
      <rPr>
        <sz val="12"/>
        <rFont val="Times New Roman"/>
        <family val="1"/>
      </rPr>
      <t xml:space="preserve">Last day for write-in candidate for county, state, or federal office, who wants write-in votes to be counted, to file a written request for write-in votes to be counted with the filing officer.  (A candidate for governor must include the name of a candidate for lt. governor) - no later than the 7th day before the general.  </t>
    </r>
    <r>
      <rPr>
        <i/>
        <sz val="12"/>
        <rFont val="Times New Roman"/>
        <family val="1"/>
      </rPr>
      <t xml:space="preserve">Minn. Stat. §204B.09, subd. 3 </t>
    </r>
  </si>
  <si>
    <r>
      <t xml:space="preserve">Secretary of State: </t>
    </r>
    <r>
      <rPr>
        <sz val="12"/>
        <rFont val="Times New Roman"/>
        <family val="1"/>
      </rPr>
      <t xml:space="preserve">Last day for County Auditor to complete the preparation of the election materials for General Election.  Last day for municipal clerk to secure election materials from County Auditor - at least 4 days before every State General.  </t>
    </r>
    <r>
      <rPr>
        <i/>
        <sz val="12"/>
        <rFont val="Times New Roman"/>
        <family val="1"/>
      </rPr>
      <t>Minn. Stat. §204B.28, subd. 2</t>
    </r>
  </si>
  <si>
    <r>
      <t xml:space="preserve">Counties: </t>
    </r>
    <r>
      <rPr>
        <sz val="12"/>
        <rFont val="Times New Roman"/>
        <family val="1"/>
      </rPr>
      <t xml:space="preserve">Last day for County Auditor to complete the preparation of the election materials for General Election.  Last day for municipal clerk to secure election materials from County Auditor - at least 4 days before every State General.  </t>
    </r>
    <r>
      <rPr>
        <i/>
        <sz val="12"/>
        <rFont val="Times New Roman"/>
        <family val="1"/>
      </rPr>
      <t>Minn. Stat. §204B.28, subd. 2</t>
    </r>
  </si>
  <si>
    <r>
      <t xml:space="preserve">Cities with a Primary: </t>
    </r>
    <r>
      <rPr>
        <sz val="12"/>
        <rFont val="Times New Roman"/>
        <family val="1"/>
      </rPr>
      <t xml:space="preserve">Last day for County Auditor to complete the preparation of the election materials for General Election.  Last day for municipal clerk to secure election materials from County Auditor - at least 4 days before every State General.  </t>
    </r>
    <r>
      <rPr>
        <i/>
        <sz val="12"/>
        <rFont val="Times New Roman"/>
        <family val="1"/>
      </rPr>
      <t>Minn. Stat. §204B.28, subd. 2</t>
    </r>
  </si>
  <si>
    <r>
      <t xml:space="preserve">Cities without a Primary: </t>
    </r>
    <r>
      <rPr>
        <sz val="12"/>
        <rFont val="Times New Roman"/>
        <family val="1"/>
      </rPr>
      <t xml:space="preserve">Last day for County Auditor to complete the preparation of the election materials for General Election.  Last day for municipal clerk to secure election materials from County Auditor - at least 4 days before every State General.  </t>
    </r>
    <r>
      <rPr>
        <i/>
        <sz val="12"/>
        <rFont val="Times New Roman"/>
        <family val="1"/>
      </rPr>
      <t>Minn. Stat. §204B.28, subd. 2</t>
    </r>
  </si>
  <si>
    <r>
      <t xml:space="preserve">Towns with March Elections: </t>
    </r>
    <r>
      <rPr>
        <sz val="12"/>
        <rFont val="Times New Roman"/>
        <family val="1"/>
      </rPr>
      <t xml:space="preserve">Last day for County Auditor to complete the preparation of the election materials for General Election.  Last day for municipal clerk to secure election materials from County Auditor - at least 4 days before every State General.  </t>
    </r>
    <r>
      <rPr>
        <i/>
        <sz val="12"/>
        <rFont val="Times New Roman"/>
        <family val="1"/>
      </rPr>
      <t>Minn. Stat. §204B.28, subd. 2</t>
    </r>
  </si>
  <si>
    <r>
      <t xml:space="preserve">Towns with November Elections: </t>
    </r>
    <r>
      <rPr>
        <sz val="12"/>
        <rFont val="Times New Roman"/>
        <family val="1"/>
      </rPr>
      <t xml:space="preserve">Last day for County Auditor to complete the preparation of the election materials for General Election.  Last day for municipal clerk to secure election materials from County Auditor - at least 4 days before every State General.  </t>
    </r>
    <r>
      <rPr>
        <i/>
        <sz val="12"/>
        <rFont val="Times New Roman"/>
        <family val="1"/>
      </rPr>
      <t>Minn. Stat. §204B.28, subd. 2</t>
    </r>
  </si>
  <si>
    <r>
      <t>Secretary of State:</t>
    </r>
    <r>
      <rPr>
        <sz val="12"/>
        <rFont val="Times New Roman"/>
        <family val="1"/>
      </rPr>
      <t xml:space="preserve"> Last day to post general sample ballot in school district clerk's office - at least 4 days before election.  </t>
    </r>
    <r>
      <rPr>
        <i/>
        <sz val="12"/>
        <rFont val="Times New Roman"/>
        <family val="1"/>
      </rPr>
      <t>Minn. Stat. §205A.07, subd. 2</t>
    </r>
  </si>
  <si>
    <r>
      <t>Political Parties:</t>
    </r>
    <r>
      <rPr>
        <sz val="12"/>
        <rFont val="Times New Roman"/>
        <family val="1"/>
      </rPr>
      <t xml:space="preserve"> Last day to post general sample ballot in school district clerk's office - at least 4 days before election.  </t>
    </r>
    <r>
      <rPr>
        <i/>
        <sz val="12"/>
        <rFont val="Times New Roman"/>
        <family val="1"/>
      </rPr>
      <t>Minn. Stat. §205A.07, subd. 2</t>
    </r>
  </si>
  <si>
    <r>
      <t>Counties:</t>
    </r>
    <r>
      <rPr>
        <sz val="12"/>
        <rFont val="Times New Roman"/>
        <family val="1"/>
      </rPr>
      <t xml:space="preserve"> Last day to post general sample ballot in school district clerk's office - at least 4 days before election.  </t>
    </r>
    <r>
      <rPr>
        <i/>
        <sz val="12"/>
        <rFont val="Times New Roman"/>
        <family val="1"/>
      </rPr>
      <t>Minn. Stat. §205A.07, subd. 2</t>
    </r>
  </si>
  <si>
    <r>
      <t>School Districts with a Primary:</t>
    </r>
    <r>
      <rPr>
        <sz val="12"/>
        <rFont val="Times New Roman"/>
        <family val="1"/>
      </rPr>
      <t xml:space="preserve"> Last day to post general sample ballot in school district clerk's office - at least 4 days before election.  </t>
    </r>
    <r>
      <rPr>
        <i/>
        <sz val="12"/>
        <rFont val="Times New Roman"/>
        <family val="1"/>
      </rPr>
      <t>Minn. Stat. §205A.07, subd. 2</t>
    </r>
  </si>
  <si>
    <r>
      <t>School Districts without a Primary:</t>
    </r>
    <r>
      <rPr>
        <sz val="12"/>
        <rFont val="Times New Roman"/>
        <family val="1"/>
      </rPr>
      <t xml:space="preserve"> Last day to post general sample ballot in school district clerk's office - at least 4 days before election.  </t>
    </r>
    <r>
      <rPr>
        <i/>
        <sz val="12"/>
        <rFont val="Times New Roman"/>
        <family val="1"/>
      </rPr>
      <t>Minn. Stat. §205A.07, subd. 2</t>
    </r>
  </si>
  <si>
    <r>
      <t>School Districts with a Primary:</t>
    </r>
    <r>
      <rPr>
        <sz val="12"/>
        <rFont val="Times New Roman"/>
        <family val="1"/>
      </rPr>
      <t xml:space="preserve"> If County Auditor is administering absentee voting for school district, their office must be open for absentee voting from 10:00 a.m. to 3:00 p.m. </t>
    </r>
    <r>
      <rPr>
        <i/>
        <sz val="12"/>
        <rFont val="Times New Roman"/>
        <family val="1"/>
      </rPr>
      <t>Minn. Stat. §203B.085</t>
    </r>
  </si>
  <si>
    <r>
      <t>School Districts without a Primary:</t>
    </r>
    <r>
      <rPr>
        <sz val="12"/>
        <rFont val="Times New Roman"/>
        <family val="1"/>
      </rPr>
      <t xml:space="preserve"> If County Auditor is administering absentee voting for school district, their office must be open for absentee voting from 10:00 a.m. to 3:00 p.m. </t>
    </r>
    <r>
      <rPr>
        <i/>
        <sz val="12"/>
        <rFont val="Times New Roman"/>
        <family val="1"/>
      </rPr>
      <t>Minn. Stat. §203B.085</t>
    </r>
  </si>
  <si>
    <r>
      <t>School Districts with a Primary:</t>
    </r>
    <r>
      <rPr>
        <sz val="12"/>
        <rFont val="Times New Roman"/>
        <family val="1"/>
      </rPr>
      <t xml:space="preserve"> If County Auditor is administering absentee voting for school district, their office must be open for absentee voting until 5:00 p.m. </t>
    </r>
    <r>
      <rPr>
        <i/>
        <sz val="12"/>
        <rFont val="Times New Roman"/>
        <family val="1"/>
      </rPr>
      <t>Minn. Stat. §203B.085</t>
    </r>
  </si>
  <si>
    <r>
      <t>School Districts without a Primary:</t>
    </r>
    <r>
      <rPr>
        <sz val="12"/>
        <rFont val="Times New Roman"/>
        <family val="1"/>
      </rPr>
      <t xml:space="preserve"> If County Auditor is administering absentee voting for school district, their office must be open for absentee voting until 5:00 p.m. </t>
    </r>
    <r>
      <rPr>
        <i/>
        <sz val="12"/>
        <rFont val="Times New Roman"/>
        <family val="1"/>
      </rPr>
      <t>Minn. Stat. §203B.085</t>
    </r>
  </si>
  <si>
    <r>
      <t xml:space="preserve">Soil and Water Conservation Districts: </t>
    </r>
    <r>
      <rPr>
        <sz val="12"/>
        <rFont val="Times New Roman"/>
        <family val="1"/>
      </rPr>
      <t xml:space="preserve">County Auditor's office open from 10:00 a.m. to 3:00 p.m. for acceptance of absentee ballot applications and casting of absentee ballots - on the Saturday immediately preceding the election.  </t>
    </r>
    <r>
      <rPr>
        <i/>
        <sz val="12"/>
        <rFont val="Times New Roman"/>
        <family val="1"/>
      </rPr>
      <t>Minn. Stat. §203B.085</t>
    </r>
  </si>
  <si>
    <r>
      <t>Hospital Districts:</t>
    </r>
    <r>
      <rPr>
        <sz val="12"/>
        <rFont val="Times New Roman"/>
        <family val="1"/>
      </rPr>
      <t xml:space="preserve"> If County Auditor is administering absentee voting for school district, their office must be open for absentee voting from 10:00 a.m. to 3:00 p.m. </t>
    </r>
    <r>
      <rPr>
        <i/>
        <sz val="12"/>
        <rFont val="Times New Roman"/>
        <family val="1"/>
      </rPr>
      <t>Minn. Stat. §203B.085</t>
    </r>
  </si>
  <si>
    <r>
      <t xml:space="preserve">Soil and Water Conservation Districts: </t>
    </r>
    <r>
      <rPr>
        <sz val="12"/>
        <rFont val="Times New Roman"/>
        <family val="1"/>
      </rPr>
      <t xml:space="preserve">County Auditor's office open until 5:00 p.m. on the day immediately preceding the election for acceptance of absentee ballot applications and casting of absentee ballots.  </t>
    </r>
    <r>
      <rPr>
        <i/>
        <sz val="12"/>
        <rFont val="Times New Roman"/>
        <family val="1"/>
      </rPr>
      <t>Minn. Stat. §203B.085</t>
    </r>
  </si>
  <si>
    <r>
      <t>Hospital Districts:</t>
    </r>
    <r>
      <rPr>
        <sz val="12"/>
        <rFont val="Times New Roman"/>
        <family val="1"/>
      </rPr>
      <t xml:space="preserve"> If County Auditor is administering absentee voting for school district, their office must be open for absentee voting until 5:00 p.m. </t>
    </r>
    <r>
      <rPr>
        <i/>
        <sz val="12"/>
        <rFont val="Times New Roman"/>
        <family val="1"/>
      </rPr>
      <t>Minn. Stat. §203B.085</t>
    </r>
  </si>
  <si>
    <r>
      <t>Secretary of State:</t>
    </r>
    <r>
      <rPr>
        <sz val="12"/>
        <rFont val="Times New Roman"/>
        <family val="1"/>
      </rPr>
      <t xml:space="preserve"> Last day for election judges to secure election supplies from clerk - by 9 p.m. the day preeding the election.  </t>
    </r>
    <r>
      <rPr>
        <i/>
        <sz val="12"/>
        <rFont val="Times New Roman"/>
        <family val="1"/>
      </rPr>
      <t>Minn. Stat. §204B.29, subd. 1</t>
    </r>
  </si>
  <si>
    <r>
      <t>Counties:</t>
    </r>
    <r>
      <rPr>
        <sz val="12"/>
        <rFont val="Times New Roman"/>
        <family val="1"/>
      </rPr>
      <t xml:space="preserve"> Last day for election judges to secure election supplies from clerk - by 9 p.m. the day preeding the election.  </t>
    </r>
    <r>
      <rPr>
        <i/>
        <sz val="12"/>
        <rFont val="Times New Roman"/>
        <family val="1"/>
      </rPr>
      <t>Minn. Stat. §204B.29, subd. 1</t>
    </r>
  </si>
  <si>
    <r>
      <t>Cities without a Primary:</t>
    </r>
    <r>
      <rPr>
        <sz val="12"/>
        <rFont val="Times New Roman"/>
        <family val="1"/>
      </rPr>
      <t xml:space="preserve"> Last day for election judges to secure election supplies from clerk - by 9 p.m. the day preeding the election.  </t>
    </r>
    <r>
      <rPr>
        <i/>
        <sz val="12"/>
        <rFont val="Times New Roman"/>
        <family val="1"/>
      </rPr>
      <t>Minn. Stat. §204B.29, subd. 1</t>
    </r>
  </si>
  <si>
    <r>
      <t>Towns with March Elections:</t>
    </r>
    <r>
      <rPr>
        <sz val="12"/>
        <rFont val="Times New Roman"/>
        <family val="1"/>
      </rPr>
      <t xml:space="preserve"> Last day for election judges to secure election supplies from clerk - by 9 p.m. the day preeding the election.  </t>
    </r>
    <r>
      <rPr>
        <i/>
        <sz val="12"/>
        <rFont val="Times New Roman"/>
        <family val="1"/>
      </rPr>
      <t>Minn. Stat. §204B.29, subd. 1</t>
    </r>
  </si>
  <si>
    <r>
      <t>Towns with November Elections:</t>
    </r>
    <r>
      <rPr>
        <sz val="12"/>
        <rFont val="Times New Roman"/>
        <family val="1"/>
      </rPr>
      <t xml:space="preserve"> Last day for election judges to secure election supplies from clerk - by 9 p.m. the day preeding the election.  </t>
    </r>
    <r>
      <rPr>
        <i/>
        <sz val="12"/>
        <rFont val="Times New Roman"/>
        <family val="1"/>
      </rPr>
      <t>Minn. Stat. §204B.29, subd. 1</t>
    </r>
  </si>
  <si>
    <r>
      <t xml:space="preserve">STATE GENERAL ELECTION DAY: Campaign Finance: </t>
    </r>
    <r>
      <rPr>
        <sz val="12"/>
        <rFont val="Times New Roman"/>
        <family val="1"/>
      </rPr>
      <t xml:space="preserve">First Tuesday after the first Monday in November in even-numbered years.  </t>
    </r>
    <r>
      <rPr>
        <i/>
        <sz val="12"/>
        <rFont val="Times New Roman"/>
        <family val="1"/>
      </rPr>
      <t xml:space="preserve">Minn. Stat. §204D.03, subd. 2 </t>
    </r>
  </si>
  <si>
    <r>
      <t xml:space="preserve">STATE GENERAL ELECTION DAY: Cities with a Primary: </t>
    </r>
    <r>
      <rPr>
        <sz val="12"/>
        <rFont val="Times New Roman"/>
        <family val="1"/>
      </rPr>
      <t xml:space="preserve">First Tuesday after the first Monday in November.  </t>
    </r>
    <r>
      <rPr>
        <i/>
        <sz val="12"/>
        <rFont val="Times New Roman"/>
        <family val="1"/>
      </rPr>
      <t>Minn. §205.065, subd. 1; §204D.03</t>
    </r>
    <r>
      <rPr>
        <b/>
        <sz val="12"/>
        <rFont val="Times New Roman"/>
        <family val="1"/>
      </rPr>
      <t xml:space="preserve">  </t>
    </r>
  </si>
  <si>
    <r>
      <t xml:space="preserve">STATE GENERAL ELECTION DAY: Secretary of State: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</si>
  <si>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Political Parties: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</si>
  <si>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Counties: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</si>
  <si>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Soil and Water Conservation Districts: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</si>
  <si>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Cities with a Primary: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</si>
  <si>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Cities without a Primary: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</si>
  <si>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Towns with March Elections: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</si>
  <si>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Towns with November Elections: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</si>
  <si>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School Districts with a Primary: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</si>
  <si>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School Districts without a Primary: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</si>
  <si>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Hospital Districts: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</si>
  <si>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Secretary of State: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</si>
  <si>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Political Parties: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</si>
  <si>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Counties: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</si>
  <si>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Soil and Water Conservation Districts: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</si>
  <si>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Cities with a Primary: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</si>
  <si>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Cities without a Primary: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</si>
  <si>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Towns with March Elections: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</si>
  <si>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Towns with November Elections: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</si>
  <si>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School Districts with a Primary: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</si>
  <si>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School Districts without a Primary: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</si>
  <si>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Hospital Districts: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</si>
  <si>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Secretary of State: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</si>
  <si>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Political Parties: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</si>
  <si>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Counties: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</si>
  <si>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Soil and Water Conservation Districts: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</si>
  <si>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Cities with a Primary: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</si>
  <si>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Cities without a Primary: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</si>
  <si>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Towns with March Elections: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</si>
  <si>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Towns with November Elections: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</si>
  <si>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School Districts with a Primary: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</si>
  <si>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School Districts without a Primary: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</si>
  <si>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Hospital Districts: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</si>
  <si>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Secretary of State:  </t>
    </r>
    <r>
      <rPr>
        <sz val="12"/>
        <rFont val="Times New Roman"/>
        <family val="1"/>
      </rPr>
      <t xml:space="preserve">Last day to return rosters and voter registration applications to county auditor - within 48 hours after voting hours end.  </t>
    </r>
    <r>
      <rPr>
        <i/>
        <sz val="12"/>
        <rFont val="Times New Roman"/>
        <family val="1"/>
      </rPr>
      <t>Minn. Stat. §204C.27</t>
    </r>
  </si>
  <si>
    <r>
      <t xml:space="preserve">Counties:  </t>
    </r>
    <r>
      <rPr>
        <sz val="12"/>
        <rFont val="Times New Roman"/>
        <family val="1"/>
      </rPr>
      <t xml:space="preserve">Last day to return rosters and voter registration applications to county auditor - within 48 hours after voting hours end.  </t>
    </r>
    <r>
      <rPr>
        <i/>
        <sz val="12"/>
        <rFont val="Times New Roman"/>
        <family val="1"/>
      </rPr>
      <t>Minn. Stat. §204C.27</t>
    </r>
  </si>
  <si>
    <r>
      <t xml:space="preserve">Cities without a Primary:  </t>
    </r>
    <r>
      <rPr>
        <sz val="12"/>
        <rFont val="Times New Roman"/>
        <family val="1"/>
      </rPr>
      <t xml:space="preserve">Last day to return rosters and voter registration applications to county auditor - within 48 hours after voting hours end.  </t>
    </r>
    <r>
      <rPr>
        <i/>
        <sz val="12"/>
        <rFont val="Times New Roman"/>
        <family val="1"/>
      </rPr>
      <t>Minn. Stat. §204C.27</t>
    </r>
  </si>
  <si>
    <r>
      <t xml:space="preserve">Towns with March Elections:  </t>
    </r>
    <r>
      <rPr>
        <sz val="12"/>
        <rFont val="Times New Roman"/>
        <family val="1"/>
      </rPr>
      <t xml:space="preserve">Last day to return rosters and voter registration applications to county auditor - within 48 hours after voting hours end.  </t>
    </r>
    <r>
      <rPr>
        <i/>
        <sz val="12"/>
        <rFont val="Times New Roman"/>
        <family val="1"/>
      </rPr>
      <t>Minn. Stat. §204C.27</t>
    </r>
  </si>
  <si>
    <r>
      <t xml:space="preserve">Towns with November Elections:  </t>
    </r>
    <r>
      <rPr>
        <sz val="12"/>
        <rFont val="Times New Roman"/>
        <family val="1"/>
      </rPr>
      <t xml:space="preserve">Last day to return rosters and voter registration applications to county auditor - within 48 hours after voting hours end.  </t>
    </r>
    <r>
      <rPr>
        <i/>
        <sz val="12"/>
        <rFont val="Times New Roman"/>
        <family val="1"/>
      </rPr>
      <t>Minn. Stat. §204C.27</t>
    </r>
  </si>
  <si>
    <r>
      <t xml:space="preserve">Secretary of State: </t>
    </r>
    <r>
      <rPr>
        <sz val="12"/>
        <rFont val="Times New Roman"/>
        <family val="1"/>
      </rPr>
      <t xml:space="preserve">Write-in votes may be compiled - before the county canvass (write-in votes for a candidate for county, state, or federal office must not be counted unless the candidate has timely filed a request under 204B.09, subd. 3).  </t>
    </r>
    <r>
      <rPr>
        <i/>
        <sz val="12"/>
        <rFont val="Times New Roman"/>
        <family val="1"/>
      </rPr>
      <t>Minn. Stat. §204C.33</t>
    </r>
  </si>
  <si>
    <r>
      <t xml:space="preserve">Political Parties: </t>
    </r>
    <r>
      <rPr>
        <sz val="12"/>
        <rFont val="Times New Roman"/>
        <family val="1"/>
      </rPr>
      <t xml:space="preserve">Write-in votes may be compiled - before the county canvass (write-in votes for a candidate for county, state, or federal office must not be counted unless the candidate has timely filed a request under 204B.09, subd. 3).  </t>
    </r>
    <r>
      <rPr>
        <i/>
        <sz val="12"/>
        <rFont val="Times New Roman"/>
        <family val="1"/>
      </rPr>
      <t>Minn. Stat. §204C.33</t>
    </r>
  </si>
  <si>
    <r>
      <t xml:space="preserve">Campaign Finance: </t>
    </r>
    <r>
      <rPr>
        <sz val="12"/>
        <rFont val="Times New Roman"/>
        <family val="1"/>
      </rPr>
      <t xml:space="preserve">Write-in votes may be compiled - before the county canvass (write-in votes for a candidate for county, state, or federal office must not be counted unless the candidate has timely filed a request under 204B.09, subd. 3).  </t>
    </r>
    <r>
      <rPr>
        <i/>
        <sz val="12"/>
        <rFont val="Times New Roman"/>
        <family val="1"/>
      </rPr>
      <t>Minn. Stat. §204C.33</t>
    </r>
  </si>
  <si>
    <t>204C.33; 103C.305, subd. 4</t>
  </si>
  <si>
    <r>
      <t xml:space="preserve">Secretary of State: </t>
    </r>
    <r>
      <rPr>
        <sz val="12"/>
        <rFont val="Times New Roman"/>
        <family val="1"/>
      </rPr>
      <t xml:space="preserve">Time period for county canvassing board to canvass results of the general election. The County Auditor shall certify the results of the Soil &amp; Water Conservation Supervisors races to the Board of Water &amp; Soil Resources. If the District includes more than one county the County Auditor shall immediately certify the vote to the Board - between the 3rd and 10th day following the state general election.  </t>
    </r>
    <r>
      <rPr>
        <i/>
        <sz val="12"/>
        <rFont val="Times New Roman"/>
        <family val="1"/>
      </rPr>
      <t>Minn. Stat. §204C.33; 103C.305, subd. 4</t>
    </r>
  </si>
  <si>
    <r>
      <t xml:space="preserve">Campaign Finance: </t>
    </r>
    <r>
      <rPr>
        <sz val="12"/>
        <rFont val="Times New Roman"/>
        <family val="1"/>
      </rPr>
      <t xml:space="preserve">Time period for county canvassing board to canvass results of the general election. The County Auditor shall certify the results of the Soil &amp; Water Conservation Supervisors races to the Board of Water &amp; Soil Resources. If the District includes more than one county the County Auditor shall immediately certify the vote to the Board - between the 3rd and 10th day following the state general election.  </t>
    </r>
    <r>
      <rPr>
        <i/>
        <sz val="12"/>
        <rFont val="Times New Roman"/>
        <family val="1"/>
      </rPr>
      <t>Minn. Stat. §204C.33; 103C.305, subd. 4</t>
    </r>
  </si>
  <si>
    <r>
      <t xml:space="preserve">Political Parties: </t>
    </r>
    <r>
      <rPr>
        <sz val="12"/>
        <rFont val="Times New Roman"/>
        <family val="1"/>
      </rPr>
      <t xml:space="preserve">Time period for county canvassing board to canvass results of the general election. The County Auditor shall certify the results of the Soil &amp; Water Conservation Supervisors races to the Board of Water &amp; Soil Resources. If the District includes more than one county the County Auditor shall immediately certify the vote to the Board - between the 3rd and 10th day following the state general election.  </t>
    </r>
    <r>
      <rPr>
        <i/>
        <sz val="12"/>
        <rFont val="Times New Roman"/>
        <family val="1"/>
      </rPr>
      <t>Minn. Stat. §204C.33; 103C.305, subd. 4</t>
    </r>
  </si>
  <si>
    <r>
      <t xml:space="preserve">Counties: </t>
    </r>
    <r>
      <rPr>
        <sz val="12"/>
        <rFont val="Times New Roman"/>
        <family val="1"/>
      </rPr>
      <t xml:space="preserve">Time period for county canvassing board to canvass results of the general election. The County Auditor shall certify the results of the Soil &amp; Water Conservation Supervisors races to the Board of Water &amp; Soil Resources. If the District includes more than one county the County Auditor shall immediately certify the vote to the Board - between the 3rd and 10th day following the state general election.  </t>
    </r>
    <r>
      <rPr>
        <i/>
        <sz val="12"/>
        <rFont val="Times New Roman"/>
        <family val="1"/>
      </rPr>
      <t>Minn. Stat. §204C.33; 103C.305, subd. 4</t>
    </r>
  </si>
  <si>
    <r>
      <t xml:space="preserve">Soil and Water Conservation Districts: </t>
    </r>
    <r>
      <rPr>
        <sz val="12"/>
        <rFont val="Times New Roman"/>
        <family val="1"/>
      </rPr>
      <t xml:space="preserve">Time period for county canvassing board to canvass results of the general election. The County Auditor shall certify the results of the Soil &amp; Water Conservation Supervisors races to the Board of Water &amp; Soil Resources. If the District includes more than one county the County Auditor shall immediately certify the vote to the Board - between the 3rd and 10th day following the state general election.  </t>
    </r>
    <r>
      <rPr>
        <i/>
        <sz val="12"/>
        <rFont val="Times New Roman"/>
        <family val="1"/>
      </rPr>
      <t>Minn. Stat. §204C.33; 103C.305, subd. 4</t>
    </r>
  </si>
  <si>
    <t>204C.30; 204C.33; 204C.37</t>
  </si>
  <si>
    <r>
      <t xml:space="preserve">Secretary of State: </t>
    </r>
    <r>
      <rPr>
        <sz val="12"/>
        <rFont val="Times New Roman"/>
        <family val="1"/>
      </rPr>
      <t xml:space="preserve">2 copies of the canvassing reports of the state and federal offices in state general election shall be certified under the official seal of the County Auditor.  One of the cetified copies shall be sent to the OSS by express mail or similar service immediately upon conclusion of the county canvass.  The other certified copy must be mailed or delivered to the OSS with 1 set of summary statements &amp; write-in tally sheets; promptly. Also, send a copy of the county canvassed state abstract to the Campaign Finance and Disclosure Board. - between the 3rd and 10th day following the state general. </t>
    </r>
    <r>
      <rPr>
        <i/>
        <sz val="12"/>
        <rFont val="Times New Roman"/>
        <family val="1"/>
      </rPr>
      <t>Minn. Stat. §204C.30; 204C.33; §204C.37</t>
    </r>
  </si>
  <si>
    <r>
      <t xml:space="preserve">Campaign Finance: </t>
    </r>
    <r>
      <rPr>
        <sz val="12"/>
        <rFont val="Times New Roman"/>
        <family val="1"/>
      </rPr>
      <t xml:space="preserve">2 copies of the canvassing reports of the state and federal offices in state general election shall be certified under the official seal of the County Auditor.  One of the cetified copies shall be sent to the OSS by express mail or similar service immediately upon conclusion of the county canvass.  The other certified copy must be mailed or delivered to the OSS with 1 set of summary statements &amp; write-in tally sheets; promptly. Also, send a copy of the county canvassed state abstract to the Campaign Finance and Disclosure Board. - between the 3rd and 10th day following the state general. </t>
    </r>
    <r>
      <rPr>
        <i/>
        <sz val="12"/>
        <rFont val="Times New Roman"/>
        <family val="1"/>
      </rPr>
      <t>Minn. Stat. §204C.30; 204C.33; §204C.37</t>
    </r>
  </si>
  <si>
    <r>
      <t xml:space="preserve">Political Parties: </t>
    </r>
    <r>
      <rPr>
        <sz val="12"/>
        <rFont val="Times New Roman"/>
        <family val="1"/>
      </rPr>
      <t xml:space="preserve">2 copies of the canvassing reports of the state and federal offices in state general election shall be certified under the official seal of the County Auditor.  One of the cetified copies shall be sent to the OSS by express mail or similar service immediately upon conclusion of the county canvass.  The other certified copy must be mailed or delivered to the OSS with 1 set of summary statements &amp; write-in tally sheets; promptly. Also, send a copy of the county canvassed state abstract to the Campaign Finance and Disclosure Board. - between the 3rd and 10th day following the state general. </t>
    </r>
    <r>
      <rPr>
        <i/>
        <sz val="12"/>
        <rFont val="Times New Roman"/>
        <family val="1"/>
      </rPr>
      <t>Minn. Stat. §204C.30; 204C.33; §204C.37</t>
    </r>
  </si>
  <si>
    <r>
      <t xml:space="preserve">Counties: </t>
    </r>
    <r>
      <rPr>
        <sz val="12"/>
        <rFont val="Times New Roman"/>
        <family val="1"/>
      </rPr>
      <t xml:space="preserve">2 copies of the canvassing reports of the state and federal offices in state general election shall be certified under the official seal of the County Auditor.  One of the cetified copies shall be sent to the OSS by express mail or similar service immediately upon conclusion of the county canvass.  The other certified copy must be mailed or delivered to the OSS with 1 set of summary statements &amp; write-in tally sheets; promptly. Also, send a copy of the county canvassed state abstract to the Campaign Finance and Disclosure Board. - between the 3rd and 10th day following the state general. </t>
    </r>
    <r>
      <rPr>
        <i/>
        <sz val="12"/>
        <rFont val="Times New Roman"/>
        <family val="1"/>
      </rPr>
      <t>Minn. Stat. §204C.30; 204C.33; §204C.37</t>
    </r>
  </si>
  <si>
    <t>205.185, subd. 3; 205A.10, subd. 3; 447.32, subd. 4</t>
  </si>
  <si>
    <r>
      <t xml:space="preserve">Secretary of State: </t>
    </r>
    <r>
      <rPr>
        <sz val="12"/>
        <rFont val="Times New Roman"/>
        <family val="1"/>
      </rPr>
      <t xml:space="preserve">The county canvassing board must select the precincts to be reviewed by lot for PER.  The ballots to be reviewed for a precinct include both the ballots counted at the polling place &amp; AB ballots.  If county has fewer than 50,000 registered voters they must conduct a PER of a total of at least 2 precincts.  If county has between 50,000 &amp; 100,000 registered voters they must conduct a review of a total of at least 3 precincts.  If county has more than 100,000 registered voters they must conduct a review of a total of at least 4 precincts or 3% of the total number of precincts in the county, whichever is greater   At least 1 precinct selected in each county must have had more than 150 votes cast at the general election. The county auditor must notify the OSS of the precincts selected and the time/place of the PER as soon as decision is made. If the selection of precincts has not resulted in the selection of at least 4 precincts in each congressional district, the OSS may require counties to selected by lot additional precincts.  The OSS must post this info on web site.  No review is required if the election for the office will be subject to a recount - at the County Canvass of the State General Election.  </t>
    </r>
    <r>
      <rPr>
        <i/>
        <sz val="12"/>
        <rFont val="Times New Roman"/>
        <family val="1"/>
      </rPr>
      <t>Minn. Stat. §206.89, subd. 2</t>
    </r>
  </si>
  <si>
    <r>
      <t xml:space="preserve">Campaign Finance: </t>
    </r>
    <r>
      <rPr>
        <sz val="12"/>
        <rFont val="Times New Roman"/>
        <family val="1"/>
      </rPr>
      <t xml:space="preserve">The county canvassing board must select the precincts to be reviewed by lot for PER.  The ballots to be reviewed for a precinct include both the ballots counted at the polling place &amp; AB ballots.  If county has fewer than 50,000 registered voters they must conduct a PER of a total of at least 2 precincts.  If county has between 50,000 &amp; 100,000 registered voters they must conduct a review of a total of at least 3 precincts.  If county has more than 100,000 registered voters they must conduct a review of a total of at least 4 precincts or 3% of the total number of precincts in the county, whichever is greater   At least 1 precinct selected in each county must have had more than 150 votes cast at the general election. The county auditor must notify the OSS of the precincts selected and the time/place of the PER as soon as decision is made. If the selection of precincts has not resulted in the selection of at least 4 precincts in each congressional district, the OSS may require counties to selected by lot additional precincts.  The OSS must post this info on web site.  No review is required if the election for the office will be subject to a recount - at the County Canvass of the State General Election.  </t>
    </r>
    <r>
      <rPr>
        <i/>
        <sz val="12"/>
        <rFont val="Times New Roman"/>
        <family val="1"/>
      </rPr>
      <t>Minn. Stat. §206.89, subd. 2</t>
    </r>
  </si>
  <si>
    <r>
      <t xml:space="preserve">Political Parties: </t>
    </r>
    <r>
      <rPr>
        <sz val="12"/>
        <rFont val="Times New Roman"/>
        <family val="1"/>
      </rPr>
      <t xml:space="preserve">The county canvassing board must select the precincts to be reviewed by lot for PER.  The ballots to be reviewed for a precinct include both the ballots counted at the polling place &amp; AB ballots.  If county has fewer than 50,000 registered voters they must conduct a PER of a total of at least 2 precincts.  If county has between 50,000 &amp; 100,000 registered voters they must conduct a review of a total of at least 3 precincts.  If county has more than 100,000 registered voters they must conduct a review of a total of at least 4 precincts or 3% of the total number of precincts in the county, whichever is greater   At least 1 precinct selected in each county must have had more than 150 votes cast at the general election. The county auditor must notify the OSS of the precincts selected and the time/place of the PER as soon as decision is made. If the selection of precincts has not resulted in the selection of at least 4 precincts in each congressional district, the OSS may require counties to selected by lot additional precincts.  The OSS must post this info on web site.  No review is required if the election for the office will be subject to a recount - at the County Canvass of the State General Election.  </t>
    </r>
    <r>
      <rPr>
        <i/>
        <sz val="12"/>
        <rFont val="Times New Roman"/>
        <family val="1"/>
      </rPr>
      <t>Minn. Stat. §206.89, subd. 2</t>
    </r>
  </si>
  <si>
    <r>
      <t xml:space="preserve">Counties: </t>
    </r>
    <r>
      <rPr>
        <sz val="12"/>
        <rFont val="Times New Roman"/>
        <family val="1"/>
      </rPr>
      <t xml:space="preserve">The county canvassing board must select the precincts to be reviewed by lot for PER.  The ballots to be reviewed for a precinct include both the ballots counted at the polling place &amp; AB ballots.  If county has fewer than 50,000 registered voters they must conduct a PER of a total of at least 2 precincts.  If county has between 50,000 &amp; 100,000 registered voters they must conduct a review of a total of at least 3 precincts.  If county has more than 100,000 registered voters they must conduct a review of a total of at least 4 precincts or 3% of the total number of precincts in the county, whichever is greater   At least 1 precinct selected in each county must have had more than 150 votes cast at the general election. The county auditor must notify the OSS of the precincts selected and the time/place of the PER as soon as decision is made. If the selection of precincts has not resulted in the selection of at least 4 precincts in each congressional district, the OSS may require counties to selected by lot additional precincts.  The OSS must post this info on web site.  No review is required if the election for the office will be subject to a recount - at the County Canvass of the State General Election.  </t>
    </r>
    <r>
      <rPr>
        <i/>
        <sz val="12"/>
        <rFont val="Times New Roman"/>
        <family val="1"/>
      </rPr>
      <t>Minn. Stat. §206.89, subd. 2</t>
    </r>
  </si>
  <si>
    <r>
      <t xml:space="preserve">Cities with a Primary: </t>
    </r>
    <r>
      <rPr>
        <sz val="12"/>
        <rFont val="Times New Roman"/>
        <family val="1"/>
      </rPr>
      <t xml:space="preserve">The county canvassing board must select the precincts to be reviewed by lot for PER.  The ballots to be reviewed for a precinct include both the ballots counted at the polling place &amp; AB ballots.  If county has fewer than 50,000 registered voters they must conduct a PER of a total of at least 2 precincts.  If county has between 50,000 &amp; 100,000 registered voters they must conduct a review of a total of at least 3 precincts.  If county has more than 100,000 registered voters they must conduct a review of a total of at least 4 precincts or 3% of the total number of precincts in the county, whichever is greater   At least 1 precinct selected in each county must have had more than 150 votes cast at the general election. The county auditor must notify the OSS of the precincts selected and the time/place of the PER as soon as decision is made. If the selection of precincts has not resulted in the selection of at least 4 precincts in each congressional district, the OSS may require counties to selected by lot additional precincts.  The OSS must post this info on web site.  No review is required if the election for the office will be subject to a recount - at the County Canvass of the State General Election.  </t>
    </r>
    <r>
      <rPr>
        <i/>
        <sz val="12"/>
        <rFont val="Times New Roman"/>
        <family val="1"/>
      </rPr>
      <t>Minn. Stat. §206.89, subd. 2</t>
    </r>
  </si>
  <si>
    <r>
      <t xml:space="preserve">Cities without a Primary: </t>
    </r>
    <r>
      <rPr>
        <sz val="12"/>
        <rFont val="Times New Roman"/>
        <family val="1"/>
      </rPr>
      <t xml:space="preserve">The county canvassing board must select the precincts to be reviewed by lot for PER.  The ballots to be reviewed for a precinct include both the ballots counted at the polling place &amp; AB ballots.  If county has fewer than 50,000 registered voters they must conduct a PER of a total of at least 2 precincts.  If county has between 50,000 &amp; 100,000 registered voters they must conduct a review of a total of at least 3 precincts.  If county has more than 100,000 registered voters they must conduct a review of a total of at least 4 precincts or 3% of the total number of precincts in the county, whichever is greater   At least 1 precinct selected in each county must have had more than 150 votes cast at the general election. The county auditor must notify the OSS of the precincts selected and the time/place of the PER as soon as decision is made. If the selection of precincts has not resulted in the selection of at least 4 precincts in each congressional district, the OSS may require counties to selected by lot additional precincts.  The OSS must post this info on web site.  No review is required if the election for the office will be subject to a recount - at the County Canvass of the State General Election.  </t>
    </r>
    <r>
      <rPr>
        <i/>
        <sz val="12"/>
        <rFont val="Times New Roman"/>
        <family val="1"/>
      </rPr>
      <t>Minn. Stat. §206.89, subd. 2</t>
    </r>
  </si>
  <si>
    <r>
      <t xml:space="preserve">Towns with March Elections: </t>
    </r>
    <r>
      <rPr>
        <sz val="12"/>
        <rFont val="Times New Roman"/>
        <family val="1"/>
      </rPr>
      <t xml:space="preserve">The county canvassing board must select the precincts to be reviewed by lot for PER.  The ballots to be reviewed for a precinct include both the ballots counted at the polling place &amp; AB ballots.  If county has fewer than 50,000 registered voters they must conduct a PER of a total of at least 2 precincts.  If county has between 50,000 &amp; 100,000 registered voters they must conduct a review of a total of at least 3 precincts.  If county has more than 100,000 registered voters they must conduct a review of a total of at least 4 precincts or 3% of the total number of precincts in the county, whichever is greater   At least 1 precinct selected in each county must have had more than 150 votes cast at the general election. The county auditor must notify the OSS of the precincts selected and the time/place of the PER as soon as decision is made. If the selection of precincts has not resulted in the selection of at least 4 precincts in each congressional district, the OSS may require counties to selected by lot additional precincts.  The OSS must post this info on web site.  No review is required if the election for the office will be subject to a recount - at the County Canvass of the State General Election.  </t>
    </r>
    <r>
      <rPr>
        <i/>
        <sz val="12"/>
        <rFont val="Times New Roman"/>
        <family val="1"/>
      </rPr>
      <t>Minn. Stat. §206.89, subd. 2</t>
    </r>
  </si>
  <si>
    <r>
      <t xml:space="preserve">Towns with November Elections: </t>
    </r>
    <r>
      <rPr>
        <sz val="12"/>
        <rFont val="Times New Roman"/>
        <family val="1"/>
      </rPr>
      <t xml:space="preserve">The county canvassing board must select the precincts to be reviewed by lot for PER.  The ballots to be reviewed for a precinct include both the ballots counted at the polling place &amp; AB ballots.  If county has fewer than 50,000 registered voters they must conduct a PER of a total of at least 2 precincts.  If county has between 50,000 &amp; 100,000 registered voters they must conduct a review of a total of at least 3 precincts.  If county has more than 100,000 registered voters they must conduct a review of a total of at least 4 precincts or 3% of the total number of precincts in the county, whichever is greater   At least 1 precinct selected in each county must have had more than 150 votes cast at the general election. The county auditor must notify the OSS of the precincts selected and the time/place of the PER as soon as decision is made. If the selection of precincts has not resulted in the selection of at least 4 precincts in each congressional district, the OSS may require counties to selected by lot additional precincts.  The OSS must post this info on web site.  No review is required if the election for the office will be subject to a recount - at the County Canvass of the State General Election.  </t>
    </r>
    <r>
      <rPr>
        <i/>
        <sz val="12"/>
        <rFont val="Times New Roman"/>
        <family val="1"/>
      </rPr>
      <t>Minn. Stat. §206.89, subd. 2</t>
    </r>
  </si>
  <si>
    <r>
      <t xml:space="preserve">Secretary of State: </t>
    </r>
    <r>
      <rPr>
        <sz val="12"/>
        <rFont val="Times New Roman"/>
        <family val="1"/>
      </rPr>
      <t xml:space="preserve">Phase 1 of PER: The Review must be conducted of the votes cast for Governor, U.S. Senator and U.S. Representative and must consist of a manual count of the ballots used in the precincts selected  - the review must be completed no later than 2 days before the meeting of the State Canvassing Board to certify the results of the State General Election - must not begin before the 11th day after the state general and must be complete no later than the 18th day after the state general. </t>
    </r>
    <r>
      <rPr>
        <i/>
        <sz val="12"/>
        <rFont val="Times New Roman"/>
        <family val="1"/>
      </rPr>
      <t>Minn. Stat. §206.89</t>
    </r>
  </si>
  <si>
    <t>206.89</t>
  </si>
  <si>
    <r>
      <t xml:space="preserve">Campaign Finance: </t>
    </r>
    <r>
      <rPr>
        <sz val="12"/>
        <rFont val="Times New Roman"/>
        <family val="1"/>
      </rPr>
      <t xml:space="preserve">Phase 1 of PER: The Review must be conducted of the votes cast for Governor, U.S. Senator and U.S. Representative and must consist of a manual count of the ballots used in the precincts selected  - the review must be completed no later than 2 days before the meeting of the State Canvassing Board to certify the results of the State General Election - must not begin before the 11th day after the state general and must be complete no later than the 18th day after the state general. </t>
    </r>
    <r>
      <rPr>
        <i/>
        <sz val="12"/>
        <rFont val="Times New Roman"/>
        <family val="1"/>
      </rPr>
      <t>Minn. Stat. §206.89</t>
    </r>
  </si>
  <si>
    <r>
      <t xml:space="preserve">Political Parties: </t>
    </r>
    <r>
      <rPr>
        <sz val="12"/>
        <rFont val="Times New Roman"/>
        <family val="1"/>
      </rPr>
      <t xml:space="preserve">Phase 1 of PER: The Review must be conducted of the votes cast for Governor, U.S. Senator and U.S. Representative and must consist of a manual count of the ballots used in the precincts selected  - the review must be completed no later than 2 days before the meeting of the State Canvassing Board to certify the results of the State General Election - must not begin before the 11th day after the state general and must be complete no later than the 18th day after the state general. </t>
    </r>
    <r>
      <rPr>
        <i/>
        <sz val="12"/>
        <rFont val="Times New Roman"/>
        <family val="1"/>
      </rPr>
      <t>Minn. Stat. §206.89</t>
    </r>
  </si>
  <si>
    <r>
      <t xml:space="preserve">Counties: </t>
    </r>
    <r>
      <rPr>
        <sz val="12"/>
        <rFont val="Times New Roman"/>
        <family val="1"/>
      </rPr>
      <t xml:space="preserve">Phase 1 of PER: The Review must be conducted of the votes cast for Governor, U.S. Senator and U.S. Representative and must consist of a manual count of the ballots used in the precincts selected  - the review must be completed no later than 2 days before the meeting of the State Canvassing Board to certify the results of the State General Election - must not begin before the 11th day after the state general and must be complete no later than the 18th day after the state general. </t>
    </r>
    <r>
      <rPr>
        <i/>
        <sz val="12"/>
        <rFont val="Times New Roman"/>
        <family val="1"/>
      </rPr>
      <t>Minn. Stat. §206.89</t>
    </r>
  </si>
  <si>
    <r>
      <t xml:space="preserve">Cities with a Primary: </t>
    </r>
    <r>
      <rPr>
        <sz val="12"/>
        <rFont val="Times New Roman"/>
        <family val="1"/>
      </rPr>
      <t xml:space="preserve">Phase 1 of PER: The Review must be conducted of the votes cast for Governor, U.S. Senator and U.S. Representative and must consist of a manual count of the ballots used in the precincts selected  - the review must be completed no later than 2 days before the meeting of the State Canvassing Board to certify the results of the State General Election - must not begin before the 11th day after the state general and must be complete no later than the 18th day after the state general. </t>
    </r>
    <r>
      <rPr>
        <i/>
        <sz val="12"/>
        <rFont val="Times New Roman"/>
        <family val="1"/>
      </rPr>
      <t>Minn. Stat. §206.89</t>
    </r>
  </si>
  <si>
    <r>
      <t xml:space="preserve">Cities without a Primary: </t>
    </r>
    <r>
      <rPr>
        <sz val="12"/>
        <rFont val="Times New Roman"/>
        <family val="1"/>
      </rPr>
      <t xml:space="preserve">Phase 1 of PER: The Review must be conducted of the votes cast for Governor, U.S. Senator and U.S. Representative and must consist of a manual count of the ballots used in the precincts selected  - the review must be completed no later than 2 days before the meeting of the State Canvassing Board to certify the results of the State General Election - must not begin before the 11th day after the state general and must be complete no later than the 18th day after the state general. </t>
    </r>
    <r>
      <rPr>
        <i/>
        <sz val="12"/>
        <rFont val="Times New Roman"/>
        <family val="1"/>
      </rPr>
      <t>Minn. Stat. §206.89</t>
    </r>
  </si>
  <si>
    <r>
      <t xml:space="preserve">Towns with March Elections: </t>
    </r>
    <r>
      <rPr>
        <sz val="12"/>
        <rFont val="Times New Roman"/>
        <family val="1"/>
      </rPr>
      <t xml:space="preserve">Phase 1 of PER: The Review must be conducted of the votes cast for Governor, U.S. Senator and U.S. Representative and must consist of a manual count of the ballots used in the precincts selected  - the review must be completed no later than 2 days before the meeting of the State Canvassing Board to certify the results of the State General Election - must not begin before the 11th day after the state general and must be complete no later than the 18th day after the state general. </t>
    </r>
    <r>
      <rPr>
        <i/>
        <sz val="12"/>
        <rFont val="Times New Roman"/>
        <family val="1"/>
      </rPr>
      <t>Minn. Stat. §206.89</t>
    </r>
  </si>
  <si>
    <r>
      <t xml:space="preserve">Towns with November Elections: </t>
    </r>
    <r>
      <rPr>
        <sz val="12"/>
        <rFont val="Times New Roman"/>
        <family val="1"/>
      </rPr>
      <t xml:space="preserve">Phase 1 of PER: The Review must be conducted of the votes cast for Governor, U.S. Senator and U.S. Representative and must consist of a manual count of the ballots used in the precincts selected  - the review must be completed no later than 2 days before the meeting of the State Canvassing Board to certify the results of the State General Election - must not begin before the 11th day after the state general and must be complete no later than the 18th day after the state general. </t>
    </r>
    <r>
      <rPr>
        <i/>
        <sz val="12"/>
        <rFont val="Times New Roman"/>
        <family val="1"/>
      </rPr>
      <t>Minn. Stat. §206.89</t>
    </r>
  </si>
  <si>
    <r>
      <t xml:space="preserve">Campaign Finance: </t>
    </r>
    <r>
      <rPr>
        <sz val="12"/>
        <rFont val="Times New Roman"/>
        <family val="1"/>
      </rPr>
      <t xml:space="preserve">PER Phase 2 (if necessary):  If the results of the electronic voting system differ from the results of the manual count by more than one-half of one percent, or more than 2 votes in a precinct where 400 or fewer voters cast ballots then a second level of review is necessary.  At least 3 additional precincts must be reviewed (if the difference is more than one-half of one percent in any of these precincts, or more than 2 votes in a precinct where 400 or fewer voters cast ballots then a  Phase 3 review is required) - the additional review must be completed within 2 days after the initial PER is completed.  </t>
    </r>
    <r>
      <rPr>
        <i/>
        <sz val="12"/>
        <rFont val="Times New Roman"/>
        <family val="1"/>
      </rPr>
      <t>Minn. Stat. §206.89, subd. 4 &amp; 5</t>
    </r>
  </si>
  <si>
    <r>
      <t xml:space="preserve">Political Parties: </t>
    </r>
    <r>
      <rPr>
        <sz val="12"/>
        <rFont val="Times New Roman"/>
        <family val="1"/>
      </rPr>
      <t xml:space="preserve">PER Phase 2 (if necessary):  If the results of the electronic voting system differ from the results of the manual count by more than one-half of one percent, or more than 2 votes in a precinct where 400 or fewer voters cast ballots then a second level of review is necessary.  At least 3 additional precincts must be reviewed (if the difference is more than one-half of one percent in any of these precincts, or more than 2 votes in a precinct where 400 or fewer voters cast ballots then a  Phase 3 review is required) - the additional review must be completed within 2 days after the initial PER is completed.  </t>
    </r>
    <r>
      <rPr>
        <i/>
        <sz val="12"/>
        <rFont val="Times New Roman"/>
        <family val="1"/>
      </rPr>
      <t>Minn. Stat. §206.89, subd. 4 &amp; 5</t>
    </r>
  </si>
  <si>
    <r>
      <t xml:space="preserve">Towns with March Elections: </t>
    </r>
    <r>
      <rPr>
        <sz val="12"/>
        <rFont val="Times New Roman"/>
        <family val="1"/>
      </rPr>
      <t xml:space="preserve">PER Phase 2 (if necessary):  If the results of the electronic voting system differ from the results of the manual count by more than one-half of one percent, or more than 2 votes in a precinct where 400 or fewer voters cast ballots then a second level of review is necessary.  At least 3 additional precincts must be reviewed (if the difference is more than one-half of one percent in any of these precincts, or more than 2 votes in a precinct where 400 or fewer voters cast ballots then a  Phase 3 review is required) - the additional review must be completed within 2 days after the initial PER is completed.  </t>
    </r>
    <r>
      <rPr>
        <i/>
        <sz val="12"/>
        <rFont val="Times New Roman"/>
        <family val="1"/>
      </rPr>
      <t>Minn. Stat. §206.89, subd. 4 &amp; 5</t>
    </r>
  </si>
  <si>
    <t>secretary of State</t>
  </si>
  <si>
    <r>
      <t>Campaign Finance:</t>
    </r>
    <r>
      <rPr>
        <sz val="12"/>
        <rFont val="Times New Roman"/>
        <family val="1"/>
      </rPr>
      <t xml:space="preserve"> PER Phase 3 (if necessary):  If, in Phase 2 of the PER, the results of the electronic voting system differ from the results of the manual hand count by more than one-half of one percent or by more than 2 votes in a precinct where 400 or fewer voters cast ballots then a third level of review is necessary.  A review must be conducted of the ballots from all the remaining precincts in the county (If the results of Phase 3 from one or more counties comprising in the aggregate more than ten percent of the total number of persons voting in the election clearly indicate that an error in vote counting has occurred, then a Phase 4 PER is required) - the review must be completed and the results reported to the Secretary of State within one one week after Phase 2 was completed.  </t>
    </r>
    <r>
      <rPr>
        <i/>
        <sz val="12"/>
        <rFont val="Times New Roman"/>
        <family val="1"/>
      </rPr>
      <t>Minn. Stat. §206.89, subd. 5</t>
    </r>
  </si>
  <si>
    <r>
      <t>Political Parties:</t>
    </r>
    <r>
      <rPr>
        <sz val="12"/>
        <rFont val="Times New Roman"/>
        <family val="1"/>
      </rPr>
      <t xml:space="preserve"> PER Phase 3 (if necessary):  If, in Phase 2 of the PER, the results of the electronic voting system differ from the results of the manual hand count by more than one-half of one percent or by more than 2 votes in a precinct where 400 or fewer voters cast ballots then a third level of review is necessary.  A review must be conducted of the ballots from all the remaining precincts in the county (If the results of Phase 3 from one or more counties comprising in the aggregate more than ten percent of the total number of persons voting in the election clearly indicate that an error in vote counting has occurred, then a Phase 4 PER is required) - the review must be completed and the results reported to the Secretary of State within one one week after Phase 2 was completed.  </t>
    </r>
    <r>
      <rPr>
        <i/>
        <sz val="12"/>
        <rFont val="Times New Roman"/>
        <family val="1"/>
      </rPr>
      <t>Minn. Stat. §206.89, subd. 5</t>
    </r>
  </si>
  <si>
    <r>
      <t>Towns with March Elections:</t>
    </r>
    <r>
      <rPr>
        <sz val="12"/>
        <rFont val="Times New Roman"/>
        <family val="1"/>
      </rPr>
      <t xml:space="preserve"> PER Phase 3 (if necessary):  If, in Phase 2 of the PER, the results of the electronic voting system differ from the results of the manual hand count by more than one-half of one percent or by more than 2 votes in a precinct where 400 or fewer voters cast ballots then a third level of review is necessary.  A review must be conducted of the ballots from all the remaining precincts in the county (If the results of Phase 3 from one or more counties comprising in the aggregate more than ten percent of the total number of persons voting in the election clearly indicate that an error in vote counting has occurred, then a Phase 4 PER is required) - the review must be completed and the results reported to the Secretary of State within one one week after Phase 2 was completed.  </t>
    </r>
    <r>
      <rPr>
        <i/>
        <sz val="12"/>
        <rFont val="Times New Roman"/>
        <family val="1"/>
      </rPr>
      <t>Minn. Stat. §206.89, subd. 5</t>
    </r>
  </si>
  <si>
    <r>
      <t xml:space="preserve">Secretary of State: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</si>
  <si>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Campaign Finance: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</si>
  <si>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Political Parties: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</si>
  <si>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Counties: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</si>
  <si>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Soil and Water Conservation District: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</si>
  <si>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Cities with a Primary: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</si>
  <si>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Cities without a Primary: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</si>
  <si>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Towns with November Elections: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</si>
  <si>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School Districts with a Primary: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</si>
  <si>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School Districts without a Primary: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</si>
  <si>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Hospital Districts: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</si>
  <si>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Cities with a Primary: </t>
    </r>
    <r>
      <rPr>
        <sz val="12"/>
        <rFont val="Times New Roman"/>
        <family val="1"/>
      </rPr>
      <t xml:space="preserve">PER Phase 4 (if necessary):  If the results of Phase 3, the countywide review, from one or more counties comprising more than ten percent of the total number of persons voting in the election clearly indicate that an error in vote counting has occurred, the secretary of state must notify the post election review official of each county in the district that they must conduct manual recounts of all the ballots in the district - the recount must be completed and the results reported to the appropriate canvassing board within two weeks after the post election review official received notice from the Secretary of State. </t>
    </r>
    <r>
      <rPr>
        <i/>
        <sz val="12"/>
        <rFont val="Times New Roman"/>
        <family val="1"/>
      </rPr>
      <t xml:space="preserve"> Minn. Stat. §206.89, subd. 5</t>
    </r>
  </si>
  <si>
    <r>
      <t xml:space="preserve">Secretary of State: </t>
    </r>
    <r>
      <rPr>
        <sz val="12"/>
        <rFont val="Times New Roman"/>
        <family val="1"/>
      </rPr>
      <t xml:space="preserve">PER Phase 4 (if necessary):  If the results of Phase 3, the countywide review, from one or more counties comprising more than ten percent of the total number of persons voting in the election clearly indicate that an error in vote counting has occurred, the secretary of state must notify the post election review official of each county in the district that they must conduct manual recounts of all the ballots in the district - the recount must be completed and the results reported to the appropriate canvassing board within two weeks after the post election review official received notice from the Secretary of State. </t>
    </r>
    <r>
      <rPr>
        <i/>
        <sz val="12"/>
        <rFont val="Times New Roman"/>
        <family val="1"/>
      </rPr>
      <t xml:space="preserve"> Minn. Stat. §206.89, subd. 5</t>
    </r>
  </si>
  <si>
    <r>
      <t xml:space="preserve">Campaign Finance: </t>
    </r>
    <r>
      <rPr>
        <sz val="12"/>
        <rFont val="Times New Roman"/>
        <family val="1"/>
      </rPr>
      <t xml:space="preserve">PER Phase 4 (if necessary):  If the results of Phase 3, the countywide review, from one or more counties comprising more than ten percent of the total number of persons voting in the election clearly indicate that an error in vote counting has occurred, the secretary of state must notify the post election review official of each county in the district that they must conduct manual recounts of all the ballots in the district - the recount must be completed and the results reported to the appropriate canvassing board within two weeks after the post election review official received notice from the Secretary of State. </t>
    </r>
    <r>
      <rPr>
        <i/>
        <sz val="12"/>
        <rFont val="Times New Roman"/>
        <family val="1"/>
      </rPr>
      <t xml:space="preserve"> Minn. Stat. §206.89, subd. 5</t>
    </r>
  </si>
  <si>
    <r>
      <t xml:space="preserve">Political Parties: </t>
    </r>
    <r>
      <rPr>
        <sz val="12"/>
        <rFont val="Times New Roman"/>
        <family val="1"/>
      </rPr>
      <t xml:space="preserve">PER Phase 4 (if necessary):  If the results of Phase 3, the countywide review, from one or more counties comprising more than ten percent of the total number of persons voting in the election clearly indicate that an error in vote counting has occurred, the secretary of state must notify the post election review official of each county in the district that they must conduct manual recounts of all the ballots in the district - the recount must be completed and the results reported to the appropriate canvassing board within two weeks after the post election review official received notice from the Secretary of State. </t>
    </r>
    <r>
      <rPr>
        <i/>
        <sz val="12"/>
        <rFont val="Times New Roman"/>
        <family val="1"/>
      </rPr>
      <t xml:space="preserve"> Minn. Stat. §206.89, subd. 5</t>
    </r>
  </si>
  <si>
    <r>
      <t xml:space="preserve">Counties: </t>
    </r>
    <r>
      <rPr>
        <sz val="12"/>
        <rFont val="Times New Roman"/>
        <family val="1"/>
      </rPr>
      <t xml:space="preserve">PER Phase 4 (if necessary):  If the results of Phase 3, the countywide review, from one or more counties comprising more than ten percent of the total number of persons voting in the election clearly indicate that an error in vote counting has occurred, the secretary of state must notify the post election review official of each county in the district that they must conduct manual recounts of all the ballots in the district - the recount must be completed and the results reported to the appropriate canvassing board within two weeks after the post election review official received notice from the Secretary of State. </t>
    </r>
    <r>
      <rPr>
        <i/>
        <sz val="12"/>
        <rFont val="Times New Roman"/>
        <family val="1"/>
      </rPr>
      <t xml:space="preserve"> Minn. Stat. §206.89, subd. 5</t>
    </r>
  </si>
  <si>
    <r>
      <t xml:space="preserve">Cities without a Primary: </t>
    </r>
    <r>
      <rPr>
        <sz val="12"/>
        <rFont val="Times New Roman"/>
        <family val="1"/>
      </rPr>
      <t xml:space="preserve">PER Phase 4 (if necessary):  If the results of Phase 3, the countywide review, from one or more counties comprising more than ten percent of the total number of persons voting in the election clearly indicate that an error in vote counting has occurred, the secretary of state must notify the post election review official of each county in the district that they must conduct manual recounts of all the ballots in the district - the recount must be completed and the results reported to the appropriate canvassing board within two weeks after the post election review official received notice from the Secretary of State. </t>
    </r>
    <r>
      <rPr>
        <i/>
        <sz val="12"/>
        <rFont val="Times New Roman"/>
        <family val="1"/>
      </rPr>
      <t xml:space="preserve"> Minn. Stat. §206.89, subd. 5</t>
    </r>
  </si>
  <si>
    <r>
      <t xml:space="preserve">Towns with March Elections: </t>
    </r>
    <r>
      <rPr>
        <sz val="12"/>
        <rFont val="Times New Roman"/>
        <family val="1"/>
      </rPr>
      <t xml:space="preserve">PER Phase 4 (if necessary):  If the results of Phase 3, the countywide review, from one or more counties comprising more than ten percent of the total number of persons voting in the election clearly indicate that an error in vote counting has occurred, the secretary of state must notify the post election review official of each county in the district that they must conduct manual recounts of all the ballots in the district - the recount must be completed and the results reported to the appropriate canvassing board within two weeks after the post election review official received notice from the Secretary of State. </t>
    </r>
    <r>
      <rPr>
        <i/>
        <sz val="12"/>
        <rFont val="Times New Roman"/>
        <family val="1"/>
      </rPr>
      <t xml:space="preserve"> Minn. Stat. §206.89, subd. 5</t>
    </r>
  </si>
  <si>
    <r>
      <t xml:space="preserve">Towns with November Elections: </t>
    </r>
    <r>
      <rPr>
        <sz val="12"/>
        <rFont val="Times New Roman"/>
        <family val="1"/>
      </rPr>
      <t xml:space="preserve">PER Phase 4 (if necessary):  If the results of Phase 3, the countywide review, from one or more counties comprising more than ten percent of the total number of persons voting in the election clearly indicate that an error in vote counting has occurred, the secretary of state must notify the post election review official of each county in the district that they must conduct manual recounts of all the ballots in the district - the recount must be completed and the results reported to the appropriate canvassing board within two weeks after the post election review official received notice from the Secretary of State. </t>
    </r>
    <r>
      <rPr>
        <i/>
        <sz val="12"/>
        <rFont val="Times New Roman"/>
        <family val="1"/>
      </rPr>
      <t xml:space="preserve"> Minn. Stat. §206.89, subd. 5</t>
    </r>
  </si>
  <si>
    <r>
      <t xml:space="preserve">Secretary of State: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</si>
  <si>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Campaign Finance: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</si>
  <si>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Political Parties: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</si>
  <si>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Counties: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</si>
  <si>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Soil and Water Conservation Districts: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</si>
  <si>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Cities with a Primary: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</si>
  <si>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Cities without a Primary: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</si>
  <si>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Towns with March Elections: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</si>
  <si>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Towns with November Elections: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</si>
  <si>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School Districts with a Primary: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</si>
  <si>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School Districts without a Primary: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</si>
  <si>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Hospital Districts: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</si>
  <si>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Secretary of State: </t>
    </r>
    <r>
      <rPr>
        <sz val="12"/>
        <rFont val="Times New Roman"/>
        <family val="1"/>
      </rPr>
      <t xml:space="preserve">Complete PVC mailing to 3% random sampling of general EDRs - within 10 days after election. </t>
    </r>
    <r>
      <rPr>
        <i/>
        <sz val="12"/>
        <rFont val="Times New Roman"/>
        <family val="1"/>
      </rPr>
      <t>Minn. Stat. §201.121; Minn. Rules 8200.2700</t>
    </r>
  </si>
  <si>
    <r>
      <t xml:space="preserve">Political Parties: </t>
    </r>
    <r>
      <rPr>
        <sz val="12"/>
        <rFont val="Times New Roman"/>
        <family val="1"/>
      </rPr>
      <t xml:space="preserve">Complete PVC mailing to 3% random sampling of general EDRs - within 10 days after election. </t>
    </r>
    <r>
      <rPr>
        <i/>
        <sz val="12"/>
        <rFont val="Times New Roman"/>
        <family val="1"/>
      </rPr>
      <t>Minn. Stat. §201.121; Minn. Rules 8200.2700</t>
    </r>
  </si>
  <si>
    <r>
      <t xml:space="preserve">Counties: </t>
    </r>
    <r>
      <rPr>
        <sz val="12"/>
        <rFont val="Times New Roman"/>
        <family val="1"/>
      </rPr>
      <t xml:space="preserve">Complete PVC mailing to 3% random sampling of general EDRs - within 10 days after election. </t>
    </r>
    <r>
      <rPr>
        <i/>
        <sz val="12"/>
        <rFont val="Times New Roman"/>
        <family val="1"/>
      </rPr>
      <t>Minn. Stat. §201.121; Minn. Rules 8200.2700</t>
    </r>
  </si>
  <si>
    <r>
      <t xml:space="preserve">Secretary of State: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</si>
  <si>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Campaign Finance: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</si>
  <si>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Political Parties: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</si>
  <si>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Counties: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</si>
  <si>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Soil and Water Conservation Districts: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</si>
  <si>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Cities with a Primary: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</si>
  <si>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Cities without a Primary: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</si>
  <si>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Towns with November Elections: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</si>
  <si>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School Districts with a Primary: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</si>
  <si>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School Districts without a Primary: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</si>
  <si>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Hospital Districts: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</si>
  <si>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t>204C.36; 205.185, subd. 3; 205A.10, subd. 3; 209.021, subd. 1; 211A.05, subd. 1; 447.32</t>
  </si>
  <si>
    <r>
      <t xml:space="preserve">Counties: </t>
    </r>
    <r>
      <rPr>
        <sz val="12"/>
        <rFont val="Times New Roman"/>
        <family val="1"/>
      </rPr>
      <t xml:space="preserve">First day to issue certificate of election - after the time for contesting elections has passed.  The County Auditor issues certificate for every county candidate declared elected by the county canvassing board if: 1) the candidate has filed </t>
    </r>
    <r>
      <rPr>
        <i/>
        <sz val="12"/>
        <rFont val="Times New Roman"/>
        <family val="1"/>
      </rPr>
      <t xml:space="preserve">Campaign Financial Report Certification of Filing </t>
    </r>
    <r>
      <rPr>
        <sz val="12"/>
        <rFont val="Times New Roman"/>
        <family val="1"/>
      </rPr>
      <t xml:space="preserve">form - no later than 7 days after the general election.  </t>
    </r>
    <r>
      <rPr>
        <i/>
        <sz val="12"/>
        <rFont val="Times New Roman"/>
        <family val="1"/>
      </rPr>
      <t xml:space="preserve">Minn. Stat. §211A.05, subd. 1; </t>
    </r>
    <r>
      <rPr>
        <sz val="12"/>
        <rFont val="Times New Roman"/>
        <family val="1"/>
      </rPr>
      <t xml:space="preserve">2) the losing candidate has not requested a recount.  </t>
    </r>
    <r>
      <rPr>
        <i/>
        <sz val="12"/>
        <rFont val="Times New Roman"/>
        <family val="1"/>
      </rPr>
      <t xml:space="preserve">Minn. Stat. §204C.36; </t>
    </r>
    <r>
      <rPr>
        <sz val="12"/>
        <rFont val="Times New Roman"/>
        <family val="1"/>
      </rPr>
      <t xml:space="preserve">and 3) a notice of contest has not been filed.  </t>
    </r>
    <r>
      <rPr>
        <i/>
        <sz val="12"/>
        <rFont val="Times New Roman"/>
        <family val="1"/>
      </rPr>
      <t xml:space="preserve">Minn. Stat. §209.021 </t>
    </r>
  </si>
  <si>
    <r>
      <t xml:space="preserve">School Districts with a Primary: </t>
    </r>
    <r>
      <rPr>
        <sz val="12"/>
        <rFont val="Times New Roman"/>
        <family val="1"/>
      </rPr>
      <t xml:space="preserve">Newly elected school district officers file acceptance of office  with school clerk within 30 days of receiving certificate of election.  </t>
    </r>
    <r>
      <rPr>
        <i/>
        <sz val="12"/>
        <rFont val="Times New Roman"/>
        <family val="1"/>
      </rPr>
      <t>Minn. Stat. §205A.10, subd. 3</t>
    </r>
  </si>
  <si>
    <r>
      <t xml:space="preserve">School Districts without a Primary: </t>
    </r>
    <r>
      <rPr>
        <sz val="12"/>
        <rFont val="Times New Roman"/>
        <family val="1"/>
      </rPr>
      <t xml:space="preserve">Newly elected school district officers file acceptance of office  with school clerk within 30 days of receiving certificate of election.  </t>
    </r>
    <r>
      <rPr>
        <i/>
        <sz val="12"/>
        <rFont val="Times New Roman"/>
        <family val="1"/>
      </rPr>
      <t>Minn. Stat. §205A.10, subd. 3</t>
    </r>
  </si>
  <si>
    <t>205A.10, subd. 3; 447.32</t>
  </si>
  <si>
    <r>
      <t xml:space="preserve">Secretary of State: </t>
    </r>
    <r>
      <rPr>
        <sz val="12"/>
        <rFont val="Times New Roman"/>
        <family val="1"/>
      </rPr>
      <t xml:space="preserve">Newly elected school district &amp; hospital district officers file acceptance of office  with school/hospital clerk within 30 days of receiving certificate of election (school districts) or after the date of delivery or mailing of the Cert of Elec (hospital district).  </t>
    </r>
    <r>
      <rPr>
        <i/>
        <sz val="12"/>
        <rFont val="Times New Roman"/>
        <family val="1"/>
      </rPr>
      <t>Minn. Stat. §205A.10, subd. 3</t>
    </r>
  </si>
  <si>
    <r>
      <t xml:space="preserve">Hospital Districts: </t>
    </r>
    <r>
      <rPr>
        <sz val="12"/>
        <rFont val="Times New Roman"/>
        <family val="1"/>
      </rPr>
      <t xml:space="preserve">Newly elected hospital district officers file an acceptance and oath of office in writing with the clerk - within 30 days after the date of delivery or mailing of the Certificate of Election.  </t>
    </r>
    <r>
      <rPr>
        <i/>
        <sz val="12"/>
        <rFont val="Times New Roman"/>
        <family val="1"/>
      </rPr>
      <t>Minn. Stat. §447.32</t>
    </r>
  </si>
  <si>
    <r>
      <t xml:space="preserve">Campaign Finance: </t>
    </r>
    <r>
      <rPr>
        <sz val="12"/>
        <rFont val="Times New Roman"/>
        <family val="1"/>
      </rPr>
      <t xml:space="preserve">Newly elected school district &amp; hospital district officers file acceptance of office  with school/hospital clerk within 30 days of receiving certificate of election (school districts) or after the date of delivery or mailing of the Cert of Elec (hospital district).  </t>
    </r>
    <r>
      <rPr>
        <i/>
        <sz val="12"/>
        <rFont val="Times New Roman"/>
        <family val="1"/>
      </rPr>
      <t>Minn. Stat. §205A.10, subd. 3</t>
    </r>
  </si>
  <si>
    <r>
      <t xml:space="preserve">Political Parties: </t>
    </r>
    <r>
      <rPr>
        <sz val="12"/>
        <rFont val="Times New Roman"/>
        <family val="1"/>
      </rPr>
      <t xml:space="preserve">Newly elected school district &amp; hospital district officers file acceptance of office  with school/hospital clerk within 30 days of receiving certificate of election (school districts) or after the date of delivery or mailing of the Cert of Elec (hospital district).  </t>
    </r>
    <r>
      <rPr>
        <i/>
        <sz val="12"/>
        <rFont val="Times New Roman"/>
        <family val="1"/>
      </rPr>
      <t>Minn. Stat. §205A.10, subd. 3</t>
    </r>
  </si>
  <si>
    <r>
      <t xml:space="preserve">Campaign Finance: </t>
    </r>
    <r>
      <rPr>
        <sz val="12"/>
        <rFont val="Times New Roman"/>
        <family val="1"/>
      </rPr>
      <t xml:space="preserve">The State Canvassing Board shall meet at the Secretary of State's office to canvass the certified copies of the county canvassing board reports  received from the County Auditor - shall meet at the Secretary of State's office on the third Tuesday following the State General Election.  </t>
    </r>
    <r>
      <rPr>
        <i/>
        <sz val="12"/>
        <rFont val="Times New Roman"/>
        <family val="1"/>
      </rPr>
      <t>Minn. Stat. §204C.33</t>
    </r>
  </si>
  <si>
    <r>
      <t xml:space="preserve">Political Parties: </t>
    </r>
    <r>
      <rPr>
        <sz val="12"/>
        <rFont val="Times New Roman"/>
        <family val="1"/>
      </rPr>
      <t xml:space="preserve">The State Canvassing Board shall meet at the Secretary of State's office to canvass the certified copies of the county canvassing board reports  received from the County Auditor - shall meet at the Secretary of State's office on the third Tuesday following the State General Election.  </t>
    </r>
    <r>
      <rPr>
        <i/>
        <sz val="12"/>
        <rFont val="Times New Roman"/>
        <family val="1"/>
      </rPr>
      <t>Minn. Stat. §204C.33</t>
    </r>
  </si>
  <si>
    <r>
      <t xml:space="preserve">Counties: </t>
    </r>
    <r>
      <rPr>
        <sz val="12"/>
        <rFont val="Times New Roman"/>
        <family val="1"/>
      </rPr>
      <t xml:space="preserve">The State Canvassing Board shall meet at the Secretary of State's office to canvass the certified copies of the county canvassing board reports  received from the County Auditor - shall meet at the Secretary of State's office on the third Tuesday following the State General Election.  </t>
    </r>
    <r>
      <rPr>
        <i/>
        <sz val="12"/>
        <rFont val="Times New Roman"/>
        <family val="1"/>
      </rPr>
      <t>Minn. Stat. §204C.33</t>
    </r>
  </si>
  <si>
    <r>
      <t xml:space="preserve">Counties: </t>
    </r>
    <r>
      <rPr>
        <sz val="12"/>
        <rFont val="Times New Roman"/>
        <family val="1"/>
      </rPr>
      <t xml:space="preserve">The State Canvassing Board shall choose 4 precincts in each Congressional District for which the Secretary of State shall monitor and evaluate election procedures in precincts subject to the PER Audit in section 206.89 - the precincts must be chosen by lot by the State Canvassing Board at its meeting to canvass the State General Election. </t>
    </r>
    <r>
      <rPr>
        <i/>
        <sz val="12"/>
        <rFont val="Times New Roman"/>
        <family val="1"/>
      </rPr>
      <t>Minn. Stat. §206.895</t>
    </r>
  </si>
  <si>
    <r>
      <t xml:space="preserve">Cities with a Primary: </t>
    </r>
    <r>
      <rPr>
        <sz val="12"/>
        <rFont val="Times New Roman"/>
        <family val="1"/>
      </rPr>
      <t xml:space="preserve">The State Canvassing Board shall choose 4 precincts in each Congressional District for which the Secretary of State shall monitor and evaluate election procedures in precincts subject to the PER Audit in section 206.89 - the precincts must be chosen by lot by the State Canvassing Board at its meeting to canvass the State General Election. </t>
    </r>
    <r>
      <rPr>
        <i/>
        <sz val="12"/>
        <rFont val="Times New Roman"/>
        <family val="1"/>
      </rPr>
      <t>Minn. Stat. §206.895</t>
    </r>
  </si>
  <si>
    <r>
      <t xml:space="preserve">Cities without a Primary: </t>
    </r>
    <r>
      <rPr>
        <sz val="12"/>
        <rFont val="Times New Roman"/>
        <family val="1"/>
      </rPr>
      <t xml:space="preserve">The State Canvassing Board shall choose 4 precincts in each Congressional District for which the Secretary of State shall monitor and evaluate election procedures in precincts subject to the PER Audit in section 206.89 - the precincts must be chosen by lot by the State Canvassing Board at its meeting to canvass the State General Election. </t>
    </r>
    <r>
      <rPr>
        <i/>
        <sz val="12"/>
        <rFont val="Times New Roman"/>
        <family val="1"/>
      </rPr>
      <t>Minn. Stat. §206.895</t>
    </r>
  </si>
  <si>
    <r>
      <t xml:space="preserve">Towns with March Elections: </t>
    </r>
    <r>
      <rPr>
        <sz val="12"/>
        <rFont val="Times New Roman"/>
        <family val="1"/>
      </rPr>
      <t xml:space="preserve">The State Canvassing Board shall choose 4 precincts in each Congressional District for which the Secretary of State shall monitor and evaluate election procedures in precincts subject to the PER Audit in section 206.89 - the precincts must be chosen by lot by the State Canvassing Board at its meeting to canvass the State General Election. </t>
    </r>
    <r>
      <rPr>
        <i/>
        <sz val="12"/>
        <rFont val="Times New Roman"/>
        <family val="1"/>
      </rPr>
      <t>Minn. Stat. §206.895</t>
    </r>
  </si>
  <si>
    <r>
      <t xml:space="preserve">Towns with November Elections: </t>
    </r>
    <r>
      <rPr>
        <sz val="12"/>
        <rFont val="Times New Roman"/>
        <family val="1"/>
      </rPr>
      <t xml:space="preserve">The State Canvassing Board shall choose 4 precincts in each Congressional District for which the Secretary of State shall monitor and evaluate election procedures in precincts subject to the PER Audit in section 206.89 - the precincts must be chosen by lot by the State Canvassing Board at its meeting to canvass the State General Election. </t>
    </r>
    <r>
      <rPr>
        <i/>
        <sz val="12"/>
        <rFont val="Times New Roman"/>
        <family val="1"/>
      </rPr>
      <t>Minn. Stat. §206.895</t>
    </r>
  </si>
  <si>
    <t>10A.31, subd. 3a(d)</t>
  </si>
  <si>
    <r>
      <t xml:space="preserve">Secretary of State: </t>
    </r>
    <r>
      <rPr>
        <sz val="12"/>
        <rFont val="Times New Roman"/>
        <family val="1"/>
      </rPr>
      <t xml:space="preserve">The OSS shall notify each political party, the commissioner of revenue, and the Campaign Finance and Public Disclosure Board of the political parties that qualify for inclusion on the income tax form and property tax refund - by July 1st of each year and following certification of the results of each general elec.  </t>
    </r>
    <r>
      <rPr>
        <i/>
        <sz val="12"/>
        <rFont val="Times New Roman"/>
        <family val="1"/>
      </rPr>
      <t>Minn. Stat. §10A.31, subd. 3a (d)</t>
    </r>
    <r>
      <rPr>
        <b/>
        <sz val="12"/>
        <rFont val="Times New Roman"/>
        <family val="1"/>
      </rPr>
      <t xml:space="preserve"> </t>
    </r>
  </si>
  <si>
    <r>
      <t xml:space="preserve">Political Parties: </t>
    </r>
    <r>
      <rPr>
        <sz val="12"/>
        <rFont val="Times New Roman"/>
        <family val="1"/>
      </rPr>
      <t xml:space="preserve">The OSS shall notify each political party, the commissioner of revenue, and the Campaign Finance and Public Disclosure Board of the political parties that qualify for inclusion on the income tax form and property tax refund - by July 1st of each year and following certification of the results of each general elec.  </t>
    </r>
    <r>
      <rPr>
        <i/>
        <sz val="12"/>
        <rFont val="Times New Roman"/>
        <family val="1"/>
      </rPr>
      <t>Minn. Stat. §10A.31, subd. 3a (d)</t>
    </r>
    <r>
      <rPr>
        <b/>
        <sz val="12"/>
        <rFont val="Times New Roman"/>
        <family val="1"/>
      </rPr>
      <t xml:space="preserve"> </t>
    </r>
  </si>
  <si>
    <r>
      <t>Secretary of State:</t>
    </r>
    <r>
      <rPr>
        <sz val="12"/>
        <rFont val="Times New Roman"/>
        <family val="1"/>
      </rPr>
      <t xml:space="preserve"> Last day to designate location for absentee voting for March Election – 14 weeks prior to election.  </t>
    </r>
    <r>
      <rPr>
        <i/>
        <sz val="12"/>
        <rFont val="Times New Roman"/>
        <family val="1"/>
      </rPr>
      <t>Minn. Stat. §203B.081</t>
    </r>
  </si>
  <si>
    <r>
      <t>Counties:</t>
    </r>
    <r>
      <rPr>
        <sz val="12"/>
        <rFont val="Times New Roman"/>
        <family val="1"/>
      </rPr>
      <t xml:space="preserve"> Last day to designate location for absentee voting for March Election – 14 weeks prior to election.  </t>
    </r>
    <r>
      <rPr>
        <i/>
        <sz val="12"/>
        <rFont val="Times New Roman"/>
        <family val="1"/>
      </rPr>
      <t>Minn. Stat. §203B.081</t>
    </r>
  </si>
  <si>
    <r>
      <t>Towns with March Elections:</t>
    </r>
    <r>
      <rPr>
        <sz val="12"/>
        <rFont val="Times New Roman"/>
        <family val="1"/>
      </rPr>
      <t xml:space="preserve"> Last day to designate location for absentee voting for March Election – 14 weeks prior to election.  </t>
    </r>
    <r>
      <rPr>
        <i/>
        <sz val="12"/>
        <rFont val="Times New Roman"/>
        <family val="1"/>
      </rPr>
      <t>Minn. Stat. §203B.081</t>
    </r>
  </si>
  <si>
    <r>
      <t xml:space="preserve">Secretary of State: </t>
    </r>
    <r>
      <rPr>
        <sz val="12"/>
        <rFont val="Times New Roman"/>
        <family val="1"/>
      </rPr>
      <t xml:space="preserve">Campaign financial reports due - 30 days after general election.  </t>
    </r>
    <r>
      <rPr>
        <i/>
        <sz val="12"/>
        <rFont val="Times New Roman"/>
        <family val="1"/>
      </rPr>
      <t>Minn. Stat. §211A.02, subd. 1</t>
    </r>
  </si>
  <si>
    <r>
      <t xml:space="preserve">Political Parties: </t>
    </r>
    <r>
      <rPr>
        <sz val="12"/>
        <rFont val="Times New Roman"/>
        <family val="1"/>
      </rPr>
      <t xml:space="preserve">Campaign financial reports due - 30 days after general election.  </t>
    </r>
    <r>
      <rPr>
        <i/>
        <sz val="12"/>
        <rFont val="Times New Roman"/>
        <family val="1"/>
      </rPr>
      <t>Minn. Stat. §211A.02, subd. 1</t>
    </r>
  </si>
  <si>
    <r>
      <t xml:space="preserve">Counties: </t>
    </r>
    <r>
      <rPr>
        <sz val="12"/>
        <rFont val="Times New Roman"/>
        <family val="1"/>
      </rPr>
      <t xml:space="preserve">Campaign financial reports due - 30 days after general election.  </t>
    </r>
    <r>
      <rPr>
        <i/>
        <sz val="12"/>
        <rFont val="Times New Roman"/>
        <family val="1"/>
      </rPr>
      <t>Minn. Stat. §211A.02, subd. 1</t>
    </r>
  </si>
  <si>
    <r>
      <t xml:space="preserve">Soil and Water Conservation Districts: </t>
    </r>
    <r>
      <rPr>
        <sz val="12"/>
        <rFont val="Times New Roman"/>
        <family val="1"/>
      </rPr>
      <t xml:space="preserve">Campaign financial reports due - 30 days after general election.  </t>
    </r>
    <r>
      <rPr>
        <i/>
        <sz val="12"/>
        <rFont val="Times New Roman"/>
        <family val="1"/>
      </rPr>
      <t>Minn. Stat. §211A.02, subd. 1</t>
    </r>
  </si>
  <si>
    <r>
      <t xml:space="preserve">Cities with a Primary: </t>
    </r>
    <r>
      <rPr>
        <sz val="12"/>
        <rFont val="Times New Roman"/>
        <family val="1"/>
      </rPr>
      <t xml:space="preserve">Campaign financial reports due - 30 days after general election.  </t>
    </r>
    <r>
      <rPr>
        <i/>
        <sz val="12"/>
        <rFont val="Times New Roman"/>
        <family val="1"/>
      </rPr>
      <t>Minn. Stat. §211A.02, subd. 1</t>
    </r>
  </si>
  <si>
    <r>
      <t xml:space="preserve">Cities without a Primary: </t>
    </r>
    <r>
      <rPr>
        <sz val="12"/>
        <rFont val="Times New Roman"/>
        <family val="1"/>
      </rPr>
      <t xml:space="preserve">Campaign financial reports due - 30 days after general election.  </t>
    </r>
    <r>
      <rPr>
        <i/>
        <sz val="12"/>
        <rFont val="Times New Roman"/>
        <family val="1"/>
      </rPr>
      <t>Minn. Stat. §211A.02, subd. 1</t>
    </r>
  </si>
  <si>
    <r>
      <t xml:space="preserve">Towns with November Elections: </t>
    </r>
    <r>
      <rPr>
        <sz val="12"/>
        <rFont val="Times New Roman"/>
        <family val="1"/>
      </rPr>
      <t xml:space="preserve">Campaign financial reports due - 30 days after general election.  </t>
    </r>
    <r>
      <rPr>
        <i/>
        <sz val="12"/>
        <rFont val="Times New Roman"/>
        <family val="1"/>
      </rPr>
      <t>Minn. Stat. §211A.02, subd. 1</t>
    </r>
  </si>
  <si>
    <r>
      <t xml:space="preserve">School Districts with a Primary: </t>
    </r>
    <r>
      <rPr>
        <sz val="12"/>
        <rFont val="Times New Roman"/>
        <family val="1"/>
      </rPr>
      <t xml:space="preserve">Campaign financial reports due - 30 days after general election.  </t>
    </r>
    <r>
      <rPr>
        <i/>
        <sz val="12"/>
        <rFont val="Times New Roman"/>
        <family val="1"/>
      </rPr>
      <t>Minn. Stat. §211A.02, subd. 1</t>
    </r>
  </si>
  <si>
    <r>
      <t xml:space="preserve">School Districts without a Primary: </t>
    </r>
    <r>
      <rPr>
        <sz val="12"/>
        <rFont val="Times New Roman"/>
        <family val="1"/>
      </rPr>
      <t xml:space="preserve">Campaign financial reports due - 30 days after general election.  </t>
    </r>
    <r>
      <rPr>
        <i/>
        <sz val="12"/>
        <rFont val="Times New Roman"/>
        <family val="1"/>
      </rPr>
      <t>Minn. Stat. §211A.02, subd. 1</t>
    </r>
  </si>
  <si>
    <r>
      <t xml:space="preserve">Hospital Districts: </t>
    </r>
    <r>
      <rPr>
        <sz val="12"/>
        <rFont val="Times New Roman"/>
        <family val="1"/>
      </rPr>
      <t xml:space="preserve">Campaign financial reports due - 30 days after general election.  </t>
    </r>
    <r>
      <rPr>
        <i/>
        <sz val="12"/>
        <rFont val="Times New Roman"/>
        <family val="1"/>
      </rPr>
      <t>Minn. Stat. §211A.02, subd. 1</t>
    </r>
  </si>
  <si>
    <r>
      <t>Hospital Districts:</t>
    </r>
    <r>
      <rPr>
        <sz val="12"/>
        <rFont val="Times New Roman"/>
        <family val="1"/>
      </rPr>
      <t xml:space="preserve"> First day to conduct a hospital district special election following the State General Election - not less that 56 days after the State General Election.  </t>
    </r>
    <r>
      <rPr>
        <i/>
        <sz val="12"/>
        <rFont val="Times New Roman"/>
        <family val="1"/>
      </rPr>
      <t>Minn. Stat. §447.32, subd. 2</t>
    </r>
  </si>
  <si>
    <r>
      <t>Secretary of State:</t>
    </r>
    <r>
      <rPr>
        <sz val="12"/>
        <rFont val="Times New Roman"/>
        <family val="1"/>
      </rPr>
      <t xml:space="preserve"> First day to conduct a hospital district special election following the State General Election - not less that 56 days after the State General Election.  </t>
    </r>
    <r>
      <rPr>
        <i/>
        <sz val="12"/>
        <rFont val="Times New Roman"/>
        <family val="1"/>
      </rPr>
      <t>Minn. Stat. §447.32, subd. 2</t>
    </r>
  </si>
  <si>
    <r>
      <t>Counties:</t>
    </r>
    <r>
      <rPr>
        <sz val="12"/>
        <rFont val="Times New Roman"/>
        <family val="1"/>
      </rPr>
      <t xml:space="preserve"> First day to conduct a hospital district special election following the State General Election - not less that 56 days after the State General Election.  </t>
    </r>
    <r>
      <rPr>
        <i/>
        <sz val="12"/>
        <rFont val="Times New Roman"/>
        <family val="1"/>
      </rPr>
      <t>Minn. Stat. §447.32, subd. 2</t>
    </r>
  </si>
  <si>
    <r>
      <t xml:space="preserve">Secretary of State: </t>
    </r>
    <r>
      <rPr>
        <sz val="12"/>
        <rFont val="Times New Roman"/>
        <family val="1"/>
      </rPr>
      <t xml:space="preserve"> Last day for townships to change polling place location prior to March Election except in a case when a polling place is not available – 90 days prior to election. </t>
    </r>
    <r>
      <rPr>
        <i/>
        <sz val="12"/>
        <rFont val="Times New Roman"/>
        <family val="1"/>
      </rPr>
      <t>Minn. Stat. §204B.16</t>
    </r>
  </si>
  <si>
    <r>
      <t xml:space="preserve">Counties: </t>
    </r>
    <r>
      <rPr>
        <sz val="12"/>
        <rFont val="Times New Roman"/>
        <family val="1"/>
      </rPr>
      <t xml:space="preserve"> Last day for townships to change polling place location prior to March Election except in a case when a polling place is not available – 90 days prior to election. </t>
    </r>
    <r>
      <rPr>
        <i/>
        <sz val="12"/>
        <rFont val="Times New Roman"/>
        <family val="1"/>
      </rPr>
      <t>Minn. Stat. §204B.16</t>
    </r>
  </si>
  <si>
    <r>
      <t xml:space="preserve">Cities without a Primary: </t>
    </r>
    <r>
      <rPr>
        <sz val="12"/>
        <rFont val="Times New Roman"/>
        <family val="1"/>
      </rPr>
      <t xml:space="preserve">First day for municipalities to hold a special election after the State General Election - not within 56 days following the State General Election.  </t>
    </r>
    <r>
      <rPr>
        <i/>
        <sz val="12"/>
        <rFont val="Times New Roman"/>
        <family val="1"/>
      </rPr>
      <t>Minn. Stat. §205.10, subd. 3</t>
    </r>
  </si>
  <si>
    <r>
      <t xml:space="preserve">Secretary of State: </t>
    </r>
    <r>
      <rPr>
        <sz val="12"/>
        <rFont val="Times New Roman"/>
        <family val="1"/>
      </rPr>
      <t xml:space="preserve">First day for municipalities to hold a special election after the State General Election - not within 56 days following the State General Election.  </t>
    </r>
    <r>
      <rPr>
        <i/>
        <sz val="12"/>
        <rFont val="Times New Roman"/>
        <family val="1"/>
      </rPr>
      <t>Minn. Stat. §205.10, subd. 3</t>
    </r>
  </si>
  <si>
    <r>
      <t xml:space="preserve">Counties: </t>
    </r>
    <r>
      <rPr>
        <sz val="12"/>
        <rFont val="Times New Roman"/>
        <family val="1"/>
      </rPr>
      <t xml:space="preserve">First day for municipalities to hold a special election after the State General Election - not within 56 days following the State General Election.  </t>
    </r>
    <r>
      <rPr>
        <i/>
        <sz val="12"/>
        <rFont val="Times New Roman"/>
        <family val="1"/>
      </rPr>
      <t>Minn. Stat. §205.10, subd. 3</t>
    </r>
  </si>
  <si>
    <r>
      <t xml:space="preserve">Cities with a Primary: </t>
    </r>
    <r>
      <rPr>
        <sz val="12"/>
        <rFont val="Times New Roman"/>
        <family val="1"/>
      </rPr>
      <t xml:space="preserve">First day for municipalities to hold a special election after the State General Election - not within 56 days following the State General Election.  </t>
    </r>
    <r>
      <rPr>
        <i/>
        <sz val="12"/>
        <rFont val="Times New Roman"/>
        <family val="1"/>
      </rPr>
      <t>Minn. Stat. §205.10, subd. 3</t>
    </r>
  </si>
  <si>
    <r>
      <t xml:space="preserve">Towns with March Elections: </t>
    </r>
    <r>
      <rPr>
        <sz val="12"/>
        <rFont val="Times New Roman"/>
        <family val="1"/>
      </rPr>
      <t xml:space="preserve">First day for municipalities to hold a special election after the State General Election - not within 56 days following the State General Election.  </t>
    </r>
    <r>
      <rPr>
        <i/>
        <sz val="12"/>
        <rFont val="Times New Roman"/>
        <family val="1"/>
      </rPr>
      <t>Minn. Stat. §205.10, subd. 3</t>
    </r>
  </si>
  <si>
    <r>
      <t xml:space="preserve">Towns with November Elections: </t>
    </r>
    <r>
      <rPr>
        <sz val="12"/>
        <rFont val="Times New Roman"/>
        <family val="1"/>
      </rPr>
      <t xml:space="preserve">First day for municipalities to hold a special election after the State General Election - not within 56 days following the State General Election.  </t>
    </r>
    <r>
      <rPr>
        <i/>
        <sz val="12"/>
        <rFont val="Times New Roman"/>
        <family val="1"/>
      </rPr>
      <t>Minn. Stat. §205.10, subd. 3</t>
    </r>
  </si>
  <si>
    <r>
      <t xml:space="preserve">Secretary of State: </t>
    </r>
    <r>
      <rPr>
        <sz val="12"/>
        <rFont val="Times New Roman"/>
        <family val="1"/>
      </rPr>
      <t xml:space="preserve">First day for school districts to hold a special election after the State General Election - Not within 56 days following the State General Election.  </t>
    </r>
    <r>
      <rPr>
        <i/>
        <sz val="12"/>
        <rFont val="Times New Roman"/>
        <family val="1"/>
      </rPr>
      <t xml:space="preserve">Minn. Stat. §205A.05, subd. 1 </t>
    </r>
  </si>
  <si>
    <r>
      <t xml:space="preserve">School Districts with a Primary: </t>
    </r>
    <r>
      <rPr>
        <sz val="12"/>
        <rFont val="Times New Roman"/>
        <family val="1"/>
      </rPr>
      <t xml:space="preserve">First day for school districts to hold a special election after the State General Election - Not within 56 days following the State General Election.  </t>
    </r>
    <r>
      <rPr>
        <i/>
        <sz val="12"/>
        <rFont val="Times New Roman"/>
        <family val="1"/>
      </rPr>
      <t xml:space="preserve">Minn. Stat. §205A.05, subd. 1 </t>
    </r>
  </si>
  <si>
    <r>
      <t xml:space="preserve">Counties: </t>
    </r>
    <r>
      <rPr>
        <sz val="12"/>
        <rFont val="Times New Roman"/>
        <family val="1"/>
      </rPr>
      <t xml:space="preserve">First day for school districts to hold a special election after the State General Election - Not within 56 days following the State General Election.  </t>
    </r>
    <r>
      <rPr>
        <i/>
        <sz val="12"/>
        <rFont val="Times New Roman"/>
        <family val="1"/>
      </rPr>
      <t xml:space="preserve">Minn. Stat. §205A.05, subd. 1 </t>
    </r>
  </si>
  <si>
    <r>
      <t xml:space="preserve">School Districts without a Primary: </t>
    </r>
    <r>
      <rPr>
        <sz val="12"/>
        <rFont val="Times New Roman"/>
        <family val="1"/>
      </rPr>
      <t xml:space="preserve">First day for school districts to hold a special election after the State General Election - Not within 56 days following the State General Election.  </t>
    </r>
    <r>
      <rPr>
        <i/>
        <sz val="12"/>
        <rFont val="Times New Roman"/>
        <family val="1"/>
      </rPr>
      <t xml:space="preserve">Minn. Stat. §205A.05, subd. 1 </t>
    </r>
  </si>
  <si>
    <r>
      <t xml:space="preserve">Secretary of State: </t>
    </r>
    <r>
      <rPr>
        <sz val="12"/>
        <rFont val="Times New Roman"/>
        <family val="1"/>
      </rPr>
      <t xml:space="preserve">Last day to post voter history from general election, including Election Day registration or notify the Secretary of State that the deadline will not be met (EDRs only) – within 6 weeks after the election.  </t>
    </r>
    <r>
      <rPr>
        <i/>
        <sz val="12"/>
        <rFont val="Times New Roman"/>
        <family val="1"/>
      </rPr>
      <t xml:space="preserve">Minn. Stat. §201.171; §201.121 </t>
    </r>
  </si>
  <si>
    <r>
      <t xml:space="preserve">Counties: </t>
    </r>
    <r>
      <rPr>
        <sz val="12"/>
        <rFont val="Times New Roman"/>
        <family val="1"/>
      </rPr>
      <t xml:space="preserve">Last day to post voter history from general election, including Election Day registration or notify the Secretary of State that the deadline will not be met (EDRs only) – within 6 weeks after the election.  </t>
    </r>
    <r>
      <rPr>
        <i/>
        <sz val="12"/>
        <rFont val="Times New Roman"/>
        <family val="1"/>
      </rPr>
      <t xml:space="preserve">Minn. Stat. §201.171; §201.121 </t>
    </r>
  </si>
  <si>
    <r>
      <t xml:space="preserve">Towns with March Elections:  </t>
    </r>
    <r>
      <rPr>
        <sz val="12"/>
        <rFont val="Times New Roman"/>
        <family val="1"/>
      </rPr>
      <t xml:space="preserve">Last day to publish notice of Town offices to be elected at March election. Notice to include first and last dates to file for town office. The town clerk's office must be open for filing from 1:00 p.m. to 5:00 p.m. on the last day of the filing period – at least two weeks before the first day to file Affidavit of Candidacy.  </t>
    </r>
    <r>
      <rPr>
        <i/>
        <sz val="12"/>
        <rFont val="Times New Roman"/>
        <family val="1"/>
      </rPr>
      <t>Minn. Stat. §205.13, subd. 2</t>
    </r>
  </si>
  <si>
    <r>
      <t xml:space="preserve">Secretary of State:  </t>
    </r>
    <r>
      <rPr>
        <sz val="12"/>
        <rFont val="Times New Roman"/>
        <family val="1"/>
      </rPr>
      <t xml:space="preserve">Last day to publish notice of Town offices to be elected at March election. Notice to include first and last dates to file for town office. The town clerk's office must be open for filing from 1:00 p.m. to 5:00 p.m. on the last day of the filing period – at least two weeks before the first day to file Affidavit of Candidacy.  </t>
    </r>
    <r>
      <rPr>
        <i/>
        <sz val="12"/>
        <rFont val="Times New Roman"/>
        <family val="1"/>
      </rPr>
      <t>Minn. Stat. §205.13, subd. 2</t>
    </r>
  </si>
  <si>
    <r>
      <t xml:space="preserve">Counties:  </t>
    </r>
    <r>
      <rPr>
        <sz val="12"/>
        <rFont val="Times New Roman"/>
        <family val="1"/>
      </rPr>
      <t xml:space="preserve">Last day to publish notice of Town offices to be elected at March election. Notice to include first and last dates to file for town office. The town clerk's office must be open for filing from 1:00 p.m. to 5:00 p.m. on the last day of the filing period – at least two weeks before the first day to file Affidavit of Candidacy.  </t>
    </r>
    <r>
      <rPr>
        <i/>
        <sz val="12"/>
        <rFont val="Times New Roman"/>
        <family val="1"/>
      </rPr>
      <t>Minn. Stat. §205.13, subd. 2</t>
    </r>
  </si>
  <si>
    <r>
      <t xml:space="preserve">Counties: </t>
    </r>
    <r>
      <rPr>
        <sz val="12"/>
        <rFont val="Times New Roman"/>
        <family val="1"/>
      </rPr>
      <t>Suggested Administrative Procedure: Please record the folowing amounts relating to HAVA funds: 1) the amount spent to purchase election equipment; 2) the amount spent for operating costs; 3) the balance left from assistive voting machine grants; 4) the balance left from optical scan central count and precinct count machine grants; 5) interest earned from a) assistive voting machine grants; and b) optical scan central count and precinct count machine grants; 6) balances left from interest earned.</t>
    </r>
  </si>
  <si>
    <r>
      <t xml:space="preserve">Secretary of State: </t>
    </r>
    <r>
      <rPr>
        <sz val="12"/>
        <rFont val="Times New Roman"/>
        <family val="1"/>
      </rPr>
      <t>Suggested Administrative Procedure: Please record the folowing amounts relating to HAVA funds: 1) the amount spent to purchase election equipment; 2) the amount spent for operating costs; 3) the balance left from assistive voting machine grants; 4) the balance left from optical scan central count and precinct count machine grants; 5) interest earned from a) assistive voting machine grants; and b) optical scan central count and precinct count machine grants; 6) balances left from interest earned.</t>
    </r>
  </si>
  <si>
    <r>
      <t xml:space="preserve">Secretary of State: </t>
    </r>
    <r>
      <rPr>
        <sz val="12"/>
        <rFont val="Times New Roman"/>
        <family val="1"/>
      </rPr>
      <t>Deadline for OSS to file HAVA grant and EAID grant reports with the EAC for federal fiscal year ending September 30, 2014.</t>
    </r>
  </si>
  <si>
    <r>
      <t xml:space="preserve">Counties: </t>
    </r>
    <r>
      <rPr>
        <sz val="12"/>
        <rFont val="Times New Roman"/>
        <family val="1"/>
      </rPr>
      <t>Deadline for OSS to file HAVA grant and EAID grant reports with the EAC for federal fiscal year ending September 30, 2014.</t>
    </r>
  </si>
  <si>
    <r>
      <t xml:space="preserve">Secretary of State: </t>
    </r>
    <r>
      <rPr>
        <sz val="12"/>
        <rFont val="Times New Roman"/>
        <family val="1"/>
      </rPr>
      <t xml:space="preserve">Time period for Town March Elections candidate filings. Filing offices must be open for filing from 1:00-5:00 p.m. on the last day of filing.  Filing offices will be closed on New Year's Day Holiday  - 70-56 days before the election. </t>
    </r>
    <r>
      <rPr>
        <i/>
        <sz val="12"/>
        <rFont val="Times New Roman"/>
        <family val="1"/>
      </rPr>
      <t xml:space="preserve">Minn. Stat. §205.13, subd. 1a </t>
    </r>
  </si>
  <si>
    <r>
      <t xml:space="preserve">Counties: </t>
    </r>
    <r>
      <rPr>
        <sz val="12"/>
        <rFont val="Times New Roman"/>
        <family val="1"/>
      </rPr>
      <t xml:space="preserve">Time period for Town March Elections candidate filings. Filing offices must be open for filing from 1:00-5:00 p.m. on the last day of filing.  Filing offices will be closed on New Year's Day Holiday  - 70-56 days before the election. </t>
    </r>
    <r>
      <rPr>
        <i/>
        <sz val="12"/>
        <rFont val="Times New Roman"/>
        <family val="1"/>
      </rPr>
      <t xml:space="preserve">Minn. Stat. §205.13, subd. 1a </t>
    </r>
  </si>
  <si>
    <r>
      <t xml:space="preserve">Towns with March Elections: </t>
    </r>
    <r>
      <rPr>
        <sz val="12"/>
        <rFont val="Times New Roman"/>
        <family val="1"/>
      </rPr>
      <t xml:space="preserve">Time period for Town March Elections candidate filings. Filing offices must be open for filing from 1:00-5:00 p.m. on the last day of filing.  Filing offices will be closed on New Year's Day Holiday  - 70-56 days before the election. </t>
    </r>
    <r>
      <rPr>
        <i/>
        <sz val="12"/>
        <rFont val="Times New Roman"/>
        <family val="1"/>
      </rPr>
      <t xml:space="preserve">Minn. Stat. §205.13, subd. 1a </t>
    </r>
  </si>
  <si>
    <r>
      <t xml:space="preserve">Counties: </t>
    </r>
    <r>
      <rPr>
        <sz val="12"/>
        <rFont val="Times New Roman"/>
        <family val="1"/>
      </rPr>
      <t xml:space="preserve">Last day to report to the OSS on the combined number of UOCAVA absentee ballots transmitted to voters and the number of UOCAVA Absentee ballots returned and cast - no later than 60 days after the general election.  </t>
    </r>
    <r>
      <rPr>
        <i/>
        <sz val="12"/>
        <rFont val="Times New Roman"/>
        <family val="1"/>
      </rPr>
      <t xml:space="preserve">Minn. Stat. §203B.19 </t>
    </r>
  </si>
  <si>
    <r>
      <t xml:space="preserve">Secretary of State: </t>
    </r>
    <r>
      <rPr>
        <sz val="12"/>
        <rFont val="Times New Roman"/>
        <family val="1"/>
      </rPr>
      <t xml:space="preserve">Last day to report to the OSS on the combined number of UOCAVA absentee ballots transmitted to voters and the number of UOCAVA Absentee ballots returned and cast - no later than 60 days after the general election.  </t>
    </r>
    <r>
      <rPr>
        <i/>
        <sz val="12"/>
        <rFont val="Times New Roman"/>
        <family val="1"/>
      </rPr>
      <t xml:space="preserve">Minn. Stat. §203B.19 </t>
    </r>
  </si>
  <si>
    <r>
      <t>Cities with a Primary:</t>
    </r>
    <r>
      <rPr>
        <sz val="12"/>
        <rFont val="Times New Roman"/>
        <family val="1"/>
      </rPr>
      <t xml:space="preserve"> Terms begin for officers elected at the November General Election - 1st Monday in January.  </t>
    </r>
    <r>
      <rPr>
        <i/>
        <sz val="12"/>
        <rFont val="Times New Roman"/>
        <family val="1"/>
      </rPr>
      <t>Minn. Stat. §412.02, subd. 2</t>
    </r>
  </si>
  <si>
    <r>
      <t xml:space="preserve">Cities without a Primary: </t>
    </r>
    <r>
      <rPr>
        <sz val="12"/>
        <rFont val="Times New Roman"/>
        <family val="1"/>
      </rPr>
      <t xml:space="preserve">Terms begin for officers elected at the November General Election - 1st Monday in January.  </t>
    </r>
    <r>
      <rPr>
        <i/>
        <sz val="12"/>
        <rFont val="Times New Roman"/>
        <family val="1"/>
      </rPr>
      <t>Minn. Stat. §412.02, subd. 2</t>
    </r>
  </si>
  <si>
    <r>
      <t xml:space="preserve">Hospital Districts: </t>
    </r>
    <r>
      <rPr>
        <sz val="12"/>
        <rFont val="Times New Roman"/>
        <family val="1"/>
      </rPr>
      <t xml:space="preserve">Terms begin for officers elected at the November General Election - 1st Monday in January.  </t>
    </r>
    <r>
      <rPr>
        <i/>
        <sz val="12"/>
        <rFont val="Times New Roman"/>
        <family val="1"/>
      </rPr>
      <t>Minn. Stat. §447.32, subd. 1</t>
    </r>
  </si>
  <si>
    <r>
      <t xml:space="preserve">Political Parties: </t>
    </r>
    <r>
      <rPr>
        <sz val="12"/>
        <rFont val="Times New Roman"/>
        <family val="1"/>
      </rPr>
      <t xml:space="preserve">Terms begin for U.S. Representatives and U.S. Senators - January 3rd.  </t>
    </r>
    <r>
      <rPr>
        <i/>
        <sz val="12"/>
        <rFont val="Times New Roman"/>
        <family val="1"/>
      </rPr>
      <t>United States Constitution, Amendment XX, section 1</t>
    </r>
  </si>
  <si>
    <r>
      <t xml:space="preserve">Secretary of State: </t>
    </r>
    <r>
      <rPr>
        <sz val="12"/>
        <rFont val="Times New Roman"/>
        <family val="1"/>
      </rPr>
      <t xml:space="preserve">Terms begin for U.S. Representatives and U.S. Senators - January 3rd.  </t>
    </r>
    <r>
      <rPr>
        <i/>
        <sz val="12"/>
        <rFont val="Times New Roman"/>
        <family val="1"/>
      </rPr>
      <t>United States Constitution, Amendment XX, section 1</t>
    </r>
  </si>
  <si>
    <r>
      <t xml:space="preserve">Counties: </t>
    </r>
    <r>
      <rPr>
        <sz val="12"/>
        <rFont val="Times New Roman"/>
        <family val="1"/>
      </rPr>
      <t xml:space="preserve">Terms begin for U.S. Representatives and U.S. Senators - January 3rd.  </t>
    </r>
    <r>
      <rPr>
        <i/>
        <sz val="12"/>
        <rFont val="Times New Roman"/>
        <family val="1"/>
      </rPr>
      <t>United States Constitution, Amendment XX, section 1</t>
    </r>
  </si>
  <si>
    <r>
      <t xml:space="preserve">Campaign Finance: </t>
    </r>
    <r>
      <rPr>
        <sz val="12"/>
        <rFont val="Times New Roman"/>
        <family val="1"/>
      </rPr>
      <t xml:space="preserve">Terms begin for U.S. Representatives and U.S. Senators - January 3rd.  </t>
    </r>
    <r>
      <rPr>
        <i/>
        <sz val="12"/>
        <rFont val="Times New Roman"/>
        <family val="1"/>
      </rPr>
      <t>United States Constitution, Amendment XX, section 1</t>
    </r>
  </si>
  <si>
    <r>
      <t xml:space="preserve">Soil and Water Conservation Districts: </t>
    </r>
    <r>
      <rPr>
        <sz val="12"/>
        <rFont val="Times New Roman"/>
        <family val="1"/>
      </rPr>
      <t xml:space="preserve">Terms begin for officers elected at the November General Election - 1st Monday in January.  </t>
    </r>
    <r>
      <rPr>
        <i/>
        <sz val="12"/>
        <rFont val="Times New Roman"/>
        <family val="1"/>
      </rPr>
      <t>Minn. Stat. §204D.02, subd. 2</t>
    </r>
  </si>
  <si>
    <t>367.03, subd. 4</t>
  </si>
  <si>
    <r>
      <t xml:space="preserve">School Districts with a Primary:  </t>
    </r>
    <r>
      <rPr>
        <sz val="12"/>
        <rFont val="Times New Roman"/>
        <family val="1"/>
      </rPr>
      <t xml:space="preserve">Terms begin for officers elected at the November General Election - 1st Monday in January. </t>
    </r>
    <r>
      <rPr>
        <i/>
        <sz val="12"/>
        <rFont val="Times New Roman"/>
        <family val="1"/>
      </rPr>
      <t>Minn. Stat. §123B.09, subd. 1</t>
    </r>
  </si>
  <si>
    <r>
      <t xml:space="preserve">School Districts without a Primary:  </t>
    </r>
    <r>
      <rPr>
        <sz val="12"/>
        <rFont val="Times New Roman"/>
        <family val="1"/>
      </rPr>
      <t xml:space="preserve">Terms begin for officers elected at the November General Election - 1st Monday in January. </t>
    </r>
    <r>
      <rPr>
        <i/>
        <sz val="12"/>
        <rFont val="Times New Roman"/>
        <family val="1"/>
      </rPr>
      <t>Minn. Stat. §123B.09, subd. 1</t>
    </r>
  </si>
  <si>
    <r>
      <t xml:space="preserve">Towns with November Elections:  </t>
    </r>
    <r>
      <rPr>
        <sz val="12"/>
        <rFont val="Times New Roman"/>
        <family val="1"/>
      </rPr>
      <t xml:space="preserve">Terms begin for officers elected at the November General Election – 1st Monday in January.  </t>
    </r>
    <r>
      <rPr>
        <i/>
        <sz val="12"/>
        <rFont val="Times New Roman"/>
        <family val="1"/>
      </rPr>
      <t>Minn. Stat. §367.03, subd. 4</t>
    </r>
  </si>
  <si>
    <t>123B.09, subd. 1; 204D.02, subd. 2; 367.03, subd. 4; 412.02, subd. 2; 447.32, subd. 1</t>
  </si>
  <si>
    <r>
      <t xml:space="preserve">Secretary of State: </t>
    </r>
    <r>
      <rPr>
        <sz val="12"/>
        <rFont val="Times New Roman"/>
        <family val="1"/>
      </rPr>
      <t xml:space="preserve">Terms begin for state, judicial, county, city, town, school district and hospital district officers elected at the November State Election - 1st Monday in January of the odd-numbered year following their election.  </t>
    </r>
    <r>
      <rPr>
        <i/>
        <sz val="12"/>
        <rFont val="Times New Roman"/>
        <family val="1"/>
      </rPr>
      <t>Minn. Stat. 123B.09, subd. 1; 204D.02, subd. 2; 367.03, subd. 4; 412.02, subd. 2; 447.32, subd. 1</t>
    </r>
  </si>
  <si>
    <r>
      <t xml:space="preserve">Campaign Finance: </t>
    </r>
    <r>
      <rPr>
        <sz val="12"/>
        <rFont val="Times New Roman"/>
        <family val="1"/>
      </rPr>
      <t xml:space="preserve">Terms begin for state, judicial, county, city, town, school district and hospital district officers elected at the November State Election - 1st Monday in January of the odd-numbered year following their election.  </t>
    </r>
    <r>
      <rPr>
        <i/>
        <sz val="12"/>
        <rFont val="Times New Roman"/>
        <family val="1"/>
      </rPr>
      <t>Minn. Stat. 123B.09, subd. 1; 204D.02, subd. 2; 367.03, subd. 4; 412.02, subd. 2; 447.32, subd. 1</t>
    </r>
  </si>
  <si>
    <r>
      <t xml:space="preserve">Political Parties: </t>
    </r>
    <r>
      <rPr>
        <sz val="12"/>
        <rFont val="Times New Roman"/>
        <family val="1"/>
      </rPr>
      <t xml:space="preserve">Terms begin for state, judicial, county, city, town, school district and hospital district officers elected at the November State Election - 1st Monday in January of the odd-numbered year following their election.  </t>
    </r>
    <r>
      <rPr>
        <i/>
        <sz val="12"/>
        <rFont val="Times New Roman"/>
        <family val="1"/>
      </rPr>
      <t>Minn. Stat. 123B.09, subd. 1; 204D.02, subd. 2; 367.03, subd. 4; 412.02, subd. 2; 447.32, subd. 1</t>
    </r>
  </si>
  <si>
    <r>
      <t xml:space="preserve">Counties: </t>
    </r>
    <r>
      <rPr>
        <sz val="12"/>
        <rFont val="Times New Roman"/>
        <family val="1"/>
      </rPr>
      <t xml:space="preserve">Terms begin for state, judicial, county, city, town, school district and hospital district officers elected at the November State Election - 1st Monday in January of the odd-numbered year following their election.  </t>
    </r>
    <r>
      <rPr>
        <i/>
        <sz val="12"/>
        <rFont val="Times New Roman"/>
        <family val="1"/>
      </rPr>
      <t>Minn. Stat. 123B.09, subd. 1; 204D.02, subd. 2; 367.03, subd. 4; 412.02, subd. 2; 447.32, subd. 1</t>
    </r>
  </si>
  <si>
    <r>
      <t xml:space="preserve">Towns with March Elections: </t>
    </r>
    <r>
      <rPr>
        <sz val="12"/>
        <rFont val="Times New Roman"/>
        <family val="1"/>
      </rPr>
      <t xml:space="preserve">Candidates filing period closes - 56 days before election. </t>
    </r>
    <r>
      <rPr>
        <i/>
        <sz val="12"/>
        <rFont val="Times New Roman"/>
        <family val="1"/>
      </rPr>
      <t>Minn. Stat. §205.13, subd. 1a</t>
    </r>
  </si>
  <si>
    <r>
      <t xml:space="preserve">Secretary of State: </t>
    </r>
    <r>
      <rPr>
        <sz val="12"/>
        <rFont val="Times New Roman"/>
        <family val="1"/>
      </rPr>
      <t xml:space="preserve">Town March Elections candidates filing period closes - 56 days before election. </t>
    </r>
    <r>
      <rPr>
        <i/>
        <sz val="12"/>
        <rFont val="Times New Roman"/>
        <family val="1"/>
      </rPr>
      <t>Minn. Stat. §205.13, subd. 1a</t>
    </r>
  </si>
  <si>
    <r>
      <t xml:space="preserve">Counties: </t>
    </r>
    <r>
      <rPr>
        <sz val="12"/>
        <rFont val="Times New Roman"/>
        <family val="1"/>
      </rPr>
      <t xml:space="preserve">Town March Elections candidates filing period closes - 56 days before election. </t>
    </r>
    <r>
      <rPr>
        <i/>
        <sz val="12"/>
        <rFont val="Times New Roman"/>
        <family val="1"/>
      </rPr>
      <t>Minn. Stat. §205.13, subd. 1a</t>
    </r>
  </si>
  <si>
    <r>
      <t>Secretary of State:</t>
    </r>
    <r>
      <rPr>
        <sz val="12"/>
        <rFont val="Times New Roman"/>
        <family val="1"/>
      </rPr>
      <t xml:space="preserve"> Annual campaign financial reports due - January 31st of each year. </t>
    </r>
    <r>
      <rPr>
        <i/>
        <sz val="12"/>
        <rFont val="Times New Roman"/>
        <family val="1"/>
      </rPr>
      <t xml:space="preserve">Minn. Stat. §211A.02, subd. 1 </t>
    </r>
  </si>
  <si>
    <r>
      <t>Campaign Finance:</t>
    </r>
    <r>
      <rPr>
        <sz val="12"/>
        <rFont val="Times New Roman"/>
        <family val="1"/>
      </rPr>
      <t xml:space="preserve"> Annual campaign financial reports due - January 31st of each year. </t>
    </r>
    <r>
      <rPr>
        <i/>
        <sz val="12"/>
        <rFont val="Times New Roman"/>
        <family val="1"/>
      </rPr>
      <t xml:space="preserve">Minn. Stat. §211A.02, subd. 1 </t>
    </r>
  </si>
  <si>
    <r>
      <t>Political Parties:</t>
    </r>
    <r>
      <rPr>
        <sz val="12"/>
        <rFont val="Times New Roman"/>
        <family val="1"/>
      </rPr>
      <t xml:space="preserve"> Annual campaign financial reports due - January 31st of each year. </t>
    </r>
    <r>
      <rPr>
        <i/>
        <sz val="12"/>
        <rFont val="Times New Roman"/>
        <family val="1"/>
      </rPr>
      <t xml:space="preserve">Minn. Stat. §211A.02, subd. 1 </t>
    </r>
  </si>
  <si>
    <r>
      <t>Counties:</t>
    </r>
    <r>
      <rPr>
        <sz val="12"/>
        <rFont val="Times New Roman"/>
        <family val="1"/>
      </rPr>
      <t xml:space="preserve"> Annual campaign financial reports due - January 31st of each year. </t>
    </r>
    <r>
      <rPr>
        <i/>
        <sz val="12"/>
        <rFont val="Times New Roman"/>
        <family val="1"/>
      </rPr>
      <t xml:space="preserve">Minn. Stat. §211A.02, subd. 1 </t>
    </r>
  </si>
  <si>
    <r>
      <t>Soil and Water Conservation Districts:</t>
    </r>
    <r>
      <rPr>
        <sz val="12"/>
        <rFont val="Times New Roman"/>
        <family val="1"/>
      </rPr>
      <t xml:space="preserve"> Annual campaign financial reports due - January 31st of each year. </t>
    </r>
    <r>
      <rPr>
        <i/>
        <sz val="12"/>
        <rFont val="Times New Roman"/>
        <family val="1"/>
      </rPr>
      <t xml:space="preserve">Minn. Stat. §211A.02, subd. 1 </t>
    </r>
  </si>
  <si>
    <r>
      <t>Cities with a Primary:</t>
    </r>
    <r>
      <rPr>
        <sz val="12"/>
        <rFont val="Times New Roman"/>
        <family val="1"/>
      </rPr>
      <t xml:space="preserve"> Annual campaign financial reports due - January 31st of each year. </t>
    </r>
    <r>
      <rPr>
        <i/>
        <sz val="12"/>
        <rFont val="Times New Roman"/>
        <family val="1"/>
      </rPr>
      <t xml:space="preserve">Minn. Stat. §211A.02, subd. 1 </t>
    </r>
  </si>
  <si>
    <r>
      <t>Cities without a Primary:</t>
    </r>
    <r>
      <rPr>
        <sz val="12"/>
        <rFont val="Times New Roman"/>
        <family val="1"/>
      </rPr>
      <t xml:space="preserve"> Annual campaign financial reports due - January 31st of each year. </t>
    </r>
    <r>
      <rPr>
        <i/>
        <sz val="12"/>
        <rFont val="Times New Roman"/>
        <family val="1"/>
      </rPr>
      <t xml:space="preserve">Minn. Stat. §211A.02, subd. 1 </t>
    </r>
  </si>
  <si>
    <r>
      <t>Towns with March Elections:</t>
    </r>
    <r>
      <rPr>
        <sz val="12"/>
        <rFont val="Times New Roman"/>
        <family val="1"/>
      </rPr>
      <t xml:space="preserve"> Annual campaign financial reports due - January 31st of each year. </t>
    </r>
    <r>
      <rPr>
        <i/>
        <sz val="12"/>
        <rFont val="Times New Roman"/>
        <family val="1"/>
      </rPr>
      <t xml:space="preserve">Minn. Stat. §211A.02, subd. 1 </t>
    </r>
  </si>
  <si>
    <r>
      <t>Towns with November Elections:</t>
    </r>
    <r>
      <rPr>
        <sz val="12"/>
        <rFont val="Times New Roman"/>
        <family val="1"/>
      </rPr>
      <t xml:space="preserve"> Annual campaign financial reports due - January 31st of each year. </t>
    </r>
    <r>
      <rPr>
        <i/>
        <sz val="12"/>
        <rFont val="Times New Roman"/>
        <family val="1"/>
      </rPr>
      <t xml:space="preserve">Minn. Stat. §211A.02, subd. 1 </t>
    </r>
  </si>
  <si>
    <r>
      <t>School Districts with a Primary:</t>
    </r>
    <r>
      <rPr>
        <sz val="12"/>
        <rFont val="Times New Roman"/>
        <family val="1"/>
      </rPr>
      <t xml:space="preserve"> Annual campaign financial reports due - January 31st of each year. </t>
    </r>
    <r>
      <rPr>
        <i/>
        <sz val="12"/>
        <rFont val="Times New Roman"/>
        <family val="1"/>
      </rPr>
      <t xml:space="preserve">Minn. Stat. §211A.02, subd. 1 </t>
    </r>
  </si>
  <si>
    <r>
      <t>School Districts without a Primary:</t>
    </r>
    <r>
      <rPr>
        <sz val="12"/>
        <rFont val="Times New Roman"/>
        <family val="1"/>
      </rPr>
      <t xml:space="preserve"> Annual campaign financial reports due - January 31st of each year. </t>
    </r>
    <r>
      <rPr>
        <i/>
        <sz val="12"/>
        <rFont val="Times New Roman"/>
        <family val="1"/>
      </rPr>
      <t xml:space="preserve">Minn. Stat. §211A.02, subd. 1 </t>
    </r>
  </si>
  <si>
    <r>
      <t>Hospital Districts:</t>
    </r>
    <r>
      <rPr>
        <sz val="12"/>
        <rFont val="Times New Roman"/>
        <family val="1"/>
      </rPr>
      <t xml:space="preserve"> Annual campaign financial reports due - January 31st of each year. </t>
    </r>
    <r>
      <rPr>
        <i/>
        <sz val="12"/>
        <rFont val="Times New Roman"/>
        <family val="1"/>
      </rPr>
      <t xml:space="preserve">Minn. Stat. §211A.02, subd. 1 </t>
    </r>
  </si>
  <si>
    <r>
      <t>Secretary of State:</t>
    </r>
    <r>
      <rPr>
        <sz val="12"/>
        <rFont val="Times New Roman"/>
        <family val="1"/>
      </rPr>
      <t xml:space="preserve"> Last day for OSS to report to the EAC the number of UOCAVA absentee ballots transmitted to voters under section 203B.16 - no later than 90 days after the general election.  </t>
    </r>
    <r>
      <rPr>
        <i/>
        <sz val="12"/>
        <rFont val="Times New Roman"/>
        <family val="1"/>
      </rPr>
      <t>Minn. Stat. §203B.19</t>
    </r>
  </si>
  <si>
    <r>
      <t>Counties:</t>
    </r>
    <r>
      <rPr>
        <sz val="12"/>
        <rFont val="Times New Roman"/>
        <family val="1"/>
      </rPr>
      <t xml:space="preserve"> Last day for OSS to report to the EAC the number of UOCAVA absentee ballots transmitted to voters under section 203B.16 - no later than 90 days after the general election.  </t>
    </r>
    <r>
      <rPr>
        <i/>
        <sz val="12"/>
        <rFont val="Times New Roman"/>
        <family val="1"/>
      </rPr>
      <t>Minn. Stat. §203B.19</t>
    </r>
  </si>
  <si>
    <r>
      <rPr>
        <b/>
        <sz val="12"/>
        <rFont val="Times New Roman"/>
        <family val="1"/>
      </rPr>
      <t>Secretary of State:</t>
    </r>
    <r>
      <rPr>
        <sz val="12"/>
        <rFont val="Times New Roman"/>
        <family val="1"/>
      </rPr>
      <t xml:space="preserve"> Initial Campaign Financial Report due within 14 days of raising or spending more than $750.  </t>
    </r>
    <r>
      <rPr>
        <i/>
        <sz val="12"/>
        <rFont val="Times New Roman"/>
        <family val="1"/>
      </rPr>
      <t>Minn. Stat. §211A.02, subd. 1</t>
    </r>
  </si>
  <si>
    <r>
      <t xml:space="preserve">Political Parties: </t>
    </r>
    <r>
      <rPr>
        <sz val="12"/>
        <rFont val="Times New Roman"/>
        <family val="1"/>
      </rPr>
      <t xml:space="preserve">Initial Campaign Financial Report due within 14 days of raising or spending more than $750.  </t>
    </r>
    <r>
      <rPr>
        <i/>
        <sz val="12"/>
        <rFont val="Times New Roman"/>
        <family val="1"/>
      </rPr>
      <t>Minn. Stat. §211A.02, subd. 1</t>
    </r>
  </si>
  <si>
    <r>
      <t xml:space="preserve">Secretary of State: </t>
    </r>
    <r>
      <rPr>
        <sz val="12"/>
        <rFont val="Times New Roman"/>
        <family val="1"/>
      </rPr>
      <t xml:space="preserve">Application deadline for cities, townships, and counties applying for 2013-2014 EAID Grant. </t>
    </r>
    <r>
      <rPr>
        <i/>
        <sz val="12"/>
        <rFont val="Times New Roman"/>
        <family val="1"/>
      </rPr>
      <t>42 U.S.C. 15421</t>
    </r>
  </si>
  <si>
    <r>
      <t xml:space="preserve">Counties: </t>
    </r>
    <r>
      <rPr>
        <sz val="12"/>
        <rFont val="Times New Roman"/>
        <family val="1"/>
      </rPr>
      <t xml:space="preserve">Application deadline for cities, townships, and counties applying for 2013-2014 EAID Grant. </t>
    </r>
    <r>
      <rPr>
        <i/>
        <sz val="12"/>
        <rFont val="Times New Roman"/>
        <family val="1"/>
      </rPr>
      <t>42 U.S.C. 15421</t>
    </r>
  </si>
  <si>
    <r>
      <t xml:space="preserve">Cities without a Primary: </t>
    </r>
    <r>
      <rPr>
        <sz val="12"/>
        <rFont val="Times New Roman"/>
        <family val="1"/>
      </rPr>
      <t xml:space="preserve">Application deadline for cities, townships, and counties applying for 2013-2014 EAID Grant. </t>
    </r>
    <r>
      <rPr>
        <i/>
        <sz val="12"/>
        <rFont val="Times New Roman"/>
        <family val="1"/>
      </rPr>
      <t>42 U.S.C. 15421</t>
    </r>
  </si>
  <si>
    <r>
      <t xml:space="preserve">Towns with March Elections: </t>
    </r>
    <r>
      <rPr>
        <sz val="12"/>
        <rFont val="Times New Roman"/>
        <family val="1"/>
      </rPr>
      <t xml:space="preserve">Application deadline for cities, townships, and counties applying for 2013-2014 EAID Grant. </t>
    </r>
    <r>
      <rPr>
        <i/>
        <sz val="12"/>
        <rFont val="Times New Roman"/>
        <family val="1"/>
      </rPr>
      <t>42 U.S.C. 15421</t>
    </r>
  </si>
  <si>
    <r>
      <t xml:space="preserve">Towns with November Elections: </t>
    </r>
    <r>
      <rPr>
        <sz val="12"/>
        <rFont val="Times New Roman"/>
        <family val="1"/>
      </rPr>
      <t xml:space="preserve">Application deadline for cities, townships, and counties applying for 2013-2014 EAID Grant. </t>
    </r>
    <r>
      <rPr>
        <i/>
        <sz val="12"/>
        <rFont val="Times New Roman"/>
        <family val="1"/>
      </rPr>
      <t>42 U.S.C. 15421</t>
    </r>
  </si>
  <si>
    <r>
      <t xml:space="preserve">Secretary of State:  </t>
    </r>
    <r>
      <rPr>
        <sz val="12"/>
        <rFont val="Times New Roman"/>
        <family val="1"/>
      </rPr>
      <t xml:space="preserve">Last day for Cities without a Primary, School Districts without a Primary, Hospital Districts, and Towns with November Elections to publish notice of filing - at least 2 weeks before filing opens.  </t>
    </r>
    <r>
      <rPr>
        <i/>
        <sz val="12"/>
        <rFont val="Times New Roman"/>
        <family val="1"/>
      </rPr>
      <t>Minn. Stat. §§205.13, subd. 2; 205A.06, subd.  2; 447.32, subd. 3</t>
    </r>
  </si>
  <si>
    <r>
      <t xml:space="preserve">Campaign Finance:  </t>
    </r>
    <r>
      <rPr>
        <sz val="12"/>
        <rFont val="Times New Roman"/>
        <family val="1"/>
      </rPr>
      <t xml:space="preserve">Last day for Cities without a Primary, School Districts without a Primary, Hospital Districts, and Towns with November Elections to publish notice of filing - at least 2 weeks before filing opens.  </t>
    </r>
    <r>
      <rPr>
        <i/>
        <sz val="12"/>
        <rFont val="Times New Roman"/>
        <family val="1"/>
      </rPr>
      <t>Minn. Stat. §§205.13, subd. 2; 205A.06, subd.  2; 447.32, subd. 3</t>
    </r>
  </si>
  <si>
    <r>
      <t xml:space="preserve">Political Parties:  </t>
    </r>
    <r>
      <rPr>
        <sz val="12"/>
        <rFont val="Times New Roman"/>
        <family val="1"/>
      </rPr>
      <t xml:space="preserve">Last day for Cities without a Primary, School Districts without a Primary, Hospital Districts, and Towns with November Elections to publish notice of filing - at least 2 weeks before filing opens.  </t>
    </r>
    <r>
      <rPr>
        <i/>
        <sz val="12"/>
        <rFont val="Times New Roman"/>
        <family val="1"/>
      </rPr>
      <t>Minn. Stat. §§205.13, subd. 2; 205A.06, subd.  2; 447.32, subd. 3</t>
    </r>
  </si>
  <si>
    <r>
      <t xml:space="preserve">Counties:  </t>
    </r>
    <r>
      <rPr>
        <sz val="12"/>
        <rFont val="Times New Roman"/>
        <family val="1"/>
      </rPr>
      <t xml:space="preserve">Last day for Cities without a Primary, School Districts without a Primary, Hospital Districts, and Towns with November Elections to publish notice of filing - at least 2 weeks before filing opens.  </t>
    </r>
    <r>
      <rPr>
        <i/>
        <sz val="12"/>
        <rFont val="Times New Roman"/>
        <family val="1"/>
      </rPr>
      <t>Minn. Stat. §§205.13, subd. 2; 205A.06, subd.  2; 447.32, subd. 3</t>
    </r>
  </si>
  <si>
    <r>
      <t>School Districts with a Primary:</t>
    </r>
    <r>
      <rPr>
        <sz val="12"/>
        <rFont val="Times New Roman"/>
        <family val="1"/>
      </rPr>
      <t xml:space="preserve"> Last day for winning candidates to file an acceptance and oath of office with the clerk - within 30 days of issuance of certificate of election. </t>
    </r>
    <r>
      <rPr>
        <i/>
        <sz val="12"/>
        <rFont val="Times New Roman"/>
        <family val="1"/>
      </rPr>
      <t>Minn. Stat. §205A.10, subd. 3</t>
    </r>
  </si>
  <si>
    <r>
      <t xml:space="preserve">Legislature: </t>
    </r>
    <r>
      <rPr>
        <sz val="12"/>
        <rFont val="Times New Roman"/>
        <family val="1"/>
      </rPr>
      <t xml:space="preserve">Terms begin for state, judicial, county, city, town, school district and hospital district officers elected at the November State Election - 1st Monday in January of the odd-numbered year following their election.  </t>
    </r>
    <r>
      <rPr>
        <i/>
        <sz val="12"/>
        <rFont val="Times New Roman"/>
        <family val="1"/>
      </rPr>
      <t>Minn. Stat. 123B.09, subd. 1; 204D.02, subd. 2; 367.03, subd. 4; 412.02, subd. 2; 447.32, subd. 1</t>
    </r>
  </si>
  <si>
    <r>
      <t xml:space="preserve">Counties: </t>
    </r>
    <r>
      <rPr>
        <sz val="12"/>
        <rFont val="Times New Roman"/>
        <family val="1"/>
      </rPr>
      <t>Legislative Session Begins</t>
    </r>
  </si>
  <si>
    <r>
      <t xml:space="preserve">Towns with March Elections: </t>
    </r>
    <r>
      <rPr>
        <sz val="12"/>
        <rFont val="Times New Roman"/>
        <family val="1"/>
      </rPr>
      <t xml:space="preserve">Last day for town board to cancel a special election scheduled for March Township Election Day that was ordered by the town board on its own motion - not less than 46 days before the election - </t>
    </r>
    <r>
      <rPr>
        <i/>
        <sz val="12"/>
        <rFont val="Times New Roman"/>
        <family val="1"/>
      </rPr>
      <t>Minn. Stat. §205.10, subd. 6</t>
    </r>
  </si>
  <si>
    <r>
      <t xml:space="preserve">Counties: </t>
    </r>
    <r>
      <rPr>
        <sz val="12"/>
        <rFont val="Times New Roman"/>
        <family val="1"/>
      </rPr>
      <t xml:space="preserve">Last day for town board to cancel a special election scheduled for March Township Election Day that was ordered by the town board on its own motion - not less than 46 days before the election - </t>
    </r>
    <r>
      <rPr>
        <i/>
        <sz val="12"/>
        <rFont val="Times New Roman"/>
        <family val="1"/>
      </rPr>
      <t>Minn. Stat. §205.10, subd. 6</t>
    </r>
  </si>
  <si>
    <r>
      <t xml:space="preserve">Secretary of State: </t>
    </r>
    <r>
      <rPr>
        <sz val="12"/>
        <rFont val="Times New Roman"/>
        <family val="1"/>
      </rPr>
      <t xml:space="preserve">Last day for town board to cancel a special election scheduled for March Township Election Day that was ordered by the town board on its own motion - not less than 46 days before the election - </t>
    </r>
    <r>
      <rPr>
        <i/>
        <sz val="12"/>
        <rFont val="Times New Roman"/>
        <family val="1"/>
      </rPr>
      <t>Minn. Stat. §205.10, subd. 6</t>
    </r>
  </si>
  <si>
    <r>
      <t>Campaign Finance:</t>
    </r>
    <r>
      <rPr>
        <sz val="12"/>
        <rFont val="Times New Roman"/>
        <family val="1"/>
      </rPr>
      <t xml:space="preserve"> Candidates for March township election may withdraw until 5:00 p.m. – within two days after filing closes.  </t>
    </r>
    <r>
      <rPr>
        <i/>
        <sz val="12"/>
        <rFont val="Times New Roman"/>
        <family val="1"/>
      </rPr>
      <t>Minn. Stat. §205.13, subd. 6</t>
    </r>
  </si>
  <si>
    <r>
      <t>Counties:</t>
    </r>
    <r>
      <rPr>
        <sz val="12"/>
        <rFont val="Times New Roman"/>
        <family val="1"/>
      </rPr>
      <t xml:space="preserve"> Candidates for March township election may withdraw until 5:00 p.m. – within two days after filing closes.  </t>
    </r>
    <r>
      <rPr>
        <i/>
        <sz val="12"/>
        <rFont val="Times New Roman"/>
        <family val="1"/>
      </rPr>
      <t>Minn. Stat. §205.13, subd. 6</t>
    </r>
  </si>
  <si>
    <r>
      <t>Secretary of State:</t>
    </r>
    <r>
      <rPr>
        <sz val="12"/>
        <rFont val="Times New Roman"/>
        <family val="1"/>
      </rPr>
      <t xml:space="preserve"> Candidates for March township election may withdraw until 5:00 p.m. – within two days after filing closes.  </t>
    </r>
    <r>
      <rPr>
        <i/>
        <sz val="12"/>
        <rFont val="Times New Roman"/>
        <family val="1"/>
      </rPr>
      <t>Minn. Stat. §205.13, subd. 6</t>
    </r>
  </si>
  <si>
    <r>
      <t xml:space="preserve">Secretary of State: </t>
    </r>
    <r>
      <rPr>
        <sz val="12"/>
        <rFont val="Times New Roman"/>
        <family val="1"/>
      </rPr>
      <t xml:space="preserve">Last day to change precinct boundary prior to March Township Election - at least 10 weeks before the date of the next election. </t>
    </r>
    <r>
      <rPr>
        <i/>
        <sz val="12"/>
        <rFont val="Times New Roman"/>
        <family val="1"/>
      </rPr>
      <t xml:space="preserve">Minn. Stat. §204B.14, subd. 4 </t>
    </r>
  </si>
  <si>
    <r>
      <t xml:space="preserve">Counties: </t>
    </r>
    <r>
      <rPr>
        <sz val="12"/>
        <rFont val="Times New Roman"/>
        <family val="1"/>
      </rPr>
      <t xml:space="preserve">Last day to change precinct boundary prior to March Township Election - at least 10 weeks before the date of the next election. </t>
    </r>
    <r>
      <rPr>
        <i/>
        <sz val="12"/>
        <rFont val="Times New Roman"/>
        <family val="1"/>
      </rPr>
      <t xml:space="preserve">Minn. Stat. §204B.14, subd. 4 </t>
    </r>
  </si>
  <si>
    <r>
      <t xml:space="preserve">Counties:  </t>
    </r>
    <r>
      <rPr>
        <sz val="12"/>
        <rFont val="Times New Roman"/>
        <family val="1"/>
      </rPr>
      <t xml:space="preserve">Secretary of State must send Example Ballot to township clerk - 30 days before absentee ballots must be made available.  </t>
    </r>
    <r>
      <rPr>
        <i/>
        <sz val="12"/>
        <rFont val="Times New Roman"/>
        <family val="1"/>
      </rPr>
      <t>Minn. Stat. §205.17, subd. 7</t>
    </r>
  </si>
  <si>
    <t>205A.05, subd. 1; 447.32, subd. 2</t>
  </si>
  <si>
    <r>
      <t xml:space="preserve">Secretary of State: </t>
    </r>
    <r>
      <rPr>
        <sz val="12"/>
        <rFont val="Times New Roman"/>
        <family val="1"/>
      </rPr>
      <t xml:space="preserve">Annual Campaign Finance Reports due—January 31 of each year.  </t>
    </r>
    <r>
      <rPr>
        <i/>
        <sz val="12"/>
        <rFont val="Times New Roman"/>
        <family val="1"/>
      </rPr>
      <t xml:space="preserve">Minn. Stat. </t>
    </r>
    <r>
      <rPr>
        <sz val="12"/>
        <rFont val="Times New Roman"/>
        <family val="1"/>
      </rPr>
      <t>§</t>
    </r>
    <r>
      <rPr>
        <i/>
        <sz val="12"/>
        <rFont val="Times New Roman"/>
        <family val="1"/>
      </rPr>
      <t>211A.02, subd. 1</t>
    </r>
    <r>
      <rPr>
        <sz val="12"/>
        <rFont val="Times New Roman"/>
        <family val="1"/>
      </rPr>
      <t xml:space="preserve"> </t>
    </r>
  </si>
  <si>
    <r>
      <t xml:space="preserve">Campaign Finance: </t>
    </r>
    <r>
      <rPr>
        <sz val="12"/>
        <rFont val="Times New Roman"/>
        <family val="1"/>
      </rPr>
      <t xml:space="preserve">Annual Campaign Finance Reports due—January 31 of each year.  </t>
    </r>
    <r>
      <rPr>
        <i/>
        <sz val="12"/>
        <rFont val="Times New Roman"/>
        <family val="1"/>
      </rPr>
      <t xml:space="preserve">Minn. Stat. </t>
    </r>
    <r>
      <rPr>
        <sz val="12"/>
        <rFont val="Times New Roman"/>
        <family val="1"/>
      </rPr>
      <t>§</t>
    </r>
    <r>
      <rPr>
        <i/>
        <sz val="12"/>
        <rFont val="Times New Roman"/>
        <family val="1"/>
      </rPr>
      <t>211A.02, subd. 1</t>
    </r>
    <r>
      <rPr>
        <sz val="12"/>
        <rFont val="Times New Roman"/>
        <family val="1"/>
      </rPr>
      <t xml:space="preserve"> </t>
    </r>
  </si>
  <si>
    <r>
      <t xml:space="preserve">Political Parties: </t>
    </r>
    <r>
      <rPr>
        <sz val="12"/>
        <rFont val="Times New Roman"/>
        <family val="1"/>
      </rPr>
      <t xml:space="preserve">Annual Campaign Finance Reports due—January 31 of each year.  </t>
    </r>
    <r>
      <rPr>
        <i/>
        <sz val="12"/>
        <rFont val="Times New Roman"/>
        <family val="1"/>
      </rPr>
      <t xml:space="preserve">Minn. Stat. </t>
    </r>
    <r>
      <rPr>
        <sz val="12"/>
        <rFont val="Times New Roman"/>
        <family val="1"/>
      </rPr>
      <t>§</t>
    </r>
    <r>
      <rPr>
        <i/>
        <sz val="12"/>
        <rFont val="Times New Roman"/>
        <family val="1"/>
      </rPr>
      <t>211A.02, subd. 1</t>
    </r>
    <r>
      <rPr>
        <sz val="12"/>
        <rFont val="Times New Roman"/>
        <family val="1"/>
      </rPr>
      <t xml:space="preserve"> </t>
    </r>
  </si>
  <si>
    <r>
      <t xml:space="preserve">Soil and Water Conservation Districts: </t>
    </r>
    <r>
      <rPr>
        <sz val="12"/>
        <rFont val="Times New Roman"/>
        <family val="1"/>
      </rPr>
      <t xml:space="preserve">Annual Campaign Finance Reports due—January 31 of each year.  </t>
    </r>
    <r>
      <rPr>
        <i/>
        <sz val="12"/>
        <rFont val="Times New Roman"/>
        <family val="1"/>
      </rPr>
      <t xml:space="preserve">Minn. Stat. </t>
    </r>
    <r>
      <rPr>
        <sz val="12"/>
        <rFont val="Times New Roman"/>
        <family val="1"/>
      </rPr>
      <t>§</t>
    </r>
    <r>
      <rPr>
        <i/>
        <sz val="12"/>
        <rFont val="Times New Roman"/>
        <family val="1"/>
      </rPr>
      <t>211A.02, subd. 1</t>
    </r>
    <r>
      <rPr>
        <sz val="12"/>
        <rFont val="Times New Roman"/>
        <family val="1"/>
      </rPr>
      <t xml:space="preserve"> </t>
    </r>
  </si>
  <si>
    <r>
      <t xml:space="preserve">Hospital Districts: </t>
    </r>
    <r>
      <rPr>
        <sz val="12"/>
        <rFont val="Times New Roman"/>
        <family val="1"/>
      </rPr>
      <t xml:space="preserve">Annual Campaign Finance Reports due - January 31 of each year.  </t>
    </r>
    <r>
      <rPr>
        <i/>
        <sz val="12"/>
        <rFont val="Times New Roman"/>
        <family val="1"/>
      </rPr>
      <t>Minn. Stat. §211A.02, subd. 1</t>
    </r>
  </si>
  <si>
    <r>
      <t xml:space="preserve">PRECINCT CAUCUS: Campaign Finance: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</si>
  <si>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PRECINCT CAUCUS: Campaign Finance: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</si>
  <si>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PRECINCT CAUCUS: Political Parties: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</si>
  <si>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Secretary of State: </t>
    </r>
    <r>
      <rPr>
        <sz val="12"/>
        <rFont val="Times New Roman"/>
        <family val="1"/>
      </rPr>
      <t>Last day to publish sample ballot for Township Election – 2 weeks before election.  (Optional for *non-metro towns) Minn. Stat. § 205.16, subd. 2</t>
    </r>
  </si>
  <si>
    <r>
      <t xml:space="preserve">Counties: </t>
    </r>
    <r>
      <rPr>
        <sz val="12"/>
        <rFont val="Times New Roman"/>
        <family val="1"/>
      </rPr>
      <t>Last day to publish sample ballot for Township Election – 2 weeks before election.  (Optional for *non-metro towns) Minn. Stat. § 205.16, subd. 2</t>
    </r>
  </si>
  <si>
    <r>
      <t xml:space="preserve">Secretary of State:  </t>
    </r>
    <r>
      <rPr>
        <sz val="12"/>
        <rFont val="Times New Roman"/>
        <family val="1"/>
      </rPr>
      <t xml:space="preserve">Last day to do public accuracy test of voting equipment - within 14 days of election. Publish notice at least two days before test.  </t>
    </r>
    <r>
      <rPr>
        <i/>
        <sz val="12"/>
        <rFont val="Times New Roman"/>
        <family val="1"/>
      </rPr>
      <t>Minn. Stat. §206.83</t>
    </r>
  </si>
  <si>
    <r>
      <t xml:space="preserve">Secretary of State:  </t>
    </r>
    <r>
      <rPr>
        <sz val="12"/>
        <rFont val="Times New Roman"/>
        <family val="1"/>
      </rPr>
      <t xml:space="preserve">Last day for election judges to secure election supplies from town clerk – no later than 9:00 p.m. the day before the election. </t>
    </r>
    <r>
      <rPr>
        <i/>
        <sz val="12"/>
        <rFont val="Times New Roman"/>
        <family val="1"/>
      </rPr>
      <t>Minn. Stat. §204B.29, subd. 1</t>
    </r>
  </si>
  <si>
    <r>
      <t xml:space="preserve">Counties:  </t>
    </r>
    <r>
      <rPr>
        <sz val="12"/>
        <rFont val="Times New Roman"/>
        <family val="1"/>
      </rPr>
      <t xml:space="preserve">Last day for election judges to secure election supplies from town clerk – no later than 9:00 p.m. the day before the election. </t>
    </r>
    <r>
      <rPr>
        <i/>
        <sz val="12"/>
        <rFont val="Times New Roman"/>
        <family val="1"/>
      </rPr>
      <t>Minn. Stat. §204B.29, subd. 1</t>
    </r>
  </si>
  <si>
    <r>
      <t xml:space="preserve">Secretary of State: </t>
    </r>
    <r>
      <rPr>
        <sz val="12"/>
        <rFont val="Times New Roman"/>
        <family val="1"/>
      </rPr>
      <t xml:space="preserve">Last day to secure election materials from auditor – four days before election.  </t>
    </r>
    <r>
      <rPr>
        <i/>
        <sz val="12"/>
        <rFont val="Times New Roman"/>
        <family val="1"/>
      </rPr>
      <t>Minn. Stat. §204B.28, subd. 2</t>
    </r>
  </si>
  <si>
    <r>
      <t>TOWNSHIP ELECTION DAY: Political Parties:</t>
    </r>
    <r>
      <rPr>
        <sz val="12"/>
        <rFont val="Times New Roman"/>
        <family val="1"/>
      </rPr>
      <t xml:space="preserve">  2nd Tuesday in March.  </t>
    </r>
    <r>
      <rPr>
        <i/>
        <sz val="12"/>
        <rFont val="Times New Roman"/>
        <family val="1"/>
      </rPr>
      <t>Minn. Stat. §205.075, subd. 1</t>
    </r>
    <r>
      <rPr>
        <b/>
        <sz val="12"/>
        <rFont val="Times New Roman"/>
        <family val="1"/>
      </rPr>
      <t xml:space="preserve"> </t>
    </r>
  </si>
  <si>
    <r>
      <t xml:space="preserve">TOWNSHIP ELECTION DAY: Soil and Water Conservation Districts: - </t>
    </r>
    <r>
      <rPr>
        <sz val="12"/>
        <rFont val="Times New Roman"/>
        <family val="1"/>
      </rPr>
      <t xml:space="preserve">2nd Tuesday in March.  </t>
    </r>
    <r>
      <rPr>
        <i/>
        <sz val="12"/>
        <rFont val="Times New Roman"/>
        <family val="1"/>
      </rPr>
      <t xml:space="preserve">Minn. Stat. §205.075, subd. 1.  </t>
    </r>
  </si>
  <si>
    <r>
      <t xml:space="preserve">TOWNSHIP ELECTION DAY: Hospital Districts: - </t>
    </r>
    <r>
      <rPr>
        <sz val="12"/>
        <rFont val="Times New Roman"/>
        <family val="1"/>
      </rPr>
      <t xml:space="preserve">2nd Tuesday in March.  </t>
    </r>
    <r>
      <rPr>
        <i/>
        <sz val="12"/>
        <rFont val="Times New Roman"/>
        <family val="1"/>
      </rPr>
      <t xml:space="preserve">Minn. Stat. §205.075, subd. 1.  </t>
    </r>
  </si>
  <si>
    <r>
      <t xml:space="preserve">TOWNSHIP ELECTION DAY:  Secretary of State: </t>
    </r>
    <r>
      <rPr>
        <sz val="12"/>
        <rFont val="Times New Roman"/>
        <family val="1"/>
      </rPr>
      <t xml:space="preserve">No public meetings or school events between 6:00 p.m. and 8:00 p.m. - on a day when an election is held within the County.  </t>
    </r>
    <r>
      <rPr>
        <i/>
        <sz val="12"/>
        <rFont val="Times New Roman"/>
        <family val="1"/>
      </rPr>
      <t>Minn. Stat. §204C.03</t>
    </r>
  </si>
  <si>
    <r>
      <t xml:space="preserve">TOWNSHIP ELECTION DAY:  Campaign Finance: </t>
    </r>
    <r>
      <rPr>
        <sz val="12"/>
        <rFont val="Times New Roman"/>
        <family val="1"/>
      </rPr>
      <t xml:space="preserve">No public meetings or school events between 6:00 p.m. and 8:00 p.m. - on a day when an election is held within the County.  </t>
    </r>
    <r>
      <rPr>
        <i/>
        <sz val="12"/>
        <rFont val="Times New Roman"/>
        <family val="1"/>
      </rPr>
      <t>Minn. Stat. §204C.03</t>
    </r>
  </si>
  <si>
    <r>
      <t xml:space="preserve">TOWNSHIP ELECTION DAY:  Political Parties: </t>
    </r>
    <r>
      <rPr>
        <sz val="12"/>
        <rFont val="Times New Roman"/>
        <family val="1"/>
      </rPr>
      <t xml:space="preserve">No public meetings or school events between 6:00 p.m. and 8:00 p.m. - on a day when an election is held within the County.  </t>
    </r>
    <r>
      <rPr>
        <i/>
        <sz val="12"/>
        <rFont val="Times New Roman"/>
        <family val="1"/>
      </rPr>
      <t>Minn. Stat. §204C.03</t>
    </r>
  </si>
  <si>
    <r>
      <t xml:space="preserve">TOWNSHIP ELECTION DAY: School Districts with a Primary: - </t>
    </r>
    <r>
      <rPr>
        <sz val="12"/>
        <rFont val="Times New Roman"/>
        <family val="1"/>
      </rPr>
      <t xml:space="preserve">2nd Tuesday in March.  </t>
    </r>
    <r>
      <rPr>
        <i/>
        <sz val="12"/>
        <rFont val="Times New Roman"/>
        <family val="1"/>
      </rPr>
      <t xml:space="preserve">Minn. Stat. §205.075, subd. 1.  </t>
    </r>
  </si>
  <si>
    <r>
      <t xml:space="preserve">TOWNSHIP ELECTION DAY: School Districts without a Primary: - </t>
    </r>
    <r>
      <rPr>
        <sz val="12"/>
        <rFont val="Times New Roman"/>
        <family val="1"/>
      </rPr>
      <t xml:space="preserve">2nd Tuesday in March.  </t>
    </r>
    <r>
      <rPr>
        <i/>
        <sz val="12"/>
        <rFont val="Times New Roman"/>
        <family val="1"/>
      </rPr>
      <t xml:space="preserve">Minn. Stat. §205.075, subd. 1.  </t>
    </r>
  </si>
  <si>
    <r>
      <t xml:space="preserve">TOWNSHIP ELECTION DAY: Secretary of State: Metro &amp; Non-Metro Area: </t>
    </r>
    <r>
      <rPr>
        <sz val="12"/>
        <rFont val="Times New Roman"/>
        <family val="1"/>
      </rPr>
      <t xml:space="preserve">Minimum voting hours for metro towns is 10:00 a.m. to 8:00 p.m.  Minimum voting hours for non-metro towns is 5:00 p.m. to 8:00 p.m. (*Metro Area includes the following Counties:  Anoka, Carver, Chisago, Dakota, Hennepin, Isanti, Ramsey, Scott, Sherburne, Washington, and Wright.)  </t>
    </r>
    <r>
      <rPr>
        <i/>
        <sz val="12"/>
        <rFont val="Times New Roman"/>
        <family val="1"/>
      </rPr>
      <t>Minn. Stat. §205.175</t>
    </r>
  </si>
  <si>
    <r>
      <t xml:space="preserve">TOWNSHIP ELECTION DAY: Political Parties: Metro &amp; Non-Metro Area: </t>
    </r>
    <r>
      <rPr>
        <sz val="12"/>
        <rFont val="Times New Roman"/>
        <family val="1"/>
      </rPr>
      <t xml:space="preserve">Minimum voting hours for metro towns is 10:00 a.m. to 8:00 p.m.  Minimum voting hours for non-metro towns is 5:00 p.m. to 8:00 p.m. (*Metro Area includes the following Counties:  Anoka, Carver, Chisago, Dakota, Hennepin, Isanti, Ramsey, Scott, Sherburne, Washington, and Wright.)  </t>
    </r>
    <r>
      <rPr>
        <i/>
        <sz val="12"/>
        <rFont val="Times New Roman"/>
        <family val="1"/>
      </rPr>
      <t>Minn. Stat. §205.175</t>
    </r>
  </si>
  <si>
    <r>
      <t xml:space="preserve">TOWNSHIP ELECTION DAY: Counties: Metro &amp; Non-Metro Area: </t>
    </r>
    <r>
      <rPr>
        <sz val="12"/>
        <rFont val="Times New Roman"/>
        <family val="1"/>
      </rPr>
      <t xml:space="preserve">Minimum voting hours for metro towns is 10:00 a.m. to 8:00 p.m.  Minimum voting hours for non-metro towns is 5:00 p.m. to 8:00 p.m. (*Metro Area includes the following Counties:  Anoka, Carver, Chisago, Dakota, Hennepin, Isanti, Ramsey, Scott, Sherburne, Washington, and Wright.)  </t>
    </r>
    <r>
      <rPr>
        <i/>
        <sz val="12"/>
        <rFont val="Times New Roman"/>
        <family val="1"/>
      </rPr>
      <t>Minn. Stat. §205.175</t>
    </r>
  </si>
  <si>
    <r>
      <t xml:space="preserve">Counties: </t>
    </r>
    <r>
      <rPr>
        <sz val="12"/>
        <rFont val="Times New Roman"/>
        <family val="1"/>
      </rPr>
      <t>Township faxes unofficial results to auditor.</t>
    </r>
  </si>
  <si>
    <r>
      <t xml:space="preserve">Secretary of State: </t>
    </r>
    <r>
      <rPr>
        <sz val="12"/>
        <rFont val="Times New Roman"/>
        <family val="1"/>
      </rPr>
      <t>Township faxes unofficial results to auditor.</t>
    </r>
  </si>
  <si>
    <r>
      <t xml:space="preserve">Secretary of State: </t>
    </r>
    <r>
      <rPr>
        <sz val="12"/>
        <rFont val="Times New Roman"/>
        <family val="1"/>
      </rPr>
      <t xml:space="preserve">Election Judges must return election materials to Clerk’s office – within 24 hours of the end of the hours for voting.  </t>
    </r>
    <r>
      <rPr>
        <i/>
        <sz val="12"/>
        <rFont val="Times New Roman"/>
        <family val="1"/>
      </rPr>
      <t>Minn. Stat §204C.27</t>
    </r>
  </si>
  <si>
    <r>
      <t xml:space="preserve">Counties: </t>
    </r>
    <r>
      <rPr>
        <sz val="12"/>
        <rFont val="Times New Roman"/>
        <family val="1"/>
      </rPr>
      <t xml:space="preserve">Election Judges must return election materials to Clerk’s office – within 24 hours of the end of the hours for voting.  </t>
    </r>
    <r>
      <rPr>
        <i/>
        <sz val="12"/>
        <rFont val="Times New Roman"/>
        <family val="1"/>
      </rPr>
      <t>Minn. Stat §204C.27</t>
    </r>
  </si>
  <si>
    <r>
      <t xml:space="preserve">Secretary of State: </t>
    </r>
    <r>
      <rPr>
        <sz val="12"/>
        <rFont val="Times New Roman"/>
        <family val="1"/>
      </rPr>
      <t xml:space="preserve">Last day for candidates to file </t>
    </r>
    <r>
      <rPr>
        <i/>
        <sz val="12"/>
        <rFont val="Times New Roman"/>
        <family val="1"/>
      </rPr>
      <t xml:space="preserve">Campaign Financial Report Certification of Filing – </t>
    </r>
    <r>
      <rPr>
        <sz val="12"/>
        <rFont val="Times New Roman"/>
        <family val="1"/>
      </rPr>
      <t xml:space="preserve">no later than seven days after the election.  </t>
    </r>
    <r>
      <rPr>
        <i/>
        <sz val="12"/>
        <rFont val="Times New Roman"/>
        <family val="1"/>
      </rPr>
      <t>Minn. Stat. §211A.05, subd. 1</t>
    </r>
  </si>
  <si>
    <r>
      <t xml:space="preserve">Campaign Finance: </t>
    </r>
    <r>
      <rPr>
        <sz val="12"/>
        <rFont val="Times New Roman"/>
        <family val="1"/>
      </rPr>
      <t xml:space="preserve">Last day for candidates to file </t>
    </r>
    <r>
      <rPr>
        <i/>
        <sz val="12"/>
        <rFont val="Times New Roman"/>
        <family val="1"/>
      </rPr>
      <t xml:space="preserve">Campaign Financial Report Certification of Filing – </t>
    </r>
    <r>
      <rPr>
        <sz val="12"/>
        <rFont val="Times New Roman"/>
        <family val="1"/>
      </rPr>
      <t xml:space="preserve">no later than seven days after the election.  </t>
    </r>
    <r>
      <rPr>
        <i/>
        <sz val="12"/>
        <rFont val="Times New Roman"/>
        <family val="1"/>
      </rPr>
      <t>Minn. Stat. §211A.05, subd. 1</t>
    </r>
  </si>
  <si>
    <r>
      <t xml:space="preserve">Political Parties: </t>
    </r>
    <r>
      <rPr>
        <sz val="12"/>
        <rFont val="Times New Roman"/>
        <family val="1"/>
      </rPr>
      <t xml:space="preserve">Last day for candidates to file </t>
    </r>
    <r>
      <rPr>
        <i/>
        <sz val="12"/>
        <rFont val="Times New Roman"/>
        <family val="1"/>
      </rPr>
      <t xml:space="preserve">Campaign Financial Report Certification of Filing – </t>
    </r>
    <r>
      <rPr>
        <sz val="12"/>
        <rFont val="Times New Roman"/>
        <family val="1"/>
      </rPr>
      <t xml:space="preserve">no later than seven days after the election.  </t>
    </r>
    <r>
      <rPr>
        <i/>
        <sz val="12"/>
        <rFont val="Times New Roman"/>
        <family val="1"/>
      </rPr>
      <t>Minn. Stat. §211A.05, subd. 1</t>
    </r>
  </si>
  <si>
    <r>
      <t xml:space="preserve">Counties: </t>
    </r>
    <r>
      <rPr>
        <sz val="12"/>
        <rFont val="Times New Roman"/>
        <family val="1"/>
      </rPr>
      <t xml:space="preserve">Last day for candidates to file </t>
    </r>
    <r>
      <rPr>
        <i/>
        <sz val="12"/>
        <rFont val="Times New Roman"/>
        <family val="1"/>
      </rPr>
      <t xml:space="preserve">Campaign Financial Report Certification of Filing – </t>
    </r>
    <r>
      <rPr>
        <sz val="12"/>
        <rFont val="Times New Roman"/>
        <family val="1"/>
      </rPr>
      <t xml:space="preserve">no later than seven days after the election.  </t>
    </r>
    <r>
      <rPr>
        <i/>
        <sz val="12"/>
        <rFont val="Times New Roman"/>
        <family val="1"/>
      </rPr>
      <t>Minn. Stat. §211A.05, subd. 1</t>
    </r>
  </si>
  <si>
    <r>
      <t xml:space="preserve">Counties: </t>
    </r>
    <r>
      <rPr>
        <sz val="12"/>
        <rFont val="Times New Roman"/>
        <family val="1"/>
      </rPr>
      <t xml:space="preserve">Last day for municipality to withdraw from participating in a combined polling place by filing a resolution of withdrawal with county auditor - no later than April 1 of any year.  </t>
    </r>
    <r>
      <rPr>
        <i/>
        <sz val="12"/>
        <rFont val="Times New Roman"/>
        <family val="1"/>
      </rPr>
      <t>Minn. Stat. §204B.14, subd. 2(4)</t>
    </r>
  </si>
  <si>
    <r>
      <t xml:space="preserve">Secretary of State: </t>
    </r>
    <r>
      <rPr>
        <sz val="12"/>
        <rFont val="Times New Roman"/>
        <family val="1"/>
      </rPr>
      <t xml:space="preserve">Last day for municipality to withdraw from participating in a combined polling place by filing a resolution of withdrawal with county auditor - no later than April 1 of any year.  </t>
    </r>
    <r>
      <rPr>
        <i/>
        <sz val="12"/>
        <rFont val="Times New Roman"/>
        <family val="1"/>
      </rPr>
      <t>Minn. Stat. §204B.14, subd. 2(4)</t>
    </r>
  </si>
  <si>
    <r>
      <t xml:space="preserve">Political Parties: </t>
    </r>
    <r>
      <rPr>
        <sz val="12"/>
        <rFont val="Times New Roman"/>
        <family val="1"/>
      </rPr>
      <t xml:space="preserve">Campaign Finance Report due - 30 days after the March Township election (If more than $750 raised or spent).  </t>
    </r>
    <r>
      <rPr>
        <i/>
        <sz val="12"/>
        <rFont val="Times New Roman"/>
        <family val="1"/>
      </rPr>
      <t>Minn. Stat. §211A.02, subd. 1</t>
    </r>
  </si>
  <si>
    <r>
      <t xml:space="preserve">Secretary of State: </t>
    </r>
    <r>
      <rPr>
        <sz val="12"/>
        <rFont val="Times New Roman"/>
        <family val="1"/>
      </rPr>
      <t xml:space="preserve">Campaign Finance Report due - 30 days after the March Township election (If more than $750 raised or spent).  </t>
    </r>
    <r>
      <rPr>
        <i/>
        <sz val="12"/>
        <rFont val="Times New Roman"/>
        <family val="1"/>
      </rPr>
      <t>Minn. Stat. §211A.02, subd. 1</t>
    </r>
  </si>
  <si>
    <r>
      <t>Political Parties:</t>
    </r>
    <r>
      <rPr>
        <sz val="12"/>
        <rFont val="Times New Roman"/>
        <family val="1"/>
      </rPr>
      <t xml:space="preserve"> Individuals file supplemental statement of economic interest (**Metropolitan Counties, all Counties for those elected or appointed to terms of office commencing on or after 1/1/2014 and cities with population over 50,000 in Metropolitan Counties) - on April 15 of each year. </t>
    </r>
    <r>
      <rPr>
        <i/>
        <sz val="12"/>
        <rFont val="Times New Roman"/>
        <family val="1"/>
      </rPr>
      <t xml:space="preserve">Minn. Stat. §10A.09, subd. 6 </t>
    </r>
  </si>
  <si>
    <r>
      <t>Secretary of State:</t>
    </r>
    <r>
      <rPr>
        <sz val="12"/>
        <rFont val="Times New Roman"/>
        <family val="1"/>
      </rPr>
      <t xml:space="preserve"> Counties print registration counts by precinct and precinct split for ballot rotation programming - 8:00 a.m. on May 1 of the election year. </t>
    </r>
    <r>
      <rPr>
        <i/>
        <sz val="12"/>
        <rFont val="Times New Roman"/>
        <family val="1"/>
      </rPr>
      <t>Minn. Stat. §206.61, subd. 5; Minn. Rule 8220.0825</t>
    </r>
  </si>
  <si>
    <r>
      <t xml:space="preserve">Secretary of State: </t>
    </r>
    <r>
      <rPr>
        <sz val="12"/>
        <rFont val="Times New Roman"/>
        <family val="1"/>
      </rPr>
      <t xml:space="preserve">First day to conduct a school district/hospital district special election following a township election in the district - not within 56 days after regularly scheduled municipal election within the district.  </t>
    </r>
    <r>
      <rPr>
        <i/>
        <sz val="12"/>
        <rFont val="Times New Roman"/>
        <family val="1"/>
      </rPr>
      <t>Minn. Stat. §205A.05, subd. 1; 447.32, subd. 2</t>
    </r>
  </si>
  <si>
    <r>
      <t xml:space="preserve">Secretary of State: </t>
    </r>
    <r>
      <rPr>
        <sz val="12"/>
        <rFont val="Times New Roman"/>
        <family val="1"/>
      </rPr>
      <t xml:space="preserve">Last day for OSS to furnish electronically to county auditors a list of names of election judges for each election precinct in the jurisdiction of the appointing authority, noting the political party affiliation of each individual on the list.  The county auditor must promptly forward the names to the municipal clerk - by May 15.  </t>
    </r>
    <r>
      <rPr>
        <i/>
        <sz val="12"/>
        <rFont val="Times New Roman"/>
        <family val="1"/>
      </rPr>
      <t>Minn. Stat. §204B.21, subd. 1</t>
    </r>
  </si>
  <si>
    <r>
      <t xml:space="preserve">Political Parties: </t>
    </r>
    <r>
      <rPr>
        <sz val="12"/>
        <rFont val="Times New Roman"/>
        <family val="1"/>
      </rPr>
      <t xml:space="preserve">Last day for OSS to furnish electronically to county auditors a list of names of election judges for each election precinct in the jurisdiction of the appointing authority, noting the political party affiliation of each individual on the list.  The county auditor must promptly forward the names to the municipal clerk - by May 15.  </t>
    </r>
    <r>
      <rPr>
        <i/>
        <sz val="12"/>
        <rFont val="Times New Roman"/>
        <family val="1"/>
      </rPr>
      <t>Minn. Stat. §204B.21, subd. 1</t>
    </r>
  </si>
  <si>
    <r>
      <t xml:space="preserve">Counties: </t>
    </r>
    <r>
      <rPr>
        <sz val="12"/>
        <rFont val="Times New Roman"/>
        <family val="1"/>
      </rPr>
      <t xml:space="preserve">Last day for OSS to furnish electronically to county auditors a list of names of election judges for each election precinct in the jurisdiction of the appointing authority, noting the political party affiliation of each individual on the list.  The county auditor must promptly forward the names to the municipal clerk - by May 15.  </t>
    </r>
    <r>
      <rPr>
        <i/>
        <sz val="12"/>
        <rFont val="Times New Roman"/>
        <family val="1"/>
      </rPr>
      <t>Minn. Stat. §204B.21, subd. 1</t>
    </r>
  </si>
  <si>
    <r>
      <t xml:space="preserve">Cities with a Primary: </t>
    </r>
    <r>
      <rPr>
        <sz val="12"/>
        <rFont val="Times New Roman"/>
        <family val="1"/>
      </rPr>
      <t xml:space="preserve">Last day for OSS to furnish electronically to county auditors a list of names of election judges for each election precinct in the jurisdiction of the appointing authority, noting the political party affiliation of each individual on the list.  The county auditor must promptly forward the names to the municipal clerk - by May 15.  </t>
    </r>
    <r>
      <rPr>
        <i/>
        <sz val="12"/>
        <rFont val="Times New Roman"/>
        <family val="1"/>
      </rPr>
      <t>Minn. Stat. §204B.21, subd. 1</t>
    </r>
  </si>
  <si>
    <r>
      <t xml:space="preserve">Cities without a Primary: </t>
    </r>
    <r>
      <rPr>
        <sz val="12"/>
        <rFont val="Times New Roman"/>
        <family val="1"/>
      </rPr>
      <t xml:space="preserve">Last day for OSS to furnish electronically to county auditors a list of names of election judges for each election precinct in the jurisdiction of the appointing authority, noting the political party affiliation of each individual on the list.  The county auditor must promptly forward the names to the municipal clerk - by May 15.  </t>
    </r>
    <r>
      <rPr>
        <i/>
        <sz val="12"/>
        <rFont val="Times New Roman"/>
        <family val="1"/>
      </rPr>
      <t>Minn. Stat. §204B.21, subd. 1</t>
    </r>
  </si>
  <si>
    <r>
      <t xml:space="preserve">Towns with November Elections: </t>
    </r>
    <r>
      <rPr>
        <sz val="12"/>
        <rFont val="Times New Roman"/>
        <family val="1"/>
      </rPr>
      <t xml:space="preserve">Last day for OSS to furnish electronically to county auditors a list of names of election judges for each election precinct in the jurisdiction of the appointing authority, noting the political party affiliation of each individual on the list.  The county auditor must promptly forward the names to the municipal clerk - by May 15.  </t>
    </r>
    <r>
      <rPr>
        <i/>
        <sz val="12"/>
        <rFont val="Times New Roman"/>
        <family val="1"/>
      </rPr>
      <t>Minn. Stat. §204B.21, subd. 1</t>
    </r>
  </si>
  <si>
    <r>
      <t xml:space="preserve">Legislature: </t>
    </r>
    <r>
      <rPr>
        <sz val="12"/>
        <rFont val="Times New Roman"/>
        <family val="1"/>
      </rPr>
      <t xml:space="preserve">Last day for 2014 Legislature to meet in regular session - first Monday following the 3rd Saturday in May of any year. </t>
    </r>
    <r>
      <rPr>
        <i/>
        <sz val="12"/>
        <rFont val="Times New Roman"/>
        <family val="1"/>
      </rPr>
      <t>Minnesota Constitution, Article IV, Section 12</t>
    </r>
  </si>
  <si>
    <r>
      <t xml:space="preserve">Secretary of State: </t>
    </r>
    <r>
      <rPr>
        <sz val="12"/>
        <rFont val="Times New Roman"/>
        <family val="1"/>
      </rPr>
      <t xml:space="preserve">Last Day for 2014 Legislature to meet in regular session - first Monday following the 3rd Saturday in May of any year.  </t>
    </r>
    <r>
      <rPr>
        <i/>
        <sz val="12"/>
        <rFont val="Times New Roman"/>
        <family val="1"/>
      </rPr>
      <t>Minnesota Constitution, Article IV, Section 12</t>
    </r>
  </si>
  <si>
    <r>
      <t xml:space="preserve">Counties: </t>
    </r>
    <r>
      <rPr>
        <sz val="12"/>
        <rFont val="Times New Roman"/>
        <family val="1"/>
      </rPr>
      <t xml:space="preserve">Last Day for 2014 Legislature to meet in regular session - first Monday following the 3rd Saturday in May of any year.  </t>
    </r>
    <r>
      <rPr>
        <i/>
        <sz val="12"/>
        <rFont val="Times New Roman"/>
        <family val="1"/>
      </rPr>
      <t>Minnesota Constitution, Article IV, Section 12</t>
    </r>
  </si>
  <si>
    <r>
      <t xml:space="preserve">Secretary of State: </t>
    </r>
    <r>
      <rPr>
        <sz val="12"/>
        <rFont val="Times New Roman"/>
        <family val="1"/>
      </rPr>
      <t xml:space="preserve">Notify Campaign and Finance Public Disclosure Board of filing candidates </t>
    </r>
    <r>
      <rPr>
        <i/>
        <sz val="12"/>
        <rFont val="Times New Roman"/>
        <family val="1"/>
      </rPr>
      <t xml:space="preserve">required </t>
    </r>
    <r>
      <rPr>
        <sz val="12"/>
        <rFont val="Times New Roman"/>
        <family val="1"/>
      </rPr>
      <t xml:space="preserve">to file Statements of Economic Interest - Upon receiving an affidavit of candidacy or petition to appear on the ballot. (i.e., any member of the legislature)  (see  M.S. 10A.01 &amp; 10A.09 for more details). </t>
    </r>
    <r>
      <rPr>
        <i/>
        <sz val="12"/>
        <rFont val="Times New Roman"/>
        <family val="1"/>
      </rPr>
      <t>Minn. Stat. §10A.09, subd. 2</t>
    </r>
  </si>
  <si>
    <r>
      <t xml:space="preserve">Campaign Finance: </t>
    </r>
    <r>
      <rPr>
        <sz val="12"/>
        <rFont val="Times New Roman"/>
        <family val="1"/>
      </rPr>
      <t xml:space="preserve">Notify Campaign and Finance Public Disclosure Board of filing candidates </t>
    </r>
    <r>
      <rPr>
        <i/>
        <sz val="12"/>
        <rFont val="Times New Roman"/>
        <family val="1"/>
      </rPr>
      <t xml:space="preserve">required </t>
    </r>
    <r>
      <rPr>
        <sz val="12"/>
        <rFont val="Times New Roman"/>
        <family val="1"/>
      </rPr>
      <t>to file Statements of Economic Interest - Upon receiving an affidavit of candidacy or petition to appear on the ballot. (see  M.S. 10A.01 &amp; 10A.09 for more details).</t>
    </r>
    <r>
      <rPr>
        <i/>
        <sz val="12"/>
        <rFont val="Times New Roman"/>
        <family val="1"/>
      </rPr>
      <t>Minn. Stat. §10A.09, subd. 2</t>
    </r>
  </si>
  <si>
    <r>
      <t xml:space="preserve">Political Parties: </t>
    </r>
    <r>
      <rPr>
        <sz val="12"/>
        <rFont val="Times New Roman"/>
        <family val="1"/>
      </rPr>
      <t xml:space="preserve">Notify Campaign and Finance Public Disclosure Board of filing candidates </t>
    </r>
    <r>
      <rPr>
        <i/>
        <sz val="12"/>
        <rFont val="Times New Roman"/>
        <family val="1"/>
      </rPr>
      <t xml:space="preserve">required </t>
    </r>
    <r>
      <rPr>
        <sz val="12"/>
        <rFont val="Times New Roman"/>
        <family val="1"/>
      </rPr>
      <t xml:space="preserve">to file Statements of Economic Interest - Upon receiving an affidavit of candidacy or petition to appear on the ballot. (see  M.S. 10A.01 &amp; 10A.09 for more details). </t>
    </r>
    <r>
      <rPr>
        <i/>
        <sz val="12"/>
        <rFont val="Times New Roman"/>
        <family val="1"/>
      </rPr>
      <t>Minn. Stat. §10A.09, subd. 2</t>
    </r>
  </si>
  <si>
    <r>
      <t xml:space="preserve">Cities with a Primary: </t>
    </r>
    <r>
      <rPr>
        <sz val="12"/>
        <rFont val="Times New Roman"/>
        <family val="1"/>
      </rPr>
      <t xml:space="preserve">Notify Campaign and Finance Public Disclosure Board of filing candidates </t>
    </r>
    <r>
      <rPr>
        <i/>
        <sz val="12"/>
        <rFont val="Times New Roman"/>
        <family val="1"/>
      </rPr>
      <t>required</t>
    </r>
    <r>
      <rPr>
        <sz val="12"/>
        <rFont val="Times New Roman"/>
        <family val="1"/>
      </rPr>
      <t xml:space="preserve"> to file Statements of Economic Interest - Upon receiving an affidavit of candidacy or petition to appear on the ballot. (i.e., a city with a population of over 50,000 located in the metro area)  (see  M.S. 10A.01 &amp; 10A.09 for more details) </t>
    </r>
    <r>
      <rPr>
        <i/>
        <sz val="12"/>
        <rFont val="Times New Roman"/>
        <family val="1"/>
      </rPr>
      <t>Minn. Stat. §10A.09, subd. 2</t>
    </r>
  </si>
  <si>
    <r>
      <t xml:space="preserve">Secretary of State:  </t>
    </r>
    <r>
      <rPr>
        <sz val="12"/>
        <rFont val="Times New Roman"/>
        <family val="1"/>
      </rPr>
      <t xml:space="preserve">Last day to provide notice of election and the special mail procedure - at least 10 weeks prior to the election.  </t>
    </r>
    <r>
      <rPr>
        <i/>
        <sz val="12"/>
        <rFont val="Times New Roman"/>
        <family val="1"/>
      </rPr>
      <t>Minn. Stat. §204B.45, subd. 2</t>
    </r>
  </si>
  <si>
    <r>
      <t xml:space="preserve">Counties:  </t>
    </r>
    <r>
      <rPr>
        <sz val="12"/>
        <rFont val="Times New Roman"/>
        <family val="1"/>
      </rPr>
      <t xml:space="preserve">Last day to provide notice of election and the special mail procedure - at least 10 weeks prior to the election.  </t>
    </r>
    <r>
      <rPr>
        <i/>
        <sz val="12"/>
        <rFont val="Times New Roman"/>
        <family val="1"/>
      </rPr>
      <t>Minn. Stat. §204B.45, subd. 2</t>
    </r>
  </si>
  <si>
    <r>
      <t xml:space="preserve">Counties: </t>
    </r>
    <r>
      <rPr>
        <sz val="12"/>
        <rFont val="Times New Roman"/>
        <family val="1"/>
      </rPr>
      <t>Candidate filing period for March township elections— Between 70 and 56 days before the election</t>
    </r>
    <r>
      <rPr>
        <b/>
        <sz val="12"/>
        <rFont val="Times New Roman"/>
        <family val="1"/>
      </rPr>
      <t xml:space="preserve">.  </t>
    </r>
    <r>
      <rPr>
        <i/>
        <sz val="12"/>
        <rFont val="Times New Roman"/>
        <family val="1"/>
      </rPr>
      <t>Minn. Stat. §205.13, subd.1a</t>
    </r>
  </si>
  <si>
    <r>
      <t xml:space="preserve">Secretary of State: </t>
    </r>
    <r>
      <rPr>
        <sz val="12"/>
        <rFont val="Times New Roman"/>
        <family val="1"/>
      </rPr>
      <t>Candidate filing period for March township elections— Between 70 and 56 days before the election</t>
    </r>
    <r>
      <rPr>
        <b/>
        <sz val="12"/>
        <rFont val="Times New Roman"/>
        <family val="1"/>
      </rPr>
      <t xml:space="preserve">.  </t>
    </r>
    <r>
      <rPr>
        <i/>
        <sz val="12"/>
        <rFont val="Times New Roman"/>
        <family val="1"/>
      </rPr>
      <t>Minn. Stat. §205.13, subd.1a</t>
    </r>
  </si>
  <si>
    <r>
      <t xml:space="preserve">Secretary of State:  </t>
    </r>
    <r>
      <rPr>
        <sz val="12"/>
        <rFont val="Times New Roman"/>
        <family val="1"/>
      </rPr>
      <t xml:space="preserve">The County Auditor must establish UOCAVA absentee ballot board for March Township Elections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</si>
  <si>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Counties:  </t>
    </r>
    <r>
      <rPr>
        <sz val="12"/>
        <rFont val="Times New Roman"/>
        <family val="1"/>
      </rPr>
      <t xml:space="preserve">The County Auditor must establish UOCAVA absentee ballot board for March Township Elections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</si>
  <si>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Towns with March Elections:  </t>
    </r>
    <r>
      <rPr>
        <sz val="12"/>
        <rFont val="Times New Roman"/>
        <family val="1"/>
      </rPr>
      <t xml:space="preserve">The County Auditor must establish UOCAVA absentee ballot board for March Township Elections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</si>
  <si>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Secretary of State: </t>
    </r>
    <r>
      <rPr>
        <sz val="12"/>
        <rFont val="Times New Roman"/>
        <family val="1"/>
      </rPr>
      <t xml:space="preserve">Returned absentee ballots are presented to the absentee ballot board within 5 days of receipt up until the 14th day before the election, then every 3 days.  They will be marked either "accepted" or "rejected."  </t>
    </r>
    <r>
      <rPr>
        <i/>
        <sz val="12"/>
        <rFont val="Times New Roman"/>
        <family val="1"/>
      </rPr>
      <t>Minn. Stat. §§203B.08, subd. 3; 203B.121, subd. 2</t>
    </r>
  </si>
  <si>
    <r>
      <t xml:space="preserve">Counties: </t>
    </r>
    <r>
      <rPr>
        <sz val="12"/>
        <rFont val="Times New Roman"/>
        <family val="1"/>
      </rPr>
      <t xml:space="preserve">Returned absentee ballots are presented to the absentee ballot board within 5 days of receipt up until the 14th day before the election, then every 3 days.  They will be marked either "accepted" or "rejected."  </t>
    </r>
    <r>
      <rPr>
        <i/>
        <sz val="12"/>
        <rFont val="Times New Roman"/>
        <family val="1"/>
      </rPr>
      <t>Minn. Stat. §§203B.08, subd. 3; 203B.121, subd. 2</t>
    </r>
  </si>
  <si>
    <r>
      <t xml:space="preserve">Towns with March Elections: </t>
    </r>
    <r>
      <rPr>
        <sz val="12"/>
        <rFont val="Times New Roman"/>
        <family val="1"/>
      </rPr>
      <t xml:space="preserve">Returned absentee ballots are presented to the absentee ballot board within 5 days of receipt up until the 14th day before the election, then every 3 days.  They will be marked either "accepted" or "rejected."  </t>
    </r>
    <r>
      <rPr>
        <i/>
        <sz val="12"/>
        <rFont val="Times New Roman"/>
        <family val="1"/>
      </rPr>
      <t>Minn. Stat. §§203B.08, subd. 3; 203B.121, subd. 2</t>
    </r>
  </si>
  <si>
    <r>
      <t xml:space="preserve">School Districts with a Primary: </t>
    </r>
    <r>
      <rPr>
        <sz val="12"/>
        <rFont val="Times New Roman"/>
        <family val="1"/>
      </rPr>
      <t xml:space="preserve">Last day for County Auditor to mail absentee ballot applications to voters on the permanent list in school districts with a primary - at least 60 days before the primary.  </t>
    </r>
    <r>
      <rPr>
        <i/>
        <sz val="12"/>
        <rFont val="Times New Roman"/>
        <family val="1"/>
      </rPr>
      <t>Minn. Stat. §§203B.04, subd. 5;  203B.06, subd. 1; Minn. Rule 8210.0200, subp. 4</t>
    </r>
  </si>
  <si>
    <r>
      <t xml:space="preserve">Secretary of State: </t>
    </r>
    <r>
      <rPr>
        <sz val="12"/>
        <rFont val="Times New Roman"/>
        <family val="1"/>
      </rPr>
      <t xml:space="preserve">Absentee voting for State Primary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</si>
  <si>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Political Parties: </t>
    </r>
    <r>
      <rPr>
        <sz val="12"/>
        <rFont val="Times New Roman"/>
        <family val="1"/>
      </rPr>
      <t xml:space="preserve">Absentee voting for State Primary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</si>
  <si>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Counties: </t>
    </r>
    <r>
      <rPr>
        <sz val="12"/>
        <rFont val="Times New Roman"/>
        <family val="1"/>
      </rPr>
      <t xml:space="preserve">Absentee voting for State Primary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</si>
  <si>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Cities with a Primary: </t>
    </r>
    <r>
      <rPr>
        <sz val="12"/>
        <rFont val="Times New Roman"/>
        <family val="1"/>
      </rPr>
      <t xml:space="preserve">Absentee voting for Primary - during the 46 days before the election. Also open on Sat from 10a.m. to 3:00 p.m. and the day before the election until 5:00 p.m. </t>
    </r>
    <r>
      <rPr>
        <i/>
        <sz val="12"/>
        <rFont val="Times New Roman"/>
        <family val="1"/>
      </rPr>
      <t>Minn. Stat. §§204B.35; 203B.085; 203B.05, subd. 2</t>
    </r>
  </si>
  <si>
    <r>
      <t xml:space="preserve">Cities without a Primary: </t>
    </r>
    <r>
      <rPr>
        <sz val="12"/>
        <rFont val="Times New Roman"/>
        <family val="1"/>
      </rPr>
      <t xml:space="preserve">Absentee voting for State Primary Election - during the 46 days before the election.Also open on Sat from 10a.m. to 3:00 p.m. and the day before the election until 5:00 p.m.  </t>
    </r>
    <r>
      <rPr>
        <i/>
        <sz val="12"/>
        <rFont val="Times New Roman"/>
        <family val="1"/>
      </rPr>
      <t>Minn. Stat. §§204B.35; 203B.085; 203B.05, subd. 2</t>
    </r>
  </si>
  <si>
    <r>
      <t xml:space="preserve">Towns with March Elections: </t>
    </r>
    <r>
      <rPr>
        <sz val="12"/>
        <rFont val="Times New Roman"/>
        <family val="1"/>
      </rPr>
      <t xml:space="preserve">Absentee voting for Primary - during the 46 days before the election. Also open on Sat from 10a.m. to 3:00 p.m. and the day before the election until 5:00 p.m. </t>
    </r>
    <r>
      <rPr>
        <i/>
        <sz val="12"/>
        <rFont val="Times New Roman"/>
        <family val="1"/>
      </rPr>
      <t>Minn. Stat. §§204B.35; 203B.085; 203B.05, subd. 2</t>
    </r>
  </si>
  <si>
    <r>
      <t xml:space="preserve">Towns with November Elections: </t>
    </r>
    <r>
      <rPr>
        <sz val="12"/>
        <rFont val="Times New Roman"/>
        <family val="1"/>
      </rPr>
      <t xml:space="preserve">Absentee voting for State Primary Election - during the 46 days before the election.Also open on Sat from 10a.m. to 3:00 p.m. and the day before the election until 5:00 p.m.  </t>
    </r>
    <r>
      <rPr>
        <i/>
        <sz val="12"/>
        <rFont val="Times New Roman"/>
        <family val="1"/>
      </rPr>
      <t>Minn. Stat. §§204B.35; 203B.085; 203B.05, subd. 2</t>
    </r>
  </si>
  <si>
    <r>
      <t xml:space="preserve">School Districts with a Primary: </t>
    </r>
    <r>
      <rPr>
        <sz val="12"/>
        <rFont val="Times New Roman"/>
        <family val="1"/>
      </rPr>
      <t xml:space="preserve">Absentee voting for State Primary Election - during the 46 days before the election.Also open on Sat from 10a.m. to 3:00 p.m. and the day before the election until 5:00 p.m.  </t>
    </r>
    <r>
      <rPr>
        <i/>
        <sz val="12"/>
        <rFont val="Times New Roman"/>
        <family val="1"/>
      </rPr>
      <t>Minn. Stat. §§204B.35; 203B.085; 203B.05, subd. 2</t>
    </r>
  </si>
  <si>
    <r>
      <t xml:space="preserve">Secretary of State:  </t>
    </r>
    <r>
      <rPr>
        <sz val="12"/>
        <rFont val="Times New Roman"/>
        <family val="1"/>
      </rPr>
      <t xml:space="preserve">The County Auditor must establish UOCAVA absentee ballot board for the State Primary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</si>
  <si>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Political Parties:  </t>
    </r>
    <r>
      <rPr>
        <sz val="12"/>
        <rFont val="Times New Roman"/>
        <family val="1"/>
      </rPr>
      <t xml:space="preserve">The County Auditor must establish UOCAVA absentee ballot board for the State Primary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</si>
  <si>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Counties:  </t>
    </r>
    <r>
      <rPr>
        <sz val="12"/>
        <rFont val="Times New Roman"/>
        <family val="1"/>
      </rPr>
      <t xml:space="preserve">The County Auditor must establish UOCAVA absentee ballot board for the State Primary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</si>
  <si>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Cities with a Primary:  </t>
    </r>
    <r>
      <rPr>
        <sz val="12"/>
        <rFont val="Times New Roman"/>
        <family val="1"/>
      </rPr>
      <t xml:space="preserve">The County Auditor must establish UOCAVA absentee ballot board for the State Primary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</si>
  <si>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Cities without a Primary  </t>
    </r>
    <r>
      <rPr>
        <sz val="12"/>
        <rFont val="Times New Roman"/>
        <family val="1"/>
      </rPr>
      <t xml:space="preserve">The County Auditor must establish UOCAVA absentee ballot board for the State Primary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</si>
  <si>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Towns with March Election:  </t>
    </r>
    <r>
      <rPr>
        <sz val="12"/>
        <rFont val="Times New Roman"/>
        <family val="1"/>
      </rPr>
      <t xml:space="preserve">The County Auditor must establish UOCAVA absentee ballot board for the State Primary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</si>
  <si>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Towns with November Elections:  </t>
    </r>
    <r>
      <rPr>
        <sz val="12"/>
        <rFont val="Times New Roman"/>
        <family val="1"/>
      </rPr>
      <t xml:space="preserve">The County Auditor must establish UOCAVA absentee ballot board for the State Primary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</si>
  <si>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Secretary of State:  </t>
    </r>
    <r>
      <rPr>
        <sz val="12"/>
        <rFont val="Times New Roman"/>
        <family val="1"/>
      </rPr>
      <t xml:space="preserve">Last day to apply for absentee ballots.  See M.S. 203B.04, subd. 2 and 203B.11, subd. 4 for exceptions.  </t>
    </r>
    <r>
      <rPr>
        <i/>
        <sz val="12"/>
        <rFont val="Times New Roman"/>
        <family val="1"/>
      </rPr>
      <t>Minn. Stat. §203B.04, subd. 1</t>
    </r>
  </si>
  <si>
    <r>
      <t xml:space="preserve">Political Parties:  </t>
    </r>
    <r>
      <rPr>
        <sz val="12"/>
        <rFont val="Times New Roman"/>
        <family val="1"/>
      </rPr>
      <t xml:space="preserve">Last day to apply for absentee ballots.  See M.S. 203B.04, subd. 2 and 203B.11, subd. 4 for exceptions.  </t>
    </r>
    <r>
      <rPr>
        <i/>
        <sz val="12"/>
        <rFont val="Times New Roman"/>
        <family val="1"/>
      </rPr>
      <t>Minn. Stat. §203B.04, subd. 1</t>
    </r>
  </si>
  <si>
    <r>
      <t xml:space="preserve">Counties:  </t>
    </r>
    <r>
      <rPr>
        <sz val="12"/>
        <rFont val="Times New Roman"/>
        <family val="1"/>
      </rPr>
      <t xml:space="preserve">Last day to apply for absentee ballots.  See M.S. 203B.04, subd. 2 and 203B.11, subd. 4 for exceptions.  </t>
    </r>
    <r>
      <rPr>
        <i/>
        <sz val="12"/>
        <rFont val="Times New Roman"/>
        <family val="1"/>
      </rPr>
      <t>Minn. Stat. §203B.04, subd. 1</t>
    </r>
  </si>
  <si>
    <r>
      <t xml:space="preserve">Cities with a Primary:  </t>
    </r>
    <r>
      <rPr>
        <sz val="12"/>
        <rFont val="Times New Roman"/>
        <family val="1"/>
      </rPr>
      <t xml:space="preserve">Last day to apply for absentee ballots.  See M.S. 203B.04, subd. 2 and 203B.11, subd. 4 for exceptions.  </t>
    </r>
    <r>
      <rPr>
        <i/>
        <sz val="12"/>
        <rFont val="Times New Roman"/>
        <family val="1"/>
      </rPr>
      <t>Minn. Stat. §203B.04, subd. 1</t>
    </r>
  </si>
  <si>
    <r>
      <t xml:space="preserve">Cities without a Primary:  </t>
    </r>
    <r>
      <rPr>
        <sz val="12"/>
        <rFont val="Times New Roman"/>
        <family val="1"/>
      </rPr>
      <t xml:space="preserve">Last day to apply for absentee ballots.  See M.S. 203B.04, subd. 2 and 203B.11, subd. 4 for exceptions.  </t>
    </r>
    <r>
      <rPr>
        <i/>
        <sz val="12"/>
        <rFont val="Times New Roman"/>
        <family val="1"/>
      </rPr>
      <t>Minn. Stat. §203B.04, subd. 1</t>
    </r>
  </si>
  <si>
    <r>
      <t xml:space="preserve">Towns with March Elections:  </t>
    </r>
    <r>
      <rPr>
        <sz val="12"/>
        <rFont val="Times New Roman"/>
        <family val="1"/>
      </rPr>
      <t xml:space="preserve">Last day to apply for absentee ballots.  See M.S. 203B.04, subd. 2 and 203B.11, subd. 4 for exceptions.  </t>
    </r>
    <r>
      <rPr>
        <i/>
        <sz val="12"/>
        <rFont val="Times New Roman"/>
        <family val="1"/>
      </rPr>
      <t>Minn. Stat. §203B.04, subd. 1</t>
    </r>
  </si>
  <si>
    <r>
      <t xml:space="preserve">Towns with November Elections:  </t>
    </r>
    <r>
      <rPr>
        <sz val="12"/>
        <rFont val="Times New Roman"/>
        <family val="1"/>
      </rPr>
      <t xml:space="preserve">Last day to apply for absentee ballots.  See M.S. 203B.04, subd. 2 and 203B.11, subd. 4 for exceptions.  </t>
    </r>
    <r>
      <rPr>
        <i/>
        <sz val="12"/>
        <rFont val="Times New Roman"/>
        <family val="1"/>
      </rPr>
      <t>Minn. Stat. §203B.04, subd. 1</t>
    </r>
  </si>
  <si>
    <r>
      <t xml:space="preserve">School Districts with a Primary:  </t>
    </r>
    <r>
      <rPr>
        <sz val="12"/>
        <rFont val="Times New Roman"/>
        <family val="1"/>
      </rPr>
      <t xml:space="preserve">Last day to apply for absentee ballots.  See M.S. 203B.04, subd. 2 and 203B.11, subd. 4 for exceptions.  </t>
    </r>
    <r>
      <rPr>
        <i/>
        <sz val="12"/>
        <rFont val="Times New Roman"/>
        <family val="1"/>
      </rPr>
      <t>Minn. Stat. §203B.04, subd. 1</t>
    </r>
  </si>
  <si>
    <r>
      <t xml:space="preserve">Secretary of State: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</si>
  <si>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Political Parties: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</si>
  <si>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Counties: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</si>
  <si>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Cities with a Primary: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</si>
  <si>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Cities without a Primary: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</si>
  <si>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Towns with March Elections: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</si>
  <si>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Towns with November Elections: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</si>
  <si>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School Districts with a Primary: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</si>
  <si>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Secretary of State: </t>
    </r>
    <r>
      <rPr>
        <sz val="12"/>
        <rFont val="Times New Roman"/>
        <family val="1"/>
      </rPr>
      <t xml:space="preserve">Candidate filing period closes for cities without a primary, towns with November elections, school districts without a primary, and hospital districts. Municipal clerk's office must be open from 1:00-5:00 p.m. on the last day of filing - 84 days before election. </t>
    </r>
    <r>
      <rPr>
        <i/>
        <sz val="12"/>
        <rFont val="Times New Roman"/>
        <family val="1"/>
      </rPr>
      <t>Minn. Stat. §§205.13, subd. 1a; 205A.06, subd. 1a; 447.32, subd. 4</t>
    </r>
  </si>
  <si>
    <r>
      <t xml:space="preserve">Secretary of State: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</si>
  <si>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Political Parties: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</si>
  <si>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Counties: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</si>
  <si>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Soil and Water Conservation District: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</si>
  <si>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Cities with a Primary: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</si>
  <si>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Cities without a Primary: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</si>
  <si>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Towns with March Elections: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</si>
  <si>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Towns with November Elections: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</si>
  <si>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School Districts with a Primary: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</si>
  <si>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School Districts without a Primary: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</si>
  <si>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Hospital Districts: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</si>
  <si>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Secretary of State: </t>
    </r>
    <r>
      <rPr>
        <sz val="12"/>
        <rFont val="Times New Roman"/>
        <family val="1"/>
      </rPr>
      <t xml:space="preserve">The County Auditor must establish UOCAVA absentee ballot board for the 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</si>
  <si>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Political Parties: </t>
    </r>
    <r>
      <rPr>
        <sz val="12"/>
        <rFont val="Times New Roman"/>
        <family val="1"/>
      </rPr>
      <t xml:space="preserve">The County Auditor must establish UOCAVA absentee ballot board for the 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</si>
  <si>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Soil and Water Conservation District: </t>
    </r>
    <r>
      <rPr>
        <sz val="12"/>
        <rFont val="Times New Roman"/>
        <family val="1"/>
      </rPr>
      <t xml:space="preserve">The County Auditor must establish UOCAVA absentee ballot board for the 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</si>
  <si>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Cities with a Primary: </t>
    </r>
    <r>
      <rPr>
        <sz val="12"/>
        <rFont val="Times New Roman"/>
        <family val="1"/>
      </rPr>
      <t xml:space="preserve">The County Auditor must establish UOCAVA absentee ballot board for the 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</si>
  <si>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Cities without a Primary: </t>
    </r>
    <r>
      <rPr>
        <sz val="12"/>
        <rFont val="Times New Roman"/>
        <family val="1"/>
      </rPr>
      <t xml:space="preserve">The County Auditor must establish UOCAVA absentee ballot board for theGeneral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</si>
  <si>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Towns with March Elections: </t>
    </r>
    <r>
      <rPr>
        <sz val="12"/>
        <rFont val="Times New Roman"/>
        <family val="1"/>
      </rPr>
      <t xml:space="preserve">The County Auditor must establish UOCAVA absentee ballot board for the 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</si>
  <si>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School Districts with a Primary: </t>
    </r>
    <r>
      <rPr>
        <sz val="12"/>
        <rFont val="Times New Roman"/>
        <family val="1"/>
      </rPr>
      <t xml:space="preserve">The County Auditor must establish UOCAVA absentee ballot board for the 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</si>
  <si>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School Districts without a Primary: </t>
    </r>
    <r>
      <rPr>
        <sz val="12"/>
        <rFont val="Times New Roman"/>
        <family val="1"/>
      </rPr>
      <t xml:space="preserve">The County Auditor must establish UOCAVA absentee ballot board for the 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</si>
  <si>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Hospital Districts:  </t>
    </r>
    <r>
      <rPr>
        <sz val="12"/>
        <rFont val="Times New Roman"/>
        <family val="1"/>
      </rPr>
      <t xml:space="preserve">The County Auditor must establish UOCAVA absentee ballot board for the 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</si>
  <si>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Secretary of State: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</si>
  <si>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Political Parties: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</si>
  <si>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Counties: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</si>
  <si>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Soil and Water Conversation Districts: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</si>
  <si>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Cities with a Primary: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</si>
  <si>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Cities without a Primary: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</si>
  <si>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Towns with March Elections: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</si>
  <si>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Towns with November Elections: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</si>
  <si>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School Districts with a Primary: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</si>
  <si>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School Districts without a Primary: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</si>
  <si>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Hospital Districts: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</si>
  <si>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Secretary of State: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</si>
  <si>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Political Parties: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</si>
  <si>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Counties: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</si>
  <si>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Soil and Water Conservation Districts: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</si>
  <si>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Cities with a Primary: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</si>
  <si>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Cities without a Primary: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</si>
  <si>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Towns with March Elections: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</si>
  <si>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School Districts with a Primary: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</si>
  <si>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School Districts without a Primary: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</si>
  <si>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Towns with November Elections: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</si>
  <si>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Hospital Districts: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</si>
  <si>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Legislature: </t>
    </r>
    <r>
      <rPr>
        <sz val="12"/>
        <rFont val="Times New Roman"/>
        <family val="1"/>
      </rPr>
      <t xml:space="preserve">The OSS shall provide to the chair and ranking minority members of the legislative committees with jurisdiction over elections a statistical report related to AB voting in the most recent general election cycle - by January 15th of every odd-numbered year. </t>
    </r>
    <r>
      <rPr>
        <i/>
        <sz val="12"/>
        <rFont val="Times New Roman"/>
        <family val="1"/>
      </rPr>
      <t>Minn. Stat. §203B.28</t>
    </r>
  </si>
  <si>
    <r>
      <t xml:space="preserve">Secretary of State: </t>
    </r>
    <r>
      <rPr>
        <sz val="12"/>
        <rFont val="Times New Roman"/>
        <family val="1"/>
      </rPr>
      <t xml:space="preserve">The OSS shall provide to the chair and ranking minority members of the legislative committees with jurisdiction over elections a statistical report related to AB voting in the most recent general election cycle - by January 15th of every odd-numbered year. </t>
    </r>
    <r>
      <rPr>
        <i/>
        <sz val="12"/>
        <rFont val="Times New Roman"/>
        <family val="1"/>
      </rPr>
      <t>Minn. Stat. §203B.28</t>
    </r>
  </si>
  <si>
    <r>
      <t xml:space="preserve">Counties: </t>
    </r>
    <r>
      <rPr>
        <sz val="12"/>
        <rFont val="Times New Roman"/>
        <family val="1"/>
      </rPr>
      <t xml:space="preserve">The OSS shall provide to the chair and ranking minority members of the legislative committees with jurisdiction over elections a statistical report related to AB voting in the most recent general election cycle - by January 15th of every odd-numbered year. </t>
    </r>
    <r>
      <rPr>
        <i/>
        <sz val="12"/>
        <rFont val="Times New Roman"/>
        <family val="1"/>
      </rPr>
      <t>Minn. Stat. §203B.28</t>
    </r>
  </si>
  <si>
    <r>
      <t xml:space="preserve">Towns with March Elections:  </t>
    </r>
    <r>
      <rPr>
        <sz val="12"/>
        <rFont val="Times New Roman"/>
        <family val="1"/>
      </rPr>
      <t xml:space="preserve">Last day to provide notice of election and the special mail procedure - at least 10 weeks prior to the election.  </t>
    </r>
    <r>
      <rPr>
        <i/>
        <sz val="12"/>
        <rFont val="Times New Roman"/>
        <family val="1"/>
      </rPr>
      <t>Minn. Stat. §204B.45,subd. 2</t>
    </r>
  </si>
  <si>
    <r>
      <t xml:space="preserve">Secretary of State: </t>
    </r>
    <r>
      <rPr>
        <sz val="12"/>
        <rFont val="Times New Roman"/>
        <family val="1"/>
      </rPr>
      <t xml:space="preserve">Mail ballot precincts/mail elections.  Not more than 46 days nor later than 14 days before a regularly scheduled election [March township elections], ballots shall be mailed by nonforwardable mail to all registered voters.  If a mail ballot envelope is rejected at least 5 days before the election, the ballot in the envelope must be considered spoiled and the auditor or clerk shall provide the voter with a replacement ballot. </t>
    </r>
    <r>
      <rPr>
        <i/>
        <sz val="12"/>
        <rFont val="Times New Roman"/>
        <family val="1"/>
      </rPr>
      <t>Minn. Stat. §204B.45, subd. 2</t>
    </r>
  </si>
  <si>
    <r>
      <t xml:space="preserve">Counties: </t>
    </r>
    <r>
      <rPr>
        <sz val="12"/>
        <rFont val="Times New Roman"/>
        <family val="1"/>
      </rPr>
      <t xml:space="preserve">Mail ballot precincts/mail elections. Not more than 46 days nor later than 14 days before a regularly scheduled election [March township elections], ballots shall be mailed by nonforwardable mail to all registered voters.  If a mail ballot envelope is rejected at least 5 days before the election, the ballot in the envelope must be considered spoiled and the auditor or clerk shall provide the voter with a replacement ballot. </t>
    </r>
    <r>
      <rPr>
        <i/>
        <sz val="12"/>
        <rFont val="Times New Roman"/>
        <family val="1"/>
      </rPr>
      <t>Minn. Stat. §204B.45, subd. 2</t>
    </r>
  </si>
  <si>
    <r>
      <t xml:space="preserve">Towns with March Elections: </t>
    </r>
    <r>
      <rPr>
        <sz val="12"/>
        <rFont val="Times New Roman"/>
        <family val="1"/>
      </rPr>
      <t xml:space="preserve">Mail ballot elections/mail elections. Not more than 46 days nor later than 14 days before a regularly scheduled election [March township elections], ballots shall be mailed by nonforwardable mail to all registered voters.  If a mail ballot envelope is rejected at least 5 days before the election, the ballot in the envelope must be considered spoiled and the auditor or clerk shall provide the voter with a replacement ballot. </t>
    </r>
    <r>
      <rPr>
        <i/>
        <sz val="12"/>
        <rFont val="Times New Roman"/>
        <family val="1"/>
      </rPr>
      <t>Minn. Stat. §204B.45, subd. 2</t>
    </r>
  </si>
  <si>
    <r>
      <t xml:space="preserve">Secretary of State: </t>
    </r>
    <r>
      <rPr>
        <sz val="12"/>
        <rFont val="Times New Roman"/>
        <family val="1"/>
      </rPr>
      <t xml:space="preserve">Must appoint a ballot board to examine the mail and absentee ballot return envelopes and mark them "accepted" or "rejected" with 3 days of receipt if there are 14 or fewer days before election day, or within 5 days of receipt if there are more than 14 days before election day. </t>
    </r>
    <r>
      <rPr>
        <i/>
        <sz val="12"/>
        <rFont val="Times New Roman"/>
        <family val="1"/>
      </rPr>
      <t>Minn. Stat. §204B.45, subd. 2</t>
    </r>
  </si>
  <si>
    <r>
      <t xml:space="preserve">Counties: </t>
    </r>
    <r>
      <rPr>
        <sz val="12"/>
        <rFont val="Times New Roman"/>
        <family val="1"/>
      </rPr>
      <t xml:space="preserve">Must appoint a ballot board to examine the mail and absentee ballot return envelopes and mark them "accepted" or "rejected" with 3 days of receipt if there are 14 or fewer days before election day, or within 5 days of receipt if there are more than 14 days before election day. </t>
    </r>
    <r>
      <rPr>
        <i/>
        <sz val="12"/>
        <rFont val="Times New Roman"/>
        <family val="1"/>
      </rPr>
      <t>Minn. Stat. §204B.45, subd. 2</t>
    </r>
  </si>
  <si>
    <r>
      <t xml:space="preserve">Towns with March Elections: </t>
    </r>
    <r>
      <rPr>
        <sz val="12"/>
        <rFont val="Times New Roman"/>
        <family val="1"/>
      </rPr>
      <t xml:space="preserve">Must appoint a ballot board to examine the mail and absentee ballot return envelopes and mark them "accepted" or "rejected" with 3 days of receipt if there are 14 or fewer days before election day, or within 5 days of receipt if there are more than 14 days before election day. </t>
    </r>
    <r>
      <rPr>
        <i/>
        <sz val="12"/>
        <rFont val="Times New Roman"/>
        <family val="1"/>
      </rPr>
      <t>Minn. Stat. §204B.45, subd. 2</t>
    </r>
  </si>
  <si>
    <r>
      <t xml:space="preserve">Secretary of State: </t>
    </r>
    <r>
      <rPr>
        <sz val="12"/>
        <rFont val="Times New Roman"/>
        <family val="1"/>
      </rPr>
      <t xml:space="preserve">Last day to send a </t>
    </r>
    <r>
      <rPr>
        <b/>
        <i/>
        <u/>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</si>
  <si>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Counties: </t>
    </r>
    <r>
      <rPr>
        <sz val="12"/>
        <rFont val="Times New Roman"/>
        <family val="1"/>
      </rPr>
      <t xml:space="preserve">Last day to send a </t>
    </r>
    <r>
      <rPr>
        <b/>
        <i/>
        <u/>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</si>
  <si>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Towns with March Elections: </t>
    </r>
    <r>
      <rPr>
        <sz val="12"/>
        <rFont val="Times New Roman"/>
        <family val="1"/>
      </rPr>
      <t xml:space="preserve">Last day to send a </t>
    </r>
    <r>
      <rPr>
        <b/>
        <i/>
        <u/>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</si>
  <si>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Secretary of State:  </t>
    </r>
    <r>
      <rPr>
        <sz val="12"/>
        <rFont val="Times New Roman"/>
        <family val="1"/>
      </rPr>
      <t xml:space="preserve">Last day for each county auditor to notify each municipal clerk in the county of all the state offices to be voted for in the county at the primary and the time and place for filing for those offices. Within 10 days after notification by the OSS. The county auditors and municipal clerks shall promptly post a copy of that notice in their offices. </t>
    </r>
    <r>
      <rPr>
        <i/>
        <sz val="12"/>
        <rFont val="Times New Roman"/>
        <family val="1"/>
      </rPr>
      <t xml:space="preserve"> Minn. Stat. §204B.33 (a)</t>
    </r>
  </si>
  <si>
    <r>
      <t xml:space="preserve">Counties:  </t>
    </r>
    <r>
      <rPr>
        <sz val="12"/>
        <rFont val="Times New Roman"/>
        <family val="1"/>
      </rPr>
      <t xml:space="preserve">Last day for each county auditor to notify each municipal clerk in the county of all the state offices to be voted for in the county at the primary and the time and place for filing for those offices. Within 10 days after notification by the OSS.  The county auditors and municipal clerks shall promptly post a copy of that notice in their offices. </t>
    </r>
    <r>
      <rPr>
        <i/>
        <sz val="12"/>
        <rFont val="Times New Roman"/>
        <family val="1"/>
      </rPr>
      <t xml:space="preserve"> Minn. Stat. §204B.33 (a)</t>
    </r>
  </si>
  <si>
    <r>
      <t xml:space="preserve">Cities with a Primary:  </t>
    </r>
    <r>
      <rPr>
        <sz val="12"/>
        <rFont val="Times New Roman"/>
        <family val="1"/>
      </rPr>
      <t xml:space="preserve">Last day for each county auditor to notify each municipal clerk in the county of all the state offices to be voted for in the county at the primary and the time and place for filing for those offices. Within 10 days after notification by the OSS. The county auditors and municipal clerks shall promptly post a copy of that notice in their offices. </t>
    </r>
    <r>
      <rPr>
        <i/>
        <sz val="12"/>
        <rFont val="Times New Roman"/>
        <family val="1"/>
      </rPr>
      <t xml:space="preserve"> Minn. Stat. §204B.33 (a)</t>
    </r>
  </si>
  <si>
    <r>
      <t xml:space="preserve">Cities without a Primary:  </t>
    </r>
    <r>
      <rPr>
        <sz val="12"/>
        <rFont val="Times New Roman"/>
        <family val="1"/>
      </rPr>
      <t xml:space="preserve">Last day for each county auditor to notify each municipal clerk in the county of all the state offices to be voted for in the county at the primary and the time and place for filing for those offices. Within 10 days after notification from the OSS. The county auditors and municipal clerks shall promptly post a copy of that notice in their offices. </t>
    </r>
    <r>
      <rPr>
        <i/>
        <sz val="12"/>
        <rFont val="Times New Roman"/>
        <family val="1"/>
      </rPr>
      <t xml:space="preserve"> Minn. Stat. §204B.33 (a)</t>
    </r>
  </si>
  <si>
    <r>
      <t xml:space="preserve">Towns with March Elections:  </t>
    </r>
    <r>
      <rPr>
        <sz val="12"/>
        <rFont val="Times New Roman"/>
        <family val="1"/>
      </rPr>
      <t xml:space="preserve">Last day for each county auditor to notify each municipal clerk in the county of all the state offices to be voted for in the county at the primary and the time and place for filing for those offices. Within 10 days after notification from the OSS. The county auditors and municipal clerks shall promptly post a copy of that notice in their offices.  </t>
    </r>
    <r>
      <rPr>
        <i/>
        <sz val="12"/>
        <rFont val="Times New Roman"/>
        <family val="1"/>
      </rPr>
      <t>Minn. Stat. §204B.33 (a)</t>
    </r>
  </si>
  <si>
    <r>
      <t xml:space="preserve">Towns with November Elections:  </t>
    </r>
    <r>
      <rPr>
        <sz val="12"/>
        <rFont val="Times New Roman"/>
        <family val="1"/>
      </rPr>
      <t xml:space="preserve">Last day for each county auditor to notify each municipal clerk in the county of all the state offices to be voted for in the county at the primary and the time and place for filing for those offices. Within 10 days after notification from OSS. The county auditors and municipal clerks shall promptly post a copy of that notice in their offices.  </t>
    </r>
    <r>
      <rPr>
        <i/>
        <sz val="12"/>
        <rFont val="Times New Roman"/>
        <family val="1"/>
      </rPr>
      <t>Minn. Stat. §204B.33 (a)</t>
    </r>
  </si>
  <si>
    <r>
      <t xml:space="preserve">Secretary of State:  </t>
    </r>
    <r>
      <rPr>
        <sz val="12"/>
        <rFont val="Times New Roman"/>
        <family val="1"/>
      </rPr>
      <t xml:space="preserve">Last day for County Auditor to publish notice of filing for county, state and federal offices - at least 1 week before filing opens. </t>
    </r>
    <r>
      <rPr>
        <i/>
        <sz val="12"/>
        <rFont val="Times New Roman"/>
        <family val="1"/>
      </rPr>
      <t xml:space="preserve"> Minn. Stat. §204B.33 (b)</t>
    </r>
  </si>
  <si>
    <r>
      <t xml:space="preserve">Counties:  </t>
    </r>
    <r>
      <rPr>
        <sz val="12"/>
        <rFont val="Times New Roman"/>
        <family val="1"/>
      </rPr>
      <t xml:space="preserve">Last day to publish notice of filing for county, state and federal offices - at least 1 week before filing opens. </t>
    </r>
    <r>
      <rPr>
        <i/>
        <sz val="12"/>
        <rFont val="Times New Roman"/>
        <family val="1"/>
      </rPr>
      <t xml:space="preserve"> Minn. Stat. §204B.33 (b)</t>
    </r>
  </si>
  <si>
    <r>
      <t xml:space="preserve">Soil and Water Conservation Districts:  </t>
    </r>
    <r>
      <rPr>
        <sz val="12"/>
        <rFont val="Times New Roman"/>
        <family val="1"/>
      </rPr>
      <t xml:space="preserve">Last day to publish notice of filing for county (SWCD), state and federal offices - at least 1 week before filing opens. </t>
    </r>
    <r>
      <rPr>
        <i/>
        <sz val="12"/>
        <rFont val="Times New Roman"/>
        <family val="1"/>
      </rPr>
      <t xml:space="preserve"> Minn. Stat. §204B.33 (b)</t>
    </r>
  </si>
  <si>
    <r>
      <t xml:space="preserve">Secretary of State:  </t>
    </r>
    <r>
      <rPr>
        <sz val="12"/>
        <rFont val="Times New Roman"/>
        <family val="1"/>
      </rPr>
      <t xml:space="preserve">Candidate filing period closes for federal offices, state offices, county offices including soil and water conservation district offices, cities with a primary, school districts with a primary - 70 days before primary.  </t>
    </r>
    <r>
      <rPr>
        <i/>
        <sz val="12"/>
        <rFont val="Times New Roman"/>
        <family val="1"/>
      </rPr>
      <t>Minn. Stat.§§204B.09, subd. 1; 205.13, subd. 1a; 205A.06, subd. 1a; 103C.305, subd. 2</t>
    </r>
  </si>
  <si>
    <r>
      <t xml:space="preserve">Campaign Finance:  </t>
    </r>
    <r>
      <rPr>
        <sz val="12"/>
        <rFont val="Times New Roman"/>
        <family val="1"/>
      </rPr>
      <t xml:space="preserve">Candidate filing period closes for federal offices, state offices, county offices including soil and water conservation district offices, cities with a primary, school districts with a primary - 70 days before primary.  </t>
    </r>
    <r>
      <rPr>
        <i/>
        <sz val="12"/>
        <rFont val="Times New Roman"/>
        <family val="1"/>
      </rPr>
      <t>Minn. Stat.§§204B.09, subd. 1; 205.13, subd. 1a; 205A.06, subd. 1a; 103C.305, subd. 2</t>
    </r>
  </si>
  <si>
    <r>
      <t xml:space="preserve">Political Parties:  </t>
    </r>
    <r>
      <rPr>
        <sz val="12"/>
        <rFont val="Times New Roman"/>
        <family val="1"/>
      </rPr>
      <t xml:space="preserve">Candidate filing period closes for federal offices, state offices, county offices including soil and water conservation district offices, cities with a primary, school districts with a primary - 70 days before primary.  </t>
    </r>
    <r>
      <rPr>
        <i/>
        <sz val="12"/>
        <rFont val="Times New Roman"/>
        <family val="1"/>
      </rPr>
      <t>Minn. Stat.§§204B.09, subd. 1; 205.13, subd. 1a; 205A.06, subd. 1a; 103C.305, subd. 2</t>
    </r>
  </si>
  <si>
    <r>
      <t xml:space="preserve">Counties:  </t>
    </r>
    <r>
      <rPr>
        <sz val="12"/>
        <rFont val="Times New Roman"/>
        <family val="1"/>
      </rPr>
      <t xml:space="preserve">Candidate filing period closes for federal offices, state offices, county offices including soil and water conservation district offices, cities with a primary, school districts with a primary.  A primary is </t>
    </r>
    <r>
      <rPr>
        <b/>
        <i/>
        <u/>
        <sz val="12"/>
        <rFont val="Times New Roman"/>
        <family val="1"/>
      </rPr>
      <t>not</t>
    </r>
    <r>
      <rPr>
        <sz val="12"/>
        <rFont val="Times New Roman"/>
        <family val="1"/>
      </rPr>
      <t xml:space="preserve"> held for SWCD offices - 70 days before primary.  </t>
    </r>
    <r>
      <rPr>
        <i/>
        <sz val="12"/>
        <rFont val="Times New Roman"/>
        <family val="1"/>
      </rPr>
      <t>Minn. Stat.§§204B.09, subd. 1; 205.13, subd. 1a; 205A.06, subd. 1a; 103C.305, subd. 2</t>
    </r>
  </si>
  <si>
    <r>
      <t xml:space="preserve">Soil and Water Conservation District:  </t>
    </r>
    <r>
      <rPr>
        <sz val="12"/>
        <rFont val="Times New Roman"/>
        <family val="1"/>
      </rPr>
      <t xml:space="preserve">Candidate filing period closes for federal offices, state offices, county offices including soil and water conservation district offices, cities with a primary, school districts with a primary.  A primary is </t>
    </r>
    <r>
      <rPr>
        <b/>
        <i/>
        <u/>
        <sz val="12"/>
        <rFont val="Times New Roman"/>
        <family val="1"/>
      </rPr>
      <t>not</t>
    </r>
    <r>
      <rPr>
        <sz val="12"/>
        <rFont val="Times New Roman"/>
        <family val="1"/>
      </rPr>
      <t xml:space="preserve"> held for SWCD offices - 70 days before primary.  </t>
    </r>
    <r>
      <rPr>
        <i/>
        <sz val="12"/>
        <rFont val="Times New Roman"/>
        <family val="1"/>
      </rPr>
      <t>Minn. Stat.§§204B.09, subd. 1; 205.13, subd. 1a; 205A.06, subd. 1a; 103C.305, subd. 2</t>
    </r>
  </si>
  <si>
    <r>
      <t xml:space="preserve">Cities with a Primary:  </t>
    </r>
    <r>
      <rPr>
        <sz val="12"/>
        <rFont val="Times New Roman"/>
        <family val="1"/>
      </rPr>
      <t xml:space="preserve">Candidate filing period closes for federal offices, state offices, county offices including soil and water conservation district offices, cities with a primary, school districts with a primary. The city clerk's office must be open for filing from 1:00 p.m. to 5:00 p.m. on the last day of the filing period - 70 days before primary.  </t>
    </r>
    <r>
      <rPr>
        <i/>
        <sz val="12"/>
        <rFont val="Times New Roman"/>
        <family val="1"/>
      </rPr>
      <t>Minn. Stat.§§204B.09, subd. 1; 205.13, subd. 1a; 205A.06, subd. 1a; 103C.305, subd. 2</t>
    </r>
  </si>
  <si>
    <r>
      <t xml:space="preserve">School Districts with a Primary:  </t>
    </r>
    <r>
      <rPr>
        <sz val="12"/>
        <rFont val="Times New Roman"/>
        <family val="1"/>
      </rPr>
      <t xml:space="preserve">Candidate filing period closes for federal offices, state offices, county offices including soil and water conservation district offices, cities with a primary, school districts with a primary - 70 days before primary.  </t>
    </r>
    <r>
      <rPr>
        <i/>
        <sz val="12"/>
        <rFont val="Times New Roman"/>
        <family val="1"/>
      </rPr>
      <t>Minn. Stat.§§204B.09, subd. 1; 205.13, subd. 1a; 205A.06, subd. 1a; 103C.305, subd. 2</t>
    </r>
  </si>
  <si>
    <r>
      <t xml:space="preserve">Secretary of State: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</si>
  <si>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Political Parties: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</si>
  <si>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Counties: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</si>
  <si>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Cities with a Primary: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</si>
  <si>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Cities without a Primary: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</si>
  <si>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Towns with November Elections: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</si>
  <si>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School Districts with a Primary: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</si>
  <si>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Secretary of State: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</si>
  <si>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Political Parties: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</si>
  <si>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Counties: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</si>
  <si>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Cities with a Primary: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</si>
  <si>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Cities without a Primary: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</si>
  <si>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Towns with March Elections: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</si>
  <si>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Towns with November Elections: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</si>
  <si>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School Districts with a Primary: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</si>
  <si>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Soil and Water Conservation District: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</si>
  <si>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Towns with March Election: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</si>
  <si>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School Districts without a Primary: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</si>
  <si>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Hospital Districts: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</si>
  <si>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Soil and Water Conservation Districts: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</si>
  <si>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School Districts without a Primary: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</si>
  <si>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Hospital Districts: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</si>
  <si>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Secretary of State: </t>
    </r>
    <r>
      <rPr>
        <sz val="12"/>
        <rFont val="Times New Roman"/>
        <family val="1"/>
      </rPr>
      <t xml:space="preserve">Last day to post notice of filing period for March Election – including the closing time of 5:00 p.m. The muni clerk's office must be open for filing from 1:00 to 5:00 p.m. on the last day of filing (subd. 1a). </t>
    </r>
    <r>
      <rPr>
        <i/>
        <sz val="12"/>
        <rFont val="Times New Roman"/>
        <family val="1"/>
      </rPr>
      <t>Minn. Stat. §205.13, subd. 2</t>
    </r>
  </si>
  <si>
    <r>
      <t xml:space="preserve">Counties: </t>
    </r>
    <r>
      <rPr>
        <sz val="12"/>
        <rFont val="Times New Roman"/>
        <family val="1"/>
      </rPr>
      <t xml:space="preserve">Last day to post notice of filing period for March Election – including the closing time of 5:00 p.m. The muni clerk's office must be open for filing from 1:00 to 5:00 p.m. on the last day of filing (subd. 1a). </t>
    </r>
    <r>
      <rPr>
        <i/>
        <sz val="12"/>
        <rFont val="Times New Roman"/>
        <family val="1"/>
      </rPr>
      <t>Minn. Stat. §205.13, subd. 2</t>
    </r>
  </si>
  <si>
    <r>
      <t xml:space="preserve">Towns with March Elections: </t>
    </r>
    <r>
      <rPr>
        <sz val="12"/>
        <rFont val="Times New Roman"/>
        <family val="1"/>
      </rPr>
      <t xml:space="preserve">Last day to post notice of filing period for March Election – including the closing time of 5:00 p.m. The muni clerk's office must be open for filing from 1:00 to 5:00 p.m. on the last day of filing (subd. 1a). </t>
    </r>
    <r>
      <rPr>
        <i/>
        <sz val="12"/>
        <rFont val="Times New Roman"/>
        <family val="1"/>
      </rPr>
      <t>Minn. Stat. §205.13, subd. 2</t>
    </r>
  </si>
  <si>
    <r>
      <t xml:space="preserve">Secretary of State: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</si>
  <si>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Counties: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</si>
  <si>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Cities with a Primary: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</si>
  <si>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Cities without a Primary: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</si>
  <si>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Towns with March Elections: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</si>
  <si>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Towns with November Elections: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</si>
  <si>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School Districts with a Primary: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</si>
  <si>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School Districts without a Primary: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</si>
  <si>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Secretary of State: </t>
    </r>
    <r>
      <rPr>
        <sz val="12"/>
        <rFont val="Times New Roman"/>
        <family val="1"/>
      </rPr>
      <t xml:space="preserve">The OSS must provide county auditors with Dept of Corrections data - as part of ALM. </t>
    </r>
    <r>
      <rPr>
        <i/>
        <sz val="12"/>
        <rFont val="Times New Roman"/>
        <family val="1"/>
      </rPr>
      <t>Minn. Stat. §201.157</t>
    </r>
  </si>
  <si>
    <r>
      <t xml:space="preserve">Counties: </t>
    </r>
    <r>
      <rPr>
        <sz val="12"/>
        <rFont val="Times New Roman"/>
        <family val="1"/>
      </rPr>
      <t xml:space="preserve">The OSS must provide county auditors with Dept of Corrections data - as part of ALM. </t>
    </r>
    <r>
      <rPr>
        <i/>
        <sz val="12"/>
        <rFont val="Times New Roman"/>
        <family val="1"/>
      </rPr>
      <t>Minn. Stat. §201.157</t>
    </r>
  </si>
  <si>
    <r>
      <t xml:space="preserve">Secretary of State: </t>
    </r>
    <r>
      <rPr>
        <sz val="12"/>
        <rFont val="Times New Roman"/>
        <family val="1"/>
      </rPr>
      <t xml:space="preserve">March township election EDRs must be entered into SVRS - within 42 days after the election, unless the county auditor notifies the OSS before the 42-day deadline.  </t>
    </r>
    <r>
      <rPr>
        <i/>
        <sz val="12"/>
        <rFont val="Times New Roman"/>
        <family val="1"/>
      </rPr>
      <t>Minn. Stat. §201.121, subd. 1</t>
    </r>
  </si>
  <si>
    <r>
      <t xml:space="preserve">Counties: </t>
    </r>
    <r>
      <rPr>
        <sz val="12"/>
        <rFont val="Times New Roman"/>
        <family val="1"/>
      </rPr>
      <t xml:space="preserve">March township election EDRs must be entered into SVRS - within 42 days after the election, unless the county auditor notifies the OSS before the 42-day deadline.  </t>
    </r>
    <r>
      <rPr>
        <i/>
        <sz val="12"/>
        <rFont val="Times New Roman"/>
        <family val="1"/>
      </rPr>
      <t>Minn. Stat. §201.121, subd. 1</t>
    </r>
  </si>
  <si>
    <r>
      <t xml:space="preserve">Secretary of State: </t>
    </r>
    <r>
      <rPr>
        <sz val="12"/>
        <rFont val="Times New Roman"/>
        <family val="1"/>
      </rPr>
      <t>Municpality must not make a change to number or name of a street address of existing residence effective during the 45 days prior to any election which includes the affected residence.</t>
    </r>
    <r>
      <rPr>
        <i/>
        <sz val="12"/>
        <rFont val="Times New Roman"/>
        <family val="1"/>
      </rPr>
      <t xml:space="preserve"> Minn. Stat. §201.11, subd. 2</t>
    </r>
  </si>
  <si>
    <r>
      <t xml:space="preserve">Towns with November Elections: </t>
    </r>
    <r>
      <rPr>
        <sz val="12"/>
        <rFont val="Times New Roman"/>
        <family val="1"/>
      </rPr>
      <t xml:space="preserve">Municpality must not make a change to number or name of a street address of existing residence effective during the 45 days prior to any election which includes the affected residence. </t>
    </r>
    <r>
      <rPr>
        <i/>
        <sz val="12"/>
        <rFont val="Times New Roman"/>
        <family val="1"/>
      </rPr>
      <t>Minn. Stat. §201.11, subd. 2</t>
    </r>
  </si>
  <si>
    <r>
      <t xml:space="preserve">Towns with March Elections: </t>
    </r>
    <r>
      <rPr>
        <sz val="12"/>
        <rFont val="Times New Roman"/>
        <family val="1"/>
      </rPr>
      <t xml:space="preserve">Municpality must not make a change to number or name of a street address of existing residence effective during the 45 days prior to any election which includes the affected residence. </t>
    </r>
    <r>
      <rPr>
        <i/>
        <sz val="12"/>
        <rFont val="Times New Roman"/>
        <family val="1"/>
      </rPr>
      <t>Minn. Stat. §201.11, subd. 2</t>
    </r>
  </si>
  <si>
    <r>
      <t xml:space="preserve">Cities without a Primary: </t>
    </r>
    <r>
      <rPr>
        <sz val="12"/>
        <rFont val="Times New Roman"/>
        <family val="1"/>
      </rPr>
      <t xml:space="preserve">Municpality must not make a change to number or name of a street address of existing residence effective during the 45 days prior to any election which includes the affected residence. </t>
    </r>
    <r>
      <rPr>
        <i/>
        <sz val="12"/>
        <rFont val="Times New Roman"/>
        <family val="1"/>
      </rPr>
      <t>Minn. Stat. §201.11, subd. 2</t>
    </r>
  </si>
  <si>
    <r>
      <t xml:space="preserve">Cities with a Primary: </t>
    </r>
    <r>
      <rPr>
        <sz val="12"/>
        <rFont val="Times New Roman"/>
        <family val="1"/>
      </rPr>
      <t xml:space="preserve">Municpality must not make a change to number or name of a street address of existing residence effective during the 45 days prior to any election which includes the affected residence. </t>
    </r>
    <r>
      <rPr>
        <i/>
        <sz val="12"/>
        <rFont val="Times New Roman"/>
        <family val="1"/>
      </rPr>
      <t>Minn. Stat. §201.11, subd. 2</t>
    </r>
  </si>
  <si>
    <r>
      <t xml:space="preserve">Counties: </t>
    </r>
    <r>
      <rPr>
        <sz val="12"/>
        <rFont val="Times New Roman"/>
        <family val="1"/>
      </rPr>
      <t xml:space="preserve">Municpality must not make a change to number or name of a street address of existing residence effective during the 45 days prior to any election which includes the affected residence. </t>
    </r>
    <r>
      <rPr>
        <i/>
        <sz val="12"/>
        <rFont val="Times New Roman"/>
        <family val="1"/>
      </rPr>
      <t>Minn. Stat. §201.11, subd. 2</t>
    </r>
  </si>
  <si>
    <r>
      <t>Secretary of State:</t>
    </r>
    <r>
      <rPr>
        <sz val="12"/>
        <rFont val="Times New Roman"/>
        <family val="1"/>
      </rPr>
      <t xml:space="preserve"> EDRs must be entered into SVRS, unless the county auditor notifies the OSS before deadline - 42 days after the election. </t>
    </r>
    <r>
      <rPr>
        <i/>
        <sz val="12"/>
        <rFont val="Times New Roman"/>
        <family val="1"/>
      </rPr>
      <t>Minn. Stat. §201.121, subd. 1</t>
    </r>
  </si>
  <si>
    <r>
      <t>Political Parties:</t>
    </r>
    <r>
      <rPr>
        <sz val="12"/>
        <rFont val="Times New Roman"/>
        <family val="1"/>
      </rPr>
      <t xml:space="preserve"> EDRs must be entered into SVRS, unless the county auditor notifies the OSS before deadline - 42 days after the election. </t>
    </r>
    <r>
      <rPr>
        <i/>
        <sz val="12"/>
        <rFont val="Times New Roman"/>
        <family val="1"/>
      </rPr>
      <t>Minn. Stat. §201.121, subd. 1</t>
    </r>
  </si>
  <si>
    <r>
      <t>Counties:</t>
    </r>
    <r>
      <rPr>
        <sz val="12"/>
        <rFont val="Times New Roman"/>
        <family val="1"/>
      </rPr>
      <t xml:space="preserve"> EDRs must be entered into SVRS, unless the county auditor notifies the OSS before deadline - 42 days after the election. </t>
    </r>
    <r>
      <rPr>
        <i/>
        <sz val="12"/>
        <rFont val="Times New Roman"/>
        <family val="1"/>
      </rPr>
      <t>Minn. Stat. §201.121, subd. 1</t>
    </r>
  </si>
  <si>
    <r>
      <t xml:space="preserve">Secretary of State: </t>
    </r>
    <r>
      <rPr>
        <sz val="12"/>
        <rFont val="Times New Roman"/>
        <family val="1"/>
      </rPr>
      <t xml:space="preserve">Counties investigate EDR returned PVCs. Notify County Attorney and OSS of those with unsatisfactory proof of eligibility to vote. Mail notices for voting in the wrong place. </t>
    </r>
    <r>
      <rPr>
        <i/>
        <sz val="12"/>
        <rFont val="Times New Roman"/>
        <family val="1"/>
      </rPr>
      <t>Minn. Stat. §§201.121; 201.27</t>
    </r>
  </si>
  <si>
    <r>
      <t xml:space="preserve">Counties: </t>
    </r>
    <r>
      <rPr>
        <sz val="12"/>
        <rFont val="Times New Roman"/>
        <family val="1"/>
      </rPr>
      <t xml:space="preserve">Counties investigate EDR returned PVCs. Notify County Attorney and OSS of those with unsatisfactory proof of eligibility to vote. Mail notices for voting in the wrong place. </t>
    </r>
    <r>
      <rPr>
        <i/>
        <sz val="12"/>
        <rFont val="Times New Roman"/>
        <family val="1"/>
      </rPr>
      <t>Minn. Stat. §§201.121; 201.27</t>
    </r>
  </si>
  <si>
    <r>
      <t xml:space="preserve">Secretary of State: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</si>
  <si>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Campaign Finance: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</si>
  <si>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Political Parties: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</si>
  <si>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Counties: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</si>
  <si>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Soil and Water Conservation Districts: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</si>
  <si>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Cities with a Primary: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</si>
  <si>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Cities without a Primary: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</si>
  <si>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Towns with March Elections: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</si>
  <si>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Towns with November Elections: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</si>
  <si>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Secretary of State: </t>
    </r>
    <r>
      <rPr>
        <sz val="12"/>
        <rFont val="Times New Roman"/>
        <family val="1"/>
      </rPr>
      <t xml:space="preserve">For each state general election the OSS provides Dept of Corrections lists to the county auditors - between 30 &amp; 60 days before election. </t>
    </r>
    <r>
      <rPr>
        <i/>
        <sz val="12"/>
        <rFont val="Times New Roman"/>
        <family val="1"/>
      </rPr>
      <t>Minn. Stats. §201.157</t>
    </r>
  </si>
  <si>
    <r>
      <t xml:space="preserve">Counties: </t>
    </r>
    <r>
      <rPr>
        <sz val="12"/>
        <rFont val="Times New Roman"/>
        <family val="1"/>
      </rPr>
      <t xml:space="preserve">For each state general election the OSS provides Dept of Corrections lists to the county auditors - between 30 &amp; 60 days before election. </t>
    </r>
    <r>
      <rPr>
        <i/>
        <sz val="12"/>
        <rFont val="Times New Roman"/>
        <family val="1"/>
      </rPr>
      <t>Minn. Stats. §201.157</t>
    </r>
  </si>
  <si>
    <r>
      <t xml:space="preserve">Secretary of State: </t>
    </r>
    <r>
      <rPr>
        <sz val="12"/>
        <rFont val="Times New Roman"/>
        <family val="1"/>
      </rPr>
      <t xml:space="preserve">Last day for OSS to load NCOA data - not within 47 days before the state general.  </t>
    </r>
    <r>
      <rPr>
        <i/>
        <sz val="12"/>
        <rFont val="Times New Roman"/>
        <family val="1"/>
      </rPr>
      <t>Minn. Stat. §201.13, subd. 3</t>
    </r>
  </si>
  <si>
    <r>
      <t xml:space="preserve">Counties: </t>
    </r>
    <r>
      <rPr>
        <sz val="12"/>
        <rFont val="Times New Roman"/>
        <family val="1"/>
      </rPr>
      <t xml:space="preserve">Last day for OSS to load NCOA data - not within 47 days before the state general.  </t>
    </r>
    <r>
      <rPr>
        <i/>
        <sz val="12"/>
        <rFont val="Times New Roman"/>
        <family val="1"/>
      </rPr>
      <t>Minn. Stat. §201.13, subd. 3</t>
    </r>
  </si>
  <si>
    <r>
      <t xml:space="preserve">Secretary of State: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</si>
  <si>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Counties: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</si>
  <si>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Soil and Water Conservation Districts: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</si>
  <si>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Cities with a Primary: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</si>
  <si>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Cities without a Primary: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</si>
  <si>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Towns with March Elections: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</si>
  <si>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Towns with November Elections: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</si>
  <si>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School Districts with a Primary: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</si>
  <si>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School Districts without a Primary: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</si>
  <si>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Hospital Districts: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</si>
  <si>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Secretary of State: </t>
    </r>
    <r>
      <rPr>
        <sz val="12"/>
        <rFont val="Times New Roman"/>
        <family val="1"/>
      </rPr>
      <t xml:space="preserve">The OSS must provide county auditors with Dept of Corrections data - between 6 &amp; 10 weeks after the state general election. </t>
    </r>
    <r>
      <rPr>
        <i/>
        <sz val="12"/>
        <rFont val="Times New Roman"/>
        <family val="1"/>
      </rPr>
      <t>Minn. Stat. §201.157</t>
    </r>
  </si>
  <si>
    <r>
      <t xml:space="preserve">Counties: </t>
    </r>
    <r>
      <rPr>
        <sz val="12"/>
        <rFont val="Times New Roman"/>
        <family val="1"/>
      </rPr>
      <t xml:space="preserve">The OSS must provide county auditors with Dept of Corrections data - between 6 &amp; 10 weeks after the state general election. </t>
    </r>
    <r>
      <rPr>
        <i/>
        <sz val="12"/>
        <rFont val="Times New Roman"/>
        <family val="1"/>
      </rPr>
      <t>Minn. Stat. §201.157</t>
    </r>
  </si>
  <si>
    <r>
      <t>Secretary of State:</t>
    </r>
    <r>
      <rPr>
        <sz val="12"/>
        <rFont val="Times New Roman"/>
        <family val="1"/>
      </rPr>
      <t xml:space="preserve"> A special election may not be held during the 56 days before and the 56 days after a regularly scheduled primary or general election [March township elections] conducted wholly or partially within the school district/hospital district.</t>
    </r>
    <r>
      <rPr>
        <i/>
        <sz val="12"/>
        <rFont val="Times New Roman"/>
        <family val="1"/>
      </rPr>
      <t xml:space="preserve"> Minn. Stat. §§205A.05, subd. 1; 447.32, subd 2</t>
    </r>
  </si>
  <si>
    <r>
      <t>Counties:</t>
    </r>
    <r>
      <rPr>
        <sz val="12"/>
        <rFont val="Times New Roman"/>
        <family val="1"/>
      </rPr>
      <t xml:space="preserve"> A special election may not be held during the 56 days before and the 56 days after a regularly scheduled primary or general election [March township elections] conducted wholly or partially within the school district/hospital district.</t>
    </r>
    <r>
      <rPr>
        <i/>
        <sz val="12"/>
        <rFont val="Times New Roman"/>
        <family val="1"/>
      </rPr>
      <t xml:space="preserve"> Minn. Stat. §205A.05, subd. 1;447.32, subd 2</t>
    </r>
  </si>
  <si>
    <r>
      <t>Secretary of State:</t>
    </r>
    <r>
      <rPr>
        <sz val="12"/>
        <rFont val="Times New Roman"/>
        <family val="1"/>
      </rPr>
      <t xml:space="preserve"> Last day to post notice of township election, including bad weather alternate date – at least 10 days before election.  Optional for *metro towns; mandatory for *non-metro towns that dispensed with published notices.  Please note M.S. 205.105, 205A.055 &amp; 373.50 for postponement when 1 or more jurisdictions are holding elections in conjunction with one another. </t>
    </r>
    <r>
      <rPr>
        <i/>
        <sz val="12"/>
        <rFont val="Times New Roman"/>
        <family val="1"/>
      </rPr>
      <t>Minn. Stat. §§205.16, subd. 1; 365.51, subd. 2; 205.105; 205A.055; 373.50</t>
    </r>
  </si>
  <si>
    <r>
      <t>Counties:</t>
    </r>
    <r>
      <rPr>
        <sz val="12"/>
        <rFont val="Times New Roman"/>
        <family val="1"/>
      </rPr>
      <t xml:space="preserve"> Last day to post notice of township election, including bad weather alternate date – at least 10 days before election.  Optional for *metro towns; mandatory for *non-metro towns that dispensed with published notices.  Please note M.S. 205.105, 205A.055 &amp; 373.50 for postponement when 1 or more jurisdictions are holding elections in conjunction with one another. </t>
    </r>
    <r>
      <rPr>
        <i/>
        <sz val="12"/>
        <rFont val="Times New Roman"/>
        <family val="1"/>
      </rPr>
      <t>Minn. Stat. §§205.16, subd. 1; 365.51, subd. 2; 205.105; 205A.055; 373.50</t>
    </r>
  </si>
  <si>
    <r>
      <t>Towns with March Elections:</t>
    </r>
    <r>
      <rPr>
        <sz val="12"/>
        <rFont val="Times New Roman"/>
        <family val="1"/>
      </rPr>
      <t xml:space="preserve"> Last day to post notice of township election, including bad weather alternate date – at least 10 days before election.  Optional for *metro towns; mandatory for *non-metro towns that dispensed with published notices.  Please note M.S. 205.105, 205A.055 &amp; 373.50 for postponement when 1 or more jurisdictions are holding elections in conjunction with one another. </t>
    </r>
    <r>
      <rPr>
        <i/>
        <sz val="12"/>
        <rFont val="Times New Roman"/>
        <family val="1"/>
      </rPr>
      <t>Minn. Stat. §§205.16, subd. 1; 365.51, subd. 2; 205.105; 205A.055; 373.50</t>
    </r>
  </si>
  <si>
    <r>
      <t xml:space="preserve">Counties: </t>
    </r>
    <r>
      <rPr>
        <sz val="12"/>
        <rFont val="Times New Roman"/>
        <family val="1"/>
      </rPr>
      <t xml:space="preserve">First day to conduct a school district/hospital district special election following a township election in the district - not within 56 days after regularly scheduled municipal election within the district.  </t>
    </r>
    <r>
      <rPr>
        <i/>
        <sz val="12"/>
        <rFont val="Times New Roman"/>
        <family val="1"/>
      </rPr>
      <t>Minn. Stat. §§205A.05, subd. 1; 447.32, subd. 2</t>
    </r>
  </si>
  <si>
    <r>
      <t>Counties:</t>
    </r>
    <r>
      <rPr>
        <sz val="12"/>
        <rFont val="Times New Roman"/>
        <family val="1"/>
      </rPr>
      <t xml:space="preserve"> Last day for municipalities and school districts to notify auditor of primary election for questions and offices.  </t>
    </r>
    <r>
      <rPr>
        <i/>
        <sz val="12"/>
        <rFont val="Times New Roman"/>
        <family val="1"/>
      </rPr>
      <t>(May not know if enough candidates exist to require an office primary election until 6/5/14--end of filing and withdrawal period)</t>
    </r>
    <r>
      <rPr>
        <sz val="12"/>
        <rFont val="Times New Roman"/>
        <family val="1"/>
      </rPr>
      <t xml:space="preserve"> - at least 74 days before primary.  </t>
    </r>
    <r>
      <rPr>
        <i/>
        <sz val="12"/>
        <rFont val="Times New Roman"/>
        <family val="1"/>
      </rPr>
      <t xml:space="preserve"> Minn. Stat. §§205.16, subd. 4; 205A.07, subd. 3</t>
    </r>
  </si>
  <si>
    <r>
      <t xml:space="preserve">Secretary of State: </t>
    </r>
    <r>
      <rPr>
        <sz val="12"/>
        <rFont val="Times New Roman"/>
        <family val="1"/>
      </rPr>
      <t xml:space="preserve">Last day for school district clerk to notify Commissioner of Education of a school district election scheduled or canceled for primary regarding finance-related questions - at least 74 days before election. </t>
    </r>
    <r>
      <rPr>
        <i/>
        <sz val="12"/>
        <rFont val="Times New Roman"/>
        <family val="1"/>
      </rPr>
      <t>Minn. Stat.§205A.07, subd. 3a</t>
    </r>
  </si>
  <si>
    <r>
      <t xml:space="preserve">Counties: </t>
    </r>
    <r>
      <rPr>
        <sz val="12"/>
        <rFont val="Times New Roman"/>
        <family val="1"/>
      </rPr>
      <t xml:space="preserve">Last day for school district clerk to notify Commissioner of Education of a school district election scheduled or canceled for primary regarding finance-related questions - at least 74 days before election. </t>
    </r>
    <r>
      <rPr>
        <i/>
        <sz val="12"/>
        <rFont val="Times New Roman"/>
        <family val="1"/>
      </rPr>
      <t>Minn. Stat.§205A.07, subd. 3a</t>
    </r>
  </si>
  <si>
    <r>
      <t xml:space="preserve">School Districts with a Primary: </t>
    </r>
    <r>
      <rPr>
        <sz val="12"/>
        <rFont val="Times New Roman"/>
        <family val="1"/>
      </rPr>
      <t xml:space="preserve">Last day for school district clerk to notify Commissioner of Education of a school district election scheduled or canceled for primary regarding finance-related questions - at least 74 days before election. </t>
    </r>
    <r>
      <rPr>
        <i/>
        <sz val="12"/>
        <rFont val="Times New Roman"/>
        <family val="1"/>
      </rPr>
      <t>Minn. Stat.§205A.07, subd. 3a</t>
    </r>
  </si>
  <si>
    <r>
      <t xml:space="preserve">School Districts without a Primary: </t>
    </r>
    <r>
      <rPr>
        <sz val="12"/>
        <rFont val="Times New Roman"/>
        <family val="1"/>
      </rPr>
      <t xml:space="preserve">Last day for school district clerk to notify Commissioner of Education of a school district election scheduled or canceled for primary regarding finance-related questions - at least 74 days before election. </t>
    </r>
    <r>
      <rPr>
        <i/>
        <sz val="12"/>
        <rFont val="Times New Roman"/>
        <family val="1"/>
      </rPr>
      <t>Minn. Stat.§205A.07, subd. 3a</t>
    </r>
  </si>
  <si>
    <r>
      <t xml:space="preserve">Secretary of State: </t>
    </r>
    <r>
      <rPr>
        <sz val="12"/>
        <rFont val="Times New Roman"/>
        <family val="1"/>
      </rPr>
      <t xml:space="preserve">Last day for cities and school districts with primaries to publish 1st of 2 notices of primary election (exception for cities of the 4th class - may dispense with published notice but then must post notice) - 2 weeks' published notice. </t>
    </r>
    <r>
      <rPr>
        <i/>
        <sz val="12"/>
        <rFont val="Times New Roman"/>
        <family val="1"/>
      </rPr>
      <t>Minn. Stat. §§205.16, subd. 1; 205A.07, subd. 1</t>
    </r>
  </si>
  <si>
    <r>
      <t xml:space="preserve">Counties: </t>
    </r>
    <r>
      <rPr>
        <sz val="12"/>
        <rFont val="Times New Roman"/>
        <family val="1"/>
      </rPr>
      <t xml:space="preserve">Last day for cities and school districts with primaries to publish 1st of 2 notices of primary election (exception for cities of the 4th class - may dispense with published notice but then must post notice) - 2 weeks' published notice. </t>
    </r>
    <r>
      <rPr>
        <i/>
        <sz val="12"/>
        <rFont val="Times New Roman"/>
        <family val="1"/>
      </rPr>
      <t>Minn. Stat. §§205.16, subd. 1; 205A.07, subd. 1</t>
    </r>
  </si>
  <si>
    <r>
      <t xml:space="preserve">Cities with a Primary: </t>
    </r>
    <r>
      <rPr>
        <sz val="12"/>
        <rFont val="Times New Roman"/>
        <family val="1"/>
      </rPr>
      <t xml:space="preserve">Last day for cities and school districts with primaries to publish 1st of 2 notices of primary election (exception for cities of the 4th class - may dispense with published notice but then must post notice) - 2 weeks' published notice. </t>
    </r>
    <r>
      <rPr>
        <i/>
        <sz val="12"/>
        <rFont val="Times New Roman"/>
        <family val="1"/>
      </rPr>
      <t>Minn. Stat. §§205.16, subd. 1; 205A.07, subd. 1</t>
    </r>
  </si>
  <si>
    <r>
      <t xml:space="preserve">School Districts with a Primary: </t>
    </r>
    <r>
      <rPr>
        <sz val="12"/>
        <rFont val="Times New Roman"/>
        <family val="1"/>
      </rPr>
      <t xml:space="preserve">Last day for cities and school districts with primaries to publish 1st of 2 notices of primary election (exception for cities of the 4th class - may dispense with published notice but then must post notice) - 2 weeks' published notice. </t>
    </r>
    <r>
      <rPr>
        <i/>
        <sz val="12"/>
        <rFont val="Times New Roman"/>
        <family val="1"/>
      </rPr>
      <t>Minn. Stat. §§205.16, subd. 1; 205A.07, subd. 1</t>
    </r>
  </si>
  <si>
    <r>
      <t xml:space="preserve">Secretary of State: </t>
    </r>
    <r>
      <rPr>
        <sz val="12"/>
        <rFont val="Times New Roman"/>
        <family val="1"/>
      </rPr>
      <t xml:space="preserve">Last day for cities and school districts with primaries to publish 2nd of 2 notices of primary election (exception for cities of the 4th class - may dispense with published notice but then must post notice) - 2 weeks' published notice. </t>
    </r>
    <r>
      <rPr>
        <i/>
        <sz val="12"/>
        <rFont val="Times New Roman"/>
        <family val="1"/>
      </rPr>
      <t>Minn. Stat. §§205.16, subd. 1; 205A.07, subd. 1</t>
    </r>
  </si>
  <si>
    <r>
      <t xml:space="preserve">Counties: </t>
    </r>
    <r>
      <rPr>
        <sz val="12"/>
        <rFont val="Times New Roman"/>
        <family val="1"/>
      </rPr>
      <t xml:space="preserve">Last day for cities and school districts with primaries to publish 2nd of 2 notices of primary election (exception for cities of the 4th class - may dispense with published notice but then must post notice) - 2 weeks' published notice. </t>
    </r>
    <r>
      <rPr>
        <i/>
        <sz val="12"/>
        <rFont val="Times New Roman"/>
        <family val="1"/>
      </rPr>
      <t>Minn. Stat. §§205.16, subd. 1; 205A.07, subd. 1</t>
    </r>
  </si>
  <si>
    <r>
      <t xml:space="preserve">Cities with a Primary: </t>
    </r>
    <r>
      <rPr>
        <sz val="12"/>
        <rFont val="Times New Roman"/>
        <family val="1"/>
      </rPr>
      <t xml:space="preserve">Last day for cities and school districts with primaries to publish 2nd of 2 notices of primary election (exception for cities of the 4th class - may dispense with published notice but then must post notice) - 2 weeks' published notice. </t>
    </r>
    <r>
      <rPr>
        <i/>
        <sz val="12"/>
        <rFont val="Times New Roman"/>
        <family val="1"/>
      </rPr>
      <t>Minn. Stat. §§205.16, subd. 1; 205A.07, subd. 1</t>
    </r>
  </si>
  <si>
    <r>
      <t xml:space="preserve">School Districts with a Primary: </t>
    </r>
    <r>
      <rPr>
        <sz val="12"/>
        <rFont val="Times New Roman"/>
        <family val="1"/>
      </rPr>
      <t xml:space="preserve">Last day for cities and school districts with primaries to publish 2nd of 2 notices of primary election (exception for cities of the 4th class - may dispense with published notice but then must post notice) - 2 weeks' published notice. </t>
    </r>
    <r>
      <rPr>
        <i/>
        <sz val="12"/>
        <rFont val="Times New Roman"/>
        <family val="1"/>
      </rPr>
      <t>Minn. Stat. §§205.16, subd. 1; 205A.07, subd. 1</t>
    </r>
  </si>
  <si>
    <r>
      <t xml:space="preserve">STATE PRIMARY ELECTION DAY:  School Districts with a Primary: </t>
    </r>
    <r>
      <rPr>
        <sz val="12"/>
        <rFont val="Times New Roman"/>
        <family val="1"/>
      </rPr>
      <t xml:space="preserve">The second Tuesday in August.  </t>
    </r>
    <r>
      <rPr>
        <i/>
        <sz val="12"/>
        <rFont val="Times New Roman"/>
        <family val="1"/>
      </rPr>
      <t>Minn. Stat. §§204D.03; 205A.03, subd. 2;</t>
    </r>
  </si>
  <si>
    <r>
      <t xml:space="preserve">Campaign Finance: </t>
    </r>
    <r>
      <rPr>
        <sz val="12"/>
        <rFont val="Times New Roman"/>
        <family val="1"/>
      </rPr>
      <t xml:space="preserve">Candidate filing period closes for cities without a primary, towns with November elections, school districts without a primary, and hospital districts. Municipal clerk's office must be open from 1:00-5:00 p.m. on the last day of filing -  84 days before election. </t>
    </r>
    <r>
      <rPr>
        <i/>
        <sz val="12"/>
        <rFont val="Times New Roman"/>
        <family val="1"/>
      </rPr>
      <t>Minn. Stat. §§205.13, subd. 1a; 205A.06, subd. 1a; 447.32, subd. 4</t>
    </r>
  </si>
  <si>
    <r>
      <t xml:space="preserve">Political Parties: </t>
    </r>
    <r>
      <rPr>
        <sz val="12"/>
        <rFont val="Times New Roman"/>
        <family val="1"/>
      </rPr>
      <t xml:space="preserve">Candidate filing period closes for cities without a primary, towns with November elections, school districts without a primary, and hospital districts. Municipal clerk's office must be open from 1:00-5:00 p.m. on the last day of filing -  84 days before election. </t>
    </r>
    <r>
      <rPr>
        <i/>
        <sz val="12"/>
        <rFont val="Times New Roman"/>
        <family val="1"/>
      </rPr>
      <t>Minn. Stat. §§205.13, subd. 1a; 205A.06, subd. 1a; 447.32, subd. 4</t>
    </r>
  </si>
  <si>
    <r>
      <t xml:space="preserve">Counties: </t>
    </r>
    <r>
      <rPr>
        <sz val="12"/>
        <rFont val="Times New Roman"/>
        <family val="1"/>
      </rPr>
      <t xml:space="preserve">Candidate filing period closes for cities without a primary, towns with November elections, school districts without a primary, and hospital districts. Municipal clerk's office must be open from 1:00-5:00 p.m. on the last day of filing -  84 days before election. </t>
    </r>
    <r>
      <rPr>
        <i/>
        <sz val="12"/>
        <rFont val="Times New Roman"/>
        <family val="1"/>
      </rPr>
      <t>Minn. Stat. §§205.13, subd. 1a; 205A.06, subd. 1a; 447.32, subd. 4</t>
    </r>
  </si>
  <si>
    <r>
      <t xml:space="preserve">Cities without a Primary: </t>
    </r>
    <r>
      <rPr>
        <sz val="12"/>
        <rFont val="Times New Roman"/>
        <family val="1"/>
      </rPr>
      <t xml:space="preserve">Candidate filing period closes for cities without a primary, towns with November elections, school districts without a primary, and hospital districts. Municipal clerk's office must be open from 1:00-5:00 p.m. on the last day of filing - 84 days before election. </t>
    </r>
    <r>
      <rPr>
        <i/>
        <sz val="12"/>
        <rFont val="Times New Roman"/>
        <family val="1"/>
      </rPr>
      <t>Minn. Stat. §§205.13, subd. 1a; 205A.06, subd. 1a; 447.32, subd. 4</t>
    </r>
  </si>
  <si>
    <r>
      <t xml:space="preserve">Towns with November Elections: </t>
    </r>
    <r>
      <rPr>
        <sz val="12"/>
        <rFont val="Times New Roman"/>
        <family val="1"/>
      </rPr>
      <t xml:space="preserve">Candidate filing period closes for cities without a primary, towns with November elections, school districts without a primary, and hospital districts. Municipal clerk's office must be open from 1:00-5:00 p.m. on the last day of filing -  84 days before election. </t>
    </r>
    <r>
      <rPr>
        <i/>
        <sz val="12"/>
        <rFont val="Times New Roman"/>
        <family val="1"/>
      </rPr>
      <t>Minn. Stat. §§205.13, subd. 1a; 205A.06, subd. 1a; 447.32, subd. 4</t>
    </r>
  </si>
  <si>
    <r>
      <t xml:space="preserve">School Districts without a Primary: </t>
    </r>
    <r>
      <rPr>
        <sz val="12"/>
        <rFont val="Times New Roman"/>
        <family val="1"/>
      </rPr>
      <t xml:space="preserve">Candidate filing period closes for cities without a primary, towns with November elections, school districts without a primary, and hospital districts.  - 84 days before election. </t>
    </r>
    <r>
      <rPr>
        <i/>
        <sz val="12"/>
        <rFont val="Times New Roman"/>
        <family val="1"/>
      </rPr>
      <t>Minn. Stat. §§205.13, subd. 1a; 205A.06, subd. 1a; 447.32, subd. 4</t>
    </r>
  </si>
  <si>
    <r>
      <t xml:space="preserve">Hospital Districts: </t>
    </r>
    <r>
      <rPr>
        <sz val="12"/>
        <rFont val="Times New Roman"/>
        <family val="1"/>
      </rPr>
      <t xml:space="preserve">Candidate filing period closes for cities without a primary, towns with November elections, school districts without a primary, and hospital districts.Municipal clerk's office must be open from 1:00-5:00 p.m. on the last day of filing -  84 days before election. </t>
    </r>
    <r>
      <rPr>
        <i/>
        <sz val="12"/>
        <rFont val="Times New Roman"/>
        <family val="1"/>
      </rPr>
      <t>Minn. Stat. §§205.13, subd. 1a; 205A.06, subd. 1a; 447.32, subd. 4</t>
    </r>
  </si>
  <si>
    <r>
      <t>School Districts without a Primary:</t>
    </r>
    <r>
      <rPr>
        <sz val="12"/>
        <rFont val="Times New Roman"/>
        <family val="1"/>
      </rPr>
      <t xml:space="preserve"> Last day for "late filing" candidates to withdraw. Candidates may withdraw until 5:00 p.m. by filing an Affidavit of Withdrawal - no later than 5:00 p.m. 2 days after filing closes. </t>
    </r>
    <r>
      <rPr>
        <i/>
        <sz val="12"/>
        <rFont val="Times New Roman"/>
        <family val="1"/>
      </rPr>
      <t>Minn. Stat. §205A.06, subd. 5</t>
    </r>
  </si>
  <si>
    <r>
      <t>Secretary of State:</t>
    </r>
    <r>
      <rPr>
        <sz val="12"/>
        <rFont val="Times New Roman"/>
        <family val="1"/>
      </rPr>
      <t xml:space="preserve"> Last day for "late filing" candidates to withdraw. Candidates may withdraw until 5:00 p.m. by filing an Affidavit of Withdrawal - no later than 5:00 p.m. 2 days after filing closes. </t>
    </r>
    <r>
      <rPr>
        <i/>
        <sz val="12"/>
        <rFont val="Times New Roman"/>
        <family val="1"/>
      </rPr>
      <t>Minn. Stat. §§205.13, subd. 6; 205A.06, subd. 5; 447.32, subd. 4</t>
    </r>
  </si>
  <si>
    <t>205.13, subd. 6; 205A.06, subd. 5; 447.32, subd. 4</t>
  </si>
  <si>
    <r>
      <t>Campaign Finance:</t>
    </r>
    <r>
      <rPr>
        <sz val="12"/>
        <rFont val="Times New Roman"/>
        <family val="1"/>
      </rPr>
      <t xml:space="preserve"> Last day for "late filing" candidates to withdraw. Candidates may withdraw until 5:00 p.m. by filing an Affidavit of Withdrawal - no later than 5:00 p.m. 2 days after filing closes. </t>
    </r>
    <r>
      <rPr>
        <i/>
        <sz val="12"/>
        <rFont val="Times New Roman"/>
        <family val="1"/>
      </rPr>
      <t>Minn. Stat. §§205.13, subd. 6; 205A.06, subd. 5; 447.32. subd. 4</t>
    </r>
  </si>
  <si>
    <r>
      <t>Political Parties:</t>
    </r>
    <r>
      <rPr>
        <sz val="12"/>
        <rFont val="Times New Roman"/>
        <family val="1"/>
      </rPr>
      <t xml:space="preserve"> Last day for "late filing" candidates to withdraw. Candidates may withdraw until 5:00 p.m. by filing an Affidavit of Withdrawal - no later than 5:00 p.m. 2 days after filing closes. </t>
    </r>
    <r>
      <rPr>
        <i/>
        <sz val="12"/>
        <rFont val="Times New Roman"/>
        <family val="1"/>
      </rPr>
      <t>Minn. Stat. §§205.13, subd. 6; 205A.06, subd. 5; 447.32, subd. 4</t>
    </r>
  </si>
  <si>
    <r>
      <t>Counties:</t>
    </r>
    <r>
      <rPr>
        <sz val="12"/>
        <rFont val="Times New Roman"/>
        <family val="1"/>
      </rPr>
      <t xml:space="preserve"> Last day for "late filing" candidates to withdraw. Candidates may withdraw until 5:00 p.m. by filing an Affidavit of Withdrawal - no later than 5:00 p.m. 2 days after filing closes. </t>
    </r>
    <r>
      <rPr>
        <i/>
        <sz val="12"/>
        <rFont val="Times New Roman"/>
        <family val="1"/>
      </rPr>
      <t>Minn. Stat. §§205.13, subd. 6; 205A.06, subd. 5; 447.32, subd. 4</t>
    </r>
  </si>
  <si>
    <r>
      <t>Hospital Districts:</t>
    </r>
    <r>
      <rPr>
        <sz val="12"/>
        <rFont val="Times New Roman"/>
        <family val="1"/>
      </rPr>
      <t xml:space="preserve"> Last day for "late filing" candidates to withdraw. Candidates may withdraw until 5:00 p.m. by filing an Affidavit of Withdrawal with the Hospital District Clerk (not the municipal clerk) - no later than 5:00 p.m. 2 days after filing closes. </t>
    </r>
    <r>
      <rPr>
        <i/>
        <sz val="12"/>
        <rFont val="Times New Roman"/>
        <family val="1"/>
      </rPr>
      <t>Minn. Stat. §447.32, subd. 4</t>
    </r>
  </si>
  <si>
    <r>
      <t xml:space="preserve">Secretary of State:  </t>
    </r>
    <r>
      <rPr>
        <sz val="12"/>
        <rFont val="Times New Roman"/>
        <family val="1"/>
      </rPr>
      <t xml:space="preserve">Last day for municipality, school district and hospital district to notify county auditor of general election.  Last day for county auditor to notify OSS of municipal, school district and hospital district elections.  Last day for school district to notify Commissioner of Education about financial-related ballot questions – at least 74 days before election.  </t>
    </r>
    <r>
      <rPr>
        <i/>
        <sz val="12"/>
        <rFont val="Times New Roman"/>
        <family val="1"/>
      </rPr>
      <t>Minn. Stat. §§205.16, subds. 4 &amp; 5; 205A.07, subds. 3, 3a, &amp; 3b; 447.32, subd. 3</t>
    </r>
  </si>
  <si>
    <r>
      <t xml:space="preserve">Campaign Finance:  </t>
    </r>
    <r>
      <rPr>
        <sz val="12"/>
        <rFont val="Times New Roman"/>
        <family val="1"/>
      </rPr>
      <t xml:space="preserve">Last day for municipality, school district and hospital district to notify county auditor of general election.  Last day for county auditor to notify OSS of municipal, school district and hospital district elections.  Last day for school district to notify Commissioner of Education about financial-related ballot questions – at least 74 days before election.  </t>
    </r>
    <r>
      <rPr>
        <i/>
        <sz val="12"/>
        <rFont val="Times New Roman"/>
        <family val="1"/>
      </rPr>
      <t>Minn. Stat. §§205.16, subds. 4 &amp; 5; 205A.07, subds. 3, 3a, &amp; 3b; 447.32, subd. 3</t>
    </r>
  </si>
  <si>
    <r>
      <t xml:space="preserve">Political Parties:  </t>
    </r>
    <r>
      <rPr>
        <sz val="12"/>
        <rFont val="Times New Roman"/>
        <family val="1"/>
      </rPr>
      <t xml:space="preserve">Last day for municipality, school district and hospital district to notify county auditor of general election.  Last day for county auditor to notify OSS of municipal, school district and hospital district elections.  Last day for school district to notify Commissioner of Education about financial-related ballot questions – at least 74 days before election.  </t>
    </r>
    <r>
      <rPr>
        <i/>
        <sz val="12"/>
        <rFont val="Times New Roman"/>
        <family val="1"/>
      </rPr>
      <t>Minn. Stat. §§205.16, subds. 4 &amp; 5; 205A.07, subds. 3, 3a, &amp; 3b; 447.32, subd. 3</t>
    </r>
  </si>
  <si>
    <r>
      <t xml:space="preserve">Cities with a Primary:  </t>
    </r>
    <r>
      <rPr>
        <sz val="12"/>
        <rFont val="Times New Roman"/>
        <family val="1"/>
      </rPr>
      <t xml:space="preserve">Last day for municipality, school district and hospital district to notify county auditor of general election.  Last day for county auditor to notify OSS of municipal, school district and hospital district elections.  Last day for school district to notify Commissioner of Education about financial-related ballot questions – at least 74 days before election.  </t>
    </r>
    <r>
      <rPr>
        <i/>
        <sz val="12"/>
        <rFont val="Times New Roman"/>
        <family val="1"/>
      </rPr>
      <t>Minn. Stat. §§205.16, subds. 4 &amp; 5; 205A.07, subds. 3, 3a, &amp; 3b; 447.32, subd. 3</t>
    </r>
  </si>
  <si>
    <r>
      <t xml:space="preserve">Cities without a Primary:  </t>
    </r>
    <r>
      <rPr>
        <sz val="12"/>
        <rFont val="Times New Roman"/>
        <family val="1"/>
      </rPr>
      <t xml:space="preserve">Last day for municipality, school district and hospital district to notify county auditor of general election.  Last day for county auditor to notify OSS of municipal, school district and hospital district elections.  Last day for school district to notify Commissioner of Education about financial-related ballot questions – at least 74 days before election.  </t>
    </r>
    <r>
      <rPr>
        <i/>
        <sz val="12"/>
        <rFont val="Times New Roman"/>
        <family val="1"/>
      </rPr>
      <t>Minn. Stat. §§205.16, subds. 4 &amp; 5; 205A.07, subds. 3, 3a, &amp; 3b; 447.32, subd. 3</t>
    </r>
  </si>
  <si>
    <r>
      <t xml:space="preserve">Towns with November Elections:  </t>
    </r>
    <r>
      <rPr>
        <sz val="12"/>
        <rFont val="Times New Roman"/>
        <family val="1"/>
      </rPr>
      <t xml:space="preserve">Last day for municipality, school district and hospital district to notify county auditor of general election.  Last day for county auditor to notify OSS of municipal, school district and hospital district elections.  Last day for school district to notify Commissioner of Education about financial-related ballot questions – at least 74 days before election.  </t>
    </r>
    <r>
      <rPr>
        <i/>
        <sz val="12"/>
        <rFont val="Times New Roman"/>
        <family val="1"/>
      </rPr>
      <t>Minn. Stat. §§205.16, subds. 4 &amp; 5; 205A.07, subds. 3, 3a, &amp; 3b; 447.32, subd. 3</t>
    </r>
  </si>
  <si>
    <r>
      <t xml:space="preserve">School Districts with a Primary:  </t>
    </r>
    <r>
      <rPr>
        <sz val="12"/>
        <rFont val="Times New Roman"/>
        <family val="1"/>
      </rPr>
      <t xml:space="preserve">Last day for municipality, school district and hospital district to notify county auditor of general election.  Last day for county auditor to notify OSS of municipal, school district and hospital district elections.  Last day for school district to notify Commissioner of Education about financial-related ballot questions – at least 74 days before election.  </t>
    </r>
    <r>
      <rPr>
        <i/>
        <sz val="12"/>
        <rFont val="Times New Roman"/>
        <family val="1"/>
      </rPr>
      <t>Minn. Stat. §§205.16, subds. 4 &amp; 5; 205A.07, subds. 3, 3a, &amp; 3b; 447.32, subd. 3</t>
    </r>
  </si>
  <si>
    <r>
      <t xml:space="preserve">School Districts without a Primary:  </t>
    </r>
    <r>
      <rPr>
        <sz val="12"/>
        <rFont val="Times New Roman"/>
        <family val="1"/>
      </rPr>
      <t xml:space="preserve">Last day for municipality, school district and hospital district to notify county auditor of general election.  Last day for county auditor to notify OSS of municipal, school district and hospital district elections.  Last day for school district to notify Commissioner of Education about financial-related ballot questions – at least 74 days before election.  </t>
    </r>
    <r>
      <rPr>
        <i/>
        <sz val="12"/>
        <rFont val="Times New Roman"/>
        <family val="1"/>
      </rPr>
      <t>Minn. Stat. §§205.16, subds. 4 &amp; 5; 205A.07, subds. 3, 3a, &amp; 3b; 447.32, subd. 3</t>
    </r>
  </si>
  <si>
    <r>
      <t xml:space="preserve">Hospital Districts:  </t>
    </r>
    <r>
      <rPr>
        <sz val="12"/>
        <rFont val="Times New Roman"/>
        <family val="1"/>
      </rPr>
      <t xml:space="preserve">Last day for municipality, school district and hospital district to notify county auditor of general election.  Last day for county auditor to notify OSS of municipal, school district and hospital district elections.  Last day for school district to notify Commissioner of Education about financial-related ballot questions – at least 74 days before election.  </t>
    </r>
    <r>
      <rPr>
        <i/>
        <sz val="12"/>
        <rFont val="Times New Roman"/>
        <family val="1"/>
      </rPr>
      <t>Minn. Stat. §§205.16, subds. 4 &amp; 5; 205A.07, subds. 3, 3a, &amp; 3b; 447.32, subd. 3</t>
    </r>
  </si>
  <si>
    <r>
      <t>Secretary of State:</t>
    </r>
    <r>
      <rPr>
        <sz val="12"/>
        <rFont val="Times New Roman"/>
        <family val="1"/>
      </rPr>
      <t xml:space="preserve"> Last day for municipalities and school districts with primaries to </t>
    </r>
    <r>
      <rPr>
        <i/>
        <sz val="12"/>
        <rFont val="Times New Roman"/>
        <family val="1"/>
      </rPr>
      <t xml:space="preserve">post </t>
    </r>
    <r>
      <rPr>
        <sz val="12"/>
        <rFont val="Times New Roman"/>
        <family val="1"/>
      </rPr>
      <t xml:space="preserve">notice of general election </t>
    </r>
    <r>
      <rPr>
        <i/>
        <sz val="12"/>
        <rFont val="Times New Roman"/>
        <family val="1"/>
      </rPr>
      <t xml:space="preserve">(Required for school districts, 4th class cities who dispensed with published notice, and non-metro towns that dispensed with publication) </t>
    </r>
    <r>
      <rPr>
        <sz val="12"/>
        <rFont val="Times New Roman"/>
        <family val="1"/>
      </rPr>
      <t xml:space="preserve">- 10 days before election. </t>
    </r>
    <r>
      <rPr>
        <i/>
        <sz val="12"/>
        <rFont val="Times New Roman"/>
        <family val="1"/>
      </rPr>
      <t>Minn. Stat. §§205.16, subd. 1; 205A.07, subd. 1</t>
    </r>
  </si>
  <si>
    <r>
      <t>Political Parties:</t>
    </r>
    <r>
      <rPr>
        <sz val="12"/>
        <rFont val="Times New Roman"/>
        <family val="1"/>
      </rPr>
      <t xml:space="preserve"> Last day for municipalities and school districts with primaries to </t>
    </r>
    <r>
      <rPr>
        <i/>
        <sz val="12"/>
        <rFont val="Times New Roman"/>
        <family val="1"/>
      </rPr>
      <t xml:space="preserve">post </t>
    </r>
    <r>
      <rPr>
        <sz val="12"/>
        <rFont val="Times New Roman"/>
        <family val="1"/>
      </rPr>
      <t xml:space="preserve">notice of general election </t>
    </r>
    <r>
      <rPr>
        <i/>
        <sz val="12"/>
        <rFont val="Times New Roman"/>
        <family val="1"/>
      </rPr>
      <t xml:space="preserve">(Required for school districts, 4th class cities who dispensed with published notice, and non-metro towns that dispensed with publication) </t>
    </r>
    <r>
      <rPr>
        <sz val="12"/>
        <rFont val="Times New Roman"/>
        <family val="1"/>
      </rPr>
      <t xml:space="preserve">- 10 days before election. </t>
    </r>
    <r>
      <rPr>
        <i/>
        <sz val="12"/>
        <rFont val="Times New Roman"/>
        <family val="1"/>
      </rPr>
      <t>Minn. Stat. §§205.16, subd. 1; 205A.07, subd. 1</t>
    </r>
  </si>
  <si>
    <r>
      <t>Counties:</t>
    </r>
    <r>
      <rPr>
        <sz val="12"/>
        <rFont val="Times New Roman"/>
        <family val="1"/>
      </rPr>
      <t xml:space="preserve"> Last day for municipalities and school districts with primaries to </t>
    </r>
    <r>
      <rPr>
        <i/>
        <sz val="12"/>
        <rFont val="Times New Roman"/>
        <family val="1"/>
      </rPr>
      <t xml:space="preserve">post </t>
    </r>
    <r>
      <rPr>
        <sz val="12"/>
        <rFont val="Times New Roman"/>
        <family val="1"/>
      </rPr>
      <t xml:space="preserve">notice of general election </t>
    </r>
    <r>
      <rPr>
        <i/>
        <sz val="12"/>
        <rFont val="Times New Roman"/>
        <family val="1"/>
      </rPr>
      <t xml:space="preserve">(Required for school districts, 4th class cities who dispensed with published notice, and non-metro towns that dispensed with publication) </t>
    </r>
    <r>
      <rPr>
        <sz val="12"/>
        <rFont val="Times New Roman"/>
        <family val="1"/>
      </rPr>
      <t xml:space="preserve">- 10 days before election. </t>
    </r>
    <r>
      <rPr>
        <i/>
        <sz val="12"/>
        <rFont val="Times New Roman"/>
        <family val="1"/>
      </rPr>
      <t>Minn. Stat. §§205.16, subd. 1; 205A.07, subd. 1</t>
    </r>
  </si>
  <si>
    <r>
      <t>Cities with a Primary:</t>
    </r>
    <r>
      <rPr>
        <sz val="12"/>
        <rFont val="Times New Roman"/>
        <family val="1"/>
      </rPr>
      <t xml:space="preserve"> Last day for municipalities and school districts with primaries to </t>
    </r>
    <r>
      <rPr>
        <i/>
        <sz val="12"/>
        <rFont val="Times New Roman"/>
        <family val="1"/>
      </rPr>
      <t xml:space="preserve">post </t>
    </r>
    <r>
      <rPr>
        <sz val="12"/>
        <rFont val="Times New Roman"/>
        <family val="1"/>
      </rPr>
      <t xml:space="preserve">notice of general election </t>
    </r>
    <r>
      <rPr>
        <i/>
        <sz val="12"/>
        <rFont val="Times New Roman"/>
        <family val="1"/>
      </rPr>
      <t xml:space="preserve">(Required for school districts, 4th class cities who dispensed with published notice, and non-metro towns that dispensed with publication) </t>
    </r>
    <r>
      <rPr>
        <sz val="12"/>
        <rFont val="Times New Roman"/>
        <family val="1"/>
      </rPr>
      <t xml:space="preserve">- 10 days before election. </t>
    </r>
    <r>
      <rPr>
        <i/>
        <sz val="12"/>
        <rFont val="Times New Roman"/>
        <family val="1"/>
      </rPr>
      <t>Minn. Stat. §§205.16, subd. 1; 205A.07, subd. 1</t>
    </r>
  </si>
  <si>
    <r>
      <t>Cities without a Primary:</t>
    </r>
    <r>
      <rPr>
        <sz val="12"/>
        <rFont val="Times New Roman"/>
        <family val="1"/>
      </rPr>
      <t xml:space="preserve"> Last day for municipalities and school districts with primaries to </t>
    </r>
    <r>
      <rPr>
        <i/>
        <sz val="12"/>
        <rFont val="Times New Roman"/>
        <family val="1"/>
      </rPr>
      <t xml:space="preserve">post </t>
    </r>
    <r>
      <rPr>
        <sz val="12"/>
        <rFont val="Times New Roman"/>
        <family val="1"/>
      </rPr>
      <t xml:space="preserve">notice of general election </t>
    </r>
    <r>
      <rPr>
        <i/>
        <sz val="12"/>
        <rFont val="Times New Roman"/>
        <family val="1"/>
      </rPr>
      <t xml:space="preserve">(Required for school districts, 4th class cities who dispensed with published notice, and non-metro towns that dispensed with publication) </t>
    </r>
    <r>
      <rPr>
        <sz val="12"/>
        <rFont val="Times New Roman"/>
        <family val="1"/>
      </rPr>
      <t xml:space="preserve">- 10 days before election. </t>
    </r>
    <r>
      <rPr>
        <i/>
        <sz val="12"/>
        <rFont val="Times New Roman"/>
        <family val="1"/>
      </rPr>
      <t>Minn. Stat. §§205.16, subd. 1; 205A.07, subd. 1</t>
    </r>
  </si>
  <si>
    <r>
      <t>Towns with November Elections:</t>
    </r>
    <r>
      <rPr>
        <sz val="12"/>
        <rFont val="Times New Roman"/>
        <family val="1"/>
      </rPr>
      <t xml:space="preserve"> Last day for municipalities and school districts with primaries to </t>
    </r>
    <r>
      <rPr>
        <i/>
        <sz val="12"/>
        <rFont val="Times New Roman"/>
        <family val="1"/>
      </rPr>
      <t xml:space="preserve">post </t>
    </r>
    <r>
      <rPr>
        <sz val="12"/>
        <rFont val="Times New Roman"/>
        <family val="1"/>
      </rPr>
      <t xml:space="preserve">notice of general election </t>
    </r>
    <r>
      <rPr>
        <i/>
        <sz val="12"/>
        <rFont val="Times New Roman"/>
        <family val="1"/>
      </rPr>
      <t xml:space="preserve">(Required for school districts, 4th class cities who dispensed with published notice, and non-metro towns that dispensed with publication) </t>
    </r>
    <r>
      <rPr>
        <sz val="12"/>
        <rFont val="Times New Roman"/>
        <family val="1"/>
      </rPr>
      <t xml:space="preserve">- 10 days before election. </t>
    </r>
    <r>
      <rPr>
        <i/>
        <sz val="12"/>
        <rFont val="Times New Roman"/>
        <family val="1"/>
      </rPr>
      <t>Minn. Stat. §§205.16, subd. 1; 205A.07, subd. 1</t>
    </r>
  </si>
  <si>
    <r>
      <t>School Districts with a Primary:</t>
    </r>
    <r>
      <rPr>
        <sz val="12"/>
        <rFont val="Times New Roman"/>
        <family val="1"/>
      </rPr>
      <t xml:space="preserve"> Last day for municipalities and school districts with primaries to </t>
    </r>
    <r>
      <rPr>
        <i/>
        <sz val="12"/>
        <rFont val="Times New Roman"/>
        <family val="1"/>
      </rPr>
      <t xml:space="preserve">post </t>
    </r>
    <r>
      <rPr>
        <sz val="12"/>
        <rFont val="Times New Roman"/>
        <family val="1"/>
      </rPr>
      <t xml:space="preserve">notice of general election </t>
    </r>
    <r>
      <rPr>
        <i/>
        <sz val="12"/>
        <rFont val="Times New Roman"/>
        <family val="1"/>
      </rPr>
      <t xml:space="preserve">(Required for school districts, 4th class cities who dispensed with published notice, and non-metro towns that dispensed with publication) </t>
    </r>
    <r>
      <rPr>
        <sz val="12"/>
        <rFont val="Times New Roman"/>
        <family val="1"/>
      </rPr>
      <t xml:space="preserve">- 10 days before election. </t>
    </r>
    <r>
      <rPr>
        <i/>
        <sz val="12"/>
        <rFont val="Times New Roman"/>
        <family val="1"/>
      </rPr>
      <t>Minn. Stat. §§205.16, subd. 1; 205A.07, subd. 1</t>
    </r>
  </si>
  <si>
    <r>
      <t>School Districts without a Primary:</t>
    </r>
    <r>
      <rPr>
        <sz val="12"/>
        <rFont val="Times New Roman"/>
        <family val="1"/>
      </rPr>
      <t xml:space="preserve"> Last day for municipalities and school districts with primaries to </t>
    </r>
    <r>
      <rPr>
        <i/>
        <sz val="12"/>
        <rFont val="Times New Roman"/>
        <family val="1"/>
      </rPr>
      <t xml:space="preserve">post </t>
    </r>
    <r>
      <rPr>
        <sz val="12"/>
        <rFont val="Times New Roman"/>
        <family val="1"/>
      </rPr>
      <t xml:space="preserve">notice of general election </t>
    </r>
    <r>
      <rPr>
        <i/>
        <sz val="12"/>
        <rFont val="Times New Roman"/>
        <family val="1"/>
      </rPr>
      <t xml:space="preserve">(Required for school districts, 4th class cities who dispensed with published notice, and non-metro towns that dispensed with publication) </t>
    </r>
    <r>
      <rPr>
        <sz val="12"/>
        <rFont val="Times New Roman"/>
        <family val="1"/>
      </rPr>
      <t xml:space="preserve">- 10 days before election. </t>
    </r>
    <r>
      <rPr>
        <i/>
        <sz val="12"/>
        <rFont val="Times New Roman"/>
        <family val="1"/>
      </rPr>
      <t>Minn. Stat. §§205.16, subd. 1; 205A.07, subd. 1</t>
    </r>
  </si>
  <si>
    <r>
      <t xml:space="preserve">STATE GENERAL ELECTION DAY: School Districts with a Primary: </t>
    </r>
    <r>
      <rPr>
        <sz val="12"/>
        <rFont val="Times New Roman"/>
        <family val="1"/>
      </rPr>
      <t xml:space="preserve">First Tuesday after the first Monday in November. </t>
    </r>
    <r>
      <rPr>
        <i/>
        <sz val="12"/>
        <rFont val="Times New Roman"/>
        <family val="1"/>
      </rPr>
      <t>Minn. Stat. §§205A.04; 204D.03</t>
    </r>
  </si>
  <si>
    <r>
      <t xml:space="preserve">STATE GENERAL ELECTION DAY: School Districts without a Primary: </t>
    </r>
    <r>
      <rPr>
        <sz val="12"/>
        <rFont val="Times New Roman"/>
        <family val="1"/>
      </rPr>
      <t xml:space="preserve">First Tuesday after the first Monday in November. </t>
    </r>
    <r>
      <rPr>
        <i/>
        <sz val="12"/>
        <rFont val="Times New Roman"/>
        <family val="1"/>
      </rPr>
      <t>Minn. Stat. §§205A.04; 204D.03</t>
    </r>
  </si>
  <si>
    <r>
      <t xml:space="preserve">STATE GENERAL ELECTION DAY: Hospital Districts: </t>
    </r>
    <r>
      <rPr>
        <sz val="12"/>
        <rFont val="Times New Roman"/>
        <family val="1"/>
      </rPr>
      <t xml:space="preserve">First Tuesday after the first Monday in November.  </t>
    </r>
    <r>
      <rPr>
        <i/>
        <sz val="12"/>
        <rFont val="Times New Roman"/>
        <family val="1"/>
      </rPr>
      <t>Minn. Stat. §§447.32; 204D.03</t>
    </r>
  </si>
  <si>
    <r>
      <t xml:space="preserve">Secretary of State: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</si>
  <si>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Campaign Finance: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</si>
  <si>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Political Parties: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</si>
  <si>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Counties: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</si>
  <si>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Cities with a Primary: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</si>
  <si>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Cities without a Primary: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</si>
  <si>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Towns with November Elections: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</si>
  <si>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School Districts with a Primary: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</si>
  <si>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School Districts without a Primary: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</si>
  <si>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Hospital Districts: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</si>
  <si>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Secretary of State: </t>
    </r>
    <r>
      <rPr>
        <sz val="12"/>
        <rFont val="Times New Roman"/>
        <family val="1"/>
      </rPr>
      <t xml:space="preserve">First day to issue certificate of election for county, municipal, school district and hospital district offices - after the time for contesting elections has passed.  See </t>
    </r>
    <r>
      <rPr>
        <i/>
        <sz val="12"/>
        <rFont val="Times New Roman"/>
        <family val="1"/>
      </rPr>
      <t>M.S. §§204C.36; 205.185, subd. 3; 205A.10, subd. 3; 209.021, subd. 1; 211A.05, subd. 1; and 447.32</t>
    </r>
  </si>
  <si>
    <r>
      <t xml:space="preserve">Campaign Finance: </t>
    </r>
    <r>
      <rPr>
        <sz val="12"/>
        <rFont val="Times New Roman"/>
        <family val="1"/>
      </rPr>
      <t xml:space="preserve">First day to issue certificate of election for county, municipal, school district and hospital district offices - after the time for contesting elections has passed.  See </t>
    </r>
    <r>
      <rPr>
        <i/>
        <sz val="12"/>
        <rFont val="Times New Roman"/>
        <family val="1"/>
      </rPr>
      <t>M.S. §§204C.36; 205.185, subd. 3; 205A.10, subd. 3; 209.021, subd. 1; 211A.05, subd. 1; and 447.32</t>
    </r>
  </si>
  <si>
    <r>
      <t xml:space="preserve">Political Parties: </t>
    </r>
    <r>
      <rPr>
        <sz val="12"/>
        <rFont val="Times New Roman"/>
        <family val="1"/>
      </rPr>
      <t xml:space="preserve">First day to issue certificate of election for county, municipal, school district and hospital district offices - after the time for contesting elections has passed.  See </t>
    </r>
    <r>
      <rPr>
        <i/>
        <sz val="12"/>
        <rFont val="Times New Roman"/>
        <family val="1"/>
      </rPr>
      <t>M.S. §§204C.36; 205.185, subd. 3; 205A.10, subd. 3; 209.021, subd. 1; 211A.05, subd. 1; and 447.32</t>
    </r>
  </si>
  <si>
    <r>
      <t>Cities with a Primary:</t>
    </r>
    <r>
      <rPr>
        <sz val="12"/>
        <rFont val="Times New Roman"/>
        <family val="1"/>
      </rPr>
      <t xml:space="preserve"> First day to issue certificate of election - after the time for contesting elections has passed.  Clerk issues certificate if:  1) the candidate has filed </t>
    </r>
    <r>
      <rPr>
        <i/>
        <sz val="12"/>
        <rFont val="Times New Roman"/>
        <family val="1"/>
      </rPr>
      <t>Campaign Financial Report Certification of Filing</t>
    </r>
    <r>
      <rPr>
        <sz val="12"/>
        <rFont val="Times New Roman"/>
        <family val="1"/>
      </rPr>
      <t xml:space="preserve">form - within 7 days of canvass.  </t>
    </r>
    <r>
      <rPr>
        <i/>
        <sz val="12"/>
        <rFont val="Times New Roman"/>
        <family val="1"/>
      </rPr>
      <t>Minn. Stat. §211A.05, subd. 1</t>
    </r>
    <r>
      <rPr>
        <sz val="12"/>
        <rFont val="Times New Roman"/>
        <family val="1"/>
      </rPr>
      <t xml:space="preserve">; 2) the losing candidate has not requested a recount.  </t>
    </r>
    <r>
      <rPr>
        <i/>
        <sz val="12"/>
        <rFont val="Times New Roman"/>
        <family val="1"/>
      </rPr>
      <t>Minn. Stat. §§204C.36; 205.185, subd. 3</t>
    </r>
    <r>
      <rPr>
        <sz val="12"/>
        <rFont val="Times New Roman"/>
        <family val="1"/>
      </rPr>
      <t xml:space="preserve">; and 3) a notice of contest has not been filed.  </t>
    </r>
    <r>
      <rPr>
        <i/>
        <sz val="12"/>
        <rFont val="Times New Roman"/>
        <family val="1"/>
      </rPr>
      <t xml:space="preserve">Minn. Stat. §§209.021, subd. 1, 205.185, subd. 3 </t>
    </r>
    <r>
      <rPr>
        <sz val="12"/>
        <rFont val="Times New Roman"/>
        <family val="1"/>
      </rPr>
      <t xml:space="preserve">- (Certify election results to county auditors, date not specified in law.  </t>
    </r>
    <r>
      <rPr>
        <i/>
        <sz val="12"/>
        <rFont val="Times New Roman"/>
        <family val="1"/>
      </rPr>
      <t>Minn. Stat. §205.185, subd. 3)</t>
    </r>
  </si>
  <si>
    <r>
      <t>Cities without a Primary:</t>
    </r>
    <r>
      <rPr>
        <sz val="12"/>
        <rFont val="Times New Roman"/>
        <family val="1"/>
      </rPr>
      <t xml:space="preserve"> First day to issue certificate of election - after the time for contesting elections has passed.  Clerk issues certificate if:  1) the candidate has filed </t>
    </r>
    <r>
      <rPr>
        <i/>
        <sz val="12"/>
        <rFont val="Times New Roman"/>
        <family val="1"/>
      </rPr>
      <t>Campaign Financial Report Certification of Filing</t>
    </r>
    <r>
      <rPr>
        <sz val="12"/>
        <rFont val="Times New Roman"/>
        <family val="1"/>
      </rPr>
      <t xml:space="preserve">form - within 7 days of canvass.  </t>
    </r>
    <r>
      <rPr>
        <i/>
        <sz val="12"/>
        <rFont val="Times New Roman"/>
        <family val="1"/>
      </rPr>
      <t>Minn. Stat. §211A.05, subd. 1</t>
    </r>
    <r>
      <rPr>
        <sz val="12"/>
        <rFont val="Times New Roman"/>
        <family val="1"/>
      </rPr>
      <t xml:space="preserve">; 2) the losing candidate has not requested a recount.  </t>
    </r>
    <r>
      <rPr>
        <i/>
        <sz val="12"/>
        <rFont val="Times New Roman"/>
        <family val="1"/>
      </rPr>
      <t>Minn. Stat. §§204C.36; 205.185, subd. 3</t>
    </r>
    <r>
      <rPr>
        <sz val="12"/>
        <rFont val="Times New Roman"/>
        <family val="1"/>
      </rPr>
      <t xml:space="preserve">; and 3) a notice of contest has not been filed.  </t>
    </r>
    <r>
      <rPr>
        <i/>
        <sz val="12"/>
        <rFont val="Times New Roman"/>
        <family val="1"/>
      </rPr>
      <t xml:space="preserve">Minn. Stat. §§209.021, subd. 1, 205.185, subd. 3 </t>
    </r>
    <r>
      <rPr>
        <sz val="12"/>
        <rFont val="Times New Roman"/>
        <family val="1"/>
      </rPr>
      <t xml:space="preserve">- (Certify election results to county auditors, date not specified in law.  </t>
    </r>
    <r>
      <rPr>
        <i/>
        <sz val="12"/>
        <rFont val="Times New Roman"/>
        <family val="1"/>
      </rPr>
      <t>Minn. Stat. §205.185, subd. 3)</t>
    </r>
  </si>
  <si>
    <r>
      <t xml:space="preserve">Towns with November Elections:  </t>
    </r>
    <r>
      <rPr>
        <sz val="12"/>
        <rFont val="Times New Roman"/>
        <family val="1"/>
      </rPr>
      <t xml:space="preserve">First day to issue certificate of election – after the time for contesting elections has passed. Clerk issues certificate if:  1) the candidate has filed </t>
    </r>
    <r>
      <rPr>
        <i/>
        <sz val="12"/>
        <rFont val="Times New Roman"/>
        <family val="1"/>
      </rPr>
      <t xml:space="preserve">Campaign Financial Report Certification of Filing </t>
    </r>
    <r>
      <rPr>
        <sz val="12"/>
        <rFont val="Times New Roman"/>
        <family val="1"/>
      </rPr>
      <t xml:space="preserve">form - within 7 days of canvass. </t>
    </r>
    <r>
      <rPr>
        <i/>
        <sz val="12"/>
        <rFont val="Times New Roman"/>
        <family val="1"/>
      </rPr>
      <t xml:space="preserve">Minn. Stat. §211A.05, subd. 1; </t>
    </r>
    <r>
      <rPr>
        <sz val="12"/>
        <rFont val="Times New Roman"/>
        <family val="1"/>
      </rPr>
      <t xml:space="preserve">2) the losing candidate has not requested a recount. </t>
    </r>
    <r>
      <rPr>
        <i/>
        <sz val="12"/>
        <rFont val="Times New Roman"/>
        <family val="1"/>
      </rPr>
      <t xml:space="preserve"> Minn. Stat. §§204C.36; 205A.10; </t>
    </r>
    <r>
      <rPr>
        <sz val="12"/>
        <rFont val="Times New Roman"/>
        <family val="1"/>
      </rPr>
      <t>and 3)</t>
    </r>
    <r>
      <rPr>
        <i/>
        <sz val="12"/>
        <rFont val="Times New Roman"/>
        <family val="1"/>
      </rPr>
      <t xml:space="preserve"> </t>
    </r>
    <r>
      <rPr>
        <sz val="12"/>
        <rFont val="Times New Roman"/>
        <family val="1"/>
      </rPr>
      <t xml:space="preserve">a notice of contest has not been filed.  </t>
    </r>
    <r>
      <rPr>
        <i/>
        <sz val="12"/>
        <rFont val="Times New Roman"/>
        <family val="1"/>
      </rPr>
      <t>Minn. Stat. §§209.021, subd. 1; 205.185, subd. 3</t>
    </r>
    <r>
      <rPr>
        <sz val="12"/>
        <rFont val="Times New Roman"/>
        <family val="1"/>
      </rPr>
      <t xml:space="preserve">(Certify election results to county auditors - date not specified in law. </t>
    </r>
    <r>
      <rPr>
        <i/>
        <sz val="12"/>
        <rFont val="Times New Roman"/>
        <family val="1"/>
      </rPr>
      <t xml:space="preserve"> Minn. Stat. §205.185, subd. 3)</t>
    </r>
  </si>
  <si>
    <r>
      <t xml:space="preserve">School Districts with a Primary: </t>
    </r>
    <r>
      <rPr>
        <sz val="12"/>
        <rFont val="Times New Roman"/>
        <family val="1"/>
      </rPr>
      <t xml:space="preserve">First day to issue certificate of election - after the time for contesting election has passed. Clerk issues certificate if:  1) the candidate has filed </t>
    </r>
    <r>
      <rPr>
        <i/>
        <sz val="12"/>
        <rFont val="Times New Roman"/>
        <family val="1"/>
      </rPr>
      <t xml:space="preserve">Campaign Financial Report Certification of Filing </t>
    </r>
    <r>
      <rPr>
        <sz val="12"/>
        <rFont val="Times New Roman"/>
        <family val="1"/>
      </rPr>
      <t xml:space="preserve">form - within 7 days of canvass.  </t>
    </r>
    <r>
      <rPr>
        <i/>
        <sz val="12"/>
        <rFont val="Times New Roman"/>
        <family val="1"/>
      </rPr>
      <t>Minn. Stat. §211A.05, subd. 1</t>
    </r>
    <r>
      <rPr>
        <sz val="12"/>
        <rFont val="Times New Roman"/>
        <family val="1"/>
      </rPr>
      <t xml:space="preserve">; 2) the losing candidate has not requested a recount.  </t>
    </r>
    <r>
      <rPr>
        <i/>
        <sz val="12"/>
        <rFont val="Times New Roman"/>
        <family val="1"/>
      </rPr>
      <t>Minn. Stat. §§204C.36; 205A.10</t>
    </r>
    <r>
      <rPr>
        <sz val="12"/>
        <rFont val="Times New Roman"/>
        <family val="1"/>
      </rPr>
      <t xml:space="preserve">; and 3) a notice of contest has not been filed. </t>
    </r>
    <r>
      <rPr>
        <i/>
        <sz val="12"/>
        <rFont val="Times New Roman"/>
        <family val="1"/>
      </rPr>
      <t>Minn. Stat. §§209.021, subd. 1, 205A.10</t>
    </r>
    <r>
      <rPr>
        <sz val="12"/>
        <rFont val="Times New Roman"/>
        <family val="1"/>
      </rPr>
      <t xml:space="preserve">- (Certify election results to county auditors, date not specified in law.  </t>
    </r>
    <r>
      <rPr>
        <i/>
        <sz val="12"/>
        <rFont val="Times New Roman"/>
        <family val="1"/>
      </rPr>
      <t>Minn. Stat. §205A.10)</t>
    </r>
  </si>
  <si>
    <r>
      <t xml:space="preserve">School Districts without a Primary: </t>
    </r>
    <r>
      <rPr>
        <sz val="12"/>
        <rFont val="Times New Roman"/>
        <family val="1"/>
      </rPr>
      <t xml:space="preserve">First day to issue certificate of election - after the time for contesting election has passed. Clerk issues certificate if:  1) the candidate has filed </t>
    </r>
    <r>
      <rPr>
        <i/>
        <sz val="12"/>
        <rFont val="Times New Roman"/>
        <family val="1"/>
      </rPr>
      <t xml:space="preserve">Campaign Financial Report Certification of Filing </t>
    </r>
    <r>
      <rPr>
        <sz val="12"/>
        <rFont val="Times New Roman"/>
        <family val="1"/>
      </rPr>
      <t xml:space="preserve">form - within 7 days of canvass.  </t>
    </r>
    <r>
      <rPr>
        <i/>
        <sz val="12"/>
        <rFont val="Times New Roman"/>
        <family val="1"/>
      </rPr>
      <t>Minn. Stat. §211A.05, subd. 1</t>
    </r>
    <r>
      <rPr>
        <sz val="12"/>
        <rFont val="Times New Roman"/>
        <family val="1"/>
      </rPr>
      <t xml:space="preserve">; 2) the losing candidate has not requested a recount.  </t>
    </r>
    <r>
      <rPr>
        <i/>
        <sz val="12"/>
        <rFont val="Times New Roman"/>
        <family val="1"/>
      </rPr>
      <t>Minn. Stat. §§204C.36; 205A.10</t>
    </r>
    <r>
      <rPr>
        <sz val="12"/>
        <rFont val="Times New Roman"/>
        <family val="1"/>
      </rPr>
      <t xml:space="preserve">; and 3) a notice of contest has not been filed. </t>
    </r>
    <r>
      <rPr>
        <i/>
        <sz val="12"/>
        <rFont val="Times New Roman"/>
        <family val="1"/>
      </rPr>
      <t>Minn. Stat. §§209.021, subd. 1, 205.185, subd. 3</t>
    </r>
    <r>
      <rPr>
        <sz val="12"/>
        <rFont val="Times New Roman"/>
        <family val="1"/>
      </rPr>
      <t xml:space="preserve"> - (Certify election results to county auditors, date not specified in law.  </t>
    </r>
    <r>
      <rPr>
        <i/>
        <sz val="12"/>
        <rFont val="Times New Roman"/>
        <family val="1"/>
      </rPr>
      <t>Minn. Stat. §205A.10)</t>
    </r>
  </si>
  <si>
    <r>
      <t>Hospital Districts:</t>
    </r>
    <r>
      <rPr>
        <sz val="12"/>
        <rFont val="Times New Roman"/>
        <family val="1"/>
      </rPr>
      <t xml:space="preserve"> Issue certificate of election to the winning candidate 7 days following canvass if: 1) the candidate has filed Campaign Financial Report Certification of Filing form 2) A notice of contest has not been filed.  - within 7 days of canvass.  3) The losing candidate has not requested a recount.  </t>
    </r>
    <r>
      <rPr>
        <i/>
        <sz val="12"/>
        <rFont val="Times New Roman"/>
        <family val="1"/>
      </rPr>
      <t>Minn. Stat. §§447.32;  209.021, subd. 1</t>
    </r>
  </si>
  <si>
    <r>
      <t xml:space="preserve">Secretary of State: </t>
    </r>
    <r>
      <rPr>
        <sz val="12"/>
        <rFont val="Times New Roman"/>
        <family val="1"/>
      </rPr>
      <t xml:space="preserve">Municipal clerks and county auditors (unorganized territory poll places) shall </t>
    </r>
    <r>
      <rPr>
        <b/>
        <sz val="12"/>
        <rFont val="Times New Roman"/>
        <family val="1"/>
      </rPr>
      <t>post</t>
    </r>
    <r>
      <rPr>
        <sz val="12"/>
        <rFont val="Times New Roman"/>
        <family val="1"/>
      </rPr>
      <t xml:space="preserve"> a notice stating the officers to be nominated in the state primary election, the location of each polling place including information concerning any polling places in unorganized territories, and hours for voting</t>
    </r>
    <r>
      <rPr>
        <i/>
        <sz val="12"/>
        <rFont val="Times New Roman"/>
        <family val="1"/>
      </rPr>
      <t xml:space="preserve"> (This may include municipal officers to be elected.  May also publish this information)  </t>
    </r>
    <r>
      <rPr>
        <sz val="12"/>
        <rFont val="Times New Roman"/>
        <family val="1"/>
      </rPr>
      <t xml:space="preserve">- at least 15 days before any state primary or state general election. </t>
    </r>
    <r>
      <rPr>
        <i/>
        <sz val="12"/>
        <rFont val="Times New Roman"/>
        <family val="1"/>
      </rPr>
      <t>Minn. Stat. §204B.34</t>
    </r>
  </si>
  <si>
    <r>
      <t xml:space="preserve">Campaign Finance: </t>
    </r>
    <r>
      <rPr>
        <sz val="12"/>
        <rFont val="Times New Roman"/>
        <family val="1"/>
      </rPr>
      <t xml:space="preserve">Municipal clerks and county auditors (unorganized territory poll places) shall </t>
    </r>
    <r>
      <rPr>
        <b/>
        <sz val="12"/>
        <rFont val="Times New Roman"/>
        <family val="1"/>
      </rPr>
      <t>post</t>
    </r>
    <r>
      <rPr>
        <sz val="12"/>
        <rFont val="Times New Roman"/>
        <family val="1"/>
      </rPr>
      <t xml:space="preserve"> a notice stating the officers to be nominated in the state primary election, the location of each polling place including information concerning any polling places in unorganized territories, and hours for voting</t>
    </r>
    <r>
      <rPr>
        <i/>
        <sz val="12"/>
        <rFont val="Times New Roman"/>
        <family val="1"/>
      </rPr>
      <t xml:space="preserve"> (This may include municipal officers to be elected.  May also publish this information)  </t>
    </r>
    <r>
      <rPr>
        <sz val="12"/>
        <rFont val="Times New Roman"/>
        <family val="1"/>
      </rPr>
      <t xml:space="preserve">- at least 15 days before any state primary or state general election. </t>
    </r>
    <r>
      <rPr>
        <i/>
        <sz val="12"/>
        <rFont val="Times New Roman"/>
        <family val="1"/>
      </rPr>
      <t>Minn. Stat. §204B.34</t>
    </r>
  </si>
  <si>
    <r>
      <t xml:space="preserve">Political Parties: </t>
    </r>
    <r>
      <rPr>
        <sz val="12"/>
        <rFont val="Times New Roman"/>
        <family val="1"/>
      </rPr>
      <t xml:space="preserve">Municipal clerks and county auditors (unorganized territory poll places) shall </t>
    </r>
    <r>
      <rPr>
        <b/>
        <sz val="12"/>
        <rFont val="Times New Roman"/>
        <family val="1"/>
      </rPr>
      <t>post</t>
    </r>
    <r>
      <rPr>
        <sz val="12"/>
        <rFont val="Times New Roman"/>
        <family val="1"/>
      </rPr>
      <t xml:space="preserve"> a notice stating the officers to be nominated in the state primary election, the location of each polling place including information concerning any polling places in unorganized territories, and hours for voting</t>
    </r>
    <r>
      <rPr>
        <i/>
        <sz val="12"/>
        <rFont val="Times New Roman"/>
        <family val="1"/>
      </rPr>
      <t xml:space="preserve"> (This may include municipal officers to be elected.  May also publish this information)  </t>
    </r>
    <r>
      <rPr>
        <sz val="12"/>
        <rFont val="Times New Roman"/>
        <family val="1"/>
      </rPr>
      <t xml:space="preserve">- at least 15 days before any state primary or state general election. </t>
    </r>
    <r>
      <rPr>
        <i/>
        <sz val="12"/>
        <rFont val="Times New Roman"/>
        <family val="1"/>
      </rPr>
      <t>Minn. Stat. §204B.34</t>
    </r>
  </si>
  <si>
    <r>
      <t xml:space="preserve">Counties: </t>
    </r>
    <r>
      <rPr>
        <sz val="12"/>
        <rFont val="Times New Roman"/>
        <family val="1"/>
      </rPr>
      <t xml:space="preserve">Municipal clerks and county auditors (unorganized territory poll places) shall </t>
    </r>
    <r>
      <rPr>
        <b/>
        <sz val="12"/>
        <rFont val="Times New Roman"/>
        <family val="1"/>
      </rPr>
      <t>post</t>
    </r>
    <r>
      <rPr>
        <sz val="12"/>
        <rFont val="Times New Roman"/>
        <family val="1"/>
      </rPr>
      <t xml:space="preserve"> a notice stating the officers to be nominated in the state primary election, the location of each polling place including information concerning any polling places in unorganized territories, and hours for voting</t>
    </r>
    <r>
      <rPr>
        <i/>
        <sz val="12"/>
        <rFont val="Times New Roman"/>
        <family val="1"/>
      </rPr>
      <t xml:space="preserve"> (This may include municipal officers to be elected.  May also publish this information)  </t>
    </r>
    <r>
      <rPr>
        <sz val="12"/>
        <rFont val="Times New Roman"/>
        <family val="1"/>
      </rPr>
      <t xml:space="preserve">- at least 15 days before any state primary or state general election. </t>
    </r>
    <r>
      <rPr>
        <i/>
        <sz val="12"/>
        <rFont val="Times New Roman"/>
        <family val="1"/>
      </rPr>
      <t>Minn. Stat. §204B.34</t>
    </r>
  </si>
  <si>
    <r>
      <t xml:space="preserve">Cities with a Primary: </t>
    </r>
    <r>
      <rPr>
        <sz val="12"/>
        <rFont val="Times New Roman"/>
        <family val="1"/>
      </rPr>
      <t xml:space="preserve">Municipal clerks and county auditors (unorganized territory poll places) shall </t>
    </r>
    <r>
      <rPr>
        <b/>
        <sz val="12"/>
        <rFont val="Times New Roman"/>
        <family val="1"/>
      </rPr>
      <t>post</t>
    </r>
    <r>
      <rPr>
        <sz val="12"/>
        <rFont val="Times New Roman"/>
        <family val="1"/>
      </rPr>
      <t xml:space="preserve"> a notice stating the officers to be nominated in the state primary election, the location of each polling place including information concerning any polling places in unorganized territories, and hours for voting</t>
    </r>
    <r>
      <rPr>
        <i/>
        <sz val="12"/>
        <rFont val="Times New Roman"/>
        <family val="1"/>
      </rPr>
      <t xml:space="preserve"> (This may include municipal officers to be elected.  May also publish this information)  </t>
    </r>
    <r>
      <rPr>
        <sz val="12"/>
        <rFont val="Times New Roman"/>
        <family val="1"/>
      </rPr>
      <t xml:space="preserve">- at least 15 days before any state primary or state general election. </t>
    </r>
    <r>
      <rPr>
        <i/>
        <sz val="12"/>
        <rFont val="Times New Roman"/>
        <family val="1"/>
      </rPr>
      <t>Minn. Stat. §204B.34</t>
    </r>
  </si>
  <si>
    <r>
      <t xml:space="preserve">Cities without a Primary Election: </t>
    </r>
    <r>
      <rPr>
        <sz val="12"/>
        <rFont val="Times New Roman"/>
        <family val="1"/>
      </rPr>
      <t xml:space="preserve">Municipal clerks and county auditors (unorganized territory poll places) shall </t>
    </r>
    <r>
      <rPr>
        <b/>
        <sz val="12"/>
        <rFont val="Times New Roman"/>
        <family val="1"/>
      </rPr>
      <t>post</t>
    </r>
    <r>
      <rPr>
        <sz val="12"/>
        <rFont val="Times New Roman"/>
        <family val="1"/>
      </rPr>
      <t xml:space="preserve"> a notice stating the officers to be nominated in the state primary election, the location of each polling place including information concerning any polling places in unorganized territories, and hours for voting</t>
    </r>
    <r>
      <rPr>
        <i/>
        <sz val="12"/>
        <rFont val="Times New Roman"/>
        <family val="1"/>
      </rPr>
      <t xml:space="preserve"> (This may include municipal officers to be elected.  May also publish this information)  </t>
    </r>
    <r>
      <rPr>
        <sz val="12"/>
        <rFont val="Times New Roman"/>
        <family val="1"/>
      </rPr>
      <t xml:space="preserve">- at least 15 days before any state primary or state general election. </t>
    </r>
    <r>
      <rPr>
        <i/>
        <sz val="12"/>
        <rFont val="Times New Roman"/>
        <family val="1"/>
      </rPr>
      <t>Minn. Stat. §204B.34</t>
    </r>
  </si>
  <si>
    <r>
      <t xml:space="preserve">Towns with March Elections: </t>
    </r>
    <r>
      <rPr>
        <sz val="12"/>
        <rFont val="Times New Roman"/>
        <family val="1"/>
      </rPr>
      <t xml:space="preserve">Municipal clerks and county auditors (unorganized territory poll places) shall </t>
    </r>
    <r>
      <rPr>
        <b/>
        <sz val="12"/>
        <rFont val="Times New Roman"/>
        <family val="1"/>
      </rPr>
      <t>post</t>
    </r>
    <r>
      <rPr>
        <sz val="12"/>
        <rFont val="Times New Roman"/>
        <family val="1"/>
      </rPr>
      <t xml:space="preserve"> a notice stating the officers to be nominated in the state primary election, the location of each polling place including information concerning any polling places in unorganized territories, and hours for voting</t>
    </r>
    <r>
      <rPr>
        <i/>
        <sz val="12"/>
        <rFont val="Times New Roman"/>
        <family val="1"/>
      </rPr>
      <t xml:space="preserve"> (This may include municipal officers to be elected.  May also publish this information)  </t>
    </r>
    <r>
      <rPr>
        <sz val="12"/>
        <rFont val="Times New Roman"/>
        <family val="1"/>
      </rPr>
      <t xml:space="preserve">- at least 15 days before any state primary or state general election. </t>
    </r>
    <r>
      <rPr>
        <i/>
        <sz val="12"/>
        <rFont val="Times New Roman"/>
        <family val="1"/>
      </rPr>
      <t>Minn. Stat. §204B.34</t>
    </r>
  </si>
  <si>
    <r>
      <t xml:space="preserve">Towns with November Elections: </t>
    </r>
    <r>
      <rPr>
        <sz val="12"/>
        <rFont val="Times New Roman"/>
        <family val="1"/>
      </rPr>
      <t xml:space="preserve">Municipal clerks and county auditors (unorganized territory poll places) shall </t>
    </r>
    <r>
      <rPr>
        <b/>
        <sz val="12"/>
        <rFont val="Times New Roman"/>
        <family val="1"/>
      </rPr>
      <t>post</t>
    </r>
    <r>
      <rPr>
        <sz val="12"/>
        <rFont val="Times New Roman"/>
        <family val="1"/>
      </rPr>
      <t xml:space="preserve"> a notice stating the officers to be nominated in the state primary election, the location of each polling place including information concerning any polling places in unorganized territories, and hours for voting</t>
    </r>
    <r>
      <rPr>
        <i/>
        <sz val="12"/>
        <rFont val="Times New Roman"/>
        <family val="1"/>
      </rPr>
      <t xml:space="preserve"> (This may include municipal officers to be elected.  May also publish this information)  </t>
    </r>
    <r>
      <rPr>
        <sz val="12"/>
        <rFont val="Times New Roman"/>
        <family val="1"/>
      </rPr>
      <t xml:space="preserve">- at least 15 days before any state primary or state general election. </t>
    </r>
    <r>
      <rPr>
        <i/>
        <sz val="12"/>
        <rFont val="Times New Roman"/>
        <family val="1"/>
      </rPr>
      <t>Minn. Stat. §204B.34</t>
    </r>
  </si>
  <si>
    <r>
      <t xml:space="preserve">Cities without a Primary: </t>
    </r>
    <r>
      <rPr>
        <sz val="12"/>
        <rFont val="Times New Roman"/>
        <family val="1"/>
      </rPr>
      <t xml:space="preserve">Municipal clerks and county auditors (unorganized territory poll places) shall </t>
    </r>
    <r>
      <rPr>
        <b/>
        <sz val="12"/>
        <rFont val="Times New Roman"/>
        <family val="1"/>
      </rPr>
      <t>post</t>
    </r>
    <r>
      <rPr>
        <sz val="12"/>
        <rFont val="Times New Roman"/>
        <family val="1"/>
      </rPr>
      <t xml:space="preserve"> a notice stating the officers to be nominated in the state primary election, the location of each polling place including information concerning any polling places in unorganized territories, and hours for voting</t>
    </r>
    <r>
      <rPr>
        <i/>
        <sz val="12"/>
        <rFont val="Times New Roman"/>
        <family val="1"/>
      </rPr>
      <t xml:space="preserve"> (This may include municipal officers to be elected.  May also publish this information)  </t>
    </r>
    <r>
      <rPr>
        <sz val="12"/>
        <rFont val="Times New Roman"/>
        <family val="1"/>
      </rPr>
      <t xml:space="preserve">- at least 15 days before any state primary or state general election. </t>
    </r>
    <r>
      <rPr>
        <i/>
        <sz val="12"/>
        <rFont val="Times New Roman"/>
        <family val="1"/>
      </rPr>
      <t>Minn. Stat. §204B.34</t>
    </r>
  </si>
  <si>
    <r>
      <t xml:space="preserve">Secretary of State: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</si>
  <si>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Counties: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</si>
  <si>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Cities with a Primary: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</si>
  <si>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Cities without a Primary: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</si>
  <si>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Towns with March Elections: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</si>
  <si>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Towns with November Elections: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</si>
  <si>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School Districts with a Primary: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</si>
  <si>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Political Parties: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</si>
  <si>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Soil and Water Conservation Districts: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</si>
  <si>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School Districts without a Primary: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</si>
  <si>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Hospital Districts: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</si>
  <si>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Secretary of State: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</si>
  <si>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Political Parties: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</si>
  <si>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Counties: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</si>
  <si>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Cities with a Primary: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</si>
  <si>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Cities without a Primary: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</si>
  <si>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Towns with March Elections: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</si>
  <si>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Towns with November Elections: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</si>
  <si>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School Districts with a Primary: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</si>
  <si>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Soil and Water Conservation Districts: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</si>
  <si>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School Districts without a Primary: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</si>
  <si>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Hospital Districts: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</si>
  <si>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Secretary of State: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</si>
  <si>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t>203B.121(c)(3); 204B.45, subd. 2</t>
  </si>
  <si>
    <t>AB/Mail Elections</t>
  </si>
  <si>
    <r>
      <t xml:space="preserve">Counties: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</si>
  <si>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 xml:space="preserve">Cities with a Primary: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</si>
  <si>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 xml:space="preserve">Cities without a Primary: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</si>
  <si>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 xml:space="preserve">Towns with March Elections: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</si>
  <si>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 xml:space="preserve">Towns with November Elections: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</si>
  <si>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 xml:space="preserve">School Districts with a Primary: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</si>
  <si>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 xml:space="preserve">Soil and Water Conservation Districts: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</si>
  <si>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 xml:space="preserve">Towns withi November Elections: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</si>
  <si>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 xml:space="preserve">School Districts without a Primary: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</si>
  <si>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 xml:space="preserve">Hospital Districts: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</si>
  <si>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Secretary of State:</t>
    </r>
    <r>
      <rPr>
        <sz val="12"/>
        <rFont val="Times New Roman"/>
        <family val="1"/>
      </rPr>
      <t xml:space="preserve"> Last day for municipalities with a general election to publish sample ballots (optional for 4th class cities &amp; non-metro counties).  All municipalities with general shall prepare a sample ballot and make available for public inspection in clerk's office - at least 2 weeks before general. </t>
    </r>
    <r>
      <rPr>
        <i/>
        <sz val="12"/>
        <rFont val="Times New Roman"/>
        <family val="1"/>
      </rPr>
      <t>Minn. Stat. §205.16, subds. 2 &amp; 3</t>
    </r>
  </si>
  <si>
    <r>
      <t>Campaign Finance:</t>
    </r>
    <r>
      <rPr>
        <sz val="12"/>
        <rFont val="Times New Roman"/>
        <family val="1"/>
      </rPr>
      <t xml:space="preserve"> Last day for municipalities with a general election to publish sample ballots (optional for 4th class cities &amp; non-metro counties).  All municipalities with general shall prepare a sample ballot and make available for public inspection in clerk's office - at least 2 weeks before general. </t>
    </r>
    <r>
      <rPr>
        <i/>
        <sz val="12"/>
        <rFont val="Times New Roman"/>
        <family val="1"/>
      </rPr>
      <t>Minn. Stat. §205.16, subds. 2 &amp; 3</t>
    </r>
  </si>
  <si>
    <r>
      <t>Political Parties:</t>
    </r>
    <r>
      <rPr>
        <sz val="12"/>
        <rFont val="Times New Roman"/>
        <family val="1"/>
      </rPr>
      <t xml:space="preserve"> Last day for municipalities with a general election to publish sample ballots (optional for 4th class cities &amp; non-metro counties).  All municipalities with general shall prepare a sample ballot and make available for public inspection in clerk's office - at least 2 weeks before general. </t>
    </r>
    <r>
      <rPr>
        <i/>
        <sz val="12"/>
        <rFont val="Times New Roman"/>
        <family val="1"/>
      </rPr>
      <t>Minn. Stat. §205.16, subds. 2 &amp; 3</t>
    </r>
  </si>
  <si>
    <r>
      <t>Counties:</t>
    </r>
    <r>
      <rPr>
        <sz val="12"/>
        <rFont val="Times New Roman"/>
        <family val="1"/>
      </rPr>
      <t xml:space="preserve"> Last day for municipalities with a general election to publish sample ballots (optional for 4th class cities &amp; non-metro counties).  All municipalities with general shall prepare a sample ballot and make available for public inspection in clerk's office - at least 2 weeks before general. </t>
    </r>
    <r>
      <rPr>
        <i/>
        <sz val="12"/>
        <rFont val="Times New Roman"/>
        <family val="1"/>
      </rPr>
      <t>Minn. Stat. §205.16, subds. 2 &amp; 3</t>
    </r>
  </si>
  <si>
    <r>
      <t>Cities with a Primary:</t>
    </r>
    <r>
      <rPr>
        <sz val="12"/>
        <rFont val="Times New Roman"/>
        <family val="1"/>
      </rPr>
      <t xml:space="preserve"> Last day for municipalities with a general election to publish sample ballots (optional for 4th class cities &amp; non-metro counties).  All municipalities with general shall prepare a sample ballot and make available for public inspection in clerk's office - at least 2 weeks before general. </t>
    </r>
    <r>
      <rPr>
        <i/>
        <sz val="12"/>
        <rFont val="Times New Roman"/>
        <family val="1"/>
      </rPr>
      <t>Minn. Stat. §205.16, subds. 2 &amp; 3</t>
    </r>
  </si>
  <si>
    <r>
      <t>Cities without a Primary:</t>
    </r>
    <r>
      <rPr>
        <sz val="12"/>
        <rFont val="Times New Roman"/>
        <family val="1"/>
      </rPr>
      <t xml:space="preserve"> Last day for municipalities with a general election to publish sample ballots (optional for 4th class cities &amp; non-metro counties).  All municipalities with general shall prepare a sample ballot and make available for public inspection in clerk's office - at least 2 weeks before general. </t>
    </r>
    <r>
      <rPr>
        <i/>
        <sz val="12"/>
        <rFont val="Times New Roman"/>
        <family val="1"/>
      </rPr>
      <t>Minn. Stat. §205.16, subds. 2 &amp; 3</t>
    </r>
  </si>
  <si>
    <r>
      <t>Towns with November Elections:</t>
    </r>
    <r>
      <rPr>
        <sz val="12"/>
        <rFont val="Times New Roman"/>
        <family val="1"/>
      </rPr>
      <t xml:space="preserve"> Last day for municipalities with a general election to publish sample ballots (optional for 4th class cities &amp; non-metro counties).  All municipalities with general shall prepare a sample ballot and make available for public inspection in clerk's office - at least 2 weeks before general. </t>
    </r>
    <r>
      <rPr>
        <i/>
        <sz val="12"/>
        <rFont val="Times New Roman"/>
        <family val="1"/>
      </rPr>
      <t>Minn. Stat. §205.16, subds. 2 &amp; 3</t>
    </r>
  </si>
  <si>
    <r>
      <t>Hospital Districts:</t>
    </r>
    <r>
      <rPr>
        <sz val="12"/>
        <rFont val="Times New Roman"/>
        <family val="1"/>
      </rPr>
      <t xml:space="preserve"> Last day for municipalities with a general election to publish sample ballots (optional for 4th class cities &amp; non-metro counties).  All municipalities with general shall prepare a sample ballot and make available for public inspection in clerk's office - at least 2 weeks before general. </t>
    </r>
    <r>
      <rPr>
        <i/>
        <sz val="12"/>
        <rFont val="Times New Roman"/>
        <family val="1"/>
      </rPr>
      <t>Minn. Stat. §205.16, subds. 2 &amp; 3</t>
    </r>
  </si>
  <si>
    <r>
      <t>Cities with a Primary:</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</si>
  <si>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Secretary of State:</t>
    </r>
    <r>
      <rPr>
        <sz val="12"/>
        <rFont val="Times New Roman"/>
        <family val="1"/>
      </rPr>
      <t xml:space="preserve"> The OSS shall notify each Major Political Party &amp; Minor Political Party of the conditions necessary for the party to participate in income tax form and property tax refund return programs - by the 1st Monday in January of each odd-numbered year. </t>
    </r>
    <r>
      <rPr>
        <i/>
        <sz val="12"/>
        <rFont val="Times New Roman"/>
        <family val="1"/>
      </rPr>
      <t>Minn. Stat.  §10A.31, subd. 3a</t>
    </r>
  </si>
  <si>
    <r>
      <t>Campaign Finance:</t>
    </r>
    <r>
      <rPr>
        <sz val="12"/>
        <rFont val="Times New Roman"/>
        <family val="1"/>
      </rPr>
      <t xml:space="preserve"> The OSS shall notify each Major Political Party &amp; Minor Political Party of the conditions necessary for the party to participate in income tax form and property tax refund return programs - by the 1st Monday in January of each odd-numbered year. </t>
    </r>
    <r>
      <rPr>
        <i/>
        <sz val="12"/>
        <rFont val="Times New Roman"/>
        <family val="1"/>
      </rPr>
      <t>Minn. Stat.  §10A.31, subd. 3a</t>
    </r>
  </si>
  <si>
    <r>
      <t>Political Parties:</t>
    </r>
    <r>
      <rPr>
        <sz val="12"/>
        <rFont val="Times New Roman"/>
        <family val="1"/>
      </rPr>
      <t xml:space="preserve"> The OSS shall notify each Major Political Party &amp; Minor Political Party of the conditions necessary for the party to participate in income tax form and property tax refund return programs - by the 1st Monday in January of each odd-numbered year. </t>
    </r>
    <r>
      <rPr>
        <i/>
        <sz val="12"/>
        <rFont val="Times New Roman"/>
        <family val="1"/>
      </rPr>
      <t>Minn. Stat.  §10A.31, subd. 3a</t>
    </r>
  </si>
  <si>
    <r>
      <t>Counties:</t>
    </r>
    <r>
      <rPr>
        <sz val="12"/>
        <rFont val="Times New Roman"/>
        <family val="1"/>
      </rPr>
      <t xml:space="preserve"> The OSS shall notify each Major Political Party &amp; Minor Political Party of the conditions necessary for the party to participate in income tax form and property tax refund return programs - by the 1st Monday in January of each odd-numbered year. </t>
    </r>
    <r>
      <rPr>
        <i/>
        <sz val="12"/>
        <rFont val="Times New Roman"/>
        <family val="1"/>
      </rPr>
      <t>Minn. Stat.  §10A.31, subd. 3a</t>
    </r>
  </si>
  <si>
    <r>
      <t>Soil and Water Conservation Districts:</t>
    </r>
    <r>
      <rPr>
        <sz val="12"/>
        <rFont val="Times New Roman"/>
        <family val="1"/>
      </rPr>
      <t xml:space="preserve">  Voter pre-registration closes at 5:00 p.m. for voters in the State Primary - 21 days before the primary.  </t>
    </r>
    <r>
      <rPr>
        <i/>
        <sz val="12"/>
        <rFont val="Times New Roman"/>
        <family val="1"/>
      </rPr>
      <t>Minn. Stat. §201.061, subd. 1</t>
    </r>
  </si>
  <si>
    <r>
      <t>School Districts with a Primary:</t>
    </r>
    <r>
      <rPr>
        <sz val="12"/>
        <rFont val="Times New Roman"/>
        <family val="1"/>
      </rPr>
      <t xml:space="preserve">  Voter pre-registration closes at 5:00 p.m. for voters in the State Primary - 21 days before the primary.  </t>
    </r>
    <r>
      <rPr>
        <i/>
        <sz val="12"/>
        <rFont val="Times New Roman"/>
        <family val="1"/>
      </rPr>
      <t>Minn. Stat. §201.061, subd. 1</t>
    </r>
  </si>
  <si>
    <r>
      <t>School Districts without a Primary:</t>
    </r>
    <r>
      <rPr>
        <sz val="12"/>
        <rFont val="Times New Roman"/>
        <family val="1"/>
      </rPr>
      <t xml:space="preserve">  Voter pre-registration closes at 5:00 p.m. for voters in the State Primary - 21 days before the primary.  </t>
    </r>
    <r>
      <rPr>
        <i/>
        <sz val="12"/>
        <rFont val="Times New Roman"/>
        <family val="1"/>
      </rPr>
      <t>Minn. Stat. §201.061, subd. 1</t>
    </r>
  </si>
  <si>
    <r>
      <t>Hospital Districts:</t>
    </r>
    <r>
      <rPr>
        <sz val="12"/>
        <rFont val="Times New Roman"/>
        <family val="1"/>
      </rPr>
      <t xml:space="preserve">  Voter pre-registration closes at 5:00 p.m. for voters in the State Primary - 21 days before the primary.  </t>
    </r>
    <r>
      <rPr>
        <i/>
        <sz val="12"/>
        <rFont val="Times New Roman"/>
        <family val="1"/>
      </rPr>
      <t>Minn. Stat. §201.061, subd. 1</t>
    </r>
  </si>
  <si>
    <r>
      <t xml:space="preserve">Secretary of State: </t>
    </r>
    <r>
      <rPr>
        <sz val="12"/>
        <rFont val="Times New Roman"/>
        <family val="1"/>
      </rPr>
      <t xml:space="preserve">Last day for township to provide written notice of election to auditor – at least 74 days before election.  </t>
    </r>
    <r>
      <rPr>
        <i/>
        <sz val="12"/>
        <rFont val="Times New Roman"/>
        <family val="1"/>
      </rPr>
      <t>Minn. Stat. §205.16, subd. 4</t>
    </r>
  </si>
  <si>
    <r>
      <t xml:space="preserve">Towns with March Elections: </t>
    </r>
    <r>
      <rPr>
        <sz val="12"/>
        <rFont val="Times New Roman"/>
        <family val="1"/>
      </rPr>
      <t xml:space="preserve">Last day for township to provide written notice of election to auditor – at least 74 days before election.  </t>
    </r>
    <r>
      <rPr>
        <i/>
        <sz val="12"/>
        <rFont val="Times New Roman"/>
        <family val="1"/>
      </rPr>
      <t>Minn. Stat. §205.16, subd. 4</t>
    </r>
  </si>
  <si>
    <r>
      <t xml:space="preserve">Counties: </t>
    </r>
    <r>
      <rPr>
        <sz val="12"/>
        <rFont val="Times New Roman"/>
        <family val="1"/>
      </rPr>
      <t xml:space="preserve">Last day for </t>
    </r>
    <r>
      <rPr>
        <u/>
        <sz val="12"/>
        <rFont val="Times New Roman"/>
        <family val="1"/>
      </rPr>
      <t>township</t>
    </r>
    <r>
      <rPr>
        <sz val="12"/>
        <rFont val="Times New Roman"/>
        <family val="1"/>
      </rPr>
      <t xml:space="preserve"> to provide written notice of election to auditor – at least 74 days before election.  </t>
    </r>
    <r>
      <rPr>
        <i/>
        <sz val="12"/>
        <rFont val="Times New Roman"/>
        <family val="1"/>
      </rPr>
      <t>Minn. Stat. §205.16, subd. 4</t>
    </r>
  </si>
  <si>
    <r>
      <t xml:space="preserve">Secretary of State: </t>
    </r>
    <r>
      <rPr>
        <sz val="12"/>
        <rFont val="Times New Roman"/>
        <family val="1"/>
      </rPr>
      <t xml:space="preserve">Last day for </t>
    </r>
    <r>
      <rPr>
        <u/>
        <sz val="12"/>
        <rFont val="Times New Roman"/>
        <family val="1"/>
      </rPr>
      <t>township</t>
    </r>
    <r>
      <rPr>
        <sz val="12"/>
        <rFont val="Times New Roman"/>
        <family val="1"/>
      </rPr>
      <t xml:space="preserve"> to provide written notice of election to auditor – at least 74 days before election.  </t>
    </r>
    <r>
      <rPr>
        <i/>
        <sz val="12"/>
        <rFont val="Times New Roman"/>
        <family val="1"/>
      </rPr>
      <t>Minn. Stat. §205.16, subd. 4</t>
    </r>
  </si>
  <si>
    <r>
      <t>Secretary of State:</t>
    </r>
    <r>
      <rPr>
        <sz val="12"/>
        <rFont val="Times New Roman"/>
        <family val="1"/>
      </rPr>
      <t xml:space="preserve"> Last day for </t>
    </r>
    <r>
      <rPr>
        <u/>
        <sz val="12"/>
        <rFont val="Times New Roman"/>
        <family val="1"/>
      </rPr>
      <t>Auditor</t>
    </r>
    <r>
      <rPr>
        <sz val="12"/>
        <rFont val="Times New Roman"/>
        <family val="1"/>
      </rPr>
      <t xml:space="preserve"> to notify the Secretary of State of March Township Elections – at least 74 days before election.</t>
    </r>
    <r>
      <rPr>
        <i/>
        <sz val="12"/>
        <rFont val="Times New Roman"/>
        <family val="1"/>
      </rPr>
      <t xml:space="preserve"> Minn. Stat. §205.16, subd. 5</t>
    </r>
  </si>
  <si>
    <r>
      <t>Counties:</t>
    </r>
    <r>
      <rPr>
        <sz val="12"/>
        <rFont val="Times New Roman"/>
        <family val="1"/>
      </rPr>
      <t xml:space="preserve"> Last day for </t>
    </r>
    <r>
      <rPr>
        <u/>
        <sz val="12"/>
        <rFont val="Times New Roman"/>
        <family val="1"/>
      </rPr>
      <t>Auditor</t>
    </r>
    <r>
      <rPr>
        <sz val="12"/>
        <rFont val="Times New Roman"/>
        <family val="1"/>
      </rPr>
      <t xml:space="preserve"> to notify the Secretary of State of March Township Elections – at least 74 days before election.</t>
    </r>
    <r>
      <rPr>
        <i/>
        <sz val="12"/>
        <rFont val="Times New Roman"/>
        <family val="1"/>
      </rPr>
      <t xml:space="preserve"> Minn. Stat. §205.16, subd. 5</t>
    </r>
  </si>
  <si>
    <r>
      <t>Towns with March Elections:</t>
    </r>
    <r>
      <rPr>
        <sz val="12"/>
        <rFont val="Times New Roman"/>
        <family val="1"/>
      </rPr>
      <t xml:space="preserve"> Last day for </t>
    </r>
    <r>
      <rPr>
        <u/>
        <sz val="12"/>
        <rFont val="Times New Roman"/>
        <family val="1"/>
      </rPr>
      <t>Auditor</t>
    </r>
    <r>
      <rPr>
        <sz val="12"/>
        <rFont val="Times New Roman"/>
        <family val="1"/>
      </rPr>
      <t xml:space="preserve"> to notify the Secretary of State of March Township Elections – at least 74 days before election.</t>
    </r>
    <r>
      <rPr>
        <i/>
        <sz val="12"/>
        <rFont val="Times New Roman"/>
        <family val="1"/>
      </rPr>
      <t xml:space="preserve"> Minn. Stat. §205.16, subd. 5</t>
    </r>
  </si>
  <si>
    <r>
      <t xml:space="preserve">Secretary of State:  </t>
    </r>
    <r>
      <rPr>
        <sz val="12"/>
        <rFont val="Times New Roman"/>
        <family val="1"/>
      </rPr>
      <t xml:space="preserve">Period of time during which Election Judges shall deliver absentee ballots only to an eligible voter who is a temporary or permanent resident in a health care facility or hospital located in the municipality in which the voter maintains residence who has applied for absentee ballots to the county auditor or municipal clerk – 20 days preceding an election (Health Care Facility Outreach). </t>
    </r>
    <r>
      <rPr>
        <i/>
        <sz val="12"/>
        <rFont val="Times New Roman"/>
        <family val="1"/>
      </rPr>
      <t>Minn. Stat. §203B.11, subd. 2</t>
    </r>
  </si>
  <si>
    <r>
      <t xml:space="preserve">Counties:  </t>
    </r>
    <r>
      <rPr>
        <sz val="12"/>
        <rFont val="Times New Roman"/>
        <family val="1"/>
      </rPr>
      <t xml:space="preserve">Period of time during which Election Judges shall deliver absentee ballots only to an eligible voter who is a temporary or permanent resident in a health care facility or hospital located in the municipality in which the voter maintains residence who has applied for absentee ballots to the county auditor or municipal clerk – 20 days preceding an election (Health Care Facility Outreach). </t>
    </r>
    <r>
      <rPr>
        <i/>
        <sz val="12"/>
        <rFont val="Times New Roman"/>
        <family val="1"/>
      </rPr>
      <t>Minn. Stat. §203B.11, subd. 2</t>
    </r>
  </si>
  <si>
    <r>
      <t xml:space="preserve">Towns with March Elections:  </t>
    </r>
    <r>
      <rPr>
        <sz val="12"/>
        <rFont val="Times New Roman"/>
        <family val="1"/>
      </rPr>
      <t xml:space="preserve">Period of time during which Election Judges shall deliver absentee ballots only to an eligible voter who is a temporary or permanent resident in a health care facility or hospital located in the municipality in which the voter maintains residence who has applied for absentee ballots to the county auditor or municipal clerk – 20 days preceding an election (Health Care Facility Outreach). </t>
    </r>
    <r>
      <rPr>
        <i/>
        <sz val="12"/>
        <rFont val="Times New Roman"/>
        <family val="1"/>
      </rPr>
      <t>Minn. Stat. §203B.11, subd. 2</t>
    </r>
  </si>
  <si>
    <r>
      <t xml:space="preserve">Secretary of State:  </t>
    </r>
    <r>
      <rPr>
        <sz val="12"/>
        <rFont val="Times New Roman"/>
        <family val="1"/>
      </rPr>
      <t xml:space="preserve">Last day to apply for absentee ballots.  </t>
    </r>
    <r>
      <rPr>
        <i/>
        <sz val="12"/>
        <rFont val="Times New Roman"/>
        <family val="1"/>
      </rPr>
      <t>Minn. Stat. §203B.04 (Exception in Minn. Stat. §203B.04, subd. 2 for voter who becomes a resident or patient in a health care facility or hospital located in the municipality the day before the election)</t>
    </r>
  </si>
  <si>
    <r>
      <t xml:space="preserve">Counties:  </t>
    </r>
    <r>
      <rPr>
        <sz val="12"/>
        <rFont val="Times New Roman"/>
        <family val="1"/>
      </rPr>
      <t xml:space="preserve">Last day to apply for absentee ballots.  </t>
    </r>
    <r>
      <rPr>
        <i/>
        <sz val="12"/>
        <rFont val="Times New Roman"/>
        <family val="1"/>
      </rPr>
      <t>Minn. Stat. §203B.04 (Exception in Minn. Stat. §203B.04, subd. 2 for voter who becomes a resident or patient in a health care facility or hospital located in the municipality the day before the election)</t>
    </r>
  </si>
  <si>
    <r>
      <t xml:space="preserve">Towns with March Elections:  </t>
    </r>
    <r>
      <rPr>
        <sz val="12"/>
        <rFont val="Times New Roman"/>
        <family val="1"/>
      </rPr>
      <t xml:space="preserve">Last day to apply for absentee ballots.  </t>
    </r>
    <r>
      <rPr>
        <i/>
        <sz val="12"/>
        <rFont val="Times New Roman"/>
        <family val="1"/>
      </rPr>
      <t>Minn. Stat. §203B.04 (Exception in Minn. Stat. §203B.04, subd. 2 for voter who becomes a resident or patient in a health care facility or hospital located in the municipality the day before the election)</t>
    </r>
  </si>
  <si>
    <r>
      <t xml:space="preserve">Secretary of State: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</si>
  <si>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Counties: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</si>
  <si>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Cities with a Primary: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</si>
  <si>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Cities without a Primary: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</si>
  <si>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Towns with March Elections: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</si>
  <si>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Towns with November Elections: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</si>
  <si>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School Districts with a Primary: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</si>
  <si>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Political Parties: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</si>
  <si>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Soil and Water Conservation District: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</si>
  <si>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School Districts without a Primary: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</si>
  <si>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Hospital Districts: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</si>
  <si>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Secretary of State:</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</si>
  <si>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Counties:</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</si>
  <si>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Cities with a Primary:</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</si>
  <si>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Cities without a Primary:</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</si>
  <si>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Towns with March Elections:</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</si>
  <si>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Towns with November Elections:</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</si>
  <si>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Political Parties:</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</si>
  <si>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Soil an Water Conservation Districts:</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</si>
  <si>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Schools Districts with a Primary:</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</si>
  <si>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School Districts without a Primary:</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</si>
  <si>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Hospital Districts:</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</si>
  <si>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 xml:space="preserve">Towns with March Elections: </t>
    </r>
    <r>
      <rPr>
        <sz val="12"/>
        <rFont val="Times New Roman"/>
        <family val="1"/>
      </rPr>
      <t xml:space="preserve">Last day to post notice of town offices to be elected at March election.  Notice to include first and last dates to file for town office, and the closing time for filing on the last day to file - 10 days before the first day to file affidavits of candidacy. </t>
    </r>
    <r>
      <rPr>
        <i/>
        <sz val="12"/>
        <rFont val="Times New Roman"/>
        <family val="1"/>
      </rPr>
      <t>Minn. Stat. §205.13, subd. 2</t>
    </r>
  </si>
  <si>
    <r>
      <t xml:space="preserve">Secretary of State: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</si>
  <si>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Campaign Finance: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</si>
  <si>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Political Parties: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</si>
  <si>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Counties: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</si>
  <si>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Soil and Water Conservation Districts: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</si>
  <si>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Cities with a Primary: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</si>
  <si>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Cities without a Primary: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</si>
  <si>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Towns with March Elections: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</si>
  <si>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Towns with November Elections: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</si>
  <si>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School Districts with a Primary: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</si>
  <si>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School Districts without a Primary: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</si>
  <si>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Hospital Districts: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</si>
  <si>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Counties: </t>
    </r>
    <r>
      <rPr>
        <sz val="12"/>
        <rFont val="Times New Roman"/>
        <family val="1"/>
      </rPr>
      <t xml:space="preserve"> Last day for the Chair of the county or legislative district executive committee of the party provide the County Auditor with the place, date, and time of the caucus - at least 20 days before the time set for holding the caucuses.  </t>
    </r>
    <r>
      <rPr>
        <i/>
        <sz val="12"/>
        <rFont val="Times New Roman"/>
        <family val="1"/>
      </rPr>
      <t xml:space="preserve">Minn. Stat. §202A.14, subd. 3 </t>
    </r>
  </si>
  <si>
    <r>
      <t xml:space="preserve">Counties: </t>
    </r>
    <r>
      <rPr>
        <sz val="12"/>
        <rFont val="Times New Roman"/>
        <family val="1"/>
      </rPr>
      <t xml:space="preserve">Recording process for absentee ballots received by hand delivery by an agent that includes the agent's name and address, the name and adddress of the absent voter whose ballot the agent is delivering, and agent's signature.  Agent shall show identification which contains the agent's name and signature. </t>
    </r>
    <r>
      <rPr>
        <i/>
        <sz val="12"/>
        <rFont val="Times New Roman"/>
        <family val="1"/>
      </rPr>
      <t>Minn. Rule 8210.2200, subp. 3</t>
    </r>
  </si>
  <si>
    <r>
      <t xml:space="preserve">Towns with March Elections: </t>
    </r>
    <r>
      <rPr>
        <sz val="12"/>
        <rFont val="Times New Roman"/>
        <family val="1"/>
      </rPr>
      <t xml:space="preserve">Recording process for absentee ballots received by hand delivery by an agent that includes the agent's name and address, the name and adddress of the absent voter whose ballot the agent is delivering, and agent's signature.  Agent shall show identification which contains the agent's name and signature. </t>
    </r>
    <r>
      <rPr>
        <i/>
        <sz val="12"/>
        <rFont val="Times New Roman"/>
        <family val="1"/>
      </rPr>
      <t>Minn. Rule 8210.2200, subp. 3</t>
    </r>
  </si>
  <si>
    <r>
      <t>Secretary of State:</t>
    </r>
    <r>
      <rPr>
        <sz val="12"/>
        <rFont val="Times New Roman"/>
        <family val="1"/>
      </rPr>
      <t xml:space="preserve"> Last day to pre-register for March Town Election – closes at 5:00 p.m. 21 days before election. </t>
    </r>
    <r>
      <rPr>
        <i/>
        <sz val="12"/>
        <rFont val="Times New Roman"/>
        <family val="1"/>
      </rPr>
      <t>Minn. Stat. §201.061, subd. 1</t>
    </r>
  </si>
  <si>
    <r>
      <t>Counties:</t>
    </r>
    <r>
      <rPr>
        <sz val="12"/>
        <rFont val="Times New Roman"/>
        <family val="1"/>
      </rPr>
      <t xml:space="preserve"> Last day to pre-register for March Town Election – closes at 5:00 p.m. 21 days before election. </t>
    </r>
    <r>
      <rPr>
        <i/>
        <sz val="12"/>
        <rFont val="Times New Roman"/>
        <family val="1"/>
      </rPr>
      <t>Minn. Stat. §201.061, subd. 1</t>
    </r>
  </si>
  <si>
    <r>
      <t>Towns with March Elections:</t>
    </r>
    <r>
      <rPr>
        <sz val="12"/>
        <rFont val="Times New Roman"/>
        <family val="1"/>
      </rPr>
      <t xml:space="preserve"> Last day to pre-register for March Town Election – closes at 5:00 p.m. 21 days before election. </t>
    </r>
    <r>
      <rPr>
        <i/>
        <sz val="12"/>
        <rFont val="Times New Roman"/>
        <family val="1"/>
      </rPr>
      <t>Minn. Stat. §201.061, subd. 1</t>
    </r>
  </si>
  <si>
    <r>
      <t xml:space="preserve">Counties: </t>
    </r>
    <r>
      <rPr>
        <sz val="12"/>
        <rFont val="Times New Roman"/>
        <family val="1"/>
      </rPr>
      <t xml:space="preserve">Last day for the operator of a residential facility to provide a certified list of employees eligible to vouch for residents of the facility to county auditor – no less than 20 days before the election.  </t>
    </r>
    <r>
      <rPr>
        <i/>
        <sz val="12"/>
        <rFont val="Times New Roman"/>
        <family val="1"/>
      </rPr>
      <t>Minn. Stat. §201.061, subd. 3(4)(b)</t>
    </r>
  </si>
  <si>
    <r>
      <t xml:space="preserve">Towns with March Elections: </t>
    </r>
    <r>
      <rPr>
        <sz val="12"/>
        <rFont val="Times New Roman"/>
        <family val="1"/>
      </rPr>
      <t xml:space="preserve">Last day for the operator of a residential facility to provide a certified list of employees eligible to vouch for residents of the facility to county auditor – no less than 20 days before the election.  </t>
    </r>
    <r>
      <rPr>
        <i/>
        <sz val="12"/>
        <rFont val="Times New Roman"/>
        <family val="1"/>
      </rPr>
      <t>Minn. Stat. §201.061, subd. 3(4)(b)</t>
    </r>
  </si>
  <si>
    <r>
      <t xml:space="preserve">Secretary of State:  </t>
    </r>
    <r>
      <rPr>
        <sz val="12"/>
        <rFont val="Times New Roman"/>
        <family val="1"/>
      </rPr>
      <t>Last day for town clerk to publish 1st of 2 Notices of Election - 2 weeks' published notice.  (Optional for *non-metro towns) Minn. Stat. §205.16, subd. 1</t>
    </r>
  </si>
  <si>
    <r>
      <t xml:space="preserve">Counties:  </t>
    </r>
    <r>
      <rPr>
        <sz val="12"/>
        <rFont val="Times New Roman"/>
        <family val="1"/>
      </rPr>
      <t>Last day for town clerk to publish 1st of 2 Notices of Election - 2 weeks' published notice.  (Optional for *non-metro towns) Minn. Stat. §205.16, subd. 1</t>
    </r>
  </si>
  <si>
    <r>
      <t xml:space="preserve">Towns with March Elections: </t>
    </r>
    <r>
      <rPr>
        <sz val="12"/>
        <rFont val="Times New Roman"/>
        <family val="1"/>
      </rPr>
      <t>Last day to publish 1st of 2 notices of election – 2 weeks' published notice. (Optional for *non-metro towns) Minn. Stat. §205.16, subd. 1</t>
    </r>
  </si>
  <si>
    <r>
      <t xml:space="preserve">Secretary of State: </t>
    </r>
    <r>
      <rPr>
        <sz val="12"/>
        <rFont val="Times New Roman"/>
        <family val="1"/>
      </rPr>
      <t xml:space="preserve">At least 2 weeks before the election a sample ballot shall be prepared and made available for public inspection in the clerk's office and post sample ballot in each polling place on election day. </t>
    </r>
    <r>
      <rPr>
        <i/>
        <sz val="12"/>
        <rFont val="Times New Roman"/>
        <family val="1"/>
      </rPr>
      <t>Minn. Stat. §205.16, subd. 3</t>
    </r>
  </si>
  <si>
    <r>
      <t xml:space="preserve">Counties: </t>
    </r>
    <r>
      <rPr>
        <sz val="12"/>
        <rFont val="Times New Roman"/>
        <family val="1"/>
      </rPr>
      <t xml:space="preserve">At least 2 weeks before the election a sample ballot shall be prepared and made available for public inspection in the clerk's office and post sample ballot in each polling place on election day. </t>
    </r>
    <r>
      <rPr>
        <i/>
        <sz val="12"/>
        <rFont val="Times New Roman"/>
        <family val="1"/>
      </rPr>
      <t>Minn. Stat. §205.16, subd. 3</t>
    </r>
  </si>
  <si>
    <r>
      <t xml:space="preserve">Towns with March Elections: </t>
    </r>
    <r>
      <rPr>
        <sz val="12"/>
        <rFont val="Times New Roman"/>
        <family val="1"/>
      </rPr>
      <t xml:space="preserve">At least 2 weeks before the election a sample ballot shall be prepared and made available for public inspection in the clerk's office and post sample ballot in each polling place on election day. </t>
    </r>
    <r>
      <rPr>
        <i/>
        <sz val="12"/>
        <rFont val="Times New Roman"/>
        <family val="1"/>
      </rPr>
      <t>Minn. Stat. §205.16, subd. 3</t>
    </r>
  </si>
  <si>
    <r>
      <t xml:space="preserve">Secretary of State: </t>
    </r>
    <r>
      <rPr>
        <sz val="12"/>
        <rFont val="Times New Roman"/>
        <family val="1"/>
      </rPr>
      <t xml:space="preserve">Period of time for agent delivery of absentee ballots to a voter who would have difficulty getting to the polls because of incapacitating health reasons, or who is disabled, or who is a patient of a health reasons, a resident of a facility providing assisted living services, a participant in a residential program for adults or a resident of a shelter for battered women.  The agent must have a preexisting relationship with the voter - During the 7 days preceding an election and until 2:00 p.m. on Election Day.  </t>
    </r>
    <r>
      <rPr>
        <i/>
        <sz val="12"/>
        <rFont val="Times New Roman"/>
        <family val="1"/>
      </rPr>
      <t xml:space="preserve">Minn. Stat. §203B.11, subd. 4 </t>
    </r>
  </si>
  <si>
    <r>
      <t xml:space="preserve">Counties: </t>
    </r>
    <r>
      <rPr>
        <sz val="12"/>
        <rFont val="Times New Roman"/>
        <family val="1"/>
      </rPr>
      <t xml:space="preserve">Period of time for agent delivery of absentee ballots to a voter who would have difficulty getting to the polls because of incapacitating health reasons, or who is disabled, or who is a patient of a health reasons, a resident of a facility providing assisted living services, a participant in a residential program for adults or a resident of a shelter for battered women.  The agent must have a preexisting relationship with the voter - During the 7 days preceding an election and until 2:00 p.m. on Election Day.  </t>
    </r>
    <r>
      <rPr>
        <i/>
        <sz val="12"/>
        <rFont val="Times New Roman"/>
        <family val="1"/>
      </rPr>
      <t xml:space="preserve">Minn. Stat. §203B.11, subd. 4 </t>
    </r>
  </si>
  <si>
    <r>
      <t xml:space="preserve">Towns with March Elections: </t>
    </r>
    <r>
      <rPr>
        <sz val="12"/>
        <rFont val="Times New Roman"/>
        <family val="1"/>
      </rPr>
      <t xml:space="preserve">Period of time for agent delivery of absentee ballots to a voter who would have difficulty getting to the polls because of incapacitating health reasons, or who is disabled, or who is a patient of a health reasons, a resident of a facility providing assisted living services, a participant in a residential program for adults or a resident of a shelter for battered women.  The agent must have a preexisting relationship with the voter - During the 7 days preceding an election and until 2:00 p.m. on Election Day.  </t>
    </r>
    <r>
      <rPr>
        <i/>
        <sz val="12"/>
        <rFont val="Times New Roman"/>
        <family val="1"/>
      </rPr>
      <t xml:space="preserve">Minn. Stat. §203B.11, subd. 4 </t>
    </r>
  </si>
  <si>
    <r>
      <t>Secretary of State:</t>
    </r>
    <r>
      <rPr>
        <sz val="12"/>
        <rFont val="Times New Roman"/>
        <family val="1"/>
      </rPr>
      <t xml:space="preserve"> County auditors/municipal clerks shall prepare a new electronic voting system plan for precincts and counting centers and submit signed and notarized to OSS (those with new voting systems)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</si>
  <si>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Counties:</t>
    </r>
    <r>
      <rPr>
        <sz val="12"/>
        <rFont val="Times New Roman"/>
        <family val="1"/>
      </rPr>
      <t xml:space="preserve"> County auditors/municipal clerks shall prepare a new electronic voting system plan for precincts and counting centers and submit signed and notarized to OSS (those with new voting systems)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</si>
  <si>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Cities with a Primary:</t>
    </r>
    <r>
      <rPr>
        <sz val="12"/>
        <rFont val="Times New Roman"/>
        <family val="1"/>
      </rPr>
      <t xml:space="preserve"> County auditors/municipal clerks shall prepare a new electronic voting system plan for precincts and counting centers and submit signed and notarized to OSS (those with new voting systems)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</si>
  <si>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Cities without a Primary:</t>
    </r>
    <r>
      <rPr>
        <sz val="12"/>
        <rFont val="Times New Roman"/>
        <family val="1"/>
      </rPr>
      <t xml:space="preserve"> County auditors/municipal clerks shall prepare a new electronic voting system plan for precincts and counting centers and submit signed and notarized to OSS (those with new voting systems)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</si>
  <si>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Towns with March Elections:</t>
    </r>
    <r>
      <rPr>
        <sz val="12"/>
        <rFont val="Times New Roman"/>
        <family val="1"/>
      </rPr>
      <t xml:space="preserve"> County auditors/municipal clerks shall prepare a new electronic voting system plan for precincts and counting centers and submit signed and notarized to OSS (those with new voting systems)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</si>
  <si>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Towns with November Elections:</t>
    </r>
    <r>
      <rPr>
        <sz val="12"/>
        <rFont val="Times New Roman"/>
        <family val="1"/>
      </rPr>
      <t xml:space="preserve"> County auditors/municipal clerks shall prepare a new electronic voting system plan for precincts and counting centers and submit signed and notarized to OSS (those with new voting systems)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</si>
  <si>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 xml:space="preserve">TOWNSHIP ELECTION DAY: Counties: </t>
    </r>
    <r>
      <rPr>
        <sz val="12"/>
        <rFont val="Times New Roman"/>
        <family val="1"/>
      </rPr>
      <t xml:space="preserve">2nd Tuesday in March.  </t>
    </r>
    <r>
      <rPr>
        <i/>
        <sz val="12"/>
        <rFont val="Times New Roman"/>
        <family val="1"/>
      </rPr>
      <t xml:space="preserve">Minn. Stat. §205.075, subd. 1.  </t>
    </r>
  </si>
  <si>
    <r>
      <t xml:space="preserve">TOWNSHIP ELECTION DAY: Soil and Water Conservation Districts: </t>
    </r>
    <r>
      <rPr>
        <sz val="12"/>
        <rFont val="Times New Roman"/>
        <family val="1"/>
      </rPr>
      <t xml:space="preserve">2nd Tuesday in March.  </t>
    </r>
    <r>
      <rPr>
        <i/>
        <sz val="12"/>
        <rFont val="Times New Roman"/>
        <family val="1"/>
      </rPr>
      <t xml:space="preserve">Minn. Stat. §205.075, subd. 1.  </t>
    </r>
  </si>
  <si>
    <r>
      <t xml:space="preserve">TOWNSHIP ELECTION DAY: Towns with March Elections: </t>
    </r>
    <r>
      <rPr>
        <sz val="12"/>
        <rFont val="Times New Roman"/>
        <family val="1"/>
      </rPr>
      <t xml:space="preserve">2nd Tuesday in March.  </t>
    </r>
    <r>
      <rPr>
        <i/>
        <sz val="12"/>
        <rFont val="Times New Roman"/>
        <family val="1"/>
      </rPr>
      <t xml:space="preserve">Minn. Stat. §205.075, subd. 1.  </t>
    </r>
  </si>
  <si>
    <r>
      <t xml:space="preserve">TOWNSHIP ELECTION DAY: School Districts with a Primary: </t>
    </r>
    <r>
      <rPr>
        <sz val="12"/>
        <rFont val="Times New Roman"/>
        <family val="1"/>
      </rPr>
      <t xml:space="preserve">2nd Tuesday in March.  </t>
    </r>
    <r>
      <rPr>
        <i/>
        <sz val="12"/>
        <rFont val="Times New Roman"/>
        <family val="1"/>
      </rPr>
      <t xml:space="preserve">Minn. Stat. §205.075, subd. 1.  </t>
    </r>
  </si>
  <si>
    <r>
      <t xml:space="preserve">TOWNSHIP ELECTION DAY: School Districts without a Primary: </t>
    </r>
    <r>
      <rPr>
        <sz val="12"/>
        <rFont val="Times New Roman"/>
        <family val="1"/>
      </rPr>
      <t xml:space="preserve">2nd Tuesday in March.  </t>
    </r>
    <r>
      <rPr>
        <i/>
        <sz val="12"/>
        <rFont val="Times New Roman"/>
        <family val="1"/>
      </rPr>
      <t xml:space="preserve">Minn. Stat. §205.075, subd. 1.  </t>
    </r>
  </si>
  <si>
    <r>
      <t xml:space="preserve">TOWNSHIP ELECTION DAY: Hospital Districts: </t>
    </r>
    <r>
      <rPr>
        <sz val="12"/>
        <rFont val="Times New Roman"/>
        <family val="1"/>
      </rPr>
      <t xml:space="preserve">2nd Tuesday in March.  </t>
    </r>
    <r>
      <rPr>
        <i/>
        <sz val="12"/>
        <rFont val="Times New Roman"/>
        <family val="1"/>
      </rPr>
      <t xml:space="preserve">Minn. Stat. §205.075, subd. 1.  </t>
    </r>
  </si>
  <si>
    <r>
      <t xml:space="preserve">TOWNSHIP ELECTION DAY: Secretary of State </t>
    </r>
    <r>
      <rPr>
        <sz val="12"/>
        <rFont val="Times New Roman"/>
        <family val="1"/>
      </rPr>
      <t xml:space="preserve">- Patients in Health Care Facility may designate agent for absentee ballot delivery until 2:00 p.m. </t>
    </r>
    <r>
      <rPr>
        <i/>
        <sz val="12"/>
        <rFont val="Times New Roman"/>
        <family val="1"/>
      </rPr>
      <t>Minn. Stat. §203B.11, subd. 4</t>
    </r>
  </si>
  <si>
    <r>
      <t xml:space="preserve">TOWNSHIP ELECTION DAY: Counties </t>
    </r>
    <r>
      <rPr>
        <sz val="12"/>
        <rFont val="Times New Roman"/>
        <family val="1"/>
      </rPr>
      <t xml:space="preserve">- Patients in Health Care Facility may designate agent for absentee ballot delivery until 2:00 p.m. </t>
    </r>
    <r>
      <rPr>
        <i/>
        <sz val="12"/>
        <rFont val="Times New Roman"/>
        <family val="1"/>
      </rPr>
      <t>Minn. Stat. §203B.11, subd. 4</t>
    </r>
  </si>
  <si>
    <r>
      <t xml:space="preserve">TOWNSHIP ELECTION DAY: Towns with March Elections </t>
    </r>
    <r>
      <rPr>
        <sz val="12"/>
        <rFont val="Times New Roman"/>
        <family val="1"/>
      </rPr>
      <t xml:space="preserve">- Patients in Health Care Facility may designate agent for absentee ballot delivery until 2:00 p.m. </t>
    </r>
    <r>
      <rPr>
        <i/>
        <sz val="12"/>
        <rFont val="Times New Roman"/>
        <family val="1"/>
      </rPr>
      <t>Minn. Stat. §203B.11, subd. 4</t>
    </r>
  </si>
  <si>
    <r>
      <t xml:space="preserve">TOWNSHIP ELECTION DAY: Secretary of State: </t>
    </r>
    <r>
      <rPr>
        <sz val="12"/>
        <rFont val="Times New Roman"/>
        <family val="1"/>
      </rPr>
      <t xml:space="preserve">Agents may return other voters' absentee ballots to absentee voting locations until 3:00 p.m.  </t>
    </r>
    <r>
      <rPr>
        <i/>
        <sz val="12"/>
        <rFont val="Times New Roman"/>
        <family val="1"/>
      </rPr>
      <t>Minn. Stat. §203B.11, subd. 4</t>
    </r>
  </si>
  <si>
    <r>
      <t xml:space="preserve">TOWNSHIP ELECTION DAY: Counties: </t>
    </r>
    <r>
      <rPr>
        <sz val="12"/>
        <rFont val="Times New Roman"/>
        <family val="1"/>
      </rPr>
      <t xml:space="preserve">Agents may return other voters' absentee ballots to absentee voting locations until 3:00 p.m.  </t>
    </r>
    <r>
      <rPr>
        <i/>
        <sz val="12"/>
        <rFont val="Times New Roman"/>
        <family val="1"/>
      </rPr>
      <t>Minn. Stat. §203B.11, subd. 4</t>
    </r>
  </si>
  <si>
    <r>
      <t xml:space="preserve">TOWNSHIP ELECTION DAY: Towns with March Elections: </t>
    </r>
    <r>
      <rPr>
        <sz val="12"/>
        <rFont val="Times New Roman"/>
        <family val="1"/>
      </rPr>
      <t xml:space="preserve">Agents may return other voters' absentee ballots to absentee voting locations until 3:00 p.m.  </t>
    </r>
    <r>
      <rPr>
        <i/>
        <sz val="12"/>
        <rFont val="Times New Roman"/>
        <family val="1"/>
      </rPr>
      <t>Minn. Stat. §203B.11, subd. 4</t>
    </r>
  </si>
  <si>
    <r>
      <t xml:space="preserve">Counties: </t>
    </r>
    <r>
      <rPr>
        <sz val="12"/>
        <rFont val="Times New Roman"/>
        <family val="1"/>
      </rPr>
      <t>Township sends official canvassed results to auditor</t>
    </r>
  </si>
  <si>
    <r>
      <t xml:space="preserve">Towns with March Elections: </t>
    </r>
    <r>
      <rPr>
        <sz val="12"/>
        <rFont val="Times New Roman"/>
        <family val="1"/>
      </rPr>
      <t xml:space="preserve">Last day for township board to canvass election results – within 2 days of election.  </t>
    </r>
    <r>
      <rPr>
        <i/>
        <sz val="12"/>
        <rFont val="Times New Roman"/>
        <family val="1"/>
      </rPr>
      <t>Minn. Stat. §205.185, subd. 3</t>
    </r>
  </si>
  <si>
    <r>
      <t xml:space="preserve">School Districts with a Primary: </t>
    </r>
    <r>
      <rPr>
        <sz val="12"/>
        <rFont val="Times New Roman"/>
        <family val="1"/>
      </rPr>
      <t xml:space="preserve">Last day for Secretary of State to prescribe form for election summary statements and abstracts.  Each county auditor and municipal or school district clerk required to furnish summary statements </t>
    </r>
    <r>
      <rPr>
        <b/>
        <i/>
        <u/>
        <sz val="12"/>
        <rFont val="Times New Roman"/>
        <family val="1"/>
      </rPr>
      <t xml:space="preserve">shall </t>
    </r>
    <r>
      <rPr>
        <sz val="12"/>
        <rFont val="Times New Roman"/>
        <family val="1"/>
      </rPr>
      <t xml:space="preserve">prepare them in the manner prescribed by the OSS - no later than 10 weeks before the state primary of each even numbered year.  </t>
    </r>
    <r>
      <rPr>
        <i/>
        <sz val="12"/>
        <rFont val="Times New Roman"/>
        <family val="1"/>
      </rPr>
      <t>Minn. Stat. §204C.26, subd. 3</t>
    </r>
  </si>
  <si>
    <r>
      <t xml:space="preserve">Secretary of State:  </t>
    </r>
    <r>
      <rPr>
        <sz val="12"/>
        <rFont val="Times New Roman"/>
        <family val="1"/>
      </rPr>
      <t xml:space="preserve">Last day for County Auditor to mail absentee application to voters on the perm list and the ongoing absentee list - 60 days prior to election. </t>
    </r>
    <r>
      <rPr>
        <i/>
        <sz val="12"/>
        <rFont val="Times New Roman"/>
        <family val="1"/>
      </rPr>
      <t>Minn. Stat. §§203B.04, subds. 5 &amp; 6; 203B.06, subd. 1; Minn. Rule 8210.0200, subp. 4</t>
    </r>
  </si>
  <si>
    <r>
      <t xml:space="preserve">Counties:  </t>
    </r>
    <r>
      <rPr>
        <sz val="12"/>
        <rFont val="Times New Roman"/>
        <family val="1"/>
      </rPr>
      <t xml:space="preserve">Last day for County Auditor to mail absentee application to voters on the perm list and the ongoing absentee list - 60 days prior to election. </t>
    </r>
    <r>
      <rPr>
        <i/>
        <sz val="12"/>
        <rFont val="Times New Roman"/>
        <family val="1"/>
      </rPr>
      <t>Minn. Stat. §§203B.04, subds. 5 &amp; 6; 203B.06, subd. 1; Minn. Rule 8210.0200, subp. 4</t>
    </r>
  </si>
  <si>
    <r>
      <t xml:space="preserve">Cities with a Primary:  </t>
    </r>
    <r>
      <rPr>
        <sz val="12"/>
        <rFont val="Times New Roman"/>
        <family val="1"/>
      </rPr>
      <t xml:space="preserve">Last day for County Auditor to mail absentee application to city voters on the permanent list and the ongoing absentee list - 60 days prior to election.  </t>
    </r>
    <r>
      <rPr>
        <i/>
        <sz val="12"/>
        <rFont val="Times New Roman"/>
        <family val="1"/>
      </rPr>
      <t>Minn. Stat. §§203B.04, subds. 5 &amp; 6; 203B.06, subd. 1; Minn. Rule 8210.0200, subp. 4</t>
    </r>
  </si>
  <si>
    <r>
      <t xml:space="preserve">Cities without a Primary:  </t>
    </r>
    <r>
      <rPr>
        <sz val="12"/>
        <rFont val="Times New Roman"/>
        <family val="1"/>
      </rPr>
      <t xml:space="preserve">Last day for County Auditor to mail absentee application to city voters on the permanent list and the ongoing absentee list - 60 days prior to election.  </t>
    </r>
    <r>
      <rPr>
        <i/>
        <sz val="12"/>
        <rFont val="Times New Roman"/>
        <family val="1"/>
      </rPr>
      <t>Minn. Stat. §§203B.04, subds. 5 &amp; 6; 203B.06, subd. 1; Minn. Rule 8210.0200, subp. 4</t>
    </r>
  </si>
  <si>
    <r>
      <t xml:space="preserve">Towns with March Elections:  </t>
    </r>
    <r>
      <rPr>
        <sz val="12"/>
        <rFont val="Times New Roman"/>
        <family val="1"/>
      </rPr>
      <t xml:space="preserve">Last day for County Auditor to mail absentee application to town voters on the permanent list and the ongoing absentee list - 60 days prior to election.  </t>
    </r>
    <r>
      <rPr>
        <i/>
        <sz val="12"/>
        <rFont val="Times New Roman"/>
        <family val="1"/>
      </rPr>
      <t>Minn. Stat. §§203B.04, subds. 5 &amp; 6; 203B.06, subd. 1; Minn. Rule 8210.0200, subp. 4</t>
    </r>
  </si>
  <si>
    <r>
      <t xml:space="preserve">Towns with November Elections:  </t>
    </r>
    <r>
      <rPr>
        <sz val="12"/>
        <rFont val="Times New Roman"/>
        <family val="1"/>
      </rPr>
      <t xml:space="preserve">Last day for County Auditor to mail absentee application to town voters on the permanent list and the ongoing absentee list - 60 days prior to election.  </t>
    </r>
    <r>
      <rPr>
        <i/>
        <sz val="12"/>
        <rFont val="Times New Roman"/>
        <family val="1"/>
      </rPr>
      <t>Minn. Stat. §§203B.04, subds. 5 &amp; 6; 203B.06, subd. 1; Minn. Rule 8210.0200, subp. 4</t>
    </r>
  </si>
  <si>
    <r>
      <t>Cities with a Primary:</t>
    </r>
    <r>
      <rPr>
        <sz val="12"/>
        <rFont val="Times New Roman"/>
        <family val="1"/>
      </rPr>
      <t xml:space="preserve"> Period of time during which Election Judge training courses may be provided - not more than 60 days before the state primary election or fewer than 3 days before the state general election. </t>
    </r>
    <r>
      <rPr>
        <i/>
        <sz val="12"/>
        <rFont val="Times New Roman"/>
        <family val="1"/>
      </rPr>
      <t>Minn. Rule 8240.1300, subp. 4</t>
    </r>
  </si>
  <si>
    <r>
      <t xml:space="preserve">Secretary of State: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the mail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</si>
  <si>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Political Parties: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the mail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</si>
  <si>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Counties: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the mail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</si>
  <si>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Cities with a Primary: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the mail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</si>
  <si>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Cities without a Primary: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the mail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</si>
  <si>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Towns with March Elections: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the mail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</si>
  <si>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Towns with November Elections: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the mail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</si>
  <si>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School Districts with a Primary: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the mail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</si>
  <si>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Secretary of State: </t>
    </r>
    <r>
      <rPr>
        <sz val="12"/>
        <rFont val="Times New Roman"/>
        <family val="1"/>
      </rPr>
      <t xml:space="preserve">Last day for operator of a residential facility to provide to the county auditor a certified list of employees eligible to vouch for residents of the facility - no less than 20 days before the election.  </t>
    </r>
    <r>
      <rPr>
        <i/>
        <sz val="12"/>
        <rFont val="Times New Roman"/>
        <family val="1"/>
      </rPr>
      <t>Minn. Stat. §201.061, subd. 3</t>
    </r>
  </si>
  <si>
    <r>
      <t xml:space="preserve">Counties: </t>
    </r>
    <r>
      <rPr>
        <sz val="12"/>
        <rFont val="Times New Roman"/>
        <family val="1"/>
      </rPr>
      <t xml:space="preserve">Last day for operator of a residential facility to provide to the county auditor a certified list of employees eligible to vouch for residents of the facility - no less than 20 days before the election.  </t>
    </r>
    <r>
      <rPr>
        <i/>
        <sz val="12"/>
        <rFont val="Times New Roman"/>
        <family val="1"/>
      </rPr>
      <t>Minn. Stat. §201.061, subd. 3</t>
    </r>
  </si>
  <si>
    <r>
      <t xml:space="preserve">Cities with a Primary: </t>
    </r>
    <r>
      <rPr>
        <sz val="12"/>
        <rFont val="Times New Roman"/>
        <family val="1"/>
      </rPr>
      <t xml:space="preserve">Last day for operator of a residential facility to provide to the county auditor a certified list of employees eligible to vouch for residents of the facility - no less than 20 days before the election.  </t>
    </r>
    <r>
      <rPr>
        <i/>
        <sz val="12"/>
        <rFont val="Times New Roman"/>
        <family val="1"/>
      </rPr>
      <t>Minn. Stat. §201.061, subd. 3</t>
    </r>
  </si>
  <si>
    <r>
      <t xml:space="preserve">Cities without a Primary: </t>
    </r>
    <r>
      <rPr>
        <sz val="12"/>
        <rFont val="Times New Roman"/>
        <family val="1"/>
      </rPr>
      <t xml:space="preserve">Last day for operator of a residential facility to provide to the county auditor a certified list of employees eligible to vouch for residents of the facility - no less than 20 days before the election.  </t>
    </r>
    <r>
      <rPr>
        <i/>
        <sz val="12"/>
        <rFont val="Times New Roman"/>
        <family val="1"/>
      </rPr>
      <t>Minn. Stat. §201.061, subd. 3</t>
    </r>
  </si>
  <si>
    <r>
      <t xml:space="preserve">Towns with March Elections: </t>
    </r>
    <r>
      <rPr>
        <sz val="12"/>
        <rFont val="Times New Roman"/>
        <family val="1"/>
      </rPr>
      <t xml:space="preserve">Last day for operator of a residential facility to provide to the county auditor a certified list of employees eligible to vouch for residents of the facility - no less than 20 days before the election.  </t>
    </r>
    <r>
      <rPr>
        <i/>
        <sz val="12"/>
        <rFont val="Times New Roman"/>
        <family val="1"/>
      </rPr>
      <t>Minn. Stat. §201.061, subd. 3</t>
    </r>
  </si>
  <si>
    <r>
      <t xml:space="preserve">Towns with November Elections: </t>
    </r>
    <r>
      <rPr>
        <sz val="12"/>
        <rFont val="Times New Roman"/>
        <family val="1"/>
      </rPr>
      <t xml:space="preserve">Last day for operator of a residential facility to provide to the county auditor a certified list of employees eligible to vouch for residents of the facility - no less than 20 days before the election.  </t>
    </r>
    <r>
      <rPr>
        <i/>
        <sz val="12"/>
        <rFont val="Times New Roman"/>
        <family val="1"/>
      </rPr>
      <t>Minn. Stat. §201.061, subd. 3</t>
    </r>
  </si>
  <si>
    <r>
      <t xml:space="preserve">Secretary of State: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</si>
  <si>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Campaign Finance: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</si>
  <si>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Political Parties: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</si>
  <si>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Counties: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</si>
  <si>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Cities with a Primary: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</si>
  <si>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Cities without a Primary: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</si>
  <si>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Towns with March Elections: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</si>
  <si>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Towns with November Elections: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</si>
  <si>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School Districts with a Primary: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</si>
  <si>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School Districts without a Primary: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</si>
  <si>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Hospital Districts: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</si>
  <si>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Secretary of State: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</si>
  <si>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Political Parties: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</si>
  <si>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Counties: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</si>
  <si>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Soil and Water Conservation Districts: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</si>
  <si>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Cities with a Primary: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</si>
  <si>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Cities without a Primary: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</si>
  <si>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Towns with March Elections: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</si>
  <si>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Towns with November Elections: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</si>
  <si>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School Districts with a Primary: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</si>
  <si>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School Districts without a Primary: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</si>
  <si>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Hospital Districts: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</si>
  <si>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Secretary of State: </t>
    </r>
    <r>
      <rPr>
        <sz val="12"/>
        <rFont val="Times New Roman"/>
        <family val="1"/>
      </rPr>
      <t xml:space="preserve">Counties produce polling place rosters for general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</si>
  <si>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Counties: </t>
    </r>
    <r>
      <rPr>
        <sz val="12"/>
        <rFont val="Times New Roman"/>
        <family val="1"/>
      </rPr>
      <t xml:space="preserve">Counties produce polling place rosters for general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</si>
  <si>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Cities with a Primary: </t>
    </r>
    <r>
      <rPr>
        <sz val="12"/>
        <rFont val="Times New Roman"/>
        <family val="1"/>
      </rPr>
      <t xml:space="preserve">Counties produce polling place rosters for general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</si>
  <si>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Cities without a Primary: </t>
    </r>
    <r>
      <rPr>
        <sz val="12"/>
        <rFont val="Times New Roman"/>
        <family val="1"/>
      </rPr>
      <t xml:space="preserve">Counties produce polling place rosters for general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</si>
  <si>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Towns with March Elections: </t>
    </r>
    <r>
      <rPr>
        <sz val="12"/>
        <rFont val="Times New Roman"/>
        <family val="1"/>
      </rPr>
      <t xml:space="preserve">Counties produce polling place rosters for general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</si>
  <si>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Towns with November Elections: </t>
    </r>
    <r>
      <rPr>
        <sz val="12"/>
        <rFont val="Times New Roman"/>
        <family val="1"/>
      </rPr>
      <t xml:space="preserve">Counties produce polling place rosters for general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</si>
  <si>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Secretary of State: </t>
    </r>
    <r>
      <rPr>
        <sz val="12"/>
        <rFont val="Times New Roman"/>
        <family val="1"/>
      </rPr>
      <t xml:space="preserve">Counties produce polling place rosters for primary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</si>
  <si>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Counties: </t>
    </r>
    <r>
      <rPr>
        <sz val="12"/>
        <rFont val="Times New Roman"/>
        <family val="1"/>
      </rPr>
      <t xml:space="preserve">Counties produce polling place rosters for primary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</si>
  <si>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Cities with a Primary: </t>
    </r>
    <r>
      <rPr>
        <sz val="12"/>
        <rFont val="Times New Roman"/>
        <family val="1"/>
      </rPr>
      <t xml:space="preserve">Counties produce polling place rosters for primary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</si>
  <si>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Cities without a Primary: </t>
    </r>
    <r>
      <rPr>
        <sz val="12"/>
        <rFont val="Times New Roman"/>
        <family val="1"/>
      </rPr>
      <t xml:space="preserve">Counties produce polling place rosters for primary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</si>
  <si>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Towns with March Elections: </t>
    </r>
    <r>
      <rPr>
        <sz val="12"/>
        <rFont val="Times New Roman"/>
        <family val="1"/>
      </rPr>
      <t xml:space="preserve">Counties produce polling place rosters for primary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</si>
  <si>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Towns with November Elections: </t>
    </r>
    <r>
      <rPr>
        <sz val="12"/>
        <rFont val="Times New Roman"/>
        <family val="1"/>
      </rPr>
      <t xml:space="preserve">Counties produce polling place rosters for primary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</si>
  <si>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Secretary of State:</t>
    </r>
    <r>
      <rPr>
        <sz val="12"/>
        <rFont val="Times New Roman"/>
        <family val="1"/>
      </rPr>
      <t xml:space="preserve"> Last day for election judges to secure election supplies from clerk - by 9:00 p.m. the day preceding the election.  </t>
    </r>
    <r>
      <rPr>
        <i/>
        <sz val="12"/>
        <rFont val="Times New Roman"/>
        <family val="1"/>
      </rPr>
      <t>Minn. Stat. §204B.29, subd. 1</t>
    </r>
  </si>
  <si>
    <r>
      <t>Counties:</t>
    </r>
    <r>
      <rPr>
        <sz val="12"/>
        <rFont val="Times New Roman"/>
        <family val="1"/>
      </rPr>
      <t xml:space="preserve"> Last day for election judges to secure election supplies from clerk - by 9:00 p.m. the day preceding the election.  </t>
    </r>
    <r>
      <rPr>
        <i/>
        <sz val="12"/>
        <rFont val="Times New Roman"/>
        <family val="1"/>
      </rPr>
      <t>Minn. Stat. §204B.29, subd. 1</t>
    </r>
  </si>
  <si>
    <r>
      <t>Cities with a Primary:</t>
    </r>
    <r>
      <rPr>
        <sz val="12"/>
        <rFont val="Times New Roman"/>
        <family val="1"/>
      </rPr>
      <t xml:space="preserve"> Last day for election judges to secure election supplies from clerk - by 9:00 p.m. the day preceding the election.  </t>
    </r>
    <r>
      <rPr>
        <i/>
        <sz val="12"/>
        <rFont val="Times New Roman"/>
        <family val="1"/>
      </rPr>
      <t>Minn. Stat. §204B.29, subd. 1</t>
    </r>
  </si>
  <si>
    <r>
      <t>Cities without a Primary:</t>
    </r>
    <r>
      <rPr>
        <sz val="12"/>
        <rFont val="Times New Roman"/>
        <family val="1"/>
      </rPr>
      <t xml:space="preserve"> Last day for election judges to secure election supplies from clerk - by 9:00 p.m. the day preceding the election.  </t>
    </r>
    <r>
      <rPr>
        <i/>
        <sz val="12"/>
        <rFont val="Times New Roman"/>
        <family val="1"/>
      </rPr>
      <t>Minn. Stat. §204B.29, subd. 1</t>
    </r>
  </si>
  <si>
    <r>
      <t>Towns with March Elections:</t>
    </r>
    <r>
      <rPr>
        <sz val="12"/>
        <rFont val="Times New Roman"/>
        <family val="1"/>
      </rPr>
      <t xml:space="preserve"> Last day for election judges to secure election supplies from clerk - by 9:00 p.m. the day preceding the election.  </t>
    </r>
    <r>
      <rPr>
        <i/>
        <sz val="12"/>
        <rFont val="Times New Roman"/>
        <family val="1"/>
      </rPr>
      <t>Minn. Stat. §204B.29, subd. 1</t>
    </r>
  </si>
  <si>
    <r>
      <t>Towns with November Elections:</t>
    </r>
    <r>
      <rPr>
        <sz val="12"/>
        <rFont val="Times New Roman"/>
        <family val="1"/>
      </rPr>
      <t xml:space="preserve"> Last day for election judges to secure election supplies from clerk - by 9:00 p.m. the day preceding the election.  </t>
    </r>
    <r>
      <rPr>
        <i/>
        <sz val="12"/>
        <rFont val="Times New Roman"/>
        <family val="1"/>
      </rPr>
      <t>Minn. Stat. §204B.29, subd. 1</t>
    </r>
  </si>
  <si>
    <r>
      <t xml:space="preserve">Legislature: </t>
    </r>
    <r>
      <rPr>
        <sz val="12"/>
        <rFont val="Times New Roman"/>
        <family val="1"/>
      </rPr>
      <t xml:space="preserve">The OSS shall report to the Chair and ranking minority members of the legislative committees with jurisdiction over elections the number of notices reported under 201.212 to the OSS for the previous state general electio by county &amp; precinct - by March 1st of every odd-numbered year. </t>
    </r>
    <r>
      <rPr>
        <i/>
        <sz val="12"/>
        <rFont val="Times New Roman"/>
        <family val="1"/>
      </rPr>
      <t>Minn. Stat. §201.121, subd. 3</t>
    </r>
  </si>
  <si>
    <r>
      <t xml:space="preserve">Secretary of State: </t>
    </r>
    <r>
      <rPr>
        <sz val="12"/>
        <rFont val="Times New Roman"/>
        <family val="1"/>
      </rPr>
      <t xml:space="preserve">The OSS shall report to the Chair and ranking minority members of the legislative committees with jurisdiction over elections the number of notices reported under 201.212 to the OSS for the previous state general electio by county &amp; precinct - by March 1st of every odd-numbered year. </t>
    </r>
    <r>
      <rPr>
        <i/>
        <sz val="12"/>
        <rFont val="Times New Roman"/>
        <family val="1"/>
      </rPr>
      <t>Minn. Stat. §201.121, subd. 3</t>
    </r>
  </si>
  <si>
    <r>
      <t xml:space="preserve">Counties: </t>
    </r>
    <r>
      <rPr>
        <sz val="12"/>
        <rFont val="Times New Roman"/>
        <family val="1"/>
      </rPr>
      <t xml:space="preserve">The OSS shall report to the Chair and ranking minority members of the legislative committees with jurisdiction over elections the number of notices reported under 201.212 to the OSS for the previous state general electio by county &amp; precinct - by March 1st of every odd-numbered year. </t>
    </r>
    <r>
      <rPr>
        <i/>
        <sz val="12"/>
        <rFont val="Times New Roman"/>
        <family val="1"/>
      </rPr>
      <t>Minn. Stat. §201.121, subd. 3</t>
    </r>
  </si>
  <si>
    <r>
      <t xml:space="preserve">Cities without a Primary: </t>
    </r>
    <r>
      <rPr>
        <sz val="12"/>
        <rFont val="Times New Roman"/>
        <family val="1"/>
      </rPr>
      <t xml:space="preserve">An individual must file a statement of economic interest with the board after filing an affidavit of candidacy or petition to appear on the ballot for an elective state office or an elective local office in a metro governmental unit - within 14 days after filing an affidavit of candidacy. (i.e., a city with a population of over 50,000 located in the metro area)  (see  M.S. 10A.01 &amp; 10A.09 for more details). </t>
    </r>
    <r>
      <rPr>
        <i/>
        <sz val="12"/>
        <rFont val="Times New Roman"/>
        <family val="1"/>
      </rPr>
      <t>Minn. Stat. 10A.09, subd. 1(2)</t>
    </r>
  </si>
  <si>
    <r>
      <t xml:space="preserve">Secretary of State: </t>
    </r>
    <r>
      <rPr>
        <sz val="12"/>
        <rFont val="Times New Roman"/>
        <family val="1"/>
      </rPr>
      <t xml:space="preserve">An individual must file a statement of economic interest with the board after filing an affidavit of candidacy or petition to appear on the ballot for an elective local office in a metro governmental unit - within 14 days after filing an affidavit of candidacy. (see  M.S. 10A.01 &amp; 10A.09 for more details). </t>
    </r>
    <r>
      <rPr>
        <i/>
        <sz val="12"/>
        <rFont val="Times New Roman"/>
        <family val="1"/>
      </rPr>
      <t>Minn. Stat. 10A.09, subd. 1(2)</t>
    </r>
  </si>
  <si>
    <r>
      <t xml:space="preserve">Campaign Finance: </t>
    </r>
    <r>
      <rPr>
        <sz val="12"/>
        <rFont val="Times New Roman"/>
        <family val="1"/>
      </rPr>
      <t xml:space="preserve">An individual must file a statement of economic interest with the board after filing an affidavit of candidacy or petition to appear on the ballot for an elective local office in a metro governmental unit - within 14 days after filing an affidavit of candidacy. (see  M.S. 10A.01 &amp; 10A.09 for more details). </t>
    </r>
    <r>
      <rPr>
        <i/>
        <sz val="12"/>
        <rFont val="Times New Roman"/>
        <family val="1"/>
      </rPr>
      <t>Minn. Stat. 10A.09, subd. 1(2)</t>
    </r>
  </si>
  <si>
    <r>
      <t xml:space="preserve">Political Parties: </t>
    </r>
    <r>
      <rPr>
        <sz val="12"/>
        <rFont val="Times New Roman"/>
        <family val="1"/>
      </rPr>
      <t xml:space="preserve">An individual must file a statement of economic interest with the board after filing an affidavit of candidacy or petition to appear on the ballot for an elective local office in a metro governmental unit - within 14 days after filing an affidavit of candidacy. (see  M.S. 10A.01 &amp; 10A.09 for more details). </t>
    </r>
    <r>
      <rPr>
        <i/>
        <sz val="12"/>
        <rFont val="Times New Roman"/>
        <family val="1"/>
      </rPr>
      <t>Minn. Stat. 10A.09, subd. 1(2)</t>
    </r>
  </si>
  <si>
    <r>
      <t xml:space="preserve">Counties: </t>
    </r>
    <r>
      <rPr>
        <sz val="12"/>
        <rFont val="Times New Roman"/>
        <family val="1"/>
      </rPr>
      <t xml:space="preserve">An individual must file a statement of economic interest with the board after filing an affidavit of candidacy or petition to appear on the ballot for an elective local office in a metro governmental unit - within 14 days after filing an affidavit of candidacy. (see  M.S. 10A.01 &amp; 10A.09 for more details). </t>
    </r>
    <r>
      <rPr>
        <i/>
        <sz val="12"/>
        <rFont val="Times New Roman"/>
        <family val="1"/>
      </rPr>
      <t>Minn. Stat. 10A.09, subd. 1(2)</t>
    </r>
  </si>
  <si>
    <r>
      <t xml:space="preserve">Secretary of State: </t>
    </r>
    <r>
      <rPr>
        <sz val="12"/>
        <rFont val="Times New Roman"/>
        <family val="1"/>
      </rPr>
      <t xml:space="preserve">Cities without a primary notify Campaign and Finance Public Disclosure Board of filing candidates </t>
    </r>
    <r>
      <rPr>
        <i/>
        <sz val="12"/>
        <rFont val="Times New Roman"/>
        <family val="1"/>
      </rPr>
      <t xml:space="preserve">required </t>
    </r>
    <r>
      <rPr>
        <sz val="12"/>
        <rFont val="Times New Roman"/>
        <family val="1"/>
      </rPr>
      <t xml:space="preserve">to file Statements of Economic Interest - Upon receiving an affidavit of candidacy or petition to appear on the ballot. (see  M.S. 10A.01 &amp; 10A.09 for more details). </t>
    </r>
    <r>
      <rPr>
        <i/>
        <sz val="12"/>
        <rFont val="Times New Roman"/>
        <family val="1"/>
      </rPr>
      <t>Minn. Stat. §10A.09, subd. 2</t>
    </r>
  </si>
  <si>
    <r>
      <t xml:space="preserve">Campaign Finance: </t>
    </r>
    <r>
      <rPr>
        <sz val="12"/>
        <rFont val="Times New Roman"/>
        <family val="1"/>
      </rPr>
      <t xml:space="preserve">Cities without a primary notify Campaign and Finance Public Disclosure Board of filing candidates </t>
    </r>
    <r>
      <rPr>
        <i/>
        <sz val="12"/>
        <rFont val="Times New Roman"/>
        <family val="1"/>
      </rPr>
      <t xml:space="preserve">required </t>
    </r>
    <r>
      <rPr>
        <sz val="12"/>
        <rFont val="Times New Roman"/>
        <family val="1"/>
      </rPr>
      <t>to file Statements of Economic Interest - Upon receiving an affidavit of candidacy or petition to appear on the ballot. (see  M.S. 10A.01 &amp; 10A.09 for more details).</t>
    </r>
    <r>
      <rPr>
        <i/>
        <sz val="12"/>
        <rFont val="Times New Roman"/>
        <family val="1"/>
      </rPr>
      <t>Minn. Stat. §10A.09, subd. 2</t>
    </r>
  </si>
  <si>
    <r>
      <t xml:space="preserve">Political Parties: </t>
    </r>
    <r>
      <rPr>
        <sz val="12"/>
        <rFont val="Times New Roman"/>
        <family val="1"/>
      </rPr>
      <t xml:space="preserve">Cities without a primary notify Campaign and Finance Public Disclosure Board of filing candidates </t>
    </r>
    <r>
      <rPr>
        <i/>
        <sz val="12"/>
        <rFont val="Times New Roman"/>
        <family val="1"/>
      </rPr>
      <t xml:space="preserve">required </t>
    </r>
    <r>
      <rPr>
        <sz val="12"/>
        <rFont val="Times New Roman"/>
        <family val="1"/>
      </rPr>
      <t xml:space="preserve">to file Statements of Economic Interest - Upon receiving an affidavit of candidacy or petition to appear on the ballot. (see  M.S. 10A.01 &amp; 10A.09 for more details). </t>
    </r>
    <r>
      <rPr>
        <i/>
        <sz val="12"/>
        <rFont val="Times New Roman"/>
        <family val="1"/>
      </rPr>
      <t>Minn. Stat. §10A.09, subd. 2</t>
    </r>
  </si>
  <si>
    <r>
      <t xml:space="preserve">Counties: </t>
    </r>
    <r>
      <rPr>
        <sz val="12"/>
        <rFont val="Times New Roman"/>
        <family val="1"/>
      </rPr>
      <t xml:space="preserve">Cities without a primary notify Campaign and Finance Public Disclosure Board of filing candidates </t>
    </r>
    <r>
      <rPr>
        <i/>
        <sz val="12"/>
        <rFont val="Times New Roman"/>
        <family val="1"/>
      </rPr>
      <t>required</t>
    </r>
    <r>
      <rPr>
        <sz val="12"/>
        <rFont val="Times New Roman"/>
        <family val="1"/>
      </rPr>
      <t xml:space="preserve"> to file Statements of Economic Interest - Upon receiving an affidavit of candidacy or petition to appear on the ballot. (see  M.S. 10A.01 &amp; 10A.09 for more details). </t>
    </r>
    <r>
      <rPr>
        <i/>
        <sz val="12"/>
        <rFont val="Times New Roman"/>
        <family val="1"/>
      </rPr>
      <t>Minn. Stat. §10A.09, subd. 2</t>
    </r>
  </si>
  <si>
    <r>
      <t xml:space="preserve">STATE PRIMARY ELECTION DAY: Cities with a Primary: </t>
    </r>
    <r>
      <rPr>
        <sz val="12"/>
        <rFont val="Times New Roman"/>
        <family val="1"/>
      </rPr>
      <t xml:space="preserve">The second Tuesday in August.  </t>
    </r>
    <r>
      <rPr>
        <i/>
        <sz val="12"/>
        <rFont val="Times New Roman"/>
        <family val="1"/>
      </rPr>
      <t xml:space="preserve">Minn. Stat. §205.065, subd. 1; §204D.03 </t>
    </r>
  </si>
  <si>
    <t>204B.14, subd. 4</t>
  </si>
  <si>
    <r>
      <t xml:space="preserve">Towns with November Elections: </t>
    </r>
    <r>
      <rPr>
        <sz val="12"/>
        <rFont val="Times New Roman"/>
        <family val="1"/>
      </rPr>
      <t xml:space="preserve">Deadline for changing the boundary of an election precinct - must be adopted no later than June 1st in the year of the State General Election. </t>
    </r>
    <r>
      <rPr>
        <i/>
        <sz val="12"/>
        <rFont val="Times New Roman"/>
        <family val="1"/>
      </rPr>
      <t>Minn. Stat. §204B.14, subd. 4</t>
    </r>
  </si>
  <si>
    <r>
      <t xml:space="preserve">Towns with March Elections: </t>
    </r>
    <r>
      <rPr>
        <sz val="12"/>
        <rFont val="Times New Roman"/>
        <family val="1"/>
      </rPr>
      <t xml:space="preserve">Deadline for changing the boundary of an election precinct - must be adopted no later than June 1st in the year of the State General Election. </t>
    </r>
    <r>
      <rPr>
        <i/>
        <sz val="12"/>
        <rFont val="Times New Roman"/>
        <family val="1"/>
      </rPr>
      <t>Minn. Stat. §204B.14, subd. 4</t>
    </r>
  </si>
  <si>
    <r>
      <t xml:space="preserve">Citied without a Primary: </t>
    </r>
    <r>
      <rPr>
        <sz val="12"/>
        <rFont val="Times New Roman"/>
        <family val="1"/>
      </rPr>
      <t xml:space="preserve">Deadline for changing the boundary of an election precinct - must be adopted no later than June 1st in the year of the State General Election. </t>
    </r>
    <r>
      <rPr>
        <i/>
        <sz val="12"/>
        <rFont val="Times New Roman"/>
        <family val="1"/>
      </rPr>
      <t>Minn. Stat. §204B.14, subd. 4</t>
    </r>
  </si>
  <si>
    <r>
      <t xml:space="preserve">Cities with a Primary: </t>
    </r>
    <r>
      <rPr>
        <sz val="12"/>
        <rFont val="Times New Roman"/>
        <family val="1"/>
      </rPr>
      <t>Deadline for changing the boundary of an election precinct - must be adopted no later than June 1st in the year of the State General Election. Minn. Stat.</t>
    </r>
    <r>
      <rPr>
        <i/>
        <sz val="12"/>
        <rFont val="Times New Roman"/>
        <family val="1"/>
      </rPr>
      <t xml:space="preserve"> §204B.14, subd. 4</t>
    </r>
  </si>
  <si>
    <r>
      <t xml:space="preserve">Counties: </t>
    </r>
    <r>
      <rPr>
        <sz val="12"/>
        <rFont val="Times New Roman"/>
        <family val="1"/>
      </rPr>
      <t xml:space="preserve">Deadline for changing the boundary of an election precinct - must be adopted no later than June 1st in the year of the State General Election. Minn. Stat. </t>
    </r>
    <r>
      <rPr>
        <i/>
        <sz val="12"/>
        <rFont val="Times New Roman"/>
        <family val="1"/>
      </rPr>
      <t>§204B.14, subd. 4</t>
    </r>
  </si>
  <si>
    <r>
      <t xml:space="preserve">Secretary of State: </t>
    </r>
    <r>
      <rPr>
        <sz val="12"/>
        <rFont val="Times New Roman"/>
        <family val="1"/>
      </rPr>
      <t xml:space="preserve">Deadline for changing the boundary of an election precinct - must be adopted no later than June 1st in the year of the State General Election. Minn. Stat. </t>
    </r>
    <r>
      <rPr>
        <i/>
        <sz val="12"/>
        <rFont val="Times New Roman"/>
        <family val="1"/>
      </rPr>
      <t>§204B.14, subd. 4</t>
    </r>
  </si>
  <si>
    <t>204B.14, subd. 4a</t>
  </si>
  <si>
    <r>
      <t>Secretary of State:</t>
    </r>
    <r>
      <rPr>
        <sz val="12"/>
        <rFont val="Times New Roman"/>
        <family val="1"/>
      </rPr>
      <t xml:space="preserve"> A change in the boundary of an elec precinct that has occurred as a result of a muni boundary adjustment made under chapter 414 that is effective more than 21 days before the 2014 March Township elections takes effect at that election - more than 21 days before the election (Monday is a holiday). </t>
    </r>
    <r>
      <rPr>
        <i/>
        <sz val="12"/>
        <rFont val="Times New Roman"/>
        <family val="1"/>
      </rPr>
      <t>Minn. Stat. §204B.14, subd. 4a</t>
    </r>
  </si>
  <si>
    <r>
      <t>Counties:</t>
    </r>
    <r>
      <rPr>
        <sz val="12"/>
        <rFont val="Times New Roman"/>
        <family val="1"/>
      </rPr>
      <t xml:space="preserve"> A change in the boundary of an elec precinct that has occurred as a result of a muni boundary adjustment made under chapter 414 that is effective more than 21 days before the 2014 March Township elections takes effect at that election - more than 21 days before the election (Monday is a holiday). </t>
    </r>
    <r>
      <rPr>
        <i/>
        <sz val="12"/>
        <rFont val="Times New Roman"/>
        <family val="1"/>
      </rPr>
      <t>Minn. Stat. §204B.14, subd. 4a</t>
    </r>
  </si>
  <si>
    <r>
      <t>Towns with March Elections:</t>
    </r>
    <r>
      <rPr>
        <sz val="12"/>
        <rFont val="Times New Roman"/>
        <family val="1"/>
      </rPr>
      <t xml:space="preserve"> A change in the boundary of an elec precinct that has occurred as a result of a muni boundary adjustment made under chapter 414 that is effective more than 21 days before the 2014 March Township elections takes effect at that election - more than 21 days before the election (Monday is a holiday). </t>
    </r>
    <r>
      <rPr>
        <i/>
        <sz val="12"/>
        <rFont val="Times New Roman"/>
        <family val="1"/>
      </rPr>
      <t>Minn. Stat. §204B.14, subd. 4a</t>
    </r>
  </si>
  <si>
    <r>
      <t>Secretary of State:</t>
    </r>
    <r>
      <rPr>
        <sz val="12"/>
        <rFont val="Times New Roman"/>
        <family val="1"/>
      </rPr>
      <t xml:space="preserve"> A change in the boundary of an elec precinct that has occurred as a result of a muni boundary adjustment made under chapter 414 that is effective more than 21 days before the 2014 Primary election takes effect at that election - more than 21 days before the election. </t>
    </r>
    <r>
      <rPr>
        <i/>
        <sz val="12"/>
        <rFont val="Times New Roman"/>
        <family val="1"/>
      </rPr>
      <t>Minn. Stat. §204B.14, subd. 4a</t>
    </r>
  </si>
  <si>
    <r>
      <t>Counties:</t>
    </r>
    <r>
      <rPr>
        <sz val="12"/>
        <rFont val="Times New Roman"/>
        <family val="1"/>
      </rPr>
      <t xml:space="preserve"> A change in the boundary of an elec precinct that has occurred as a result of a muni boundary adjustment made under chapter 414 that is effective more than 21 days before the 2014 Primary election takes effect at that election - more than 21 days before the election. </t>
    </r>
    <r>
      <rPr>
        <i/>
        <sz val="12"/>
        <rFont val="Times New Roman"/>
        <family val="1"/>
      </rPr>
      <t>Minn. Stat. §204B.14, subd. 4a</t>
    </r>
  </si>
  <si>
    <r>
      <t>Cities with a Primary:</t>
    </r>
    <r>
      <rPr>
        <sz val="12"/>
        <rFont val="Times New Roman"/>
        <family val="1"/>
      </rPr>
      <t xml:space="preserve"> A change in the boundary of an elec precinct that has occurred as a result of a muni boundary adjustment made under chapter 414 that is effective more than 21 days before the 2014 Primary election takes effect at that election - more than 21 days before the election. </t>
    </r>
    <r>
      <rPr>
        <i/>
        <sz val="12"/>
        <rFont val="Times New Roman"/>
        <family val="1"/>
      </rPr>
      <t>Minn. Stat. §204B.14, subd. 4a</t>
    </r>
  </si>
  <si>
    <r>
      <t>Cities without a Primary:</t>
    </r>
    <r>
      <rPr>
        <sz val="12"/>
        <rFont val="Times New Roman"/>
        <family val="1"/>
      </rPr>
      <t xml:space="preserve"> A change in the boundary of an elec precinct that has occurred as a result of a muni boundary adjustment made under chapter 414 that is effective more than 21 days before the 2014 Primary election takes effect at that election - more than 21 days before the election. </t>
    </r>
    <r>
      <rPr>
        <i/>
        <sz val="12"/>
        <rFont val="Times New Roman"/>
        <family val="1"/>
      </rPr>
      <t>Minn. Stat. §204B.14, subd. 4a</t>
    </r>
  </si>
  <si>
    <r>
      <t>Towns with March Elections:</t>
    </r>
    <r>
      <rPr>
        <sz val="12"/>
        <rFont val="Times New Roman"/>
        <family val="1"/>
      </rPr>
      <t xml:space="preserve"> A change in the boundary of an elec precinct that has occurred as a result of a muni boundary adjustment made under chapter 414 that is effective more than 21 days before the 2014 Primary election takes effect at that election - more than 21 days before the election. </t>
    </r>
    <r>
      <rPr>
        <i/>
        <sz val="12"/>
        <rFont val="Times New Roman"/>
        <family val="1"/>
      </rPr>
      <t>Minn. Stat. §204B.14, subd. 4a</t>
    </r>
  </si>
  <si>
    <r>
      <t>Towns with November Elections:</t>
    </r>
    <r>
      <rPr>
        <sz val="12"/>
        <rFont val="Times New Roman"/>
        <family val="1"/>
      </rPr>
      <t xml:space="preserve"> A change in the boundary of an elec precinct that has occurred as a result of a muni boundary adjustment made under chapter 414 that is effective more than 21 days before the 2014 Primary election takes effect at that election - more than 21 days before the election. </t>
    </r>
    <r>
      <rPr>
        <i/>
        <sz val="12"/>
        <rFont val="Times New Roman"/>
        <family val="1"/>
      </rPr>
      <t>Minn. Stat. §204B.14, subd. 4a</t>
    </r>
  </si>
  <si>
    <r>
      <t>Secretary of State:</t>
    </r>
    <r>
      <rPr>
        <sz val="12"/>
        <rFont val="Times New Roman"/>
        <family val="1"/>
      </rPr>
      <t xml:space="preserve"> Auditors' Training Conference 5/7-5/8 (confirmed).  </t>
    </r>
    <r>
      <rPr>
        <i/>
        <sz val="12"/>
        <rFont val="Times New Roman"/>
        <family val="1"/>
      </rPr>
      <t>Minn. Stat. §§204B.25, subd. 2; 204B.27, subd. 5; Minn. Rule 8240.2900</t>
    </r>
  </si>
  <si>
    <r>
      <t>Counties:</t>
    </r>
    <r>
      <rPr>
        <sz val="12"/>
        <rFont val="Times New Roman"/>
        <family val="1"/>
      </rPr>
      <t xml:space="preserve"> Auditors' Training Conference 5/7-5/8 (confirmed). </t>
    </r>
    <r>
      <rPr>
        <i/>
        <sz val="12"/>
        <rFont val="Times New Roman"/>
        <family val="1"/>
      </rPr>
      <t xml:space="preserve"> Minn. Stat. §§204B.25, subd. 2; 204B.27, subd. 5; Minn. Rule 8240.2900</t>
    </r>
  </si>
  <si>
    <r>
      <t>Secretary of State:</t>
    </r>
    <r>
      <rPr>
        <sz val="12"/>
        <rFont val="Times New Roman"/>
        <family val="1"/>
      </rPr>
      <t xml:space="preserve"> A change in the boundary of an elec precinct that has occurred as a result of a muni boundary adjustment made under chapter 414 that is effective more than 21 days before the 2014 General election takes effect at that election - more than 21 days before the election (Monday is a potential holiday). </t>
    </r>
    <r>
      <rPr>
        <i/>
        <sz val="12"/>
        <rFont val="Times New Roman"/>
        <family val="1"/>
      </rPr>
      <t>Minn. Stat. §204B.14, subd. 4a</t>
    </r>
  </si>
  <si>
    <r>
      <t>Counties:</t>
    </r>
    <r>
      <rPr>
        <sz val="12"/>
        <rFont val="Times New Roman"/>
        <family val="1"/>
      </rPr>
      <t xml:space="preserve"> A change in the boundary of an elec precinct that has occurred as a result of a muni boundary adjustment made under chapter 414 that is effective more than 21 days before the 2014 General election takes effect at that election - more than 21 days before the election (Monday is a potential holiday). </t>
    </r>
    <r>
      <rPr>
        <i/>
        <sz val="12"/>
        <rFont val="Times New Roman"/>
        <family val="1"/>
      </rPr>
      <t>Minn. Stat. §204B.14, subd. 4a</t>
    </r>
  </si>
  <si>
    <r>
      <t>Cities with a Primary:</t>
    </r>
    <r>
      <rPr>
        <sz val="12"/>
        <rFont val="Times New Roman"/>
        <family val="1"/>
      </rPr>
      <t xml:space="preserve"> A change in the boundary of an elec precinct that has occurred as a result of a muni boundary adjustment made under chapter 414 that is effective more than 21 days before the 2014 General election takes effect at that election - more than 21 days before the election (Monday is a potential holiday). </t>
    </r>
    <r>
      <rPr>
        <i/>
        <sz val="12"/>
        <rFont val="Times New Roman"/>
        <family val="1"/>
      </rPr>
      <t>Minn. Stat. §204B.14, subd. 4a</t>
    </r>
  </si>
  <si>
    <r>
      <t>Cities without a Primary:</t>
    </r>
    <r>
      <rPr>
        <sz val="12"/>
        <rFont val="Times New Roman"/>
        <family val="1"/>
      </rPr>
      <t xml:space="preserve"> A change in the boundary of an elec precinct that has occurred as a result of a muni boundary adjustment made under chapter 414 that is effective more than 21 days before the 2014 General election takes effect at that election - more than 21 days before the election (Monday is a potential holiday). </t>
    </r>
    <r>
      <rPr>
        <i/>
        <sz val="12"/>
        <rFont val="Times New Roman"/>
        <family val="1"/>
      </rPr>
      <t>Minn. Stat. §204B.14, subd. 4a</t>
    </r>
  </si>
  <si>
    <r>
      <t>Towns with March Elections:</t>
    </r>
    <r>
      <rPr>
        <sz val="12"/>
        <rFont val="Times New Roman"/>
        <family val="1"/>
      </rPr>
      <t xml:space="preserve"> A change in the boundary of an elec precinct that has occurred as a result of a muni boundary adjustment made under chapter 414 that is effective more than 21 days before the 2014 General election takes effect at that election - more than 21 days before the election (Monday is a potential holiday). </t>
    </r>
    <r>
      <rPr>
        <i/>
        <sz val="12"/>
        <rFont val="Times New Roman"/>
        <family val="1"/>
      </rPr>
      <t>Minn. Stat. §204B.14, subd. 4a</t>
    </r>
  </si>
  <si>
    <r>
      <t>Towns with November Elections:</t>
    </r>
    <r>
      <rPr>
        <sz val="12"/>
        <rFont val="Times New Roman"/>
        <family val="1"/>
      </rPr>
      <t xml:space="preserve"> A change in the boundary of an elec precinct that has occurred as a result of a muni boundary adjustment made under chapter 414 that is effective more than 21 days before the 2014 General election takes effect at that election - more than 21 days before the election (Monday is a potential holiday). </t>
    </r>
    <r>
      <rPr>
        <i/>
        <sz val="12"/>
        <rFont val="Times New Roman"/>
        <family val="1"/>
      </rPr>
      <t>Minn. Stat. §204B.14, subd. 4a</t>
    </r>
  </si>
  <si>
    <r>
      <t xml:space="preserve">Counties: </t>
    </r>
    <r>
      <rPr>
        <sz val="12"/>
        <rFont val="Times New Roman"/>
        <family val="1"/>
      </rPr>
      <t xml:space="preserve">Notify Campaign and Finance Public Disclosure Board of filing candidates </t>
    </r>
    <r>
      <rPr>
        <i/>
        <sz val="12"/>
        <rFont val="Times New Roman"/>
        <family val="1"/>
      </rPr>
      <t>required</t>
    </r>
    <r>
      <rPr>
        <sz val="12"/>
        <rFont val="Times New Roman"/>
        <family val="1"/>
      </rPr>
      <t xml:space="preserve"> to file Statements of Economic Interest - Upon receiving an affidavit of candidacy or petition to appear on the ballot. (i.e., any member of the legislature).  Please note that county commissioners and soil and water conservation district supervisors are considered "public officials" and will need to file a SEI with the CFPD Board within 60 days of taking office.  Questions related to this should be directed to the CFPD Board at 651-539-1180.  (see  M.S. 10A.01 &amp; 10A.09 for more details). </t>
    </r>
    <r>
      <rPr>
        <i/>
        <sz val="12"/>
        <rFont val="Times New Roman"/>
        <family val="1"/>
      </rPr>
      <t>Minn. Stat. §10A.09, subd. 2</t>
    </r>
  </si>
  <si>
    <r>
      <t xml:space="preserve">Hospital Districts: </t>
    </r>
    <r>
      <rPr>
        <sz val="12"/>
        <rFont val="Times New Roman"/>
        <family val="1"/>
      </rPr>
      <t xml:space="preserve">Candidate filing period for Cities without a Primary, Towns with November Elections, School Districts without a Primary, and Hospital Districts - opens 98 days before election and closes 84 days before election. Hospital District candidates file with their municipality of residence.  The municipal clerk's office MUST be open for filing from 1:00 p.m. to 5:00 p.m. on the last day of the filing period. </t>
    </r>
    <r>
      <rPr>
        <i/>
        <sz val="12"/>
        <rFont val="Times New Roman"/>
        <family val="1"/>
      </rPr>
      <t>Minn. Stat. §§205.13, subd. 1a; 205A.06, subd. 1a; 447.32, subd. 4</t>
    </r>
  </si>
  <si>
    <t>205.16, subd. 1; 205A.07, subd. 1; 447.32, subd. 3</t>
  </si>
  <si>
    <r>
      <t xml:space="preserve">Hospital Districts: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 447.32, subd. 3</t>
    </r>
  </si>
  <si>
    <r>
      <t xml:space="preserve">Hospital Districts: </t>
    </r>
    <r>
      <rPr>
        <sz val="12"/>
        <rFont val="Times New Roman"/>
        <family val="1"/>
      </rPr>
      <t xml:space="preserve">Last day for hospital districts,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 443.32, subd. 3</t>
    </r>
  </si>
  <si>
    <r>
      <t xml:space="preserve">Cities with a Primary: </t>
    </r>
    <r>
      <rPr>
        <sz val="12"/>
        <rFont val="Times New Roman"/>
        <family val="1"/>
      </rPr>
      <t xml:space="preserve">Last day for hospital districts,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 447.32, subd. 3</t>
    </r>
  </si>
  <si>
    <r>
      <t xml:space="preserve">Cities without a Primary: </t>
    </r>
    <r>
      <rPr>
        <sz val="12"/>
        <rFont val="Times New Roman"/>
        <family val="1"/>
      </rPr>
      <t xml:space="preserve">Last day for hospital districts,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 447.32, subd. 3</t>
    </r>
  </si>
  <si>
    <r>
      <t xml:space="preserve">Towns with November Elections: </t>
    </r>
    <r>
      <rPr>
        <sz val="12"/>
        <rFont val="Times New Roman"/>
        <family val="1"/>
      </rPr>
      <t xml:space="preserve">Last day for hospital districts,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 447.32, subd. 3</t>
    </r>
  </si>
  <si>
    <r>
      <t xml:space="preserve">School Districts with a Primary: </t>
    </r>
    <r>
      <rPr>
        <sz val="12"/>
        <rFont val="Times New Roman"/>
        <family val="1"/>
      </rPr>
      <t xml:space="preserve">Last day for hospital districts,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 447.32, subd. 3</t>
    </r>
  </si>
  <si>
    <r>
      <t xml:space="preserve">School Districts without a Primary: </t>
    </r>
    <r>
      <rPr>
        <sz val="12"/>
        <rFont val="Times New Roman"/>
        <family val="1"/>
      </rPr>
      <t xml:space="preserve">Last day for hospital districts,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 447.32, subd. 3</t>
    </r>
  </si>
  <si>
    <r>
      <t xml:space="preserve">Counties: </t>
    </r>
    <r>
      <rPr>
        <sz val="12"/>
        <rFont val="Times New Roman"/>
        <family val="1"/>
      </rPr>
      <t xml:space="preserve">Last day for hospital districts,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 447.32, subd. 3</t>
    </r>
  </si>
  <si>
    <r>
      <t xml:space="preserve">Political Parties: </t>
    </r>
    <r>
      <rPr>
        <sz val="12"/>
        <rFont val="Times New Roman"/>
        <family val="1"/>
      </rPr>
      <t xml:space="preserve">Last day for hospital districts,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 447.32, subd. 3</t>
    </r>
  </si>
  <si>
    <r>
      <t xml:space="preserve">Secretary of State: </t>
    </r>
    <r>
      <rPr>
        <sz val="12"/>
        <rFont val="Times New Roman"/>
        <family val="1"/>
      </rPr>
      <t xml:space="preserve">Last day for hospital districts,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</si>
  <si>
    <r>
      <t xml:space="preserve">Towns with November Elections: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 447.32, subd. 3</t>
    </r>
  </si>
  <si>
    <r>
      <t xml:space="preserve">Cities without a Primary: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 447.32, subd. 3</t>
    </r>
  </si>
  <si>
    <r>
      <t xml:space="preserve">Cities with a Primary: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 447.32, subd. 3</t>
    </r>
  </si>
  <si>
    <r>
      <t xml:space="preserve">Counties: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 447.32, subd. 3</t>
    </r>
  </si>
  <si>
    <r>
      <t xml:space="preserve">Political Parties: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 447.32, subd. 3</t>
    </r>
  </si>
  <si>
    <r>
      <t xml:space="preserve">Campaign Finance: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 447.32, subd. 3</t>
    </r>
  </si>
  <si>
    <r>
      <t xml:space="preserve">Secretary of State: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 447.32, subd. 3</t>
    </r>
  </si>
  <si>
    <t>2014 Minnesota Combined Elections Calendar  - Revised</t>
  </si>
  <si>
    <r>
      <t>Secretary of State:</t>
    </r>
    <r>
      <rPr>
        <sz val="12"/>
        <rFont val="Times New Roman"/>
        <family val="1"/>
      </rPr>
      <t xml:space="preserve"> Last day to give notice of mail ballot procedures - 10 weeks before the general.</t>
    </r>
    <r>
      <rPr>
        <i/>
        <sz val="12"/>
        <rFont val="Times New Roman"/>
        <family val="1"/>
      </rPr>
      <t xml:space="preserve"> Minn. Stat. §204B.45, subd. 2; Minn. Rules 8210.3000, subp. 3</t>
    </r>
  </si>
  <si>
    <r>
      <t>Counties:</t>
    </r>
    <r>
      <rPr>
        <sz val="12"/>
        <rFont val="Times New Roman"/>
        <family val="1"/>
      </rPr>
      <t xml:space="preserve"> Last day to give notice of mail ballot procedures - 10 weeks before the general.</t>
    </r>
    <r>
      <rPr>
        <i/>
        <sz val="12"/>
        <rFont val="Times New Roman"/>
        <family val="1"/>
      </rPr>
      <t xml:space="preserve"> Minn. Stat. §204B.45, subd. 2; Minn. Rules 8210.3000, subp. 3</t>
    </r>
  </si>
  <si>
    <r>
      <t>Cities with a Primary:</t>
    </r>
    <r>
      <rPr>
        <sz val="12"/>
        <rFont val="Times New Roman"/>
        <family val="1"/>
      </rPr>
      <t xml:space="preserve"> Last day to give notice of mail ballot procedures - 10 weeks before the general.</t>
    </r>
    <r>
      <rPr>
        <i/>
        <sz val="12"/>
        <rFont val="Times New Roman"/>
        <family val="1"/>
      </rPr>
      <t xml:space="preserve"> Minn. Stat. §204B.45, subd. 2; Minn. Rules 8210.3000, subp. 3</t>
    </r>
  </si>
  <si>
    <r>
      <t>Cities without a Primary:</t>
    </r>
    <r>
      <rPr>
        <sz val="12"/>
        <rFont val="Times New Roman"/>
        <family val="1"/>
      </rPr>
      <t xml:space="preserve"> Last day to give notice of mail ballot procedures - 10 weeks before the general.</t>
    </r>
    <r>
      <rPr>
        <i/>
        <sz val="12"/>
        <rFont val="Times New Roman"/>
        <family val="1"/>
      </rPr>
      <t xml:space="preserve"> Minn. Stat. §204B.45, subd. 2; Minn. Rules 8210.3000, subp. 3</t>
    </r>
  </si>
  <si>
    <r>
      <t>Towns with March Elections:</t>
    </r>
    <r>
      <rPr>
        <sz val="12"/>
        <rFont val="Times New Roman"/>
        <family val="1"/>
      </rPr>
      <t xml:space="preserve"> Last day to give notice of mail ballot procedures - 10 weeks before the general.</t>
    </r>
    <r>
      <rPr>
        <i/>
        <sz val="12"/>
        <rFont val="Times New Roman"/>
        <family val="1"/>
      </rPr>
      <t xml:space="preserve"> Minn. Stat. §204B.45, subd. 2; Minn. Rules 8210.3000, subp. 3</t>
    </r>
  </si>
  <si>
    <r>
      <t>Towns with November Elections:</t>
    </r>
    <r>
      <rPr>
        <sz val="12"/>
        <rFont val="Times New Roman"/>
        <family val="1"/>
      </rPr>
      <t xml:space="preserve"> Last day to give notice of mail ballot procedures - 10 weeks before the general.</t>
    </r>
    <r>
      <rPr>
        <i/>
        <sz val="12"/>
        <rFont val="Times New Roman"/>
        <family val="1"/>
      </rPr>
      <t xml:space="preserve"> Minn. Stat. §204B.45, subd. 2; Minn. Rules 8210.3000, subp. 3</t>
    </r>
  </si>
  <si>
    <r>
      <t xml:space="preserve">School Districts without a Primary:  </t>
    </r>
    <r>
      <rPr>
        <sz val="12"/>
        <rFont val="Times New Roman"/>
        <family val="1"/>
      </rPr>
      <t xml:space="preserve">Last day for Cities without a Primary, School Districts without a Primary, Hospital Districts, and Towns with a November Election to publish notice of filing - at least 2 weeks before filing opens.  </t>
    </r>
    <r>
      <rPr>
        <i/>
        <sz val="12"/>
        <rFont val="Times New Roman"/>
        <family val="1"/>
      </rPr>
      <t>Minn. Stat. §§205.13, subd. 2; 205A.06, subd.  2; 447.32, subd. 3</t>
    </r>
  </si>
  <si>
    <t>Updated 6-17-2014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</si>
</sst>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14" x14ac:knownFonts="1">
    <font>
      <sz val="10"/>
      <name val="Arial"/>
    </font>
    <font>
      <sz val="8"/>
      <name val="Arial"/>
      <family val="2"/>
    </font>
    <font>
      <sz val="12"/>
      <name val="Times New Roman"/>
      <family val="1"/>
    </font>
    <font>
      <sz val="10"/>
      <name val="Times New Roman"/>
      <family val="1"/>
    </font>
    <font>
      <b/>
      <sz val="12"/>
      <name val="Times New Roman"/>
      <family val="1"/>
    </font>
    <font>
      <i/>
      <sz val="12"/>
      <name val="Times New Roman"/>
      <family val="1"/>
    </font>
    <font>
      <b/>
      <i/>
      <sz val="12"/>
      <name val="Times New Roman"/>
      <family val="1"/>
    </font>
    <font>
      <b/>
      <sz val="16"/>
      <name val="Times New Roman"/>
      <family val="1"/>
    </font>
    <font>
      <sz val="16"/>
      <name val="Times New Roman"/>
      <family val="1"/>
    </font>
    <font>
      <sz val="10"/>
      <name val="Arial"/>
      <family val="2"/>
    </font>
    <font>
      <i/>
      <u/>
      <sz val="12"/>
      <name val="Times New Roman"/>
      <family val="1"/>
    </font>
    <font>
      <b/>
      <i/>
      <u/>
      <sz val="12"/>
      <name val="Times New Roman"/>
      <family val="1"/>
    </font>
    <font>
      <u/>
      <sz val="12"/>
      <name val="Times New Roman"/>
      <family val="1"/>
    </font>
    <font>
      <i/>
      <sz val="8"/>
      <name val="Arial"/>
      <family val="2"/>
    </font>
  </fonts>
  <fills count="4">
    <fill>
      <patternFill patternType="none"/>
    </fill>
    <fill>
      <patternFill patternType="gray125"/>
    </fill>
    <fill>
      <patternFill patternType="solid">
        <fgColor theme="5" tint="0.39997558519241921"/>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cellStyleXfs>
  <cellXfs count="54">
    <xf numFmtId="0" fontId="0" fillId="0" borderId="0" xfId="0"/>
    <xf numFmtId="0" fontId="0" fillId="0" borderId="0" xfId="0" applyAlignment="1">
      <alignment horizontal="center"/>
    </xf>
    <xf numFmtId="15" fontId="0" fillId="0" borderId="0" xfId="0" applyNumberFormat="1" applyAlignment="1">
      <alignment horizontal="center"/>
    </xf>
    <xf numFmtId="164" fontId="3" fillId="0" borderId="1" xfId="0" applyNumberFormat="1" applyFont="1" applyBorder="1" applyAlignment="1">
      <alignment horizontal="center" vertical="center"/>
    </xf>
    <xf numFmtId="0" fontId="4" fillId="0" borderId="1" xfId="0" applyFont="1" applyBorder="1" applyAlignment="1">
      <alignment vertical="top" wrapText="1"/>
    </xf>
    <xf numFmtId="49" fontId="3" fillId="0" borderId="1" xfId="0" applyNumberFormat="1" applyFont="1" applyFill="1" applyBorder="1" applyAlignment="1">
      <alignment horizontal="center" vertical="top" wrapText="1"/>
    </xf>
    <xf numFmtId="0" fontId="3" fillId="0" borderId="1" xfId="0" applyFont="1" applyFill="1" applyBorder="1" applyAlignment="1">
      <alignment horizontal="center" vertical="top" wrapText="1"/>
    </xf>
    <xf numFmtId="0" fontId="3" fillId="0" borderId="1" xfId="0" applyNumberFormat="1" applyFont="1" applyBorder="1" applyAlignment="1">
      <alignment horizontal="center" vertical="center" wrapText="1"/>
    </xf>
    <xf numFmtId="0" fontId="2" fillId="0" borderId="0" xfId="0" applyFont="1" applyBorder="1" applyAlignment="1">
      <alignment wrapText="1"/>
    </xf>
    <xf numFmtId="0" fontId="2" fillId="0" borderId="0" xfId="0" applyFont="1" applyBorder="1" applyAlignment="1">
      <alignment horizontal="left" wrapText="1"/>
    </xf>
    <xf numFmtId="49" fontId="2" fillId="0" borderId="0" xfId="0" applyNumberFormat="1" applyFont="1" applyBorder="1" applyAlignment="1">
      <alignment wrapText="1"/>
    </xf>
    <xf numFmtId="0" fontId="4" fillId="0" borderId="0" xfId="0" applyFont="1" applyBorder="1" applyAlignment="1">
      <alignment wrapText="1"/>
    </xf>
    <xf numFmtId="0" fontId="0" fillId="0" borderId="0" xfId="0" applyAlignment="1">
      <alignment wrapText="1"/>
    </xf>
    <xf numFmtId="0" fontId="8" fillId="0" borderId="0" xfId="0" applyFont="1" applyBorder="1" applyAlignment="1">
      <alignment horizontal="center" wrapText="1"/>
    </xf>
    <xf numFmtId="0" fontId="2" fillId="0" borderId="0" xfId="0" applyFont="1" applyBorder="1" applyAlignment="1">
      <alignment vertical="center" wrapText="1"/>
    </xf>
    <xf numFmtId="0" fontId="0" fillId="0" borderId="0" xfId="0" applyAlignment="1">
      <alignment vertical="center"/>
    </xf>
    <xf numFmtId="14" fontId="0" fillId="0" borderId="0" xfId="0" applyNumberFormat="1" applyAlignment="1">
      <alignment horizontal="center"/>
    </xf>
    <xf numFmtId="0" fontId="0" fillId="0" borderId="0" xfId="0" applyFill="1"/>
    <xf numFmtId="0" fontId="0" fillId="0" borderId="0" xfId="0" applyNumberFormat="1" applyAlignment="1">
      <alignment horizontal="center" vertical="center"/>
    </xf>
    <xf numFmtId="15" fontId="0" fillId="2" borderId="0" xfId="0" applyNumberFormat="1" applyFill="1" applyAlignment="1">
      <alignment horizontal="center"/>
    </xf>
    <xf numFmtId="15" fontId="0" fillId="0" borderId="0" xfId="0" applyNumberFormat="1" applyFill="1" applyAlignment="1">
      <alignment horizontal="center"/>
    </xf>
    <xf numFmtId="164" fontId="3" fillId="3" borderId="1" xfId="0" applyNumberFormat="1" applyFont="1" applyFill="1" applyBorder="1" applyAlignment="1">
      <alignment horizontal="center" vertical="center" wrapText="1"/>
    </xf>
    <xf numFmtId="0" fontId="4" fillId="3" borderId="1" xfId="0" applyFont="1" applyFill="1" applyBorder="1" applyAlignment="1">
      <alignment vertical="top" wrapText="1"/>
    </xf>
    <xf numFmtId="49"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164" fontId="3" fillId="3" borderId="1" xfId="0" applyNumberFormat="1" applyFont="1" applyFill="1" applyBorder="1" applyAlignment="1">
      <alignment horizontal="center" vertical="center"/>
    </xf>
    <xf numFmtId="0" fontId="4" fillId="3" borderId="1" xfId="0" applyNumberFormat="1" applyFont="1" applyFill="1" applyBorder="1" applyAlignment="1">
      <alignment vertical="top" wrapText="1"/>
    </xf>
    <xf numFmtId="164" fontId="3" fillId="3" borderId="1" xfId="1" applyNumberFormat="1" applyFont="1" applyFill="1" applyBorder="1" applyAlignment="1">
      <alignment horizontal="center" vertical="center" wrapText="1"/>
    </xf>
    <xf numFmtId="164" fontId="3" fillId="3" borderId="1" xfId="1" applyNumberFormat="1" applyFont="1" applyFill="1" applyBorder="1" applyAlignment="1">
      <alignment horizontal="center" vertical="center"/>
    </xf>
    <xf numFmtId="0" fontId="4" fillId="3" borderId="1" xfId="1" applyFont="1" applyFill="1" applyBorder="1" applyAlignment="1">
      <alignment vertical="top" wrapText="1"/>
    </xf>
    <xf numFmtId="49" fontId="3" fillId="3" borderId="1" xfId="1" applyNumberFormat="1" applyFont="1" applyFill="1" applyBorder="1" applyAlignment="1">
      <alignment horizontal="center" vertical="center" wrapText="1"/>
    </xf>
    <xf numFmtId="0" fontId="3" fillId="3" borderId="1" xfId="1" applyFont="1" applyFill="1" applyBorder="1" applyAlignment="1">
      <alignment horizontal="center" vertical="center" wrapText="1"/>
    </xf>
    <xf numFmtId="0" fontId="2" fillId="3" borderId="1" xfId="0" applyFont="1" applyFill="1" applyBorder="1" applyAlignment="1">
      <alignment vertical="top" wrapText="1"/>
    </xf>
    <xf numFmtId="164" fontId="3" fillId="3" borderId="1" xfId="0" applyNumberFormat="1" applyFont="1" applyFill="1" applyBorder="1" applyAlignment="1" applyProtection="1">
      <alignment horizontal="center" vertical="center" wrapText="1"/>
      <protection locked="0"/>
    </xf>
    <xf numFmtId="0" fontId="4" fillId="3" borderId="1" xfId="0" applyFont="1" applyFill="1" applyBorder="1" applyAlignment="1" applyProtection="1">
      <alignment vertical="top" wrapText="1"/>
      <protection locked="0"/>
    </xf>
    <xf numFmtId="49" fontId="3" fillId="3" borderId="1" xfId="0" applyNumberFormat="1" applyFont="1" applyFill="1" applyBorder="1" applyAlignment="1" applyProtection="1">
      <alignment horizontal="center" vertical="center" wrapText="1"/>
      <protection locked="0"/>
    </xf>
    <xf numFmtId="0" fontId="3" fillId="3" borderId="1" xfId="0" applyFont="1" applyFill="1" applyBorder="1" applyAlignment="1" applyProtection="1">
      <alignment horizontal="center" vertical="center" wrapText="1"/>
      <protection locked="0"/>
    </xf>
    <xf numFmtId="164" fontId="3" fillId="3" borderId="1" xfId="0" applyNumberFormat="1" applyFont="1" applyFill="1" applyBorder="1" applyAlignment="1">
      <alignment horizontal="center" vertical="center" wrapText="1" readingOrder="1"/>
    </xf>
    <xf numFmtId="0" fontId="4" fillId="3" borderId="1" xfId="0" applyFont="1" applyFill="1" applyBorder="1" applyAlignment="1">
      <alignment vertical="top" wrapText="1" readingOrder="1"/>
    </xf>
    <xf numFmtId="49" fontId="3" fillId="3" borderId="1" xfId="0" applyNumberFormat="1" applyFont="1" applyFill="1" applyBorder="1" applyAlignment="1">
      <alignment horizontal="center" vertical="center" wrapText="1" readingOrder="1"/>
    </xf>
    <xf numFmtId="0" fontId="3" fillId="3" borderId="1" xfId="0" applyFont="1" applyFill="1" applyBorder="1" applyAlignment="1">
      <alignment horizontal="center" vertical="center" wrapText="1" readingOrder="1"/>
    </xf>
    <xf numFmtId="0" fontId="0" fillId="0" borderId="0" xfId="0" applyAlignment="1">
      <alignment wrapText="1" readingOrder="1"/>
    </xf>
    <xf numFmtId="0" fontId="4" fillId="3" borderId="1" xfId="0" applyFont="1" applyFill="1" applyBorder="1" applyAlignment="1">
      <alignment horizontal="left" vertical="top" wrapText="1"/>
    </xf>
    <xf numFmtId="0" fontId="13" fillId="0" borderId="0" xfId="0" applyFont="1"/>
    <xf numFmtId="0" fontId="7" fillId="0" borderId="0" xfId="0" applyFont="1" applyBorder="1" applyAlignment="1">
      <alignment horizontal="center" wrapText="1"/>
    </xf>
    <xf numFmtId="0" fontId="0" fillId="0" borderId="0" xfId="0" applyAlignment="1">
      <alignment horizontal="center" wrapText="1"/>
    </xf>
    <xf numFmtId="0" fontId="4" fillId="0" borderId="0" xfId="0" applyFont="1" applyBorder="1" applyAlignment="1">
      <alignment wrapText="1"/>
    </xf>
    <xf numFmtId="0" fontId="0" fillId="0" borderId="0" xfId="0" applyAlignment="1">
      <alignment wrapText="1"/>
    </xf>
    <xf numFmtId="0" fontId="2" fillId="0" borderId="0" xfId="0" applyFont="1" applyBorder="1" applyAlignment="1">
      <alignment wrapText="1"/>
    </xf>
    <xf numFmtId="0" fontId="2" fillId="0" borderId="0" xfId="0" applyFont="1" applyBorder="1" applyAlignment="1">
      <alignment horizontal="left" wrapText="1"/>
    </xf>
    <xf numFmtId="0" fontId="0" fillId="0" borderId="0" xfId="0" applyAlignment="1">
      <alignment horizontal="left" wrapText="1"/>
    </xf>
    <xf numFmtId="49" fontId="2" fillId="0" borderId="0" xfId="0" applyNumberFormat="1" applyFont="1" applyBorder="1" applyAlignment="1">
      <alignment wrapText="1"/>
    </xf>
    <xf numFmtId="0" fontId="4" fillId="0" borderId="0" xfId="0" applyFont="1" applyBorder="1" applyAlignment="1">
      <alignment vertical="center" wrapText="1"/>
    </xf>
    <xf numFmtId="0" fontId="0" fillId="0" borderId="0" xfId="0" applyAlignment="1">
      <alignmen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revisionHeaders" Target="revisions/revisionHeader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usernames" Target="revisions/userNames.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revisions/_rels/revisionHeaders.xml.rels><?xml version="1.0" encoding="UTF-8" standalone="yes"?>
<Relationships xmlns="http://schemas.openxmlformats.org/package/2006/relationships"><Relationship Id="rId582" Type="http://schemas.openxmlformats.org/officeDocument/2006/relationships/revisionLog" Target="revisionLog5.xml"/><Relationship Id="rId590" Type="http://schemas.openxmlformats.org/officeDocument/2006/relationships/revisionLog" Target="revisionLog13.xml"/><Relationship Id="rId595" Type="http://schemas.openxmlformats.org/officeDocument/2006/relationships/revisionLog" Target="revisionLog18.xml"/><Relationship Id="rId578" Type="http://schemas.openxmlformats.org/officeDocument/2006/relationships/revisionLog" Target="revisionLog1.xml"/><Relationship Id="rId581" Type="http://schemas.openxmlformats.org/officeDocument/2006/relationships/revisionLog" Target="revisionLog4.xml"/><Relationship Id="rId586" Type="http://schemas.openxmlformats.org/officeDocument/2006/relationships/revisionLog" Target="revisionLog9.xml"/><Relationship Id="rId594" Type="http://schemas.openxmlformats.org/officeDocument/2006/relationships/revisionLog" Target="revisionLog17.xml"/><Relationship Id="rId580" Type="http://schemas.openxmlformats.org/officeDocument/2006/relationships/revisionLog" Target="revisionLog3.xml"/><Relationship Id="rId585" Type="http://schemas.openxmlformats.org/officeDocument/2006/relationships/revisionLog" Target="revisionLog8.xml"/><Relationship Id="rId593" Type="http://schemas.openxmlformats.org/officeDocument/2006/relationships/revisionLog" Target="revisionLog16.xml"/><Relationship Id="rId584" Type="http://schemas.openxmlformats.org/officeDocument/2006/relationships/revisionLog" Target="revisionLog7.xml"/><Relationship Id="rId589" Type="http://schemas.openxmlformats.org/officeDocument/2006/relationships/revisionLog" Target="revisionLog12.xml"/><Relationship Id="rId592" Type="http://schemas.openxmlformats.org/officeDocument/2006/relationships/revisionLog" Target="revisionLog15.xml"/><Relationship Id="rId583" Type="http://schemas.openxmlformats.org/officeDocument/2006/relationships/revisionLog" Target="revisionLog6.xml"/><Relationship Id="rId588" Type="http://schemas.openxmlformats.org/officeDocument/2006/relationships/revisionLog" Target="revisionLog11.xml"/><Relationship Id="rId591" Type="http://schemas.openxmlformats.org/officeDocument/2006/relationships/revisionLog" Target="revisionLog14.xml"/><Relationship Id="rId579" Type="http://schemas.openxmlformats.org/officeDocument/2006/relationships/revisionLog" Target="revisionLog2.xml"/><Relationship Id="rId587" Type="http://schemas.openxmlformats.org/officeDocument/2006/relationships/revisionLog" Target="revisionLog10.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4723BA06-C738-42DD-8F11-6B264FF7D10C}" diskRevisions="1" revisionId="19089">
  <header guid="{8C1F49C3-2B73-4B2D-BD0C-F6D69775DCD2}" dateTime="2014-05-21T11:48:57" maxSheetId="19" userName="Stella.Hegg" r:id="rId578">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D854C226-660D-4BBE-BF76-1AE9AA832B85}" dateTime="2014-05-22T08:32:25" maxSheetId="19" userName="Stella.Hegg" r:id="rId579" minRId="18840">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455176EA-98E9-4105-847F-6772B177DEA6}" dateTime="2014-05-22T08:41:43" maxSheetId="19" userName="Stella.Hegg" r:id="rId580" minRId="1885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8FC031B4-1962-4BFB-8A2D-439A967CBA9D}" dateTime="2014-05-22T08:45:59" maxSheetId="19" userName="Stella.Hegg" r:id="rId581" minRId="18874" maxRId="1887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DD44646-EE14-4891-91B5-2E7BDB6765AC}" dateTime="2014-05-27T16:18:32" maxSheetId="19" userName="Stella.Hegg" r:id="rId58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C05E26B0-593C-44FC-B1F2-FB9F8D8357F3}" dateTime="2014-05-28T15:39:34" maxSheetId="19" userName="Stella.Hegg" r:id="rId583" minRId="18909" maxRId="18928">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A52A8AF-98C7-448D-942B-A5E8547E1FB2}" dateTime="2014-05-28T15:46:51" maxSheetId="19" userName="Stella.Hegg" r:id="rId584" minRId="18929" maxRId="1895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441FC42D-238E-45BD-BD84-655591646721}" dateTime="2014-05-28T15:47:33" maxSheetId="19" userName="Stella.Hegg" r:id="rId585" minRId="18970">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F350011B-A173-4A9C-9848-C4FFB5CC7694}" dateTime="2014-05-28T15:47:48" maxSheetId="19" userName="Stella.Hegg" r:id="rId586" minRId="1897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76712AB1-12C8-4B2B-9906-66A207E0149C}" dateTime="2014-05-28T15:55:56" maxSheetId="19" userName="Stella.Hegg" r:id="rId587" minRId="18972" maxRId="18974">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CF4F430-2F30-4360-9B2B-15164AA2C3D0}" dateTime="2014-05-28T15:56:19" maxSheetId="19" userName="Stella.Hegg" r:id="rId588" minRId="1899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39AC8F8C-6C3F-43EE-8815-A1F7EC05E0B7}" dateTime="2014-05-28T15:59:59" maxSheetId="19" userName="Stella.Hegg" r:id="rId589" minRId="18992" maxRId="1899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2D4F4237-8C4B-479F-8C29-F93B10565664}" dateTime="2014-05-30T14:31:13" maxSheetId="19" userName="Stella.Hegg" r:id="rId590">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101B34C0-8852-4CBA-A37B-7F6E10C7B373}" dateTime="2014-05-30T15:02:07" maxSheetId="19" userName="Stella.Hegg" r:id="rId591" minRId="19014" maxRId="1901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B9D10BD-20C2-4500-9601-64A11487388D}" dateTime="2014-05-30T15:12:46" maxSheetId="19" userName="Stella.Hegg" r:id="rId592" minRId="19018" maxRId="19024">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1CB73584-A957-432D-AFB1-F501965D5AE2}" dateTime="2014-06-17T10:43:54" maxSheetId="19" userName="Stella.Hegg" r:id="rId59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8CF50414-AD63-482E-BA2E-674176BB0227}" dateTime="2014-06-17T11:22:05" maxSheetId="19" userName="Stella.Hegg" r:id="rId594" minRId="1905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4723BA06-C738-42DD-8F11-6B264FF7D10C}" dateTime="2014-06-18T14:10:13" maxSheetId="19" userName="Stella.Hegg" r:id="rId59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Calendar'!$A$1:$F$1782</formula>
    <oldFormula>'Combined Elections Calendar'!$A$1:$F$1782</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Calendar'!$E$25:$F$1791</formula>
    <oldFormula>'Combined Elections Calendar'!$E$25:$F$1791</oldFormula>
  </rdn>
  <rdn rId="0" localSheetId="3" customView="1" name="Z_AF05579C_59D0_4F4D_8ED6_E846AF6F886E_.wvu.PrintTitles" hidden="1" oldHidden="1">
    <formula>'Secretary of State'!$25:$25</formula>
    <oldFormula>'Secretary of State'!$25:$25</oldFormula>
  </rdn>
  <rdn rId="0" localSheetId="4" customView="1" name="Z_AF05579C_59D0_4F4D_8ED6_E846AF6F886E_.wvu.PrintTitles" hidden="1" oldHidden="1">
    <formula>Counties!$25:$25</formula>
    <oldFormula>Counties!$25:$25</oldFormula>
  </rdn>
  <rdn rId="0" localSheetId="5" customView="1" name="Z_AF05579C_59D0_4F4D_8ED6_E846AF6F886E_.wvu.PrintTitles" hidden="1" oldHidden="1">
    <formula>'Cities with a Primary'!$25:$25</formula>
    <oldFormula>'Cities with a Primary'!$25:$25</oldFormula>
  </rdn>
  <rdn rId="0" localSheetId="6" customView="1" name="Z_AF05579C_59D0_4F4D_8ED6_E846AF6F886E_.wvu.PrintTitles" hidden="1" oldHidden="1">
    <formula>'Cities without a Primary'!$25:$25</formula>
    <oldFormula>'Cities without a Primary'!$25:$25</oldFormula>
  </rdn>
  <rdn rId="0" localSheetId="7" customView="1" name="Z_AF05579C_59D0_4F4D_8ED6_E846AF6F886E_.wvu.PrintTitles" hidden="1" oldHidden="1">
    <formula>'Towns with March Elections'!$25:$25</formula>
    <oldFormula>'Towns with March Elections'!$25:$25</oldFormula>
  </rdn>
  <rdn rId="0" localSheetId="8" customView="1" name="Z_AF05579C_59D0_4F4D_8ED6_E846AF6F886E_.wvu.PrintTitles" hidden="1" oldHidden="1">
    <formula>'Towns with November Elections'!$25:$25</formula>
    <oldFormula>'Towns with November Elections'!$25:$25</oldFormula>
  </rdn>
  <rdn rId="0" localSheetId="9" customView="1" name="Z_AF05579C_59D0_4F4D_8ED6_E846AF6F886E_.wvu.PrintTitles" hidden="1" oldHidden="1">
    <formula>'School Dist. with a Primary'!$25:$25</formula>
    <oldFormula>'School Dist. with a Primary'!$25:$25</oldFormula>
  </rdn>
  <rdn rId="0" localSheetId="11" customView="1" name="Z_AF05579C_59D0_4F4D_8ED6_E846AF6F886E_.wvu.PrintTitles" hidden="1" oldHidden="1">
    <formula>'Hospital Districts'!$25:$25</formula>
    <oldFormula>'Hospital Districts'!$25:$25</oldFormula>
  </rdn>
  <rdn rId="0" localSheetId="12" customView="1" name="Z_AF05579C_59D0_4F4D_8ED6_E846AF6F886E_.wvu.PrintTitles" hidden="1" oldHidden="1">
    <formula>'Soil and Water Cons. Dist.'!$25:$25</formula>
    <oldFormula>'Soil and Water Cons. Dist.'!$25:$25</oldFormula>
  </rdn>
  <rdn rId="0" localSheetId="13" customView="1" name="Z_AF05579C_59D0_4F4D_8ED6_E846AF6F886E_.wvu.PrintTitles" hidden="1" oldHidden="1">
    <formula>'Campaign Finance'!$25:$25</formula>
    <oldFormula>'Campaign Finance'!$25:$25</oldFormula>
  </rdn>
  <rdn rId="0" localSheetId="14" customView="1" name="Z_AF05579C_59D0_4F4D_8ED6_E846AF6F886E_.wvu.PrintTitles" hidden="1" oldHidden="1">
    <formula>'Political Parties'!$25:$25</formula>
    <oldFormula>'Political Parties'!$25:$25</oldFormula>
  </rdn>
  <rdn rId="0" localSheetId="15" customView="1" name="Z_AF05579C_59D0_4F4D_8ED6_E846AF6F886E_.wvu.PrintTitles" hidden="1" oldHidden="1">
    <formula>'Township Combined Calendar'!$25:$25</formula>
    <oldFormula>'Township Combined Calendar'!$25:$25</oldFormula>
  </rdn>
  <rcv guid="{AF05579C-59D0-4F4D-8ED6-E846AF6F886E}" action="add"/>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40" sId="2">
    <oc r="A2" t="inlineStr">
      <is>
        <t>Updated 2-6-2014</t>
      </is>
    </oc>
    <nc r="A2" t="inlineStr">
      <is>
        <t>Updated 5-21-2014</t>
      </is>
    </nc>
  </rc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Calendar'!$A$1:$F$1782</formula>
    <oldFormula>'Combined Elections Calendar'!$A$1:$F$1782</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Calendar'!$E$25:$F$1791</formula>
    <oldFormula>'Combined Elections Calendar'!$E$25:$F$1791</oldFormula>
  </rdn>
  <rdn rId="0" localSheetId="3" customView="1" name="Z_AF05579C_59D0_4F4D_8ED6_E846AF6F886E_.wvu.PrintTitles" hidden="1" oldHidden="1">
    <formula>'Secretary of State'!$25:$25</formula>
    <oldFormula>'Secretary of State'!$25:$25</oldFormula>
  </rdn>
  <rdn rId="0" localSheetId="4" customView="1" name="Z_AF05579C_59D0_4F4D_8ED6_E846AF6F886E_.wvu.PrintTitles" hidden="1" oldHidden="1">
    <formula>Counties!$25:$25</formula>
    <oldFormula>Counties!$25:$25</oldFormula>
  </rdn>
  <rdn rId="0" localSheetId="5" customView="1" name="Z_AF05579C_59D0_4F4D_8ED6_E846AF6F886E_.wvu.PrintTitles" hidden="1" oldHidden="1">
    <formula>'Cities with a Primary'!$25:$25</formula>
    <oldFormula>'Cities with a Primary'!$25:$25</oldFormula>
  </rdn>
  <rdn rId="0" localSheetId="6" customView="1" name="Z_AF05579C_59D0_4F4D_8ED6_E846AF6F886E_.wvu.PrintTitles" hidden="1" oldHidden="1">
    <formula>'Cities without a Primary'!$25:$25</formula>
    <oldFormula>'Cities without a Primary'!$25:$25</oldFormula>
  </rdn>
  <rdn rId="0" localSheetId="7" customView="1" name="Z_AF05579C_59D0_4F4D_8ED6_E846AF6F886E_.wvu.PrintTitles" hidden="1" oldHidden="1">
    <formula>'Towns with March Elections'!$25:$25</formula>
    <oldFormula>'Towns with March Elections'!$25:$25</oldFormula>
  </rdn>
  <rdn rId="0" localSheetId="8" customView="1" name="Z_AF05579C_59D0_4F4D_8ED6_E846AF6F886E_.wvu.PrintTitles" hidden="1" oldHidden="1">
    <formula>'Towns with November Elections'!$25:$25</formula>
    <oldFormula>'Towns with November Elections'!$25:$25</oldFormula>
  </rdn>
  <rdn rId="0" localSheetId="9" customView="1" name="Z_AF05579C_59D0_4F4D_8ED6_E846AF6F886E_.wvu.PrintTitles" hidden="1" oldHidden="1">
    <formula>'School Dist. with a Primary'!$25:$25</formula>
    <oldFormula>'School Dist. with a Primary'!$25:$25</oldFormula>
  </rdn>
  <rdn rId="0" localSheetId="11" customView="1" name="Z_AF05579C_59D0_4F4D_8ED6_E846AF6F886E_.wvu.PrintTitles" hidden="1" oldHidden="1">
    <formula>'Hospital Districts'!$25:$25</formula>
    <oldFormula>'Hospital Districts'!$25:$25</oldFormula>
  </rdn>
  <rdn rId="0" localSheetId="12" customView="1" name="Z_AF05579C_59D0_4F4D_8ED6_E846AF6F886E_.wvu.PrintTitles" hidden="1" oldHidden="1">
    <formula>'Soil and Water Cons. Dist.'!$25:$25</formula>
    <oldFormula>'Soil and Water Cons. Dist.'!$25:$25</oldFormula>
  </rdn>
  <rdn rId="0" localSheetId="13" customView="1" name="Z_AF05579C_59D0_4F4D_8ED6_E846AF6F886E_.wvu.PrintTitles" hidden="1" oldHidden="1">
    <formula>'Campaign Finance'!$25:$25</formula>
    <oldFormula>'Campaign Finance'!$25:$25</oldFormula>
  </rdn>
  <rdn rId="0" localSheetId="14" customView="1" name="Z_AF05579C_59D0_4F4D_8ED6_E846AF6F886E_.wvu.PrintTitles" hidden="1" oldHidden="1">
    <formula>'Political Parties'!$25:$25</formula>
    <oldFormula>'Political Parties'!$25:$25</oldFormula>
  </rdn>
  <rdn rId="0" localSheetId="15" customView="1" name="Z_AF05579C_59D0_4F4D_8ED6_E846AF6F886E_.wvu.PrintTitles" hidden="1" oldHidden="1">
    <formula>'Township Combined Calendar'!$25:$25</formula>
    <oldFormula>'Township Combined Calendar'!$25:$25</oldFormula>
  </rdn>
  <rcv guid="{AF05579C-59D0-4F4D-8ED6-E846AF6F886E}" action="add"/>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57" sId="2">
    <oc r="C416" t="inlineStr">
      <is>
        <r>
          <t xml:space="preserve">Counties: </t>
        </r>
        <r>
          <rPr>
            <sz val="12"/>
            <rFont val="Times New Roman"/>
            <family val="1"/>
          </rPr>
          <t xml:space="preserve">Notify Campaign and Finance Public Disclosure Board of filing candidates </t>
        </r>
        <r>
          <rPr>
            <i/>
            <sz val="12"/>
            <rFont val="Times New Roman"/>
            <family val="1"/>
          </rPr>
          <t>required</t>
        </r>
        <r>
          <rPr>
            <sz val="12"/>
            <rFont val="Times New Roman"/>
            <family val="1"/>
          </rPr>
          <t xml:space="preserve"> to file Statements of Economic Interest - Upon receiving an affidavit of candidacy or petition to appear on the ballot. (i.e., any member of the legislature, all county commissioners-new 1/1/2014, and other county offices within metropolitan governmental unit)  (see  M.S. 10A.01 &amp; 10A.09 for more details). </t>
        </r>
        <r>
          <rPr>
            <i/>
            <sz val="12"/>
            <rFont val="Times New Roman"/>
            <family val="1"/>
          </rPr>
          <t>Minn. Stat. §10A.09, subd. 2</t>
        </r>
      </is>
    </oc>
    <nc r="C416" t="inlineStr">
      <is>
        <r>
          <t xml:space="preserve">Counties: </t>
        </r>
        <r>
          <rPr>
            <sz val="12"/>
            <rFont val="Times New Roman"/>
            <family val="1"/>
          </rPr>
          <t xml:space="preserve">Notify Campaign and Finance Public Disclosure Board of filing candidates </t>
        </r>
        <r>
          <rPr>
            <i/>
            <sz val="12"/>
            <rFont val="Times New Roman"/>
            <family val="1"/>
          </rPr>
          <t>required</t>
        </r>
        <r>
          <rPr>
            <sz val="12"/>
            <rFont val="Times New Roman"/>
            <family val="1"/>
          </rPr>
          <t xml:space="preserve"> to file Statements of Economic Interest - Upon receiving an affidavit of candidacy or petition to appear on the ballot. (i.e., any member of the legislature)  (see  M.S. 10A.01 &amp; 10A.09 for more details). </t>
        </r>
        <r>
          <rPr>
            <i/>
            <sz val="12"/>
            <rFont val="Times New Roman"/>
            <family val="1"/>
          </rPr>
          <t>Minn. Stat. §10A.09, subd. 2</t>
        </r>
      </is>
    </nc>
  </rc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Calendar'!$A$1:$F$1782</formula>
    <oldFormula>'Combined Elections Calendar'!$A$1:$F$1782</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Calendar'!$E$25:$F$1791</formula>
    <oldFormula>'Combined Elections Calendar'!$E$25:$F$1791</oldFormula>
  </rdn>
  <rdn rId="0" localSheetId="3" customView="1" name="Z_AF05579C_59D0_4F4D_8ED6_E846AF6F886E_.wvu.PrintTitles" hidden="1" oldHidden="1">
    <formula>'Secretary of State'!$25:$25</formula>
    <oldFormula>'Secretary of State'!$25:$25</oldFormula>
  </rdn>
  <rdn rId="0" localSheetId="4" customView="1" name="Z_AF05579C_59D0_4F4D_8ED6_E846AF6F886E_.wvu.PrintTitles" hidden="1" oldHidden="1">
    <formula>Counties!$25:$25</formula>
    <oldFormula>Counties!$25:$25</oldFormula>
  </rdn>
  <rdn rId="0" localSheetId="5" customView="1" name="Z_AF05579C_59D0_4F4D_8ED6_E846AF6F886E_.wvu.PrintTitles" hidden="1" oldHidden="1">
    <formula>'Cities with a Primary'!$25:$25</formula>
    <oldFormula>'Cities with a Primary'!$25:$25</oldFormula>
  </rdn>
  <rdn rId="0" localSheetId="6" customView="1" name="Z_AF05579C_59D0_4F4D_8ED6_E846AF6F886E_.wvu.PrintTitles" hidden="1" oldHidden="1">
    <formula>'Cities without a Primary'!$25:$25</formula>
    <oldFormula>'Cities without a Primary'!$25:$25</oldFormula>
  </rdn>
  <rdn rId="0" localSheetId="7" customView="1" name="Z_AF05579C_59D0_4F4D_8ED6_E846AF6F886E_.wvu.PrintTitles" hidden="1" oldHidden="1">
    <formula>'Towns with March Elections'!$25:$25</formula>
    <oldFormula>'Towns with March Elections'!$25:$25</oldFormula>
  </rdn>
  <rdn rId="0" localSheetId="8" customView="1" name="Z_AF05579C_59D0_4F4D_8ED6_E846AF6F886E_.wvu.PrintTitles" hidden="1" oldHidden="1">
    <formula>'Towns with November Elections'!$25:$25</formula>
    <oldFormula>'Towns with November Elections'!$25:$25</oldFormula>
  </rdn>
  <rdn rId="0" localSheetId="9" customView="1" name="Z_AF05579C_59D0_4F4D_8ED6_E846AF6F886E_.wvu.PrintTitles" hidden="1" oldHidden="1">
    <formula>'School Dist. with a Primary'!$25:$25</formula>
    <oldFormula>'School Dist. with a Primary'!$25:$25</oldFormula>
  </rdn>
  <rdn rId="0" localSheetId="11" customView="1" name="Z_AF05579C_59D0_4F4D_8ED6_E846AF6F886E_.wvu.PrintTitles" hidden="1" oldHidden="1">
    <formula>'Hospital Districts'!$25:$25</formula>
    <oldFormula>'Hospital Districts'!$25:$25</oldFormula>
  </rdn>
  <rdn rId="0" localSheetId="12" customView="1" name="Z_AF05579C_59D0_4F4D_8ED6_E846AF6F886E_.wvu.PrintTitles" hidden="1" oldHidden="1">
    <formula>'Soil and Water Cons. Dist.'!$25:$25</formula>
    <oldFormula>'Soil and Water Cons. Dist.'!$25:$25</oldFormula>
  </rdn>
  <rdn rId="0" localSheetId="13" customView="1" name="Z_AF05579C_59D0_4F4D_8ED6_E846AF6F886E_.wvu.PrintTitles" hidden="1" oldHidden="1">
    <formula>'Campaign Finance'!$25:$25</formula>
    <oldFormula>'Campaign Finance'!$25:$25</oldFormula>
  </rdn>
  <rdn rId="0" localSheetId="14" customView="1" name="Z_AF05579C_59D0_4F4D_8ED6_E846AF6F886E_.wvu.PrintTitles" hidden="1" oldHidden="1">
    <formula>'Political Parties'!$25:$25</formula>
    <oldFormula>'Political Parties'!$25:$25</oldFormula>
  </rdn>
  <rdn rId="0" localSheetId="15" customView="1" name="Z_AF05579C_59D0_4F4D_8ED6_E846AF6F886E_.wvu.PrintTitles" hidden="1" oldHidden="1">
    <formula>'Township Combined Calendar'!$25:$25</formula>
    <oldFormula>'Township Combined Calendar'!$25:$25</oldFormula>
  </rdn>
  <rcv guid="{AF05579C-59D0-4F4D-8ED6-E846AF6F886E}" action="add"/>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8874" sId="2" ref="A449:XFD449" action="insertRow"/>
  <rrc rId="18875" sId="2" ref="A449:XFD449" action="deleteRow">
    <rfmt sheetId="2" xfDxf="1" sqref="A449:XFD449" start="0" length="0"/>
    <rfmt sheetId="2" sqref="A449"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B449"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C449" start="0" length="0">
      <dxf>
        <font>
          <b/>
          <sz val="12"/>
          <color auto="1"/>
          <name val="Times New Roman"/>
          <scheme val="none"/>
        </font>
        <fill>
          <patternFill patternType="solid">
            <bgColor theme="9" tint="0.59999389629810485"/>
          </patternFill>
        </fill>
        <alignment vertical="top" wrapText="1" readingOrder="0"/>
        <border outline="0">
          <left style="thin">
            <color indexed="64"/>
          </left>
          <right style="thin">
            <color indexed="64"/>
          </right>
          <top style="thin">
            <color indexed="64"/>
          </top>
          <bottom style="thin">
            <color indexed="64"/>
          </bottom>
        </border>
      </dxf>
    </rfmt>
    <rfmt sheetId="2" sqref="D449" start="0" length="0">
      <dxf>
        <font>
          <sz val="10"/>
          <color auto="1"/>
          <name val="Times New Roman"/>
          <scheme val="none"/>
        </font>
        <numFmt numFmtId="30" formatCode="@"/>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E449"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F449"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rc>
  <rcc rId="18876" sId="2">
    <oc r="C416" t="inlineStr">
      <is>
        <r>
          <t xml:space="preserve">Counties: </t>
        </r>
        <r>
          <rPr>
            <sz val="12"/>
            <rFont val="Times New Roman"/>
            <family val="1"/>
          </rPr>
          <t xml:space="preserve">Notify Campaign and Finance Public Disclosure Board of filing candidates </t>
        </r>
        <r>
          <rPr>
            <i/>
            <sz val="12"/>
            <rFont val="Times New Roman"/>
            <family val="1"/>
          </rPr>
          <t>required</t>
        </r>
        <r>
          <rPr>
            <sz val="12"/>
            <rFont val="Times New Roman"/>
            <family val="1"/>
          </rPr>
          <t xml:space="preserve"> to file Statements of Economic Interest - Upon receiving an affidavit of candidacy or petition to appear on the ballot. (i.e., any member of the legislature)  (see  M.S. 10A.01 &amp; 10A.09 for more details). </t>
        </r>
        <r>
          <rPr>
            <i/>
            <sz val="12"/>
            <rFont val="Times New Roman"/>
            <family val="1"/>
          </rPr>
          <t>Minn. Stat. §10A.09, subd. 2</t>
        </r>
      </is>
    </oc>
    <nc r="C416" t="inlineStr">
      <is>
        <r>
          <t xml:space="preserve">Counties: </t>
        </r>
        <r>
          <rPr>
            <sz val="12"/>
            <rFont val="Times New Roman"/>
            <family val="1"/>
          </rPr>
          <t xml:space="preserve">Notify Campaign and Finance Public Disclosure Board of filing candidates </t>
        </r>
        <r>
          <rPr>
            <i/>
            <sz val="12"/>
            <rFont val="Times New Roman"/>
            <family val="1"/>
          </rPr>
          <t>required</t>
        </r>
        <r>
          <rPr>
            <sz val="12"/>
            <rFont val="Times New Roman"/>
            <family val="1"/>
          </rPr>
          <t xml:space="preserve"> to file Statements of Economic Interest - Upon receiving an affidavit of candidacy or petition to appear on the ballot. (i.e., any member of the legislature).  Please note that county commissioners and soil and water conservation district supervisors are considered "public officials" and will need to file a SEI with the CFPD Board within 60 days of taking office.  Questions related to this should be directed to the CFPD Board at 651-539-1180.  (see  M.S. 10A.01 &amp; 10A.09 for more details). </t>
        </r>
        <r>
          <rPr>
            <i/>
            <sz val="12"/>
            <rFont val="Times New Roman"/>
            <family val="1"/>
          </rPr>
          <t>Minn. Stat. §10A.09, subd. 2</t>
        </r>
      </is>
    </nc>
  </rc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Calendar'!$A$1:$F$1782</formula>
    <oldFormula>'Combined Elections Calendar'!$A$1:$F$1782</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Calendar'!$E$25:$F$1791</formula>
    <oldFormula>'Combined Elections Calendar'!$E$25:$F$1791</oldFormula>
  </rdn>
  <rdn rId="0" localSheetId="3" customView="1" name="Z_AF05579C_59D0_4F4D_8ED6_E846AF6F886E_.wvu.PrintTitles" hidden="1" oldHidden="1">
    <formula>'Secretary of State'!$25:$25</formula>
    <oldFormula>'Secretary of State'!$25:$25</oldFormula>
  </rdn>
  <rdn rId="0" localSheetId="4" customView="1" name="Z_AF05579C_59D0_4F4D_8ED6_E846AF6F886E_.wvu.PrintTitles" hidden="1" oldHidden="1">
    <formula>Counties!$25:$25</formula>
    <oldFormula>Counties!$25:$25</oldFormula>
  </rdn>
  <rdn rId="0" localSheetId="5" customView="1" name="Z_AF05579C_59D0_4F4D_8ED6_E846AF6F886E_.wvu.PrintTitles" hidden="1" oldHidden="1">
    <formula>'Cities with a Primary'!$25:$25</formula>
    <oldFormula>'Cities with a Primary'!$25:$25</oldFormula>
  </rdn>
  <rdn rId="0" localSheetId="6" customView="1" name="Z_AF05579C_59D0_4F4D_8ED6_E846AF6F886E_.wvu.PrintTitles" hidden="1" oldHidden="1">
    <formula>'Cities without a Primary'!$25:$25</formula>
    <oldFormula>'Cities without a Primary'!$25:$25</oldFormula>
  </rdn>
  <rdn rId="0" localSheetId="7" customView="1" name="Z_AF05579C_59D0_4F4D_8ED6_E846AF6F886E_.wvu.PrintTitles" hidden="1" oldHidden="1">
    <formula>'Towns with March Elections'!$25:$25</formula>
    <oldFormula>'Towns with March Elections'!$25:$25</oldFormula>
  </rdn>
  <rdn rId="0" localSheetId="8" customView="1" name="Z_AF05579C_59D0_4F4D_8ED6_E846AF6F886E_.wvu.PrintTitles" hidden="1" oldHidden="1">
    <formula>'Towns with November Elections'!$25:$25</formula>
    <oldFormula>'Towns with November Elections'!$25:$25</oldFormula>
  </rdn>
  <rdn rId="0" localSheetId="9" customView="1" name="Z_AF05579C_59D0_4F4D_8ED6_E846AF6F886E_.wvu.PrintTitles" hidden="1" oldHidden="1">
    <formula>'School Dist. with a Primary'!$25:$25</formula>
    <oldFormula>'School Dist. with a Primary'!$25:$25</oldFormula>
  </rdn>
  <rdn rId="0" localSheetId="11" customView="1" name="Z_AF05579C_59D0_4F4D_8ED6_E846AF6F886E_.wvu.PrintTitles" hidden="1" oldHidden="1">
    <formula>'Hospital Districts'!$25:$25</formula>
    <oldFormula>'Hospital Districts'!$25:$25</oldFormula>
  </rdn>
  <rdn rId="0" localSheetId="12" customView="1" name="Z_AF05579C_59D0_4F4D_8ED6_E846AF6F886E_.wvu.PrintTitles" hidden="1" oldHidden="1">
    <formula>'Soil and Water Cons. Dist.'!$25:$25</formula>
    <oldFormula>'Soil and Water Cons. Dist.'!$25:$25</oldFormula>
  </rdn>
  <rdn rId="0" localSheetId="13" customView="1" name="Z_AF05579C_59D0_4F4D_8ED6_E846AF6F886E_.wvu.PrintTitles" hidden="1" oldHidden="1">
    <formula>'Campaign Finance'!$25:$25</formula>
    <oldFormula>'Campaign Finance'!$25:$25</oldFormula>
  </rdn>
  <rdn rId="0" localSheetId="14" customView="1" name="Z_AF05579C_59D0_4F4D_8ED6_E846AF6F886E_.wvu.PrintTitles" hidden="1" oldHidden="1">
    <formula>'Political Parties'!$25:$25</formula>
    <oldFormula>'Political Parties'!$25:$25</oldFormula>
  </rdn>
  <rdn rId="0" localSheetId="15" customView="1" name="Z_AF05579C_59D0_4F4D_8ED6_E846AF6F886E_.wvu.PrintTitles" hidden="1" oldHidden="1">
    <formula>'Township Combined Calendar'!$25:$25</formula>
    <oldFormula>'Township Combined Calendar'!$25:$25</oldFormula>
  </rdn>
  <rcv guid="{AF05579C-59D0-4F4D-8ED6-E846AF6F886E}" action="add"/>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Calendar'!$A$1:$F$1782</formula>
    <oldFormula>'Combined Elections Calendar'!$A$1:$F$1782</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Calendar'!$E$25:$F$1791</formula>
    <oldFormula>'Combined Elections Calendar'!$E$25:$F$1791</oldFormula>
  </rdn>
  <rdn rId="0" localSheetId="3" customView="1" name="Z_AF05579C_59D0_4F4D_8ED6_E846AF6F886E_.wvu.PrintTitles" hidden="1" oldHidden="1">
    <formula>'Secretary of State'!$25:$25</formula>
    <oldFormula>'Secretary of State'!$25:$25</oldFormula>
  </rdn>
  <rdn rId="0" localSheetId="4" customView="1" name="Z_AF05579C_59D0_4F4D_8ED6_E846AF6F886E_.wvu.PrintTitles" hidden="1" oldHidden="1">
    <formula>Counties!$25:$25</formula>
    <oldFormula>Counties!$25:$25</oldFormula>
  </rdn>
  <rdn rId="0" localSheetId="5" customView="1" name="Z_AF05579C_59D0_4F4D_8ED6_E846AF6F886E_.wvu.PrintTitles" hidden="1" oldHidden="1">
    <formula>'Cities with a Primary'!$25:$25</formula>
    <oldFormula>'Cities with a Primary'!$25:$25</oldFormula>
  </rdn>
  <rdn rId="0" localSheetId="6" customView="1" name="Z_AF05579C_59D0_4F4D_8ED6_E846AF6F886E_.wvu.PrintTitles" hidden="1" oldHidden="1">
    <formula>'Cities without a Primary'!$25:$25</formula>
    <oldFormula>'Cities without a Primary'!$25:$25</oldFormula>
  </rdn>
  <rdn rId="0" localSheetId="7" customView="1" name="Z_AF05579C_59D0_4F4D_8ED6_E846AF6F886E_.wvu.PrintTitles" hidden="1" oldHidden="1">
    <formula>'Towns with March Elections'!$25:$25</formula>
    <oldFormula>'Towns with March Elections'!$25:$25</oldFormula>
  </rdn>
  <rdn rId="0" localSheetId="8" customView="1" name="Z_AF05579C_59D0_4F4D_8ED6_E846AF6F886E_.wvu.PrintTitles" hidden="1" oldHidden="1">
    <formula>'Towns with November Elections'!$25:$25</formula>
    <oldFormula>'Towns with November Elections'!$25:$25</oldFormula>
  </rdn>
  <rdn rId="0" localSheetId="9" customView="1" name="Z_AF05579C_59D0_4F4D_8ED6_E846AF6F886E_.wvu.PrintTitles" hidden="1" oldHidden="1">
    <formula>'School Dist. with a Primary'!$25:$25</formula>
    <oldFormula>'School Dist. with a Primary'!$25:$25</oldFormula>
  </rdn>
  <rdn rId="0" localSheetId="11" customView="1" name="Z_AF05579C_59D0_4F4D_8ED6_E846AF6F886E_.wvu.PrintTitles" hidden="1" oldHidden="1">
    <formula>'Hospital Districts'!$25:$25</formula>
    <oldFormula>'Hospital Districts'!$25:$25</oldFormula>
  </rdn>
  <rdn rId="0" localSheetId="12" customView="1" name="Z_AF05579C_59D0_4F4D_8ED6_E846AF6F886E_.wvu.PrintTitles" hidden="1" oldHidden="1">
    <formula>'Soil and Water Cons. Dist.'!$25:$25</formula>
    <oldFormula>'Soil and Water Cons. Dist.'!$25:$25</oldFormula>
  </rdn>
  <rdn rId="0" localSheetId="13" customView="1" name="Z_AF05579C_59D0_4F4D_8ED6_E846AF6F886E_.wvu.PrintTitles" hidden="1" oldHidden="1">
    <formula>'Campaign Finance'!$25:$25</formula>
    <oldFormula>'Campaign Finance'!$25:$25</oldFormula>
  </rdn>
  <rdn rId="0" localSheetId="14" customView="1" name="Z_AF05579C_59D0_4F4D_8ED6_E846AF6F886E_.wvu.PrintTitles" hidden="1" oldHidden="1">
    <formula>'Political Parties'!$25:$25</formula>
    <oldFormula>'Political Parties'!$25:$25</oldFormula>
  </rdn>
  <rdn rId="0" localSheetId="15" customView="1" name="Z_AF05579C_59D0_4F4D_8ED6_E846AF6F886E_.wvu.PrintTitles" hidden="1" oldHidden="1">
    <formula>'Township Combined Calendar'!$25:$25</formula>
    <oldFormula>'Township Combined Calendar'!$25:$25</oldFormula>
  </rdn>
  <rcv guid="{AF05579C-59D0-4F4D-8ED6-E846AF6F886E}" action="add"/>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8909" sId="2" ref="A814:XFD814" action="insertRow"/>
  <rm rId="18910" sheetId="2" source="A797:F797" destination="A814:F814" sourceSheetId="2">
    <rfmt sheetId="2" sqref="A814"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B814"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C814" start="0" length="0">
      <dxf>
        <font>
          <b/>
          <sz val="12"/>
          <color auto="1"/>
          <name val="Times New Roman"/>
          <scheme val="none"/>
        </font>
        <fill>
          <patternFill patternType="solid">
            <bgColor theme="9" tint="0.59999389629810485"/>
          </patternFill>
        </fill>
        <alignment vertical="top" wrapText="1" readingOrder="0"/>
        <border outline="0">
          <left style="thin">
            <color indexed="64"/>
          </left>
          <right style="thin">
            <color indexed="64"/>
          </right>
          <top style="thin">
            <color indexed="64"/>
          </top>
          <bottom style="thin">
            <color indexed="64"/>
          </bottom>
        </border>
      </dxf>
    </rfmt>
    <rfmt sheetId="2" sqref="D814" start="0" length="0">
      <dxf>
        <font>
          <sz val="10"/>
          <color auto="1"/>
          <name val="Times New Roman"/>
          <scheme val="none"/>
        </font>
        <numFmt numFmtId="30" formatCode="@"/>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E814"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F814"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m>
  <rcc rId="18911" sId="2">
    <oc r="C814" t="inlineStr">
      <is>
        <r>
          <t xml:space="preserve">Secretary of State: </t>
        </r>
        <r>
          <rPr>
            <sz val="12"/>
            <rFont val="Times New Roman"/>
            <family val="1"/>
          </rPr>
          <t xml:space="preserve">Candidate filing period for Cities without a Primary, Towns with November Elections, School Districts without a Primary, and Hospital Districts - opens 98 days before election and closes 84 days before election. Hospital District candidates file with their municipality of residence.  The municipal clerk's office MUST be open for filing from 1:00 p.m. to 5:00 p.m. on the last day of the filing period. </t>
        </r>
        <r>
          <rPr>
            <i/>
            <sz val="12"/>
            <rFont val="Times New Roman"/>
            <family val="1"/>
          </rPr>
          <t>Minn. Stat. §§205.13, subd. 1a; 205A.06, subd. 1a; 447.32, subd. 4</t>
        </r>
      </is>
    </oc>
    <nc r="C814" t="inlineStr">
      <is>
        <r>
          <t xml:space="preserve">Hospital Districts: </t>
        </r>
        <r>
          <rPr>
            <sz val="12"/>
            <rFont val="Times New Roman"/>
            <family val="1"/>
          </rPr>
          <t xml:space="preserve">Candidate filing period for Cities without a Primary, Towns with November Elections, School Districts without a Primary, and Hospital Districts - opens 98 days before election and closes 84 days before election. Hospital District candidates file with their municipality of residence.  The municipal clerk's office MUST be open for filing from 1:00 p.m. to 5:00 p.m. on the last day of the filing period. </t>
        </r>
        <r>
          <rPr>
            <i/>
            <sz val="12"/>
            <rFont val="Times New Roman"/>
            <family val="1"/>
          </rPr>
          <t>Minn. Stat. §§205.13, subd. 1a; 205A.06, subd. 1a; 447.32, subd. 4</t>
        </r>
      </is>
    </nc>
  </rcc>
  <rcc rId="18912" sId="2">
    <oc r="E814" t="inlineStr">
      <is>
        <t>Secretary of State</t>
      </is>
    </oc>
    <nc r="E814" t="inlineStr">
      <is>
        <t>Hospital Districts</t>
      </is>
    </nc>
  </rcc>
  <rcc rId="18913" sId="2">
    <oc r="D1272" t="inlineStr">
      <is>
        <t>205.16, subd. 1; 205A.07, subd. 1</t>
      </is>
    </oc>
    <nc r="D1272" t="inlineStr">
      <is>
        <t>205.16, subd. 1; 205A.07, subd. 1; 447.32, subd. 3</t>
      </is>
    </nc>
  </rcc>
  <rcc rId="18914" sId="2">
    <oc r="C1272" t="inlineStr">
      <is>
        <r>
          <t xml:space="preserve">Hospital Districts: </t>
        </r>
        <r>
          <rPr>
            <sz val="12"/>
            <rFont val="Times New Roman"/>
            <family val="1"/>
          </rPr>
          <t xml:space="preserve">Last day for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oc>
    <nc r="C1272" t="inlineStr">
      <is>
        <r>
          <t xml:space="preserve">Hospital Districts: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 447.32, subd. 3</t>
        </r>
      </is>
    </nc>
  </rcc>
  <rcc rId="18915" sId="2">
    <oc r="D1265" t="inlineStr">
      <is>
        <t>205.16, subd. 1; 205A.07, subd. 1</t>
      </is>
    </oc>
    <nc r="D1265" t="inlineStr">
      <is>
        <t>205.16, subd. 1; 205A.07, subd. 1; 447.32, subd. 3</t>
      </is>
    </nc>
  </rcc>
  <rcc rId="18916" sId="2">
    <oc r="C1265" t="inlineStr">
      <is>
        <r>
          <t xml:space="preserve">Secretary of State: </t>
        </r>
        <r>
          <rPr>
            <sz val="12"/>
            <rFont val="Times New Roman"/>
            <family val="1"/>
          </rPr>
          <t xml:space="preserve">Last day for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oc>
    <nc r="C1265" t="inlineStr">
      <is>
        <r>
          <t xml:space="preserve">Secretary of State: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nc>
  </rcc>
  <rcc rId="18917" sId="2">
    <oc r="C1266" t="inlineStr">
      <is>
        <r>
          <t xml:space="preserve">Campaign Finance: </t>
        </r>
        <r>
          <rPr>
            <sz val="12"/>
            <rFont val="Times New Roman"/>
            <family val="1"/>
          </rPr>
          <t xml:space="preserve">Last day for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oc>
    <nc r="C1266" t="inlineStr">
      <is>
        <r>
          <t xml:space="preserve">Campaign Finance: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nc>
  </rcc>
  <rcc rId="18918" sId="2">
    <oc r="C1267" t="inlineStr">
      <is>
        <r>
          <t xml:space="preserve">Political Parties: </t>
        </r>
        <r>
          <rPr>
            <sz val="12"/>
            <rFont val="Times New Roman"/>
            <family val="1"/>
          </rPr>
          <t xml:space="preserve">Last day for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oc>
    <nc r="C1267" t="inlineStr">
      <is>
        <r>
          <t xml:space="preserve">Political Parties: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nc>
  </rcc>
  <rcc rId="18919" sId="2">
    <oc r="C1268" t="inlineStr">
      <is>
        <r>
          <t xml:space="preserve">Counties: </t>
        </r>
        <r>
          <rPr>
            <sz val="12"/>
            <rFont val="Times New Roman"/>
            <family val="1"/>
          </rPr>
          <t xml:space="preserve">Last day for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oc>
    <nc r="C1268" t="inlineStr">
      <is>
        <r>
          <t xml:space="preserve">Counties: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nc>
  </rcc>
  <rcc rId="18920" sId="2">
    <oc r="C1269" t="inlineStr">
      <is>
        <r>
          <t xml:space="preserve">Cities with a Primary: </t>
        </r>
        <r>
          <rPr>
            <sz val="12"/>
            <rFont val="Times New Roman"/>
            <family val="1"/>
          </rPr>
          <t xml:space="preserve">Last day for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oc>
    <nc r="C1269" t="inlineStr">
      <is>
        <r>
          <t xml:space="preserve">Cities with a Primary: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nc>
  </rcc>
  <rcc rId="18921" sId="2">
    <oc r="C1270" t="inlineStr">
      <is>
        <r>
          <t xml:space="preserve">Cities without a Primary: </t>
        </r>
        <r>
          <rPr>
            <sz val="12"/>
            <rFont val="Times New Roman"/>
            <family val="1"/>
          </rPr>
          <t xml:space="preserve">Last day for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oc>
    <nc r="C1270" t="inlineStr">
      <is>
        <r>
          <t xml:space="preserve">Cities without a Primary: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nc>
  </rcc>
  <rcc rId="18922" sId="2">
    <oc r="C1271" t="inlineStr">
      <is>
        <r>
          <t xml:space="preserve">Towns with November Elections: </t>
        </r>
        <r>
          <rPr>
            <sz val="12"/>
            <rFont val="Times New Roman"/>
            <family val="1"/>
          </rPr>
          <t xml:space="preserve">Last day for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oc>
    <nc r="C1271" t="inlineStr">
      <is>
        <r>
          <t xml:space="preserve">Towns with November Elections: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nc>
  </rcc>
  <rcc rId="18923" sId="2">
    <oc r="D1271" t="inlineStr">
      <is>
        <t>205.16, subd. 1; 205A.07, subd. 1</t>
      </is>
    </oc>
    <nc r="D1271" t="inlineStr">
      <is>
        <t>205.16, subd. 1; 205A.07, subd. 1; 447.32, subd. 3</t>
      </is>
    </nc>
  </rcc>
  <rcc rId="18924" sId="2">
    <oc r="D1270" t="inlineStr">
      <is>
        <t>205.16, subd. 1; 205A.07, subd. 1</t>
      </is>
    </oc>
    <nc r="D1270" t="inlineStr">
      <is>
        <t>205.16, subd. 1; 205A.07, subd. 1; 447.32, subd. 3</t>
      </is>
    </nc>
  </rcc>
  <rcc rId="18925" sId="2">
    <oc r="D1269" t="inlineStr">
      <is>
        <t>205.16, subd. 1; 205A.07, subd. 1</t>
      </is>
    </oc>
    <nc r="D1269" t="inlineStr">
      <is>
        <t>205.16, subd. 1; 205A.07, subd. 1; 447.32, subd. 3</t>
      </is>
    </nc>
  </rcc>
  <rcc rId="18926" sId="2">
    <oc r="D1268" t="inlineStr">
      <is>
        <t>205.16, subd. 1; 205A.07, subd. 1</t>
      </is>
    </oc>
    <nc r="D1268" t="inlineStr">
      <is>
        <t>205.16, subd. 1; 205A.07, subd. 1; 447.32, subd. 3</t>
      </is>
    </nc>
  </rcc>
  <rcc rId="18927" sId="2">
    <oc r="D1267" t="inlineStr">
      <is>
        <t>205.16, subd. 1; 205A.07, subd. 1</t>
      </is>
    </oc>
    <nc r="D1267" t="inlineStr">
      <is>
        <t>205.16, subd. 1; 205A.07, subd. 1; 447.32, subd. 3</t>
      </is>
    </nc>
  </rcc>
  <rcc rId="18928" sId="2">
    <oc r="D1266" t="inlineStr">
      <is>
        <t>205.16, subd. 1; 205A.07, subd. 1</t>
      </is>
    </oc>
    <nc r="D1266" t="inlineStr">
      <is>
        <t>205.16, subd. 1; 205A.07, subd. 1; 447.32, subd. 3</t>
      </is>
    </nc>
  </rcc>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29" sId="2">
    <oc r="D1343" t="inlineStr">
      <is>
        <t>205.16, subd. 1; 205A.07, subd. 1</t>
      </is>
    </oc>
    <nc r="D1343" t="inlineStr">
      <is>
        <t>205.16, subd. 1; 205A.07, subd. 1; 447.32, subd. 3</t>
      </is>
    </nc>
  </rcc>
  <rcc rId="18930" sId="2">
    <oc r="C1343" t="inlineStr">
      <is>
        <r>
          <t xml:space="preserve">Hospital Districts: </t>
        </r>
        <r>
          <rPr>
            <sz val="12"/>
            <rFont val="Times New Roman"/>
            <family val="1"/>
          </rPr>
          <t xml:space="preserve">Last day for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is>
    </oc>
    <nc r="C1343" t="inlineStr">
      <is>
        <r>
          <t xml:space="preserve">Hospital Districts: </t>
        </r>
        <r>
          <rPr>
            <sz val="12"/>
            <rFont val="Times New Roman"/>
            <family val="1"/>
          </rPr>
          <t xml:space="preserve">Last day for hospital districts,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 443.32, subd. 3</t>
        </r>
      </is>
    </nc>
  </rcc>
  <rcc rId="18931" sId="2">
    <oc r="D1342" t="inlineStr">
      <is>
        <t>205.16, subd. 1; 205A.07, subd. 1</t>
      </is>
    </oc>
    <nc r="D1342" t="inlineStr">
      <is>
        <t>205.16, subd. 1; 205A.07, subd. 1; 447.32, subd. 3</t>
      </is>
    </nc>
  </rcc>
  <rcc rId="18932" sId="2">
    <oc r="D1341" t="inlineStr">
      <is>
        <t>205.16, subd. 1; 205A.07, subd. 1</t>
      </is>
    </oc>
    <nc r="D1341" t="inlineStr">
      <is>
        <t>205.16, subd. 1; 205A.07, subd. 1; 447.32, subd. 3</t>
      </is>
    </nc>
  </rcc>
  <rcc rId="18933" sId="2">
    <oc r="D1340" t="inlineStr">
      <is>
        <t>205.16, subd. 1; 205A.07, subd. 1</t>
      </is>
    </oc>
    <nc r="D1340" t="inlineStr">
      <is>
        <t>205.16, subd. 1; 205A.07, subd. 1; 447.32, subd. 3</t>
      </is>
    </nc>
  </rcc>
  <rcc rId="18934" sId="2">
    <oc r="D1339" t="inlineStr">
      <is>
        <t>205.16, subd. 1; 205A.07, subd. 1</t>
      </is>
    </oc>
    <nc r="D1339" t="inlineStr">
      <is>
        <t>205.16, subd. 1; 205A.07, subd. 1; 447.32, subd. 3</t>
      </is>
    </nc>
  </rcc>
  <rcc rId="18935" sId="2">
    <oc r="C1338" t="inlineStr">
      <is>
        <r>
          <t xml:space="preserve">Cities with a Primary: </t>
        </r>
        <r>
          <rPr>
            <sz val="12"/>
            <rFont val="Times New Roman"/>
            <family val="1"/>
          </rPr>
          <t xml:space="preserve">Last day for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is>
    </oc>
    <nc r="C1338" t="inlineStr">
      <is>
        <r>
          <t xml:space="preserve">Cities with a Primary: </t>
        </r>
        <r>
          <rPr>
            <sz val="12"/>
            <rFont val="Times New Roman"/>
            <family val="1"/>
          </rPr>
          <t xml:space="preserve">Last day for hospital districts,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 447.32, subd. 3</t>
        </r>
      </is>
    </nc>
  </rcc>
  <rcc rId="18936" sId="2">
    <oc r="D1338" t="inlineStr">
      <is>
        <t>205.16, subd. 1; 205A.07, subd. 1</t>
      </is>
    </oc>
    <nc r="D1338" t="inlineStr">
      <is>
        <t>205.16, subd. 1; 205A.07, subd. 1; 447.32, subd. 3</t>
      </is>
    </nc>
  </rcc>
  <rcc rId="18937" sId="2">
    <oc r="C1339" t="inlineStr">
      <is>
        <r>
          <t xml:space="preserve">Cities without a Primary: </t>
        </r>
        <r>
          <rPr>
            <sz val="12"/>
            <rFont val="Times New Roman"/>
            <family val="1"/>
          </rPr>
          <t xml:space="preserve">Last day for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is>
    </oc>
    <nc r="C1339" t="inlineStr">
      <is>
        <r>
          <t xml:space="preserve">Cities without a Primary: </t>
        </r>
        <r>
          <rPr>
            <sz val="12"/>
            <rFont val="Times New Roman"/>
            <family val="1"/>
          </rPr>
          <t xml:space="preserve">Last day for hospital districts,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 447.32, subd. 3</t>
        </r>
      </is>
    </nc>
  </rcc>
  <rcc rId="18938" sId="2">
    <oc r="C1340" t="inlineStr">
      <is>
        <r>
          <t xml:space="preserve">Towns with November Elections: </t>
        </r>
        <r>
          <rPr>
            <sz val="12"/>
            <rFont val="Times New Roman"/>
            <family val="1"/>
          </rPr>
          <t xml:space="preserve">Last day for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is>
    </oc>
    <nc r="C1340" t="inlineStr">
      <is>
        <r>
          <t xml:space="preserve">Towns with November Elections: </t>
        </r>
        <r>
          <rPr>
            <sz val="12"/>
            <rFont val="Times New Roman"/>
            <family val="1"/>
          </rPr>
          <t xml:space="preserve">Last day for hospital districts,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 447.32, subd. 3</t>
        </r>
      </is>
    </nc>
  </rcc>
  <rcc rId="18939" sId="2">
    <oc r="C1341" t="inlineStr">
      <is>
        <r>
          <t xml:space="preserve">School Districts with a Primary: </t>
        </r>
        <r>
          <rPr>
            <sz val="12"/>
            <rFont val="Times New Roman"/>
            <family val="1"/>
          </rPr>
          <t xml:space="preserve">Last day for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is>
    </oc>
    <nc r="C1341" t="inlineStr">
      <is>
        <r>
          <t xml:space="preserve">School Districts with a Primary: </t>
        </r>
        <r>
          <rPr>
            <sz val="12"/>
            <rFont val="Times New Roman"/>
            <family val="1"/>
          </rPr>
          <t xml:space="preserve">Last day for hospital districts,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 447.32, subd. 3</t>
        </r>
      </is>
    </nc>
  </rcc>
  <rcc rId="18940" sId="2">
    <oc r="C1342" t="inlineStr">
      <is>
        <r>
          <t xml:space="preserve">School Districts without a Primary: </t>
        </r>
        <r>
          <rPr>
            <sz val="12"/>
            <rFont val="Times New Roman"/>
            <family val="1"/>
          </rPr>
          <t xml:space="preserve">Last day for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is>
    </oc>
    <nc r="C1342" t="inlineStr">
      <is>
        <r>
          <t xml:space="preserve">School Districts without a Primary: </t>
        </r>
        <r>
          <rPr>
            <sz val="12"/>
            <rFont val="Times New Roman"/>
            <family val="1"/>
          </rPr>
          <t xml:space="preserve">Last day for hospital districts,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 447.32, subd. 3</t>
        </r>
      </is>
    </nc>
  </rcc>
  <rcc rId="18941" sId="2">
    <oc r="C1337" t="inlineStr">
      <is>
        <r>
          <t xml:space="preserve">Counties: </t>
        </r>
        <r>
          <rPr>
            <sz val="12"/>
            <rFont val="Times New Roman"/>
            <family val="1"/>
          </rPr>
          <t xml:space="preserve">Last day for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is>
    </oc>
    <nc r="C1337" t="inlineStr">
      <is>
        <r>
          <t xml:space="preserve">Counties: </t>
        </r>
        <r>
          <rPr>
            <sz val="12"/>
            <rFont val="Times New Roman"/>
            <family val="1"/>
          </rPr>
          <t xml:space="preserve">Last day for hospital districts,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 447.32, subd. 3</t>
        </r>
      </is>
    </nc>
  </rcc>
  <rcc rId="18942" sId="2">
    <oc r="D1337" t="inlineStr">
      <is>
        <t>205.16, subd. 1; 205A.07, subd. 1</t>
      </is>
    </oc>
    <nc r="D1337" t="inlineStr">
      <is>
        <t>205.16, subd. 1; 205A.07, subd. 1; 447.32, subd. 3</t>
      </is>
    </nc>
  </rcc>
  <rcc rId="18943" sId="2">
    <oc r="C1336" t="inlineStr">
      <is>
        <r>
          <t xml:space="preserve">Political Parties: </t>
        </r>
        <r>
          <rPr>
            <sz val="12"/>
            <rFont val="Times New Roman"/>
            <family val="1"/>
          </rPr>
          <t xml:space="preserve">Last day for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is>
    </oc>
    <nc r="C1336" t="inlineStr">
      <is>
        <r>
          <t xml:space="preserve">Political Parties: </t>
        </r>
        <r>
          <rPr>
            <sz val="12"/>
            <rFont val="Times New Roman"/>
            <family val="1"/>
          </rPr>
          <t xml:space="preserve">Last day for hospital districts,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 447.32, subd. 3</t>
        </r>
      </is>
    </nc>
  </rcc>
  <rcc rId="18944" sId="2">
    <oc r="D1336" t="inlineStr">
      <is>
        <t>205.16, subd. 1; 205A.07, subd. 1</t>
      </is>
    </oc>
    <nc r="D1336" t="inlineStr">
      <is>
        <t>205.16, subd. 1; 205A.07, subd. 1; 447.32, subd. 3</t>
      </is>
    </nc>
  </rcc>
  <rcc rId="18945" sId="2">
    <oc r="C1335" t="inlineStr">
      <is>
        <r>
          <t xml:space="preserve">Secretary of State: </t>
        </r>
        <r>
          <rPr>
            <sz val="12"/>
            <rFont val="Times New Roman"/>
            <family val="1"/>
          </rPr>
          <t xml:space="preserve">Last day for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is>
    </oc>
    <nc r="C1335" t="inlineStr">
      <is>
        <r>
          <t xml:space="preserve">Secretary of State: </t>
        </r>
        <r>
          <rPr>
            <sz val="12"/>
            <rFont val="Times New Roman"/>
            <family val="1"/>
          </rPr>
          <t xml:space="preserve">Last day for hospital districts,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is>
    </nc>
  </rcc>
  <rcc rId="18946" sId="2">
    <oc r="D1335" t="inlineStr">
      <is>
        <t>205.16, subd. 1; 205A.07, subd. 1</t>
      </is>
    </oc>
    <nc r="D1335" t="inlineStr">
      <is>
        <t>205.16, subd. 1; 205A.07, subd. 1; 447.32, subd. 3</t>
      </is>
    </nc>
  </rcc>
  <rcc rId="18947" sId="2">
    <oc r="C1271" t="inlineStr">
      <is>
        <r>
          <t xml:space="preserve">Towns with November Elections: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oc>
    <nc r="C1271" t="inlineStr">
      <is>
        <r>
          <t xml:space="preserve">Towns with November Elections: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 447.32, subd. 3</t>
        </r>
      </is>
    </nc>
  </rcc>
  <rcc rId="18948" sId="2">
    <oc r="C1270" t="inlineStr">
      <is>
        <r>
          <t xml:space="preserve">Cities without a Primary: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oc>
    <nc r="C1270" t="inlineStr">
      <is>
        <r>
          <t xml:space="preserve">Cities without a Primary: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 447.32, subd. 3</t>
        </r>
      </is>
    </nc>
  </rcc>
  <rcc rId="18949" sId="2">
    <oc r="C1269" t="inlineStr">
      <is>
        <r>
          <t xml:space="preserve">Cities with a Primary: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oc>
    <nc r="C1269" t="inlineStr">
      <is>
        <r>
          <t xml:space="preserve">Cities with a Primary: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 447.32, subd. 3</t>
        </r>
      </is>
    </nc>
  </rcc>
  <rcc rId="18950" sId="2">
    <oc r="C1268" t="inlineStr">
      <is>
        <r>
          <t xml:space="preserve">Counties: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oc>
    <nc r="C1268" t="inlineStr">
      <is>
        <r>
          <t xml:space="preserve">Counties: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 447.32, subd. 3</t>
        </r>
      </is>
    </nc>
  </rcc>
  <rcc rId="18951" sId="2">
    <oc r="C1267" t="inlineStr">
      <is>
        <r>
          <t xml:space="preserve">Political Parties: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oc>
    <nc r="C1267" t="inlineStr">
      <is>
        <r>
          <t xml:space="preserve">Political Parties: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 447.32, subd. 3</t>
        </r>
      </is>
    </nc>
  </rcc>
  <rcc rId="18952" sId="2">
    <oc r="C1266" t="inlineStr">
      <is>
        <r>
          <t xml:space="preserve">Campaign Finance: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oc>
    <nc r="C1266" t="inlineStr">
      <is>
        <r>
          <t xml:space="preserve">Campaign Finance: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 447.32, subd. 3</t>
        </r>
      </is>
    </nc>
  </rcc>
  <rcc rId="18953" sId="2">
    <oc r="C1265" t="inlineStr">
      <is>
        <r>
          <t xml:space="preserve">Secretary of State: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is>
    </oc>
    <nc r="C1265" t="inlineStr">
      <is>
        <r>
          <t xml:space="preserve">Secretary of State: </t>
        </r>
        <r>
          <rPr>
            <sz val="12"/>
            <rFont val="Times New Roman"/>
            <family val="1"/>
          </rPr>
          <t xml:space="preserve">Last day for hospital districts,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 447.32, subd. 3</t>
        </r>
      </is>
    </nc>
  </rc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Calendar'!$A$1:$F$1783</formula>
    <oldFormula>'Combined Elections Calendar'!$A$1:$F$1783</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Calendar'!$E$25:$F$1792</formula>
    <oldFormula>'Combined Elections Calendar'!$E$25:$F$1792</oldFormula>
  </rdn>
  <rdn rId="0" localSheetId="3" customView="1" name="Z_AF05579C_59D0_4F4D_8ED6_E846AF6F886E_.wvu.PrintTitles" hidden="1" oldHidden="1">
    <formula>'1'!$25:$25</formula>
    <oldFormula>'1'!$25:$25</oldFormula>
  </rdn>
  <rdn rId="0" localSheetId="4" customView="1" name="Z_AF05579C_59D0_4F4D_8ED6_E846AF6F886E_.wvu.PrintTitles" hidden="1" oldHidden="1">
    <formula>'2'!$25:$25</formula>
    <oldFormula>'2'!$25:$25</oldFormula>
  </rdn>
  <rdn rId="0" localSheetId="5" customView="1" name="Z_AF05579C_59D0_4F4D_8ED6_E846AF6F886E_.wvu.PrintTitles" hidden="1" oldHidden="1">
    <formula>'3'!$25:$25</formula>
    <oldFormula>'3'!$25:$25</oldFormula>
  </rdn>
  <rdn rId="0" localSheetId="6" customView="1" name="Z_AF05579C_59D0_4F4D_8ED6_E846AF6F886E_.wvu.PrintTitles" hidden="1" oldHidden="1">
    <formula>'4'!$25:$25</formula>
    <oldFormula>'4'!$25:$25</oldFormula>
  </rdn>
  <rdn rId="0" localSheetId="7" customView="1" name="Z_AF05579C_59D0_4F4D_8ED6_E846AF6F886E_.wvu.PrintTitles" hidden="1" oldHidden="1">
    <formula>'5'!$25:$25</formula>
    <oldFormula>'5'!$25:$25</oldFormula>
  </rdn>
  <rdn rId="0" localSheetId="8" customView="1" name="Z_AF05579C_59D0_4F4D_8ED6_E846AF6F886E_.wvu.PrintTitles" hidden="1" oldHidden="1">
    <formula>'6'!$25:$25</formula>
    <oldFormula>'6'!$25:$25</oldFormula>
  </rdn>
  <rdn rId="0" localSheetId="9" customView="1" name="Z_AF05579C_59D0_4F4D_8ED6_E846AF6F886E_.wvu.PrintTitles" hidden="1" oldHidden="1">
    <formula>'7'!$25:$25</formula>
    <oldFormula>'7'!$25:$25</oldFormula>
  </rdn>
  <rdn rId="0" localSheetId="11" customView="1" name="Z_AF05579C_59D0_4F4D_8ED6_E846AF6F886E_.wvu.PrintTitles" hidden="1" oldHidden="1">
    <formula>'9'!$25:$25</formula>
    <oldFormula>'9'!$25:$25</oldFormula>
  </rdn>
  <rdn rId="0" localSheetId="12" customView="1" name="Z_AF05579C_59D0_4F4D_8ED6_E846AF6F886E_.wvu.PrintTitles" hidden="1" oldHidden="1">
    <formula>'10'!$25:$25</formula>
    <oldFormula>'10'!$25:$25</oldFormula>
  </rdn>
  <rdn rId="0" localSheetId="13" customView="1" name="Z_AF05579C_59D0_4F4D_8ED6_E846AF6F886E_.wvu.PrintTitles" hidden="1" oldHidden="1">
    <formula>'11'!$25:$25</formula>
    <oldFormula>'11'!$25:$25</oldFormula>
  </rdn>
  <rdn rId="0" localSheetId="14" customView="1" name="Z_AF05579C_59D0_4F4D_8ED6_E846AF6F886E_.wvu.PrintTitles" hidden="1" oldHidden="1">
    <formula>'12'!$25:$25</formula>
    <oldFormula>'12'!$25:$25</oldFormula>
  </rdn>
  <rdn rId="0" localSheetId="15" customView="1" name="Z_AF05579C_59D0_4F4D_8ED6_E846AF6F886E_.wvu.PrintTitles" hidden="1" oldHidden="1">
    <formula>'13'!$25:$25</formula>
    <oldFormula>'13'!$25:$25</oldFormula>
  </rdn>
  <rcv guid="{AF05579C-59D0-4F4D-8ED6-E846AF6F886E}" action="add"/>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70" sId="2">
    <oc r="A2" t="inlineStr">
      <is>
        <t>Updated 5-21-2014</t>
      </is>
    </oc>
    <nc r="A2" t="inlineStr">
      <is>
        <t>Updated 5-29-2014</t>
      </is>
    </nc>
  </rcc>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71" sId="2">
    <oc r="A1" t="inlineStr">
      <is>
        <t xml:space="preserve">2014 Minnesota Combined Elections Calendar  </t>
      </is>
    </oc>
    <nc r="A1" t="inlineStr">
      <is>
        <t>2014 Minnesota Combined Elections Calendar  - Revised</t>
      </is>
    </nc>
  </rcc>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8972" sId="2" ref="A462:XFD462" action="insertRow"/>
  <rm rId="18973" sheetId="2" source="A335:F335" destination="A462:F462" sourceSheetId="2">
    <rfmt sheetId="2" sqref="A462"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B462"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C462" start="0" length="0">
      <dxf>
        <font>
          <b/>
          <sz val="12"/>
          <color auto="1"/>
          <name val="Times New Roman"/>
          <scheme val="none"/>
        </font>
        <fill>
          <patternFill patternType="solid">
            <bgColor theme="9" tint="0.59999389629810485"/>
          </patternFill>
        </fill>
        <alignment vertical="top" wrapText="1" readingOrder="0"/>
        <border outline="0">
          <left style="thin">
            <color indexed="64"/>
          </left>
          <right style="thin">
            <color indexed="64"/>
          </right>
          <top style="thin">
            <color indexed="64"/>
          </top>
          <bottom style="thin">
            <color indexed="64"/>
          </bottom>
        </border>
      </dxf>
    </rfmt>
    <rfmt sheetId="2" sqref="D462" start="0" length="0">
      <dxf>
        <font>
          <sz val="10"/>
          <color auto="1"/>
          <name val="Times New Roman"/>
          <scheme val="none"/>
        </font>
        <numFmt numFmtId="30" formatCode="@"/>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E462"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F462"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m>
  <rrc rId="18974" sId="2" ref="A335:XFD335" action="deleteRow">
    <rfmt sheetId="2" xfDxf="1" sqref="IW476:XFD476 A335:IV335" start="0" length="0"/>
  </rr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Calendar'!$A$1:$F$1783</formula>
    <oldFormula>'Combined Elections Calendar'!$A$1:$F$1783</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Calendar'!$E$25:$F$1792</formula>
    <oldFormula>'Combined Elections Calendar'!$E$25:$F$1792</oldFormula>
  </rdn>
  <rdn rId="0" localSheetId="3" customView="1" name="Z_AF05579C_59D0_4F4D_8ED6_E846AF6F886E_.wvu.PrintTitles" hidden="1" oldHidden="1">
    <formula>'1'!$25:$25</formula>
    <oldFormula>'1'!$25:$25</oldFormula>
  </rdn>
  <rdn rId="0" localSheetId="4" customView="1" name="Z_AF05579C_59D0_4F4D_8ED6_E846AF6F886E_.wvu.PrintTitles" hidden="1" oldHidden="1">
    <formula>'2'!$25:$25</formula>
    <oldFormula>'2'!$25:$25</oldFormula>
  </rdn>
  <rdn rId="0" localSheetId="5" customView="1" name="Z_AF05579C_59D0_4F4D_8ED6_E846AF6F886E_.wvu.PrintTitles" hidden="1" oldHidden="1">
    <formula>'3'!$25:$25</formula>
    <oldFormula>'3'!$25:$25</oldFormula>
  </rdn>
  <rdn rId="0" localSheetId="6" customView="1" name="Z_AF05579C_59D0_4F4D_8ED6_E846AF6F886E_.wvu.PrintTitles" hidden="1" oldHidden="1">
    <formula>'4'!$25:$25</formula>
    <oldFormula>'4'!$25:$25</oldFormula>
  </rdn>
  <rdn rId="0" localSheetId="7" customView="1" name="Z_AF05579C_59D0_4F4D_8ED6_E846AF6F886E_.wvu.PrintTitles" hidden="1" oldHidden="1">
    <formula>'5'!$25:$25</formula>
    <oldFormula>'5'!$25:$25</oldFormula>
  </rdn>
  <rdn rId="0" localSheetId="8" customView="1" name="Z_AF05579C_59D0_4F4D_8ED6_E846AF6F886E_.wvu.PrintTitles" hidden="1" oldHidden="1">
    <formula>'6'!$25:$25</formula>
    <oldFormula>'6'!$25:$25</oldFormula>
  </rdn>
  <rdn rId="0" localSheetId="9" customView="1" name="Z_AF05579C_59D0_4F4D_8ED6_E846AF6F886E_.wvu.PrintTitles" hidden="1" oldHidden="1">
    <formula>'7'!$25:$25</formula>
    <oldFormula>'7'!$25:$25</oldFormula>
  </rdn>
  <rdn rId="0" localSheetId="11" customView="1" name="Z_AF05579C_59D0_4F4D_8ED6_E846AF6F886E_.wvu.PrintTitles" hidden="1" oldHidden="1">
    <formula>'9'!$25:$25</formula>
    <oldFormula>'9'!$25:$25</oldFormula>
  </rdn>
  <rdn rId="0" localSheetId="12" customView="1" name="Z_AF05579C_59D0_4F4D_8ED6_E846AF6F886E_.wvu.PrintTitles" hidden="1" oldHidden="1">
    <formula>'10'!$25:$25</formula>
    <oldFormula>'10'!$25:$25</oldFormula>
  </rdn>
  <rdn rId="0" localSheetId="13" customView="1" name="Z_AF05579C_59D0_4F4D_8ED6_E846AF6F886E_.wvu.PrintTitles" hidden="1" oldHidden="1">
    <formula>'11'!$25:$25</formula>
    <oldFormula>'11'!$25:$25</oldFormula>
  </rdn>
  <rdn rId="0" localSheetId="14" customView="1" name="Z_AF05579C_59D0_4F4D_8ED6_E846AF6F886E_.wvu.PrintTitles" hidden="1" oldHidden="1">
    <formula>'12'!$25:$25</formula>
    <oldFormula>'12'!$25:$25</oldFormula>
  </rdn>
  <rdn rId="0" localSheetId="15" customView="1" name="Z_AF05579C_59D0_4F4D_8ED6_E846AF6F886E_.wvu.PrintTitles" hidden="1" oldHidden="1">
    <formula>'13'!$25:$25</formula>
    <oldFormula>'13'!$25:$25</oldFormula>
  </rdn>
  <rcv guid="{AF05579C-59D0-4F4D-8ED6-E846AF6F886E}" action="add"/>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8991" sId="2" ref="A797:XFD797" action="deleteRow">
    <rfmt sheetId="2" xfDxf="1" sqref="IW807:XFD807 A797:IV797" start="0" length="0"/>
  </rrc>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92" sId="2">
    <oc r="C1104" t="inlineStr">
      <is>
        <r>
          <t>Secretary of State:</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is>
    </oc>
    <nc r="C1104" t="inlineStr">
      <is>
        <r>
          <t>Secretary of State:</t>
        </r>
        <r>
          <rPr>
            <sz val="12"/>
            <rFont val="Times New Roman"/>
            <family val="1"/>
          </rPr>
          <t xml:space="preserve"> Last day to give notice of mail ballot procedures - 10 weeks before the general.</t>
        </r>
        <r>
          <rPr>
            <i/>
            <sz val="12"/>
            <rFont val="Times New Roman"/>
            <family val="1"/>
          </rPr>
          <t xml:space="preserve"> Minn. Stat. §204B.45, subd. 2; Minn. Rules 8210.3000, subp. 3</t>
        </r>
      </is>
    </nc>
  </rcc>
  <rcc rId="18993" sId="2">
    <oc r="C1105" t="inlineStr">
      <is>
        <r>
          <t>Counties:</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is>
    </oc>
    <nc r="C1105" t="inlineStr">
      <is>
        <r>
          <t>Counties:</t>
        </r>
        <r>
          <rPr>
            <sz val="12"/>
            <rFont val="Times New Roman"/>
            <family val="1"/>
          </rPr>
          <t xml:space="preserve"> Last day to give notice of mail ballot procedures - 10 weeks before the general.</t>
        </r>
        <r>
          <rPr>
            <i/>
            <sz val="12"/>
            <rFont val="Times New Roman"/>
            <family val="1"/>
          </rPr>
          <t xml:space="preserve"> Minn. Stat. §204B.45, subd. 2; Minn. Rules 8210.3000, subp. 3</t>
        </r>
      </is>
    </nc>
  </rcc>
  <rcc rId="18994" sId="2">
    <oc r="C1106" t="inlineStr">
      <is>
        <r>
          <t>Cities with a Primary:</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is>
    </oc>
    <nc r="C1106" t="inlineStr">
      <is>
        <r>
          <t>Cities with a Primary:</t>
        </r>
        <r>
          <rPr>
            <sz val="12"/>
            <rFont val="Times New Roman"/>
            <family val="1"/>
          </rPr>
          <t xml:space="preserve"> Last day to give notice of mail ballot procedures - 10 weeks before the general.</t>
        </r>
        <r>
          <rPr>
            <i/>
            <sz val="12"/>
            <rFont val="Times New Roman"/>
            <family val="1"/>
          </rPr>
          <t xml:space="preserve"> Minn. Stat. §204B.45, subd. 2; Minn. Rules 8210.3000, subp. 3</t>
        </r>
      </is>
    </nc>
  </rcc>
  <rcc rId="18995" sId="2">
    <oc r="C1110" t="inlineStr">
      <is>
        <r>
          <t>Cities without a Primary:</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is>
    </oc>
    <nc r="C1110" t="inlineStr">
      <is>
        <r>
          <t>Cities without a Primary:</t>
        </r>
        <r>
          <rPr>
            <sz val="12"/>
            <rFont val="Times New Roman"/>
            <family val="1"/>
          </rPr>
          <t xml:space="preserve"> Last day to give notice of mail ballot procedures - 10 weeks before the general.</t>
        </r>
        <r>
          <rPr>
            <i/>
            <sz val="12"/>
            <rFont val="Times New Roman"/>
            <family val="1"/>
          </rPr>
          <t xml:space="preserve"> Minn. Stat. §204B.45, subd. 2; Minn. Rules 8210.3000, subp. 3</t>
        </r>
      </is>
    </nc>
  </rcc>
  <rcc rId="18996" sId="2">
    <oc r="C1111" t="inlineStr">
      <is>
        <r>
          <t>Towns with March Elections:</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is>
    </oc>
    <nc r="C1111" t="inlineStr">
      <is>
        <r>
          <t>Towns with March Elections:</t>
        </r>
        <r>
          <rPr>
            <sz val="12"/>
            <rFont val="Times New Roman"/>
            <family val="1"/>
          </rPr>
          <t xml:space="preserve"> Last day to give notice of mail ballot procedures - 10 weeks before the general.</t>
        </r>
        <r>
          <rPr>
            <i/>
            <sz val="12"/>
            <rFont val="Times New Roman"/>
            <family val="1"/>
          </rPr>
          <t xml:space="preserve"> Minn. Stat. §204B.45, subd. 2; Minn. Rules 8210.3000, subp. 3</t>
        </r>
      </is>
    </nc>
  </rcc>
  <rcc rId="18997" sId="2">
    <oc r="C1107" t="inlineStr">
      <is>
        <r>
          <t>Towns with November Elections:</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is>
    </oc>
    <nc r="C1107" t="inlineStr">
      <is>
        <r>
          <t>Towns with November Elections:</t>
        </r>
        <r>
          <rPr>
            <sz val="12"/>
            <rFont val="Times New Roman"/>
            <family val="1"/>
          </rPr>
          <t xml:space="preserve"> Last day to give notice of mail ballot procedures - 10 weeks before the general.</t>
        </r>
        <r>
          <rPr>
            <i/>
            <sz val="12"/>
            <rFont val="Times New Roman"/>
            <family val="1"/>
          </rPr>
          <t xml:space="preserve"> Minn. Stat. §204B.45, subd. 2; Minn. Rules 8210.3000, subp. 3</t>
        </r>
      </is>
    </nc>
  </rcc>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Calendar'!$A$1:$F$1782</formula>
    <oldFormula>'Combined Elections Calendar'!$A$1:$F$1782</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Calendar'!$E$25:$F$1791</formula>
    <oldFormula>'Combined Elections Calendar'!$E$25:$F$1791</oldFormula>
  </rdn>
  <rdn rId="0" localSheetId="3" customView="1" name="Z_AF05579C_59D0_4F4D_8ED6_E846AF6F886E_.wvu.PrintTitles" hidden="1" oldHidden="1">
    <formula>'1'!$25:$25</formula>
    <oldFormula>'1'!$25:$25</oldFormula>
  </rdn>
  <rdn rId="0" localSheetId="4" customView="1" name="Z_AF05579C_59D0_4F4D_8ED6_E846AF6F886E_.wvu.PrintTitles" hidden="1" oldHidden="1">
    <formula>'2'!$25:$25</formula>
    <oldFormula>'2'!$25:$25</oldFormula>
  </rdn>
  <rdn rId="0" localSheetId="5" customView="1" name="Z_AF05579C_59D0_4F4D_8ED6_E846AF6F886E_.wvu.PrintTitles" hidden="1" oldHidden="1">
    <formula>'3'!$25:$25</formula>
    <oldFormula>'3'!$25:$25</oldFormula>
  </rdn>
  <rdn rId="0" localSheetId="6" customView="1" name="Z_AF05579C_59D0_4F4D_8ED6_E846AF6F886E_.wvu.PrintTitles" hidden="1" oldHidden="1">
    <formula>'4'!$25:$25</formula>
    <oldFormula>'4'!$25:$25</oldFormula>
  </rdn>
  <rdn rId="0" localSheetId="7" customView="1" name="Z_AF05579C_59D0_4F4D_8ED6_E846AF6F886E_.wvu.PrintTitles" hidden="1" oldHidden="1">
    <formula>'5'!$25:$25</formula>
    <oldFormula>'5'!$25:$25</oldFormula>
  </rdn>
  <rdn rId="0" localSheetId="8" customView="1" name="Z_AF05579C_59D0_4F4D_8ED6_E846AF6F886E_.wvu.PrintTitles" hidden="1" oldHidden="1">
    <formula>'6'!$25:$25</formula>
    <oldFormula>'6'!$25:$25</oldFormula>
  </rdn>
  <rdn rId="0" localSheetId="9" customView="1" name="Z_AF05579C_59D0_4F4D_8ED6_E846AF6F886E_.wvu.PrintTitles" hidden="1" oldHidden="1">
    <formula>'7'!$25:$25</formula>
    <oldFormula>'7'!$25:$25</oldFormula>
  </rdn>
  <rdn rId="0" localSheetId="11" customView="1" name="Z_AF05579C_59D0_4F4D_8ED6_E846AF6F886E_.wvu.PrintTitles" hidden="1" oldHidden="1">
    <formula>'9'!$25:$25</formula>
    <oldFormula>'9'!$25:$25</oldFormula>
  </rdn>
  <rdn rId="0" localSheetId="12" customView="1" name="Z_AF05579C_59D0_4F4D_8ED6_E846AF6F886E_.wvu.PrintTitles" hidden="1" oldHidden="1">
    <formula>'10'!$25:$25</formula>
    <oldFormula>'10'!$25:$25</oldFormula>
  </rdn>
  <rdn rId="0" localSheetId="13" customView="1" name="Z_AF05579C_59D0_4F4D_8ED6_E846AF6F886E_.wvu.PrintTitles" hidden="1" oldHidden="1">
    <formula>'11'!$25:$25</formula>
    <oldFormula>'11'!$25:$25</oldFormula>
  </rdn>
  <rdn rId="0" localSheetId="14" customView="1" name="Z_AF05579C_59D0_4F4D_8ED6_E846AF6F886E_.wvu.PrintTitles" hidden="1" oldHidden="1">
    <formula>'12'!$25:$25</formula>
    <oldFormula>'12'!$25:$25</oldFormula>
  </rdn>
  <rdn rId="0" localSheetId="15" customView="1" name="Z_AF05579C_59D0_4F4D_8ED6_E846AF6F886E_.wvu.PrintTitles" hidden="1" oldHidden="1">
    <formula>'13'!$25:$25</formula>
    <oldFormula>'13'!$25:$25</oldFormula>
  </rdn>
  <rcv guid="{AF05579C-59D0-4F4D-8ED6-E846AF6F886E}" action="add"/>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14" sId="2" numFmtId="19">
    <oc r="A1196">
      <v>40451</v>
    </oc>
    <nc r="A1196">
      <v>41912</v>
    </nc>
  </rcc>
  <rcc rId="19015" sId="2" numFmtId="19">
    <oc r="B1196">
      <v>40451</v>
    </oc>
    <nc r="B1196">
      <v>41912</v>
    </nc>
  </rcc>
  <rcc rId="19016" sId="2" numFmtId="19">
    <oc r="A1197">
      <v>40451</v>
    </oc>
    <nc r="A1197">
      <v>41912</v>
    </nc>
  </rcc>
  <rcc rId="19017" sId="2" numFmtId="19">
    <oc r="B1197">
      <v>40451</v>
    </oc>
    <nc r="B1197">
      <v>41912</v>
    </nc>
  </rcc>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9018" sId="2" ref="A690:XFD690" action="insertRow"/>
  <rcc rId="19019" sId="2">
    <nc r="A690">
      <f>+Dates!$D$11-112</f>
    </nc>
  </rcc>
  <rcc rId="19020" sId="2">
    <nc r="B690">
      <f>+Dates!$D$11-112</f>
    </nc>
  </rcc>
  <rcc rId="19021" sId="2">
    <nc r="D690" t="inlineStr">
      <is>
        <t>205.13, subd. 2; 205A.06, subd. 2; 447.32, subd. 3</t>
      </is>
    </nc>
  </rcc>
  <rcc rId="19022" sId="2">
    <nc r="F690" t="inlineStr">
      <is>
        <t>Notice</t>
      </is>
    </nc>
  </rcc>
  <rcc rId="19023" sId="2">
    <nc r="C690" t="inlineStr">
      <is>
        <r>
          <t xml:space="preserve">School Districts without a Primary:  </t>
        </r>
        <r>
          <rPr>
            <sz val="12"/>
            <rFont val="Times New Roman"/>
            <family val="1"/>
          </rPr>
          <t xml:space="preserve">Last day for Cities without a Primary, School Districts without a Primary, Hospital Districts, and Towns with a November Election to publish notice of filing - at least 2 weeks before filing opens.  </t>
        </r>
        <r>
          <rPr>
            <i/>
            <sz val="12"/>
            <rFont val="Times New Roman"/>
            <family val="1"/>
          </rPr>
          <t>Minn. Stat. §§205.13, subd. 2; 205A.06, subd.  2; 447.32, subd. 3</t>
        </r>
      </is>
    </nc>
  </rcc>
  <rcc rId="19024" sId="2">
    <nc r="E690" t="inlineStr">
      <is>
        <t>School Districts without a Primary</t>
      </is>
    </nc>
  </rc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Calendar'!$A$1:$F$1783</formula>
    <oldFormula>'Combined Elections Calendar'!$A$1:$F$1783</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Calendar'!$E$25:$F$1792</formula>
    <oldFormula>'Combined Elections Calendar'!$E$25:$F$1792</oldFormula>
  </rdn>
  <rdn rId="0" localSheetId="3" customView="1" name="Z_AF05579C_59D0_4F4D_8ED6_E846AF6F886E_.wvu.PrintTitles" hidden="1" oldHidden="1">
    <formula>'1'!$25:$25</formula>
    <oldFormula>'1'!$25:$25</oldFormula>
  </rdn>
  <rdn rId="0" localSheetId="4" customView="1" name="Z_AF05579C_59D0_4F4D_8ED6_E846AF6F886E_.wvu.PrintTitles" hidden="1" oldHidden="1">
    <formula>'2'!$25:$25</formula>
    <oldFormula>'2'!$25:$25</oldFormula>
  </rdn>
  <rdn rId="0" localSheetId="5" customView="1" name="Z_AF05579C_59D0_4F4D_8ED6_E846AF6F886E_.wvu.PrintTitles" hidden="1" oldHidden="1">
    <formula>'3'!$25:$25</formula>
    <oldFormula>'3'!$25:$25</oldFormula>
  </rdn>
  <rdn rId="0" localSheetId="6" customView="1" name="Z_AF05579C_59D0_4F4D_8ED6_E846AF6F886E_.wvu.PrintTitles" hidden="1" oldHidden="1">
    <formula>'4'!$25:$25</formula>
    <oldFormula>'4'!$25:$25</oldFormula>
  </rdn>
  <rdn rId="0" localSheetId="7" customView="1" name="Z_AF05579C_59D0_4F4D_8ED6_E846AF6F886E_.wvu.PrintTitles" hidden="1" oldHidden="1">
    <formula>'5'!$25:$25</formula>
    <oldFormula>'5'!$25:$25</oldFormula>
  </rdn>
  <rdn rId="0" localSheetId="8" customView="1" name="Z_AF05579C_59D0_4F4D_8ED6_E846AF6F886E_.wvu.PrintTitles" hidden="1" oldHidden="1">
    <formula>'6'!$25:$25</formula>
    <oldFormula>'6'!$25:$25</oldFormula>
  </rdn>
  <rdn rId="0" localSheetId="9" customView="1" name="Z_AF05579C_59D0_4F4D_8ED6_E846AF6F886E_.wvu.PrintTitles" hidden="1" oldHidden="1">
    <formula>'7'!$25:$25</formula>
    <oldFormula>'7'!$25:$25</oldFormula>
  </rdn>
  <rdn rId="0" localSheetId="11" customView="1" name="Z_AF05579C_59D0_4F4D_8ED6_E846AF6F886E_.wvu.PrintTitles" hidden="1" oldHidden="1">
    <formula>'9'!$25:$25</formula>
    <oldFormula>'9'!$25:$25</oldFormula>
  </rdn>
  <rdn rId="0" localSheetId="12" customView="1" name="Z_AF05579C_59D0_4F4D_8ED6_E846AF6F886E_.wvu.PrintTitles" hidden="1" oldHidden="1">
    <formula>'10'!$25:$25</formula>
    <oldFormula>'10'!$25:$25</oldFormula>
  </rdn>
  <rdn rId="0" localSheetId="13" customView="1" name="Z_AF05579C_59D0_4F4D_8ED6_E846AF6F886E_.wvu.PrintTitles" hidden="1" oldHidden="1">
    <formula>'11'!$25:$25</formula>
    <oldFormula>'11'!$25:$25</oldFormula>
  </rdn>
  <rdn rId="0" localSheetId="14" customView="1" name="Z_AF05579C_59D0_4F4D_8ED6_E846AF6F886E_.wvu.PrintTitles" hidden="1" oldHidden="1">
    <formula>'12'!$25:$25</formula>
    <oldFormula>'12'!$25:$25</oldFormula>
  </rdn>
  <rdn rId="0" localSheetId="15" customView="1" name="Z_AF05579C_59D0_4F4D_8ED6_E846AF6F886E_.wvu.PrintTitles" hidden="1" oldHidden="1">
    <formula>'13'!$25:$25</formula>
    <oldFormula>'13'!$25:$25</oldFormula>
  </rdn>
  <rcv guid="{AF05579C-59D0-4F4D-8ED6-E846AF6F886E}" action="add"/>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Calendar'!$A$1:$F$1783</formula>
    <oldFormula>'Combined Elections Calendar'!$A$1:$F$1783</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Calendar'!$E$25:$F$1792</formula>
    <oldFormula>'Combined Elections Calendar'!$E$25:$F$1792</oldFormula>
  </rdn>
  <rdn rId="0" localSheetId="3" customView="1" name="Z_AF05579C_59D0_4F4D_8ED6_E846AF6F886E_.wvu.PrintTitles" hidden="1" oldHidden="1">
    <formula>'1'!$25:$25</formula>
    <oldFormula>'1'!$25:$25</oldFormula>
  </rdn>
  <rdn rId="0" localSheetId="4" customView="1" name="Z_AF05579C_59D0_4F4D_8ED6_E846AF6F886E_.wvu.PrintTitles" hidden="1" oldHidden="1">
    <formula>'2'!$25:$25</formula>
    <oldFormula>'2'!$25:$25</oldFormula>
  </rdn>
  <rdn rId="0" localSheetId="5" customView="1" name="Z_AF05579C_59D0_4F4D_8ED6_E846AF6F886E_.wvu.PrintTitles" hidden="1" oldHidden="1">
    <formula>'3'!$25:$25</formula>
    <oldFormula>'3'!$25:$25</oldFormula>
  </rdn>
  <rdn rId="0" localSheetId="6" customView="1" name="Z_AF05579C_59D0_4F4D_8ED6_E846AF6F886E_.wvu.PrintTitles" hidden="1" oldHidden="1">
    <formula>'4'!$25:$25</formula>
    <oldFormula>'4'!$25:$25</oldFormula>
  </rdn>
  <rdn rId="0" localSheetId="7" customView="1" name="Z_AF05579C_59D0_4F4D_8ED6_E846AF6F886E_.wvu.PrintTitles" hidden="1" oldHidden="1">
    <formula>'5'!$25:$25</formula>
    <oldFormula>'5'!$25:$25</oldFormula>
  </rdn>
  <rdn rId="0" localSheetId="8" customView="1" name="Z_AF05579C_59D0_4F4D_8ED6_E846AF6F886E_.wvu.PrintTitles" hidden="1" oldHidden="1">
    <formula>'6'!$25:$25</formula>
    <oldFormula>'6'!$25:$25</oldFormula>
  </rdn>
  <rdn rId="0" localSheetId="9" customView="1" name="Z_AF05579C_59D0_4F4D_8ED6_E846AF6F886E_.wvu.PrintTitles" hidden="1" oldHidden="1">
    <formula>'7'!$25:$25</formula>
    <oldFormula>'7'!$25:$25</oldFormula>
  </rdn>
  <rdn rId="0" localSheetId="11" customView="1" name="Z_AF05579C_59D0_4F4D_8ED6_E846AF6F886E_.wvu.PrintTitles" hidden="1" oldHidden="1">
    <formula>'9'!$25:$25</formula>
    <oldFormula>'9'!$25:$25</oldFormula>
  </rdn>
  <rdn rId="0" localSheetId="12" customView="1" name="Z_AF05579C_59D0_4F4D_8ED6_E846AF6F886E_.wvu.PrintTitles" hidden="1" oldHidden="1">
    <formula>'10'!$25:$25</formula>
    <oldFormula>'10'!$25:$25</oldFormula>
  </rdn>
  <rdn rId="0" localSheetId="13" customView="1" name="Z_AF05579C_59D0_4F4D_8ED6_E846AF6F886E_.wvu.PrintTitles" hidden="1" oldHidden="1">
    <formula>'11'!$25:$25</formula>
    <oldFormula>'11'!$25:$25</oldFormula>
  </rdn>
  <rdn rId="0" localSheetId="14" customView="1" name="Z_AF05579C_59D0_4F4D_8ED6_E846AF6F886E_.wvu.PrintTitles" hidden="1" oldHidden="1">
    <formula>'12'!$25:$25</formula>
    <oldFormula>'12'!$25:$25</oldFormula>
  </rdn>
  <rdn rId="0" localSheetId="15" customView="1" name="Z_AF05579C_59D0_4F4D_8ED6_E846AF6F886E_.wvu.PrintTitles" hidden="1" oldHidden="1">
    <formula>'13'!$25:$25</formula>
    <oldFormula>'13'!$25:$25</oldFormula>
  </rdn>
  <rcv guid="{AF05579C-59D0-4F4D-8ED6-E846AF6F886E}" action="add"/>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57" sId="2">
    <oc r="A2" t="inlineStr">
      <is>
        <t>Updated 5-29-2014</t>
      </is>
    </oc>
    <nc r="A2" t="inlineStr">
      <is>
        <t>Updated 6-17-2014</t>
      </is>
    </nc>
  </rc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Calendar'!$A$1:$F$1783</formula>
    <oldFormula>'Combined Elections Calendar'!$A$1:$F$1783</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Calendar'!$E$25:$F$1792</formula>
    <oldFormula>'Combined Elections Calendar'!$E$25:$F$1792</oldFormula>
  </rdn>
  <rdn rId="0" localSheetId="3" customView="1" name="Z_AF05579C_59D0_4F4D_8ED6_E846AF6F886E_.wvu.PrintTitles" hidden="1" oldHidden="1">
    <formula>'1'!$25:$25</formula>
    <oldFormula>'1'!$25:$25</oldFormula>
  </rdn>
  <rdn rId="0" localSheetId="4" customView="1" name="Z_AF05579C_59D0_4F4D_8ED6_E846AF6F886E_.wvu.PrintTitles" hidden="1" oldHidden="1">
    <formula>'2'!$25:$25</formula>
    <oldFormula>'2'!$25:$25</oldFormula>
  </rdn>
  <rdn rId="0" localSheetId="5" customView="1" name="Z_AF05579C_59D0_4F4D_8ED6_E846AF6F886E_.wvu.PrintTitles" hidden="1" oldHidden="1">
    <formula>'3'!$25:$25</formula>
    <oldFormula>'3'!$25:$25</oldFormula>
  </rdn>
  <rdn rId="0" localSheetId="6" customView="1" name="Z_AF05579C_59D0_4F4D_8ED6_E846AF6F886E_.wvu.PrintTitles" hidden="1" oldHidden="1">
    <formula>'4'!$25:$25</formula>
    <oldFormula>'4'!$25:$25</oldFormula>
  </rdn>
  <rdn rId="0" localSheetId="7" customView="1" name="Z_AF05579C_59D0_4F4D_8ED6_E846AF6F886E_.wvu.PrintTitles" hidden="1" oldHidden="1">
    <formula>'5'!$25:$25</formula>
    <oldFormula>'5'!$25:$25</oldFormula>
  </rdn>
  <rdn rId="0" localSheetId="8" customView="1" name="Z_AF05579C_59D0_4F4D_8ED6_E846AF6F886E_.wvu.PrintTitles" hidden="1" oldHidden="1">
    <formula>'6'!$25:$25</formula>
    <oldFormula>'6'!$25:$25</oldFormula>
  </rdn>
  <rdn rId="0" localSheetId="9" customView="1" name="Z_AF05579C_59D0_4F4D_8ED6_E846AF6F886E_.wvu.PrintTitles" hidden="1" oldHidden="1">
    <formula>'7'!$25:$25</formula>
    <oldFormula>'7'!$25:$25</oldFormula>
  </rdn>
  <rdn rId="0" localSheetId="11" customView="1" name="Z_AF05579C_59D0_4F4D_8ED6_E846AF6F886E_.wvu.PrintTitles" hidden="1" oldHidden="1">
    <formula>'9'!$25:$25</formula>
    <oldFormula>'9'!$25:$25</oldFormula>
  </rdn>
  <rdn rId="0" localSheetId="12" customView="1" name="Z_AF05579C_59D0_4F4D_8ED6_E846AF6F886E_.wvu.PrintTitles" hidden="1" oldHidden="1">
    <formula>'10'!$25:$25</formula>
    <oldFormula>'10'!$25:$25</oldFormula>
  </rdn>
  <rdn rId="0" localSheetId="13" customView="1" name="Z_AF05579C_59D0_4F4D_8ED6_E846AF6F886E_.wvu.PrintTitles" hidden="1" oldHidden="1">
    <formula>'11'!$25:$25</formula>
    <oldFormula>'11'!$25:$25</oldFormula>
  </rdn>
  <rdn rId="0" localSheetId="14" customView="1" name="Z_AF05579C_59D0_4F4D_8ED6_E846AF6F886E_.wvu.PrintTitles" hidden="1" oldHidden="1">
    <formula>'12'!$25:$25</formula>
    <oldFormula>'12'!$25:$25</oldFormula>
  </rdn>
  <rdn rId="0" localSheetId="15" customView="1" name="Z_AF05579C_59D0_4F4D_8ED6_E846AF6F886E_.wvu.PrintTitles" hidden="1" oldHidden="1">
    <formula>'13'!$25:$25</formula>
    <oldFormula>'13'!$25:$25</oldFormula>
  </rdn>
  <rcv guid="{AF05579C-59D0-4F4D-8ED6-E846AF6F886E}" action="add"/>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Calendar'!$A$1:$F$1783</formula>
    <oldFormula>'Combined Elections Calendar'!$A$1:$F$1783</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Calendar'!$E$25:$F$1792</formula>
    <oldFormula>'Combined Elections Calendar'!$E$25:$F$1792</oldFormula>
  </rdn>
  <rdn rId="0" localSheetId="3" customView="1" name="Z_AF05579C_59D0_4F4D_8ED6_E846AF6F886E_.wvu.PrintTitles" hidden="1" oldHidden="1">
    <formula>'1'!$25:$25</formula>
    <oldFormula>'1'!$25:$25</oldFormula>
  </rdn>
  <rdn rId="0" localSheetId="4" customView="1" name="Z_AF05579C_59D0_4F4D_8ED6_E846AF6F886E_.wvu.PrintTitles" hidden="1" oldHidden="1">
    <formula>'2'!$25:$25</formula>
    <oldFormula>'2'!$25:$25</oldFormula>
  </rdn>
  <rdn rId="0" localSheetId="5" customView="1" name="Z_AF05579C_59D0_4F4D_8ED6_E846AF6F886E_.wvu.PrintTitles" hidden="1" oldHidden="1">
    <formula>'3'!$25:$25</formula>
    <oldFormula>'3'!$25:$25</oldFormula>
  </rdn>
  <rdn rId="0" localSheetId="6" customView="1" name="Z_AF05579C_59D0_4F4D_8ED6_E846AF6F886E_.wvu.PrintTitles" hidden="1" oldHidden="1">
    <formula>'4'!$25:$25</formula>
    <oldFormula>'4'!$25:$25</oldFormula>
  </rdn>
  <rdn rId="0" localSheetId="7" customView="1" name="Z_AF05579C_59D0_4F4D_8ED6_E846AF6F886E_.wvu.PrintTitles" hidden="1" oldHidden="1">
    <formula>'5'!$25:$25</formula>
    <oldFormula>'5'!$25:$25</oldFormula>
  </rdn>
  <rdn rId="0" localSheetId="8" customView="1" name="Z_AF05579C_59D0_4F4D_8ED6_E846AF6F886E_.wvu.PrintTitles" hidden="1" oldHidden="1">
    <formula>'6'!$25:$25</formula>
    <oldFormula>'6'!$25:$25</oldFormula>
  </rdn>
  <rdn rId="0" localSheetId="9" customView="1" name="Z_AF05579C_59D0_4F4D_8ED6_E846AF6F886E_.wvu.PrintTitles" hidden="1" oldHidden="1">
    <formula>'7'!$25:$25</formula>
    <oldFormula>'7'!$25:$25</oldFormula>
  </rdn>
  <rdn rId="0" localSheetId="11" customView="1" name="Z_AF05579C_59D0_4F4D_8ED6_E846AF6F886E_.wvu.PrintTitles" hidden="1" oldHidden="1">
    <formula>'9'!$25:$25</formula>
    <oldFormula>'9'!$25:$25</oldFormula>
  </rdn>
  <rdn rId="0" localSheetId="12" customView="1" name="Z_AF05579C_59D0_4F4D_8ED6_E846AF6F886E_.wvu.PrintTitles" hidden="1" oldHidden="1">
    <formula>'10'!$25:$25</formula>
    <oldFormula>'10'!$25:$25</oldFormula>
  </rdn>
  <rdn rId="0" localSheetId="13" customView="1" name="Z_AF05579C_59D0_4F4D_8ED6_E846AF6F886E_.wvu.PrintTitles" hidden="1" oldHidden="1">
    <formula>'11'!$25:$25</formula>
    <oldFormula>'11'!$25:$25</oldFormula>
  </rdn>
  <rdn rId="0" localSheetId="14" customView="1" name="Z_AF05579C_59D0_4F4D_8ED6_E846AF6F886E_.wvu.PrintTitles" hidden="1" oldHidden="1">
    <formula>'12'!$25:$25</formula>
    <oldFormula>'12'!$25:$25</oldFormula>
  </rdn>
  <rdn rId="0" localSheetId="15" customView="1" name="Z_AF05579C_59D0_4F4D_8ED6_E846AF6F886E_.wvu.PrintTitles" hidden="1" oldHidden="1">
    <formula>'13'!$25:$25</formula>
    <oldFormula>'13'!$25:$25</oldFormula>
  </rdn>
  <rcv guid="{AF05579C-59D0-4F4D-8ED6-E846AF6F886E}"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8" Type="http://schemas.microsoft.com/office/2006/relationships/wsSortMap" Target="wsSortMap1.xml"/><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7.bin"/><Relationship Id="rId7" Type="http://schemas.openxmlformats.org/officeDocument/2006/relationships/printerSettings" Target="../printerSettings/printerSettings21.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 Id="rId6" Type="http://schemas.openxmlformats.org/officeDocument/2006/relationships/printerSettings" Target="../printerSettings/printerSettings20.bin"/><Relationship Id="rId5" Type="http://schemas.openxmlformats.org/officeDocument/2006/relationships/printerSettings" Target="../printerSettings/printerSettings19.bin"/><Relationship Id="rId4" Type="http://schemas.openxmlformats.org/officeDocument/2006/relationships/printerSettings" Target="../printerSettings/printerSettings18.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4.bin"/><Relationship Id="rId7" Type="http://schemas.openxmlformats.org/officeDocument/2006/relationships/printerSettings" Target="../printerSettings/printerSettings28.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6" Type="http://schemas.openxmlformats.org/officeDocument/2006/relationships/printerSettings" Target="../printerSettings/printerSettings27.bin"/><Relationship Id="rId5" Type="http://schemas.openxmlformats.org/officeDocument/2006/relationships/printerSettings" Target="../printerSettings/printerSettings26.bin"/><Relationship Id="rId4" Type="http://schemas.openxmlformats.org/officeDocument/2006/relationships/printerSettings" Target="../printerSettings/printerSettings25.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1.bin"/><Relationship Id="rId7" Type="http://schemas.openxmlformats.org/officeDocument/2006/relationships/printerSettings" Target="../printerSettings/printerSettings35.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6" Type="http://schemas.openxmlformats.org/officeDocument/2006/relationships/printerSettings" Target="../printerSettings/printerSettings34.bin"/><Relationship Id="rId5" Type="http://schemas.openxmlformats.org/officeDocument/2006/relationships/printerSettings" Target="../printerSettings/printerSettings33.bin"/><Relationship Id="rId4" Type="http://schemas.openxmlformats.org/officeDocument/2006/relationships/printerSettings" Target="../printerSettings/printerSettings32.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8.bin"/><Relationship Id="rId7" Type="http://schemas.openxmlformats.org/officeDocument/2006/relationships/printerSettings" Target="../printerSettings/printerSettings42.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 Id="rId6" Type="http://schemas.openxmlformats.org/officeDocument/2006/relationships/printerSettings" Target="../printerSettings/printerSettings41.bin"/><Relationship Id="rId5" Type="http://schemas.openxmlformats.org/officeDocument/2006/relationships/printerSettings" Target="../printerSettings/printerSettings40.bin"/><Relationship Id="rId4" Type="http://schemas.openxmlformats.org/officeDocument/2006/relationships/printerSettings" Target="../printerSettings/printerSettings39.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45.bin"/><Relationship Id="rId7" Type="http://schemas.openxmlformats.org/officeDocument/2006/relationships/printerSettings" Target="../printerSettings/printerSettings49.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 Id="rId6" Type="http://schemas.openxmlformats.org/officeDocument/2006/relationships/printerSettings" Target="../printerSettings/printerSettings48.bin"/><Relationship Id="rId5" Type="http://schemas.openxmlformats.org/officeDocument/2006/relationships/printerSettings" Target="../printerSettings/printerSettings47.bin"/><Relationship Id="rId4" Type="http://schemas.openxmlformats.org/officeDocument/2006/relationships/printerSettings" Target="../printerSettings/printerSettings46.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52.bin"/><Relationship Id="rId7" Type="http://schemas.openxmlformats.org/officeDocument/2006/relationships/printerSettings" Target="../printerSettings/printerSettings56.bin"/><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 Id="rId6" Type="http://schemas.openxmlformats.org/officeDocument/2006/relationships/printerSettings" Target="../printerSettings/printerSettings55.bin"/><Relationship Id="rId5" Type="http://schemas.openxmlformats.org/officeDocument/2006/relationships/printerSettings" Target="../printerSettings/printerSettings54.bin"/><Relationship Id="rId4" Type="http://schemas.openxmlformats.org/officeDocument/2006/relationships/printerSettings" Target="../printerSettings/printerSettings53.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59.bin"/><Relationship Id="rId7" Type="http://schemas.openxmlformats.org/officeDocument/2006/relationships/printerSettings" Target="../printerSettings/printerSettings63.bin"/><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 Id="rId6" Type="http://schemas.openxmlformats.org/officeDocument/2006/relationships/printerSettings" Target="../printerSettings/printerSettings62.bin"/><Relationship Id="rId5" Type="http://schemas.openxmlformats.org/officeDocument/2006/relationships/printerSettings" Target="../printerSettings/printerSettings61.bin"/><Relationship Id="rId4" Type="http://schemas.openxmlformats.org/officeDocument/2006/relationships/printerSettings" Target="../printerSettings/printerSettings60.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66.bin"/><Relationship Id="rId7" Type="http://schemas.openxmlformats.org/officeDocument/2006/relationships/printerSettings" Target="../printerSettings/printerSettings70.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 Id="rId6" Type="http://schemas.openxmlformats.org/officeDocument/2006/relationships/printerSettings" Target="../printerSettings/printerSettings69.bin"/><Relationship Id="rId5" Type="http://schemas.openxmlformats.org/officeDocument/2006/relationships/printerSettings" Target="../printerSettings/printerSettings68.bin"/><Relationship Id="rId4" Type="http://schemas.openxmlformats.org/officeDocument/2006/relationships/printerSettings" Target="../printerSettings/printerSettings67.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73.bin"/><Relationship Id="rId7" Type="http://schemas.openxmlformats.org/officeDocument/2006/relationships/printerSettings" Target="../printerSettings/printerSettings77.bin"/><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 Id="rId6" Type="http://schemas.openxmlformats.org/officeDocument/2006/relationships/printerSettings" Target="../printerSettings/printerSettings76.bin"/><Relationship Id="rId5" Type="http://schemas.openxmlformats.org/officeDocument/2006/relationships/printerSettings" Target="../printerSettings/printerSettings75.bin"/><Relationship Id="rId4" Type="http://schemas.openxmlformats.org/officeDocument/2006/relationships/printerSettings" Target="../printerSettings/printerSettings7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80.bin"/><Relationship Id="rId7" Type="http://schemas.openxmlformats.org/officeDocument/2006/relationships/printerSettings" Target="../printerSettings/printerSettings84.bin"/><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6" Type="http://schemas.openxmlformats.org/officeDocument/2006/relationships/printerSettings" Target="../printerSettings/printerSettings83.bin"/><Relationship Id="rId5" Type="http://schemas.openxmlformats.org/officeDocument/2006/relationships/printerSettings" Target="../printerSettings/printerSettings82.bin"/><Relationship Id="rId4" Type="http://schemas.openxmlformats.org/officeDocument/2006/relationships/printerSettings" Target="../printerSettings/printerSettings81.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87.bin"/><Relationship Id="rId7" Type="http://schemas.openxmlformats.org/officeDocument/2006/relationships/printerSettings" Target="../printerSettings/printerSettings91.bin"/><Relationship Id="rId2" Type="http://schemas.openxmlformats.org/officeDocument/2006/relationships/printerSettings" Target="../printerSettings/printerSettings86.bin"/><Relationship Id="rId1" Type="http://schemas.openxmlformats.org/officeDocument/2006/relationships/printerSettings" Target="../printerSettings/printerSettings85.bin"/><Relationship Id="rId6" Type="http://schemas.openxmlformats.org/officeDocument/2006/relationships/printerSettings" Target="../printerSettings/printerSettings90.bin"/><Relationship Id="rId5" Type="http://schemas.openxmlformats.org/officeDocument/2006/relationships/printerSettings" Target="../printerSettings/printerSettings89.bin"/><Relationship Id="rId4" Type="http://schemas.openxmlformats.org/officeDocument/2006/relationships/printerSettings" Target="../printerSettings/printerSettings88.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94.bin"/><Relationship Id="rId7" Type="http://schemas.openxmlformats.org/officeDocument/2006/relationships/printerSettings" Target="../printerSettings/printerSettings98.bin"/><Relationship Id="rId2" Type="http://schemas.openxmlformats.org/officeDocument/2006/relationships/printerSettings" Target="../printerSettings/printerSettings93.bin"/><Relationship Id="rId1" Type="http://schemas.openxmlformats.org/officeDocument/2006/relationships/printerSettings" Target="../printerSettings/printerSettings92.bin"/><Relationship Id="rId6" Type="http://schemas.openxmlformats.org/officeDocument/2006/relationships/printerSettings" Target="../printerSettings/printerSettings97.bin"/><Relationship Id="rId5" Type="http://schemas.openxmlformats.org/officeDocument/2006/relationships/printerSettings" Target="../printerSettings/printerSettings96.bin"/><Relationship Id="rId4" Type="http://schemas.openxmlformats.org/officeDocument/2006/relationships/printerSettings" Target="../printerSettings/printerSettings95.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01.bin"/><Relationship Id="rId7" Type="http://schemas.openxmlformats.org/officeDocument/2006/relationships/printerSettings" Target="../printerSettings/printerSettings105.bin"/><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 Id="rId6" Type="http://schemas.openxmlformats.org/officeDocument/2006/relationships/printerSettings" Target="../printerSettings/printerSettings104.bin"/><Relationship Id="rId5" Type="http://schemas.openxmlformats.org/officeDocument/2006/relationships/printerSettings" Target="../printerSettings/printerSettings103.bin"/><Relationship Id="rId4" Type="http://schemas.openxmlformats.org/officeDocument/2006/relationships/printerSettings" Target="../printerSettings/printerSettings10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37"/>
  <sheetViews>
    <sheetView workbookViewId="0">
      <selection activeCell="D40" sqref="D40"/>
    </sheetView>
  </sheetViews>
  <sheetFormatPr defaultRowHeight="12.75" x14ac:dyDescent="0.2"/>
  <cols>
    <col min="1" max="1" width="1" customWidth="1"/>
    <col min="2" max="2" width="60.7109375" customWidth="1"/>
    <col min="3" max="3" width="2.42578125" customWidth="1"/>
    <col min="4" max="4" width="20.7109375" customWidth="1"/>
  </cols>
  <sheetData>
    <row r="1" spans="2:4" x14ac:dyDescent="0.2">
      <c r="D1" s="1"/>
    </row>
    <row r="2" spans="2:4" x14ac:dyDescent="0.2">
      <c r="D2" s="1"/>
    </row>
    <row r="3" spans="2:4" x14ac:dyDescent="0.2">
      <c r="B3" t="s">
        <v>115</v>
      </c>
      <c r="D3" s="1" t="s">
        <v>116</v>
      </c>
    </row>
    <row r="4" spans="2:4" x14ac:dyDescent="0.2">
      <c r="D4" s="1"/>
    </row>
    <row r="5" spans="2:4" x14ac:dyDescent="0.2">
      <c r="D5" s="1"/>
    </row>
    <row r="6" spans="2:4" x14ac:dyDescent="0.2">
      <c r="B6" t="s">
        <v>485</v>
      </c>
      <c r="D6" s="2">
        <v>41583</v>
      </c>
    </row>
    <row r="7" spans="2:4" x14ac:dyDescent="0.2">
      <c r="B7" t="s">
        <v>309</v>
      </c>
      <c r="D7" s="20">
        <v>41695</v>
      </c>
    </row>
    <row r="8" spans="2:4" x14ac:dyDescent="0.2">
      <c r="B8" t="s">
        <v>310</v>
      </c>
      <c r="D8" s="2">
        <v>41645</v>
      </c>
    </row>
    <row r="9" spans="2:4" x14ac:dyDescent="0.2">
      <c r="B9" t="s">
        <v>311</v>
      </c>
      <c r="D9" s="2">
        <v>41709</v>
      </c>
    </row>
    <row r="10" spans="2:4" x14ac:dyDescent="0.2">
      <c r="B10" s="17" t="s">
        <v>65</v>
      </c>
      <c r="C10" s="17"/>
      <c r="D10" s="20">
        <v>41863</v>
      </c>
    </row>
    <row r="11" spans="2:4" x14ac:dyDescent="0.2">
      <c r="B11" t="s">
        <v>266</v>
      </c>
      <c r="D11" s="2">
        <v>41947</v>
      </c>
    </row>
    <row r="12" spans="2:4" x14ac:dyDescent="0.2">
      <c r="B12" t="s">
        <v>267</v>
      </c>
      <c r="D12" s="2">
        <v>42073</v>
      </c>
    </row>
    <row r="13" spans="2:4" x14ac:dyDescent="0.2">
      <c r="B13" t="s">
        <v>268</v>
      </c>
      <c r="D13" s="2">
        <v>41640</v>
      </c>
    </row>
    <row r="14" spans="2:4" x14ac:dyDescent="0.2">
      <c r="B14" t="s">
        <v>269</v>
      </c>
      <c r="D14" s="2">
        <v>41659</v>
      </c>
    </row>
    <row r="15" spans="2:4" x14ac:dyDescent="0.2">
      <c r="B15" t="s">
        <v>270</v>
      </c>
      <c r="D15" s="2">
        <v>41687</v>
      </c>
    </row>
    <row r="16" spans="2:4" x14ac:dyDescent="0.2">
      <c r="B16" t="s">
        <v>271</v>
      </c>
      <c r="D16" s="2">
        <v>41785</v>
      </c>
    </row>
    <row r="17" spans="2:4" x14ac:dyDescent="0.2">
      <c r="B17" t="s">
        <v>272</v>
      </c>
      <c r="D17" s="2">
        <v>41824</v>
      </c>
    </row>
    <row r="18" spans="2:4" x14ac:dyDescent="0.2">
      <c r="B18" t="s">
        <v>273</v>
      </c>
      <c r="D18" s="2">
        <v>41883</v>
      </c>
    </row>
    <row r="19" spans="2:4" x14ac:dyDescent="0.2">
      <c r="B19" t="s">
        <v>162</v>
      </c>
      <c r="D19" s="2">
        <v>41925</v>
      </c>
    </row>
    <row r="20" spans="2:4" x14ac:dyDescent="0.2">
      <c r="B20" t="s">
        <v>163</v>
      </c>
      <c r="D20" s="2">
        <v>41954</v>
      </c>
    </row>
    <row r="21" spans="2:4" x14ac:dyDescent="0.2">
      <c r="B21" t="s">
        <v>164</v>
      </c>
      <c r="D21" s="2">
        <v>41970</v>
      </c>
    </row>
    <row r="22" spans="2:4" x14ac:dyDescent="0.2">
      <c r="B22" t="s">
        <v>165</v>
      </c>
      <c r="D22" s="2">
        <v>41998</v>
      </c>
    </row>
    <row r="23" spans="2:4" x14ac:dyDescent="0.2">
      <c r="B23" t="s">
        <v>276</v>
      </c>
      <c r="D23" s="2">
        <v>41778</v>
      </c>
    </row>
    <row r="24" spans="2:4" x14ac:dyDescent="0.2">
      <c r="B24" t="s">
        <v>277</v>
      </c>
      <c r="D24" s="19">
        <v>41766</v>
      </c>
    </row>
    <row r="25" spans="2:4" x14ac:dyDescent="0.2">
      <c r="B25" t="s">
        <v>278</v>
      </c>
      <c r="D25" s="19">
        <v>41767</v>
      </c>
    </row>
    <row r="26" spans="2:4" x14ac:dyDescent="0.2">
      <c r="B26" t="s">
        <v>474</v>
      </c>
      <c r="D26" s="2">
        <v>41977</v>
      </c>
    </row>
    <row r="27" spans="2:4" x14ac:dyDescent="0.2">
      <c r="B27" t="s">
        <v>279</v>
      </c>
      <c r="D27" s="2">
        <v>42005</v>
      </c>
    </row>
    <row r="28" spans="2:4" x14ac:dyDescent="0.2">
      <c r="B28" t="s">
        <v>280</v>
      </c>
      <c r="D28" s="2">
        <v>42009</v>
      </c>
    </row>
    <row r="29" spans="2:4" x14ac:dyDescent="0.2">
      <c r="B29" t="s">
        <v>281</v>
      </c>
      <c r="D29" s="2">
        <v>42023</v>
      </c>
    </row>
    <row r="30" spans="2:4" x14ac:dyDescent="0.2">
      <c r="B30" s="17" t="s">
        <v>423</v>
      </c>
      <c r="C30" s="17"/>
      <c r="D30" s="20">
        <v>41759</v>
      </c>
    </row>
    <row r="31" spans="2:4" x14ac:dyDescent="0.2">
      <c r="B31" t="s">
        <v>459</v>
      </c>
      <c r="D31" s="2">
        <v>41674</v>
      </c>
    </row>
    <row r="32" spans="2:4" x14ac:dyDescent="0.2">
      <c r="D32" s="16"/>
    </row>
    <row r="33" spans="2:4" x14ac:dyDescent="0.2">
      <c r="D33" s="1"/>
    </row>
    <row r="34" spans="2:4" x14ac:dyDescent="0.2">
      <c r="B34" t="s">
        <v>158</v>
      </c>
      <c r="D34" s="1"/>
    </row>
    <row r="35" spans="2:4" x14ac:dyDescent="0.2">
      <c r="D35" s="1"/>
    </row>
    <row r="36" spans="2:4" x14ac:dyDescent="0.2">
      <c r="D36" s="1"/>
    </row>
    <row r="37" spans="2:4" x14ac:dyDescent="0.2">
      <c r="D37" s="1"/>
    </row>
  </sheetData>
  <customSheetViews>
    <customSheetView guid="{AF05579C-59D0-4F4D-8ED6-E846AF6F886E}" showPageBreaks="1" printArea="1">
      <selection activeCell="D40" sqref="D40"/>
      <pageMargins left="0.75" right="0.75" top="1" bottom="1" header="0.5" footer="0.5"/>
      <pageSetup orientation="portrait" r:id="rId1"/>
      <headerFooter alignWithMargins="0"/>
    </customSheetView>
    <customSheetView guid="{30D18750-0A40-470A-8C22-C58298CCAE3D}">
      <selection activeCell="B11" sqref="B11"/>
      <pageMargins left="0.75" right="0.75" top="1" bottom="1" header="0.5" footer="0.5"/>
      <pageSetup orientation="portrait" r:id="rId2"/>
      <headerFooter alignWithMargins="0"/>
    </customSheetView>
    <customSheetView guid="{4CD37756-88F7-4A0C-8770-471EE52F0DF3}" showRuler="0">
      <selection activeCell="D10" sqref="D10"/>
      <pageMargins left="0.75" right="0.75" top="1" bottom="1" header="0.5" footer="0.5"/>
      <pageSetup orientation="portrait" r:id="rId3"/>
      <headerFooter alignWithMargins="0"/>
    </customSheetView>
    <customSheetView guid="{C3D592C8-E09B-46A0-B7A0-269FE31F7F4F}" showRuler="0">
      <selection activeCell="D10" sqref="D10"/>
      <pageMargins left="0.75" right="0.75" top="1" bottom="1" header="0.5" footer="0.5"/>
      <pageSetup orientation="portrait" r:id="rId4"/>
      <headerFooter alignWithMargins="0"/>
    </customSheetView>
    <customSheetView guid="{E031DE5B-75C1-4BA9-A517-8F9FA84EB332}" showPageBreaks="1" printArea="1" showRuler="0" topLeftCell="A7">
      <selection activeCell="D10" sqref="D10"/>
      <pageMargins left="0.75" right="0.75" top="1" bottom="1" header="0.5" footer="0.5"/>
      <pageSetup orientation="portrait" r:id="rId5"/>
      <headerFooter alignWithMargins="0"/>
    </customSheetView>
    <customSheetView guid="{CB6906BD-AF04-46E9-A0FF-483553DCAC96}" showPageBreaks="1" printArea="1">
      <selection activeCell="D40" sqref="D40"/>
      <pageMargins left="0.75" right="0.75" top="1" bottom="1" header="0.5" footer="0.5"/>
      <pageSetup orientation="portrait" r:id="rId6"/>
      <headerFooter alignWithMargins="0"/>
    </customSheetView>
  </customSheetViews>
  <phoneticPr fontId="1" type="noConversion"/>
  <pageMargins left="0.75" right="0.75" top="1" bottom="1" header="0.5" footer="0.5"/>
  <pageSetup orientation="portrait" r:id="rId7"/>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92"/>
  <sheetViews>
    <sheetView tabSelected="1" zoomScale="60" zoomScaleNormal="60" workbookViewId="0">
      <selection activeCell="A2" sqref="A2"/>
    </sheetView>
  </sheetViews>
  <sheetFormatPr defaultColWidth="16.42578125" defaultRowHeight="12.75" x14ac:dyDescent="0.2"/>
  <cols>
    <col min="1" max="1" width="31.7109375" customWidth="1"/>
    <col min="2" max="2" width="29.28515625" customWidth="1"/>
    <col min="3" max="3" width="49.7109375" customWidth="1"/>
    <col min="4" max="4" width="15.7109375" customWidth="1"/>
    <col min="5" max="6" width="9.7109375" customWidth="1"/>
  </cols>
  <sheetData>
    <row r="1" spans="1:8" ht="20.25" customHeight="1" x14ac:dyDescent="0.3">
      <c r="A1" s="44" t="s">
        <v>1942</v>
      </c>
      <c r="B1" s="45"/>
      <c r="C1" s="45"/>
      <c r="D1" s="45"/>
      <c r="E1" s="45"/>
      <c r="F1" s="45"/>
      <c r="G1" s="13"/>
      <c r="H1" s="13"/>
    </row>
    <row r="2" spans="1:8" x14ac:dyDescent="0.2">
      <c r="A2" s="43" t="s">
        <v>1950</v>
      </c>
    </row>
    <row r="3" spans="1:8" ht="80.099999999999994" customHeight="1" x14ac:dyDescent="0.25">
      <c r="A3" s="49" t="s">
        <v>470</v>
      </c>
      <c r="B3" s="50"/>
      <c r="C3" s="50"/>
      <c r="D3" s="50"/>
      <c r="E3" s="50"/>
      <c r="F3" s="50"/>
      <c r="G3" s="9"/>
      <c r="H3" s="9"/>
    </row>
    <row r="5" spans="1:8" ht="30" customHeight="1" x14ac:dyDescent="0.25">
      <c r="A5" s="51" t="s">
        <v>471</v>
      </c>
      <c r="B5" s="51"/>
      <c r="C5" s="51"/>
      <c r="D5" s="51"/>
      <c r="E5" s="51"/>
      <c r="F5" s="51"/>
      <c r="G5" s="10"/>
      <c r="H5" s="10"/>
    </row>
    <row r="7" spans="1:8" ht="30" customHeight="1" x14ac:dyDescent="0.25">
      <c r="A7" s="46" t="s">
        <v>472</v>
      </c>
      <c r="B7" s="47"/>
      <c r="C7" s="47"/>
      <c r="D7" s="47"/>
      <c r="E7" s="47"/>
      <c r="F7" s="47"/>
      <c r="G7" s="8"/>
      <c r="H7" s="8"/>
    </row>
    <row r="8" spans="1:8" ht="15.75" x14ac:dyDescent="0.25">
      <c r="A8" s="11"/>
      <c r="B8" s="12"/>
      <c r="C8" s="12"/>
      <c r="D8" s="12"/>
      <c r="E8" s="12"/>
      <c r="F8" s="12"/>
      <c r="G8" s="8"/>
      <c r="H8" s="8"/>
    </row>
    <row r="9" spans="1:8" ht="50.1" customHeight="1" x14ac:dyDescent="0.25">
      <c r="A9" s="46" t="s">
        <v>473</v>
      </c>
      <c r="B9" s="47"/>
      <c r="C9" s="47"/>
      <c r="D9" s="47"/>
      <c r="E9" s="47"/>
      <c r="F9" s="47"/>
      <c r="G9" s="8"/>
      <c r="H9" s="8"/>
    </row>
    <row r="10" spans="1:8" ht="12.75" customHeight="1" x14ac:dyDescent="0.25">
      <c r="A10" s="11"/>
      <c r="B10" s="12"/>
      <c r="C10" s="12"/>
      <c r="D10" s="12"/>
      <c r="E10" s="12"/>
      <c r="F10" s="12"/>
      <c r="G10" s="8"/>
      <c r="H10" s="8"/>
    </row>
    <row r="11" spans="1:8" ht="95.1" customHeight="1" x14ac:dyDescent="0.25">
      <c r="A11" s="46" t="s">
        <v>457</v>
      </c>
      <c r="B11" s="48"/>
      <c r="C11" s="48"/>
      <c r="D11" s="48"/>
      <c r="E11" s="48"/>
      <c r="F11" s="48"/>
      <c r="G11" s="8"/>
      <c r="H11" s="8"/>
    </row>
    <row r="12" spans="1:8" ht="12.75" customHeight="1" x14ac:dyDescent="0.25">
      <c r="A12" s="11"/>
      <c r="B12" s="12"/>
      <c r="C12" s="12"/>
      <c r="D12" s="12"/>
      <c r="E12" s="12"/>
      <c r="F12" s="12"/>
      <c r="G12" s="8"/>
      <c r="H12" s="8"/>
    </row>
    <row r="13" spans="1:8" ht="35.1" customHeight="1" x14ac:dyDescent="0.25">
      <c r="A13" s="48" t="s">
        <v>370</v>
      </c>
      <c r="B13" s="48"/>
      <c r="C13" s="48"/>
      <c r="D13" s="48"/>
      <c r="E13" s="48"/>
      <c r="F13" s="48"/>
      <c r="G13" s="8"/>
      <c r="H13" s="8"/>
    </row>
    <row r="14" spans="1:8" ht="12.75" customHeight="1" x14ac:dyDescent="0.25">
      <c r="A14" s="11"/>
      <c r="B14" s="12"/>
      <c r="C14" s="12"/>
      <c r="D14" s="12"/>
      <c r="E14" s="12"/>
      <c r="F14" s="12"/>
      <c r="G14" s="8"/>
      <c r="H14" s="8"/>
    </row>
    <row r="15" spans="1:8" ht="15.75" customHeight="1" x14ac:dyDescent="0.25">
      <c r="A15" s="48" t="s">
        <v>371</v>
      </c>
      <c r="B15" s="48"/>
      <c r="C15" s="48"/>
      <c r="D15" s="48"/>
      <c r="E15" s="48"/>
      <c r="F15" s="48"/>
      <c r="G15" s="8"/>
      <c r="H15" s="8"/>
    </row>
    <row r="16" spans="1:8" ht="12.75" customHeight="1" x14ac:dyDescent="0.25">
      <c r="A16" s="11"/>
      <c r="B16" s="12"/>
      <c r="C16" s="12"/>
      <c r="D16" s="12"/>
      <c r="E16" s="12"/>
      <c r="F16" s="12"/>
      <c r="G16" s="8"/>
      <c r="H16" s="8"/>
    </row>
    <row r="17" spans="1:8" ht="80.099999999999994" customHeight="1" x14ac:dyDescent="0.25">
      <c r="A17" s="46" t="s">
        <v>100</v>
      </c>
      <c r="B17" s="47"/>
      <c r="C17" s="47"/>
      <c r="D17" s="47"/>
      <c r="E17" s="47"/>
      <c r="F17" s="47"/>
      <c r="G17" s="8"/>
      <c r="H17" s="8"/>
    </row>
    <row r="18" spans="1:8" ht="12.75" customHeight="1" x14ac:dyDescent="0.25">
      <c r="A18" s="11"/>
      <c r="B18" s="12"/>
      <c r="C18" s="12"/>
      <c r="D18" s="12"/>
      <c r="E18" s="12"/>
      <c r="F18" s="12"/>
      <c r="G18" s="8"/>
      <c r="H18" s="8"/>
    </row>
    <row r="19" spans="1:8" s="15" customFormat="1" ht="90" customHeight="1" x14ac:dyDescent="0.2">
      <c r="A19" s="52" t="s">
        <v>390</v>
      </c>
      <c r="B19" s="53"/>
      <c r="C19" s="53"/>
      <c r="D19" s="53"/>
      <c r="E19" s="53"/>
      <c r="F19" s="53"/>
      <c r="G19" s="14"/>
      <c r="H19" s="14"/>
    </row>
    <row r="20" spans="1:8" ht="15" customHeight="1" x14ac:dyDescent="0.25">
      <c r="A20" s="11"/>
      <c r="B20" s="12"/>
      <c r="C20" s="12"/>
      <c r="D20" s="12"/>
      <c r="E20" s="12"/>
      <c r="F20" s="12"/>
      <c r="G20" s="8"/>
      <c r="H20" s="8"/>
    </row>
    <row r="21" spans="1:8" ht="90" customHeight="1" x14ac:dyDescent="0.25">
      <c r="A21" s="46" t="s">
        <v>101</v>
      </c>
      <c r="B21" s="46"/>
      <c r="C21" s="46"/>
      <c r="D21" s="46"/>
      <c r="E21" s="46"/>
      <c r="F21" s="46"/>
      <c r="G21" s="8"/>
      <c r="H21" s="8"/>
    </row>
    <row r="22" spans="1:8" ht="12.75" customHeight="1" x14ac:dyDescent="0.25">
      <c r="A22" s="11"/>
      <c r="B22" s="12"/>
      <c r="C22" s="12"/>
      <c r="D22" s="12"/>
      <c r="E22" s="12"/>
      <c r="F22" s="12"/>
      <c r="G22" s="8"/>
      <c r="H22" s="8"/>
    </row>
    <row r="23" spans="1:8" ht="99.95" customHeight="1" x14ac:dyDescent="0.25">
      <c r="A23" s="46" t="s">
        <v>402</v>
      </c>
      <c r="B23" s="47"/>
      <c r="C23" s="47"/>
      <c r="D23" s="47"/>
      <c r="E23" s="47"/>
      <c r="F23" s="47"/>
      <c r="G23" s="8"/>
      <c r="H23" s="8"/>
    </row>
    <row r="25" spans="1:8" ht="15.75" x14ac:dyDescent="0.2">
      <c r="A25" s="7" t="s">
        <v>282</v>
      </c>
      <c r="B25" s="3" t="s">
        <v>283</v>
      </c>
      <c r="C25" s="4" t="s">
        <v>284</v>
      </c>
      <c r="D25" s="5" t="s">
        <v>285</v>
      </c>
      <c r="E25" s="6" t="s">
        <v>286</v>
      </c>
      <c r="F25" s="6" t="s">
        <v>287</v>
      </c>
    </row>
    <row r="26" spans="1:8" ht="135.75" customHeight="1" x14ac:dyDescent="0.2">
      <c r="A26" s="21">
        <v>41603</v>
      </c>
      <c r="B26" s="21">
        <v>41603</v>
      </c>
      <c r="C26" s="22" t="s">
        <v>476</v>
      </c>
      <c r="D26" s="23" t="s">
        <v>348</v>
      </c>
      <c r="E26" s="24" t="s">
        <v>61</v>
      </c>
      <c r="F26" s="24" t="s">
        <v>241</v>
      </c>
    </row>
    <row r="27" spans="1:8" ht="134.25" customHeight="1" x14ac:dyDescent="0.2">
      <c r="A27" s="21">
        <v>41603</v>
      </c>
      <c r="B27" s="21">
        <v>41603</v>
      </c>
      <c r="C27" s="22" t="s">
        <v>475</v>
      </c>
      <c r="D27" s="23" t="s">
        <v>348</v>
      </c>
      <c r="E27" s="24" t="s">
        <v>80</v>
      </c>
      <c r="F27" s="24" t="s">
        <v>241</v>
      </c>
    </row>
    <row r="28" spans="1:8" ht="69.75" customHeight="1" x14ac:dyDescent="0.2">
      <c r="A28" s="21">
        <f>+Dates!$D$9-98</f>
        <v>41611</v>
      </c>
      <c r="B28" s="21">
        <f>+Dates!$D$9-98</f>
        <v>41611</v>
      </c>
      <c r="C28" s="22" t="s">
        <v>478</v>
      </c>
      <c r="D28" s="23" t="s">
        <v>122</v>
      </c>
      <c r="E28" s="24" t="s">
        <v>80</v>
      </c>
      <c r="F28" s="24" t="s">
        <v>305</v>
      </c>
    </row>
    <row r="29" spans="1:8" ht="73.5" customHeight="1" x14ac:dyDescent="0.2">
      <c r="A29" s="33">
        <f>+Dates!$D$9-98</f>
        <v>41611</v>
      </c>
      <c r="B29" s="33">
        <f>+Dates!$D$9-98</f>
        <v>41611</v>
      </c>
      <c r="C29" s="34" t="s">
        <v>479</v>
      </c>
      <c r="D29" s="35" t="s">
        <v>122</v>
      </c>
      <c r="E29" s="36" t="s">
        <v>301</v>
      </c>
      <c r="F29" s="36" t="s">
        <v>305</v>
      </c>
    </row>
    <row r="30" spans="1:8" ht="69.75" customHeight="1" x14ac:dyDescent="0.2">
      <c r="A30" s="21">
        <v>41612</v>
      </c>
      <c r="B30" s="21">
        <v>41612</v>
      </c>
      <c r="C30" s="22" t="s">
        <v>1341</v>
      </c>
      <c r="D30" s="23" t="s">
        <v>348</v>
      </c>
      <c r="E30" s="24" t="s">
        <v>61</v>
      </c>
      <c r="F30" s="24" t="s">
        <v>241</v>
      </c>
    </row>
    <row r="31" spans="1:8" ht="58.5" customHeight="1" x14ac:dyDescent="0.2">
      <c r="A31" s="21">
        <v>41612</v>
      </c>
      <c r="B31" s="21">
        <v>41612</v>
      </c>
      <c r="C31" s="22" t="s">
        <v>1342</v>
      </c>
      <c r="D31" s="23" t="s">
        <v>348</v>
      </c>
      <c r="E31" s="24" t="s">
        <v>80</v>
      </c>
      <c r="F31" s="24" t="s">
        <v>241</v>
      </c>
    </row>
    <row r="32" spans="1:8" ht="71.25" customHeight="1" x14ac:dyDescent="0.2">
      <c r="A32" s="21">
        <v>41612</v>
      </c>
      <c r="B32" s="21">
        <v>41612</v>
      </c>
      <c r="C32" s="22" t="s">
        <v>477</v>
      </c>
      <c r="D32" s="23" t="s">
        <v>348</v>
      </c>
      <c r="E32" s="24" t="s">
        <v>289</v>
      </c>
      <c r="F32" s="24" t="s">
        <v>241</v>
      </c>
    </row>
    <row r="33" spans="1:6" ht="71.25" customHeight="1" x14ac:dyDescent="0.2">
      <c r="A33" s="21">
        <v>41612</v>
      </c>
      <c r="B33" s="21">
        <v>41612</v>
      </c>
      <c r="C33" s="22" t="s">
        <v>1343</v>
      </c>
      <c r="D33" s="23" t="s">
        <v>348</v>
      </c>
      <c r="E33" s="24" t="s">
        <v>291</v>
      </c>
      <c r="F33" s="24" t="s">
        <v>241</v>
      </c>
    </row>
    <row r="34" spans="1:6" s="41" customFormat="1" ht="67.5" customHeight="1" x14ac:dyDescent="0.2">
      <c r="A34" s="37">
        <v>41612</v>
      </c>
      <c r="B34" s="37">
        <v>41612</v>
      </c>
      <c r="C34" s="38" t="s">
        <v>1344</v>
      </c>
      <c r="D34" s="39" t="s">
        <v>348</v>
      </c>
      <c r="E34" s="40" t="s">
        <v>301</v>
      </c>
      <c r="F34" s="40" t="s">
        <v>241</v>
      </c>
    </row>
    <row r="35" spans="1:6" ht="73.5" customHeight="1" x14ac:dyDescent="0.2">
      <c r="A35" s="21">
        <v>41612</v>
      </c>
      <c r="B35" s="21">
        <v>41612</v>
      </c>
      <c r="C35" s="22" t="s">
        <v>1345</v>
      </c>
      <c r="D35" s="23" t="s">
        <v>348</v>
      </c>
      <c r="E35" s="24" t="s">
        <v>297</v>
      </c>
      <c r="F35" s="24" t="s">
        <v>241</v>
      </c>
    </row>
    <row r="36" spans="1:6" ht="69.75" customHeight="1" x14ac:dyDescent="0.2">
      <c r="A36" s="21">
        <f>+Dates!$D$9-90</f>
        <v>41619</v>
      </c>
      <c r="B36" s="21">
        <f>+Dates!$D$9-90</f>
        <v>41619</v>
      </c>
      <c r="C36" s="22" t="s">
        <v>480</v>
      </c>
      <c r="D36" s="23" t="s">
        <v>121</v>
      </c>
      <c r="E36" s="24" t="s">
        <v>80</v>
      </c>
      <c r="F36" s="24" t="s">
        <v>434</v>
      </c>
    </row>
    <row r="37" spans="1:6" ht="88.5" customHeight="1" x14ac:dyDescent="0.2">
      <c r="A37" s="21">
        <f>+Dates!$D$9-90</f>
        <v>41619</v>
      </c>
      <c r="B37" s="21">
        <f>+Dates!$D$9-90</f>
        <v>41619</v>
      </c>
      <c r="C37" s="22" t="s">
        <v>481</v>
      </c>
      <c r="D37" s="23" t="s">
        <v>121</v>
      </c>
      <c r="E37" s="24" t="s">
        <v>301</v>
      </c>
      <c r="F37" s="24" t="s">
        <v>434</v>
      </c>
    </row>
    <row r="38" spans="1:6" ht="112.5" customHeight="1" x14ac:dyDescent="0.2">
      <c r="A38" s="21">
        <f>+Dates!$D$9-90</f>
        <v>41619</v>
      </c>
      <c r="B38" s="21">
        <f>+Dates!$D$9-90</f>
        <v>41619</v>
      </c>
      <c r="C38" s="42" t="s">
        <v>495</v>
      </c>
      <c r="D38" s="23" t="s">
        <v>106</v>
      </c>
      <c r="E38" s="24" t="s">
        <v>61</v>
      </c>
      <c r="F38" s="24" t="s">
        <v>107</v>
      </c>
    </row>
    <row r="39" spans="1:6" ht="103.5" customHeight="1" x14ac:dyDescent="0.2">
      <c r="A39" s="21">
        <f>+Dates!$D$9-90</f>
        <v>41619</v>
      </c>
      <c r="B39" s="21">
        <f>+Dates!$D$9-90</f>
        <v>41619</v>
      </c>
      <c r="C39" s="22" t="s">
        <v>494</v>
      </c>
      <c r="D39" s="23" t="s">
        <v>106</v>
      </c>
      <c r="E39" s="24" t="s">
        <v>80</v>
      </c>
      <c r="F39" s="24" t="s">
        <v>107</v>
      </c>
    </row>
    <row r="40" spans="1:6" ht="107.25" customHeight="1" x14ac:dyDescent="0.2">
      <c r="A40" s="21">
        <f>+Dates!$D$9-90</f>
        <v>41619</v>
      </c>
      <c r="B40" s="21">
        <f>+Dates!$D$9-90</f>
        <v>41619</v>
      </c>
      <c r="C40" s="22" t="s">
        <v>496</v>
      </c>
      <c r="D40" s="23" t="s">
        <v>106</v>
      </c>
      <c r="E40" s="24" t="s">
        <v>301</v>
      </c>
      <c r="F40" s="24" t="s">
        <v>107</v>
      </c>
    </row>
    <row r="41" spans="1:6" ht="93" customHeight="1" x14ac:dyDescent="0.2">
      <c r="A41" s="21">
        <f>+Dates!$D$9-90</f>
        <v>41619</v>
      </c>
      <c r="B41" s="21">
        <f>+Dates!$D$9-90</f>
        <v>41619</v>
      </c>
      <c r="C41" s="22" t="s">
        <v>497</v>
      </c>
      <c r="D41" s="23" t="s">
        <v>106</v>
      </c>
      <c r="E41" s="24" t="s">
        <v>61</v>
      </c>
      <c r="F41" s="24" t="s">
        <v>107</v>
      </c>
    </row>
    <row r="42" spans="1:6" ht="90.75" customHeight="1" x14ac:dyDescent="0.2">
      <c r="A42" s="21">
        <f>+Dates!$D$9-90</f>
        <v>41619</v>
      </c>
      <c r="B42" s="21">
        <f>+Dates!$D$9-90</f>
        <v>41619</v>
      </c>
      <c r="C42" s="22" t="s">
        <v>493</v>
      </c>
      <c r="D42" s="23" t="s">
        <v>106</v>
      </c>
      <c r="E42" s="24" t="s">
        <v>80</v>
      </c>
      <c r="F42" s="24" t="s">
        <v>107</v>
      </c>
    </row>
    <row r="43" spans="1:6" ht="97.5" customHeight="1" x14ac:dyDescent="0.2">
      <c r="A43" s="21">
        <f>+Dates!$D$9-90</f>
        <v>41619</v>
      </c>
      <c r="B43" s="21">
        <f>+Dates!$D$9-90</f>
        <v>41619</v>
      </c>
      <c r="C43" s="22" t="s">
        <v>498</v>
      </c>
      <c r="D43" s="23" t="s">
        <v>106</v>
      </c>
      <c r="E43" s="24" t="s">
        <v>301</v>
      </c>
      <c r="F43" s="24" t="s">
        <v>107</v>
      </c>
    </row>
    <row r="44" spans="1:6" ht="88.5" customHeight="1" x14ac:dyDescent="0.2">
      <c r="A44" s="27">
        <f>+Dates!$D$6+40</f>
        <v>41623</v>
      </c>
      <c r="B44" s="28">
        <f>+Dates!$D$6+47</f>
        <v>41630</v>
      </c>
      <c r="C44" s="29" t="s">
        <v>1350</v>
      </c>
      <c r="D44" s="30" t="s">
        <v>59</v>
      </c>
      <c r="E44" s="31" t="s">
        <v>333</v>
      </c>
      <c r="F44" s="31" t="s">
        <v>290</v>
      </c>
    </row>
    <row r="45" spans="1:6" ht="88.5" customHeight="1" x14ac:dyDescent="0.2">
      <c r="A45" s="27">
        <f>+Dates!$D$6+40</f>
        <v>41623</v>
      </c>
      <c r="B45" s="28">
        <f>+Dates!$D$6+47</f>
        <v>41630</v>
      </c>
      <c r="C45" s="29" t="s">
        <v>324</v>
      </c>
      <c r="D45" s="30" t="s">
        <v>59</v>
      </c>
      <c r="E45" s="31" t="s">
        <v>160</v>
      </c>
      <c r="F45" s="31" t="s">
        <v>290</v>
      </c>
    </row>
    <row r="46" spans="1:6" ht="121.5" customHeight="1" x14ac:dyDescent="0.2">
      <c r="A46" s="21">
        <f>+Dates!$D$9-84</f>
        <v>41625</v>
      </c>
      <c r="B46" s="21">
        <f>+Dates!$D$9-84</f>
        <v>41625</v>
      </c>
      <c r="C46" s="22" t="s">
        <v>583</v>
      </c>
      <c r="D46" s="23" t="s">
        <v>98</v>
      </c>
      <c r="E46" s="24" t="s">
        <v>61</v>
      </c>
      <c r="F46" s="24" t="s">
        <v>111</v>
      </c>
    </row>
    <row r="47" spans="1:6" ht="120.75" customHeight="1" x14ac:dyDescent="0.2">
      <c r="A47" s="21">
        <f>+Dates!$D$9-84</f>
        <v>41625</v>
      </c>
      <c r="B47" s="21">
        <f>+Dates!$D$9-84</f>
        <v>41625</v>
      </c>
      <c r="C47" s="22" t="s">
        <v>585</v>
      </c>
      <c r="D47" s="23" t="s">
        <v>98</v>
      </c>
      <c r="E47" s="24" t="s">
        <v>80</v>
      </c>
      <c r="F47" s="24" t="s">
        <v>111</v>
      </c>
    </row>
    <row r="48" spans="1:6" ht="126.75" customHeight="1" x14ac:dyDescent="0.2">
      <c r="A48" s="21">
        <f>+Dates!$D$9-84</f>
        <v>41625</v>
      </c>
      <c r="B48" s="21">
        <f>+Dates!$D$9-84</f>
        <v>41625</v>
      </c>
      <c r="C48" s="22" t="s">
        <v>584</v>
      </c>
      <c r="D48" s="23" t="s">
        <v>98</v>
      </c>
      <c r="E48" s="24" t="s">
        <v>301</v>
      </c>
      <c r="F48" s="24" t="s">
        <v>111</v>
      </c>
    </row>
    <row r="49" spans="1:6" ht="187.5" customHeight="1" x14ac:dyDescent="0.2">
      <c r="A49" s="21">
        <f>+Dates!$D$9-84</f>
        <v>41625</v>
      </c>
      <c r="B49" s="21">
        <f>+Dates!$D$9-84</f>
        <v>41625</v>
      </c>
      <c r="C49" s="22" t="s">
        <v>586</v>
      </c>
      <c r="D49" s="23" t="s">
        <v>124</v>
      </c>
      <c r="E49" s="24" t="s">
        <v>301</v>
      </c>
      <c r="F49" s="24" t="s">
        <v>103</v>
      </c>
    </row>
    <row r="50" spans="1:6" ht="130.5" customHeight="1" x14ac:dyDescent="0.2">
      <c r="A50" s="21">
        <f>+Dates!$D$9-81</f>
        <v>41628</v>
      </c>
      <c r="B50" s="21">
        <f>+Dates!$D$9-81</f>
        <v>41628</v>
      </c>
      <c r="C50" s="22" t="s">
        <v>1772</v>
      </c>
      <c r="D50" s="23" t="s">
        <v>124</v>
      </c>
      <c r="E50" s="24" t="s">
        <v>301</v>
      </c>
      <c r="F50" s="24" t="s">
        <v>103</v>
      </c>
    </row>
    <row r="51" spans="1:6" ht="192.75" customHeight="1" x14ac:dyDescent="0.2">
      <c r="A51" s="21">
        <f>+Dates!$D$9-77</f>
        <v>41632</v>
      </c>
      <c r="B51" s="21">
        <f>+Dates!$D$9-77</f>
        <v>41632</v>
      </c>
      <c r="C51" s="22" t="s">
        <v>587</v>
      </c>
      <c r="D51" s="23" t="s">
        <v>124</v>
      </c>
      <c r="E51" s="24" t="s">
        <v>301</v>
      </c>
      <c r="F51" s="24" t="s">
        <v>103</v>
      </c>
    </row>
    <row r="52" spans="1:6" ht="68.25" customHeight="1" x14ac:dyDescent="0.2">
      <c r="A52" s="21">
        <v>41633</v>
      </c>
      <c r="B52" s="21">
        <v>41633</v>
      </c>
      <c r="C52" s="22" t="s">
        <v>483</v>
      </c>
      <c r="D52" s="23" t="s">
        <v>293</v>
      </c>
      <c r="E52" s="24" t="s">
        <v>294</v>
      </c>
      <c r="F52" s="24" t="s">
        <v>294</v>
      </c>
    </row>
    <row r="53" spans="1:6" ht="68.25" customHeight="1" x14ac:dyDescent="0.2">
      <c r="A53" s="21">
        <f>+Dates!$D$9-74</f>
        <v>41635</v>
      </c>
      <c r="B53" s="21">
        <f>+Dates!$D$9-74</f>
        <v>41635</v>
      </c>
      <c r="C53" s="22" t="s">
        <v>1740</v>
      </c>
      <c r="D53" s="23" t="s">
        <v>102</v>
      </c>
      <c r="E53" s="24" t="s">
        <v>61</v>
      </c>
      <c r="F53" s="24" t="s">
        <v>103</v>
      </c>
    </row>
    <row r="54" spans="1:6" ht="70.5" customHeight="1" x14ac:dyDescent="0.2">
      <c r="A54" s="21">
        <f>+Dates!$D$9-74</f>
        <v>41635</v>
      </c>
      <c r="B54" s="21">
        <f>+Dates!$D$9-74</f>
        <v>41635</v>
      </c>
      <c r="C54" s="22" t="s">
        <v>1739</v>
      </c>
      <c r="D54" s="23" t="s">
        <v>102</v>
      </c>
      <c r="E54" s="24" t="s">
        <v>80</v>
      </c>
      <c r="F54" s="24" t="s">
        <v>103</v>
      </c>
    </row>
    <row r="55" spans="1:6" ht="68.25" customHeight="1" x14ac:dyDescent="0.2">
      <c r="A55" s="21">
        <f>+Dates!$D$9-74</f>
        <v>41635</v>
      </c>
      <c r="B55" s="21">
        <f>+Dates!$D$9-74</f>
        <v>41635</v>
      </c>
      <c r="C55" s="22" t="s">
        <v>589</v>
      </c>
      <c r="D55" s="23" t="s">
        <v>102</v>
      </c>
      <c r="E55" s="24" t="s">
        <v>301</v>
      </c>
      <c r="F55" s="24" t="s">
        <v>103</v>
      </c>
    </row>
    <row r="56" spans="1:6" ht="70.5" customHeight="1" x14ac:dyDescent="0.2">
      <c r="A56" s="21">
        <f>+Dates!$D$9-74</f>
        <v>41635</v>
      </c>
      <c r="B56" s="21">
        <f>+Dates!$D$9-74</f>
        <v>41635</v>
      </c>
      <c r="C56" s="22" t="s">
        <v>1741</v>
      </c>
      <c r="D56" s="23" t="s">
        <v>104</v>
      </c>
      <c r="E56" s="24" t="s">
        <v>61</v>
      </c>
      <c r="F56" s="24" t="s">
        <v>103</v>
      </c>
    </row>
    <row r="57" spans="1:6" ht="81.75" customHeight="1" x14ac:dyDescent="0.2">
      <c r="A57" s="21">
        <f>+Dates!$D$9-74</f>
        <v>41635</v>
      </c>
      <c r="B57" s="21">
        <f>+Dates!$D$9-74</f>
        <v>41635</v>
      </c>
      <c r="C57" s="22" t="s">
        <v>1742</v>
      </c>
      <c r="D57" s="23" t="s">
        <v>104</v>
      </c>
      <c r="E57" s="24" t="s">
        <v>292</v>
      </c>
      <c r="F57" s="24" t="s">
        <v>103</v>
      </c>
    </row>
    <row r="58" spans="1:6" ht="81.75" customHeight="1" x14ac:dyDescent="0.2">
      <c r="A58" s="21">
        <f>+Dates!$D$9-74</f>
        <v>41635</v>
      </c>
      <c r="B58" s="21">
        <f>+Dates!$D$9-74</f>
        <v>41635</v>
      </c>
      <c r="C58" s="22" t="s">
        <v>1743</v>
      </c>
      <c r="D58" s="23" t="s">
        <v>104</v>
      </c>
      <c r="E58" s="24" t="s">
        <v>301</v>
      </c>
      <c r="F58" s="24" t="s">
        <v>103</v>
      </c>
    </row>
    <row r="59" spans="1:6" ht="240" customHeight="1" x14ac:dyDescent="0.2">
      <c r="A59" s="21">
        <v>41639</v>
      </c>
      <c r="B59" s="21">
        <v>41639</v>
      </c>
      <c r="C59" s="22" t="s">
        <v>482</v>
      </c>
      <c r="D59" s="23" t="s">
        <v>348</v>
      </c>
      <c r="E59" s="24" t="s">
        <v>292</v>
      </c>
      <c r="F59" s="24" t="s">
        <v>241</v>
      </c>
    </row>
    <row r="60" spans="1:6" ht="96.75" customHeight="1" x14ac:dyDescent="0.2">
      <c r="A60" s="21">
        <v>41639</v>
      </c>
      <c r="B60" s="21">
        <v>41639</v>
      </c>
      <c r="C60" s="22" t="s">
        <v>484</v>
      </c>
      <c r="D60" s="23" t="s">
        <v>348</v>
      </c>
      <c r="E60" s="24" t="s">
        <v>61</v>
      </c>
      <c r="F60" s="24" t="s">
        <v>241</v>
      </c>
    </row>
    <row r="61" spans="1:6" ht="96.75" customHeight="1" x14ac:dyDescent="0.2">
      <c r="A61" s="21">
        <f>+Dates!$D$9-70</f>
        <v>41639</v>
      </c>
      <c r="B61" s="21">
        <f>+Dates!$D$9-70</f>
        <v>41639</v>
      </c>
      <c r="C61" s="22" t="s">
        <v>1359</v>
      </c>
      <c r="D61" s="23" t="s">
        <v>141</v>
      </c>
      <c r="E61" s="24" t="s">
        <v>61</v>
      </c>
      <c r="F61" s="24" t="s">
        <v>119</v>
      </c>
    </row>
    <row r="62" spans="1:6" ht="83.25" customHeight="1" x14ac:dyDescent="0.2">
      <c r="A62" s="21">
        <f>+Dates!$D$9-70</f>
        <v>41639</v>
      </c>
      <c r="B62" s="21">
        <f>+Dates!$D$9-70</f>
        <v>41639</v>
      </c>
      <c r="C62" s="22" t="s">
        <v>1360</v>
      </c>
      <c r="D62" s="23" t="s">
        <v>141</v>
      </c>
      <c r="E62" s="24" t="s">
        <v>80</v>
      </c>
      <c r="F62" s="24" t="s">
        <v>119</v>
      </c>
    </row>
    <row r="63" spans="1:6" ht="87" customHeight="1" x14ac:dyDescent="0.2">
      <c r="A63" s="21">
        <f>+Dates!$D$9-70</f>
        <v>41639</v>
      </c>
      <c r="B63" s="21">
        <f>+Dates!$D$9-70</f>
        <v>41639</v>
      </c>
      <c r="C63" s="22" t="s">
        <v>458</v>
      </c>
      <c r="D63" s="23" t="s">
        <v>141</v>
      </c>
      <c r="E63" s="24" t="s">
        <v>301</v>
      </c>
      <c r="F63" s="24" t="s">
        <v>119</v>
      </c>
    </row>
    <row r="64" spans="1:6" ht="104.25" customHeight="1" x14ac:dyDescent="0.2">
      <c r="A64" s="21">
        <v>41639</v>
      </c>
      <c r="B64" s="21">
        <v>41639</v>
      </c>
      <c r="C64" s="22" t="s">
        <v>20</v>
      </c>
      <c r="D64" s="23" t="s">
        <v>21</v>
      </c>
      <c r="E64" s="24" t="s">
        <v>61</v>
      </c>
      <c r="F64" s="24" t="s">
        <v>305</v>
      </c>
    </row>
    <row r="65" spans="1:6" ht="103.5" customHeight="1" x14ac:dyDescent="0.2">
      <c r="A65" s="21">
        <v>41639</v>
      </c>
      <c r="B65" s="21">
        <v>41639</v>
      </c>
      <c r="C65" s="22" t="s">
        <v>79</v>
      </c>
      <c r="D65" s="23" t="s">
        <v>21</v>
      </c>
      <c r="E65" s="24" t="s">
        <v>80</v>
      </c>
      <c r="F65" s="24" t="s">
        <v>305</v>
      </c>
    </row>
    <row r="66" spans="1:6" ht="82.5" customHeight="1" x14ac:dyDescent="0.2">
      <c r="A66" s="21">
        <f>+Dates!$D$9-70</f>
        <v>41639</v>
      </c>
      <c r="B66" s="21">
        <f>+Dates!$D$9-70</f>
        <v>41639</v>
      </c>
      <c r="C66" s="22" t="s">
        <v>1416</v>
      </c>
      <c r="D66" s="23" t="s">
        <v>155</v>
      </c>
      <c r="E66" s="24" t="s">
        <v>61</v>
      </c>
      <c r="F66" s="24" t="s">
        <v>107</v>
      </c>
    </row>
    <row r="67" spans="1:6" ht="69" customHeight="1" x14ac:dyDescent="0.2">
      <c r="A67" s="21">
        <f>+Dates!$D$9-70</f>
        <v>41639</v>
      </c>
      <c r="B67" s="21">
        <f>+Dates!$D$9-70</f>
        <v>41639</v>
      </c>
      <c r="C67" s="22" t="s">
        <v>1417</v>
      </c>
      <c r="D67" s="23" t="s">
        <v>155</v>
      </c>
      <c r="E67" s="24" t="s">
        <v>80</v>
      </c>
      <c r="F67" s="24" t="s">
        <v>107</v>
      </c>
    </row>
    <row r="68" spans="1:6" ht="78" customHeight="1" x14ac:dyDescent="0.2">
      <c r="A68" s="21">
        <f>+Dates!$D$9-70</f>
        <v>41639</v>
      </c>
      <c r="B68" s="21">
        <f>+Dates!$D$9-70</f>
        <v>41639</v>
      </c>
      <c r="C68" s="22" t="s">
        <v>1504</v>
      </c>
      <c r="D68" s="23" t="s">
        <v>155</v>
      </c>
      <c r="E68" s="24" t="s">
        <v>301</v>
      </c>
      <c r="F68" s="24" t="s">
        <v>107</v>
      </c>
    </row>
    <row r="69" spans="1:6" ht="74.25" customHeight="1" x14ac:dyDescent="0.2">
      <c r="A69" s="21">
        <f>+Dates!$D$9-70</f>
        <v>41639</v>
      </c>
      <c r="B69" s="21">
        <f>+Dates!$D$9-56</f>
        <v>41653</v>
      </c>
      <c r="C69" s="22" t="s">
        <v>1419</v>
      </c>
      <c r="D69" s="23" t="s">
        <v>300</v>
      </c>
      <c r="E69" s="24" t="s">
        <v>61</v>
      </c>
      <c r="F69" s="24" t="s">
        <v>299</v>
      </c>
    </row>
    <row r="70" spans="1:6" ht="75.75" customHeight="1" x14ac:dyDescent="0.2">
      <c r="A70" s="21">
        <f>+Dates!$D$9-70</f>
        <v>41639</v>
      </c>
      <c r="B70" s="21">
        <f>+Dates!$D$9-56</f>
        <v>41653</v>
      </c>
      <c r="C70" s="22" t="s">
        <v>399</v>
      </c>
      <c r="D70" s="23" t="s">
        <v>300</v>
      </c>
      <c r="E70" s="24" t="s">
        <v>135</v>
      </c>
      <c r="F70" s="24" t="s">
        <v>299</v>
      </c>
    </row>
    <row r="71" spans="1:6" ht="73.5" customHeight="1" x14ac:dyDescent="0.2">
      <c r="A71" s="21">
        <f>+Dates!$D$9-70</f>
        <v>41639</v>
      </c>
      <c r="B71" s="21">
        <f>+Dates!$D$9-56</f>
        <v>41653</v>
      </c>
      <c r="C71" s="22" t="s">
        <v>1418</v>
      </c>
      <c r="D71" s="23" t="s">
        <v>300</v>
      </c>
      <c r="E71" s="24" t="s">
        <v>80</v>
      </c>
      <c r="F71" s="24" t="s">
        <v>299</v>
      </c>
    </row>
    <row r="72" spans="1:6" ht="81.75" customHeight="1" x14ac:dyDescent="0.2">
      <c r="A72" s="21">
        <f>+Dates!$D$9-70</f>
        <v>41639</v>
      </c>
      <c r="B72" s="21">
        <f>+Dates!$D$9-56</f>
        <v>41653</v>
      </c>
      <c r="C72" s="22" t="s">
        <v>159</v>
      </c>
      <c r="D72" s="23" t="s">
        <v>300</v>
      </c>
      <c r="E72" s="24" t="s">
        <v>301</v>
      </c>
      <c r="F72" s="24" t="s">
        <v>299</v>
      </c>
    </row>
    <row r="73" spans="1:6" ht="77.25" customHeight="1" x14ac:dyDescent="0.2">
      <c r="A73" s="21">
        <f>+Dates!$D$13</f>
        <v>41640</v>
      </c>
      <c r="B73" s="21">
        <f>+Dates!$D$13</f>
        <v>41640</v>
      </c>
      <c r="C73" s="22" t="s">
        <v>338</v>
      </c>
      <c r="D73" s="23" t="s">
        <v>293</v>
      </c>
      <c r="E73" s="24" t="s">
        <v>294</v>
      </c>
      <c r="F73" s="24" t="s">
        <v>294</v>
      </c>
    </row>
    <row r="74" spans="1:6" ht="168.75" customHeight="1" x14ac:dyDescent="0.2">
      <c r="A74" s="21">
        <v>41640</v>
      </c>
      <c r="B74" s="21">
        <v>41640</v>
      </c>
      <c r="C74" s="22" t="s">
        <v>1773</v>
      </c>
      <c r="D74" s="23" t="s">
        <v>4</v>
      </c>
      <c r="E74" s="24" t="s">
        <v>61</v>
      </c>
      <c r="F74" s="24" t="s">
        <v>195</v>
      </c>
    </row>
    <row r="75" spans="1:6" ht="168.75" customHeight="1" x14ac:dyDescent="0.2">
      <c r="A75" s="21">
        <v>41640</v>
      </c>
      <c r="B75" s="21">
        <v>41640</v>
      </c>
      <c r="C75" s="22" t="s">
        <v>1774</v>
      </c>
      <c r="D75" s="23" t="s">
        <v>4</v>
      </c>
      <c r="E75" s="24" t="s">
        <v>135</v>
      </c>
      <c r="F75" s="24" t="s">
        <v>195</v>
      </c>
    </row>
    <row r="76" spans="1:6" ht="168.75" customHeight="1" x14ac:dyDescent="0.2">
      <c r="A76" s="21">
        <v>41640</v>
      </c>
      <c r="B76" s="21">
        <v>41640</v>
      </c>
      <c r="C76" s="22" t="s">
        <v>1775</v>
      </c>
      <c r="D76" s="23" t="s">
        <v>4</v>
      </c>
      <c r="E76" s="24" t="s">
        <v>391</v>
      </c>
      <c r="F76" s="24" t="s">
        <v>195</v>
      </c>
    </row>
    <row r="77" spans="1:6" ht="164.25" customHeight="1" x14ac:dyDescent="0.2">
      <c r="A77" s="21">
        <v>41640</v>
      </c>
      <c r="B77" s="21">
        <v>41640</v>
      </c>
      <c r="C77" s="22" t="s">
        <v>1776</v>
      </c>
      <c r="D77" s="23" t="s">
        <v>4</v>
      </c>
      <c r="E77" s="24" t="s">
        <v>80</v>
      </c>
      <c r="F77" s="24" t="s">
        <v>195</v>
      </c>
    </row>
    <row r="78" spans="1:6" ht="175.5" customHeight="1" x14ac:dyDescent="0.2">
      <c r="A78" s="21">
        <v>41640</v>
      </c>
      <c r="B78" s="21">
        <v>41640</v>
      </c>
      <c r="C78" s="22" t="s">
        <v>1777</v>
      </c>
      <c r="D78" s="23" t="s">
        <v>4</v>
      </c>
      <c r="E78" s="24" t="s">
        <v>1062</v>
      </c>
      <c r="F78" s="24" t="s">
        <v>195</v>
      </c>
    </row>
    <row r="79" spans="1:6" ht="178.5" customHeight="1" x14ac:dyDescent="0.2">
      <c r="A79" s="21">
        <v>41640</v>
      </c>
      <c r="B79" s="21">
        <v>41640</v>
      </c>
      <c r="C79" s="22" t="s">
        <v>1778</v>
      </c>
      <c r="D79" s="23" t="s">
        <v>4</v>
      </c>
      <c r="E79" s="24" t="s">
        <v>289</v>
      </c>
      <c r="F79" s="24" t="s">
        <v>195</v>
      </c>
    </row>
    <row r="80" spans="1:6" ht="169.5" customHeight="1" x14ac:dyDescent="0.2">
      <c r="A80" s="21">
        <v>41640</v>
      </c>
      <c r="B80" s="21">
        <v>41640</v>
      </c>
      <c r="C80" s="22" t="s">
        <v>1779</v>
      </c>
      <c r="D80" s="23" t="s">
        <v>4</v>
      </c>
      <c r="E80" s="24" t="s">
        <v>291</v>
      </c>
      <c r="F80" s="24" t="s">
        <v>195</v>
      </c>
    </row>
    <row r="81" spans="1:6" ht="174.75" customHeight="1" x14ac:dyDescent="0.2">
      <c r="A81" s="21">
        <v>41640</v>
      </c>
      <c r="B81" s="21">
        <v>41640</v>
      </c>
      <c r="C81" s="22" t="s">
        <v>1780</v>
      </c>
      <c r="D81" s="23" t="s">
        <v>4</v>
      </c>
      <c r="E81" s="24" t="s">
        <v>301</v>
      </c>
      <c r="F81" s="24" t="s">
        <v>195</v>
      </c>
    </row>
    <row r="82" spans="1:6" ht="170.25" customHeight="1" x14ac:dyDescent="0.2">
      <c r="A82" s="21">
        <v>41640</v>
      </c>
      <c r="B82" s="21">
        <v>41640</v>
      </c>
      <c r="C82" s="22" t="s">
        <v>1781</v>
      </c>
      <c r="D82" s="23" t="s">
        <v>4</v>
      </c>
      <c r="E82" s="24" t="s">
        <v>297</v>
      </c>
      <c r="F82" s="24" t="s">
        <v>195</v>
      </c>
    </row>
    <row r="83" spans="1:6" ht="178.5" customHeight="1" x14ac:dyDescent="0.2">
      <c r="A83" s="21">
        <v>41640</v>
      </c>
      <c r="B83" s="21">
        <v>41640</v>
      </c>
      <c r="C83" s="22" t="s">
        <v>1782</v>
      </c>
      <c r="D83" s="23" t="s">
        <v>4</v>
      </c>
      <c r="E83" s="24" t="s">
        <v>333</v>
      </c>
      <c r="F83" s="24" t="s">
        <v>195</v>
      </c>
    </row>
    <row r="84" spans="1:6" ht="178.5" customHeight="1" x14ac:dyDescent="0.2">
      <c r="A84" s="21">
        <v>41640</v>
      </c>
      <c r="B84" s="21">
        <v>41640</v>
      </c>
      <c r="C84" s="22" t="s">
        <v>1783</v>
      </c>
      <c r="D84" s="23" t="s">
        <v>4</v>
      </c>
      <c r="E84" s="24" t="s">
        <v>160</v>
      </c>
      <c r="F84" s="24" t="s">
        <v>195</v>
      </c>
    </row>
    <row r="85" spans="1:6" ht="173.25" customHeight="1" x14ac:dyDescent="0.2">
      <c r="A85" s="21">
        <v>41640</v>
      </c>
      <c r="B85" s="21">
        <v>41640</v>
      </c>
      <c r="C85" s="22" t="s">
        <v>1784</v>
      </c>
      <c r="D85" s="23" t="s">
        <v>4</v>
      </c>
      <c r="E85" s="24" t="s">
        <v>295</v>
      </c>
      <c r="F85" s="24" t="s">
        <v>195</v>
      </c>
    </row>
    <row r="86" spans="1:6" ht="75.75" customHeight="1" x14ac:dyDescent="0.2">
      <c r="A86" s="21">
        <v>41640</v>
      </c>
      <c r="B86" s="21">
        <v>41640</v>
      </c>
      <c r="C86" s="22" t="s">
        <v>1563</v>
      </c>
      <c r="D86" s="23" t="s">
        <v>429</v>
      </c>
      <c r="E86" s="24" t="s">
        <v>61</v>
      </c>
      <c r="F86" s="24" t="s">
        <v>195</v>
      </c>
    </row>
    <row r="87" spans="1:6" ht="67.5" customHeight="1" x14ac:dyDescent="0.2">
      <c r="A87" s="21">
        <v>41640</v>
      </c>
      <c r="B87" s="21">
        <v>41640</v>
      </c>
      <c r="C87" s="22" t="s">
        <v>1564</v>
      </c>
      <c r="D87" s="23" t="s">
        <v>429</v>
      </c>
      <c r="E87" s="24" t="s">
        <v>80</v>
      </c>
      <c r="F87" s="24" t="s">
        <v>195</v>
      </c>
    </row>
    <row r="88" spans="1:6" ht="69.75" customHeight="1" x14ac:dyDescent="0.2">
      <c r="A88" s="21">
        <v>41640</v>
      </c>
      <c r="B88" s="25">
        <f>+Dates!$D$11</f>
        <v>41947</v>
      </c>
      <c r="C88" s="32" t="s">
        <v>1339</v>
      </c>
      <c r="D88" s="23" t="s">
        <v>298</v>
      </c>
      <c r="E88" s="24" t="s">
        <v>61</v>
      </c>
      <c r="F88" s="24" t="s">
        <v>299</v>
      </c>
    </row>
    <row r="89" spans="1:6" ht="73.5" customHeight="1" x14ac:dyDescent="0.2">
      <c r="A89" s="21">
        <v>41640</v>
      </c>
      <c r="B89" s="25">
        <f>+Dates!$D$11</f>
        <v>41947</v>
      </c>
      <c r="C89" s="22" t="s">
        <v>134</v>
      </c>
      <c r="D89" s="23" t="s">
        <v>298</v>
      </c>
      <c r="E89" s="24" t="s">
        <v>135</v>
      </c>
      <c r="F89" s="24" t="s">
        <v>299</v>
      </c>
    </row>
    <row r="90" spans="1:6" ht="71.25" customHeight="1" x14ac:dyDescent="0.2">
      <c r="A90" s="21">
        <v>41640</v>
      </c>
      <c r="B90" s="25">
        <f>+Dates!$D$11</f>
        <v>41947</v>
      </c>
      <c r="C90" s="22" t="s">
        <v>1340</v>
      </c>
      <c r="D90" s="23" t="s">
        <v>298</v>
      </c>
      <c r="E90" s="24" t="s">
        <v>391</v>
      </c>
      <c r="F90" s="24" t="s">
        <v>299</v>
      </c>
    </row>
    <row r="91" spans="1:6" ht="96" customHeight="1" x14ac:dyDescent="0.2">
      <c r="A91" s="21">
        <f>+Dates!$D$8</f>
        <v>41645</v>
      </c>
      <c r="B91" s="21">
        <f>+Dates!$D$8</f>
        <v>41645</v>
      </c>
      <c r="C91" s="22" t="s">
        <v>573</v>
      </c>
      <c r="D91" s="23" t="s">
        <v>7</v>
      </c>
      <c r="E91" s="24" t="s">
        <v>61</v>
      </c>
      <c r="F91" s="24" t="s">
        <v>290</v>
      </c>
    </row>
    <row r="92" spans="1:6" ht="105" customHeight="1" x14ac:dyDescent="0.2">
      <c r="A92" s="21">
        <f>+Dates!$D$8</f>
        <v>41645</v>
      </c>
      <c r="B92" s="21">
        <f>+Dates!$D$8</f>
        <v>41645</v>
      </c>
      <c r="C92" s="22" t="s">
        <v>574</v>
      </c>
      <c r="D92" s="23" t="s">
        <v>486</v>
      </c>
      <c r="E92" s="24" t="s">
        <v>80</v>
      </c>
      <c r="F92" s="24" t="s">
        <v>290</v>
      </c>
    </row>
    <row r="93" spans="1:6" ht="72.75" customHeight="1" x14ac:dyDescent="0.2">
      <c r="A93" s="21">
        <f>+Dates!$D$8</f>
        <v>41645</v>
      </c>
      <c r="B93" s="21">
        <f>+Dates!$D$8</f>
        <v>41645</v>
      </c>
      <c r="C93" s="22" t="s">
        <v>575</v>
      </c>
      <c r="D93" s="23" t="s">
        <v>288</v>
      </c>
      <c r="E93" s="24" t="s">
        <v>291</v>
      </c>
      <c r="F93" s="24" t="s">
        <v>290</v>
      </c>
    </row>
    <row r="94" spans="1:6" ht="71.25" customHeight="1" x14ac:dyDescent="0.2">
      <c r="A94" s="21">
        <f>+Dates!$D$8</f>
        <v>41645</v>
      </c>
      <c r="B94" s="21">
        <f>+Dates!$D$8</f>
        <v>41645</v>
      </c>
      <c r="C94" s="22" t="s">
        <v>576</v>
      </c>
      <c r="D94" s="23" t="s">
        <v>288</v>
      </c>
      <c r="E94" s="24" t="s">
        <v>289</v>
      </c>
      <c r="F94" s="24" t="s">
        <v>290</v>
      </c>
    </row>
    <row r="95" spans="1:6" ht="87.75" customHeight="1" x14ac:dyDescent="0.2">
      <c r="A95" s="21">
        <f>+Dates!$D$8</f>
        <v>41645</v>
      </c>
      <c r="B95" s="21">
        <f>+Dates!$D$8</f>
        <v>41645</v>
      </c>
      <c r="C95" s="22" t="s">
        <v>577</v>
      </c>
      <c r="D95" s="23" t="s">
        <v>296</v>
      </c>
      <c r="E95" s="24" t="s">
        <v>297</v>
      </c>
      <c r="F95" s="24" t="s">
        <v>290</v>
      </c>
    </row>
    <row r="96" spans="1:6" ht="89.25" customHeight="1" x14ac:dyDescent="0.2">
      <c r="A96" s="21">
        <f>+Dates!$D$8</f>
        <v>41645</v>
      </c>
      <c r="B96" s="21">
        <f>+Dates!$D$8</f>
        <v>41645</v>
      </c>
      <c r="C96" s="22" t="s">
        <v>578</v>
      </c>
      <c r="D96" s="23" t="s">
        <v>487</v>
      </c>
      <c r="E96" s="24" t="s">
        <v>333</v>
      </c>
      <c r="F96" s="24" t="s">
        <v>290</v>
      </c>
    </row>
    <row r="97" spans="1:6" ht="87" customHeight="1" x14ac:dyDescent="0.2">
      <c r="A97" s="21">
        <f>+Dates!$D$8</f>
        <v>41645</v>
      </c>
      <c r="B97" s="21">
        <f>+Dates!$D$8</f>
        <v>41645</v>
      </c>
      <c r="C97" s="22" t="s">
        <v>579</v>
      </c>
      <c r="D97" s="23" t="s">
        <v>487</v>
      </c>
      <c r="E97" s="24" t="s">
        <v>160</v>
      </c>
      <c r="F97" s="24" t="s">
        <v>290</v>
      </c>
    </row>
    <row r="98" spans="1:6" ht="85.5" customHeight="1" x14ac:dyDescent="0.2">
      <c r="A98" s="21">
        <f>+Dates!$D$9-62</f>
        <v>41647</v>
      </c>
      <c r="B98" s="21">
        <f>+Dates!$D$9-62</f>
        <v>41647</v>
      </c>
      <c r="C98" s="26" t="s">
        <v>189</v>
      </c>
      <c r="D98" s="23" t="s">
        <v>188</v>
      </c>
      <c r="E98" s="24" t="s">
        <v>61</v>
      </c>
      <c r="F98" s="24" t="s">
        <v>118</v>
      </c>
    </row>
    <row r="99" spans="1:6" ht="85.5" customHeight="1" x14ac:dyDescent="0.2">
      <c r="A99" s="21">
        <f>+Dates!$D$9-62</f>
        <v>41647</v>
      </c>
      <c r="B99" s="21">
        <f>+Dates!$D$9-62</f>
        <v>41647</v>
      </c>
      <c r="C99" s="26" t="s">
        <v>1361</v>
      </c>
      <c r="D99" s="23" t="s">
        <v>188</v>
      </c>
      <c r="E99" s="24" t="s">
        <v>80</v>
      </c>
      <c r="F99" s="24" t="s">
        <v>118</v>
      </c>
    </row>
    <row r="100" spans="1:6" ht="95.25" customHeight="1" x14ac:dyDescent="0.2">
      <c r="A100" s="21">
        <f>+Dates!$D$9-62</f>
        <v>41647</v>
      </c>
      <c r="B100" s="21">
        <f>+Dates!$D$9-62</f>
        <v>41647</v>
      </c>
      <c r="C100" s="26" t="s">
        <v>69</v>
      </c>
      <c r="D100" s="23" t="s">
        <v>188</v>
      </c>
      <c r="E100" s="24" t="s">
        <v>301</v>
      </c>
      <c r="F100" s="24" t="s">
        <v>118</v>
      </c>
    </row>
    <row r="101" spans="1:6" ht="94.5" customHeight="1" x14ac:dyDescent="0.2">
      <c r="A101" s="21">
        <f>+Dates!$D$9-60</f>
        <v>41649</v>
      </c>
      <c r="B101" s="21">
        <f>+Dates!$D$9-60</f>
        <v>41649</v>
      </c>
      <c r="C101" s="22" t="s">
        <v>433</v>
      </c>
      <c r="D101" s="23" t="s">
        <v>231</v>
      </c>
      <c r="E101" s="24" t="s">
        <v>301</v>
      </c>
      <c r="F101" s="24" t="s">
        <v>306</v>
      </c>
    </row>
    <row r="102" spans="1:6" ht="32.25" customHeight="1" x14ac:dyDescent="0.2">
      <c r="A102" s="21">
        <v>41652</v>
      </c>
      <c r="B102" s="21">
        <v>41656</v>
      </c>
      <c r="C102" s="22" t="s">
        <v>243</v>
      </c>
      <c r="D102" s="23"/>
      <c r="E102" s="24" t="s">
        <v>80</v>
      </c>
      <c r="F102" s="24"/>
    </row>
    <row r="103" spans="1:6" ht="48" customHeight="1" x14ac:dyDescent="0.2">
      <c r="A103" s="21">
        <v>41652</v>
      </c>
      <c r="B103" s="21">
        <v>41656</v>
      </c>
      <c r="C103" s="22" t="s">
        <v>244</v>
      </c>
      <c r="D103" s="23"/>
      <c r="E103" s="24" t="s">
        <v>61</v>
      </c>
      <c r="F103" s="24"/>
    </row>
    <row r="104" spans="1:6" ht="114" customHeight="1" x14ac:dyDescent="0.2">
      <c r="A104" s="21">
        <f>+Dates!$D$9-56</f>
        <v>41653</v>
      </c>
      <c r="B104" s="21">
        <f>+Dates!$D$9-56</f>
        <v>41653</v>
      </c>
      <c r="C104" s="22" t="s">
        <v>488</v>
      </c>
      <c r="D104" s="23" t="s">
        <v>300</v>
      </c>
      <c r="E104" s="24" t="s">
        <v>61</v>
      </c>
      <c r="F104" s="24" t="s">
        <v>299</v>
      </c>
    </row>
    <row r="105" spans="1:6" ht="107.25" customHeight="1" x14ac:dyDescent="0.2">
      <c r="A105" s="21">
        <f>+Dates!$D$9-56</f>
        <v>41653</v>
      </c>
      <c r="B105" s="21">
        <f>+Dates!$D$9-56</f>
        <v>41653</v>
      </c>
      <c r="C105" s="22" t="s">
        <v>489</v>
      </c>
      <c r="D105" s="23" t="s">
        <v>300</v>
      </c>
      <c r="E105" s="24" t="s">
        <v>80</v>
      </c>
      <c r="F105" s="24" t="s">
        <v>299</v>
      </c>
    </row>
    <row r="106" spans="1:6" ht="123.75" customHeight="1" x14ac:dyDescent="0.2">
      <c r="A106" s="21">
        <f>+Dates!$D$9-56</f>
        <v>41653</v>
      </c>
      <c r="B106" s="21">
        <f>+Dates!$D$9-56</f>
        <v>41653</v>
      </c>
      <c r="C106" s="22" t="s">
        <v>490</v>
      </c>
      <c r="D106" s="23" t="s">
        <v>300</v>
      </c>
      <c r="E106" s="24" t="s">
        <v>301</v>
      </c>
      <c r="F106" s="24" t="s">
        <v>299</v>
      </c>
    </row>
    <row r="107" spans="1:6" ht="112.5" customHeight="1" x14ac:dyDescent="0.2">
      <c r="A107" s="21">
        <f>+Dates!$D$9-56</f>
        <v>41653</v>
      </c>
      <c r="B107" s="21">
        <f>+Dates!$D$9-56</f>
        <v>41653</v>
      </c>
      <c r="C107" s="22" t="s">
        <v>491</v>
      </c>
      <c r="D107" s="23" t="s">
        <v>300</v>
      </c>
      <c r="E107" s="24" t="s">
        <v>135</v>
      </c>
      <c r="F107" s="24" t="s">
        <v>299</v>
      </c>
    </row>
    <row r="108" spans="1:6" ht="122.25" customHeight="1" x14ac:dyDescent="0.2">
      <c r="A108" s="21">
        <f>+Dates!$D$9-56</f>
        <v>41653</v>
      </c>
      <c r="B108" s="21">
        <f>+Dates!$D$9+56</f>
        <v>41765</v>
      </c>
      <c r="C108" s="22" t="s">
        <v>1603</v>
      </c>
      <c r="D108" s="23" t="s">
        <v>1362</v>
      </c>
      <c r="E108" s="24" t="s">
        <v>61</v>
      </c>
      <c r="F108" s="24" t="s">
        <v>17</v>
      </c>
    </row>
    <row r="109" spans="1:6" ht="122.25" customHeight="1" x14ac:dyDescent="0.2">
      <c r="A109" s="21">
        <f>+Dates!$D$9-56</f>
        <v>41653</v>
      </c>
      <c r="B109" s="21">
        <f>+Dates!$D$9+56</f>
        <v>41765</v>
      </c>
      <c r="C109" s="22" t="s">
        <v>1604</v>
      </c>
      <c r="D109" s="23" t="s">
        <v>1362</v>
      </c>
      <c r="E109" s="24" t="s">
        <v>80</v>
      </c>
      <c r="F109" s="24" t="s">
        <v>17</v>
      </c>
    </row>
    <row r="110" spans="1:6" ht="140.25" customHeight="1" x14ac:dyDescent="0.2">
      <c r="A110" s="21">
        <f>+Dates!$D$9-56</f>
        <v>41653</v>
      </c>
      <c r="B110" s="21">
        <f>+Dates!$D$9+56</f>
        <v>41765</v>
      </c>
      <c r="C110" s="22" t="s">
        <v>522</v>
      </c>
      <c r="D110" s="23" t="s">
        <v>18</v>
      </c>
      <c r="E110" s="24" t="s">
        <v>333</v>
      </c>
      <c r="F110" s="24" t="s">
        <v>17</v>
      </c>
    </row>
    <row r="111" spans="1:6" ht="138.75" customHeight="1" x14ac:dyDescent="0.2">
      <c r="A111" s="21">
        <f>+Dates!$D$9-56</f>
        <v>41653</v>
      </c>
      <c r="B111" s="21">
        <f>+Dates!$D$9+56</f>
        <v>41765</v>
      </c>
      <c r="C111" s="22" t="s">
        <v>523</v>
      </c>
      <c r="D111" s="23" t="s">
        <v>18</v>
      </c>
      <c r="E111" s="24" t="s">
        <v>160</v>
      </c>
      <c r="F111" s="24" t="s">
        <v>17</v>
      </c>
    </row>
    <row r="112" spans="1:6" ht="129.75" customHeight="1" x14ac:dyDescent="0.2">
      <c r="A112" s="21">
        <f>+Dates!$D$9-56</f>
        <v>41653</v>
      </c>
      <c r="B112" s="21">
        <f>+Dates!$D$9+56</f>
        <v>41765</v>
      </c>
      <c r="C112" s="22" t="s">
        <v>521</v>
      </c>
      <c r="D112" s="23" t="s">
        <v>16</v>
      </c>
      <c r="E112" s="24" t="s">
        <v>295</v>
      </c>
      <c r="F112" s="24" t="s">
        <v>17</v>
      </c>
    </row>
    <row r="113" spans="1:6" ht="121.5" customHeight="1" x14ac:dyDescent="0.2">
      <c r="A113" s="21">
        <f>+Dates!$D$31-20</f>
        <v>41654</v>
      </c>
      <c r="B113" s="21">
        <f>+Dates!$D$31-20</f>
        <v>41654</v>
      </c>
      <c r="C113" s="22" t="s">
        <v>212</v>
      </c>
      <c r="D113" s="23" t="s">
        <v>343</v>
      </c>
      <c r="E113" s="24" t="s">
        <v>61</v>
      </c>
      <c r="F113" s="24" t="s">
        <v>200</v>
      </c>
    </row>
    <row r="114" spans="1:6" ht="106.5" customHeight="1" x14ac:dyDescent="0.2">
      <c r="A114" s="21">
        <f>+Dates!$D$31-20</f>
        <v>41654</v>
      </c>
      <c r="B114" s="21">
        <f>+Dates!$D$31-20</f>
        <v>41654</v>
      </c>
      <c r="C114" s="22" t="s">
        <v>84</v>
      </c>
      <c r="D114" s="23" t="s">
        <v>343</v>
      </c>
      <c r="E114" s="24" t="s">
        <v>292</v>
      </c>
      <c r="F114" s="24" t="s">
        <v>200</v>
      </c>
    </row>
    <row r="115" spans="1:6" ht="107.25" customHeight="1" x14ac:dyDescent="0.2">
      <c r="A115" s="21">
        <f>+Dates!$D$31-20</f>
        <v>41654</v>
      </c>
      <c r="B115" s="21">
        <f>+Dates!$D$31-20</f>
        <v>41654</v>
      </c>
      <c r="C115" s="22" t="s">
        <v>210</v>
      </c>
      <c r="D115" s="23" t="s">
        <v>343</v>
      </c>
      <c r="E115" s="24" t="s">
        <v>391</v>
      </c>
      <c r="F115" s="24" t="s">
        <v>200</v>
      </c>
    </row>
    <row r="116" spans="1:6" ht="126" customHeight="1" x14ac:dyDescent="0.2">
      <c r="A116" s="21">
        <f>+Dates!$D$31-20</f>
        <v>41654</v>
      </c>
      <c r="B116" s="21">
        <f>+Dates!$D$31-20</f>
        <v>41654</v>
      </c>
      <c r="C116" s="22" t="s">
        <v>213</v>
      </c>
      <c r="D116" s="23" t="s">
        <v>344</v>
      </c>
      <c r="E116" s="24" t="s">
        <v>61</v>
      </c>
      <c r="F116" s="24" t="s">
        <v>200</v>
      </c>
    </row>
    <row r="117" spans="1:6" ht="126.75" customHeight="1" x14ac:dyDescent="0.2">
      <c r="A117" s="21">
        <f>+Dates!$D$31-20</f>
        <v>41654</v>
      </c>
      <c r="B117" s="21">
        <f>+Dates!$D$31-20</f>
        <v>41654</v>
      </c>
      <c r="C117" s="22" t="s">
        <v>1785</v>
      </c>
      <c r="D117" s="23" t="s">
        <v>344</v>
      </c>
      <c r="E117" s="24" t="s">
        <v>292</v>
      </c>
      <c r="F117" s="24" t="s">
        <v>200</v>
      </c>
    </row>
    <row r="118" spans="1:6" ht="126" customHeight="1" x14ac:dyDescent="0.2">
      <c r="A118" s="21">
        <f>+Dates!$D$31-20</f>
        <v>41654</v>
      </c>
      <c r="B118" s="21">
        <f>+Dates!$D$31-20</f>
        <v>41654</v>
      </c>
      <c r="C118" s="22" t="s">
        <v>173</v>
      </c>
      <c r="D118" s="23" t="s">
        <v>344</v>
      </c>
      <c r="E118" s="24" t="s">
        <v>289</v>
      </c>
      <c r="F118" s="24" t="s">
        <v>200</v>
      </c>
    </row>
    <row r="119" spans="1:6" ht="126" customHeight="1" x14ac:dyDescent="0.2">
      <c r="A119" s="21">
        <f>+Dates!$D$31-20</f>
        <v>41654</v>
      </c>
      <c r="B119" s="21">
        <f>+Dates!$D$31-20</f>
        <v>41654</v>
      </c>
      <c r="C119" s="22" t="s">
        <v>209</v>
      </c>
      <c r="D119" s="23" t="s">
        <v>344</v>
      </c>
      <c r="E119" s="24" t="s">
        <v>291</v>
      </c>
      <c r="F119" s="24" t="s">
        <v>200</v>
      </c>
    </row>
    <row r="120" spans="1:6" ht="119.25" customHeight="1" x14ac:dyDescent="0.2">
      <c r="A120" s="21">
        <f>+Dates!$D$31-20</f>
        <v>41654</v>
      </c>
      <c r="B120" s="21">
        <f>+Dates!$D$31-20</f>
        <v>41654</v>
      </c>
      <c r="C120" s="22" t="s">
        <v>389</v>
      </c>
      <c r="D120" s="23" t="s">
        <v>344</v>
      </c>
      <c r="E120" s="24" t="s">
        <v>301</v>
      </c>
      <c r="F120" s="24" t="s">
        <v>200</v>
      </c>
    </row>
    <row r="121" spans="1:6" ht="123" customHeight="1" x14ac:dyDescent="0.2">
      <c r="A121" s="21">
        <f>+Dates!$D$31-20</f>
        <v>41654</v>
      </c>
      <c r="B121" s="21">
        <f>+Dates!$D$31-20</f>
        <v>41654</v>
      </c>
      <c r="C121" s="22" t="s">
        <v>317</v>
      </c>
      <c r="D121" s="23" t="s">
        <v>344</v>
      </c>
      <c r="E121" s="24" t="s">
        <v>297</v>
      </c>
      <c r="F121" s="24" t="s">
        <v>200</v>
      </c>
    </row>
    <row r="122" spans="1:6" ht="129.75" customHeight="1" x14ac:dyDescent="0.2">
      <c r="A122" s="21">
        <f>+Dates!$D$31-20</f>
        <v>41654</v>
      </c>
      <c r="B122" s="21">
        <f>+Dates!$D$31-20</f>
        <v>41654</v>
      </c>
      <c r="C122" s="22" t="s">
        <v>211</v>
      </c>
      <c r="D122" s="23" t="s">
        <v>344</v>
      </c>
      <c r="E122" s="24" t="s">
        <v>391</v>
      </c>
      <c r="F122" s="24" t="s">
        <v>200</v>
      </c>
    </row>
    <row r="123" spans="1:6" ht="78" customHeight="1" x14ac:dyDescent="0.2">
      <c r="A123" s="21">
        <f>+Dates!$D$9-54</f>
        <v>41655</v>
      </c>
      <c r="B123" s="21">
        <f>+Dates!$D$9-54</f>
        <v>41655</v>
      </c>
      <c r="C123" s="22" t="s">
        <v>1358</v>
      </c>
      <c r="D123" s="23" t="s">
        <v>109</v>
      </c>
      <c r="E123" s="24" t="s">
        <v>61</v>
      </c>
      <c r="F123" s="24" t="s">
        <v>299</v>
      </c>
    </row>
    <row r="124" spans="1:6" ht="74.25" customHeight="1" x14ac:dyDescent="0.2">
      <c r="A124" s="21">
        <f>+Dates!$D$9-54</f>
        <v>41655</v>
      </c>
      <c r="B124" s="21">
        <f>+Dates!$D$9-54</f>
        <v>41655</v>
      </c>
      <c r="C124" s="22" t="s">
        <v>1356</v>
      </c>
      <c r="D124" s="23" t="s">
        <v>109</v>
      </c>
      <c r="E124" s="24" t="s">
        <v>135</v>
      </c>
      <c r="F124" s="24" t="s">
        <v>299</v>
      </c>
    </row>
    <row r="125" spans="1:6" ht="70.5" customHeight="1" x14ac:dyDescent="0.2">
      <c r="A125" s="21">
        <f>+Dates!$D$9-54</f>
        <v>41655</v>
      </c>
      <c r="B125" s="21">
        <f>+Dates!$D$9-54</f>
        <v>41655</v>
      </c>
      <c r="C125" s="22" t="s">
        <v>1357</v>
      </c>
      <c r="D125" s="23" t="s">
        <v>109</v>
      </c>
      <c r="E125" s="24" t="s">
        <v>80</v>
      </c>
      <c r="F125" s="24" t="s">
        <v>299</v>
      </c>
    </row>
    <row r="126" spans="1:6" ht="72" customHeight="1" x14ac:dyDescent="0.2">
      <c r="A126" s="21">
        <f>+Dates!$D$9-54</f>
        <v>41655</v>
      </c>
      <c r="B126" s="21">
        <f>+Dates!$D$9-54</f>
        <v>41655</v>
      </c>
      <c r="C126" s="22" t="s">
        <v>456</v>
      </c>
      <c r="D126" s="23" t="s">
        <v>109</v>
      </c>
      <c r="E126" s="24" t="s">
        <v>301</v>
      </c>
      <c r="F126" s="24" t="s">
        <v>299</v>
      </c>
    </row>
    <row r="127" spans="1:6" ht="73.5" customHeight="1" x14ac:dyDescent="0.2">
      <c r="A127" s="21">
        <f>+Dates!$D$14</f>
        <v>41659</v>
      </c>
      <c r="B127" s="21">
        <f>+Dates!$D$14</f>
        <v>41659</v>
      </c>
      <c r="C127" s="22" t="s">
        <v>108</v>
      </c>
      <c r="D127" s="23" t="s">
        <v>293</v>
      </c>
      <c r="E127" s="24" t="s">
        <v>294</v>
      </c>
      <c r="F127" s="24" t="s">
        <v>294</v>
      </c>
    </row>
    <row r="128" spans="1:6" ht="108.75" customHeight="1" x14ac:dyDescent="0.2">
      <c r="A128" s="21">
        <f>+Dates!$D$9-46</f>
        <v>41663</v>
      </c>
      <c r="B128" s="21">
        <f>+Dates!$D$9-46</f>
        <v>41663</v>
      </c>
      <c r="C128" s="22" t="s">
        <v>1355</v>
      </c>
      <c r="D128" s="23" t="s">
        <v>420</v>
      </c>
      <c r="E128" s="24" t="s">
        <v>61</v>
      </c>
      <c r="F128" s="24" t="s">
        <v>111</v>
      </c>
    </row>
    <row r="129" spans="1:6" ht="120" customHeight="1" x14ac:dyDescent="0.2">
      <c r="A129" s="21">
        <f>+Dates!$D$9-46</f>
        <v>41663</v>
      </c>
      <c r="B129" s="21">
        <f>+Dates!$D$9-46</f>
        <v>41663</v>
      </c>
      <c r="C129" s="22" t="s">
        <v>1354</v>
      </c>
      <c r="D129" s="23" t="s">
        <v>420</v>
      </c>
      <c r="E129" s="24" t="s">
        <v>80</v>
      </c>
      <c r="F129" s="24" t="s">
        <v>111</v>
      </c>
    </row>
    <row r="130" spans="1:6" ht="110.25" customHeight="1" x14ac:dyDescent="0.2">
      <c r="A130" s="21">
        <f>+Dates!$D$9-46</f>
        <v>41663</v>
      </c>
      <c r="B130" s="21">
        <f>+Dates!$D$9-46</f>
        <v>41663</v>
      </c>
      <c r="C130" s="22" t="s">
        <v>1353</v>
      </c>
      <c r="D130" s="23" t="s">
        <v>420</v>
      </c>
      <c r="E130" s="24" t="s">
        <v>301</v>
      </c>
      <c r="F130" s="24" t="s">
        <v>111</v>
      </c>
    </row>
    <row r="131" spans="1:6" ht="109.5" customHeight="1" x14ac:dyDescent="0.2">
      <c r="A131" s="21">
        <f>+Dates!$D$9-46</f>
        <v>41663</v>
      </c>
      <c r="B131" s="21">
        <f>+Dates!$D$9-46</f>
        <v>41663</v>
      </c>
      <c r="C131" s="22" t="s">
        <v>590</v>
      </c>
      <c r="D131" s="23" t="s">
        <v>500</v>
      </c>
      <c r="E131" s="24" t="s">
        <v>61</v>
      </c>
      <c r="F131" s="24" t="s">
        <v>105</v>
      </c>
    </row>
    <row r="132" spans="1:6" ht="106.5" customHeight="1" x14ac:dyDescent="0.2">
      <c r="A132" s="21">
        <f>+Dates!$D$9-46</f>
        <v>41663</v>
      </c>
      <c r="B132" s="21">
        <f>+Dates!$D$9-46</f>
        <v>41663</v>
      </c>
      <c r="C132" s="22" t="s">
        <v>501</v>
      </c>
      <c r="D132" s="23" t="s">
        <v>500</v>
      </c>
      <c r="E132" s="24" t="s">
        <v>80</v>
      </c>
      <c r="F132" s="24" t="s">
        <v>105</v>
      </c>
    </row>
    <row r="133" spans="1:6" ht="115.5" customHeight="1" x14ac:dyDescent="0.2">
      <c r="A133" s="21">
        <f>+Dates!$D$9-46</f>
        <v>41663</v>
      </c>
      <c r="B133" s="21">
        <f>+Dates!$D$9-46</f>
        <v>41663</v>
      </c>
      <c r="C133" s="22" t="s">
        <v>499</v>
      </c>
      <c r="D133" s="23" t="s">
        <v>500</v>
      </c>
      <c r="E133" s="24" t="s">
        <v>301</v>
      </c>
      <c r="F133" s="24" t="s">
        <v>105</v>
      </c>
    </row>
    <row r="134" spans="1:6" ht="111" customHeight="1" x14ac:dyDescent="0.2">
      <c r="A134" s="21">
        <f>+Dates!$D$31-11</f>
        <v>41663</v>
      </c>
      <c r="B134" s="21">
        <f>+Dates!$D$31-11</f>
        <v>41663</v>
      </c>
      <c r="C134" s="22" t="s">
        <v>320</v>
      </c>
      <c r="D134" s="23" t="s">
        <v>344</v>
      </c>
      <c r="E134" s="24" t="s">
        <v>61</v>
      </c>
      <c r="F134" s="24" t="s">
        <v>200</v>
      </c>
    </row>
    <row r="135" spans="1:6" ht="111" customHeight="1" x14ac:dyDescent="0.2">
      <c r="A135" s="21">
        <f>+Dates!$D$31-11</f>
        <v>41663</v>
      </c>
      <c r="B135" s="21">
        <f>+Dates!$D$31-11</f>
        <v>41663</v>
      </c>
      <c r="C135" s="22" t="s">
        <v>318</v>
      </c>
      <c r="D135" s="23" t="s">
        <v>344</v>
      </c>
      <c r="E135" s="24" t="s">
        <v>292</v>
      </c>
      <c r="F135" s="24" t="s">
        <v>200</v>
      </c>
    </row>
    <row r="136" spans="1:6" ht="111" customHeight="1" x14ac:dyDescent="0.2">
      <c r="A136" s="21">
        <f>+Dates!$D$31-11</f>
        <v>41663</v>
      </c>
      <c r="B136" s="21">
        <f>+Dates!$D$31-11</f>
        <v>41663</v>
      </c>
      <c r="C136" s="22" t="s">
        <v>319</v>
      </c>
      <c r="D136" s="23" t="s">
        <v>344</v>
      </c>
      <c r="E136" s="24" t="s">
        <v>391</v>
      </c>
      <c r="F136" s="24" t="s">
        <v>200</v>
      </c>
    </row>
    <row r="137" spans="1:6" ht="252.75" customHeight="1" x14ac:dyDescent="0.2">
      <c r="A137" s="21">
        <f>+Dates!$D$9-46</f>
        <v>41663</v>
      </c>
      <c r="B137" s="25">
        <f>+Dates!$D$9</f>
        <v>41709</v>
      </c>
      <c r="C137" s="22" t="s">
        <v>1420</v>
      </c>
      <c r="D137" s="23" t="s">
        <v>153</v>
      </c>
      <c r="E137" s="24" t="s">
        <v>61</v>
      </c>
      <c r="F137" s="24" t="s">
        <v>305</v>
      </c>
    </row>
    <row r="138" spans="1:6" ht="257.25" customHeight="1" x14ac:dyDescent="0.2">
      <c r="A138" s="21">
        <f>+Dates!$D$9-46</f>
        <v>41663</v>
      </c>
      <c r="B138" s="25">
        <f>+Dates!$D$9</f>
        <v>41709</v>
      </c>
      <c r="C138" s="22" t="s">
        <v>1421</v>
      </c>
      <c r="D138" s="23" t="s">
        <v>153</v>
      </c>
      <c r="E138" s="24" t="s">
        <v>80</v>
      </c>
      <c r="F138" s="24" t="s">
        <v>305</v>
      </c>
    </row>
    <row r="139" spans="1:6" ht="255" customHeight="1" x14ac:dyDescent="0.2">
      <c r="A139" s="21">
        <f>+Dates!$D$9-46</f>
        <v>41663</v>
      </c>
      <c r="B139" s="25">
        <f>+Dates!$D$9</f>
        <v>41709</v>
      </c>
      <c r="C139" s="22" t="s">
        <v>1422</v>
      </c>
      <c r="D139" s="23" t="s">
        <v>153</v>
      </c>
      <c r="E139" s="24" t="s">
        <v>301</v>
      </c>
      <c r="F139" s="24" t="s">
        <v>305</v>
      </c>
    </row>
    <row r="140" spans="1:6" ht="207.75" customHeight="1" x14ac:dyDescent="0.2">
      <c r="A140" s="21">
        <f>+Dates!$D$9-46</f>
        <v>41663</v>
      </c>
      <c r="B140" s="25">
        <f>+Dates!$D$9-14</f>
        <v>41695</v>
      </c>
      <c r="C140" s="22" t="s">
        <v>1505</v>
      </c>
      <c r="D140" s="23" t="s">
        <v>155</v>
      </c>
      <c r="E140" s="24" t="s">
        <v>61</v>
      </c>
      <c r="F140" s="24" t="s">
        <v>107</v>
      </c>
    </row>
    <row r="141" spans="1:6" ht="198" customHeight="1" x14ac:dyDescent="0.2">
      <c r="A141" s="21">
        <f>+Dates!$D$9-46</f>
        <v>41663</v>
      </c>
      <c r="B141" s="25">
        <f>+Dates!$D$9-14</f>
        <v>41695</v>
      </c>
      <c r="C141" s="22" t="s">
        <v>1506</v>
      </c>
      <c r="D141" s="23" t="s">
        <v>155</v>
      </c>
      <c r="E141" s="24" t="s">
        <v>80</v>
      </c>
      <c r="F141" s="24" t="s">
        <v>107</v>
      </c>
    </row>
    <row r="142" spans="1:6" ht="200.25" customHeight="1" x14ac:dyDescent="0.2">
      <c r="A142" s="21">
        <f>+Dates!$D$9-46</f>
        <v>41663</v>
      </c>
      <c r="B142" s="25">
        <f>+Dates!$D$9-14</f>
        <v>41695</v>
      </c>
      <c r="C142" s="22" t="s">
        <v>1507</v>
      </c>
      <c r="D142" s="23" t="s">
        <v>155</v>
      </c>
      <c r="E142" s="24" t="s">
        <v>301</v>
      </c>
      <c r="F142" s="24" t="s">
        <v>107</v>
      </c>
    </row>
    <row r="143" spans="1:6" ht="81" customHeight="1" x14ac:dyDescent="0.2">
      <c r="A143" s="21">
        <f>+Dates!$D$9-42</f>
        <v>41667</v>
      </c>
      <c r="B143" s="21">
        <f>+Dates!$D$9-42</f>
        <v>41667</v>
      </c>
      <c r="C143" s="22" t="s">
        <v>502</v>
      </c>
      <c r="D143" s="23" t="s">
        <v>336</v>
      </c>
      <c r="E143" s="24" t="s">
        <v>61</v>
      </c>
      <c r="F143" s="24" t="s">
        <v>107</v>
      </c>
    </row>
    <row r="144" spans="1:6" ht="64.5" customHeight="1" x14ac:dyDescent="0.2">
      <c r="A144" s="21">
        <f>+Dates!$D$9-42</f>
        <v>41667</v>
      </c>
      <c r="B144" s="21">
        <f>+Dates!$D$9-42</f>
        <v>41667</v>
      </c>
      <c r="C144" s="22" t="s">
        <v>503</v>
      </c>
      <c r="D144" s="23" t="s">
        <v>336</v>
      </c>
      <c r="E144" s="24" t="s">
        <v>80</v>
      </c>
      <c r="F144" s="24" t="s">
        <v>107</v>
      </c>
    </row>
    <row r="145" spans="1:6" ht="71.25" customHeight="1" x14ac:dyDescent="0.2">
      <c r="A145" s="21">
        <f>+Dates!$D$9-42</f>
        <v>41667</v>
      </c>
      <c r="B145" s="21">
        <f>+Dates!$D$9-42</f>
        <v>41667</v>
      </c>
      <c r="C145" s="22" t="s">
        <v>504</v>
      </c>
      <c r="D145" s="23" t="s">
        <v>336</v>
      </c>
      <c r="E145" s="24" t="s">
        <v>301</v>
      </c>
      <c r="F145" s="24" t="s">
        <v>107</v>
      </c>
    </row>
    <row r="146" spans="1:6" ht="108.75" customHeight="1" x14ac:dyDescent="0.2">
      <c r="A146" s="21">
        <f>+Dates!$D$9-42</f>
        <v>41667</v>
      </c>
      <c r="B146" s="21">
        <f>+Dates!$D$9-1</f>
        <v>41708</v>
      </c>
      <c r="C146" s="22" t="s">
        <v>505</v>
      </c>
      <c r="D146" s="23" t="s">
        <v>231</v>
      </c>
      <c r="E146" s="24" t="s">
        <v>80</v>
      </c>
      <c r="F146" s="24" t="s">
        <v>306</v>
      </c>
    </row>
    <row r="147" spans="1:6" ht="107.25" customHeight="1" x14ac:dyDescent="0.2">
      <c r="A147" s="21">
        <f>+Dates!$D$9-42</f>
        <v>41667</v>
      </c>
      <c r="B147" s="21">
        <f>+Dates!$D$9-1</f>
        <v>41708</v>
      </c>
      <c r="C147" s="22" t="s">
        <v>492</v>
      </c>
      <c r="D147" s="23" t="s">
        <v>231</v>
      </c>
      <c r="E147" s="24" t="s">
        <v>301</v>
      </c>
      <c r="F147" s="24" t="s">
        <v>306</v>
      </c>
    </row>
    <row r="148" spans="1:6" ht="122.25" customHeight="1" x14ac:dyDescent="0.2">
      <c r="A148" s="21">
        <f>+Dates!$D$31-6</f>
        <v>41668</v>
      </c>
      <c r="B148" s="21">
        <f>+Dates!$D$31-6</f>
        <v>41668</v>
      </c>
      <c r="C148" s="22" t="s">
        <v>322</v>
      </c>
      <c r="D148" s="23" t="s">
        <v>344</v>
      </c>
      <c r="E148" s="24" t="s">
        <v>61</v>
      </c>
      <c r="F148" s="24" t="s">
        <v>200</v>
      </c>
    </row>
    <row r="149" spans="1:6" ht="114.75" customHeight="1" x14ac:dyDescent="0.2">
      <c r="A149" s="21">
        <f>+Dates!$D$31-6</f>
        <v>41668</v>
      </c>
      <c r="B149" s="21">
        <f>+Dates!$D$31-6</f>
        <v>41668</v>
      </c>
      <c r="C149" s="22" t="s">
        <v>275</v>
      </c>
      <c r="D149" s="23" t="s">
        <v>344</v>
      </c>
      <c r="E149" s="24" t="s">
        <v>292</v>
      </c>
      <c r="F149" s="24" t="s">
        <v>200</v>
      </c>
    </row>
    <row r="150" spans="1:6" ht="114" customHeight="1" x14ac:dyDescent="0.2">
      <c r="A150" s="21">
        <f>+Dates!$D$31-6</f>
        <v>41668</v>
      </c>
      <c r="B150" s="21">
        <f>+Dates!$D$31-6</f>
        <v>41668</v>
      </c>
      <c r="C150" s="22" t="s">
        <v>592</v>
      </c>
      <c r="D150" s="23" t="s">
        <v>344</v>
      </c>
      <c r="E150" s="24" t="s">
        <v>289</v>
      </c>
      <c r="F150" s="24" t="s">
        <v>200</v>
      </c>
    </row>
    <row r="151" spans="1:6" ht="129.75" customHeight="1" x14ac:dyDescent="0.2">
      <c r="A151" s="21">
        <f>+Dates!$D$31-6</f>
        <v>41668</v>
      </c>
      <c r="B151" s="21">
        <f>+Dates!$D$31-6</f>
        <v>41668</v>
      </c>
      <c r="C151" s="22" t="s">
        <v>274</v>
      </c>
      <c r="D151" s="23" t="s">
        <v>344</v>
      </c>
      <c r="E151" s="24" t="s">
        <v>291</v>
      </c>
      <c r="F151" s="24" t="s">
        <v>200</v>
      </c>
    </row>
    <row r="152" spans="1:6" ht="131.25" customHeight="1" x14ac:dyDescent="0.2">
      <c r="A152" s="21">
        <f>+Dates!$D$31-6</f>
        <v>41668</v>
      </c>
      <c r="B152" s="21">
        <f>+Dates!$D$31-6</f>
        <v>41668</v>
      </c>
      <c r="C152" s="22" t="s">
        <v>506</v>
      </c>
      <c r="D152" s="23" t="s">
        <v>344</v>
      </c>
      <c r="E152" s="24" t="s">
        <v>301</v>
      </c>
      <c r="F152" s="24" t="s">
        <v>200</v>
      </c>
    </row>
    <row r="153" spans="1:6" ht="122.25" customHeight="1" x14ac:dyDescent="0.2">
      <c r="A153" s="21">
        <f>+Dates!$D$31-6</f>
        <v>41668</v>
      </c>
      <c r="B153" s="21">
        <f>+Dates!$D$31-6</f>
        <v>41668</v>
      </c>
      <c r="C153" s="22" t="s">
        <v>313</v>
      </c>
      <c r="D153" s="23" t="s">
        <v>344</v>
      </c>
      <c r="E153" s="24" t="s">
        <v>297</v>
      </c>
      <c r="F153" s="24" t="s">
        <v>200</v>
      </c>
    </row>
    <row r="154" spans="1:6" ht="108.75" customHeight="1" x14ac:dyDescent="0.2">
      <c r="A154" s="21">
        <f>+Dates!$D$31-6</f>
        <v>41668</v>
      </c>
      <c r="B154" s="21">
        <f>+Dates!$D$31-6</f>
        <v>41668</v>
      </c>
      <c r="C154" s="22" t="s">
        <v>401</v>
      </c>
      <c r="D154" s="23" t="s">
        <v>344</v>
      </c>
      <c r="E154" s="24" t="s">
        <v>391</v>
      </c>
      <c r="F154" s="24" t="s">
        <v>200</v>
      </c>
    </row>
    <row r="155" spans="1:6" ht="138.75" customHeight="1" x14ac:dyDescent="0.2">
      <c r="A155" s="21">
        <f>+Dates!$D$9-41</f>
        <v>41668</v>
      </c>
      <c r="B155" s="25">
        <f>+Dates!$D$9</f>
        <v>41709</v>
      </c>
      <c r="C155" s="22" t="s">
        <v>1508</v>
      </c>
      <c r="D155" s="23" t="s">
        <v>155</v>
      </c>
      <c r="E155" s="24" t="s">
        <v>61</v>
      </c>
      <c r="F155" s="24" t="s">
        <v>107</v>
      </c>
    </row>
    <row r="156" spans="1:6" ht="145.5" customHeight="1" x14ac:dyDescent="0.2">
      <c r="A156" s="21">
        <f>+Dates!$D$9-41</f>
        <v>41668</v>
      </c>
      <c r="B156" s="25">
        <f>+Dates!$D$9</f>
        <v>41709</v>
      </c>
      <c r="C156" s="22" t="s">
        <v>1509</v>
      </c>
      <c r="D156" s="23" t="s">
        <v>155</v>
      </c>
      <c r="E156" s="24" t="s">
        <v>80</v>
      </c>
      <c r="F156" s="24" t="s">
        <v>107</v>
      </c>
    </row>
    <row r="157" spans="1:6" ht="145.5" customHeight="1" x14ac:dyDescent="0.2">
      <c r="A157" s="21">
        <f>+Dates!$D$9-41</f>
        <v>41668</v>
      </c>
      <c r="B157" s="25">
        <f>+Dates!$D$9</f>
        <v>41709</v>
      </c>
      <c r="C157" s="22" t="s">
        <v>1510</v>
      </c>
      <c r="D157" s="23" t="s">
        <v>155</v>
      </c>
      <c r="E157" s="24" t="s">
        <v>301</v>
      </c>
      <c r="F157" s="24" t="s">
        <v>107</v>
      </c>
    </row>
    <row r="158" spans="1:6" ht="68.25" customHeight="1" x14ac:dyDescent="0.2">
      <c r="A158" s="21">
        <v>41670</v>
      </c>
      <c r="B158" s="21">
        <v>41670</v>
      </c>
      <c r="C158" s="22" t="s">
        <v>1363</v>
      </c>
      <c r="D158" s="23" t="s">
        <v>298</v>
      </c>
      <c r="E158" s="24" t="s">
        <v>61</v>
      </c>
      <c r="F158" s="24" t="s">
        <v>299</v>
      </c>
    </row>
    <row r="159" spans="1:6" ht="63.75" customHeight="1" x14ac:dyDescent="0.2">
      <c r="A159" s="21">
        <v>41670</v>
      </c>
      <c r="B159" s="21">
        <v>41670</v>
      </c>
      <c r="C159" s="22" t="s">
        <v>1364</v>
      </c>
      <c r="D159" s="23" t="s">
        <v>298</v>
      </c>
      <c r="E159" s="24" t="s">
        <v>135</v>
      </c>
      <c r="F159" s="24" t="s">
        <v>299</v>
      </c>
    </row>
    <row r="160" spans="1:6" ht="60" customHeight="1" x14ac:dyDescent="0.2">
      <c r="A160" s="21">
        <v>41670</v>
      </c>
      <c r="B160" s="21">
        <v>41670</v>
      </c>
      <c r="C160" s="22" t="s">
        <v>1365</v>
      </c>
      <c r="D160" s="23" t="s">
        <v>298</v>
      </c>
      <c r="E160" s="24" t="s">
        <v>391</v>
      </c>
      <c r="F160" s="24" t="s">
        <v>299</v>
      </c>
    </row>
    <row r="161" spans="1:6" ht="67.5" customHeight="1" x14ac:dyDescent="0.2">
      <c r="A161" s="21">
        <v>41670</v>
      </c>
      <c r="B161" s="21">
        <v>41670</v>
      </c>
      <c r="C161" s="22" t="s">
        <v>454</v>
      </c>
      <c r="D161" s="23" t="s">
        <v>298</v>
      </c>
      <c r="E161" s="24" t="s">
        <v>292</v>
      </c>
      <c r="F161" s="24" t="s">
        <v>299</v>
      </c>
    </row>
    <row r="162" spans="1:6" ht="67.5" customHeight="1" x14ac:dyDescent="0.2">
      <c r="A162" s="21">
        <v>41670</v>
      </c>
      <c r="B162" s="21">
        <v>41670</v>
      </c>
      <c r="C162" s="22" t="s">
        <v>1366</v>
      </c>
      <c r="D162" s="23" t="s">
        <v>298</v>
      </c>
      <c r="E162" s="24" t="s">
        <v>1062</v>
      </c>
      <c r="F162" s="24" t="s">
        <v>299</v>
      </c>
    </row>
    <row r="163" spans="1:6" ht="64.5" customHeight="1" x14ac:dyDescent="0.2">
      <c r="A163" s="21">
        <v>41670</v>
      </c>
      <c r="B163" s="21">
        <v>41670</v>
      </c>
      <c r="C163" s="22" t="s">
        <v>137</v>
      </c>
      <c r="D163" s="23" t="s">
        <v>298</v>
      </c>
      <c r="E163" s="24" t="s">
        <v>289</v>
      </c>
      <c r="F163" s="24" t="s">
        <v>299</v>
      </c>
    </row>
    <row r="164" spans="1:6" ht="71.25" customHeight="1" x14ac:dyDescent="0.2">
      <c r="A164" s="21">
        <v>41670</v>
      </c>
      <c r="B164" s="21">
        <v>41670</v>
      </c>
      <c r="C164" s="22" t="s">
        <v>138</v>
      </c>
      <c r="D164" s="23" t="s">
        <v>298</v>
      </c>
      <c r="E164" s="24" t="s">
        <v>291</v>
      </c>
      <c r="F164" s="24" t="s">
        <v>299</v>
      </c>
    </row>
    <row r="165" spans="1:6" ht="69.75" customHeight="1" x14ac:dyDescent="0.2">
      <c r="A165" s="21">
        <v>41670</v>
      </c>
      <c r="B165" s="21">
        <v>41670</v>
      </c>
      <c r="C165" s="22" t="s">
        <v>510</v>
      </c>
      <c r="D165" s="23" t="s">
        <v>298</v>
      </c>
      <c r="E165" s="24" t="s">
        <v>301</v>
      </c>
      <c r="F165" s="24" t="s">
        <v>299</v>
      </c>
    </row>
    <row r="166" spans="1:6" ht="78.75" customHeight="1" x14ac:dyDescent="0.2">
      <c r="A166" s="21">
        <v>41670</v>
      </c>
      <c r="B166" s="21">
        <v>41670</v>
      </c>
      <c r="C166" s="22" t="s">
        <v>224</v>
      </c>
      <c r="D166" s="23" t="s">
        <v>298</v>
      </c>
      <c r="E166" s="24" t="s">
        <v>297</v>
      </c>
      <c r="F166" s="24" t="s">
        <v>299</v>
      </c>
    </row>
    <row r="167" spans="1:6" ht="77.25" customHeight="1" x14ac:dyDescent="0.2">
      <c r="A167" s="21">
        <v>41670</v>
      </c>
      <c r="B167" s="21">
        <v>41670</v>
      </c>
      <c r="C167" s="22" t="s">
        <v>334</v>
      </c>
      <c r="D167" s="23" t="s">
        <v>298</v>
      </c>
      <c r="E167" s="24" t="s">
        <v>333</v>
      </c>
      <c r="F167" s="24" t="s">
        <v>299</v>
      </c>
    </row>
    <row r="168" spans="1:6" ht="75.75" customHeight="1" x14ac:dyDescent="0.2">
      <c r="A168" s="21">
        <v>41670</v>
      </c>
      <c r="B168" s="21">
        <v>41670</v>
      </c>
      <c r="C168" s="22" t="s">
        <v>245</v>
      </c>
      <c r="D168" s="23" t="s">
        <v>298</v>
      </c>
      <c r="E168" s="24" t="s">
        <v>160</v>
      </c>
      <c r="F168" s="24" t="s">
        <v>299</v>
      </c>
    </row>
    <row r="169" spans="1:6" ht="69.75" customHeight="1" x14ac:dyDescent="0.2">
      <c r="A169" s="21">
        <v>41670</v>
      </c>
      <c r="B169" s="21">
        <v>41670</v>
      </c>
      <c r="C169" s="22" t="s">
        <v>1367</v>
      </c>
      <c r="D169" s="23" t="s">
        <v>298</v>
      </c>
      <c r="E169" s="24" t="s">
        <v>295</v>
      </c>
      <c r="F169" s="24" t="s">
        <v>299</v>
      </c>
    </row>
    <row r="170" spans="1:6" ht="192.75" customHeight="1" x14ac:dyDescent="0.2">
      <c r="A170" s="21">
        <f>+Dates!$D$31</f>
        <v>41674</v>
      </c>
      <c r="B170" s="21">
        <f>+Dates!$D$31</f>
        <v>41674</v>
      </c>
      <c r="C170" s="26" t="s">
        <v>205</v>
      </c>
      <c r="D170" s="23" t="s">
        <v>233</v>
      </c>
      <c r="E170" s="24" t="s">
        <v>61</v>
      </c>
      <c r="F170" s="24" t="s">
        <v>200</v>
      </c>
    </row>
    <row r="171" spans="1:6" ht="192.75" customHeight="1" x14ac:dyDescent="0.2">
      <c r="A171" s="21">
        <f>+Dates!$D$31</f>
        <v>41674</v>
      </c>
      <c r="B171" s="21">
        <f>+Dates!$D$31</f>
        <v>41674</v>
      </c>
      <c r="C171" s="26" t="s">
        <v>1368</v>
      </c>
      <c r="D171" s="23" t="s">
        <v>233</v>
      </c>
      <c r="E171" s="24" t="s">
        <v>135</v>
      </c>
      <c r="F171" s="24" t="s">
        <v>200</v>
      </c>
    </row>
    <row r="172" spans="1:6" ht="192.75" customHeight="1" x14ac:dyDescent="0.2">
      <c r="A172" s="21">
        <f>+Dates!$D$31</f>
        <v>41674</v>
      </c>
      <c r="B172" s="21">
        <f>+Dates!$D$31</f>
        <v>41674</v>
      </c>
      <c r="C172" s="26" t="s">
        <v>388</v>
      </c>
      <c r="D172" s="23" t="s">
        <v>233</v>
      </c>
      <c r="E172" s="24" t="s">
        <v>391</v>
      </c>
      <c r="F172" s="24" t="s">
        <v>200</v>
      </c>
    </row>
    <row r="173" spans="1:6" ht="177.75" customHeight="1" x14ac:dyDescent="0.2">
      <c r="A173" s="21">
        <f>+Dates!$D$31</f>
        <v>41674</v>
      </c>
      <c r="B173" s="21">
        <f>+Dates!$D$31</f>
        <v>41674</v>
      </c>
      <c r="C173" s="26" t="s">
        <v>222</v>
      </c>
      <c r="D173" s="23" t="s">
        <v>233</v>
      </c>
      <c r="E173" s="24" t="s">
        <v>292</v>
      </c>
      <c r="F173" s="24" t="s">
        <v>200</v>
      </c>
    </row>
    <row r="174" spans="1:6" ht="189.75" customHeight="1" x14ac:dyDescent="0.2">
      <c r="A174" s="21">
        <f>+Dates!$D$31</f>
        <v>41674</v>
      </c>
      <c r="B174" s="21">
        <f>+Dates!$D$31</f>
        <v>41674</v>
      </c>
      <c r="C174" s="26" t="s">
        <v>206</v>
      </c>
      <c r="D174" s="23" t="s">
        <v>233</v>
      </c>
      <c r="E174" s="24" t="s">
        <v>1062</v>
      </c>
      <c r="F174" s="24" t="s">
        <v>200</v>
      </c>
    </row>
    <row r="175" spans="1:6" ht="183" customHeight="1" x14ac:dyDescent="0.2">
      <c r="A175" s="21">
        <f>+Dates!$D$31</f>
        <v>41674</v>
      </c>
      <c r="B175" s="21">
        <f>+Dates!$D$31</f>
        <v>41674</v>
      </c>
      <c r="C175" s="26" t="s">
        <v>511</v>
      </c>
      <c r="D175" s="23" t="s">
        <v>233</v>
      </c>
      <c r="E175" s="24" t="s">
        <v>289</v>
      </c>
      <c r="F175" s="24" t="s">
        <v>200</v>
      </c>
    </row>
    <row r="176" spans="1:6" ht="186" customHeight="1" x14ac:dyDescent="0.2">
      <c r="A176" s="21">
        <f>+Dates!$D$31</f>
        <v>41674</v>
      </c>
      <c r="B176" s="21">
        <f>+Dates!$D$31</f>
        <v>41674</v>
      </c>
      <c r="C176" s="26" t="s">
        <v>387</v>
      </c>
      <c r="D176" s="23" t="s">
        <v>233</v>
      </c>
      <c r="E176" s="24" t="s">
        <v>291</v>
      </c>
      <c r="F176" s="24" t="s">
        <v>200</v>
      </c>
    </row>
    <row r="177" spans="1:6" ht="189" customHeight="1" x14ac:dyDescent="0.2">
      <c r="A177" s="21">
        <f>+Dates!$D$31</f>
        <v>41674</v>
      </c>
      <c r="B177" s="21">
        <f>+Dates!$D$31</f>
        <v>41674</v>
      </c>
      <c r="C177" s="26" t="s">
        <v>130</v>
      </c>
      <c r="D177" s="23" t="s">
        <v>233</v>
      </c>
      <c r="E177" s="24" t="s">
        <v>301</v>
      </c>
      <c r="F177" s="24" t="s">
        <v>200</v>
      </c>
    </row>
    <row r="178" spans="1:6" ht="198" customHeight="1" x14ac:dyDescent="0.2">
      <c r="A178" s="21">
        <f>+Dates!$D$31</f>
        <v>41674</v>
      </c>
      <c r="B178" s="21">
        <f>+Dates!$D$31</f>
        <v>41674</v>
      </c>
      <c r="C178" s="26" t="s">
        <v>66</v>
      </c>
      <c r="D178" s="23" t="s">
        <v>180</v>
      </c>
      <c r="E178" s="24" t="s">
        <v>297</v>
      </c>
      <c r="F178" s="24" t="s">
        <v>200</v>
      </c>
    </row>
    <row r="179" spans="1:6" ht="192.75" customHeight="1" x14ac:dyDescent="0.2">
      <c r="A179" s="21">
        <f>+Dates!$D$31</f>
        <v>41674</v>
      </c>
      <c r="B179" s="21">
        <f>+Dates!$D$31</f>
        <v>41674</v>
      </c>
      <c r="C179" s="26" t="s">
        <v>323</v>
      </c>
      <c r="D179" s="23" t="s">
        <v>233</v>
      </c>
      <c r="E179" s="24" t="s">
        <v>333</v>
      </c>
      <c r="F179" s="24" t="s">
        <v>200</v>
      </c>
    </row>
    <row r="180" spans="1:6" ht="187.5" customHeight="1" x14ac:dyDescent="0.2">
      <c r="A180" s="21">
        <f>+Dates!$D$31</f>
        <v>41674</v>
      </c>
      <c r="B180" s="21">
        <f>+Dates!$D$31</f>
        <v>41674</v>
      </c>
      <c r="C180" s="26" t="s">
        <v>204</v>
      </c>
      <c r="D180" s="23" t="s">
        <v>233</v>
      </c>
      <c r="E180" s="24" t="s">
        <v>160</v>
      </c>
      <c r="F180" s="24" t="s">
        <v>200</v>
      </c>
    </row>
    <row r="181" spans="1:6" ht="190.5" customHeight="1" x14ac:dyDescent="0.2">
      <c r="A181" s="21">
        <f>+Dates!$D$31</f>
        <v>41674</v>
      </c>
      <c r="B181" s="21">
        <f>+Dates!$D$31</f>
        <v>41674</v>
      </c>
      <c r="C181" s="26" t="s">
        <v>321</v>
      </c>
      <c r="D181" s="23" t="s">
        <v>233</v>
      </c>
      <c r="E181" s="24" t="s">
        <v>295</v>
      </c>
      <c r="F181" s="24" t="s">
        <v>200</v>
      </c>
    </row>
    <row r="182" spans="1:6" ht="204.75" customHeight="1" x14ac:dyDescent="0.2">
      <c r="A182" s="21">
        <f>+Dates!$D$31</f>
        <v>41674</v>
      </c>
      <c r="B182" s="21">
        <f>+Dates!$D$31</f>
        <v>41674</v>
      </c>
      <c r="C182" s="26" t="s">
        <v>448</v>
      </c>
      <c r="D182" s="23" t="s">
        <v>385</v>
      </c>
      <c r="E182" s="24" t="s">
        <v>61</v>
      </c>
      <c r="F182" s="24" t="s">
        <v>200</v>
      </c>
    </row>
    <row r="183" spans="1:6" ht="204.75" customHeight="1" x14ac:dyDescent="0.2">
      <c r="A183" s="21">
        <f>+Dates!$D$31</f>
        <v>41674</v>
      </c>
      <c r="B183" s="21">
        <f>+Dates!$D$31</f>
        <v>41674</v>
      </c>
      <c r="C183" s="26" t="s">
        <v>1369</v>
      </c>
      <c r="D183" s="23" t="s">
        <v>385</v>
      </c>
      <c r="E183" s="24" t="s">
        <v>135</v>
      </c>
      <c r="F183" s="24" t="s">
        <v>200</v>
      </c>
    </row>
    <row r="184" spans="1:6" ht="204.75" customHeight="1" x14ac:dyDescent="0.2">
      <c r="A184" s="21">
        <f>+Dates!$D$31</f>
        <v>41674</v>
      </c>
      <c r="B184" s="21">
        <f>+Dates!$D$31</f>
        <v>41674</v>
      </c>
      <c r="C184" s="26" t="s">
        <v>1370</v>
      </c>
      <c r="D184" s="23" t="s">
        <v>385</v>
      </c>
      <c r="E184" s="24" t="s">
        <v>391</v>
      </c>
      <c r="F184" s="24" t="s">
        <v>200</v>
      </c>
    </row>
    <row r="185" spans="1:6" ht="209.25" customHeight="1" x14ac:dyDescent="0.2">
      <c r="A185" s="21">
        <f>+Dates!$D$31</f>
        <v>41674</v>
      </c>
      <c r="B185" s="21">
        <f>+Dates!$D$31</f>
        <v>41674</v>
      </c>
      <c r="C185" s="26" t="s">
        <v>449</v>
      </c>
      <c r="D185" s="23" t="s">
        <v>385</v>
      </c>
      <c r="E185" s="24" t="s">
        <v>80</v>
      </c>
      <c r="F185" s="24" t="s">
        <v>200</v>
      </c>
    </row>
    <row r="186" spans="1:6" ht="212.25" customHeight="1" x14ac:dyDescent="0.2">
      <c r="A186" s="21">
        <f>+Dates!$D$31</f>
        <v>41674</v>
      </c>
      <c r="B186" s="21">
        <f>+Dates!$D$31</f>
        <v>41674</v>
      </c>
      <c r="C186" s="26" t="s">
        <v>410</v>
      </c>
      <c r="D186" s="23" t="s">
        <v>385</v>
      </c>
      <c r="E186" s="24" t="s">
        <v>1062</v>
      </c>
      <c r="F186" s="24" t="s">
        <v>200</v>
      </c>
    </row>
    <row r="187" spans="1:6" ht="209.25" customHeight="1" x14ac:dyDescent="0.2">
      <c r="A187" s="21">
        <f>+Dates!$D$31</f>
        <v>41674</v>
      </c>
      <c r="B187" s="21">
        <f>+Dates!$D$31</f>
        <v>41674</v>
      </c>
      <c r="C187" s="26" t="s">
        <v>403</v>
      </c>
      <c r="D187" s="23" t="s">
        <v>385</v>
      </c>
      <c r="E187" s="24" t="s">
        <v>289</v>
      </c>
      <c r="F187" s="24" t="s">
        <v>200</v>
      </c>
    </row>
    <row r="188" spans="1:6" ht="204.75" customHeight="1" x14ac:dyDescent="0.2">
      <c r="A188" s="21">
        <f>+Dates!$D$31</f>
        <v>41674</v>
      </c>
      <c r="B188" s="21">
        <f>+Dates!$D$31</f>
        <v>41674</v>
      </c>
      <c r="C188" s="26" t="s">
        <v>404</v>
      </c>
      <c r="D188" s="23" t="s">
        <v>385</v>
      </c>
      <c r="E188" s="24" t="s">
        <v>291</v>
      </c>
      <c r="F188" s="24" t="s">
        <v>200</v>
      </c>
    </row>
    <row r="189" spans="1:6" ht="204.75" customHeight="1" x14ac:dyDescent="0.2">
      <c r="A189" s="21">
        <f>+Dates!$D$31</f>
        <v>41674</v>
      </c>
      <c r="B189" s="21">
        <f>+Dates!$D$31</f>
        <v>41674</v>
      </c>
      <c r="C189" s="26" t="s">
        <v>405</v>
      </c>
      <c r="D189" s="23" t="s">
        <v>385</v>
      </c>
      <c r="E189" s="24" t="s">
        <v>301</v>
      </c>
      <c r="F189" s="24" t="s">
        <v>200</v>
      </c>
    </row>
    <row r="190" spans="1:6" ht="204.75" customHeight="1" x14ac:dyDescent="0.2">
      <c r="A190" s="21">
        <f>+Dates!$D$31</f>
        <v>41674</v>
      </c>
      <c r="B190" s="21">
        <f>+Dates!$D$31</f>
        <v>41674</v>
      </c>
      <c r="C190" s="26" t="s">
        <v>406</v>
      </c>
      <c r="D190" s="23" t="s">
        <v>385</v>
      </c>
      <c r="E190" s="24" t="s">
        <v>297</v>
      </c>
      <c r="F190" s="24" t="s">
        <v>200</v>
      </c>
    </row>
    <row r="191" spans="1:6" ht="205.5" customHeight="1" x14ac:dyDescent="0.2">
      <c r="A191" s="21">
        <f>+Dates!$D$31</f>
        <v>41674</v>
      </c>
      <c r="B191" s="21">
        <f>+Dates!$D$31</f>
        <v>41674</v>
      </c>
      <c r="C191" s="26" t="s">
        <v>407</v>
      </c>
      <c r="D191" s="23" t="s">
        <v>385</v>
      </c>
      <c r="E191" s="24" t="s">
        <v>333</v>
      </c>
      <c r="F191" s="24" t="s">
        <v>200</v>
      </c>
    </row>
    <row r="192" spans="1:6" ht="213.75" customHeight="1" x14ac:dyDescent="0.2">
      <c r="A192" s="21">
        <f>+Dates!$D$31</f>
        <v>41674</v>
      </c>
      <c r="B192" s="21">
        <f>+Dates!$D$31</f>
        <v>41674</v>
      </c>
      <c r="C192" s="26" t="s">
        <v>408</v>
      </c>
      <c r="D192" s="23" t="s">
        <v>385</v>
      </c>
      <c r="E192" s="24" t="s">
        <v>160</v>
      </c>
      <c r="F192" s="24" t="s">
        <v>200</v>
      </c>
    </row>
    <row r="193" spans="1:6" ht="213.75" customHeight="1" x14ac:dyDescent="0.2">
      <c r="A193" s="21">
        <f>+Dates!$D$31</f>
        <v>41674</v>
      </c>
      <c r="B193" s="21">
        <f>+Dates!$D$31</f>
        <v>41674</v>
      </c>
      <c r="C193" s="26" t="s">
        <v>409</v>
      </c>
      <c r="D193" s="23" t="s">
        <v>385</v>
      </c>
      <c r="E193" s="24" t="s">
        <v>295</v>
      </c>
      <c r="F193" s="24" t="s">
        <v>200</v>
      </c>
    </row>
    <row r="194" spans="1:6" ht="143.25" customHeight="1" x14ac:dyDescent="0.2">
      <c r="A194" s="21">
        <f>+Dates!$D$9-32</f>
        <v>41677</v>
      </c>
      <c r="B194" s="21">
        <f>+Dates!$D$9-32</f>
        <v>41677</v>
      </c>
      <c r="C194" s="22" t="s">
        <v>515</v>
      </c>
      <c r="D194" s="23" t="s">
        <v>194</v>
      </c>
      <c r="E194" s="24" t="s">
        <v>61</v>
      </c>
      <c r="F194" s="24" t="s">
        <v>195</v>
      </c>
    </row>
    <row r="195" spans="1:6" ht="128.25" customHeight="1" x14ac:dyDescent="0.2">
      <c r="A195" s="21">
        <f>+Dates!$D$9-32</f>
        <v>41677</v>
      </c>
      <c r="B195" s="21">
        <f>+Dates!$D$9-32</f>
        <v>41677</v>
      </c>
      <c r="C195" s="22" t="s">
        <v>513</v>
      </c>
      <c r="D195" s="23" t="s">
        <v>194</v>
      </c>
      <c r="E195" s="24" t="s">
        <v>292</v>
      </c>
      <c r="F195" s="24" t="s">
        <v>195</v>
      </c>
    </row>
    <row r="196" spans="1:6" ht="144" customHeight="1" x14ac:dyDescent="0.2">
      <c r="A196" s="21">
        <f>+Dates!$D$9-32</f>
        <v>41677</v>
      </c>
      <c r="B196" s="21">
        <f>+Dates!$D$9-32</f>
        <v>41677</v>
      </c>
      <c r="C196" s="22" t="s">
        <v>514</v>
      </c>
      <c r="D196" s="23" t="s">
        <v>194</v>
      </c>
      <c r="E196" s="24" t="s">
        <v>301</v>
      </c>
      <c r="F196" s="24" t="s">
        <v>195</v>
      </c>
    </row>
    <row r="197" spans="1:6" ht="84.75" customHeight="1" x14ac:dyDescent="0.2">
      <c r="A197" s="21">
        <f>+Dates!$D$9-32</f>
        <v>41677</v>
      </c>
      <c r="B197" s="25">
        <f>+Dates!$D$9-1</f>
        <v>41708</v>
      </c>
      <c r="C197" s="22" t="s">
        <v>593</v>
      </c>
      <c r="D197" s="23" t="s">
        <v>330</v>
      </c>
      <c r="E197" s="24" t="s">
        <v>61</v>
      </c>
      <c r="F197" s="24" t="s">
        <v>305</v>
      </c>
    </row>
    <row r="198" spans="1:6" ht="75" customHeight="1" x14ac:dyDescent="0.2">
      <c r="A198" s="21">
        <f>+Dates!$D$9-32</f>
        <v>41677</v>
      </c>
      <c r="B198" s="25">
        <f>+Dates!$D$9-1</f>
        <v>41708</v>
      </c>
      <c r="C198" s="22" t="s">
        <v>594</v>
      </c>
      <c r="D198" s="23" t="s">
        <v>330</v>
      </c>
      <c r="E198" s="24" t="s">
        <v>80</v>
      </c>
      <c r="F198" s="24" t="s">
        <v>305</v>
      </c>
    </row>
    <row r="199" spans="1:6" ht="82.5" customHeight="1" x14ac:dyDescent="0.2">
      <c r="A199" s="21">
        <f>+Dates!$D$9-32</f>
        <v>41677</v>
      </c>
      <c r="B199" s="21">
        <f>+Dates!$D$9-1</f>
        <v>41708</v>
      </c>
      <c r="C199" s="22" t="s">
        <v>460</v>
      </c>
      <c r="D199" s="23" t="s">
        <v>330</v>
      </c>
      <c r="E199" s="24" t="s">
        <v>301</v>
      </c>
      <c r="F199" s="24" t="s">
        <v>305</v>
      </c>
    </row>
    <row r="200" spans="1:6" ht="158.25" customHeight="1" x14ac:dyDescent="0.2">
      <c r="A200" s="21">
        <f>+Dates!$D$9-32</f>
        <v>41677</v>
      </c>
      <c r="B200" s="25">
        <f>+Dates!$D$9-1</f>
        <v>41708</v>
      </c>
      <c r="C200" s="22" t="s">
        <v>1786</v>
      </c>
      <c r="D200" s="23" t="s">
        <v>516</v>
      </c>
      <c r="E200" s="24" t="s">
        <v>80</v>
      </c>
      <c r="F200" s="24" t="s">
        <v>305</v>
      </c>
    </row>
    <row r="201" spans="1:6" ht="179.25" customHeight="1" x14ac:dyDescent="0.2">
      <c r="A201" s="21">
        <f>+Dates!$D$9-32</f>
        <v>41677</v>
      </c>
      <c r="B201" s="25">
        <f>+Dates!$D$9-1</f>
        <v>41708</v>
      </c>
      <c r="C201" s="22" t="s">
        <v>1787</v>
      </c>
      <c r="D201" s="23" t="s">
        <v>516</v>
      </c>
      <c r="E201" s="24" t="s">
        <v>301</v>
      </c>
      <c r="F201" s="24" t="s">
        <v>305</v>
      </c>
    </row>
    <row r="202" spans="1:6" ht="128.25" customHeight="1" x14ac:dyDescent="0.2">
      <c r="A202" s="21">
        <f>+Dates!$D$9-27</f>
        <v>41682</v>
      </c>
      <c r="B202" s="25">
        <f>+Dates!$D$9</f>
        <v>41709</v>
      </c>
      <c r="C202" s="22" t="s">
        <v>1423</v>
      </c>
      <c r="D202" s="23" t="s">
        <v>591</v>
      </c>
      <c r="E202" s="24" t="s">
        <v>61</v>
      </c>
      <c r="F202" s="24" t="s">
        <v>305</v>
      </c>
    </row>
    <row r="203" spans="1:6" ht="124.5" customHeight="1" x14ac:dyDescent="0.2">
      <c r="A203" s="21">
        <f>+Dates!$D$9-27</f>
        <v>41682</v>
      </c>
      <c r="B203" s="25">
        <f>+Dates!$D$9</f>
        <v>41709</v>
      </c>
      <c r="C203" s="22" t="s">
        <v>1424</v>
      </c>
      <c r="D203" s="23" t="s">
        <v>591</v>
      </c>
      <c r="E203" s="24" t="s">
        <v>80</v>
      </c>
      <c r="F203" s="24" t="s">
        <v>305</v>
      </c>
    </row>
    <row r="204" spans="1:6" ht="137.25" customHeight="1" x14ac:dyDescent="0.2">
      <c r="A204" s="21">
        <f>+Dates!$D$9-27</f>
        <v>41682</v>
      </c>
      <c r="B204" s="25">
        <f>+Dates!$D$9</f>
        <v>41709</v>
      </c>
      <c r="C204" s="22" t="s">
        <v>1425</v>
      </c>
      <c r="D204" s="23" t="s">
        <v>591</v>
      </c>
      <c r="E204" s="24" t="s">
        <v>301</v>
      </c>
      <c r="F204" s="24" t="s">
        <v>305</v>
      </c>
    </row>
    <row r="205" spans="1:6" ht="78.75" customHeight="1" x14ac:dyDescent="0.2">
      <c r="A205" s="21">
        <f>+Dates!$D$9-25</f>
        <v>41684</v>
      </c>
      <c r="B205" s="21">
        <f>+Dates!$D9-25</f>
        <v>41684</v>
      </c>
      <c r="C205" s="22" t="s">
        <v>517</v>
      </c>
      <c r="D205" s="23" t="s">
        <v>331</v>
      </c>
      <c r="E205" s="24" t="s">
        <v>80</v>
      </c>
      <c r="F205" s="24" t="s">
        <v>332</v>
      </c>
    </row>
    <row r="206" spans="1:6" ht="84" customHeight="1" x14ac:dyDescent="0.2">
      <c r="A206" s="21">
        <f>+Dates!$D$9-25</f>
        <v>41684</v>
      </c>
      <c r="B206" s="21">
        <f>+Dates!$D9-25</f>
        <v>41684</v>
      </c>
      <c r="C206" s="22" t="s">
        <v>67</v>
      </c>
      <c r="D206" s="23" t="s">
        <v>331</v>
      </c>
      <c r="E206" s="24" t="s">
        <v>301</v>
      </c>
      <c r="F206" s="24" t="s">
        <v>332</v>
      </c>
    </row>
    <row r="207" spans="1:6" ht="71.25" customHeight="1" x14ac:dyDescent="0.2">
      <c r="A207" s="21">
        <f>+Dates!$D$9-25</f>
        <v>41684</v>
      </c>
      <c r="B207" s="21">
        <f>+Dates!$D$9-25</f>
        <v>41684</v>
      </c>
      <c r="C207" s="22" t="s">
        <v>518</v>
      </c>
      <c r="D207" s="23" t="s">
        <v>93</v>
      </c>
      <c r="E207" s="24" t="s">
        <v>80</v>
      </c>
      <c r="F207" s="24" t="s">
        <v>434</v>
      </c>
    </row>
    <row r="208" spans="1:6" ht="87" customHeight="1" x14ac:dyDescent="0.2">
      <c r="A208" s="21">
        <f>+Dates!$D$9-25</f>
        <v>41684</v>
      </c>
      <c r="B208" s="21">
        <f>+Dates!$D$9-25</f>
        <v>41684</v>
      </c>
      <c r="C208" s="22" t="s">
        <v>68</v>
      </c>
      <c r="D208" s="23" t="s">
        <v>93</v>
      </c>
      <c r="E208" s="24" t="s">
        <v>301</v>
      </c>
      <c r="F208" s="24" t="s">
        <v>434</v>
      </c>
    </row>
    <row r="209" spans="1:6" ht="86.25" customHeight="1" x14ac:dyDescent="0.2">
      <c r="A209" s="21">
        <v>41684</v>
      </c>
      <c r="B209" s="21">
        <v>41684</v>
      </c>
      <c r="C209" s="22" t="s">
        <v>519</v>
      </c>
      <c r="D209" s="23" t="s">
        <v>194</v>
      </c>
      <c r="E209" s="24" t="s">
        <v>61</v>
      </c>
      <c r="F209" s="24" t="s">
        <v>195</v>
      </c>
    </row>
    <row r="210" spans="1:6" ht="87.75" customHeight="1" x14ac:dyDescent="0.2">
      <c r="A210" s="21">
        <v>41684</v>
      </c>
      <c r="B210" s="21">
        <v>41684</v>
      </c>
      <c r="C210" s="22" t="s">
        <v>520</v>
      </c>
      <c r="D210" s="23" t="s">
        <v>194</v>
      </c>
      <c r="E210" s="24" t="s">
        <v>80</v>
      </c>
      <c r="F210" s="24" t="s">
        <v>195</v>
      </c>
    </row>
    <row r="211" spans="1:6" ht="159" customHeight="1" x14ac:dyDescent="0.2">
      <c r="A211" s="21">
        <f>+Dates!$D$9-25</f>
        <v>41684</v>
      </c>
      <c r="B211" s="21">
        <f>+Dates!$D$9-25</f>
        <v>41684</v>
      </c>
      <c r="C211" s="22" t="s">
        <v>1905</v>
      </c>
      <c r="D211" s="23" t="s">
        <v>1904</v>
      </c>
      <c r="E211" s="24" t="s">
        <v>61</v>
      </c>
      <c r="F211" s="24" t="s">
        <v>119</v>
      </c>
    </row>
    <row r="212" spans="1:6" ht="155.25" customHeight="1" x14ac:dyDescent="0.2">
      <c r="A212" s="21">
        <f>+Dates!$D$9-25</f>
        <v>41684</v>
      </c>
      <c r="B212" s="21">
        <f>+Dates!$D$9-25</f>
        <v>41684</v>
      </c>
      <c r="C212" s="22" t="s">
        <v>1906</v>
      </c>
      <c r="D212" s="23" t="s">
        <v>1904</v>
      </c>
      <c r="E212" s="24" t="s">
        <v>80</v>
      </c>
      <c r="F212" s="24" t="s">
        <v>119</v>
      </c>
    </row>
    <row r="213" spans="1:6" ht="162.75" customHeight="1" x14ac:dyDescent="0.2">
      <c r="A213" s="21">
        <f>+Dates!$D$9-25</f>
        <v>41684</v>
      </c>
      <c r="B213" s="21">
        <f>+Dates!$D$9-25</f>
        <v>41684</v>
      </c>
      <c r="C213" s="22" t="s">
        <v>1907</v>
      </c>
      <c r="D213" s="23" t="s">
        <v>1904</v>
      </c>
      <c r="E213" s="24" t="s">
        <v>301</v>
      </c>
      <c r="F213" s="24" t="s">
        <v>119</v>
      </c>
    </row>
    <row r="214" spans="1:6" ht="73.5" customHeight="1" x14ac:dyDescent="0.2">
      <c r="A214" s="21">
        <f>+Dates!$D$15</f>
        <v>41687</v>
      </c>
      <c r="B214" s="21">
        <f>+Dates!$D$15</f>
        <v>41687</v>
      </c>
      <c r="C214" s="22" t="s">
        <v>339</v>
      </c>
      <c r="D214" s="23" t="s">
        <v>293</v>
      </c>
      <c r="E214" s="24" t="s">
        <v>294</v>
      </c>
      <c r="F214" s="24" t="s">
        <v>294</v>
      </c>
    </row>
    <row r="215" spans="1:6" ht="78" customHeight="1" x14ac:dyDescent="0.2">
      <c r="A215" s="21">
        <f>+Dates!$D$9-21</f>
        <v>41688</v>
      </c>
      <c r="B215" s="21">
        <f>+Dates!$D$9-21</f>
        <v>41688</v>
      </c>
      <c r="C215" s="22" t="s">
        <v>1788</v>
      </c>
      <c r="D215" s="23" t="s">
        <v>335</v>
      </c>
      <c r="E215" s="24" t="s">
        <v>61</v>
      </c>
      <c r="F215" s="24" t="s">
        <v>195</v>
      </c>
    </row>
    <row r="216" spans="1:6" ht="74.25" customHeight="1" x14ac:dyDescent="0.2">
      <c r="A216" s="21">
        <f>+Dates!$D$9-21</f>
        <v>41688</v>
      </c>
      <c r="B216" s="21">
        <f>+Dates!$D$9-21</f>
        <v>41688</v>
      </c>
      <c r="C216" s="22" t="s">
        <v>1789</v>
      </c>
      <c r="D216" s="23" t="s">
        <v>335</v>
      </c>
      <c r="E216" s="24" t="s">
        <v>80</v>
      </c>
      <c r="F216" s="24" t="s">
        <v>195</v>
      </c>
    </row>
    <row r="217" spans="1:6" ht="80.25" customHeight="1" x14ac:dyDescent="0.2">
      <c r="A217" s="21">
        <f>+Dates!$D$9-21</f>
        <v>41688</v>
      </c>
      <c r="B217" s="21">
        <f>+Dates!$D$9-21</f>
        <v>41688</v>
      </c>
      <c r="C217" s="22" t="s">
        <v>1790</v>
      </c>
      <c r="D217" s="23" t="s">
        <v>335</v>
      </c>
      <c r="E217" s="24" t="s">
        <v>301</v>
      </c>
      <c r="F217" s="24" t="s">
        <v>195</v>
      </c>
    </row>
    <row r="218" spans="1:6" ht="103.5" customHeight="1" x14ac:dyDescent="0.2">
      <c r="A218" s="21">
        <f>+Dates!$D$9-20</f>
        <v>41689</v>
      </c>
      <c r="B218" s="21">
        <f>+Dates!$D$9-20</f>
        <v>41689</v>
      </c>
      <c r="C218" s="22" t="s">
        <v>1791</v>
      </c>
      <c r="D218" s="23" t="s">
        <v>525</v>
      </c>
      <c r="E218" s="24" t="s">
        <v>80</v>
      </c>
      <c r="F218" s="24" t="s">
        <v>195</v>
      </c>
    </row>
    <row r="219" spans="1:6" ht="116.25" customHeight="1" x14ac:dyDescent="0.2">
      <c r="A219" s="21">
        <f>+Dates!$D$9-20</f>
        <v>41689</v>
      </c>
      <c r="B219" s="21">
        <f>+Dates!$D$9-20</f>
        <v>41689</v>
      </c>
      <c r="C219" s="22" t="s">
        <v>1792</v>
      </c>
      <c r="D219" s="23" t="s">
        <v>525</v>
      </c>
      <c r="E219" s="24" t="s">
        <v>301</v>
      </c>
      <c r="F219" s="24" t="s">
        <v>195</v>
      </c>
    </row>
    <row r="220" spans="1:6" ht="183.75" customHeight="1" x14ac:dyDescent="0.2">
      <c r="A220" s="21">
        <f>+Dates!$D$9-20</f>
        <v>41689</v>
      </c>
      <c r="B220" s="21">
        <f>+Dates!$D$9-1</f>
        <v>41708</v>
      </c>
      <c r="C220" s="22" t="s">
        <v>1744</v>
      </c>
      <c r="D220" s="23" t="s">
        <v>151</v>
      </c>
      <c r="E220" s="24" t="s">
        <v>61</v>
      </c>
      <c r="F220" s="24" t="s">
        <v>305</v>
      </c>
    </row>
    <row r="221" spans="1:6" ht="183.75" customHeight="1" x14ac:dyDescent="0.2">
      <c r="A221" s="21">
        <f>+Dates!$D$9-20</f>
        <v>41689</v>
      </c>
      <c r="B221" s="21">
        <f>+Dates!$D$9-1</f>
        <v>41708</v>
      </c>
      <c r="C221" s="22" t="s">
        <v>1745</v>
      </c>
      <c r="D221" s="23" t="s">
        <v>151</v>
      </c>
      <c r="E221" s="24" t="s">
        <v>80</v>
      </c>
      <c r="F221" s="24" t="s">
        <v>305</v>
      </c>
    </row>
    <row r="222" spans="1:6" ht="186" customHeight="1" x14ac:dyDescent="0.2">
      <c r="A222" s="21">
        <f>+Dates!$D$9-20</f>
        <v>41689</v>
      </c>
      <c r="B222" s="21">
        <f>+Dates!$D$9-1</f>
        <v>41708</v>
      </c>
      <c r="C222" s="22" t="s">
        <v>1746</v>
      </c>
      <c r="D222" s="23" t="s">
        <v>151</v>
      </c>
      <c r="E222" s="24" t="s">
        <v>301</v>
      </c>
      <c r="F222" s="24" t="s">
        <v>305</v>
      </c>
    </row>
    <row r="223" spans="1:6" ht="88.5" customHeight="1" x14ac:dyDescent="0.2">
      <c r="A223" s="21">
        <f>+Dates!$D$9-20</f>
        <v>41689</v>
      </c>
      <c r="B223" s="25">
        <f>+Dates!$D$9-1</f>
        <v>41708</v>
      </c>
      <c r="C223" s="22" t="s">
        <v>524</v>
      </c>
      <c r="D223" s="23" t="s">
        <v>264</v>
      </c>
      <c r="E223" s="24" t="s">
        <v>292</v>
      </c>
      <c r="F223" s="24" t="s">
        <v>195</v>
      </c>
    </row>
    <row r="224" spans="1:6" ht="40.5" customHeight="1" x14ac:dyDescent="0.2">
      <c r="A224" s="21">
        <f>+Dates!$D$7</f>
        <v>41695</v>
      </c>
      <c r="B224" s="21">
        <f>+Dates!$D$7</f>
        <v>41695</v>
      </c>
      <c r="C224" s="22" t="s">
        <v>512</v>
      </c>
      <c r="D224" s="23"/>
      <c r="E224" s="24" t="s">
        <v>61</v>
      </c>
      <c r="F224" s="24" t="s">
        <v>303</v>
      </c>
    </row>
    <row r="225" spans="1:6" ht="29.25" customHeight="1" x14ac:dyDescent="0.2">
      <c r="A225" s="21">
        <f>+Dates!$D$7</f>
        <v>41695</v>
      </c>
      <c r="B225" s="21">
        <f>+Dates!$D$7</f>
        <v>41695</v>
      </c>
      <c r="C225" s="22" t="s">
        <v>302</v>
      </c>
      <c r="D225" s="23"/>
      <c r="E225" s="24" t="s">
        <v>303</v>
      </c>
      <c r="F225" s="24" t="s">
        <v>303</v>
      </c>
    </row>
    <row r="226" spans="1:6" ht="39" customHeight="1" x14ac:dyDescent="0.2">
      <c r="A226" s="21">
        <f>+Dates!$D$7</f>
        <v>41695</v>
      </c>
      <c r="B226" s="21">
        <f>+Dates!$D$7</f>
        <v>41695</v>
      </c>
      <c r="C226" s="22" t="s">
        <v>1352</v>
      </c>
      <c r="D226" s="23"/>
      <c r="E226" s="24" t="s">
        <v>80</v>
      </c>
      <c r="F226" s="24" t="s">
        <v>303</v>
      </c>
    </row>
    <row r="227" spans="1:6" ht="126" customHeight="1" x14ac:dyDescent="0.2">
      <c r="A227" s="21">
        <f>+Dates!$D$9-14</f>
        <v>41695</v>
      </c>
      <c r="B227" s="21">
        <f>+Dates!$D$9-14</f>
        <v>41695</v>
      </c>
      <c r="C227" s="22" t="s">
        <v>1511</v>
      </c>
      <c r="D227" s="23" t="s">
        <v>155</v>
      </c>
      <c r="E227" s="24" t="s">
        <v>61</v>
      </c>
      <c r="F227" s="24" t="s">
        <v>107</v>
      </c>
    </row>
    <row r="228" spans="1:6" ht="129" customHeight="1" x14ac:dyDescent="0.2">
      <c r="A228" s="21">
        <f>+Dates!$D$9-14</f>
        <v>41695</v>
      </c>
      <c r="B228" s="21">
        <f>+Dates!$D$9-14</f>
        <v>41695</v>
      </c>
      <c r="C228" s="22" t="s">
        <v>1512</v>
      </c>
      <c r="D228" s="23" t="s">
        <v>155</v>
      </c>
      <c r="E228" s="24" t="s">
        <v>80</v>
      </c>
      <c r="F228" s="24" t="s">
        <v>107</v>
      </c>
    </row>
    <row r="229" spans="1:6" ht="124.5" customHeight="1" x14ac:dyDescent="0.2">
      <c r="A229" s="21">
        <f>+Dates!$D$9-14</f>
        <v>41695</v>
      </c>
      <c r="B229" s="21">
        <f>+Dates!$D$9-14</f>
        <v>41695</v>
      </c>
      <c r="C229" s="22" t="s">
        <v>1513</v>
      </c>
      <c r="D229" s="23" t="s">
        <v>155</v>
      </c>
      <c r="E229" s="24" t="s">
        <v>301</v>
      </c>
      <c r="F229" s="24" t="s">
        <v>107</v>
      </c>
    </row>
    <row r="230" spans="1:6" ht="94.5" customHeight="1" x14ac:dyDescent="0.2">
      <c r="A230" s="21">
        <f>+Dates!$D$9-14</f>
        <v>41695</v>
      </c>
      <c r="B230" s="21">
        <f>+Dates!$D$9-14</f>
        <v>41695</v>
      </c>
      <c r="C230" s="22" t="s">
        <v>1793</v>
      </c>
      <c r="D230" s="23" t="s">
        <v>150</v>
      </c>
      <c r="E230" s="24" t="s">
        <v>61</v>
      </c>
      <c r="F230" s="24" t="s">
        <v>103</v>
      </c>
    </row>
    <row r="231" spans="1:6" ht="94.5" customHeight="1" x14ac:dyDescent="0.2">
      <c r="A231" s="21">
        <f>+Dates!$D$9-14</f>
        <v>41695</v>
      </c>
      <c r="B231" s="21">
        <f>+Dates!$D$9-14</f>
        <v>41695</v>
      </c>
      <c r="C231" s="22" t="s">
        <v>1794</v>
      </c>
      <c r="D231" s="23" t="s">
        <v>150</v>
      </c>
      <c r="E231" s="24" t="s">
        <v>80</v>
      </c>
      <c r="F231" s="24" t="s">
        <v>103</v>
      </c>
    </row>
    <row r="232" spans="1:6" ht="93" customHeight="1" x14ac:dyDescent="0.2">
      <c r="A232" s="21">
        <f>+Dates!$D$9-14</f>
        <v>41695</v>
      </c>
      <c r="B232" s="21">
        <f>+Dates!$D$9-14</f>
        <v>41695</v>
      </c>
      <c r="C232" s="22" t="s">
        <v>1795</v>
      </c>
      <c r="D232" s="23" t="s">
        <v>150</v>
      </c>
      <c r="E232" s="24" t="s">
        <v>301</v>
      </c>
      <c r="F232" s="24" t="s">
        <v>103</v>
      </c>
    </row>
    <row r="233" spans="1:6" ht="93" customHeight="1" x14ac:dyDescent="0.2">
      <c r="A233" s="21">
        <f>+Dates!$D$9-14</f>
        <v>41695</v>
      </c>
      <c r="B233" s="21">
        <f>+Dates!$D$9-14</f>
        <v>41695</v>
      </c>
      <c r="C233" s="22" t="s">
        <v>1371</v>
      </c>
      <c r="D233" s="23" t="s">
        <v>230</v>
      </c>
      <c r="E233" s="24" t="s">
        <v>61</v>
      </c>
      <c r="F233" s="24" t="s">
        <v>103</v>
      </c>
    </row>
    <row r="234" spans="1:6" ht="93" customHeight="1" x14ac:dyDescent="0.2">
      <c r="A234" s="21">
        <f>+Dates!$D$9-14</f>
        <v>41695</v>
      </c>
      <c r="B234" s="21">
        <f>+Dates!$D$9-14</f>
        <v>41695</v>
      </c>
      <c r="C234" s="22" t="s">
        <v>1372</v>
      </c>
      <c r="D234" s="23" t="s">
        <v>230</v>
      </c>
      <c r="E234" s="24" t="s">
        <v>80</v>
      </c>
      <c r="F234" s="24" t="s">
        <v>103</v>
      </c>
    </row>
    <row r="235" spans="1:6" ht="90" customHeight="1" x14ac:dyDescent="0.2">
      <c r="A235" s="21">
        <f>+Dates!$D$9-14</f>
        <v>41695</v>
      </c>
      <c r="B235" s="21">
        <f>+Dates!$D$9-14</f>
        <v>41695</v>
      </c>
      <c r="C235" s="22" t="s">
        <v>598</v>
      </c>
      <c r="D235" s="23" t="s">
        <v>230</v>
      </c>
      <c r="E235" s="24" t="s">
        <v>301</v>
      </c>
      <c r="F235" s="24" t="s">
        <v>103</v>
      </c>
    </row>
    <row r="236" spans="1:6" ht="116.25" customHeight="1" x14ac:dyDescent="0.2">
      <c r="A236" s="21">
        <f>+Dates!$D$9-14</f>
        <v>41695</v>
      </c>
      <c r="B236" s="21">
        <f>+Dates!$D$9-14</f>
        <v>41695</v>
      </c>
      <c r="C236" s="22" t="s">
        <v>1796</v>
      </c>
      <c r="D236" s="23" t="s">
        <v>112</v>
      </c>
      <c r="E236" s="24" t="s">
        <v>61</v>
      </c>
      <c r="F236" s="24" t="s">
        <v>103</v>
      </c>
    </row>
    <row r="237" spans="1:6" ht="107.25" customHeight="1" x14ac:dyDescent="0.2">
      <c r="A237" s="21">
        <f>+Dates!$D$9-14</f>
        <v>41695</v>
      </c>
      <c r="B237" s="21">
        <f>+Dates!$D$9-14</f>
        <v>41695</v>
      </c>
      <c r="C237" s="22" t="s">
        <v>1797</v>
      </c>
      <c r="D237" s="23" t="s">
        <v>112</v>
      </c>
      <c r="E237" s="24" t="s">
        <v>80</v>
      </c>
      <c r="F237" s="24" t="s">
        <v>103</v>
      </c>
    </row>
    <row r="238" spans="1:6" ht="122.25" customHeight="1" x14ac:dyDescent="0.2">
      <c r="A238" s="21">
        <f>+Dates!$D$9-14</f>
        <v>41695</v>
      </c>
      <c r="B238" s="21">
        <f>+Dates!$D$9-14</f>
        <v>41695</v>
      </c>
      <c r="C238" s="22" t="s">
        <v>1798</v>
      </c>
      <c r="D238" s="23" t="s">
        <v>112</v>
      </c>
      <c r="E238" s="24" t="s">
        <v>301</v>
      </c>
      <c r="F238" s="24" t="s">
        <v>103</v>
      </c>
    </row>
    <row r="239" spans="1:6" ht="96.75" customHeight="1" x14ac:dyDescent="0.2">
      <c r="A239" s="21">
        <f>+Dates!$D$9-14</f>
        <v>41695</v>
      </c>
      <c r="B239" s="25">
        <f>+Dates!$D$9-1</f>
        <v>41708</v>
      </c>
      <c r="C239" s="22" t="s">
        <v>527</v>
      </c>
      <c r="D239" s="23" t="s">
        <v>183</v>
      </c>
      <c r="E239" s="24" t="s">
        <v>61</v>
      </c>
      <c r="F239" s="24" t="s">
        <v>306</v>
      </c>
    </row>
    <row r="240" spans="1:6" ht="91.5" customHeight="1" x14ac:dyDescent="0.2">
      <c r="A240" s="21">
        <f>+Dates!$D$9-14</f>
        <v>41695</v>
      </c>
      <c r="B240" s="25">
        <f>+Dates!$D$9-1</f>
        <v>41708</v>
      </c>
      <c r="C240" s="22" t="s">
        <v>526</v>
      </c>
      <c r="D240" s="23">
        <v>206.83</v>
      </c>
      <c r="E240" s="24" t="s">
        <v>80</v>
      </c>
      <c r="F240" s="24" t="s">
        <v>306</v>
      </c>
    </row>
    <row r="241" spans="1:6" ht="93" customHeight="1" x14ac:dyDescent="0.2">
      <c r="A241" s="21">
        <f>+Dates!$D$9-14</f>
        <v>41695</v>
      </c>
      <c r="B241" s="25">
        <f>+Dates!$D$9-1</f>
        <v>41708</v>
      </c>
      <c r="C241" s="22" t="s">
        <v>461</v>
      </c>
      <c r="D241" s="23">
        <v>206.83</v>
      </c>
      <c r="E241" s="24" t="s">
        <v>301</v>
      </c>
      <c r="F241" s="24" t="s">
        <v>306</v>
      </c>
    </row>
    <row r="242" spans="1:6" ht="208.5" customHeight="1" x14ac:dyDescent="0.2">
      <c r="A242" s="21">
        <f>+Dates!$D$9-11</f>
        <v>41698</v>
      </c>
      <c r="B242" s="21">
        <f>+Dates!$D$9-11</f>
        <v>41698</v>
      </c>
      <c r="C242" s="22" t="s">
        <v>1605</v>
      </c>
      <c r="D242" s="23" t="s">
        <v>528</v>
      </c>
      <c r="E242" s="24" t="s">
        <v>61</v>
      </c>
      <c r="F242" s="24" t="s">
        <v>103</v>
      </c>
    </row>
    <row r="243" spans="1:6" ht="210" customHeight="1" x14ac:dyDescent="0.2">
      <c r="A243" s="21">
        <f>+Dates!$D$9-11</f>
        <v>41698</v>
      </c>
      <c r="B243" s="21">
        <f>+Dates!$D$9-11</f>
        <v>41698</v>
      </c>
      <c r="C243" s="22" t="s">
        <v>1606</v>
      </c>
      <c r="D243" s="23" t="s">
        <v>528</v>
      </c>
      <c r="E243" s="24" t="s">
        <v>80</v>
      </c>
      <c r="F243" s="24" t="s">
        <v>103</v>
      </c>
    </row>
    <row r="244" spans="1:6" ht="210" customHeight="1" x14ac:dyDescent="0.2">
      <c r="A244" s="21">
        <f>+Dates!$D$9-11</f>
        <v>41698</v>
      </c>
      <c r="B244" s="21">
        <f>+Dates!$D$9-11</f>
        <v>41698</v>
      </c>
      <c r="C244" s="22" t="s">
        <v>1607</v>
      </c>
      <c r="D244" s="23" t="s">
        <v>528</v>
      </c>
      <c r="E244" s="24" t="s">
        <v>301</v>
      </c>
      <c r="F244" s="24" t="s">
        <v>103</v>
      </c>
    </row>
    <row r="245" spans="1:6" ht="96.75" customHeight="1" x14ac:dyDescent="0.2">
      <c r="A245" s="21">
        <f>+Dates!$D$9-11</f>
        <v>41698</v>
      </c>
      <c r="B245" s="21">
        <f>+Dates!$D$9-11</f>
        <v>41698</v>
      </c>
      <c r="C245" s="22" t="s">
        <v>227</v>
      </c>
      <c r="D245" s="23" t="s">
        <v>228</v>
      </c>
      <c r="E245" s="24" t="s">
        <v>301</v>
      </c>
      <c r="F245" s="24" t="s">
        <v>332</v>
      </c>
    </row>
    <row r="246" spans="1:6" ht="94.5" customHeight="1" x14ac:dyDescent="0.2">
      <c r="A246" s="21">
        <f>+Dates!$D$9-11</f>
        <v>41698</v>
      </c>
      <c r="B246" s="21">
        <f>+Dates!$D$9-11</f>
        <v>41698</v>
      </c>
      <c r="C246" s="22" t="s">
        <v>599</v>
      </c>
      <c r="D246" s="23" t="s">
        <v>298</v>
      </c>
      <c r="E246" s="24" t="s">
        <v>61</v>
      </c>
      <c r="F246" s="24" t="s">
        <v>299</v>
      </c>
    </row>
    <row r="247" spans="1:6" ht="87.75" customHeight="1" x14ac:dyDescent="0.2">
      <c r="A247" s="21">
        <f>+Dates!$D$9-11</f>
        <v>41698</v>
      </c>
      <c r="B247" s="21">
        <f>+Dates!$D$9-11</f>
        <v>41698</v>
      </c>
      <c r="C247" s="22" t="s">
        <v>75</v>
      </c>
      <c r="D247" s="23" t="s">
        <v>298</v>
      </c>
      <c r="E247" s="24" t="s">
        <v>135</v>
      </c>
      <c r="F247" s="24" t="s">
        <v>299</v>
      </c>
    </row>
    <row r="248" spans="1:6" ht="75" customHeight="1" x14ac:dyDescent="0.2">
      <c r="A248" s="21">
        <f>+Dates!$D$9-11</f>
        <v>41698</v>
      </c>
      <c r="B248" s="21">
        <f>+Dates!$D$9-11</f>
        <v>41698</v>
      </c>
      <c r="C248" s="22" t="s">
        <v>534</v>
      </c>
      <c r="D248" s="23" t="s">
        <v>298</v>
      </c>
      <c r="E248" s="24" t="s">
        <v>80</v>
      </c>
      <c r="F248" s="24" t="s">
        <v>299</v>
      </c>
    </row>
    <row r="249" spans="1:6" ht="87" customHeight="1" x14ac:dyDescent="0.2">
      <c r="A249" s="21">
        <f>+Dates!$D$9-11</f>
        <v>41698</v>
      </c>
      <c r="B249" s="21">
        <f>+Dates!$D$9-11</f>
        <v>41698</v>
      </c>
      <c r="C249" s="22" t="s">
        <v>535</v>
      </c>
      <c r="D249" s="23" t="s">
        <v>298</v>
      </c>
      <c r="E249" s="24" t="s">
        <v>301</v>
      </c>
      <c r="F249" s="24" t="s">
        <v>299</v>
      </c>
    </row>
    <row r="250" spans="1:6" ht="73.5" customHeight="1" x14ac:dyDescent="0.2">
      <c r="A250" s="21">
        <f>+Dates!$D$9-7</f>
        <v>41702</v>
      </c>
      <c r="B250" s="21">
        <f>+Dates!$D$9-7</f>
        <v>41702</v>
      </c>
      <c r="C250" s="22" t="s">
        <v>529</v>
      </c>
      <c r="D250" s="23" t="s">
        <v>194</v>
      </c>
      <c r="E250" s="24" t="s">
        <v>61</v>
      </c>
      <c r="F250" s="24" t="s">
        <v>195</v>
      </c>
    </row>
    <row r="251" spans="1:6" ht="72" customHeight="1" x14ac:dyDescent="0.2">
      <c r="A251" s="21">
        <f>+Dates!$D$9-7</f>
        <v>41702</v>
      </c>
      <c r="B251" s="21">
        <f>+Dates!$D$9-7</f>
        <v>41702</v>
      </c>
      <c r="C251" s="22" t="s">
        <v>229</v>
      </c>
      <c r="D251" s="23" t="s">
        <v>194</v>
      </c>
      <c r="E251" s="24" t="s">
        <v>292</v>
      </c>
      <c r="F251" s="24" t="s">
        <v>195</v>
      </c>
    </row>
    <row r="252" spans="1:6" ht="73.5" customHeight="1" x14ac:dyDescent="0.2">
      <c r="A252" s="21">
        <f>+Dates!$D$9-7</f>
        <v>41702</v>
      </c>
      <c r="B252" s="21">
        <f>+Dates!$D$9-7</f>
        <v>41702</v>
      </c>
      <c r="C252" s="22" t="s">
        <v>530</v>
      </c>
      <c r="D252" s="23" t="s">
        <v>194</v>
      </c>
      <c r="E252" s="24" t="s">
        <v>301</v>
      </c>
      <c r="F252" s="24" t="s">
        <v>195</v>
      </c>
    </row>
    <row r="253" spans="1:6" ht="93" customHeight="1" x14ac:dyDescent="0.2">
      <c r="A253" s="21">
        <f>+Dates!$D$9-7</f>
        <v>41702</v>
      </c>
      <c r="B253" s="21">
        <f>+Dates!$D$9-7</f>
        <v>41702</v>
      </c>
      <c r="C253" s="22" t="s">
        <v>596</v>
      </c>
      <c r="D253" s="23" t="s">
        <v>150</v>
      </c>
      <c r="E253" s="24" t="s">
        <v>61</v>
      </c>
      <c r="F253" s="24" t="s">
        <v>103</v>
      </c>
    </row>
    <row r="254" spans="1:6" ht="91.5" customHeight="1" x14ac:dyDescent="0.2">
      <c r="A254" s="21">
        <f>+Dates!$D$9-7</f>
        <v>41702</v>
      </c>
      <c r="B254" s="21">
        <f>+Dates!$D$9-7</f>
        <v>41702</v>
      </c>
      <c r="C254" s="22" t="s">
        <v>595</v>
      </c>
      <c r="D254" s="23" t="s">
        <v>150</v>
      </c>
      <c r="E254" s="24" t="s">
        <v>80</v>
      </c>
      <c r="F254" s="24" t="s">
        <v>103</v>
      </c>
    </row>
    <row r="255" spans="1:6" ht="99" customHeight="1" x14ac:dyDescent="0.2">
      <c r="A255" s="21">
        <f>+Dates!$D$9-7</f>
        <v>41702</v>
      </c>
      <c r="B255" s="21">
        <f>+Dates!$D$9-7</f>
        <v>41702</v>
      </c>
      <c r="C255" s="22" t="s">
        <v>597</v>
      </c>
      <c r="D255" s="23" t="s">
        <v>150</v>
      </c>
      <c r="E255" s="24" t="s">
        <v>301</v>
      </c>
      <c r="F255" s="24" t="s">
        <v>103</v>
      </c>
    </row>
    <row r="256" spans="1:6" ht="228.75" customHeight="1" x14ac:dyDescent="0.2">
      <c r="A256" s="21">
        <f>+Dates!$D$9-7</f>
        <v>41702</v>
      </c>
      <c r="B256" s="21">
        <f>+Dates!$D$9</f>
        <v>41709</v>
      </c>
      <c r="C256" s="22" t="s">
        <v>1799</v>
      </c>
      <c r="D256" s="23" t="s">
        <v>372</v>
      </c>
      <c r="E256" s="24" t="s">
        <v>61</v>
      </c>
      <c r="F256" s="24" t="s">
        <v>305</v>
      </c>
    </row>
    <row r="257" spans="1:6" ht="236.25" customHeight="1" x14ac:dyDescent="0.2">
      <c r="A257" s="21">
        <f>+Dates!$D$9-7</f>
        <v>41702</v>
      </c>
      <c r="B257" s="21">
        <f>+Dates!$D$9</f>
        <v>41709</v>
      </c>
      <c r="C257" s="22" t="s">
        <v>1800</v>
      </c>
      <c r="D257" s="23" t="s">
        <v>372</v>
      </c>
      <c r="E257" s="24" t="s">
        <v>80</v>
      </c>
      <c r="F257" s="24" t="s">
        <v>305</v>
      </c>
    </row>
    <row r="258" spans="1:6" ht="226.5" customHeight="1" x14ac:dyDescent="0.2">
      <c r="A258" s="21">
        <f>+Dates!$D$9-7</f>
        <v>41702</v>
      </c>
      <c r="B258" s="21">
        <f>+Dates!$D$9</f>
        <v>41709</v>
      </c>
      <c r="C258" s="22" t="s">
        <v>1801</v>
      </c>
      <c r="D258" s="23" t="s">
        <v>372</v>
      </c>
      <c r="E258" s="24" t="s">
        <v>301</v>
      </c>
      <c r="F258" s="24" t="s">
        <v>305</v>
      </c>
    </row>
    <row r="259" spans="1:6" ht="77.25" customHeight="1" x14ac:dyDescent="0.2">
      <c r="A259" s="21">
        <f>+Dates!$D$9-4</f>
        <v>41705</v>
      </c>
      <c r="B259" s="21">
        <f>+Dates!$D$9-4</f>
        <v>41705</v>
      </c>
      <c r="C259" s="22" t="s">
        <v>1376</v>
      </c>
      <c r="D259" s="23" t="s">
        <v>110</v>
      </c>
      <c r="E259" s="24" t="s">
        <v>61</v>
      </c>
      <c r="F259" s="24" t="s">
        <v>111</v>
      </c>
    </row>
    <row r="260" spans="1:6" ht="69.75" customHeight="1" x14ac:dyDescent="0.2">
      <c r="A260" s="21">
        <f>+Dates!$D$9-4</f>
        <v>41705</v>
      </c>
      <c r="B260" s="21">
        <f>+Dates!$D$9-4</f>
        <v>41705</v>
      </c>
      <c r="C260" s="22" t="s">
        <v>531</v>
      </c>
      <c r="D260" s="23" t="s">
        <v>110</v>
      </c>
      <c r="E260" s="24" t="s">
        <v>80</v>
      </c>
      <c r="F260" s="24" t="s">
        <v>111</v>
      </c>
    </row>
    <row r="261" spans="1:6" ht="73.5" customHeight="1" x14ac:dyDescent="0.2">
      <c r="A261" s="21">
        <f>+Dates!$D$9-4</f>
        <v>41705</v>
      </c>
      <c r="B261" s="21">
        <f>+Dates!$D$9-4</f>
        <v>41705</v>
      </c>
      <c r="C261" s="22" t="s">
        <v>462</v>
      </c>
      <c r="D261" s="23" t="s">
        <v>110</v>
      </c>
      <c r="E261" s="24" t="s">
        <v>301</v>
      </c>
      <c r="F261" s="24" t="s">
        <v>111</v>
      </c>
    </row>
    <row r="262" spans="1:6" ht="129.75" customHeight="1" x14ac:dyDescent="0.2">
      <c r="A262" s="21">
        <f>+Dates!$D$9-3</f>
        <v>41706</v>
      </c>
      <c r="B262" s="21">
        <f>+Dates!$D$9-3</f>
        <v>41706</v>
      </c>
      <c r="C262" s="22" t="s">
        <v>532</v>
      </c>
      <c r="D262" s="23" t="s">
        <v>263</v>
      </c>
      <c r="E262" s="24" t="s">
        <v>61</v>
      </c>
      <c r="F262" s="24" t="s">
        <v>305</v>
      </c>
    </row>
    <row r="263" spans="1:6" ht="141" customHeight="1" x14ac:dyDescent="0.2">
      <c r="A263" s="21">
        <f>+Dates!$D$9-3</f>
        <v>41706</v>
      </c>
      <c r="B263" s="21">
        <f>+Dates!$D$9-3</f>
        <v>41706</v>
      </c>
      <c r="C263" s="22" t="s">
        <v>373</v>
      </c>
      <c r="D263" s="23" t="s">
        <v>263</v>
      </c>
      <c r="E263" s="24" t="s">
        <v>292</v>
      </c>
      <c r="F263" s="24" t="s">
        <v>305</v>
      </c>
    </row>
    <row r="264" spans="1:6" ht="79.5" customHeight="1" x14ac:dyDescent="0.2">
      <c r="A264" s="21">
        <f>+Dates!$D$9-3</f>
        <v>41706</v>
      </c>
      <c r="B264" s="21">
        <f>+Dates!$D$9-3</f>
        <v>41706</v>
      </c>
      <c r="C264" s="22" t="s">
        <v>182</v>
      </c>
      <c r="D264" s="23" t="s">
        <v>263</v>
      </c>
      <c r="E264" s="24" t="s">
        <v>301</v>
      </c>
      <c r="F264" s="24" t="s">
        <v>305</v>
      </c>
    </row>
    <row r="265" spans="1:6" ht="151.5" customHeight="1" x14ac:dyDescent="0.2">
      <c r="A265" s="21">
        <f>+Dates!$D$9-1</f>
        <v>41708</v>
      </c>
      <c r="B265" s="21">
        <f>+Dates!$D$9-1</f>
        <v>41708</v>
      </c>
      <c r="C265" s="22" t="s">
        <v>375</v>
      </c>
      <c r="D265" s="23" t="s">
        <v>263</v>
      </c>
      <c r="E265" s="24" t="s">
        <v>61</v>
      </c>
      <c r="F265" s="24" t="s">
        <v>305</v>
      </c>
    </row>
    <row r="266" spans="1:6" ht="124.5" customHeight="1" x14ac:dyDescent="0.2">
      <c r="A266" s="21">
        <f>+Dates!$D$9-1</f>
        <v>41708</v>
      </c>
      <c r="B266" s="21">
        <f>+Dates!$D$9-1</f>
        <v>41708</v>
      </c>
      <c r="C266" s="22" t="s">
        <v>376</v>
      </c>
      <c r="D266" s="23" t="s">
        <v>263</v>
      </c>
      <c r="E266" s="24" t="s">
        <v>292</v>
      </c>
      <c r="F266" s="24" t="s">
        <v>305</v>
      </c>
    </row>
    <row r="267" spans="1:6" ht="124.5" customHeight="1" x14ac:dyDescent="0.2">
      <c r="A267" s="21">
        <f>+Dates!$D$9-1</f>
        <v>41708</v>
      </c>
      <c r="B267" s="21">
        <f>+Dates!$D$9-1</f>
        <v>41708</v>
      </c>
      <c r="C267" s="22" t="s">
        <v>1747</v>
      </c>
      <c r="D267" s="23" t="s">
        <v>71</v>
      </c>
      <c r="E267" s="24" t="s">
        <v>61</v>
      </c>
      <c r="F267" s="24" t="s">
        <v>305</v>
      </c>
    </row>
    <row r="268" spans="1:6" ht="124.5" customHeight="1" x14ac:dyDescent="0.2">
      <c r="A268" s="21">
        <f>+Dates!$D$9-1</f>
        <v>41708</v>
      </c>
      <c r="B268" s="21">
        <f>+Dates!$D$9-1</f>
        <v>41708</v>
      </c>
      <c r="C268" s="22" t="s">
        <v>1748</v>
      </c>
      <c r="D268" s="23" t="s">
        <v>71</v>
      </c>
      <c r="E268" s="24" t="s">
        <v>80</v>
      </c>
      <c r="F268" s="24" t="s">
        <v>305</v>
      </c>
    </row>
    <row r="269" spans="1:6" ht="130.5" customHeight="1" x14ac:dyDescent="0.2">
      <c r="A269" s="21">
        <f>+Dates!$D$9-1</f>
        <v>41708</v>
      </c>
      <c r="B269" s="21">
        <f>+Dates!$D$9-1</f>
        <v>41708</v>
      </c>
      <c r="C269" s="22" t="s">
        <v>1749</v>
      </c>
      <c r="D269" s="23" t="s">
        <v>71</v>
      </c>
      <c r="E269" s="24" t="s">
        <v>301</v>
      </c>
      <c r="F269" s="24" t="s">
        <v>305</v>
      </c>
    </row>
    <row r="270" spans="1:6" ht="102.75" customHeight="1" x14ac:dyDescent="0.2">
      <c r="A270" s="21">
        <f>+Dates!$D$9-1</f>
        <v>41708</v>
      </c>
      <c r="B270" s="21">
        <f>+Dates!$D$9-1</f>
        <v>41708</v>
      </c>
      <c r="C270" s="22" t="s">
        <v>1373</v>
      </c>
      <c r="D270" s="23" t="s">
        <v>183</v>
      </c>
      <c r="E270" s="24" t="s">
        <v>61</v>
      </c>
      <c r="F270" s="24" t="s">
        <v>306</v>
      </c>
    </row>
    <row r="271" spans="1:6" ht="85.5" customHeight="1" x14ac:dyDescent="0.2">
      <c r="A271" s="21">
        <f>+Dates!$D$9-1</f>
        <v>41708</v>
      </c>
      <c r="B271" s="21">
        <f>+Dates!$D$9-1</f>
        <v>41708</v>
      </c>
      <c r="C271" s="22" t="s">
        <v>533</v>
      </c>
      <c r="D271" s="23" t="s">
        <v>183</v>
      </c>
      <c r="E271" s="24" t="s">
        <v>80</v>
      </c>
      <c r="F271" s="24" t="s">
        <v>306</v>
      </c>
    </row>
    <row r="272" spans="1:6" ht="90.75" customHeight="1" x14ac:dyDescent="0.2">
      <c r="A272" s="21">
        <f>+Dates!$D$9-1</f>
        <v>41708</v>
      </c>
      <c r="B272" s="21">
        <f>+Dates!$D$9-1</f>
        <v>41708</v>
      </c>
      <c r="C272" s="22" t="s">
        <v>463</v>
      </c>
      <c r="D272" s="23" t="s">
        <v>183</v>
      </c>
      <c r="E272" s="24" t="s">
        <v>301</v>
      </c>
      <c r="F272" s="24" t="s">
        <v>306</v>
      </c>
    </row>
    <row r="273" spans="1:6" ht="90.75" customHeight="1" x14ac:dyDescent="0.2">
      <c r="A273" s="21">
        <f>+Dates!$D$9-1</f>
        <v>41708</v>
      </c>
      <c r="B273" s="21">
        <f>+Dates!$D$9-1</f>
        <v>41708</v>
      </c>
      <c r="C273" s="22" t="s">
        <v>1374</v>
      </c>
      <c r="D273" s="23" t="s">
        <v>184</v>
      </c>
      <c r="E273" s="24" t="s">
        <v>61</v>
      </c>
      <c r="F273" s="24" t="s">
        <v>332</v>
      </c>
    </row>
    <row r="274" spans="1:6" ht="83.25" customHeight="1" x14ac:dyDescent="0.2">
      <c r="A274" s="21">
        <f>+Dates!$D$9-1</f>
        <v>41708</v>
      </c>
      <c r="B274" s="21">
        <f>+Dates!$D$9-1</f>
        <v>41708</v>
      </c>
      <c r="C274" s="22" t="s">
        <v>1375</v>
      </c>
      <c r="D274" s="23" t="s">
        <v>184</v>
      </c>
      <c r="E274" s="24" t="s">
        <v>80</v>
      </c>
      <c r="F274" s="24" t="s">
        <v>332</v>
      </c>
    </row>
    <row r="275" spans="1:6" ht="100.5" customHeight="1" x14ac:dyDescent="0.2">
      <c r="A275" s="21">
        <f>+Dates!$D$9-1</f>
        <v>41708</v>
      </c>
      <c r="B275" s="21">
        <f>+Dates!$D$9-1</f>
        <v>41708</v>
      </c>
      <c r="C275" s="22" t="s">
        <v>464</v>
      </c>
      <c r="D275" s="23" t="s">
        <v>184</v>
      </c>
      <c r="E275" s="24" t="s">
        <v>301</v>
      </c>
      <c r="F275" s="24" t="s">
        <v>332</v>
      </c>
    </row>
    <row r="276" spans="1:6" ht="67.5" customHeight="1" x14ac:dyDescent="0.2">
      <c r="A276" s="21">
        <f>+Dates!$D$9</f>
        <v>41709</v>
      </c>
      <c r="B276" s="21">
        <f>+Dates!$D$9</f>
        <v>41709</v>
      </c>
      <c r="C276" s="22" t="s">
        <v>207</v>
      </c>
      <c r="D276" s="23" t="s">
        <v>176</v>
      </c>
      <c r="E276" s="24" t="s">
        <v>61</v>
      </c>
      <c r="F276" s="24" t="s">
        <v>111</v>
      </c>
    </row>
    <row r="277" spans="1:6" ht="68.25" customHeight="1" x14ac:dyDescent="0.2">
      <c r="A277" s="21">
        <f>+Dates!$D$9</f>
        <v>41709</v>
      </c>
      <c r="B277" s="21">
        <f>+Dates!$D$9</f>
        <v>41709</v>
      </c>
      <c r="C277" s="22" t="s">
        <v>208</v>
      </c>
      <c r="D277" s="23" t="s">
        <v>176</v>
      </c>
      <c r="E277" s="24" t="s">
        <v>135</v>
      </c>
      <c r="F277" s="24" t="s">
        <v>111</v>
      </c>
    </row>
    <row r="278" spans="1:6" ht="68.25" customHeight="1" x14ac:dyDescent="0.2">
      <c r="A278" s="21">
        <f>+Dates!$D$9</f>
        <v>41709</v>
      </c>
      <c r="B278" s="21">
        <f>+Dates!$D$9</f>
        <v>41709</v>
      </c>
      <c r="C278" s="22" t="s">
        <v>1377</v>
      </c>
      <c r="D278" s="23" t="s">
        <v>176</v>
      </c>
      <c r="E278" s="24" t="s">
        <v>391</v>
      </c>
      <c r="F278" s="24" t="s">
        <v>111</v>
      </c>
    </row>
    <row r="279" spans="1:6" ht="54.75" customHeight="1" x14ac:dyDescent="0.2">
      <c r="A279" s="21">
        <f>+Dates!$D$9</f>
        <v>41709</v>
      </c>
      <c r="B279" s="21">
        <f>+Dates!$D$9</f>
        <v>41709</v>
      </c>
      <c r="C279" s="22" t="s">
        <v>1808</v>
      </c>
      <c r="D279" s="23" t="s">
        <v>176</v>
      </c>
      <c r="E279" s="24" t="s">
        <v>80</v>
      </c>
      <c r="F279" s="24" t="s">
        <v>111</v>
      </c>
    </row>
    <row r="280" spans="1:6" ht="75" customHeight="1" x14ac:dyDescent="0.2">
      <c r="A280" s="21">
        <f>+Dates!$D$9</f>
        <v>41709</v>
      </c>
      <c r="B280" s="21">
        <f>+Dates!$D$9</f>
        <v>41709</v>
      </c>
      <c r="C280" s="22" t="s">
        <v>1809</v>
      </c>
      <c r="D280" s="23" t="s">
        <v>176</v>
      </c>
      <c r="E280" s="24" t="s">
        <v>1062</v>
      </c>
      <c r="F280" s="24" t="s">
        <v>111</v>
      </c>
    </row>
    <row r="281" spans="1:6" ht="60.75" customHeight="1" x14ac:dyDescent="0.2">
      <c r="A281" s="21">
        <f>+Dates!$D$9</f>
        <v>41709</v>
      </c>
      <c r="B281" s="21">
        <f>+Dates!$D$9</f>
        <v>41709</v>
      </c>
      <c r="C281" s="22" t="s">
        <v>1810</v>
      </c>
      <c r="D281" s="23" t="s">
        <v>176</v>
      </c>
      <c r="E281" s="24" t="s">
        <v>301</v>
      </c>
      <c r="F281" s="24" t="s">
        <v>111</v>
      </c>
    </row>
    <row r="282" spans="1:6" ht="60.75" customHeight="1" x14ac:dyDescent="0.2">
      <c r="A282" s="21">
        <f>+Dates!$D$9</f>
        <v>41709</v>
      </c>
      <c r="B282" s="21">
        <f>+Dates!$D$9</f>
        <v>41709</v>
      </c>
      <c r="C282" s="22" t="s">
        <v>1811</v>
      </c>
      <c r="D282" s="23" t="s">
        <v>176</v>
      </c>
      <c r="E282" s="24" t="s">
        <v>333</v>
      </c>
      <c r="F282" s="24" t="s">
        <v>111</v>
      </c>
    </row>
    <row r="283" spans="1:6" ht="72" customHeight="1" x14ac:dyDescent="0.2">
      <c r="A283" s="21">
        <f>+Dates!$D$9</f>
        <v>41709</v>
      </c>
      <c r="B283" s="21">
        <f>+Dates!$D$9</f>
        <v>41709</v>
      </c>
      <c r="C283" s="22" t="s">
        <v>1812</v>
      </c>
      <c r="D283" s="23" t="s">
        <v>176</v>
      </c>
      <c r="E283" s="24" t="s">
        <v>160</v>
      </c>
      <c r="F283" s="24" t="s">
        <v>111</v>
      </c>
    </row>
    <row r="284" spans="1:6" ht="60.75" customHeight="1" x14ac:dyDescent="0.2">
      <c r="A284" s="21">
        <f>+Dates!$D$9</f>
        <v>41709</v>
      </c>
      <c r="B284" s="21">
        <f>+Dates!$D$9</f>
        <v>41709</v>
      </c>
      <c r="C284" s="22" t="s">
        <v>1813</v>
      </c>
      <c r="D284" s="23" t="s">
        <v>176</v>
      </c>
      <c r="E284" s="24" t="s">
        <v>295</v>
      </c>
      <c r="F284" s="24" t="s">
        <v>111</v>
      </c>
    </row>
    <row r="285" spans="1:6" ht="92.25" customHeight="1" x14ac:dyDescent="0.2">
      <c r="A285" s="21">
        <f>+Dates!$D$9</f>
        <v>41709</v>
      </c>
      <c r="B285" s="21">
        <f>+Dates!$D$9</f>
        <v>41709</v>
      </c>
      <c r="C285" s="22" t="s">
        <v>1380</v>
      </c>
      <c r="D285" s="23" t="s">
        <v>72</v>
      </c>
      <c r="E285" s="24" t="s">
        <v>61</v>
      </c>
      <c r="F285" s="24" t="s">
        <v>111</v>
      </c>
    </row>
    <row r="286" spans="1:6" ht="91.5" customHeight="1" x14ac:dyDescent="0.2">
      <c r="A286" s="21">
        <f>+Dates!$D$9</f>
        <v>41709</v>
      </c>
      <c r="B286" s="21">
        <f>+Dates!$D$9</f>
        <v>41709</v>
      </c>
      <c r="C286" s="22" t="s">
        <v>1381</v>
      </c>
      <c r="D286" s="23" t="s">
        <v>72</v>
      </c>
      <c r="E286" s="24" t="s">
        <v>135</v>
      </c>
      <c r="F286" s="24" t="s">
        <v>111</v>
      </c>
    </row>
    <row r="287" spans="1:6" ht="92.25" customHeight="1" x14ac:dyDescent="0.2">
      <c r="A287" s="21">
        <f>+Dates!$D$9</f>
        <v>41709</v>
      </c>
      <c r="B287" s="21">
        <f>+Dates!$D$9</f>
        <v>41709</v>
      </c>
      <c r="C287" s="22" t="s">
        <v>1382</v>
      </c>
      <c r="D287" s="23" t="s">
        <v>72</v>
      </c>
      <c r="E287" s="24" t="s">
        <v>391</v>
      </c>
      <c r="F287" s="24" t="s">
        <v>111</v>
      </c>
    </row>
    <row r="288" spans="1:6" ht="89.25" customHeight="1" x14ac:dyDescent="0.2">
      <c r="A288" s="21">
        <f>+Dates!$D$9</f>
        <v>41709</v>
      </c>
      <c r="B288" s="21">
        <f>+Dates!$D$9</f>
        <v>41709</v>
      </c>
      <c r="C288" s="22" t="s">
        <v>196</v>
      </c>
      <c r="D288" s="23" t="s">
        <v>72</v>
      </c>
      <c r="E288" s="24" t="s">
        <v>292</v>
      </c>
      <c r="F288" s="24" t="s">
        <v>111</v>
      </c>
    </row>
    <row r="289" spans="1:6" ht="120.75" customHeight="1" x14ac:dyDescent="0.2">
      <c r="A289" s="21">
        <f>+Dates!$D$9</f>
        <v>41709</v>
      </c>
      <c r="B289" s="21">
        <f>+Dates!$D$9</f>
        <v>41709</v>
      </c>
      <c r="C289" s="22" t="s">
        <v>329</v>
      </c>
      <c r="D289" s="23" t="s">
        <v>72</v>
      </c>
      <c r="E289" s="24" t="s">
        <v>1062</v>
      </c>
      <c r="F289" s="24" t="s">
        <v>111</v>
      </c>
    </row>
    <row r="290" spans="1:6" ht="117" customHeight="1" x14ac:dyDescent="0.2">
      <c r="A290" s="21">
        <f>+Dates!$D$9</f>
        <v>41709</v>
      </c>
      <c r="B290" s="21">
        <f>+Dates!$D$9</f>
        <v>41709</v>
      </c>
      <c r="C290" s="22" t="s">
        <v>358</v>
      </c>
      <c r="D290" s="23" t="s">
        <v>72</v>
      </c>
      <c r="E290" s="24" t="s">
        <v>301</v>
      </c>
      <c r="F290" s="24" t="s">
        <v>111</v>
      </c>
    </row>
    <row r="291" spans="1:6" ht="105" customHeight="1" x14ac:dyDescent="0.2">
      <c r="A291" s="21">
        <f>+Dates!$D$9</f>
        <v>41709</v>
      </c>
      <c r="B291" s="21">
        <f>+Dates!$D$9</f>
        <v>41709</v>
      </c>
      <c r="C291" s="22" t="s">
        <v>345</v>
      </c>
      <c r="D291" s="23" t="s">
        <v>72</v>
      </c>
      <c r="E291" s="24" t="s">
        <v>333</v>
      </c>
      <c r="F291" s="24" t="s">
        <v>111</v>
      </c>
    </row>
    <row r="292" spans="1:6" ht="111" customHeight="1" x14ac:dyDescent="0.2">
      <c r="A292" s="21">
        <f>+Dates!$D$9</f>
        <v>41709</v>
      </c>
      <c r="B292" s="21">
        <f>+Dates!$D$9</f>
        <v>41709</v>
      </c>
      <c r="C292" s="22" t="s">
        <v>307</v>
      </c>
      <c r="D292" s="23" t="s">
        <v>72</v>
      </c>
      <c r="E292" s="24" t="s">
        <v>160</v>
      </c>
      <c r="F292" s="24" t="s">
        <v>111</v>
      </c>
    </row>
    <row r="293" spans="1:6" ht="120.75" customHeight="1" x14ac:dyDescent="0.2">
      <c r="A293" s="21">
        <f>+Dates!$D$9</f>
        <v>41709</v>
      </c>
      <c r="B293" s="21">
        <f>+Dates!$D$9</f>
        <v>41709</v>
      </c>
      <c r="C293" s="22" t="s">
        <v>316</v>
      </c>
      <c r="D293" s="23" t="s">
        <v>72</v>
      </c>
      <c r="E293" s="24" t="s">
        <v>295</v>
      </c>
      <c r="F293" s="24" t="s">
        <v>111</v>
      </c>
    </row>
    <row r="294" spans="1:6" ht="177.75" customHeight="1" x14ac:dyDescent="0.2">
      <c r="A294" s="21">
        <f>+Dates!$D$9</f>
        <v>41709</v>
      </c>
      <c r="B294" s="21">
        <f>+Dates!$D$9</f>
        <v>41709</v>
      </c>
      <c r="C294" s="22" t="s">
        <v>1385</v>
      </c>
      <c r="D294" s="23" t="s">
        <v>221</v>
      </c>
      <c r="E294" s="24" t="s">
        <v>61</v>
      </c>
      <c r="F294" s="24" t="s">
        <v>111</v>
      </c>
    </row>
    <row r="295" spans="1:6" ht="177.75" customHeight="1" x14ac:dyDescent="0.2">
      <c r="A295" s="21">
        <f>+Dates!$D$9</f>
        <v>41709</v>
      </c>
      <c r="B295" s="21">
        <f>+Dates!$D$9</f>
        <v>41709</v>
      </c>
      <c r="C295" s="22" t="s">
        <v>1386</v>
      </c>
      <c r="D295" s="23" t="s">
        <v>221</v>
      </c>
      <c r="E295" s="24" t="s">
        <v>391</v>
      </c>
      <c r="F295" s="24" t="s">
        <v>111</v>
      </c>
    </row>
    <row r="296" spans="1:6" ht="194.25" customHeight="1" x14ac:dyDescent="0.2">
      <c r="A296" s="21">
        <f>+Dates!$D$9</f>
        <v>41709</v>
      </c>
      <c r="B296" s="21">
        <f>+Dates!$D$9</f>
        <v>41709</v>
      </c>
      <c r="C296" s="22" t="s">
        <v>1387</v>
      </c>
      <c r="D296" s="23" t="s">
        <v>221</v>
      </c>
      <c r="E296" s="24" t="s">
        <v>80</v>
      </c>
      <c r="F296" s="24" t="s">
        <v>111</v>
      </c>
    </row>
    <row r="297" spans="1:6" ht="135" customHeight="1" x14ac:dyDescent="0.2">
      <c r="A297" s="21">
        <f>+Dates!$D$9</f>
        <v>41709</v>
      </c>
      <c r="B297" s="21">
        <f>+Dates!$D$9</f>
        <v>41709</v>
      </c>
      <c r="C297" s="22" t="s">
        <v>156</v>
      </c>
      <c r="D297" s="23" t="s">
        <v>221</v>
      </c>
      <c r="E297" s="24" t="s">
        <v>301</v>
      </c>
      <c r="F297" s="24" t="s">
        <v>111</v>
      </c>
    </row>
    <row r="298" spans="1:6" ht="141.75" customHeight="1" x14ac:dyDescent="0.2">
      <c r="A298" s="21">
        <f>+Dates!$D$9</f>
        <v>41709</v>
      </c>
      <c r="B298" s="21">
        <f>+Dates!$D$9</f>
        <v>41709</v>
      </c>
      <c r="C298" s="22" t="s">
        <v>157</v>
      </c>
      <c r="D298" s="23" t="s">
        <v>221</v>
      </c>
      <c r="E298" s="24" t="s">
        <v>301</v>
      </c>
      <c r="F298" s="24" t="s">
        <v>111</v>
      </c>
    </row>
    <row r="299" spans="1:6" ht="99" customHeight="1" x14ac:dyDescent="0.2">
      <c r="A299" s="21">
        <f>+Dates!$D$9</f>
        <v>41709</v>
      </c>
      <c r="B299" s="21">
        <f>+Dates!$D$9</f>
        <v>41709</v>
      </c>
      <c r="C299" s="22" t="s">
        <v>1814</v>
      </c>
      <c r="D299" s="23" t="s">
        <v>372</v>
      </c>
      <c r="E299" s="24" t="s">
        <v>61</v>
      </c>
      <c r="F299" s="24" t="s">
        <v>305</v>
      </c>
    </row>
    <row r="300" spans="1:6" ht="89.25" customHeight="1" x14ac:dyDescent="0.2">
      <c r="A300" s="21">
        <f>+Dates!$D$9</f>
        <v>41709</v>
      </c>
      <c r="B300" s="21">
        <f>+Dates!$D$9</f>
        <v>41709</v>
      </c>
      <c r="C300" s="22" t="s">
        <v>1815</v>
      </c>
      <c r="D300" s="23" t="s">
        <v>372</v>
      </c>
      <c r="E300" s="24" t="s">
        <v>80</v>
      </c>
      <c r="F300" s="24" t="s">
        <v>305</v>
      </c>
    </row>
    <row r="301" spans="1:6" ht="96.75" customHeight="1" x14ac:dyDescent="0.2">
      <c r="A301" s="21">
        <f>+Dates!$D$9</f>
        <v>41709</v>
      </c>
      <c r="B301" s="21">
        <f>+Dates!$D$9</f>
        <v>41709</v>
      </c>
      <c r="C301" s="22" t="s">
        <v>1816</v>
      </c>
      <c r="D301" s="23" t="s">
        <v>372</v>
      </c>
      <c r="E301" s="24" t="s">
        <v>301</v>
      </c>
      <c r="F301" s="24" t="s">
        <v>305</v>
      </c>
    </row>
    <row r="302" spans="1:6" ht="96.75" customHeight="1" x14ac:dyDescent="0.2">
      <c r="A302" s="21">
        <f>+Dates!$D$9</f>
        <v>41709</v>
      </c>
      <c r="B302" s="21">
        <f>+Dates!$D$9</f>
        <v>41709</v>
      </c>
      <c r="C302" s="22" t="s">
        <v>1817</v>
      </c>
      <c r="D302" s="23" t="s">
        <v>537</v>
      </c>
      <c r="E302" s="24" t="s">
        <v>61</v>
      </c>
      <c r="F302" s="24" t="s">
        <v>305</v>
      </c>
    </row>
    <row r="303" spans="1:6" ht="96.75" customHeight="1" x14ac:dyDescent="0.2">
      <c r="A303" s="21">
        <f>+Dates!$D$9</f>
        <v>41709</v>
      </c>
      <c r="B303" s="21">
        <f>+Dates!$D$9</f>
        <v>41709</v>
      </c>
      <c r="C303" s="22" t="s">
        <v>1818</v>
      </c>
      <c r="D303" s="23" t="s">
        <v>537</v>
      </c>
      <c r="E303" s="24" t="s">
        <v>80</v>
      </c>
      <c r="F303" s="24" t="s">
        <v>305</v>
      </c>
    </row>
    <row r="304" spans="1:6" ht="95.25" customHeight="1" x14ac:dyDescent="0.2">
      <c r="A304" s="21">
        <f>+Dates!$D$9</f>
        <v>41709</v>
      </c>
      <c r="B304" s="21">
        <f>+Dates!$D$9</f>
        <v>41709</v>
      </c>
      <c r="C304" s="22" t="s">
        <v>1819</v>
      </c>
      <c r="D304" s="23" t="s">
        <v>537</v>
      </c>
      <c r="E304" s="24" t="s">
        <v>301</v>
      </c>
      <c r="F304" s="24" t="s">
        <v>305</v>
      </c>
    </row>
    <row r="305" spans="1:6" ht="57" customHeight="1" x14ac:dyDescent="0.2">
      <c r="A305" s="21">
        <f>+Dates!$D$9</f>
        <v>41709</v>
      </c>
      <c r="B305" s="21">
        <f>+Dates!$D$9+1</f>
        <v>41710</v>
      </c>
      <c r="C305" s="22" t="s">
        <v>1389</v>
      </c>
      <c r="D305" s="23" t="s">
        <v>58</v>
      </c>
      <c r="E305" s="24" t="s">
        <v>61</v>
      </c>
      <c r="F305" s="24" t="s">
        <v>290</v>
      </c>
    </row>
    <row r="306" spans="1:6" ht="46.5" customHeight="1" x14ac:dyDescent="0.2">
      <c r="A306" s="21">
        <f>+Dates!$D$9</f>
        <v>41709</v>
      </c>
      <c r="B306" s="21">
        <f>+Dates!$D$9+1</f>
        <v>41710</v>
      </c>
      <c r="C306" s="22" t="s">
        <v>1388</v>
      </c>
      <c r="D306" s="23" t="s">
        <v>58</v>
      </c>
      <c r="E306" s="24" t="s">
        <v>80</v>
      </c>
      <c r="F306" s="24" t="s">
        <v>290</v>
      </c>
    </row>
    <row r="307" spans="1:6" ht="57" customHeight="1" x14ac:dyDescent="0.2">
      <c r="A307" s="21">
        <f>+Dates!$D$9</f>
        <v>41709</v>
      </c>
      <c r="B307" s="21">
        <f>+Dates!$D$9+1</f>
        <v>41710</v>
      </c>
      <c r="C307" s="22" t="s">
        <v>24</v>
      </c>
      <c r="D307" s="23" t="s">
        <v>58</v>
      </c>
      <c r="E307" s="24" t="s">
        <v>301</v>
      </c>
      <c r="F307" s="24" t="s">
        <v>290</v>
      </c>
    </row>
    <row r="308" spans="1:6" ht="74.25" customHeight="1" x14ac:dyDescent="0.2">
      <c r="A308" s="21">
        <f>+Dates!$D$9+1</f>
        <v>41710</v>
      </c>
      <c r="B308" s="21">
        <f>+Dates!$D$9+1</f>
        <v>41710</v>
      </c>
      <c r="C308" s="22" t="s">
        <v>1390</v>
      </c>
      <c r="D308" s="23" t="s">
        <v>38</v>
      </c>
      <c r="E308" s="24" t="s">
        <v>61</v>
      </c>
      <c r="F308" s="24" t="s">
        <v>332</v>
      </c>
    </row>
    <row r="309" spans="1:6" ht="77.25" customHeight="1" x14ac:dyDescent="0.2">
      <c r="A309" s="21">
        <f>+Dates!$D$9+1</f>
        <v>41710</v>
      </c>
      <c r="B309" s="21">
        <f>+Dates!$D$9+1</f>
        <v>41710</v>
      </c>
      <c r="C309" s="22" t="s">
        <v>1391</v>
      </c>
      <c r="D309" s="23" t="s">
        <v>38</v>
      </c>
      <c r="E309" s="24" t="s">
        <v>80</v>
      </c>
      <c r="F309" s="24" t="s">
        <v>332</v>
      </c>
    </row>
    <row r="310" spans="1:6" ht="87" customHeight="1" x14ac:dyDescent="0.2">
      <c r="A310" s="21">
        <f>+Dates!$D$9+1</f>
        <v>41710</v>
      </c>
      <c r="B310" s="21">
        <f>+Dates!$D$9+1</f>
        <v>41710</v>
      </c>
      <c r="C310" s="22" t="s">
        <v>37</v>
      </c>
      <c r="D310" s="23" t="s">
        <v>38</v>
      </c>
      <c r="E310" s="24" t="s">
        <v>301</v>
      </c>
      <c r="F310" s="24" t="s">
        <v>332</v>
      </c>
    </row>
    <row r="311" spans="1:6" ht="54" customHeight="1" x14ac:dyDescent="0.2">
      <c r="A311" s="21">
        <f>+Dates!$D$9+1</f>
        <v>41710</v>
      </c>
      <c r="B311" s="21">
        <f>+Dates!$D$9+1</f>
        <v>41710</v>
      </c>
      <c r="C311" s="22" t="s">
        <v>538</v>
      </c>
      <c r="D311" s="23" t="s">
        <v>539</v>
      </c>
      <c r="E311" s="24" t="s">
        <v>292</v>
      </c>
      <c r="F311" s="24" t="s">
        <v>195</v>
      </c>
    </row>
    <row r="312" spans="1:6" ht="85.5" customHeight="1" x14ac:dyDescent="0.2">
      <c r="A312" s="21">
        <f>+Dates!$D$9+1</f>
        <v>41710</v>
      </c>
      <c r="B312" s="25">
        <f>+Dates!$D$9+42</f>
        <v>41751</v>
      </c>
      <c r="C312" s="22" t="s">
        <v>581</v>
      </c>
      <c r="D312" s="23">
        <v>201.17099999999999</v>
      </c>
      <c r="E312" s="24" t="s">
        <v>61</v>
      </c>
      <c r="F312" s="24" t="s">
        <v>195</v>
      </c>
    </row>
    <row r="313" spans="1:6" ht="72" customHeight="1" x14ac:dyDescent="0.2">
      <c r="A313" s="21">
        <f>+Dates!$D$9+1</f>
        <v>41710</v>
      </c>
      <c r="B313" s="25">
        <f>+Dates!$D$9+42</f>
        <v>41751</v>
      </c>
      <c r="C313" s="22" t="s">
        <v>580</v>
      </c>
      <c r="D313" s="23">
        <v>201.17099999999999</v>
      </c>
      <c r="E313" s="24" t="s">
        <v>292</v>
      </c>
      <c r="F313" s="24" t="s">
        <v>195</v>
      </c>
    </row>
    <row r="314" spans="1:6" ht="102.75" customHeight="1" x14ac:dyDescent="0.2">
      <c r="A314" s="21">
        <f>+Dates!$D$9+1</f>
        <v>41710</v>
      </c>
      <c r="B314" s="25">
        <f>+Dates!$D$9+42</f>
        <v>41751</v>
      </c>
      <c r="C314" s="22" t="s">
        <v>1565</v>
      </c>
      <c r="D314" s="23" t="s">
        <v>582</v>
      </c>
      <c r="E314" s="24" t="s">
        <v>61</v>
      </c>
      <c r="F314" s="24" t="s">
        <v>195</v>
      </c>
    </row>
    <row r="315" spans="1:6" ht="90.75" customHeight="1" x14ac:dyDescent="0.2">
      <c r="A315" s="21">
        <f>+Dates!$D$9+1</f>
        <v>41710</v>
      </c>
      <c r="B315" s="25">
        <f>+Dates!$D$9+42</f>
        <v>41751</v>
      </c>
      <c r="C315" s="22" t="s">
        <v>1566</v>
      </c>
      <c r="D315" s="23" t="s">
        <v>582</v>
      </c>
      <c r="E315" s="24" t="s">
        <v>80</v>
      </c>
      <c r="F315" s="24" t="s">
        <v>195</v>
      </c>
    </row>
    <row r="316" spans="1:6" ht="126.75" customHeight="1" x14ac:dyDescent="0.2">
      <c r="A316" s="21">
        <f>+Dates!$D$9+1</f>
        <v>41710</v>
      </c>
      <c r="B316" s="21">
        <f>+Dates!$D$9+42</f>
        <v>41751</v>
      </c>
      <c r="C316" s="22" t="s">
        <v>556</v>
      </c>
      <c r="D316" s="23" t="s">
        <v>1</v>
      </c>
      <c r="E316" s="24" t="s">
        <v>61</v>
      </c>
      <c r="F316" s="24" t="s">
        <v>195</v>
      </c>
    </row>
    <row r="317" spans="1:6" ht="119.25" customHeight="1" x14ac:dyDescent="0.2">
      <c r="A317" s="21">
        <f>+Dates!$D$9+1</f>
        <v>41710</v>
      </c>
      <c r="B317" s="21">
        <f>+Dates!$D$9+42</f>
        <v>41751</v>
      </c>
      <c r="C317" s="22" t="s">
        <v>555</v>
      </c>
      <c r="D317" s="23" t="s">
        <v>1</v>
      </c>
      <c r="E317" s="24" t="s">
        <v>292</v>
      </c>
      <c r="F317" s="24" t="s">
        <v>195</v>
      </c>
    </row>
    <row r="318" spans="1:6" ht="68.25" customHeight="1" x14ac:dyDescent="0.2">
      <c r="A318" s="21">
        <f>+Dates!$D$9+2</f>
        <v>41711</v>
      </c>
      <c r="B318" s="21">
        <f>+Dates!$D$9+2</f>
        <v>41711</v>
      </c>
      <c r="C318" s="22" t="s">
        <v>378</v>
      </c>
      <c r="D318" s="23" t="s">
        <v>366</v>
      </c>
      <c r="E318" s="24" t="s">
        <v>61</v>
      </c>
      <c r="F318" s="24" t="s">
        <v>290</v>
      </c>
    </row>
    <row r="319" spans="1:6" ht="71.25" customHeight="1" x14ac:dyDescent="0.2">
      <c r="A319" s="21">
        <f>+Dates!$D$9+2</f>
        <v>41711</v>
      </c>
      <c r="B319" s="21">
        <f>+Dates!$D$9+2</f>
        <v>41711</v>
      </c>
      <c r="C319" s="22" t="s">
        <v>466</v>
      </c>
      <c r="D319" s="23" t="s">
        <v>366</v>
      </c>
      <c r="E319" s="24" t="s">
        <v>135</v>
      </c>
      <c r="F319" s="24" t="s">
        <v>290</v>
      </c>
    </row>
    <row r="320" spans="1:6" ht="73.5" customHeight="1" x14ac:dyDescent="0.2">
      <c r="A320" s="21">
        <f>+Dates!$D$9+2</f>
        <v>41711</v>
      </c>
      <c r="B320" s="21">
        <f>+Dates!$D$9+2</f>
        <v>41711</v>
      </c>
      <c r="C320" s="22" t="s">
        <v>383</v>
      </c>
      <c r="D320" s="23" t="s">
        <v>366</v>
      </c>
      <c r="E320" s="24" t="s">
        <v>80</v>
      </c>
      <c r="F320" s="24" t="s">
        <v>290</v>
      </c>
    </row>
    <row r="321" spans="1:6" ht="84" customHeight="1" x14ac:dyDescent="0.2">
      <c r="A321" s="21">
        <f>+Dates!$D$9+2</f>
        <v>41711</v>
      </c>
      <c r="B321" s="21">
        <f>+Dates!$D$9+2</f>
        <v>41711</v>
      </c>
      <c r="C321" s="22" t="s">
        <v>1821</v>
      </c>
      <c r="D321" s="23" t="s">
        <v>366</v>
      </c>
      <c r="E321" s="24" t="s">
        <v>301</v>
      </c>
      <c r="F321" s="24" t="s">
        <v>290</v>
      </c>
    </row>
    <row r="322" spans="1:6" ht="63" customHeight="1" x14ac:dyDescent="0.2">
      <c r="A322" s="21">
        <f>+Dates!$D$9+2</f>
        <v>41711</v>
      </c>
      <c r="B322" s="21">
        <f>+Dates!$D$9+2</f>
        <v>41711</v>
      </c>
      <c r="C322" s="22" t="s">
        <v>1820</v>
      </c>
      <c r="D322" s="23" t="s">
        <v>58</v>
      </c>
      <c r="E322" s="24" t="s">
        <v>80</v>
      </c>
      <c r="F322" s="24" t="s">
        <v>290</v>
      </c>
    </row>
    <row r="323" spans="1:6" ht="69" customHeight="1" x14ac:dyDescent="0.2">
      <c r="A323" s="21">
        <f>+Dates!$D$9+2</f>
        <v>41711</v>
      </c>
      <c r="B323" s="21">
        <f>+Dates!$D$9+2</f>
        <v>41711</v>
      </c>
      <c r="C323" s="22" t="s">
        <v>57</v>
      </c>
      <c r="D323" s="23" t="s">
        <v>58</v>
      </c>
      <c r="E323" s="24" t="s">
        <v>301</v>
      </c>
      <c r="F323" s="24" t="s">
        <v>290</v>
      </c>
    </row>
    <row r="324" spans="1:6" ht="102.75" customHeight="1" x14ac:dyDescent="0.2">
      <c r="A324" s="21">
        <f>+Dates!$D$9+2</f>
        <v>41711</v>
      </c>
      <c r="B324" s="21">
        <f>+Dates!$D$9+2</f>
        <v>41711</v>
      </c>
      <c r="C324" s="22" t="s">
        <v>540</v>
      </c>
      <c r="D324" s="23" t="s">
        <v>38</v>
      </c>
      <c r="E324" s="24" t="s">
        <v>80</v>
      </c>
      <c r="F324" s="24" t="s">
        <v>290</v>
      </c>
    </row>
    <row r="325" spans="1:6" ht="101.25" customHeight="1" x14ac:dyDescent="0.2">
      <c r="A325" s="21">
        <f>+Dates!$D$9+2</f>
        <v>41711</v>
      </c>
      <c r="B325" s="21">
        <f>+Dates!$D$9+2</f>
        <v>41711</v>
      </c>
      <c r="C325" s="22" t="s">
        <v>367</v>
      </c>
      <c r="D325" s="23" t="s">
        <v>38</v>
      </c>
      <c r="E325" s="24" t="s">
        <v>301</v>
      </c>
      <c r="F325" s="24" t="s">
        <v>290</v>
      </c>
    </row>
    <row r="326" spans="1:6" ht="81.75" customHeight="1" x14ac:dyDescent="0.2">
      <c r="A326" s="21">
        <v>41712</v>
      </c>
      <c r="B326" s="21">
        <v>41712</v>
      </c>
      <c r="C326" s="22" t="s">
        <v>380</v>
      </c>
      <c r="D326" s="23" t="s">
        <v>348</v>
      </c>
      <c r="E326" s="24" t="s">
        <v>61</v>
      </c>
      <c r="F326" s="24" t="s">
        <v>241</v>
      </c>
    </row>
    <row r="327" spans="1:6" ht="75" customHeight="1" x14ac:dyDescent="0.2">
      <c r="A327" s="21">
        <v>41712</v>
      </c>
      <c r="B327" s="21">
        <v>41712</v>
      </c>
      <c r="C327" s="22" t="s">
        <v>381</v>
      </c>
      <c r="D327" s="23" t="s">
        <v>348</v>
      </c>
      <c r="E327" s="24" t="s">
        <v>80</v>
      </c>
      <c r="F327" s="24" t="s">
        <v>241</v>
      </c>
    </row>
    <row r="328" spans="1:6" ht="73.5" customHeight="1" x14ac:dyDescent="0.2">
      <c r="A328" s="21">
        <v>41712</v>
      </c>
      <c r="B328" s="21">
        <v>41712</v>
      </c>
      <c r="C328" s="22" t="s">
        <v>508</v>
      </c>
      <c r="D328" s="23" t="s">
        <v>348</v>
      </c>
      <c r="E328" s="24" t="s">
        <v>289</v>
      </c>
      <c r="F328" s="24" t="s">
        <v>241</v>
      </c>
    </row>
    <row r="329" spans="1:6" ht="80.25" customHeight="1" x14ac:dyDescent="0.2">
      <c r="A329" s="21">
        <v>41712</v>
      </c>
      <c r="B329" s="21">
        <v>41712</v>
      </c>
      <c r="C329" s="22" t="s">
        <v>507</v>
      </c>
      <c r="D329" s="23" t="s">
        <v>348</v>
      </c>
      <c r="E329" s="24" t="s">
        <v>291</v>
      </c>
      <c r="F329" s="24" t="s">
        <v>241</v>
      </c>
    </row>
    <row r="330" spans="1:6" ht="83.25" customHeight="1" x14ac:dyDescent="0.2">
      <c r="A330" s="21">
        <v>41712</v>
      </c>
      <c r="B330" s="21">
        <v>41712</v>
      </c>
      <c r="C330" s="22" t="s">
        <v>509</v>
      </c>
      <c r="D330" s="23" t="s">
        <v>348</v>
      </c>
      <c r="E330" s="24" t="s">
        <v>301</v>
      </c>
      <c r="F330" s="24" t="s">
        <v>241</v>
      </c>
    </row>
    <row r="331" spans="1:6" ht="78" customHeight="1" x14ac:dyDescent="0.2">
      <c r="A331" s="21">
        <v>41712</v>
      </c>
      <c r="B331" s="21">
        <v>41712</v>
      </c>
      <c r="C331" s="22" t="s">
        <v>382</v>
      </c>
      <c r="D331" s="23" t="s">
        <v>348</v>
      </c>
      <c r="E331" s="24" t="s">
        <v>297</v>
      </c>
      <c r="F331" s="24" t="s">
        <v>241</v>
      </c>
    </row>
    <row r="332" spans="1:6" ht="87" customHeight="1" x14ac:dyDescent="0.2">
      <c r="A332" s="21">
        <f>+Dates!$D$9+7</f>
        <v>41716</v>
      </c>
      <c r="B332" s="21">
        <f>+Dates!$D$9+7</f>
        <v>41716</v>
      </c>
      <c r="C332" s="22" t="s">
        <v>1392</v>
      </c>
      <c r="D332" s="23" t="s">
        <v>368</v>
      </c>
      <c r="E332" s="24" t="s">
        <v>61</v>
      </c>
      <c r="F332" s="24" t="s">
        <v>299</v>
      </c>
    </row>
    <row r="333" spans="1:6" ht="87" customHeight="1" x14ac:dyDescent="0.2">
      <c r="A333" s="21">
        <f>+Dates!$D$9+7</f>
        <v>41716</v>
      </c>
      <c r="B333" s="21">
        <f>+Dates!$D$9+7</f>
        <v>41716</v>
      </c>
      <c r="C333" s="22" t="s">
        <v>1393</v>
      </c>
      <c r="D333" s="23" t="s">
        <v>368</v>
      </c>
      <c r="E333" s="24" t="s">
        <v>135</v>
      </c>
      <c r="F333" s="24" t="s">
        <v>299</v>
      </c>
    </row>
    <row r="334" spans="1:6" ht="87" customHeight="1" x14ac:dyDescent="0.2">
      <c r="A334" s="21">
        <f>+Dates!$D$9+7</f>
        <v>41716</v>
      </c>
      <c r="B334" s="21">
        <f>+Dates!$D$9+7</f>
        <v>41716</v>
      </c>
      <c r="C334" s="22" t="s">
        <v>1394</v>
      </c>
      <c r="D334" s="23" t="s">
        <v>368</v>
      </c>
      <c r="E334" s="24" t="s">
        <v>391</v>
      </c>
      <c r="F334" s="24" t="s">
        <v>299</v>
      </c>
    </row>
    <row r="335" spans="1:6" ht="87" customHeight="1" x14ac:dyDescent="0.2">
      <c r="A335" s="21">
        <f>+Dates!$D$9+7</f>
        <v>41716</v>
      </c>
      <c r="B335" s="21">
        <f>+Dates!$D$9+7</f>
        <v>41716</v>
      </c>
      <c r="C335" s="22" t="s">
        <v>1395</v>
      </c>
      <c r="D335" s="23" t="s">
        <v>368</v>
      </c>
      <c r="E335" s="24" t="s">
        <v>80</v>
      </c>
      <c r="F335" s="24" t="s">
        <v>299</v>
      </c>
    </row>
    <row r="336" spans="1:6" ht="87" customHeight="1" x14ac:dyDescent="0.2">
      <c r="A336" s="21">
        <f>+Dates!$D$9+7</f>
        <v>41716</v>
      </c>
      <c r="B336" s="21">
        <f>+Dates!$D$9+7</f>
        <v>41716</v>
      </c>
      <c r="C336" s="22" t="s">
        <v>465</v>
      </c>
      <c r="D336" s="23" t="s">
        <v>368</v>
      </c>
      <c r="E336" s="24" t="s">
        <v>301</v>
      </c>
      <c r="F336" s="24" t="s">
        <v>299</v>
      </c>
    </row>
    <row r="337" spans="1:6" ht="87" customHeight="1" x14ac:dyDescent="0.2">
      <c r="A337" s="21">
        <f>+Dates!$D$9+7</f>
        <v>41716</v>
      </c>
      <c r="B337" s="21">
        <f>+Dates!$D$9+7</f>
        <v>41716</v>
      </c>
      <c r="C337" s="22" t="s">
        <v>465</v>
      </c>
      <c r="D337" s="23" t="s">
        <v>368</v>
      </c>
      <c r="E337" s="24" t="s">
        <v>301</v>
      </c>
      <c r="F337" s="24" t="s">
        <v>299</v>
      </c>
    </row>
    <row r="338" spans="1:6" ht="71.25" customHeight="1" x14ac:dyDescent="0.2">
      <c r="A338" s="21">
        <f>+Dates!$D$9+7</f>
        <v>41716</v>
      </c>
      <c r="B338" s="21">
        <f>+Dates!$D$9+7</f>
        <v>41716</v>
      </c>
      <c r="C338" s="22" t="s">
        <v>542</v>
      </c>
      <c r="D338" s="23" t="s">
        <v>40</v>
      </c>
      <c r="E338" s="24" t="s">
        <v>61</v>
      </c>
      <c r="F338" s="24" t="s">
        <v>111</v>
      </c>
    </row>
    <row r="339" spans="1:6" ht="77.25" customHeight="1" x14ac:dyDescent="0.2">
      <c r="A339" s="21">
        <f>+Dates!$D$9+7</f>
        <v>41716</v>
      </c>
      <c r="B339" s="21">
        <f>+Dates!$D$9+7</f>
        <v>41716</v>
      </c>
      <c r="C339" s="22" t="s">
        <v>541</v>
      </c>
      <c r="D339" s="23" t="s">
        <v>40</v>
      </c>
      <c r="E339" s="24" t="s">
        <v>80</v>
      </c>
      <c r="F339" s="24" t="s">
        <v>111</v>
      </c>
    </row>
    <row r="340" spans="1:6" ht="87.75" customHeight="1" x14ac:dyDescent="0.2">
      <c r="A340" s="21">
        <f>+Dates!$D$9+7</f>
        <v>41716</v>
      </c>
      <c r="B340" s="21">
        <f>+Dates!$D$9+7</f>
        <v>41716</v>
      </c>
      <c r="C340" s="22" t="s">
        <v>39</v>
      </c>
      <c r="D340" s="23" t="s">
        <v>40</v>
      </c>
      <c r="E340" s="24" t="s">
        <v>301</v>
      </c>
      <c r="F340" s="24" t="s">
        <v>111</v>
      </c>
    </row>
    <row r="341" spans="1:6" ht="98.25" customHeight="1" x14ac:dyDescent="0.2">
      <c r="A341" s="21">
        <f>+Dates!$D$9+7</f>
        <v>41716</v>
      </c>
      <c r="B341" s="21">
        <f>+Dates!$D$9+9</f>
        <v>41718</v>
      </c>
      <c r="C341" s="22" t="s">
        <v>142</v>
      </c>
      <c r="D341" s="23" t="s">
        <v>143</v>
      </c>
      <c r="E341" s="24" t="s">
        <v>301</v>
      </c>
      <c r="F341" s="24" t="s">
        <v>290</v>
      </c>
    </row>
    <row r="342" spans="1:6" ht="222.75" customHeight="1" x14ac:dyDescent="0.2">
      <c r="A342" s="21">
        <f>+Dates!$D$9+8</f>
        <v>41717</v>
      </c>
      <c r="B342" s="25">
        <f>+Dates!$D$9+10</f>
        <v>41719</v>
      </c>
      <c r="C342" s="22" t="s">
        <v>181</v>
      </c>
      <c r="D342" s="23" t="s">
        <v>237</v>
      </c>
      <c r="E342" s="24" t="s">
        <v>301</v>
      </c>
      <c r="F342" s="24" t="s">
        <v>290</v>
      </c>
    </row>
    <row r="343" spans="1:6" ht="89.25" customHeight="1" x14ac:dyDescent="0.2">
      <c r="A343" s="21">
        <f>+Dates!$D$9+8</f>
        <v>41717</v>
      </c>
      <c r="B343" s="21">
        <f>+Dates!$D$9+20</f>
        <v>41729</v>
      </c>
      <c r="C343" s="22" t="s">
        <v>131</v>
      </c>
      <c r="D343" s="23" t="s">
        <v>132</v>
      </c>
      <c r="E343" s="24" t="s">
        <v>301</v>
      </c>
      <c r="F343" s="24" t="s">
        <v>290</v>
      </c>
    </row>
    <row r="344" spans="1:6" ht="100.5" customHeight="1" x14ac:dyDescent="0.2">
      <c r="A344" s="21">
        <f>+Dates!$D$9+10</f>
        <v>41719</v>
      </c>
      <c r="B344" s="21">
        <f>+Dates!$D$9+10</f>
        <v>41719</v>
      </c>
      <c r="C344" s="22" t="s">
        <v>545</v>
      </c>
      <c r="D344" s="23" t="s">
        <v>544</v>
      </c>
      <c r="E344" s="24" t="s">
        <v>61</v>
      </c>
      <c r="F344" s="24" t="s">
        <v>195</v>
      </c>
    </row>
    <row r="345" spans="1:6" ht="93.75" customHeight="1" x14ac:dyDescent="0.2">
      <c r="A345" s="21">
        <f>+Dates!$D$9+10</f>
        <v>41719</v>
      </c>
      <c r="B345" s="21">
        <f>+Dates!$D$9+10</f>
        <v>41719</v>
      </c>
      <c r="C345" s="22" t="s">
        <v>543</v>
      </c>
      <c r="D345" s="23" t="s">
        <v>544</v>
      </c>
      <c r="E345" s="24" t="s">
        <v>292</v>
      </c>
      <c r="F345" s="24" t="s">
        <v>195</v>
      </c>
    </row>
    <row r="346" spans="1:6" ht="91.5" customHeight="1" x14ac:dyDescent="0.2">
      <c r="A346" s="21">
        <f>+Dates!$D$10-144</f>
        <v>41719</v>
      </c>
      <c r="B346" s="21">
        <f>+Dates!$D$10-144</f>
        <v>41719</v>
      </c>
      <c r="C346" s="22" t="s">
        <v>3</v>
      </c>
      <c r="D346" s="23" t="s">
        <v>2</v>
      </c>
      <c r="E346" s="24" t="s">
        <v>61</v>
      </c>
      <c r="F346" s="24" t="s">
        <v>299</v>
      </c>
    </row>
    <row r="347" spans="1:6" ht="88.5" customHeight="1" x14ac:dyDescent="0.2">
      <c r="A347" s="21">
        <f>+Dates!$D$10-144</f>
        <v>41719</v>
      </c>
      <c r="B347" s="21">
        <f>+Dates!$D$10-144</f>
        <v>41719</v>
      </c>
      <c r="C347" s="22" t="s">
        <v>546</v>
      </c>
      <c r="D347" s="23" t="s">
        <v>2</v>
      </c>
      <c r="E347" s="24" t="s">
        <v>292</v>
      </c>
      <c r="F347" s="24" t="s">
        <v>299</v>
      </c>
    </row>
    <row r="348" spans="1:6" ht="107.25" customHeight="1" x14ac:dyDescent="0.2">
      <c r="A348" s="21">
        <v>41730</v>
      </c>
      <c r="B348" s="21">
        <v>41730</v>
      </c>
      <c r="C348" s="22" t="s">
        <v>1397</v>
      </c>
      <c r="D348" s="23" t="s">
        <v>551</v>
      </c>
      <c r="E348" s="24" t="s">
        <v>61</v>
      </c>
      <c r="F348" s="24" t="s">
        <v>434</v>
      </c>
    </row>
    <row r="349" spans="1:6" ht="102.75" customHeight="1" x14ac:dyDescent="0.2">
      <c r="A349" s="21">
        <v>41730</v>
      </c>
      <c r="B349" s="21">
        <v>41730</v>
      </c>
      <c r="C349" s="22" t="s">
        <v>1396</v>
      </c>
      <c r="D349" s="23" t="s">
        <v>551</v>
      </c>
      <c r="E349" s="24" t="s">
        <v>80</v>
      </c>
      <c r="F349" s="24" t="s">
        <v>434</v>
      </c>
    </row>
    <row r="350" spans="1:6" ht="106.5" customHeight="1" x14ac:dyDescent="0.2">
      <c r="A350" s="21">
        <v>41730</v>
      </c>
      <c r="B350" s="21">
        <v>41730</v>
      </c>
      <c r="C350" s="22" t="s">
        <v>552</v>
      </c>
      <c r="D350" s="23" t="s">
        <v>551</v>
      </c>
      <c r="E350" s="24" t="s">
        <v>289</v>
      </c>
      <c r="F350" s="24" t="s">
        <v>434</v>
      </c>
    </row>
    <row r="351" spans="1:6" ht="106.5" customHeight="1" x14ac:dyDescent="0.2">
      <c r="A351" s="21">
        <v>41730</v>
      </c>
      <c r="B351" s="21">
        <v>41730</v>
      </c>
      <c r="C351" s="22" t="s">
        <v>550</v>
      </c>
      <c r="D351" s="23" t="s">
        <v>551</v>
      </c>
      <c r="E351" s="24" t="s">
        <v>291</v>
      </c>
      <c r="F351" s="24" t="s">
        <v>434</v>
      </c>
    </row>
    <row r="352" spans="1:6" ht="111" customHeight="1" x14ac:dyDescent="0.2">
      <c r="A352" s="21">
        <v>41730</v>
      </c>
      <c r="B352" s="21">
        <v>41730</v>
      </c>
      <c r="C352" s="22" t="s">
        <v>553</v>
      </c>
      <c r="D352" s="23" t="s">
        <v>551</v>
      </c>
      <c r="E352" s="24" t="s">
        <v>301</v>
      </c>
      <c r="F352" s="24" t="s">
        <v>434</v>
      </c>
    </row>
    <row r="353" spans="1:6" ht="112.5" customHeight="1" x14ac:dyDescent="0.2">
      <c r="A353" s="21">
        <v>41730</v>
      </c>
      <c r="B353" s="21">
        <v>41730</v>
      </c>
      <c r="C353" s="22" t="s">
        <v>554</v>
      </c>
      <c r="D353" s="23" t="s">
        <v>551</v>
      </c>
      <c r="E353" s="24" t="s">
        <v>297</v>
      </c>
      <c r="F353" s="24" t="s">
        <v>434</v>
      </c>
    </row>
    <row r="354" spans="1:6" ht="72.75" customHeight="1" x14ac:dyDescent="0.2">
      <c r="A354" s="21">
        <f>+Dates!$D$9+30</f>
        <v>41739</v>
      </c>
      <c r="B354" s="21">
        <f>+Dates!$D$9+30</f>
        <v>41739</v>
      </c>
      <c r="C354" s="22" t="s">
        <v>1399</v>
      </c>
      <c r="D354" s="23" t="s">
        <v>298</v>
      </c>
      <c r="E354" s="24" t="s">
        <v>61</v>
      </c>
      <c r="F354" s="24" t="s">
        <v>299</v>
      </c>
    </row>
    <row r="355" spans="1:6" ht="87.75" customHeight="1" x14ac:dyDescent="0.2">
      <c r="A355" s="21">
        <f>+Dates!$D$9+30</f>
        <v>41739</v>
      </c>
      <c r="B355" s="21">
        <f>+Dates!$D$9+30</f>
        <v>41739</v>
      </c>
      <c r="C355" s="22" t="s">
        <v>73</v>
      </c>
      <c r="D355" s="23" t="s">
        <v>298</v>
      </c>
      <c r="E355" s="24" t="s">
        <v>135</v>
      </c>
      <c r="F355" s="24" t="s">
        <v>299</v>
      </c>
    </row>
    <row r="356" spans="1:6" ht="88.5" customHeight="1" x14ac:dyDescent="0.2">
      <c r="A356" s="21">
        <f>+Dates!$D$9+30</f>
        <v>41739</v>
      </c>
      <c r="B356" s="21">
        <f>+Dates!$D$9+30</f>
        <v>41739</v>
      </c>
      <c r="C356" s="22" t="s">
        <v>1398</v>
      </c>
      <c r="D356" s="23" t="s">
        <v>298</v>
      </c>
      <c r="E356" s="24" t="s">
        <v>391</v>
      </c>
      <c r="F356" s="24" t="s">
        <v>299</v>
      </c>
    </row>
    <row r="357" spans="1:6" ht="73.5" customHeight="1" x14ac:dyDescent="0.2">
      <c r="A357" s="21">
        <f>+Dates!$D$9+30</f>
        <v>41739</v>
      </c>
      <c r="B357" s="21">
        <f>+Dates!$D$9+30</f>
        <v>41739</v>
      </c>
      <c r="C357" s="22" t="s">
        <v>557</v>
      </c>
      <c r="D357" s="23" t="s">
        <v>298</v>
      </c>
      <c r="E357" s="24" t="s">
        <v>80</v>
      </c>
      <c r="F357" s="24" t="s">
        <v>299</v>
      </c>
    </row>
    <row r="358" spans="1:6" ht="88.5" customHeight="1" x14ac:dyDescent="0.2">
      <c r="A358" s="21">
        <f>+Dates!$D$9+30</f>
        <v>41739</v>
      </c>
      <c r="B358" s="21">
        <f>+Dates!$D$9+30</f>
        <v>41739</v>
      </c>
      <c r="C358" s="22" t="s">
        <v>74</v>
      </c>
      <c r="D358" s="23" t="s">
        <v>298</v>
      </c>
      <c r="E358" s="24" t="s">
        <v>301</v>
      </c>
      <c r="F358" s="24" t="s">
        <v>299</v>
      </c>
    </row>
    <row r="359" spans="1:6" ht="93" customHeight="1" x14ac:dyDescent="0.2">
      <c r="A359" s="21">
        <v>41744</v>
      </c>
      <c r="B359" s="21">
        <v>41744</v>
      </c>
      <c r="C359" s="22" t="s">
        <v>559</v>
      </c>
      <c r="D359" s="23" t="s">
        <v>125</v>
      </c>
      <c r="E359" s="24" t="s">
        <v>61</v>
      </c>
      <c r="F359" s="24" t="s">
        <v>126</v>
      </c>
    </row>
    <row r="360" spans="1:6" ht="84.75" customHeight="1" x14ac:dyDescent="0.2">
      <c r="A360" s="21">
        <v>41744</v>
      </c>
      <c r="B360" s="21">
        <v>41744</v>
      </c>
      <c r="C360" s="22" t="s">
        <v>560</v>
      </c>
      <c r="D360" s="23" t="s">
        <v>125</v>
      </c>
      <c r="E360" s="24" t="s">
        <v>80</v>
      </c>
      <c r="F360" s="24" t="s">
        <v>126</v>
      </c>
    </row>
    <row r="361" spans="1:6" ht="93" customHeight="1" x14ac:dyDescent="0.2">
      <c r="A361" s="21">
        <v>41744</v>
      </c>
      <c r="B361" s="21">
        <v>41744</v>
      </c>
      <c r="C361" s="22" t="s">
        <v>558</v>
      </c>
      <c r="D361" s="23" t="s">
        <v>125</v>
      </c>
      <c r="E361" s="24" t="s">
        <v>291</v>
      </c>
      <c r="F361" s="24" t="s">
        <v>126</v>
      </c>
    </row>
    <row r="362" spans="1:6" ht="85.5" customHeight="1" x14ac:dyDescent="0.2">
      <c r="A362" s="21">
        <v>41744</v>
      </c>
      <c r="B362" s="21">
        <v>41744</v>
      </c>
      <c r="C362" s="22" t="s">
        <v>561</v>
      </c>
      <c r="D362" s="23" t="s">
        <v>161</v>
      </c>
      <c r="E362" s="24" t="s">
        <v>61</v>
      </c>
      <c r="F362" s="24" t="s">
        <v>126</v>
      </c>
    </row>
    <row r="363" spans="1:6" ht="85.5" customHeight="1" x14ac:dyDescent="0.2">
      <c r="A363" s="21">
        <v>41744</v>
      </c>
      <c r="B363" s="21">
        <v>41744</v>
      </c>
      <c r="C363" s="22" t="s">
        <v>393</v>
      </c>
      <c r="D363" s="23" t="s">
        <v>161</v>
      </c>
      <c r="E363" s="24" t="s">
        <v>80</v>
      </c>
      <c r="F363" s="24" t="s">
        <v>126</v>
      </c>
    </row>
    <row r="364" spans="1:6" ht="105" customHeight="1" x14ac:dyDescent="0.2">
      <c r="A364" s="21">
        <v>41744</v>
      </c>
      <c r="B364" s="21">
        <v>41744</v>
      </c>
      <c r="C364" s="22" t="s">
        <v>394</v>
      </c>
      <c r="D364" s="23" t="s">
        <v>161</v>
      </c>
      <c r="E364" s="24" t="s">
        <v>160</v>
      </c>
      <c r="F364" s="24" t="s">
        <v>126</v>
      </c>
    </row>
    <row r="365" spans="1:6" ht="153" customHeight="1" x14ac:dyDescent="0.2">
      <c r="A365" s="21">
        <v>41744</v>
      </c>
      <c r="B365" s="21">
        <v>41744</v>
      </c>
      <c r="C365" s="22" t="s">
        <v>615</v>
      </c>
      <c r="D365" s="23" t="s">
        <v>261</v>
      </c>
      <c r="E365" s="24" t="s">
        <v>61</v>
      </c>
      <c r="F365" s="24" t="s">
        <v>299</v>
      </c>
    </row>
    <row r="366" spans="1:6" ht="150.75" customHeight="1" x14ac:dyDescent="0.2">
      <c r="A366" s="21">
        <v>41744</v>
      </c>
      <c r="B366" s="21">
        <v>41744</v>
      </c>
      <c r="C366" s="22" t="s">
        <v>616</v>
      </c>
      <c r="D366" s="23" t="s">
        <v>261</v>
      </c>
      <c r="E366" s="24" t="s">
        <v>135</v>
      </c>
      <c r="F366" s="24" t="s">
        <v>299</v>
      </c>
    </row>
    <row r="367" spans="1:6" ht="150.75" customHeight="1" x14ac:dyDescent="0.2">
      <c r="A367" s="21">
        <v>41744</v>
      </c>
      <c r="B367" s="21">
        <v>41744</v>
      </c>
      <c r="C367" s="22" t="s">
        <v>1400</v>
      </c>
      <c r="D367" s="23" t="s">
        <v>261</v>
      </c>
      <c r="E367" s="24" t="s">
        <v>391</v>
      </c>
      <c r="F367" s="24" t="s">
        <v>299</v>
      </c>
    </row>
    <row r="368" spans="1:6" ht="147.75" customHeight="1" x14ac:dyDescent="0.2">
      <c r="A368" s="21">
        <v>41744</v>
      </c>
      <c r="B368" s="21">
        <v>41744</v>
      </c>
      <c r="C368" s="22" t="s">
        <v>617</v>
      </c>
      <c r="D368" s="23" t="s">
        <v>261</v>
      </c>
      <c r="E368" s="24" t="s">
        <v>80</v>
      </c>
      <c r="F368" s="24" t="s">
        <v>299</v>
      </c>
    </row>
    <row r="369" spans="1:6" ht="147" customHeight="1" x14ac:dyDescent="0.2">
      <c r="A369" s="21">
        <v>41744</v>
      </c>
      <c r="B369" s="21">
        <v>41744</v>
      </c>
      <c r="C369" s="22" t="s">
        <v>618</v>
      </c>
      <c r="D369" s="23" t="s">
        <v>261</v>
      </c>
      <c r="E369" s="24" t="s">
        <v>289</v>
      </c>
      <c r="F369" s="24" t="s">
        <v>299</v>
      </c>
    </row>
    <row r="370" spans="1:6" ht="145.5" customHeight="1" x14ac:dyDescent="0.2">
      <c r="A370" s="21">
        <v>41744</v>
      </c>
      <c r="B370" s="21">
        <v>41744</v>
      </c>
      <c r="C370" s="22" t="s">
        <v>619</v>
      </c>
      <c r="D370" s="23" t="s">
        <v>261</v>
      </c>
      <c r="E370" s="24" t="s">
        <v>291</v>
      </c>
      <c r="F370" s="24" t="s">
        <v>299</v>
      </c>
    </row>
    <row r="371" spans="1:6" ht="120.75" customHeight="1" x14ac:dyDescent="0.2">
      <c r="A371" s="21">
        <f>+Dates!$D$10-112</f>
        <v>41751</v>
      </c>
      <c r="B371" s="21">
        <f>+Dates!$D$10-112</f>
        <v>41751</v>
      </c>
      <c r="C371" s="22" t="s">
        <v>571</v>
      </c>
      <c r="D371" s="23" t="s">
        <v>568</v>
      </c>
      <c r="E371" s="24" t="s">
        <v>61</v>
      </c>
      <c r="F371" s="24" t="s">
        <v>103</v>
      </c>
    </row>
    <row r="372" spans="1:6" ht="119.25" customHeight="1" x14ac:dyDescent="0.2">
      <c r="A372" s="21">
        <f>+Dates!$D$10-112</f>
        <v>41751</v>
      </c>
      <c r="B372" s="21">
        <f>+Dates!$D$10-112</f>
        <v>41751</v>
      </c>
      <c r="C372" s="22" t="s">
        <v>572</v>
      </c>
      <c r="D372" s="23" t="s">
        <v>568</v>
      </c>
      <c r="E372" s="24" t="s">
        <v>292</v>
      </c>
      <c r="F372" s="24" t="s">
        <v>103</v>
      </c>
    </row>
    <row r="373" spans="1:6" ht="74.25" customHeight="1" x14ac:dyDescent="0.2">
      <c r="A373" s="21">
        <f>+Dates!$D$30</f>
        <v>41759</v>
      </c>
      <c r="B373" s="21">
        <f>+Dates!$D$30</f>
        <v>41759</v>
      </c>
      <c r="C373" s="22" t="s">
        <v>422</v>
      </c>
      <c r="D373" s="23" t="s">
        <v>36</v>
      </c>
      <c r="E373" s="24" t="s">
        <v>292</v>
      </c>
      <c r="F373" s="24" t="s">
        <v>306</v>
      </c>
    </row>
    <row r="374" spans="1:6" ht="87.75" customHeight="1" x14ac:dyDescent="0.2">
      <c r="A374" s="21">
        <f>+Dates!$D$30</f>
        <v>41759</v>
      </c>
      <c r="B374" s="21">
        <f>+Dates!$D$30</f>
        <v>41759</v>
      </c>
      <c r="C374" s="22" t="s">
        <v>369</v>
      </c>
      <c r="D374" s="23" t="s">
        <v>36</v>
      </c>
      <c r="E374" s="24" t="s">
        <v>289</v>
      </c>
      <c r="F374" s="24" t="s">
        <v>306</v>
      </c>
    </row>
    <row r="375" spans="1:6" ht="92.25" customHeight="1" x14ac:dyDescent="0.2">
      <c r="A375" s="21">
        <f>+Dates!$D$30</f>
        <v>41759</v>
      </c>
      <c r="B375" s="21">
        <f>+Dates!$D$30</f>
        <v>41759</v>
      </c>
      <c r="C375" s="22" t="s">
        <v>421</v>
      </c>
      <c r="D375" s="23" t="s">
        <v>36</v>
      </c>
      <c r="E375" s="24" t="s">
        <v>291</v>
      </c>
      <c r="F375" s="24" t="s">
        <v>306</v>
      </c>
    </row>
    <row r="376" spans="1:6" ht="100.5" customHeight="1" x14ac:dyDescent="0.2">
      <c r="A376" s="21">
        <f>+Dates!$D$30</f>
        <v>41759</v>
      </c>
      <c r="B376" s="21">
        <f>+Dates!$D$30</f>
        <v>41759</v>
      </c>
      <c r="C376" s="22" t="s">
        <v>424</v>
      </c>
      <c r="D376" s="23" t="s">
        <v>36</v>
      </c>
      <c r="E376" s="24" t="s">
        <v>301</v>
      </c>
      <c r="F376" s="24" t="s">
        <v>306</v>
      </c>
    </row>
    <row r="377" spans="1:6" ht="87" customHeight="1" x14ac:dyDescent="0.2">
      <c r="A377" s="21">
        <f>+Dates!$D$30</f>
        <v>41759</v>
      </c>
      <c r="B377" s="21">
        <f>+Dates!$D$30</f>
        <v>41759</v>
      </c>
      <c r="C377" s="22" t="s">
        <v>425</v>
      </c>
      <c r="D377" s="23" t="s">
        <v>36</v>
      </c>
      <c r="E377" s="24" t="s">
        <v>297</v>
      </c>
      <c r="F377" s="24" t="s">
        <v>306</v>
      </c>
    </row>
    <row r="378" spans="1:6" ht="91.5" customHeight="1" x14ac:dyDescent="0.2">
      <c r="A378" s="21">
        <v>41759</v>
      </c>
      <c r="B378" s="21">
        <v>41759</v>
      </c>
      <c r="C378" s="22" t="s">
        <v>418</v>
      </c>
      <c r="D378" s="23" t="s">
        <v>117</v>
      </c>
      <c r="E378" s="24" t="s">
        <v>61</v>
      </c>
      <c r="F378" s="24" t="s">
        <v>118</v>
      </c>
    </row>
    <row r="379" spans="1:6" ht="177.75" customHeight="1" x14ac:dyDescent="0.2">
      <c r="A379" s="21">
        <v>41759</v>
      </c>
      <c r="B379" s="21">
        <v>41759</v>
      </c>
      <c r="C379" s="22" t="s">
        <v>562</v>
      </c>
      <c r="D379" s="23" t="s">
        <v>117</v>
      </c>
      <c r="E379" s="24" t="s">
        <v>80</v>
      </c>
      <c r="F379" s="24" t="s">
        <v>118</v>
      </c>
    </row>
    <row r="380" spans="1:6" ht="141.75" customHeight="1" x14ac:dyDescent="0.2">
      <c r="A380" s="21">
        <v>41760</v>
      </c>
      <c r="B380" s="21">
        <v>41760</v>
      </c>
      <c r="C380" s="22" t="s">
        <v>605</v>
      </c>
      <c r="D380" s="23" t="s">
        <v>133</v>
      </c>
      <c r="E380" s="24" t="s">
        <v>61</v>
      </c>
      <c r="F380" s="24" t="s">
        <v>332</v>
      </c>
    </row>
    <row r="381" spans="1:6" ht="138.75" customHeight="1" x14ac:dyDescent="0.2">
      <c r="A381" s="21">
        <v>41760</v>
      </c>
      <c r="B381" s="21">
        <v>41760</v>
      </c>
      <c r="C381" s="22" t="s">
        <v>606</v>
      </c>
      <c r="D381" s="23" t="s">
        <v>133</v>
      </c>
      <c r="E381" s="24" t="s">
        <v>391</v>
      </c>
      <c r="F381" s="24" t="s">
        <v>332</v>
      </c>
    </row>
    <row r="382" spans="1:6" ht="137.25" customHeight="1" x14ac:dyDescent="0.2">
      <c r="A382" s="21">
        <v>41760</v>
      </c>
      <c r="B382" s="21">
        <v>41760</v>
      </c>
      <c r="C382" s="22" t="s">
        <v>607</v>
      </c>
      <c r="D382" s="23" t="s">
        <v>133</v>
      </c>
      <c r="E382" s="24" t="s">
        <v>80</v>
      </c>
      <c r="F382" s="24" t="s">
        <v>332</v>
      </c>
    </row>
    <row r="383" spans="1:6" ht="111" customHeight="1" x14ac:dyDescent="0.2">
      <c r="A383" s="21">
        <v>41760</v>
      </c>
      <c r="B383" s="21">
        <v>41760</v>
      </c>
      <c r="C383" s="22" t="s">
        <v>1401</v>
      </c>
      <c r="D383" s="23" t="s">
        <v>417</v>
      </c>
      <c r="E383" s="24" t="s">
        <v>61</v>
      </c>
      <c r="F383" s="24" t="s">
        <v>195</v>
      </c>
    </row>
    <row r="384" spans="1:6" ht="98.25" customHeight="1" x14ac:dyDescent="0.2">
      <c r="A384" s="21">
        <v>41760</v>
      </c>
      <c r="B384" s="21">
        <v>41760</v>
      </c>
      <c r="C384" s="22" t="s">
        <v>416</v>
      </c>
      <c r="D384" s="23" t="s">
        <v>417</v>
      </c>
      <c r="E384" s="24" t="s">
        <v>292</v>
      </c>
      <c r="F384" s="24" t="s">
        <v>195</v>
      </c>
    </row>
    <row r="385" spans="1:6" ht="161.25" customHeight="1" x14ac:dyDescent="0.2">
      <c r="A385" s="21">
        <f>+Dates!$D$10-103</f>
        <v>41760</v>
      </c>
      <c r="B385" s="21">
        <f>+Dates!$D$10-103</f>
        <v>41760</v>
      </c>
      <c r="C385" s="22" t="s">
        <v>1514</v>
      </c>
      <c r="D385" s="23" t="s">
        <v>568</v>
      </c>
      <c r="E385" s="24" t="s">
        <v>61</v>
      </c>
      <c r="F385" s="24" t="s">
        <v>103</v>
      </c>
    </row>
    <row r="386" spans="1:6" ht="163.5" customHeight="1" x14ac:dyDescent="0.2">
      <c r="A386" s="21">
        <f>+Dates!$D$10-103</f>
        <v>41760</v>
      </c>
      <c r="B386" s="21">
        <f>+Dates!$D$10-103</f>
        <v>41760</v>
      </c>
      <c r="C386" s="22" t="s">
        <v>1515</v>
      </c>
      <c r="D386" s="23" t="s">
        <v>568</v>
      </c>
      <c r="E386" s="24" t="s">
        <v>80</v>
      </c>
      <c r="F386" s="24" t="s">
        <v>103</v>
      </c>
    </row>
    <row r="387" spans="1:6" ht="156" customHeight="1" x14ac:dyDescent="0.2">
      <c r="A387" s="21">
        <f>+Dates!$D$10-103</f>
        <v>41760</v>
      </c>
      <c r="B387" s="21">
        <f>+Dates!$D$10-103</f>
        <v>41760</v>
      </c>
      <c r="C387" s="22" t="s">
        <v>1516</v>
      </c>
      <c r="D387" s="23" t="s">
        <v>568</v>
      </c>
      <c r="E387" s="24" t="s">
        <v>289</v>
      </c>
      <c r="F387" s="24" t="s">
        <v>103</v>
      </c>
    </row>
    <row r="388" spans="1:6" ht="175.5" customHeight="1" x14ac:dyDescent="0.2">
      <c r="A388" s="21">
        <f>+Dates!$D$10-103</f>
        <v>41760</v>
      </c>
      <c r="B388" s="21">
        <f>+Dates!$D$10-103</f>
        <v>41760</v>
      </c>
      <c r="C388" s="22" t="s">
        <v>1517</v>
      </c>
      <c r="D388" s="23" t="s">
        <v>568</v>
      </c>
      <c r="E388" s="24" t="s">
        <v>291</v>
      </c>
      <c r="F388" s="24" t="s">
        <v>103</v>
      </c>
    </row>
    <row r="389" spans="1:6" ht="171" customHeight="1" x14ac:dyDescent="0.2">
      <c r="A389" s="21">
        <f>+Dates!$D$10-103</f>
        <v>41760</v>
      </c>
      <c r="B389" s="21">
        <f>+Dates!$D$10-103</f>
        <v>41760</v>
      </c>
      <c r="C389" s="22" t="s">
        <v>1518</v>
      </c>
      <c r="D389" s="23" t="s">
        <v>568</v>
      </c>
      <c r="E389" s="24" t="s">
        <v>301</v>
      </c>
      <c r="F389" s="24" t="s">
        <v>103</v>
      </c>
    </row>
    <row r="390" spans="1:6" ht="171" customHeight="1" x14ac:dyDescent="0.2">
      <c r="A390" s="21">
        <f>+Dates!$D$10-103</f>
        <v>41760</v>
      </c>
      <c r="B390" s="21">
        <f>+Dates!$D$10-103</f>
        <v>41760</v>
      </c>
      <c r="C390" s="22" t="s">
        <v>1519</v>
      </c>
      <c r="D390" s="23" t="s">
        <v>568</v>
      </c>
      <c r="E390" s="24" t="s">
        <v>297</v>
      </c>
      <c r="F390" s="24" t="s">
        <v>103</v>
      </c>
    </row>
    <row r="391" spans="1:6" ht="91.5" customHeight="1" x14ac:dyDescent="0.2">
      <c r="A391" s="21">
        <v>41760</v>
      </c>
      <c r="B391" s="21">
        <v>41760</v>
      </c>
      <c r="C391" s="22" t="s">
        <v>609</v>
      </c>
      <c r="D391" s="23" t="s">
        <v>608</v>
      </c>
      <c r="E391" s="24" t="s">
        <v>61</v>
      </c>
      <c r="F391" s="24" t="s">
        <v>434</v>
      </c>
    </row>
    <row r="392" spans="1:6" ht="81.75" customHeight="1" x14ac:dyDescent="0.2">
      <c r="A392" s="21">
        <v>41760</v>
      </c>
      <c r="B392" s="21">
        <v>41760</v>
      </c>
      <c r="C392" s="22" t="s">
        <v>610</v>
      </c>
      <c r="D392" s="23" t="s">
        <v>608</v>
      </c>
      <c r="E392" s="24" t="s">
        <v>80</v>
      </c>
      <c r="F392" s="24" t="s">
        <v>434</v>
      </c>
    </row>
    <row r="393" spans="1:6" ht="93" customHeight="1" x14ac:dyDescent="0.2">
      <c r="A393" s="21">
        <v>41760</v>
      </c>
      <c r="B393" s="21">
        <v>41760</v>
      </c>
      <c r="C393" s="22" t="s">
        <v>611</v>
      </c>
      <c r="D393" s="23" t="s">
        <v>608</v>
      </c>
      <c r="E393" s="24" t="s">
        <v>289</v>
      </c>
      <c r="F393" s="24" t="s">
        <v>434</v>
      </c>
    </row>
    <row r="394" spans="1:6" ht="87.75" customHeight="1" x14ac:dyDescent="0.2">
      <c r="A394" s="21">
        <v>41760</v>
      </c>
      <c r="B394" s="21">
        <v>41760</v>
      </c>
      <c r="C394" s="22" t="s">
        <v>612</v>
      </c>
      <c r="D394" s="23" t="s">
        <v>608</v>
      </c>
      <c r="E394" s="24" t="s">
        <v>291</v>
      </c>
      <c r="F394" s="24" t="s">
        <v>434</v>
      </c>
    </row>
    <row r="395" spans="1:6" ht="84.75" customHeight="1" x14ac:dyDescent="0.2">
      <c r="A395" s="21">
        <v>41760</v>
      </c>
      <c r="B395" s="21">
        <v>41760</v>
      </c>
      <c r="C395" s="22" t="s">
        <v>613</v>
      </c>
      <c r="D395" s="23" t="s">
        <v>608</v>
      </c>
      <c r="E395" s="24" t="s">
        <v>301</v>
      </c>
      <c r="F395" s="24" t="s">
        <v>434</v>
      </c>
    </row>
    <row r="396" spans="1:6" ht="89.25" customHeight="1" x14ac:dyDescent="0.2">
      <c r="A396" s="21">
        <v>41760</v>
      </c>
      <c r="B396" s="21">
        <v>41760</v>
      </c>
      <c r="C396" s="22" t="s">
        <v>614</v>
      </c>
      <c r="D396" s="23" t="s">
        <v>608</v>
      </c>
      <c r="E396" s="24" t="s">
        <v>297</v>
      </c>
      <c r="F396" s="24" t="s">
        <v>434</v>
      </c>
    </row>
    <row r="397" spans="1:6" ht="79.5" customHeight="1" x14ac:dyDescent="0.2">
      <c r="A397" s="21">
        <f>+Dates!$D$10-98</f>
        <v>41765</v>
      </c>
      <c r="B397" s="21">
        <f>+Dates!$D$10-98</f>
        <v>41765</v>
      </c>
      <c r="C397" s="22" t="s">
        <v>565</v>
      </c>
      <c r="D397" s="23" t="s">
        <v>122</v>
      </c>
      <c r="E397" s="24" t="s">
        <v>61</v>
      </c>
      <c r="F397" s="24" t="s">
        <v>123</v>
      </c>
    </row>
    <row r="398" spans="1:6" ht="79.5" customHeight="1" x14ac:dyDescent="0.2">
      <c r="A398" s="21">
        <f>+Dates!$D$10-98</f>
        <v>41765</v>
      </c>
      <c r="B398" s="21">
        <f>+Dates!$D$10-98</f>
        <v>41765</v>
      </c>
      <c r="C398" s="22" t="s">
        <v>563</v>
      </c>
      <c r="D398" s="23" t="s">
        <v>122</v>
      </c>
      <c r="E398" s="24" t="s">
        <v>292</v>
      </c>
      <c r="F398" s="24" t="s">
        <v>123</v>
      </c>
    </row>
    <row r="399" spans="1:6" ht="95.25" customHeight="1" x14ac:dyDescent="0.2">
      <c r="A399" s="21">
        <f>+Dates!$D$10-98</f>
        <v>41765</v>
      </c>
      <c r="B399" s="21">
        <f>+Dates!$D$10-98</f>
        <v>41765</v>
      </c>
      <c r="C399" s="22" t="s">
        <v>566</v>
      </c>
      <c r="D399" s="23" t="s">
        <v>122</v>
      </c>
      <c r="E399" s="24" t="s">
        <v>289</v>
      </c>
      <c r="F399" s="24" t="s">
        <v>123</v>
      </c>
    </row>
    <row r="400" spans="1:6" ht="89.25" customHeight="1" x14ac:dyDescent="0.2">
      <c r="A400" s="21">
        <f>+Dates!$D$10-98</f>
        <v>41765</v>
      </c>
      <c r="B400" s="21">
        <f>+Dates!$D$10-98</f>
        <v>41765</v>
      </c>
      <c r="C400" s="22" t="s">
        <v>564</v>
      </c>
      <c r="D400" s="23" t="s">
        <v>122</v>
      </c>
      <c r="E400" s="24" t="s">
        <v>333</v>
      </c>
      <c r="F400" s="24" t="s">
        <v>123</v>
      </c>
    </row>
    <row r="401" spans="1:6" ht="78.75" customHeight="1" x14ac:dyDescent="0.2">
      <c r="A401" s="21">
        <f>+Dates!$D$10-98</f>
        <v>41765</v>
      </c>
      <c r="B401" s="21">
        <f>+Dates!$D$10-98</f>
        <v>41765</v>
      </c>
      <c r="C401" s="22" t="s">
        <v>569</v>
      </c>
      <c r="D401" s="23" t="s">
        <v>124</v>
      </c>
      <c r="E401" s="24" t="s">
        <v>80</v>
      </c>
      <c r="F401" s="24" t="s">
        <v>103</v>
      </c>
    </row>
    <row r="402" spans="1:6" ht="66" customHeight="1" x14ac:dyDescent="0.2">
      <c r="A402" s="21">
        <f>+Dates!$D$10-98</f>
        <v>41765</v>
      </c>
      <c r="B402" s="21">
        <f>+Dates!$D$10-98</f>
        <v>41765</v>
      </c>
      <c r="C402" s="22" t="s">
        <v>468</v>
      </c>
      <c r="D402" s="23" t="s">
        <v>124</v>
      </c>
      <c r="E402" s="24" t="s">
        <v>289</v>
      </c>
      <c r="F402" s="24" t="s">
        <v>103</v>
      </c>
    </row>
    <row r="403" spans="1:6" ht="81" customHeight="1" x14ac:dyDescent="0.2">
      <c r="A403" s="21">
        <f>+Dates!$D$10-98</f>
        <v>41765</v>
      </c>
      <c r="B403" s="21">
        <f>+Dates!$D$10-98</f>
        <v>41765</v>
      </c>
      <c r="C403" s="22" t="s">
        <v>346</v>
      </c>
      <c r="D403" s="23" t="s">
        <v>25</v>
      </c>
      <c r="E403" s="24" t="s">
        <v>333</v>
      </c>
      <c r="F403" s="24" t="s">
        <v>103</v>
      </c>
    </row>
    <row r="404" spans="1:6" ht="81" customHeight="1" x14ac:dyDescent="0.2">
      <c r="A404" s="21">
        <f>+Dates!$D$9+57</f>
        <v>41766</v>
      </c>
      <c r="B404" s="21">
        <f>+Dates!$D$9+57</f>
        <v>41766</v>
      </c>
      <c r="C404" s="22" t="s">
        <v>1402</v>
      </c>
      <c r="D404" s="23" t="s">
        <v>1362</v>
      </c>
      <c r="E404" s="24" t="s">
        <v>61</v>
      </c>
      <c r="F404" s="24" t="s">
        <v>17</v>
      </c>
    </row>
    <row r="405" spans="1:6" ht="81" customHeight="1" x14ac:dyDescent="0.2">
      <c r="A405" s="21">
        <f>+Dates!$D$9+57</f>
        <v>41766</v>
      </c>
      <c r="B405" s="21">
        <f>+Dates!$D$9+57</f>
        <v>41766</v>
      </c>
      <c r="C405" s="22" t="s">
        <v>1608</v>
      </c>
      <c r="D405" s="23" t="s">
        <v>1362</v>
      </c>
      <c r="E405" s="24" t="s">
        <v>80</v>
      </c>
      <c r="F405" s="24" t="s">
        <v>17</v>
      </c>
    </row>
    <row r="406" spans="1:6" ht="81" customHeight="1" x14ac:dyDescent="0.2">
      <c r="A406" s="21">
        <f>+Dates!$D$9+57</f>
        <v>41766</v>
      </c>
      <c r="B406" s="21">
        <f>+Dates!$D$9+57</f>
        <v>41766</v>
      </c>
      <c r="C406" s="22" t="s">
        <v>548</v>
      </c>
      <c r="D406" s="23" t="s">
        <v>18</v>
      </c>
      <c r="E406" s="24" t="s">
        <v>333</v>
      </c>
      <c r="F406" s="24" t="s">
        <v>17</v>
      </c>
    </row>
    <row r="407" spans="1:6" ht="81" customHeight="1" x14ac:dyDescent="0.2">
      <c r="A407" s="21">
        <f>+Dates!$D$9+57</f>
        <v>41766</v>
      </c>
      <c r="B407" s="21">
        <f>+Dates!$D$9+57</f>
        <v>41766</v>
      </c>
      <c r="C407" s="22" t="s">
        <v>549</v>
      </c>
      <c r="D407" s="23" t="s">
        <v>18</v>
      </c>
      <c r="E407" s="24" t="s">
        <v>160</v>
      </c>
      <c r="F407" s="24" t="s">
        <v>17</v>
      </c>
    </row>
    <row r="408" spans="1:6" ht="81" customHeight="1" x14ac:dyDescent="0.2">
      <c r="A408" s="21">
        <f>+Dates!$D$9+57</f>
        <v>41766</v>
      </c>
      <c r="B408" s="21">
        <f>+Dates!$D$9+57</f>
        <v>41766</v>
      </c>
      <c r="C408" s="22" t="s">
        <v>547</v>
      </c>
      <c r="D408" s="23" t="s">
        <v>16</v>
      </c>
      <c r="E408" s="24" t="s">
        <v>295</v>
      </c>
      <c r="F408" s="24" t="s">
        <v>17</v>
      </c>
    </row>
    <row r="409" spans="1:6" ht="75.75" customHeight="1" x14ac:dyDescent="0.2">
      <c r="A409" s="21">
        <v>41766</v>
      </c>
      <c r="B409" s="21">
        <v>41767</v>
      </c>
      <c r="C409" s="22" t="s">
        <v>1914</v>
      </c>
      <c r="D409" s="23" t="s">
        <v>570</v>
      </c>
      <c r="E409" s="24" t="s">
        <v>61</v>
      </c>
      <c r="F409" s="24"/>
    </row>
    <row r="410" spans="1:6" ht="72" customHeight="1" x14ac:dyDescent="0.2">
      <c r="A410" s="21">
        <v>41766</v>
      </c>
      <c r="B410" s="21">
        <v>41767</v>
      </c>
      <c r="C410" s="22" t="s">
        <v>1915</v>
      </c>
      <c r="D410" s="23" t="s">
        <v>570</v>
      </c>
      <c r="E410" s="24" t="s">
        <v>80</v>
      </c>
      <c r="F410" s="24"/>
    </row>
    <row r="411" spans="1:6" ht="48.75" customHeight="1" x14ac:dyDescent="0.2">
      <c r="A411" s="21">
        <f>+Dates!$D$24</f>
        <v>41766</v>
      </c>
      <c r="B411" s="21">
        <f>+Dates!$D$25</f>
        <v>41767</v>
      </c>
      <c r="C411" s="22" t="s">
        <v>679</v>
      </c>
      <c r="D411" s="23"/>
      <c r="E411" s="24" t="s">
        <v>61</v>
      </c>
      <c r="F411" s="24"/>
    </row>
    <row r="412" spans="1:6" ht="52.5" customHeight="1" x14ac:dyDescent="0.2">
      <c r="A412" s="21">
        <f>+Dates!$D$24</f>
        <v>41766</v>
      </c>
      <c r="B412" s="21">
        <f>+Dates!$D$25</f>
        <v>41767</v>
      </c>
      <c r="C412" s="22" t="s">
        <v>678</v>
      </c>
      <c r="D412" s="23"/>
      <c r="E412" s="24" t="s">
        <v>80</v>
      </c>
      <c r="F412" s="24"/>
    </row>
    <row r="413" spans="1:6" ht="73.5" customHeight="1" x14ac:dyDescent="0.2">
      <c r="A413" s="21">
        <f>+Dates!$D$10-95</f>
        <v>41768</v>
      </c>
      <c r="B413" s="21">
        <f>+Dates!$D$10-95</f>
        <v>41768</v>
      </c>
      <c r="C413" s="22" t="s">
        <v>600</v>
      </c>
      <c r="D413" s="23" t="s">
        <v>567</v>
      </c>
      <c r="E413" s="24" t="s">
        <v>61</v>
      </c>
      <c r="F413" s="24" t="s">
        <v>103</v>
      </c>
    </row>
    <row r="414" spans="1:6" ht="76.5" customHeight="1" x14ac:dyDescent="0.2">
      <c r="A414" s="21">
        <f>+Dates!$D$10-95</f>
        <v>41768</v>
      </c>
      <c r="B414" s="21">
        <f>+Dates!$D$10-95</f>
        <v>41768</v>
      </c>
      <c r="C414" s="22" t="s">
        <v>602</v>
      </c>
      <c r="D414" s="23" t="s">
        <v>567</v>
      </c>
      <c r="E414" s="24" t="s">
        <v>80</v>
      </c>
      <c r="F414" s="24" t="s">
        <v>103</v>
      </c>
    </row>
    <row r="415" spans="1:6" ht="86.25" customHeight="1" x14ac:dyDescent="0.2">
      <c r="A415" s="21">
        <f>+Dates!$D$10-95</f>
        <v>41768</v>
      </c>
      <c r="B415" s="21">
        <f>+Dates!$D$10-95</f>
        <v>41768</v>
      </c>
      <c r="C415" s="22" t="s">
        <v>601</v>
      </c>
      <c r="D415" s="23" t="s">
        <v>567</v>
      </c>
      <c r="E415" s="24" t="s">
        <v>1062</v>
      </c>
      <c r="F415" s="24" t="s">
        <v>103</v>
      </c>
    </row>
    <row r="416" spans="1:6" ht="52.5" customHeight="1" x14ac:dyDescent="0.2">
      <c r="A416" s="21">
        <f>+Dates!$D$10-95</f>
        <v>41768</v>
      </c>
      <c r="B416" s="21">
        <f>+Dates!$D$10-95</f>
        <v>41768</v>
      </c>
      <c r="C416" s="22" t="s">
        <v>35</v>
      </c>
      <c r="D416" s="23" t="s">
        <v>124</v>
      </c>
      <c r="E416" s="24" t="s">
        <v>289</v>
      </c>
      <c r="F416" s="24" t="s">
        <v>103</v>
      </c>
    </row>
    <row r="417" spans="1:6" ht="52.5" customHeight="1" x14ac:dyDescent="0.2">
      <c r="A417" s="21">
        <f>+Dates!$D$10-95</f>
        <v>41768</v>
      </c>
      <c r="B417" s="21">
        <f>+Dates!$D$10-95</f>
        <v>41768</v>
      </c>
      <c r="C417" s="22" t="s">
        <v>347</v>
      </c>
      <c r="D417" s="23" t="s">
        <v>25</v>
      </c>
      <c r="E417" s="24" t="s">
        <v>333</v>
      </c>
      <c r="F417" s="24" t="s">
        <v>103</v>
      </c>
    </row>
    <row r="418" spans="1:6" ht="83.25" customHeight="1" x14ac:dyDescent="0.2">
      <c r="A418" s="21">
        <f>+Dates!$D$10-91</f>
        <v>41772</v>
      </c>
      <c r="B418" s="21">
        <f>+Dates!$D$10-91</f>
        <v>41772</v>
      </c>
      <c r="C418" s="22" t="s">
        <v>1520</v>
      </c>
      <c r="D418" s="23" t="s">
        <v>567</v>
      </c>
      <c r="E418" s="24" t="s">
        <v>61</v>
      </c>
      <c r="F418" s="24" t="s">
        <v>103</v>
      </c>
    </row>
    <row r="419" spans="1:6" ht="79.5" customHeight="1" x14ac:dyDescent="0.2">
      <c r="A419" s="21">
        <f>+Dates!$D$10-91</f>
        <v>41772</v>
      </c>
      <c r="B419" s="21">
        <f>+Dates!$D$10-91</f>
        <v>41772</v>
      </c>
      <c r="C419" s="22" t="s">
        <v>1521</v>
      </c>
      <c r="D419" s="23" t="s">
        <v>567</v>
      </c>
      <c r="E419" s="24" t="s">
        <v>292</v>
      </c>
      <c r="F419" s="24" t="s">
        <v>103</v>
      </c>
    </row>
    <row r="420" spans="1:6" ht="95.25" customHeight="1" x14ac:dyDescent="0.2">
      <c r="A420" s="21">
        <f>+Dates!$D$10-91</f>
        <v>41772</v>
      </c>
      <c r="B420" s="21">
        <f>+Dates!$D$10-91</f>
        <v>41772</v>
      </c>
      <c r="C420" s="22" t="s">
        <v>1522</v>
      </c>
      <c r="D420" s="23" t="s">
        <v>567</v>
      </c>
      <c r="E420" s="24" t="s">
        <v>1062</v>
      </c>
      <c r="F420" s="24" t="s">
        <v>103</v>
      </c>
    </row>
    <row r="421" spans="1:6" ht="89.25" customHeight="1" x14ac:dyDescent="0.2">
      <c r="A421" s="21">
        <f>+Dates!$D$10-90</f>
        <v>41773</v>
      </c>
      <c r="B421" s="21">
        <f>+Dates!$D$10-90</f>
        <v>41773</v>
      </c>
      <c r="C421" s="22" t="s">
        <v>349</v>
      </c>
      <c r="D421" s="23" t="s">
        <v>121</v>
      </c>
      <c r="E421" s="24" t="s">
        <v>61</v>
      </c>
      <c r="F421" s="24" t="s">
        <v>434</v>
      </c>
    </row>
    <row r="422" spans="1:6" ht="95.25" customHeight="1" x14ac:dyDescent="0.2">
      <c r="A422" s="21">
        <f>+Dates!$D$10-90</f>
        <v>41773</v>
      </c>
      <c r="B422" s="21">
        <f>+Dates!$D$10-90</f>
        <v>41773</v>
      </c>
      <c r="C422" s="22" t="s">
        <v>350</v>
      </c>
      <c r="D422" s="23" t="s">
        <v>121</v>
      </c>
      <c r="E422" s="24" t="s">
        <v>80</v>
      </c>
      <c r="F422" s="24" t="s">
        <v>434</v>
      </c>
    </row>
    <row r="423" spans="1:6" ht="74.25" customHeight="1" x14ac:dyDescent="0.2">
      <c r="A423" s="21">
        <f>+Dates!$D$10-90</f>
        <v>41773</v>
      </c>
      <c r="B423" s="21">
        <f>+Dates!$D$10-90</f>
        <v>41773</v>
      </c>
      <c r="C423" s="22" t="s">
        <v>120</v>
      </c>
      <c r="D423" s="23" t="s">
        <v>121</v>
      </c>
      <c r="E423" s="24" t="s">
        <v>289</v>
      </c>
      <c r="F423" s="24" t="s">
        <v>434</v>
      </c>
    </row>
    <row r="424" spans="1:6" ht="78.75" customHeight="1" x14ac:dyDescent="0.2">
      <c r="A424" s="21">
        <f>+Dates!$D$10-90</f>
        <v>41773</v>
      </c>
      <c r="B424" s="21">
        <f>+Dates!$D$10-90</f>
        <v>41773</v>
      </c>
      <c r="C424" s="22" t="s">
        <v>603</v>
      </c>
      <c r="D424" s="23" t="s">
        <v>121</v>
      </c>
      <c r="E424" s="24" t="s">
        <v>291</v>
      </c>
      <c r="F424" s="24" t="s">
        <v>434</v>
      </c>
    </row>
    <row r="425" spans="1:6" ht="78.75" customHeight="1" x14ac:dyDescent="0.2">
      <c r="A425" s="21">
        <f>+Dates!$D$10-90</f>
        <v>41773</v>
      </c>
      <c r="B425" s="21">
        <f>+Dates!$D$10-90</f>
        <v>41773</v>
      </c>
      <c r="C425" s="22" t="s">
        <v>178</v>
      </c>
      <c r="D425" s="23" t="s">
        <v>121</v>
      </c>
      <c r="E425" s="24" t="s">
        <v>301</v>
      </c>
      <c r="F425" s="24" t="s">
        <v>434</v>
      </c>
    </row>
    <row r="426" spans="1:6" ht="86.25" customHeight="1" x14ac:dyDescent="0.2">
      <c r="A426" s="21">
        <f>+Dates!$D$10-90</f>
        <v>41773</v>
      </c>
      <c r="B426" s="21">
        <f>+Dates!$D$10-90</f>
        <v>41773</v>
      </c>
      <c r="C426" s="22" t="s">
        <v>179</v>
      </c>
      <c r="D426" s="23" t="s">
        <v>121</v>
      </c>
      <c r="E426" s="24" t="s">
        <v>297</v>
      </c>
      <c r="F426" s="24" t="s">
        <v>434</v>
      </c>
    </row>
    <row r="427" spans="1:6" ht="128.25" customHeight="1" x14ac:dyDescent="0.2">
      <c r="A427" s="21">
        <f>+Dates!$D$10-90</f>
        <v>41773</v>
      </c>
      <c r="B427" s="21">
        <f>+Dates!$D$10-90</f>
        <v>41773</v>
      </c>
      <c r="C427" s="22" t="s">
        <v>693</v>
      </c>
      <c r="D427" s="23" t="s">
        <v>106</v>
      </c>
      <c r="E427" s="24" t="s">
        <v>61</v>
      </c>
      <c r="F427" s="24" t="s">
        <v>107</v>
      </c>
    </row>
    <row r="428" spans="1:6" ht="128.25" customHeight="1" x14ac:dyDescent="0.2">
      <c r="A428" s="21">
        <f>+Dates!$D$10-90</f>
        <v>41773</v>
      </c>
      <c r="B428" s="21">
        <f>+Dates!$D$10-90</f>
        <v>41773</v>
      </c>
      <c r="C428" s="22" t="s">
        <v>694</v>
      </c>
      <c r="D428" s="23" t="s">
        <v>106</v>
      </c>
      <c r="E428" s="24" t="s">
        <v>80</v>
      </c>
      <c r="F428" s="24" t="s">
        <v>107</v>
      </c>
    </row>
    <row r="429" spans="1:6" ht="128.25" customHeight="1" x14ac:dyDescent="0.2">
      <c r="A429" s="21">
        <f>+Dates!$D$10-90</f>
        <v>41773</v>
      </c>
      <c r="B429" s="21">
        <f>+Dates!$D$10-90</f>
        <v>41773</v>
      </c>
      <c r="C429" s="22" t="s">
        <v>695</v>
      </c>
      <c r="D429" s="23" t="s">
        <v>106</v>
      </c>
      <c r="E429" s="24" t="s">
        <v>289</v>
      </c>
      <c r="F429" s="24" t="s">
        <v>107</v>
      </c>
    </row>
    <row r="430" spans="1:6" ht="132" customHeight="1" x14ac:dyDescent="0.2">
      <c r="A430" s="21">
        <f>+Dates!$D$10-90</f>
        <v>41773</v>
      </c>
      <c r="B430" s="21">
        <f>+Dates!$D$10-90</f>
        <v>41773</v>
      </c>
      <c r="C430" s="22" t="s">
        <v>696</v>
      </c>
      <c r="D430" s="23" t="s">
        <v>106</v>
      </c>
      <c r="E430" s="24" t="s">
        <v>291</v>
      </c>
      <c r="F430" s="24" t="s">
        <v>107</v>
      </c>
    </row>
    <row r="431" spans="1:6" ht="138.75" customHeight="1" x14ac:dyDescent="0.2">
      <c r="A431" s="21">
        <f>+Dates!$D$10-90</f>
        <v>41773</v>
      </c>
      <c r="B431" s="21">
        <f>+Dates!$D$10-90</f>
        <v>41773</v>
      </c>
      <c r="C431" s="22" t="s">
        <v>697</v>
      </c>
      <c r="D431" s="23" t="s">
        <v>106</v>
      </c>
      <c r="E431" s="24" t="s">
        <v>301</v>
      </c>
      <c r="F431" s="24" t="s">
        <v>107</v>
      </c>
    </row>
    <row r="432" spans="1:6" ht="130.5" customHeight="1" x14ac:dyDescent="0.2">
      <c r="A432" s="21">
        <f>+Dates!$D$10-90</f>
        <v>41773</v>
      </c>
      <c r="B432" s="21">
        <f>+Dates!$D$10-90</f>
        <v>41773</v>
      </c>
      <c r="C432" s="22" t="s">
        <v>698</v>
      </c>
      <c r="D432" s="23" t="s">
        <v>106</v>
      </c>
      <c r="E432" s="24" t="s">
        <v>297</v>
      </c>
      <c r="F432" s="24" t="s">
        <v>107</v>
      </c>
    </row>
    <row r="433" spans="1:6" ht="133.5" customHeight="1" x14ac:dyDescent="0.2">
      <c r="A433" s="21">
        <f>+Dates!$D$10-90</f>
        <v>41773</v>
      </c>
      <c r="B433" s="21">
        <f>+Dates!$D$10-90</f>
        <v>41773</v>
      </c>
      <c r="C433" s="22" t="s">
        <v>699</v>
      </c>
      <c r="D433" s="23" t="s">
        <v>106</v>
      </c>
      <c r="E433" s="24" t="s">
        <v>333</v>
      </c>
      <c r="F433" s="24" t="s">
        <v>107</v>
      </c>
    </row>
    <row r="434" spans="1:6" ht="153" customHeight="1" x14ac:dyDescent="0.2">
      <c r="A434" s="21">
        <f>+Dates!$D$10-90</f>
        <v>41773</v>
      </c>
      <c r="B434" s="21">
        <f>+Dates!$D$10-90</f>
        <v>41773</v>
      </c>
      <c r="C434" s="22" t="s">
        <v>700</v>
      </c>
      <c r="D434" s="23" t="s">
        <v>106</v>
      </c>
      <c r="E434" s="24" t="s">
        <v>160</v>
      </c>
      <c r="F434" s="24" t="s">
        <v>107</v>
      </c>
    </row>
    <row r="435" spans="1:6" ht="157.5" customHeight="1" x14ac:dyDescent="0.2">
      <c r="A435" s="21">
        <v>41774</v>
      </c>
      <c r="B435" s="21">
        <v>41774</v>
      </c>
      <c r="C435" s="22" t="s">
        <v>1403</v>
      </c>
      <c r="D435" s="23" t="s">
        <v>133</v>
      </c>
      <c r="E435" s="24" t="s">
        <v>61</v>
      </c>
      <c r="F435" s="24" t="s">
        <v>332</v>
      </c>
    </row>
    <row r="436" spans="1:6" ht="158.25" customHeight="1" x14ac:dyDescent="0.2">
      <c r="A436" s="21">
        <v>41774</v>
      </c>
      <c r="B436" s="21">
        <v>41774</v>
      </c>
      <c r="C436" s="22" t="s">
        <v>1404</v>
      </c>
      <c r="D436" s="23" t="s">
        <v>133</v>
      </c>
      <c r="E436" s="24" t="s">
        <v>391</v>
      </c>
      <c r="F436" s="24" t="s">
        <v>332</v>
      </c>
    </row>
    <row r="437" spans="1:6" ht="157.5" customHeight="1" x14ac:dyDescent="0.2">
      <c r="A437" s="21">
        <v>41774</v>
      </c>
      <c r="B437" s="21">
        <v>41774</v>
      </c>
      <c r="C437" s="22" t="s">
        <v>1405</v>
      </c>
      <c r="D437" s="23" t="s">
        <v>133</v>
      </c>
      <c r="E437" s="24" t="s">
        <v>292</v>
      </c>
      <c r="F437" s="24" t="s">
        <v>332</v>
      </c>
    </row>
    <row r="438" spans="1:6" ht="159" customHeight="1" x14ac:dyDescent="0.2">
      <c r="A438" s="21">
        <v>41774</v>
      </c>
      <c r="B438" s="21">
        <v>41774</v>
      </c>
      <c r="C438" s="22" t="s">
        <v>1406</v>
      </c>
      <c r="D438" s="23" t="s">
        <v>133</v>
      </c>
      <c r="E438" s="24" t="s">
        <v>289</v>
      </c>
      <c r="F438" s="24" t="s">
        <v>332</v>
      </c>
    </row>
    <row r="439" spans="1:6" ht="166.5" customHeight="1" x14ac:dyDescent="0.2">
      <c r="A439" s="21">
        <v>41774</v>
      </c>
      <c r="B439" s="21">
        <v>41774</v>
      </c>
      <c r="C439" s="22" t="s">
        <v>1407</v>
      </c>
      <c r="D439" s="23" t="s">
        <v>133</v>
      </c>
      <c r="E439" s="24" t="s">
        <v>291</v>
      </c>
      <c r="F439" s="24" t="s">
        <v>332</v>
      </c>
    </row>
    <row r="440" spans="1:6" ht="168.75" customHeight="1" x14ac:dyDescent="0.2">
      <c r="A440" s="21">
        <v>41774</v>
      </c>
      <c r="B440" s="21">
        <v>41774</v>
      </c>
      <c r="C440" s="22" t="s">
        <v>604</v>
      </c>
      <c r="D440" s="23" t="s">
        <v>133</v>
      </c>
      <c r="E440" s="24" t="s">
        <v>301</v>
      </c>
      <c r="F440" s="24" t="s">
        <v>332</v>
      </c>
    </row>
    <row r="441" spans="1:6" ht="176.25" customHeight="1" x14ac:dyDescent="0.2">
      <c r="A441" s="21">
        <v>41774</v>
      </c>
      <c r="B441" s="21">
        <v>41773</v>
      </c>
      <c r="C441" s="22" t="s">
        <v>1408</v>
      </c>
      <c r="D441" s="23" t="s">
        <v>133</v>
      </c>
      <c r="E441" s="24" t="s">
        <v>297</v>
      </c>
      <c r="F441" s="24" t="s">
        <v>332</v>
      </c>
    </row>
    <row r="442" spans="1:6" ht="91.5" customHeight="1" x14ac:dyDescent="0.2">
      <c r="A442" s="21">
        <f>+Dates!$D$23</f>
        <v>41778</v>
      </c>
      <c r="B442" s="21">
        <f>+Dates!$D$23</f>
        <v>41778</v>
      </c>
      <c r="C442" s="22" t="s">
        <v>1409</v>
      </c>
      <c r="D442" s="23" t="s">
        <v>14</v>
      </c>
      <c r="E442" s="24" t="s">
        <v>303</v>
      </c>
      <c r="F442" s="24" t="s">
        <v>303</v>
      </c>
    </row>
    <row r="443" spans="1:6" ht="104.25" customHeight="1" x14ac:dyDescent="0.2">
      <c r="A443" s="21">
        <f>+Dates!$D$23</f>
        <v>41778</v>
      </c>
      <c r="B443" s="21">
        <f>+Dates!$D$23</f>
        <v>41778</v>
      </c>
      <c r="C443" s="22" t="s">
        <v>1410</v>
      </c>
      <c r="D443" s="23" t="s">
        <v>14</v>
      </c>
      <c r="E443" s="24" t="s">
        <v>61</v>
      </c>
      <c r="F443" s="24" t="s">
        <v>303</v>
      </c>
    </row>
    <row r="444" spans="1:6" ht="94.5" customHeight="1" x14ac:dyDescent="0.2">
      <c r="A444" s="21">
        <f>+Dates!$D$23</f>
        <v>41778</v>
      </c>
      <c r="B444" s="21">
        <f>+Dates!$D$23</f>
        <v>41778</v>
      </c>
      <c r="C444" s="22" t="s">
        <v>1411</v>
      </c>
      <c r="D444" s="23" t="s">
        <v>14</v>
      </c>
      <c r="E444" s="24" t="s">
        <v>80</v>
      </c>
      <c r="F444" s="24" t="s">
        <v>303</v>
      </c>
    </row>
    <row r="445" spans="1:6" ht="151.5" customHeight="1" x14ac:dyDescent="0.2">
      <c r="A445" s="21">
        <f>+Dates!$D$10-84</f>
        <v>41779</v>
      </c>
      <c r="B445" s="21">
        <f>+Dates!$D$10-70</f>
        <v>41793</v>
      </c>
      <c r="C445" s="22" t="s">
        <v>1412</v>
      </c>
      <c r="D445" s="23" t="s">
        <v>219</v>
      </c>
      <c r="E445" s="24" t="s">
        <v>61</v>
      </c>
      <c r="F445" s="24" t="s">
        <v>299</v>
      </c>
    </row>
    <row r="446" spans="1:6" ht="130.5" customHeight="1" x14ac:dyDescent="0.2">
      <c r="A446" s="21">
        <f>+Dates!$D$10-84</f>
        <v>41779</v>
      </c>
      <c r="B446" s="21">
        <f>+Dates!$D$10-70</f>
        <v>41793</v>
      </c>
      <c r="C446" s="22" t="s">
        <v>1413</v>
      </c>
      <c r="D446" s="23" t="s">
        <v>219</v>
      </c>
      <c r="E446" s="24" t="s">
        <v>135</v>
      </c>
      <c r="F446" s="24" t="s">
        <v>299</v>
      </c>
    </row>
    <row r="447" spans="1:6" ht="138.75" customHeight="1" x14ac:dyDescent="0.2">
      <c r="A447" s="21">
        <f>+Dates!$D$10-84</f>
        <v>41779</v>
      </c>
      <c r="B447" s="21">
        <f>+Dates!$D$10-70</f>
        <v>41793</v>
      </c>
      <c r="C447" s="22" t="s">
        <v>1414</v>
      </c>
      <c r="D447" s="23" t="s">
        <v>219</v>
      </c>
      <c r="E447" s="24" t="s">
        <v>391</v>
      </c>
      <c r="F447" s="24" t="s">
        <v>299</v>
      </c>
    </row>
    <row r="448" spans="1:6" ht="243" customHeight="1" x14ac:dyDescent="0.2">
      <c r="A448" s="21">
        <f>+Dates!$D$10-84</f>
        <v>41779</v>
      </c>
      <c r="B448" s="21">
        <f>+Dates!$D$10-70</f>
        <v>41793</v>
      </c>
      <c r="C448" s="22" t="s">
        <v>1922</v>
      </c>
      <c r="D448" s="23" t="s">
        <v>219</v>
      </c>
      <c r="E448" s="24" t="s">
        <v>292</v>
      </c>
      <c r="F448" s="24" t="s">
        <v>299</v>
      </c>
    </row>
    <row r="449" spans="1:6" ht="153.75" customHeight="1" x14ac:dyDescent="0.2">
      <c r="A449" s="21">
        <f>+Dates!$D$10-84</f>
        <v>41779</v>
      </c>
      <c r="B449" s="21">
        <f>+Dates!$D$10-70</f>
        <v>41793</v>
      </c>
      <c r="C449" s="22" t="s">
        <v>1415</v>
      </c>
      <c r="D449" s="23" t="s">
        <v>219</v>
      </c>
      <c r="E449" s="24" t="s">
        <v>289</v>
      </c>
      <c r="F449" s="24" t="s">
        <v>299</v>
      </c>
    </row>
    <row r="450" spans="1:6" ht="155.25" customHeight="1" x14ac:dyDescent="0.2">
      <c r="A450" s="21">
        <f>+Dates!$D$10-84</f>
        <v>41779</v>
      </c>
      <c r="B450" s="21">
        <f>+Dates!$D$10-70</f>
        <v>41793</v>
      </c>
      <c r="C450" s="22" t="s">
        <v>620</v>
      </c>
      <c r="D450" s="23" t="s">
        <v>443</v>
      </c>
      <c r="E450" s="24" t="s">
        <v>61</v>
      </c>
      <c r="F450" s="24" t="s">
        <v>149</v>
      </c>
    </row>
    <row r="451" spans="1:6" ht="153.75" customHeight="1" x14ac:dyDescent="0.2">
      <c r="A451" s="21">
        <f>+Dates!$D$10-84</f>
        <v>41779</v>
      </c>
      <c r="B451" s="21">
        <f>+Dates!$D$10-70</f>
        <v>41793</v>
      </c>
      <c r="C451" s="22" t="s">
        <v>442</v>
      </c>
      <c r="D451" s="23" t="s">
        <v>443</v>
      </c>
      <c r="E451" s="24" t="s">
        <v>135</v>
      </c>
      <c r="F451" s="24" t="s">
        <v>149</v>
      </c>
    </row>
    <row r="452" spans="1:6" ht="82.5" customHeight="1" x14ac:dyDescent="0.2">
      <c r="A452" s="21">
        <f>+Dates!$D$10-84</f>
        <v>41779</v>
      </c>
      <c r="B452" s="21">
        <f>+Dates!$D$10-70</f>
        <v>41793</v>
      </c>
      <c r="C452" s="22" t="s">
        <v>445</v>
      </c>
      <c r="D452" s="23" t="s">
        <v>2</v>
      </c>
      <c r="E452" s="24" t="s">
        <v>391</v>
      </c>
      <c r="F452" s="24" t="s">
        <v>299</v>
      </c>
    </row>
    <row r="453" spans="1:6" ht="132" customHeight="1" x14ac:dyDescent="0.2">
      <c r="A453" s="21">
        <f>+Dates!$D$10-84</f>
        <v>41779</v>
      </c>
      <c r="B453" s="21">
        <f>+Dates!$D$10-70</f>
        <v>41793</v>
      </c>
      <c r="C453" s="22" t="s">
        <v>621</v>
      </c>
      <c r="D453" s="23" t="s">
        <v>2</v>
      </c>
      <c r="E453" s="24" t="s">
        <v>292</v>
      </c>
      <c r="F453" s="24" t="s">
        <v>299</v>
      </c>
    </row>
    <row r="454" spans="1:6" ht="155.25" customHeight="1" x14ac:dyDescent="0.2">
      <c r="A454" s="21">
        <f>+Dates!$D$10-84</f>
        <v>41779</v>
      </c>
      <c r="B454" s="21">
        <f>+Dates!$D$10-70</f>
        <v>41793</v>
      </c>
      <c r="C454" s="22" t="s">
        <v>198</v>
      </c>
      <c r="D454" s="23" t="s">
        <v>197</v>
      </c>
      <c r="E454" s="24" t="s">
        <v>1062</v>
      </c>
      <c r="F454" s="24" t="s">
        <v>299</v>
      </c>
    </row>
    <row r="455" spans="1:6" ht="87" customHeight="1" x14ac:dyDescent="0.2">
      <c r="A455" s="21">
        <f>+Dates!$D$10-84</f>
        <v>41779</v>
      </c>
      <c r="B455" s="21">
        <f>+Dates!$D$10-70</f>
        <v>41793</v>
      </c>
      <c r="C455" s="22" t="s">
        <v>444</v>
      </c>
      <c r="D455" s="23" t="s">
        <v>300</v>
      </c>
      <c r="E455" s="24" t="s">
        <v>289</v>
      </c>
      <c r="F455" s="24" t="s">
        <v>149</v>
      </c>
    </row>
    <row r="456" spans="1:6" ht="96.75" customHeight="1" x14ac:dyDescent="0.2">
      <c r="A456" s="21">
        <f>+Dates!$D$10-84</f>
        <v>41779</v>
      </c>
      <c r="B456" s="21">
        <f>+Dates!$D$10-70</f>
        <v>41793</v>
      </c>
      <c r="C456" s="22" t="s">
        <v>446</v>
      </c>
      <c r="D456" s="23" t="s">
        <v>148</v>
      </c>
      <c r="E456" s="24" t="s">
        <v>333</v>
      </c>
      <c r="F456" s="24" t="s">
        <v>299</v>
      </c>
    </row>
    <row r="457" spans="1:6" ht="177.75" customHeight="1" x14ac:dyDescent="0.2">
      <c r="A457" s="21">
        <f>+Dates!$D$10-84</f>
        <v>41779</v>
      </c>
      <c r="B457" s="21">
        <f>+Dates!$D$10-56</f>
        <v>41807</v>
      </c>
      <c r="C457" s="22" t="s">
        <v>869</v>
      </c>
      <c r="D457" s="23" t="s">
        <v>866</v>
      </c>
      <c r="E457" s="24" t="s">
        <v>61</v>
      </c>
      <c r="F457" s="24" t="s">
        <v>299</v>
      </c>
    </row>
    <row r="458" spans="1:6" ht="161.25" customHeight="1" x14ac:dyDescent="0.2">
      <c r="A458" s="21">
        <f>+Dates!$D$10-84</f>
        <v>41779</v>
      </c>
      <c r="B458" s="21">
        <f>+Dates!$D$10-56</f>
        <v>41807</v>
      </c>
      <c r="C458" s="22" t="s">
        <v>871</v>
      </c>
      <c r="D458" s="23" t="s">
        <v>866</v>
      </c>
      <c r="E458" s="24" t="s">
        <v>135</v>
      </c>
      <c r="F458" s="24" t="s">
        <v>299</v>
      </c>
    </row>
    <row r="459" spans="1:6" ht="162.75" customHeight="1" x14ac:dyDescent="0.2">
      <c r="A459" s="21">
        <f>+Dates!$D$10-84</f>
        <v>41779</v>
      </c>
      <c r="B459" s="21">
        <f>+Dates!$D$10-56</f>
        <v>41807</v>
      </c>
      <c r="C459" s="22" t="s">
        <v>870</v>
      </c>
      <c r="D459" s="23" t="s">
        <v>866</v>
      </c>
      <c r="E459" s="24" t="s">
        <v>391</v>
      </c>
      <c r="F459" s="24" t="s">
        <v>299</v>
      </c>
    </row>
    <row r="460" spans="1:6" ht="220.5" customHeight="1" x14ac:dyDescent="0.2">
      <c r="A460" s="21">
        <f>+Dates!$D$10-84</f>
        <v>41779</v>
      </c>
      <c r="B460" s="21">
        <f>+Dates!$D$10-56</f>
        <v>41807</v>
      </c>
      <c r="C460" s="22" t="s">
        <v>867</v>
      </c>
      <c r="D460" s="23" t="s">
        <v>866</v>
      </c>
      <c r="E460" s="24" t="s">
        <v>80</v>
      </c>
      <c r="F460" s="24" t="s">
        <v>299</v>
      </c>
    </row>
    <row r="461" spans="1:6" ht="190.5" customHeight="1" x14ac:dyDescent="0.2">
      <c r="A461" s="21">
        <f>+Dates!$D$10-84</f>
        <v>41779</v>
      </c>
      <c r="B461" s="21">
        <f>+Dates!$D$10-56</f>
        <v>41807</v>
      </c>
      <c r="C461" s="22" t="s">
        <v>868</v>
      </c>
      <c r="D461" s="23" t="s">
        <v>866</v>
      </c>
      <c r="E461" s="24" t="s">
        <v>289</v>
      </c>
      <c r="F461" s="24" t="s">
        <v>299</v>
      </c>
    </row>
    <row r="462" spans="1:6" ht="115.5" customHeight="1" x14ac:dyDescent="0.2">
      <c r="A462" s="21">
        <f>+Dates!$D$16</f>
        <v>41785</v>
      </c>
      <c r="B462" s="21">
        <f>+Dates!$D$16</f>
        <v>41785</v>
      </c>
      <c r="C462" s="22" t="s">
        <v>15</v>
      </c>
      <c r="D462" s="23" t="s">
        <v>293</v>
      </c>
      <c r="E462" s="24" t="s">
        <v>294</v>
      </c>
      <c r="F462" s="24" t="s">
        <v>294</v>
      </c>
    </row>
    <row r="463" spans="1:6" ht="143.25" customHeight="1" x14ac:dyDescent="0.2">
      <c r="A463" s="21">
        <f>+Dates!$D$10-74</f>
        <v>41789</v>
      </c>
      <c r="B463" s="21">
        <f>+Dates!$D$10-74</f>
        <v>41789</v>
      </c>
      <c r="C463" s="22" t="s">
        <v>1609</v>
      </c>
      <c r="D463" s="23" t="s">
        <v>644</v>
      </c>
      <c r="E463" s="24" t="s">
        <v>80</v>
      </c>
      <c r="F463" s="24" t="s">
        <v>103</v>
      </c>
    </row>
    <row r="464" spans="1:6" ht="131.25" customHeight="1" x14ac:dyDescent="0.2">
      <c r="A464" s="21">
        <f>+Dates!$D$10-74</f>
        <v>41789</v>
      </c>
      <c r="B464" s="21">
        <f>+Dates!$D$10-74</f>
        <v>41789</v>
      </c>
      <c r="C464" s="22" t="s">
        <v>645</v>
      </c>
      <c r="D464" s="23" t="s">
        <v>102</v>
      </c>
      <c r="E464" s="24" t="s">
        <v>289</v>
      </c>
      <c r="F464" s="24" t="s">
        <v>103</v>
      </c>
    </row>
    <row r="465" spans="1:6" ht="74.25" customHeight="1" x14ac:dyDescent="0.2">
      <c r="A465" s="21">
        <f>+Dates!$D$10-74</f>
        <v>41789</v>
      </c>
      <c r="B465" s="21">
        <f>+Dates!$D$10-74</f>
        <v>41789</v>
      </c>
      <c r="C465" s="22" t="s">
        <v>650</v>
      </c>
      <c r="D465" s="23" t="s">
        <v>102</v>
      </c>
      <c r="E465" s="24" t="s">
        <v>291</v>
      </c>
      <c r="F465" s="24" t="s">
        <v>103</v>
      </c>
    </row>
    <row r="466" spans="1:6" ht="135.75" customHeight="1" x14ac:dyDescent="0.2">
      <c r="A466" s="21">
        <f>+Dates!$D$10-74</f>
        <v>41789</v>
      </c>
      <c r="B466" s="21">
        <f>+Dates!$D$10-74</f>
        <v>41789</v>
      </c>
      <c r="C466" s="22" t="s">
        <v>646</v>
      </c>
      <c r="D466" s="23" t="s">
        <v>167</v>
      </c>
      <c r="E466" s="24" t="s">
        <v>333</v>
      </c>
      <c r="F466" s="24" t="s">
        <v>103</v>
      </c>
    </row>
    <row r="467" spans="1:6" ht="78.75" customHeight="1" x14ac:dyDescent="0.2">
      <c r="A467" s="21">
        <f>+Dates!$D$10-74</f>
        <v>41789</v>
      </c>
      <c r="B467" s="21">
        <f>+Dates!$D$10-74</f>
        <v>41789</v>
      </c>
      <c r="C467" s="22" t="s">
        <v>649</v>
      </c>
      <c r="D467" s="23" t="s">
        <v>167</v>
      </c>
      <c r="E467" s="24" t="s">
        <v>160</v>
      </c>
      <c r="F467" s="24" t="s">
        <v>103</v>
      </c>
    </row>
    <row r="468" spans="1:6" ht="124.5" customHeight="1" x14ac:dyDescent="0.2">
      <c r="A468" s="21">
        <f>+Dates!$D$10-74</f>
        <v>41789</v>
      </c>
      <c r="B468" s="21">
        <f>+Dates!$D$10-74</f>
        <v>41789</v>
      </c>
      <c r="C468" s="22" t="s">
        <v>622</v>
      </c>
      <c r="D468" s="23" t="s">
        <v>54</v>
      </c>
      <c r="E468" s="24" t="s">
        <v>61</v>
      </c>
      <c r="F468" s="24" t="s">
        <v>111</v>
      </c>
    </row>
    <row r="469" spans="1:6" ht="123" customHeight="1" x14ac:dyDescent="0.2">
      <c r="A469" s="21">
        <f>+Dates!$D$10-74</f>
        <v>41789</v>
      </c>
      <c r="B469" s="21">
        <f>+Dates!$D$10-74</f>
        <v>41789</v>
      </c>
      <c r="C469" s="22" t="s">
        <v>623</v>
      </c>
      <c r="D469" s="23" t="s">
        <v>54</v>
      </c>
      <c r="E469" s="24" t="s">
        <v>80</v>
      </c>
      <c r="F469" s="24" t="s">
        <v>111</v>
      </c>
    </row>
    <row r="470" spans="1:6" ht="112.5" customHeight="1" x14ac:dyDescent="0.2">
      <c r="A470" s="21">
        <f>+Dates!$D$10-74</f>
        <v>41789</v>
      </c>
      <c r="B470" s="21">
        <f>+Dates!$D$10-74</f>
        <v>41789</v>
      </c>
      <c r="C470" s="22" t="s">
        <v>86</v>
      </c>
      <c r="D470" s="23" t="s">
        <v>54</v>
      </c>
      <c r="E470" s="24" t="s">
        <v>333</v>
      </c>
      <c r="F470" s="24" t="s">
        <v>111</v>
      </c>
    </row>
    <row r="471" spans="1:6" ht="122.25" customHeight="1" x14ac:dyDescent="0.2">
      <c r="A471" s="21">
        <f>+Dates!$D$10-74</f>
        <v>41789</v>
      </c>
      <c r="B471" s="21">
        <f>+Dates!$D$10-74</f>
        <v>41789</v>
      </c>
      <c r="C471" s="22" t="s">
        <v>88</v>
      </c>
      <c r="D471" s="23" t="s">
        <v>54</v>
      </c>
      <c r="E471" s="24" t="s">
        <v>160</v>
      </c>
      <c r="F471" s="24" t="s">
        <v>111</v>
      </c>
    </row>
    <row r="472" spans="1:6" ht="126" customHeight="1" x14ac:dyDescent="0.2">
      <c r="A472" s="21">
        <f>+Dates!$D$10-74</f>
        <v>41789</v>
      </c>
      <c r="B472" s="21">
        <f>+Dates!$D$10-74</f>
        <v>41789</v>
      </c>
      <c r="C472" s="22" t="s">
        <v>1610</v>
      </c>
      <c r="D472" s="23" t="s">
        <v>0</v>
      </c>
      <c r="E472" s="24" t="s">
        <v>61</v>
      </c>
      <c r="F472" s="24" t="s">
        <v>103</v>
      </c>
    </row>
    <row r="473" spans="1:6" ht="129" customHeight="1" x14ac:dyDescent="0.2">
      <c r="A473" s="21">
        <f>+Dates!$D$10-74</f>
        <v>41789</v>
      </c>
      <c r="B473" s="21">
        <f>+Dates!$D$10-74</f>
        <v>41789</v>
      </c>
      <c r="C473" s="22" t="s">
        <v>1611</v>
      </c>
      <c r="D473" s="23" t="s">
        <v>0</v>
      </c>
      <c r="E473" s="24" t="s">
        <v>80</v>
      </c>
      <c r="F473" s="24" t="s">
        <v>103</v>
      </c>
    </row>
    <row r="474" spans="1:6" ht="130.5" customHeight="1" x14ac:dyDescent="0.2">
      <c r="A474" s="21">
        <f>+Dates!$D$10-74</f>
        <v>41789</v>
      </c>
      <c r="B474" s="21">
        <f>+Dates!$D$10-74</f>
        <v>41789</v>
      </c>
      <c r="C474" s="22" t="s">
        <v>1612</v>
      </c>
      <c r="D474" s="23" t="s">
        <v>0</v>
      </c>
      <c r="E474" s="24" t="s">
        <v>333</v>
      </c>
      <c r="F474" s="24" t="s">
        <v>103</v>
      </c>
    </row>
    <row r="475" spans="1:6" ht="131.25" customHeight="1" x14ac:dyDescent="0.2">
      <c r="A475" s="21">
        <f>+Dates!$D$10-74</f>
        <v>41789</v>
      </c>
      <c r="B475" s="21">
        <f>+Dates!$D$10-74</f>
        <v>41789</v>
      </c>
      <c r="C475" s="22" t="s">
        <v>1613</v>
      </c>
      <c r="D475" s="23" t="s">
        <v>0</v>
      </c>
      <c r="E475" s="24" t="s">
        <v>160</v>
      </c>
      <c r="F475" s="24" t="s">
        <v>103</v>
      </c>
    </row>
    <row r="476" spans="1:6" ht="95.25" customHeight="1" x14ac:dyDescent="0.2">
      <c r="A476" s="21">
        <v>41789</v>
      </c>
      <c r="B476" s="21">
        <v>41789</v>
      </c>
      <c r="C476" s="22" t="s">
        <v>1903</v>
      </c>
      <c r="D476" s="23" t="s">
        <v>1897</v>
      </c>
      <c r="E476" s="24" t="s">
        <v>61</v>
      </c>
      <c r="F476" s="24" t="s">
        <v>119</v>
      </c>
    </row>
    <row r="477" spans="1:6" ht="95.25" customHeight="1" x14ac:dyDescent="0.2">
      <c r="A477" s="21">
        <v>41789</v>
      </c>
      <c r="B477" s="21">
        <v>41789</v>
      </c>
      <c r="C477" s="22" t="s">
        <v>1902</v>
      </c>
      <c r="D477" s="23" t="s">
        <v>1897</v>
      </c>
      <c r="E477" s="24" t="s">
        <v>80</v>
      </c>
      <c r="F477" s="24" t="s">
        <v>119</v>
      </c>
    </row>
    <row r="478" spans="1:6" ht="95.25" customHeight="1" x14ac:dyDescent="0.2">
      <c r="A478" s="21">
        <v>41789</v>
      </c>
      <c r="B478" s="21">
        <v>41789</v>
      </c>
      <c r="C478" s="22" t="s">
        <v>1901</v>
      </c>
      <c r="D478" s="23" t="s">
        <v>1897</v>
      </c>
      <c r="E478" s="24" t="s">
        <v>289</v>
      </c>
      <c r="F478" s="24" t="s">
        <v>119</v>
      </c>
    </row>
    <row r="479" spans="1:6" ht="95.25" customHeight="1" x14ac:dyDescent="0.2">
      <c r="A479" s="21">
        <v>41789</v>
      </c>
      <c r="B479" s="21">
        <v>41789</v>
      </c>
      <c r="C479" s="22" t="s">
        <v>1900</v>
      </c>
      <c r="D479" s="23" t="s">
        <v>1897</v>
      </c>
      <c r="E479" s="24" t="s">
        <v>291</v>
      </c>
      <c r="F479" s="24" t="s">
        <v>119</v>
      </c>
    </row>
    <row r="480" spans="1:6" ht="95.25" customHeight="1" x14ac:dyDescent="0.2">
      <c r="A480" s="21">
        <v>41789</v>
      </c>
      <c r="B480" s="21">
        <v>41789</v>
      </c>
      <c r="C480" s="22" t="s">
        <v>1899</v>
      </c>
      <c r="D480" s="23" t="s">
        <v>1897</v>
      </c>
      <c r="E480" s="24" t="s">
        <v>301</v>
      </c>
      <c r="F480" s="24" t="s">
        <v>119</v>
      </c>
    </row>
    <row r="481" spans="1:6" ht="95.25" customHeight="1" x14ac:dyDescent="0.2">
      <c r="A481" s="21">
        <v>41789</v>
      </c>
      <c r="B481" s="21">
        <v>41789</v>
      </c>
      <c r="C481" s="22" t="s">
        <v>1898</v>
      </c>
      <c r="D481" s="23" t="s">
        <v>1897</v>
      </c>
      <c r="E481" s="24" t="s">
        <v>297</v>
      </c>
      <c r="F481" s="24" t="s">
        <v>119</v>
      </c>
    </row>
    <row r="482" spans="1:6" ht="146.25" customHeight="1" x14ac:dyDescent="0.2">
      <c r="A482" s="21">
        <f>+Dates!$D$10-70</f>
        <v>41793</v>
      </c>
      <c r="B482" s="21">
        <f>+Dates!$D$10-70</f>
        <v>41793</v>
      </c>
      <c r="C482" s="22" t="s">
        <v>1523</v>
      </c>
      <c r="D482" s="23" t="s">
        <v>443</v>
      </c>
      <c r="E482" s="24" t="s">
        <v>61</v>
      </c>
      <c r="F482" s="24" t="s">
        <v>299</v>
      </c>
    </row>
    <row r="483" spans="1:6" ht="140.25" customHeight="1" x14ac:dyDescent="0.2">
      <c r="A483" s="21">
        <f>+Dates!$D$10-70</f>
        <v>41793</v>
      </c>
      <c r="B483" s="21">
        <f>+Dates!$D$10-70</f>
        <v>41793</v>
      </c>
      <c r="C483" s="22" t="s">
        <v>1524</v>
      </c>
      <c r="D483" s="23" t="s">
        <v>443</v>
      </c>
      <c r="E483" s="24" t="s">
        <v>135</v>
      </c>
      <c r="F483" s="24" t="s">
        <v>299</v>
      </c>
    </row>
    <row r="484" spans="1:6" ht="147.75" customHeight="1" x14ac:dyDescent="0.2">
      <c r="A484" s="21">
        <f>+Dates!$D$10-70</f>
        <v>41793</v>
      </c>
      <c r="B484" s="21">
        <f>+Dates!$D$10-70</f>
        <v>41793</v>
      </c>
      <c r="C484" s="22" t="s">
        <v>1525</v>
      </c>
      <c r="D484" s="23" t="s">
        <v>443</v>
      </c>
      <c r="E484" s="24" t="s">
        <v>391</v>
      </c>
      <c r="F484" s="24" t="s">
        <v>299</v>
      </c>
    </row>
    <row r="485" spans="1:6" ht="146.25" customHeight="1" x14ac:dyDescent="0.2">
      <c r="A485" s="21">
        <f>+Dates!$D$10-70</f>
        <v>41793</v>
      </c>
      <c r="B485" s="21">
        <f>+Dates!$D$10-70</f>
        <v>41793</v>
      </c>
      <c r="C485" s="22" t="s">
        <v>1526</v>
      </c>
      <c r="D485" s="23" t="s">
        <v>443</v>
      </c>
      <c r="E485" s="24" t="s">
        <v>80</v>
      </c>
      <c r="F485" s="24" t="s">
        <v>299</v>
      </c>
    </row>
    <row r="486" spans="1:6" ht="165" customHeight="1" x14ac:dyDescent="0.2">
      <c r="A486" s="21">
        <f>+Dates!$D$10-70</f>
        <v>41793</v>
      </c>
      <c r="B486" s="21">
        <f>+Dates!$D$10-70</f>
        <v>41793</v>
      </c>
      <c r="C486" s="22" t="s">
        <v>1527</v>
      </c>
      <c r="D486" s="23" t="s">
        <v>443</v>
      </c>
      <c r="E486" s="24" t="s">
        <v>1062</v>
      </c>
      <c r="F486" s="24" t="s">
        <v>299</v>
      </c>
    </row>
    <row r="487" spans="1:6" ht="177" customHeight="1" x14ac:dyDescent="0.2">
      <c r="A487" s="21">
        <f>+Dates!$D$10-70</f>
        <v>41793</v>
      </c>
      <c r="B487" s="21">
        <f>+Dates!$D$10-70</f>
        <v>41793</v>
      </c>
      <c r="C487" s="22" t="s">
        <v>1528</v>
      </c>
      <c r="D487" s="23" t="s">
        <v>443</v>
      </c>
      <c r="E487" s="24" t="s">
        <v>289</v>
      </c>
      <c r="F487" s="24" t="s">
        <v>299</v>
      </c>
    </row>
    <row r="488" spans="1:6" ht="154.5" customHeight="1" x14ac:dyDescent="0.2">
      <c r="A488" s="21">
        <f>+Dates!$D$10-70</f>
        <v>41793</v>
      </c>
      <c r="B488" s="21">
        <f>+Dates!$D$10-70</f>
        <v>41793</v>
      </c>
      <c r="C488" s="22" t="s">
        <v>1529</v>
      </c>
      <c r="D488" s="23" t="s">
        <v>443</v>
      </c>
      <c r="E488" s="24" t="s">
        <v>333</v>
      </c>
      <c r="F488" s="24" t="s">
        <v>299</v>
      </c>
    </row>
    <row r="489" spans="1:6" ht="85.5" customHeight="1" x14ac:dyDescent="0.2">
      <c r="A489" s="21">
        <f>+Dates!$D$10-70</f>
        <v>41793</v>
      </c>
      <c r="B489" s="21">
        <f>+Dates!$D$10-70</f>
        <v>41793</v>
      </c>
      <c r="C489" s="22" t="s">
        <v>718</v>
      </c>
      <c r="D489" s="23" t="s">
        <v>5</v>
      </c>
      <c r="E489" s="24" t="s">
        <v>61</v>
      </c>
      <c r="F489" s="24" t="s">
        <v>107</v>
      </c>
    </row>
    <row r="490" spans="1:6" ht="80.25" customHeight="1" x14ac:dyDescent="0.2">
      <c r="A490" s="21">
        <f>+Dates!$D$10-70</f>
        <v>41793</v>
      </c>
      <c r="B490" s="21">
        <f>+Dates!$D$10-70</f>
        <v>41793</v>
      </c>
      <c r="C490" s="22" t="s">
        <v>719</v>
      </c>
      <c r="D490" s="23" t="s">
        <v>5</v>
      </c>
      <c r="E490" s="24" t="s">
        <v>80</v>
      </c>
      <c r="F490" s="24" t="s">
        <v>107</v>
      </c>
    </row>
    <row r="491" spans="1:6" ht="90.75" customHeight="1" x14ac:dyDescent="0.2">
      <c r="A491" s="21">
        <f>+Dates!$D$10-70</f>
        <v>41793</v>
      </c>
      <c r="B491" s="21">
        <f>+Dates!$D$10-70</f>
        <v>41793</v>
      </c>
      <c r="C491" s="22" t="s">
        <v>720</v>
      </c>
      <c r="D491" s="23" t="s">
        <v>5</v>
      </c>
      <c r="E491" s="24" t="s">
        <v>289</v>
      </c>
      <c r="F491" s="24" t="s">
        <v>107</v>
      </c>
    </row>
    <row r="492" spans="1:6" ht="89.25" customHeight="1" x14ac:dyDescent="0.2">
      <c r="A492" s="21">
        <f>+Dates!$D$10-70</f>
        <v>41793</v>
      </c>
      <c r="B492" s="21">
        <f>+Dates!$D$10-70</f>
        <v>41793</v>
      </c>
      <c r="C492" s="22" t="s">
        <v>717</v>
      </c>
      <c r="D492" s="23" t="s">
        <v>5</v>
      </c>
      <c r="E492" s="24" t="s">
        <v>291</v>
      </c>
      <c r="F492" s="24" t="s">
        <v>107</v>
      </c>
    </row>
    <row r="493" spans="1:6" ht="94.5" customHeight="1" x14ac:dyDescent="0.2">
      <c r="A493" s="21">
        <f>+Dates!$D$10-70</f>
        <v>41793</v>
      </c>
      <c r="B493" s="21">
        <f>+Dates!$D$10-70</f>
        <v>41793</v>
      </c>
      <c r="C493" s="22" t="s">
        <v>721</v>
      </c>
      <c r="D493" s="23" t="s">
        <v>5</v>
      </c>
      <c r="E493" s="24" t="s">
        <v>301</v>
      </c>
      <c r="F493" s="24" t="s">
        <v>107</v>
      </c>
    </row>
    <row r="494" spans="1:6" ht="98.25" customHeight="1" x14ac:dyDescent="0.2">
      <c r="A494" s="21">
        <f>+Dates!$D$10-70</f>
        <v>41793</v>
      </c>
      <c r="B494" s="21">
        <f>+Dates!$D$10-70</f>
        <v>41793</v>
      </c>
      <c r="C494" s="22" t="s">
        <v>722</v>
      </c>
      <c r="D494" s="23" t="s">
        <v>5</v>
      </c>
      <c r="E494" s="24" t="s">
        <v>297</v>
      </c>
      <c r="F494" s="24" t="s">
        <v>107</v>
      </c>
    </row>
    <row r="495" spans="1:6" ht="98.25" customHeight="1" x14ac:dyDescent="0.2">
      <c r="A495" s="21">
        <f>+Dates!$D$10-70</f>
        <v>41793</v>
      </c>
      <c r="B495" s="21">
        <f>+Dates!$D$10-70</f>
        <v>41793</v>
      </c>
      <c r="C495" s="22" t="s">
        <v>723</v>
      </c>
      <c r="D495" s="23" t="s">
        <v>5</v>
      </c>
      <c r="E495" s="24" t="s">
        <v>333</v>
      </c>
      <c r="F495" s="24" t="s">
        <v>107</v>
      </c>
    </row>
    <row r="496" spans="1:6" ht="180.75" customHeight="1" x14ac:dyDescent="0.2">
      <c r="A496" s="21">
        <f>+Dates!$D$10-70</f>
        <v>41793</v>
      </c>
      <c r="B496" s="21">
        <f>+Dates!$D$10-70</f>
        <v>41793</v>
      </c>
      <c r="C496" s="22" t="s">
        <v>631</v>
      </c>
      <c r="D496" s="23" t="s">
        <v>214</v>
      </c>
      <c r="E496" s="24" t="s">
        <v>61</v>
      </c>
      <c r="F496" s="24" t="s">
        <v>111</v>
      </c>
    </row>
    <row r="497" spans="1:6" ht="163.5" customHeight="1" x14ac:dyDescent="0.2">
      <c r="A497" s="21">
        <f>+Dates!$D$10-70</f>
        <v>41793</v>
      </c>
      <c r="B497" s="21">
        <f>+Dates!$D$10-70</f>
        <v>41793</v>
      </c>
      <c r="C497" s="22" t="s">
        <v>630</v>
      </c>
      <c r="D497" s="23" t="s">
        <v>214</v>
      </c>
      <c r="E497" s="24" t="s">
        <v>292</v>
      </c>
      <c r="F497" s="24" t="s">
        <v>111</v>
      </c>
    </row>
    <row r="498" spans="1:6" ht="167.25" customHeight="1" x14ac:dyDescent="0.2">
      <c r="A498" s="21">
        <f>+Dates!$D$10-70</f>
        <v>41793</v>
      </c>
      <c r="B498" s="21">
        <f>+Dates!$D$10-70</f>
        <v>41793</v>
      </c>
      <c r="C498" s="22" t="s">
        <v>632</v>
      </c>
      <c r="D498" s="23" t="s">
        <v>214</v>
      </c>
      <c r="E498" s="24" t="s">
        <v>289</v>
      </c>
      <c r="F498" s="24" t="s">
        <v>111</v>
      </c>
    </row>
    <row r="499" spans="1:6" ht="176.25" customHeight="1" x14ac:dyDescent="0.2">
      <c r="A499" s="21">
        <f>+Dates!$D$10-70</f>
        <v>41793</v>
      </c>
      <c r="B499" s="21">
        <f>+Dates!$D$10-70</f>
        <v>41793</v>
      </c>
      <c r="C499" s="22" t="s">
        <v>633</v>
      </c>
      <c r="D499" s="23" t="s">
        <v>214</v>
      </c>
      <c r="E499" s="24" t="s">
        <v>291</v>
      </c>
      <c r="F499" s="24" t="s">
        <v>111</v>
      </c>
    </row>
    <row r="500" spans="1:6" ht="173.25" customHeight="1" x14ac:dyDescent="0.2">
      <c r="A500" s="21">
        <f>+Dates!$D$10-70</f>
        <v>41793</v>
      </c>
      <c r="B500" s="21">
        <f>+Dates!$D$10-70</f>
        <v>41793</v>
      </c>
      <c r="C500" s="22" t="s">
        <v>634</v>
      </c>
      <c r="D500" s="23" t="s">
        <v>214</v>
      </c>
      <c r="E500" s="24" t="s">
        <v>301</v>
      </c>
      <c r="F500" s="24" t="s">
        <v>111</v>
      </c>
    </row>
    <row r="501" spans="1:6" ht="169.5" customHeight="1" x14ac:dyDescent="0.2">
      <c r="A501" s="21">
        <f>+Dates!$D$10-70</f>
        <v>41793</v>
      </c>
      <c r="B501" s="21">
        <f>+Dates!$D$10-70</f>
        <v>41793</v>
      </c>
      <c r="C501" s="22" t="s">
        <v>635</v>
      </c>
      <c r="D501" s="23" t="s">
        <v>214</v>
      </c>
      <c r="E501" s="24" t="s">
        <v>186</v>
      </c>
      <c r="F501" s="24" t="s">
        <v>111</v>
      </c>
    </row>
    <row r="502" spans="1:6" ht="172.5" customHeight="1" x14ac:dyDescent="0.2">
      <c r="A502" s="21">
        <f>+Dates!$D$10-70</f>
        <v>41793</v>
      </c>
      <c r="B502" s="21">
        <f>+Dates!$D$10-70</f>
        <v>41793</v>
      </c>
      <c r="C502" s="22" t="s">
        <v>1822</v>
      </c>
      <c r="D502" s="23" t="s">
        <v>214</v>
      </c>
      <c r="E502" s="24" t="s">
        <v>333</v>
      </c>
      <c r="F502" s="24" t="s">
        <v>111</v>
      </c>
    </row>
    <row r="503" spans="1:6" ht="177.75" customHeight="1" x14ac:dyDescent="0.2">
      <c r="A503" s="21">
        <f>+Dates!$D$10-70</f>
        <v>41793</v>
      </c>
      <c r="B503" s="21">
        <f>+Dates!$D$10-70</f>
        <v>41793</v>
      </c>
      <c r="C503" s="22" t="s">
        <v>636</v>
      </c>
      <c r="D503" s="23" t="s">
        <v>214</v>
      </c>
      <c r="E503" s="24" t="s">
        <v>292</v>
      </c>
      <c r="F503" s="24" t="s">
        <v>111</v>
      </c>
    </row>
    <row r="504" spans="1:6" ht="90.75" customHeight="1" x14ac:dyDescent="0.2">
      <c r="A504" s="21">
        <f>+Dates!$D$10-68</f>
        <v>41795</v>
      </c>
      <c r="B504" s="21">
        <f>+Dates!$D$10-68</f>
        <v>41795</v>
      </c>
      <c r="C504" s="22" t="s">
        <v>357</v>
      </c>
      <c r="D504" s="23" t="s">
        <v>218</v>
      </c>
      <c r="E504" s="24" t="s">
        <v>61</v>
      </c>
      <c r="F504" s="24" t="s">
        <v>299</v>
      </c>
    </row>
    <row r="505" spans="1:6" ht="91.5" customHeight="1" x14ac:dyDescent="0.2">
      <c r="A505" s="21">
        <f>+Dates!$D$10-68</f>
        <v>41795</v>
      </c>
      <c r="B505" s="21">
        <f>+Dates!$D$10-68</f>
        <v>41795</v>
      </c>
      <c r="C505" s="22" t="s">
        <v>744</v>
      </c>
      <c r="D505" s="23" t="s">
        <v>218</v>
      </c>
      <c r="E505" s="24" t="s">
        <v>135</v>
      </c>
      <c r="F505" s="24" t="s">
        <v>299</v>
      </c>
    </row>
    <row r="506" spans="1:6" ht="87.75" customHeight="1" x14ac:dyDescent="0.2">
      <c r="A506" s="21">
        <f>+Dates!$D$10-68</f>
        <v>41795</v>
      </c>
      <c r="B506" s="21">
        <f>+Dates!$D$10-68</f>
        <v>41795</v>
      </c>
      <c r="C506" s="22" t="s">
        <v>225</v>
      </c>
      <c r="D506" s="23" t="s">
        <v>218</v>
      </c>
      <c r="E506" s="24" t="s">
        <v>391</v>
      </c>
      <c r="F506" s="24" t="s">
        <v>299</v>
      </c>
    </row>
    <row r="507" spans="1:6" ht="87.75" customHeight="1" x14ac:dyDescent="0.2">
      <c r="A507" s="21">
        <f>+Dates!$D$10-68</f>
        <v>41795</v>
      </c>
      <c r="B507" s="21">
        <f>+Dates!$D$10-68</f>
        <v>41795</v>
      </c>
      <c r="C507" s="22" t="s">
        <v>356</v>
      </c>
      <c r="D507" s="23" t="s">
        <v>218</v>
      </c>
      <c r="E507" s="24" t="s">
        <v>292</v>
      </c>
      <c r="F507" s="24" t="s">
        <v>299</v>
      </c>
    </row>
    <row r="508" spans="1:6" ht="105" customHeight="1" x14ac:dyDescent="0.2">
      <c r="A508" s="21">
        <f>+Dates!$D$10-68</f>
        <v>41795</v>
      </c>
      <c r="B508" s="21">
        <f>+Dates!$D$10-68</f>
        <v>41795</v>
      </c>
      <c r="C508" s="22" t="s">
        <v>384</v>
      </c>
      <c r="D508" s="23" t="s">
        <v>218</v>
      </c>
      <c r="E508" s="24" t="s">
        <v>1062</v>
      </c>
      <c r="F508" s="24" t="s">
        <v>299</v>
      </c>
    </row>
    <row r="509" spans="1:6" ht="89.25" customHeight="1" x14ac:dyDescent="0.2">
      <c r="A509" s="21">
        <f>+Dates!$D$10-68</f>
        <v>41795</v>
      </c>
      <c r="B509" s="21">
        <f>+Dates!$D$10-68</f>
        <v>41795</v>
      </c>
      <c r="C509" s="22" t="s">
        <v>355</v>
      </c>
      <c r="D509" s="23" t="s">
        <v>109</v>
      </c>
      <c r="E509" s="24" t="s">
        <v>289</v>
      </c>
      <c r="F509" s="24" t="s">
        <v>299</v>
      </c>
    </row>
    <row r="510" spans="1:6" ht="105" customHeight="1" x14ac:dyDescent="0.2">
      <c r="A510" s="21">
        <f>+Dates!$D$10-68</f>
        <v>41795</v>
      </c>
      <c r="B510" s="21">
        <f>+Dates!$D$10-68</f>
        <v>41795</v>
      </c>
      <c r="C510" s="22" t="s">
        <v>193</v>
      </c>
      <c r="D510" s="23" t="s">
        <v>217</v>
      </c>
      <c r="E510" s="24" t="s">
        <v>333</v>
      </c>
      <c r="F510" s="24" t="s">
        <v>299</v>
      </c>
    </row>
    <row r="511" spans="1:6" ht="64.5" customHeight="1" x14ac:dyDescent="0.2">
      <c r="A511" s="21">
        <f>+Dates!$D$10-68</f>
        <v>41795</v>
      </c>
      <c r="B511" s="21">
        <f>+Dates!$D$10-68</f>
        <v>41795</v>
      </c>
      <c r="C511" s="22" t="s">
        <v>641</v>
      </c>
      <c r="D511" s="23" t="s">
        <v>435</v>
      </c>
      <c r="E511" s="24" t="s">
        <v>80</v>
      </c>
      <c r="F511" s="24" t="s">
        <v>299</v>
      </c>
    </row>
    <row r="512" spans="1:6" ht="76.5" customHeight="1" x14ac:dyDescent="0.2">
      <c r="A512" s="21">
        <f>+Dates!$D$10-68</f>
        <v>41795</v>
      </c>
      <c r="B512" s="21">
        <f>+Dates!$D$10-68</f>
        <v>41795</v>
      </c>
      <c r="C512" s="22" t="s">
        <v>642</v>
      </c>
      <c r="D512" s="23" t="s">
        <v>435</v>
      </c>
      <c r="E512" s="24" t="s">
        <v>289</v>
      </c>
      <c r="F512" s="24" t="s">
        <v>299</v>
      </c>
    </row>
    <row r="513" spans="1:6" ht="81" customHeight="1" x14ac:dyDescent="0.2">
      <c r="A513" s="21">
        <f>+Dates!$D$10-68</f>
        <v>41795</v>
      </c>
      <c r="B513" s="21">
        <f>+Dates!$D$10-68</f>
        <v>41795</v>
      </c>
      <c r="C513" s="22" t="s">
        <v>643</v>
      </c>
      <c r="D513" s="23" t="s">
        <v>436</v>
      </c>
      <c r="E513" s="24" t="s">
        <v>333</v>
      </c>
      <c r="F513" s="24" t="s">
        <v>299</v>
      </c>
    </row>
    <row r="514" spans="1:6" ht="184.5" customHeight="1" x14ac:dyDescent="0.2">
      <c r="A514" s="21">
        <f>+Dates!$D$10-67</f>
        <v>41796</v>
      </c>
      <c r="B514" s="21">
        <f>+Dates!$D$10-67</f>
        <v>41796</v>
      </c>
      <c r="C514" s="22" t="s">
        <v>637</v>
      </c>
      <c r="D514" s="23" t="s">
        <v>216</v>
      </c>
      <c r="E514" s="24" t="s">
        <v>61</v>
      </c>
      <c r="F514" s="24" t="s">
        <v>118</v>
      </c>
    </row>
    <row r="515" spans="1:6" ht="192" customHeight="1" x14ac:dyDescent="0.2">
      <c r="A515" s="21">
        <f>+Dates!$D$10-67</f>
        <v>41796</v>
      </c>
      <c r="B515" s="21">
        <f>+Dates!$D$10-67</f>
        <v>41796</v>
      </c>
      <c r="C515" s="22" t="s">
        <v>638</v>
      </c>
      <c r="D515" s="23" t="s">
        <v>216</v>
      </c>
      <c r="E515" s="24" t="s">
        <v>80</v>
      </c>
      <c r="F515" s="24" t="s">
        <v>118</v>
      </c>
    </row>
    <row r="516" spans="1:6" ht="186.75" customHeight="1" x14ac:dyDescent="0.2">
      <c r="A516" s="21">
        <f>+Dates!$D$10-67</f>
        <v>41796</v>
      </c>
      <c r="B516" s="21">
        <f>+Dates!$D$10-67</f>
        <v>41796</v>
      </c>
      <c r="C516" s="22" t="s">
        <v>639</v>
      </c>
      <c r="D516" s="23" t="s">
        <v>216</v>
      </c>
      <c r="E516" s="24" t="s">
        <v>289</v>
      </c>
      <c r="F516" s="24" t="s">
        <v>118</v>
      </c>
    </row>
    <row r="517" spans="1:6" ht="206.25" customHeight="1" x14ac:dyDescent="0.2">
      <c r="A517" s="21">
        <f>+Dates!$D$10-67</f>
        <v>41796</v>
      </c>
      <c r="B517" s="21">
        <f>+Dates!$D$10-67</f>
        <v>41796</v>
      </c>
      <c r="C517" s="22" t="s">
        <v>640</v>
      </c>
      <c r="D517" s="23" t="s">
        <v>216</v>
      </c>
      <c r="E517" s="24" t="s">
        <v>333</v>
      </c>
      <c r="F517" s="24" t="s">
        <v>118</v>
      </c>
    </row>
    <row r="518" spans="1:6" ht="111" customHeight="1" x14ac:dyDescent="0.2">
      <c r="A518" s="21">
        <f>+Dates!$D$10-67</f>
        <v>41796</v>
      </c>
      <c r="B518" s="21">
        <f>+Dates!$D$10-42</f>
        <v>41821</v>
      </c>
      <c r="C518" s="22" t="s">
        <v>647</v>
      </c>
      <c r="D518" s="23" t="s">
        <v>437</v>
      </c>
      <c r="E518" s="24" t="s">
        <v>61</v>
      </c>
      <c r="F518" s="24" t="s">
        <v>299</v>
      </c>
    </row>
    <row r="519" spans="1:6" ht="102" customHeight="1" x14ac:dyDescent="0.2">
      <c r="A519" s="21">
        <f>+Dates!$D$10-67</f>
        <v>41796</v>
      </c>
      <c r="B519" s="21">
        <f>+Dates!$D$10-42</f>
        <v>41821</v>
      </c>
      <c r="C519" s="22" t="s">
        <v>648</v>
      </c>
      <c r="D519" s="23" t="s">
        <v>437</v>
      </c>
      <c r="E519" s="24" t="s">
        <v>80</v>
      </c>
      <c r="F519" s="24" t="s">
        <v>299</v>
      </c>
    </row>
    <row r="520" spans="1:6" ht="148.5" customHeight="1" x14ac:dyDescent="0.2">
      <c r="A520" s="21">
        <f>+Dates!$D$10-61</f>
        <v>41802</v>
      </c>
      <c r="B520" s="21">
        <f>+Dates!$D$10-61</f>
        <v>41802</v>
      </c>
      <c r="C520" s="22" t="s">
        <v>1802</v>
      </c>
      <c r="D520" s="23" t="s">
        <v>36</v>
      </c>
      <c r="E520" s="24" t="s">
        <v>61</v>
      </c>
      <c r="F520" s="24" t="s">
        <v>306</v>
      </c>
    </row>
    <row r="521" spans="1:6" ht="139.5" customHeight="1" x14ac:dyDescent="0.2">
      <c r="A521" s="21">
        <f>+Dates!$D$10-61</f>
        <v>41802</v>
      </c>
      <c r="B521" s="21">
        <f>+Dates!$D$10-61</f>
        <v>41802</v>
      </c>
      <c r="C521" s="22" t="s">
        <v>1803</v>
      </c>
      <c r="D521" s="23" t="s">
        <v>36</v>
      </c>
      <c r="E521" s="24" t="s">
        <v>292</v>
      </c>
      <c r="F521" s="24" t="s">
        <v>306</v>
      </c>
    </row>
    <row r="522" spans="1:6" ht="163.5" customHeight="1" x14ac:dyDescent="0.2">
      <c r="A522" s="21">
        <f>+Dates!$D$10-61</f>
        <v>41802</v>
      </c>
      <c r="B522" s="21">
        <f>+Dates!$D$10-61</f>
        <v>41802</v>
      </c>
      <c r="C522" s="22" t="s">
        <v>1804</v>
      </c>
      <c r="D522" s="23" t="s">
        <v>36</v>
      </c>
      <c r="E522" s="24" t="s">
        <v>289</v>
      </c>
      <c r="F522" s="24" t="s">
        <v>306</v>
      </c>
    </row>
    <row r="523" spans="1:6" ht="156" customHeight="1" x14ac:dyDescent="0.2">
      <c r="A523" s="21">
        <f>+Dates!$D$10-61</f>
        <v>41802</v>
      </c>
      <c r="B523" s="21">
        <f>+Dates!$D$10-61</f>
        <v>41802</v>
      </c>
      <c r="C523" s="22" t="s">
        <v>1805</v>
      </c>
      <c r="D523" s="23" t="s">
        <v>36</v>
      </c>
      <c r="E523" s="24" t="s">
        <v>291</v>
      </c>
      <c r="F523" s="24" t="s">
        <v>306</v>
      </c>
    </row>
    <row r="524" spans="1:6" ht="153" customHeight="1" x14ac:dyDescent="0.2">
      <c r="A524" s="21">
        <f>+Dates!$D$10-61</f>
        <v>41802</v>
      </c>
      <c r="B524" s="21">
        <f>+Dates!$D$10-61</f>
        <v>41802</v>
      </c>
      <c r="C524" s="22" t="s">
        <v>1806</v>
      </c>
      <c r="D524" s="23" t="s">
        <v>36</v>
      </c>
      <c r="E524" s="24" t="s">
        <v>301</v>
      </c>
      <c r="F524" s="24" t="s">
        <v>306</v>
      </c>
    </row>
    <row r="525" spans="1:6" ht="159" customHeight="1" x14ac:dyDescent="0.2">
      <c r="A525" s="21">
        <f>+Dates!$D$10-61</f>
        <v>41802</v>
      </c>
      <c r="B525" s="21">
        <f>+Dates!$D$10-61</f>
        <v>41802</v>
      </c>
      <c r="C525" s="22" t="s">
        <v>1807</v>
      </c>
      <c r="D525" s="23" t="s">
        <v>36</v>
      </c>
      <c r="E525" s="24" t="s">
        <v>297</v>
      </c>
      <c r="F525" s="24" t="s">
        <v>306</v>
      </c>
    </row>
    <row r="526" spans="1:6" ht="93" customHeight="1" x14ac:dyDescent="0.2">
      <c r="A526" s="21">
        <f>+Dates!$D$10-60</f>
        <v>41803</v>
      </c>
      <c r="B526" s="21">
        <f>+Dates!$D$10-60</f>
        <v>41803</v>
      </c>
      <c r="C526" s="22" t="s">
        <v>671</v>
      </c>
      <c r="D526" s="23" t="s">
        <v>231</v>
      </c>
      <c r="E526" s="24" t="s">
        <v>61</v>
      </c>
      <c r="F526" s="24" t="s">
        <v>306</v>
      </c>
    </row>
    <row r="527" spans="1:6" ht="93" customHeight="1" x14ac:dyDescent="0.2">
      <c r="A527" s="21">
        <f>+Dates!$D$10-60</f>
        <v>41803</v>
      </c>
      <c r="B527" s="21">
        <f>+Dates!$D$10-60</f>
        <v>41803</v>
      </c>
      <c r="C527" s="22" t="s">
        <v>672</v>
      </c>
      <c r="D527" s="23" t="s">
        <v>231</v>
      </c>
      <c r="E527" s="24" t="s">
        <v>80</v>
      </c>
      <c r="F527" s="24" t="s">
        <v>306</v>
      </c>
    </row>
    <row r="528" spans="1:6" ht="102" customHeight="1" x14ac:dyDescent="0.2">
      <c r="A528" s="21">
        <f>+Dates!$D$10-60</f>
        <v>41803</v>
      </c>
      <c r="B528" s="21">
        <f>+Dates!$D$10-60</f>
        <v>41803</v>
      </c>
      <c r="C528" s="22" t="s">
        <v>673</v>
      </c>
      <c r="D528" s="23" t="s">
        <v>231</v>
      </c>
      <c r="E528" s="24" t="s">
        <v>289</v>
      </c>
      <c r="F528" s="24" t="s">
        <v>306</v>
      </c>
    </row>
    <row r="529" spans="1:6" ht="92.25" customHeight="1" x14ac:dyDescent="0.2">
      <c r="A529" s="21">
        <f>+Dates!$D$10-60</f>
        <v>41803</v>
      </c>
      <c r="B529" s="21">
        <f>+Dates!$D$10-60</f>
        <v>41803</v>
      </c>
      <c r="C529" s="22" t="s">
        <v>674</v>
      </c>
      <c r="D529" s="23" t="s">
        <v>231</v>
      </c>
      <c r="E529" s="24" t="s">
        <v>291</v>
      </c>
      <c r="F529" s="24" t="s">
        <v>306</v>
      </c>
    </row>
    <row r="530" spans="1:6" ht="110.25" customHeight="1" x14ac:dyDescent="0.2">
      <c r="A530" s="21">
        <f>+Dates!$D$10-60</f>
        <v>41803</v>
      </c>
      <c r="B530" s="21">
        <f>+Dates!$D$10-60</f>
        <v>41803</v>
      </c>
      <c r="C530" s="22" t="s">
        <v>675</v>
      </c>
      <c r="D530" s="23" t="s">
        <v>231</v>
      </c>
      <c r="E530" s="24" t="s">
        <v>301</v>
      </c>
      <c r="F530" s="24" t="s">
        <v>306</v>
      </c>
    </row>
    <row r="531" spans="1:6" ht="110.25" customHeight="1" x14ac:dyDescent="0.2">
      <c r="A531" s="21">
        <f>+Dates!$D$10-60</f>
        <v>41803</v>
      </c>
      <c r="B531" s="21">
        <f>+Dates!$D$10-60</f>
        <v>41803</v>
      </c>
      <c r="C531" s="22" t="s">
        <v>676</v>
      </c>
      <c r="D531" s="23" t="s">
        <v>231</v>
      </c>
      <c r="E531" s="24" t="s">
        <v>297</v>
      </c>
      <c r="F531" s="24" t="s">
        <v>306</v>
      </c>
    </row>
    <row r="532" spans="1:6" ht="131.25" customHeight="1" x14ac:dyDescent="0.2">
      <c r="A532" s="21">
        <f>+Dates!$D$10-60</f>
        <v>41803</v>
      </c>
      <c r="B532" s="21">
        <f>+Dates!$D$10-60</f>
        <v>41803</v>
      </c>
      <c r="C532" s="22" t="s">
        <v>1823</v>
      </c>
      <c r="D532" s="23" t="s">
        <v>49</v>
      </c>
      <c r="E532" s="24" t="s">
        <v>61</v>
      </c>
      <c r="F532" s="24" t="s">
        <v>305</v>
      </c>
    </row>
    <row r="533" spans="1:6" ht="114" customHeight="1" x14ac:dyDescent="0.2">
      <c r="A533" s="21">
        <f>+Dates!$D$10-60</f>
        <v>41803</v>
      </c>
      <c r="B533" s="21">
        <f>+Dates!$D$10-60</f>
        <v>41803</v>
      </c>
      <c r="C533" s="22" t="s">
        <v>1824</v>
      </c>
      <c r="D533" s="23" t="s">
        <v>26</v>
      </c>
      <c r="E533" s="24" t="s">
        <v>292</v>
      </c>
      <c r="F533" s="24" t="s">
        <v>305</v>
      </c>
    </row>
    <row r="534" spans="1:6" ht="128.25" customHeight="1" x14ac:dyDescent="0.2">
      <c r="A534" s="21">
        <f>+Dates!$D$10-60</f>
        <v>41803</v>
      </c>
      <c r="B534" s="21">
        <f>+Dates!$D$10-60</f>
        <v>41803</v>
      </c>
      <c r="C534" s="22" t="s">
        <v>1825</v>
      </c>
      <c r="D534" s="23" t="s">
        <v>447</v>
      </c>
      <c r="E534" s="24" t="s">
        <v>289</v>
      </c>
      <c r="F534" s="24" t="s">
        <v>305</v>
      </c>
    </row>
    <row r="535" spans="1:6" ht="122.25" customHeight="1" x14ac:dyDescent="0.2">
      <c r="A535" s="21">
        <f>+Dates!$D$10-60</f>
        <v>41803</v>
      </c>
      <c r="B535" s="21">
        <f>+Dates!$D$10-60</f>
        <v>41803</v>
      </c>
      <c r="C535" s="22" t="s">
        <v>1826</v>
      </c>
      <c r="D535" s="23" t="s">
        <v>52</v>
      </c>
      <c r="E535" s="24" t="s">
        <v>291</v>
      </c>
      <c r="F535" s="24" t="s">
        <v>305</v>
      </c>
    </row>
    <row r="536" spans="1:6" ht="123" customHeight="1" x14ac:dyDescent="0.2">
      <c r="A536" s="21">
        <f>+Dates!$D$10-60</f>
        <v>41803</v>
      </c>
      <c r="B536" s="21">
        <f>+Dates!$D$10-60</f>
        <v>41803</v>
      </c>
      <c r="C536" s="22" t="s">
        <v>1827</v>
      </c>
      <c r="D536" s="23" t="s">
        <v>51</v>
      </c>
      <c r="E536" s="24" t="s">
        <v>301</v>
      </c>
      <c r="F536" s="24" t="s">
        <v>305</v>
      </c>
    </row>
    <row r="537" spans="1:6" ht="127.5" customHeight="1" x14ac:dyDescent="0.2">
      <c r="A537" s="21">
        <f>+Dates!$D$10-60</f>
        <v>41803</v>
      </c>
      <c r="B537" s="21">
        <f>+Dates!$D$10-60</f>
        <v>41803</v>
      </c>
      <c r="C537" s="22" t="s">
        <v>1828</v>
      </c>
      <c r="D537" s="23" t="s">
        <v>50</v>
      </c>
      <c r="E537" s="24" t="s">
        <v>297</v>
      </c>
      <c r="F537" s="24" t="s">
        <v>305</v>
      </c>
    </row>
    <row r="538" spans="1:6" ht="131.25" customHeight="1" x14ac:dyDescent="0.2">
      <c r="A538" s="21">
        <f>+Dates!$D$10-60</f>
        <v>41803</v>
      </c>
      <c r="B538" s="21">
        <f>+Dates!$D$10-60</f>
        <v>41803</v>
      </c>
      <c r="C538" s="22" t="s">
        <v>1426</v>
      </c>
      <c r="D538" s="23" t="s">
        <v>87</v>
      </c>
      <c r="E538" s="24" t="s">
        <v>333</v>
      </c>
      <c r="F538" s="24" t="s">
        <v>305</v>
      </c>
    </row>
    <row r="539" spans="1:6" ht="148.5" customHeight="1" x14ac:dyDescent="0.2">
      <c r="A539" s="21">
        <f>+Dates!$D$10-60</f>
        <v>41803</v>
      </c>
      <c r="B539" s="21">
        <f>+Dates!$D$10-60</f>
        <v>41803</v>
      </c>
      <c r="C539" s="22" t="s">
        <v>89</v>
      </c>
      <c r="D539" s="23" t="s">
        <v>51</v>
      </c>
      <c r="E539" s="24" t="s">
        <v>160</v>
      </c>
      <c r="F539" s="24" t="s">
        <v>305</v>
      </c>
    </row>
    <row r="540" spans="1:6" ht="88.5" customHeight="1" x14ac:dyDescent="0.2">
      <c r="A540" s="21">
        <v>41803</v>
      </c>
      <c r="B540" s="21">
        <v>41803</v>
      </c>
      <c r="C540" s="22" t="s">
        <v>883</v>
      </c>
      <c r="D540" s="23" t="s">
        <v>884</v>
      </c>
      <c r="E540" s="24" t="s">
        <v>61</v>
      </c>
      <c r="F540" s="24" t="s">
        <v>241</v>
      </c>
    </row>
    <row r="541" spans="1:6" ht="80.25" customHeight="1" x14ac:dyDescent="0.2">
      <c r="A541" s="21">
        <v>41803</v>
      </c>
      <c r="B541" s="21">
        <v>41803</v>
      </c>
      <c r="C541" s="22" t="s">
        <v>885</v>
      </c>
      <c r="D541" s="23" t="s">
        <v>884</v>
      </c>
      <c r="E541" s="24" t="s">
        <v>80</v>
      </c>
      <c r="F541" s="24" t="s">
        <v>241</v>
      </c>
    </row>
    <row r="542" spans="1:6" ht="110.25" customHeight="1" x14ac:dyDescent="0.2">
      <c r="A542" s="21">
        <f>+Dates!$D$10-60</f>
        <v>41803</v>
      </c>
      <c r="B542" s="21">
        <f>+Dates!$D$11-4</f>
        <v>41943</v>
      </c>
      <c r="C542" s="22" t="s">
        <v>62</v>
      </c>
      <c r="D542" s="23" t="s">
        <v>145</v>
      </c>
      <c r="E542" s="24" t="s">
        <v>61</v>
      </c>
      <c r="F542" s="24" t="s">
        <v>332</v>
      </c>
    </row>
    <row r="543" spans="1:6" ht="108.75" customHeight="1" x14ac:dyDescent="0.2">
      <c r="A543" s="21">
        <f>+Dates!$D$10-60</f>
        <v>41803</v>
      </c>
      <c r="B543" s="21">
        <f>+Dates!$D$11-4</f>
        <v>41943</v>
      </c>
      <c r="C543" s="22" t="s">
        <v>397</v>
      </c>
      <c r="D543" s="23" t="s">
        <v>145</v>
      </c>
      <c r="E543" s="24" t="s">
        <v>391</v>
      </c>
      <c r="F543" s="24" t="s">
        <v>332</v>
      </c>
    </row>
    <row r="544" spans="1:6" ht="112.5" customHeight="1" x14ac:dyDescent="0.2">
      <c r="A544" s="21">
        <f>+Dates!$D$10-60</f>
        <v>41803</v>
      </c>
      <c r="B544" s="21">
        <f>+Dates!$D$11-4</f>
        <v>41943</v>
      </c>
      <c r="C544" s="22" t="s">
        <v>144</v>
      </c>
      <c r="D544" s="23" t="s">
        <v>145</v>
      </c>
      <c r="E544" s="24" t="s">
        <v>292</v>
      </c>
      <c r="F544" s="24" t="s">
        <v>332</v>
      </c>
    </row>
    <row r="545" spans="1:6" ht="120" customHeight="1" x14ac:dyDescent="0.2">
      <c r="A545" s="21">
        <f>+Dates!$D$10-60</f>
        <v>41803</v>
      </c>
      <c r="B545" s="21">
        <f>+Dates!$D$11-4</f>
        <v>41943</v>
      </c>
      <c r="C545" s="22" t="s">
        <v>1829</v>
      </c>
      <c r="D545" s="23" t="s">
        <v>145</v>
      </c>
      <c r="E545" s="24" t="s">
        <v>289</v>
      </c>
      <c r="F545" s="24" t="s">
        <v>332</v>
      </c>
    </row>
    <row r="546" spans="1:6" ht="111" customHeight="1" x14ac:dyDescent="0.2">
      <c r="A546" s="21">
        <f>+Dates!$D$10-60</f>
        <v>41803</v>
      </c>
      <c r="B546" s="21">
        <f>+Dates!$D$11-4</f>
        <v>41943</v>
      </c>
      <c r="C546" s="22" t="s">
        <v>312</v>
      </c>
      <c r="D546" s="23" t="s">
        <v>145</v>
      </c>
      <c r="E546" s="24" t="s">
        <v>291</v>
      </c>
      <c r="F546" s="24" t="s">
        <v>332</v>
      </c>
    </row>
    <row r="547" spans="1:6" ht="117.75" customHeight="1" x14ac:dyDescent="0.2">
      <c r="A547" s="21">
        <f>+Dates!$D$10-60</f>
        <v>41803</v>
      </c>
      <c r="B547" s="21">
        <f>+Dates!$D$11-4</f>
        <v>41943</v>
      </c>
      <c r="C547" s="22" t="s">
        <v>677</v>
      </c>
      <c r="D547" s="23" t="s">
        <v>145</v>
      </c>
      <c r="E547" s="24" t="s">
        <v>301</v>
      </c>
      <c r="F547" s="24" t="s">
        <v>332</v>
      </c>
    </row>
    <row r="548" spans="1:6" ht="120" customHeight="1" x14ac:dyDescent="0.2">
      <c r="A548" s="21">
        <f>+Dates!$D$10-60</f>
        <v>41803</v>
      </c>
      <c r="B548" s="21">
        <f>+Dates!$D$11-4</f>
        <v>41943</v>
      </c>
      <c r="C548" s="22" t="s">
        <v>64</v>
      </c>
      <c r="D548" s="23" t="s">
        <v>145</v>
      </c>
      <c r="E548" s="24" t="s">
        <v>297</v>
      </c>
      <c r="F548" s="24" t="s">
        <v>332</v>
      </c>
    </row>
    <row r="549" spans="1:6" ht="139.5" customHeight="1" x14ac:dyDescent="0.2">
      <c r="A549" s="21">
        <f>+Dates!$D$10-56</f>
        <v>41807</v>
      </c>
      <c r="B549" s="21">
        <f>+Dates!$D$11+56</f>
        <v>42003</v>
      </c>
      <c r="C549" s="22" t="s">
        <v>742</v>
      </c>
      <c r="D549" s="23" t="s">
        <v>18</v>
      </c>
      <c r="E549" s="24" t="s">
        <v>61</v>
      </c>
      <c r="F549" s="24" t="s">
        <v>17</v>
      </c>
    </row>
    <row r="550" spans="1:6" ht="126.75" customHeight="1" x14ac:dyDescent="0.2">
      <c r="A550" s="21">
        <f>+Dates!$D$10-56</f>
        <v>41807</v>
      </c>
      <c r="B550" s="21">
        <f>+Dates!$D$11+56</f>
        <v>42003</v>
      </c>
      <c r="C550" s="22" t="s">
        <v>743</v>
      </c>
      <c r="D550" s="23" t="s">
        <v>18</v>
      </c>
      <c r="E550" s="24" t="s">
        <v>80</v>
      </c>
      <c r="F550" s="24" t="s">
        <v>17</v>
      </c>
    </row>
    <row r="551" spans="1:6" ht="150" customHeight="1" x14ac:dyDescent="0.2">
      <c r="A551" s="21">
        <f>+Dates!$D$10-56</f>
        <v>41807</v>
      </c>
      <c r="B551" s="21">
        <f>+Dates!$D$11+56</f>
        <v>42003</v>
      </c>
      <c r="C551" s="22" t="s">
        <v>740</v>
      </c>
      <c r="D551" s="23" t="s">
        <v>18</v>
      </c>
      <c r="E551" s="24" t="s">
        <v>333</v>
      </c>
      <c r="F551" s="24" t="s">
        <v>17</v>
      </c>
    </row>
    <row r="552" spans="1:6" ht="144" customHeight="1" x14ac:dyDescent="0.2">
      <c r="A552" s="21">
        <f>+Dates!$D$10-56</f>
        <v>41807</v>
      </c>
      <c r="B552" s="21">
        <f>+Dates!$D$11+56</f>
        <v>42003</v>
      </c>
      <c r="C552" s="22" t="s">
        <v>741</v>
      </c>
      <c r="D552" s="23" t="s">
        <v>18</v>
      </c>
      <c r="E552" s="24" t="s">
        <v>160</v>
      </c>
      <c r="F552" s="24" t="s">
        <v>17</v>
      </c>
    </row>
    <row r="553" spans="1:6" ht="144.75" customHeight="1" x14ac:dyDescent="0.2">
      <c r="A553" s="21">
        <f>+Dates!$D$10-56</f>
        <v>41807</v>
      </c>
      <c r="B553" s="21">
        <f>+Dates!$D$11+56</f>
        <v>42003</v>
      </c>
      <c r="C553" s="22" t="s">
        <v>737</v>
      </c>
      <c r="D553" s="23" t="s">
        <v>16</v>
      </c>
      <c r="E553" s="24" t="s">
        <v>61</v>
      </c>
      <c r="F553" s="24" t="s">
        <v>17</v>
      </c>
    </row>
    <row r="554" spans="1:6" ht="124.5" customHeight="1" x14ac:dyDescent="0.2">
      <c r="A554" s="21">
        <f>+Dates!$D$10-56</f>
        <v>41807</v>
      </c>
      <c r="B554" s="21">
        <f>+Dates!$D$11+56</f>
        <v>42003</v>
      </c>
      <c r="C554" s="22" t="s">
        <v>738</v>
      </c>
      <c r="D554" s="23" t="s">
        <v>16</v>
      </c>
      <c r="E554" s="24" t="s">
        <v>80</v>
      </c>
      <c r="F554" s="24" t="s">
        <v>17</v>
      </c>
    </row>
    <row r="555" spans="1:6" ht="139.5" customHeight="1" x14ac:dyDescent="0.2">
      <c r="A555" s="21">
        <f>+Dates!$D$10-56</f>
        <v>41807</v>
      </c>
      <c r="B555" s="21">
        <f>+Dates!$D$11+56</f>
        <v>42003</v>
      </c>
      <c r="C555" s="22" t="s">
        <v>739</v>
      </c>
      <c r="D555" s="23" t="s">
        <v>16</v>
      </c>
      <c r="E555" s="24" t="s">
        <v>295</v>
      </c>
      <c r="F555" s="24" t="s">
        <v>17</v>
      </c>
    </row>
    <row r="556" spans="1:6" ht="72" customHeight="1" x14ac:dyDescent="0.2">
      <c r="A556" s="21">
        <f>+Dates!$D$10-48</f>
        <v>41815</v>
      </c>
      <c r="B556" s="21">
        <f>+Dates!$D$10-48</f>
        <v>41815</v>
      </c>
      <c r="C556" s="22" t="s">
        <v>680</v>
      </c>
      <c r="D556" s="23" t="s">
        <v>428</v>
      </c>
      <c r="E556" s="24" t="s">
        <v>61</v>
      </c>
      <c r="F556" s="24" t="s">
        <v>195</v>
      </c>
    </row>
    <row r="557" spans="1:6" ht="68.25" customHeight="1" x14ac:dyDescent="0.2">
      <c r="A557" s="21">
        <f>+Dates!$D$10-48</f>
        <v>41815</v>
      </c>
      <c r="B557" s="21">
        <f>+Dates!$D$10-48</f>
        <v>41815</v>
      </c>
      <c r="C557" s="22" t="s">
        <v>681</v>
      </c>
      <c r="D557" s="23" t="s">
        <v>428</v>
      </c>
      <c r="E557" s="24" t="s">
        <v>80</v>
      </c>
      <c r="F557" s="24" t="s">
        <v>195</v>
      </c>
    </row>
    <row r="558" spans="1:6" ht="120.75" customHeight="1" x14ac:dyDescent="0.2">
      <c r="A558" s="21">
        <f>+Dates!$D$10-46</f>
        <v>41817</v>
      </c>
      <c r="B558" s="21">
        <f>+Dates!$D$10-46</f>
        <v>41817</v>
      </c>
      <c r="C558" s="22" t="s">
        <v>799</v>
      </c>
      <c r="D558" s="23" t="s">
        <v>240</v>
      </c>
      <c r="E558" s="24" t="s">
        <v>61</v>
      </c>
      <c r="F558" s="24" t="s">
        <v>103</v>
      </c>
    </row>
    <row r="559" spans="1:6" ht="121.5" customHeight="1" x14ac:dyDescent="0.2">
      <c r="A559" s="21">
        <f>+Dates!$D$10-46</f>
        <v>41817</v>
      </c>
      <c r="B559" s="21">
        <f>+Dates!$D$10-46</f>
        <v>41817</v>
      </c>
      <c r="C559" s="22" t="s">
        <v>800</v>
      </c>
      <c r="D559" s="23" t="s">
        <v>240</v>
      </c>
      <c r="E559" s="24" t="s">
        <v>391</v>
      </c>
      <c r="F559" s="24" t="s">
        <v>103</v>
      </c>
    </row>
    <row r="560" spans="1:6" ht="120" customHeight="1" x14ac:dyDescent="0.2">
      <c r="A560" s="21">
        <f>+Dates!$D$10-46</f>
        <v>41817</v>
      </c>
      <c r="B560" s="21">
        <f>+Dates!$D$10-46</f>
        <v>41817</v>
      </c>
      <c r="C560" s="22" t="s">
        <v>801</v>
      </c>
      <c r="D560" s="23" t="s">
        <v>240</v>
      </c>
      <c r="E560" s="24" t="s">
        <v>80</v>
      </c>
      <c r="F560" s="24" t="s">
        <v>103</v>
      </c>
    </row>
    <row r="561" spans="1:6" ht="134.25" customHeight="1" x14ac:dyDescent="0.2">
      <c r="A561" s="21">
        <f>+Dates!$D$10-46</f>
        <v>41817</v>
      </c>
      <c r="B561" s="21">
        <f>+Dates!$D$10-46</f>
        <v>41817</v>
      </c>
      <c r="C561" s="22" t="s">
        <v>802</v>
      </c>
      <c r="D561" s="23" t="s">
        <v>240</v>
      </c>
      <c r="E561" s="24" t="s">
        <v>289</v>
      </c>
      <c r="F561" s="24" t="s">
        <v>103</v>
      </c>
    </row>
    <row r="562" spans="1:6" ht="135.75" customHeight="1" x14ac:dyDescent="0.2">
      <c r="A562" s="21">
        <f>+Dates!$D$10-46</f>
        <v>41817</v>
      </c>
      <c r="B562" s="21">
        <f>+Dates!$D$10-46</f>
        <v>41817</v>
      </c>
      <c r="C562" s="22" t="s">
        <v>803</v>
      </c>
      <c r="D562" s="23" t="s">
        <v>240</v>
      </c>
      <c r="E562" s="24" t="s">
        <v>291</v>
      </c>
      <c r="F562" s="24" t="s">
        <v>103</v>
      </c>
    </row>
    <row r="563" spans="1:6" ht="126.75" customHeight="1" x14ac:dyDescent="0.2">
      <c r="A563" s="21">
        <f>+Dates!$D$10-46</f>
        <v>41817</v>
      </c>
      <c r="B563" s="21">
        <f>+Dates!$D$10-46</f>
        <v>41817</v>
      </c>
      <c r="C563" s="22" t="s">
        <v>804</v>
      </c>
      <c r="D563" s="23" t="s">
        <v>240</v>
      </c>
      <c r="E563" s="24" t="s">
        <v>301</v>
      </c>
      <c r="F563" s="24" t="s">
        <v>103</v>
      </c>
    </row>
    <row r="564" spans="1:6" ht="126.75" customHeight="1" x14ac:dyDescent="0.2">
      <c r="A564" s="21">
        <f>+Dates!$D$10-46</f>
        <v>41817</v>
      </c>
      <c r="B564" s="21">
        <f>+Dates!$D$10-46</f>
        <v>41817</v>
      </c>
      <c r="C564" s="22" t="s">
        <v>806</v>
      </c>
      <c r="D564" s="23" t="s">
        <v>240</v>
      </c>
      <c r="E564" s="24" t="s">
        <v>333</v>
      </c>
      <c r="F564" s="24" t="s">
        <v>103</v>
      </c>
    </row>
    <row r="565" spans="1:6" ht="126" customHeight="1" x14ac:dyDescent="0.2">
      <c r="A565" s="21">
        <f>+Dates!$D$10-46</f>
        <v>41817</v>
      </c>
      <c r="B565" s="21">
        <f>+Dates!$D$10-46</f>
        <v>41817</v>
      </c>
      <c r="C565" s="22" t="s">
        <v>805</v>
      </c>
      <c r="D565" s="23" t="s">
        <v>240</v>
      </c>
      <c r="E565" s="24" t="s">
        <v>297</v>
      </c>
      <c r="F565" s="24" t="s">
        <v>103</v>
      </c>
    </row>
    <row r="566" spans="1:6" ht="105" customHeight="1" x14ac:dyDescent="0.2">
      <c r="A566" s="21">
        <f>+Dates!$D$10-46</f>
        <v>41817</v>
      </c>
      <c r="B566" s="21">
        <f>+Dates!$D$10-46</f>
        <v>41817</v>
      </c>
      <c r="C566" s="22" t="s">
        <v>659</v>
      </c>
      <c r="D566" s="23" t="s">
        <v>420</v>
      </c>
      <c r="E566" s="24" t="s">
        <v>61</v>
      </c>
      <c r="F566" s="24" t="s">
        <v>111</v>
      </c>
    </row>
    <row r="567" spans="1:6" ht="100.5" customHeight="1" x14ac:dyDescent="0.2">
      <c r="A567" s="21">
        <f>+Dates!$D$10-46</f>
        <v>41817</v>
      </c>
      <c r="B567" s="21">
        <f>+Dates!$D$10-46</f>
        <v>41817</v>
      </c>
      <c r="C567" s="22" t="s">
        <v>660</v>
      </c>
      <c r="D567" s="23" t="s">
        <v>420</v>
      </c>
      <c r="E567" s="24" t="s">
        <v>80</v>
      </c>
      <c r="F567" s="24" t="s">
        <v>111</v>
      </c>
    </row>
    <row r="568" spans="1:6" ht="114" customHeight="1" x14ac:dyDescent="0.2">
      <c r="A568" s="21">
        <f>+Dates!$D$10-46</f>
        <v>41817</v>
      </c>
      <c r="B568" s="21">
        <f>+Dates!$D$10-46</f>
        <v>41817</v>
      </c>
      <c r="C568" s="22" t="s">
        <v>661</v>
      </c>
      <c r="D568" s="23" t="s">
        <v>420</v>
      </c>
      <c r="E568" s="24" t="s">
        <v>289</v>
      </c>
      <c r="F568" s="24" t="s">
        <v>111</v>
      </c>
    </row>
    <row r="569" spans="1:6" ht="111" customHeight="1" x14ac:dyDescent="0.2">
      <c r="A569" s="21">
        <f>+Dates!$D$10-46</f>
        <v>41817</v>
      </c>
      <c r="B569" s="21">
        <f>+Dates!$D$10-46</f>
        <v>41817</v>
      </c>
      <c r="C569" s="22" t="s">
        <v>662</v>
      </c>
      <c r="D569" s="23" t="s">
        <v>420</v>
      </c>
      <c r="E569" s="24" t="s">
        <v>291</v>
      </c>
      <c r="F569" s="24" t="s">
        <v>111</v>
      </c>
    </row>
    <row r="570" spans="1:6" ht="107.25" customHeight="1" x14ac:dyDescent="0.2">
      <c r="A570" s="21">
        <f>+Dates!$D$10-46</f>
        <v>41817</v>
      </c>
      <c r="B570" s="21">
        <f>+Dates!$D$10-46</f>
        <v>41817</v>
      </c>
      <c r="C570" s="22" t="s">
        <v>663</v>
      </c>
      <c r="D570" s="23" t="s">
        <v>420</v>
      </c>
      <c r="E570" s="24" t="s">
        <v>301</v>
      </c>
      <c r="F570" s="24" t="s">
        <v>111</v>
      </c>
    </row>
    <row r="571" spans="1:6" ht="112.5" customHeight="1" x14ac:dyDescent="0.2">
      <c r="A571" s="21">
        <f>+Dates!$D$10-46</f>
        <v>41817</v>
      </c>
      <c r="B571" s="21">
        <f>+Dates!$D$10-46</f>
        <v>41817</v>
      </c>
      <c r="C571" s="22" t="s">
        <v>664</v>
      </c>
      <c r="D571" s="23" t="s">
        <v>420</v>
      </c>
      <c r="E571" s="24" t="s">
        <v>297</v>
      </c>
      <c r="F571" s="24" t="s">
        <v>111</v>
      </c>
    </row>
    <row r="572" spans="1:6" ht="108.75" customHeight="1" x14ac:dyDescent="0.2">
      <c r="A572" s="21">
        <f>+Dates!$D$10-46</f>
        <v>41817</v>
      </c>
      <c r="B572" s="21">
        <f>+Dates!$D$10-46</f>
        <v>41817</v>
      </c>
      <c r="C572" s="22" t="s">
        <v>625</v>
      </c>
      <c r="D572" s="23" t="s">
        <v>420</v>
      </c>
      <c r="E572" s="24" t="s">
        <v>61</v>
      </c>
      <c r="F572" s="24" t="s">
        <v>111</v>
      </c>
    </row>
    <row r="573" spans="1:6" ht="107.25" customHeight="1" x14ac:dyDescent="0.2">
      <c r="A573" s="21">
        <f>+Dates!$D$10-46</f>
        <v>41817</v>
      </c>
      <c r="B573" s="21">
        <f>+Dates!$D$10-46</f>
        <v>41817</v>
      </c>
      <c r="C573" s="22" t="s">
        <v>627</v>
      </c>
      <c r="D573" s="23" t="s">
        <v>420</v>
      </c>
      <c r="E573" s="24" t="s">
        <v>80</v>
      </c>
      <c r="F573" s="24" t="s">
        <v>111</v>
      </c>
    </row>
    <row r="574" spans="1:6" ht="102.75" customHeight="1" x14ac:dyDescent="0.2">
      <c r="A574" s="21">
        <f>+Dates!$D$10-46</f>
        <v>41817</v>
      </c>
      <c r="B574" s="21">
        <f>+Dates!$D$10-46</f>
        <v>41817</v>
      </c>
      <c r="C574" s="22" t="s">
        <v>626</v>
      </c>
      <c r="D574" s="23" t="s">
        <v>420</v>
      </c>
      <c r="E574" s="24" t="s">
        <v>289</v>
      </c>
      <c r="F574" s="24" t="s">
        <v>111</v>
      </c>
    </row>
    <row r="575" spans="1:6" ht="106.5" customHeight="1" x14ac:dyDescent="0.2">
      <c r="A575" s="21">
        <f>+Dates!$D$10-46</f>
        <v>41817</v>
      </c>
      <c r="B575" s="21">
        <f>+Dates!$D$10-46</f>
        <v>41817</v>
      </c>
      <c r="C575" s="22" t="s">
        <v>624</v>
      </c>
      <c r="D575" s="23" t="s">
        <v>420</v>
      </c>
      <c r="E575" s="24" t="s">
        <v>291</v>
      </c>
      <c r="F575" s="24" t="s">
        <v>111</v>
      </c>
    </row>
    <row r="576" spans="1:6" ht="114.75" customHeight="1" x14ac:dyDescent="0.2">
      <c r="A576" s="21">
        <f>+Dates!$D$10-46</f>
        <v>41817</v>
      </c>
      <c r="B576" s="21">
        <f>+Dates!$D$10-46</f>
        <v>41817</v>
      </c>
      <c r="C576" s="22" t="s">
        <v>628</v>
      </c>
      <c r="D576" s="23" t="s">
        <v>420</v>
      </c>
      <c r="E576" s="24" t="s">
        <v>301</v>
      </c>
      <c r="F576" s="24" t="s">
        <v>111</v>
      </c>
    </row>
    <row r="577" spans="1:6" ht="129.75" customHeight="1" x14ac:dyDescent="0.2">
      <c r="A577" s="21">
        <f>+Dates!$D$10-46</f>
        <v>41817</v>
      </c>
      <c r="B577" s="21">
        <f>+Dates!$D$10-46</f>
        <v>41817</v>
      </c>
      <c r="C577" s="22" t="s">
        <v>629</v>
      </c>
      <c r="D577" s="23" t="s">
        <v>420</v>
      </c>
      <c r="E577" s="24" t="s">
        <v>297</v>
      </c>
      <c r="F577" s="24" t="s">
        <v>111</v>
      </c>
    </row>
    <row r="578" spans="1:6" ht="111.75" customHeight="1" x14ac:dyDescent="0.2">
      <c r="A578" s="21">
        <f>+Dates!$D$10-46</f>
        <v>41817</v>
      </c>
      <c r="B578" s="21">
        <f>+Dates!$D$10-32</f>
        <v>41831</v>
      </c>
      <c r="C578" s="22" t="s">
        <v>701</v>
      </c>
      <c r="D578" s="23" t="s">
        <v>194</v>
      </c>
      <c r="E578" s="24" t="s">
        <v>61</v>
      </c>
      <c r="F578" s="24" t="s">
        <v>195</v>
      </c>
    </row>
    <row r="579" spans="1:6" ht="103.5" customHeight="1" x14ac:dyDescent="0.2">
      <c r="A579" s="21">
        <f>+Dates!$D$10-46</f>
        <v>41817</v>
      </c>
      <c r="B579" s="21">
        <f>+Dates!$D$10-32</f>
        <v>41831</v>
      </c>
      <c r="C579" s="22" t="s">
        <v>702</v>
      </c>
      <c r="D579" s="23" t="s">
        <v>194</v>
      </c>
      <c r="E579" s="24" t="s">
        <v>80</v>
      </c>
      <c r="F579" s="24" t="s">
        <v>195</v>
      </c>
    </row>
    <row r="580" spans="1:6" ht="120" customHeight="1" x14ac:dyDescent="0.2">
      <c r="A580" s="21">
        <f>+Dates!$D$10-46</f>
        <v>41817</v>
      </c>
      <c r="B580" s="21">
        <f>+Dates!$D$10-32</f>
        <v>41831</v>
      </c>
      <c r="C580" s="22" t="s">
        <v>703</v>
      </c>
      <c r="D580" s="23" t="s">
        <v>194</v>
      </c>
      <c r="E580" s="24" t="s">
        <v>289</v>
      </c>
      <c r="F580" s="24" t="s">
        <v>195</v>
      </c>
    </row>
    <row r="581" spans="1:6" ht="131.25" customHeight="1" x14ac:dyDescent="0.2">
      <c r="A581" s="21">
        <f>+Dates!$D$10-46</f>
        <v>41817</v>
      </c>
      <c r="B581" s="21">
        <f>+Dates!$D$10-32</f>
        <v>41831</v>
      </c>
      <c r="C581" s="22" t="s">
        <v>704</v>
      </c>
      <c r="D581" s="23" t="s">
        <v>194</v>
      </c>
      <c r="E581" s="24" t="s">
        <v>291</v>
      </c>
      <c r="F581" s="24" t="s">
        <v>195</v>
      </c>
    </row>
    <row r="582" spans="1:6" ht="122.25" customHeight="1" x14ac:dyDescent="0.2">
      <c r="A582" s="21">
        <f>+Dates!$D$10-46</f>
        <v>41817</v>
      </c>
      <c r="B582" s="21">
        <f>+Dates!$D$10-32</f>
        <v>41831</v>
      </c>
      <c r="C582" s="22" t="s">
        <v>705</v>
      </c>
      <c r="D582" s="23" t="s">
        <v>194</v>
      </c>
      <c r="E582" s="24" t="s">
        <v>301</v>
      </c>
      <c r="F582" s="24" t="s">
        <v>195</v>
      </c>
    </row>
    <row r="583" spans="1:6" ht="129" customHeight="1" x14ac:dyDescent="0.2">
      <c r="A583" s="21">
        <f>+Dates!$D$10-46</f>
        <v>41817</v>
      </c>
      <c r="B583" s="21">
        <f>+Dates!$D$10-32</f>
        <v>41831</v>
      </c>
      <c r="C583" s="22" t="s">
        <v>706</v>
      </c>
      <c r="D583" s="23" t="s">
        <v>194</v>
      </c>
      <c r="E583" s="24" t="s">
        <v>297</v>
      </c>
      <c r="F583" s="24" t="s">
        <v>195</v>
      </c>
    </row>
    <row r="584" spans="1:6" ht="263.25" customHeight="1" x14ac:dyDescent="0.2">
      <c r="A584" s="21">
        <f>+Dates!$D$10-46</f>
        <v>41817</v>
      </c>
      <c r="B584" s="21">
        <f>+Dates!$D$10-14</f>
        <v>41849</v>
      </c>
      <c r="C584" s="22" t="s">
        <v>1830</v>
      </c>
      <c r="D584" s="23" t="s">
        <v>396</v>
      </c>
      <c r="E584" s="24" t="s">
        <v>61</v>
      </c>
      <c r="F584" s="24" t="s">
        <v>107</v>
      </c>
    </row>
    <row r="585" spans="1:6" ht="255.75" customHeight="1" x14ac:dyDescent="0.2">
      <c r="A585" s="21">
        <f>+Dates!$D$10-46</f>
        <v>41817</v>
      </c>
      <c r="B585" s="21">
        <f>+Dates!$D$10-14</f>
        <v>41849</v>
      </c>
      <c r="C585" s="22" t="s">
        <v>1831</v>
      </c>
      <c r="D585" s="23" t="s">
        <v>396</v>
      </c>
      <c r="E585" s="24" t="s">
        <v>391</v>
      </c>
      <c r="F585" s="24" t="s">
        <v>107</v>
      </c>
    </row>
    <row r="586" spans="1:6" ht="258.75" customHeight="1" x14ac:dyDescent="0.2">
      <c r="A586" s="21">
        <f>+Dates!$D$10-46</f>
        <v>41817</v>
      </c>
      <c r="B586" s="21">
        <f>+Dates!$D$10-14</f>
        <v>41849</v>
      </c>
      <c r="C586" s="22" t="s">
        <v>1832</v>
      </c>
      <c r="D586" s="23" t="s">
        <v>396</v>
      </c>
      <c r="E586" s="24" t="s">
        <v>80</v>
      </c>
      <c r="F586" s="24" t="s">
        <v>107</v>
      </c>
    </row>
    <row r="587" spans="1:6" ht="274.5" customHeight="1" x14ac:dyDescent="0.2">
      <c r="A587" s="21">
        <f>+Dates!$D$10-46</f>
        <v>41817</v>
      </c>
      <c r="B587" s="21">
        <f>+Dates!$D$10-14</f>
        <v>41849</v>
      </c>
      <c r="C587" s="22" t="s">
        <v>1833</v>
      </c>
      <c r="D587" s="23" t="s">
        <v>396</v>
      </c>
      <c r="E587" s="24" t="s">
        <v>289</v>
      </c>
      <c r="F587" s="24" t="s">
        <v>107</v>
      </c>
    </row>
    <row r="588" spans="1:6" ht="272.25" customHeight="1" x14ac:dyDescent="0.2">
      <c r="A588" s="21">
        <f>+Dates!$D$10-46</f>
        <v>41817</v>
      </c>
      <c r="B588" s="21">
        <f>+Dates!$D$10-14</f>
        <v>41849</v>
      </c>
      <c r="C588" s="22" t="s">
        <v>1834</v>
      </c>
      <c r="D588" s="23" t="s">
        <v>396</v>
      </c>
      <c r="E588" s="24" t="s">
        <v>291</v>
      </c>
      <c r="F588" s="24" t="s">
        <v>107</v>
      </c>
    </row>
    <row r="589" spans="1:6" ht="276" customHeight="1" x14ac:dyDescent="0.2">
      <c r="A589" s="21">
        <f>+Dates!$D$10-46</f>
        <v>41817</v>
      </c>
      <c r="B589" s="21">
        <f>+Dates!$D$10-14</f>
        <v>41849</v>
      </c>
      <c r="C589" s="22" t="s">
        <v>1835</v>
      </c>
      <c r="D589" s="23" t="s">
        <v>396</v>
      </c>
      <c r="E589" s="24" t="s">
        <v>301</v>
      </c>
      <c r="F589" s="24" t="s">
        <v>107</v>
      </c>
    </row>
    <row r="590" spans="1:6" ht="279.75" customHeight="1" x14ac:dyDescent="0.2">
      <c r="A590" s="21">
        <f>+Dates!$D$10-46</f>
        <v>41817</v>
      </c>
      <c r="B590" s="21">
        <f>+Dates!$D$10-14</f>
        <v>41849</v>
      </c>
      <c r="C590" s="22" t="s">
        <v>1836</v>
      </c>
      <c r="D590" s="23" t="s">
        <v>396</v>
      </c>
      <c r="E590" s="24" t="s">
        <v>297</v>
      </c>
      <c r="F590" s="24" t="s">
        <v>107</v>
      </c>
    </row>
    <row r="591" spans="1:6" ht="274.5" customHeight="1" x14ac:dyDescent="0.2">
      <c r="A591" s="21">
        <f>+Dates!$D$10-46</f>
        <v>41817</v>
      </c>
      <c r="B591" s="21">
        <f>+Dates!$D$10-14</f>
        <v>41849</v>
      </c>
      <c r="C591" s="22" t="s">
        <v>1837</v>
      </c>
      <c r="D591" s="23" t="s">
        <v>396</v>
      </c>
      <c r="E591" s="24" t="s">
        <v>333</v>
      </c>
      <c r="F591" s="24" t="s">
        <v>107</v>
      </c>
    </row>
    <row r="592" spans="1:6" ht="118.5" customHeight="1" x14ac:dyDescent="0.2">
      <c r="A592" s="21">
        <f>Dates!$D$10-46</f>
        <v>41817</v>
      </c>
      <c r="B592" s="25">
        <f>+Dates!$D$10-1</f>
        <v>41862</v>
      </c>
      <c r="C592" s="22" t="s">
        <v>1427</v>
      </c>
      <c r="D592" s="23" t="s">
        <v>438</v>
      </c>
      <c r="E592" s="24" t="s">
        <v>61</v>
      </c>
      <c r="F592" s="24" t="s">
        <v>305</v>
      </c>
    </row>
    <row r="593" spans="1:6" ht="117.75" customHeight="1" x14ac:dyDescent="0.2">
      <c r="A593" s="21">
        <f>Dates!$D$10-46</f>
        <v>41817</v>
      </c>
      <c r="B593" s="25">
        <f>+Dates!$D$10-1</f>
        <v>41862</v>
      </c>
      <c r="C593" s="22" t="s">
        <v>1428</v>
      </c>
      <c r="D593" s="23" t="s">
        <v>438</v>
      </c>
      <c r="E593" s="24" t="s">
        <v>391</v>
      </c>
      <c r="F593" s="24" t="s">
        <v>305</v>
      </c>
    </row>
    <row r="594" spans="1:6" ht="111" customHeight="1" x14ac:dyDescent="0.2">
      <c r="A594" s="21">
        <f>+Dates!$D$10-46</f>
        <v>41817</v>
      </c>
      <c r="B594" s="25">
        <f>+Dates!$D$10-1</f>
        <v>41862</v>
      </c>
      <c r="C594" s="22" t="s">
        <v>1429</v>
      </c>
      <c r="D594" s="23" t="s">
        <v>438</v>
      </c>
      <c r="E594" s="24" t="s">
        <v>292</v>
      </c>
      <c r="F594" s="24" t="s">
        <v>305</v>
      </c>
    </row>
    <row r="595" spans="1:6" ht="110.25" customHeight="1" x14ac:dyDescent="0.2">
      <c r="A595" s="21">
        <f>+Dates!$D$10-46</f>
        <v>41817</v>
      </c>
      <c r="B595" s="21">
        <f>+Dates!$D$10-1</f>
        <v>41862</v>
      </c>
      <c r="C595" s="22" t="s">
        <v>1430</v>
      </c>
      <c r="D595" s="23" t="s">
        <v>438</v>
      </c>
      <c r="E595" s="24" t="s">
        <v>289</v>
      </c>
      <c r="F595" s="24" t="s">
        <v>305</v>
      </c>
    </row>
    <row r="596" spans="1:6" ht="122.25" customHeight="1" x14ac:dyDescent="0.2">
      <c r="A596" s="21">
        <f>+Dates!$D$10-46</f>
        <v>41817</v>
      </c>
      <c r="B596" s="25">
        <f>+Dates!$D$10-1</f>
        <v>41862</v>
      </c>
      <c r="C596" s="22" t="s">
        <v>1431</v>
      </c>
      <c r="D596" s="23" t="s">
        <v>438</v>
      </c>
      <c r="E596" s="24" t="s">
        <v>291</v>
      </c>
      <c r="F596" s="24" t="s">
        <v>305</v>
      </c>
    </row>
    <row r="597" spans="1:6" ht="118.5" customHeight="1" x14ac:dyDescent="0.2">
      <c r="A597" s="21">
        <f>+Dates!$D$10-46</f>
        <v>41817</v>
      </c>
      <c r="B597" s="21">
        <f>+Dates!$D$10-1</f>
        <v>41862</v>
      </c>
      <c r="C597" s="22" t="s">
        <v>1432</v>
      </c>
      <c r="D597" s="23" t="s">
        <v>438</v>
      </c>
      <c r="E597" s="24" t="s">
        <v>301</v>
      </c>
      <c r="F597" s="24" t="s">
        <v>305</v>
      </c>
    </row>
    <row r="598" spans="1:6" ht="126" customHeight="1" x14ac:dyDescent="0.2">
      <c r="A598" s="21">
        <f>+Dates!$D$10-46</f>
        <v>41817</v>
      </c>
      <c r="B598" s="25">
        <f>+Dates!$D$10-1</f>
        <v>41862</v>
      </c>
      <c r="C598" s="22" t="s">
        <v>1433</v>
      </c>
      <c r="D598" s="23" t="s">
        <v>438</v>
      </c>
      <c r="E598" s="24" t="s">
        <v>297</v>
      </c>
      <c r="F598" s="24" t="s">
        <v>305</v>
      </c>
    </row>
    <row r="599" spans="1:6" ht="133.5" customHeight="1" x14ac:dyDescent="0.2">
      <c r="A599" s="21">
        <f>+Dates!$D$10-46</f>
        <v>41817</v>
      </c>
      <c r="B599" s="25">
        <f>+Dates!$D$10-1</f>
        <v>41862</v>
      </c>
      <c r="C599" s="22" t="s">
        <v>1434</v>
      </c>
      <c r="D599" s="23" t="s">
        <v>438</v>
      </c>
      <c r="E599" s="24" t="s">
        <v>333</v>
      </c>
      <c r="F599" s="24" t="s">
        <v>305</v>
      </c>
    </row>
    <row r="600" spans="1:6" ht="264" customHeight="1" x14ac:dyDescent="0.2">
      <c r="A600" s="21">
        <f>+Dates!$D$10-46</f>
        <v>41817</v>
      </c>
      <c r="B600" s="25">
        <f>+Dates!$D$10</f>
        <v>41863</v>
      </c>
      <c r="C600" s="22" t="s">
        <v>1435</v>
      </c>
      <c r="D600" s="23" t="s">
        <v>153</v>
      </c>
      <c r="E600" s="24" t="s">
        <v>61</v>
      </c>
      <c r="F600" s="24" t="s">
        <v>305</v>
      </c>
    </row>
    <row r="601" spans="1:6" ht="267.75" customHeight="1" x14ac:dyDescent="0.2">
      <c r="A601" s="21">
        <f>+Dates!$D$10-46</f>
        <v>41817</v>
      </c>
      <c r="B601" s="25">
        <f>+Dates!$D$10</f>
        <v>41863</v>
      </c>
      <c r="C601" s="22" t="s">
        <v>1436</v>
      </c>
      <c r="D601" s="23" t="s">
        <v>153</v>
      </c>
      <c r="E601" s="24" t="s">
        <v>391</v>
      </c>
      <c r="F601" s="24" t="s">
        <v>305</v>
      </c>
    </row>
    <row r="602" spans="1:6" ht="252.75" customHeight="1" x14ac:dyDescent="0.2">
      <c r="A602" s="21">
        <f>+Dates!$D$10-46</f>
        <v>41817</v>
      </c>
      <c r="B602" s="25">
        <f>+Dates!$D$10</f>
        <v>41863</v>
      </c>
      <c r="C602" s="22" t="s">
        <v>1437</v>
      </c>
      <c r="D602" s="23" t="s">
        <v>153</v>
      </c>
      <c r="E602" s="24" t="s">
        <v>80</v>
      </c>
      <c r="F602" s="24" t="s">
        <v>305</v>
      </c>
    </row>
    <row r="603" spans="1:6" ht="252.75" customHeight="1" x14ac:dyDescent="0.2">
      <c r="A603" s="21">
        <f>+Dates!$D$10-46</f>
        <v>41817</v>
      </c>
      <c r="B603" s="25">
        <f>+Dates!$D$10</f>
        <v>41863</v>
      </c>
      <c r="C603" s="22" t="s">
        <v>1438</v>
      </c>
      <c r="D603" s="23" t="s">
        <v>153</v>
      </c>
      <c r="E603" s="24" t="s">
        <v>289</v>
      </c>
      <c r="F603" s="24" t="s">
        <v>305</v>
      </c>
    </row>
    <row r="604" spans="1:6" ht="262.5" customHeight="1" x14ac:dyDescent="0.2">
      <c r="A604" s="21">
        <f>+Dates!$D$10-46</f>
        <v>41817</v>
      </c>
      <c r="B604" s="25">
        <f>+Dates!$D$10</f>
        <v>41863</v>
      </c>
      <c r="C604" s="22" t="s">
        <v>1439</v>
      </c>
      <c r="D604" s="23" t="s">
        <v>153</v>
      </c>
      <c r="E604" s="24" t="s">
        <v>291</v>
      </c>
      <c r="F604" s="24" t="s">
        <v>305</v>
      </c>
    </row>
    <row r="605" spans="1:6" ht="258" customHeight="1" x14ac:dyDescent="0.2">
      <c r="A605" s="21">
        <f>+Dates!$D$10-46</f>
        <v>41817</v>
      </c>
      <c r="B605" s="25">
        <f>+Dates!$D$10</f>
        <v>41863</v>
      </c>
      <c r="C605" s="22" t="s">
        <v>1440</v>
      </c>
      <c r="D605" s="23" t="s">
        <v>153</v>
      </c>
      <c r="E605" s="24" t="s">
        <v>301</v>
      </c>
      <c r="F605" s="24" t="s">
        <v>305</v>
      </c>
    </row>
    <row r="606" spans="1:6" ht="256.5" customHeight="1" x14ac:dyDescent="0.2">
      <c r="A606" s="21">
        <f>+Dates!$D$10-46</f>
        <v>41817</v>
      </c>
      <c r="B606" s="25">
        <f>+Dates!$D$10</f>
        <v>41863</v>
      </c>
      <c r="C606" s="22" t="s">
        <v>1441</v>
      </c>
      <c r="D606" s="23" t="s">
        <v>153</v>
      </c>
      <c r="E606" s="24" t="s">
        <v>297</v>
      </c>
      <c r="F606" s="24" t="s">
        <v>305</v>
      </c>
    </row>
    <row r="607" spans="1:6" ht="89.25" customHeight="1" x14ac:dyDescent="0.2">
      <c r="A607" s="21">
        <f>Dates!$D$10-46</f>
        <v>41817</v>
      </c>
      <c r="B607" s="25">
        <f>+Dates!$D$10-0</f>
        <v>41863</v>
      </c>
      <c r="C607" s="22" t="s">
        <v>707</v>
      </c>
      <c r="D607" s="23" t="s">
        <v>129</v>
      </c>
      <c r="E607" s="24" t="s">
        <v>61</v>
      </c>
      <c r="F607" s="24" t="s">
        <v>305</v>
      </c>
    </row>
    <row r="608" spans="1:6" ht="79.5" customHeight="1" x14ac:dyDescent="0.2">
      <c r="A608" s="21">
        <f>Dates!$D$10-46</f>
        <v>41817</v>
      </c>
      <c r="B608" s="25">
        <f>+Dates!$D$10-0</f>
        <v>41863</v>
      </c>
      <c r="C608" s="22" t="s">
        <v>128</v>
      </c>
      <c r="D608" s="23" t="s">
        <v>129</v>
      </c>
      <c r="E608" s="24" t="s">
        <v>292</v>
      </c>
      <c r="F608" s="24" t="s">
        <v>305</v>
      </c>
    </row>
    <row r="609" spans="1:6" ht="85.5" customHeight="1" x14ac:dyDescent="0.2">
      <c r="A609" s="21">
        <f>Dates!$D$10-46</f>
        <v>41817</v>
      </c>
      <c r="B609" s="25">
        <f>+Dates!$D$10-0</f>
        <v>41863</v>
      </c>
      <c r="C609" s="22" t="s">
        <v>708</v>
      </c>
      <c r="D609" s="23" t="s">
        <v>129</v>
      </c>
      <c r="E609" s="24" t="s">
        <v>289</v>
      </c>
      <c r="F609" s="24" t="s">
        <v>305</v>
      </c>
    </row>
    <row r="610" spans="1:6" ht="94.5" customHeight="1" x14ac:dyDescent="0.2">
      <c r="A610" s="21">
        <f>Dates!$D$10-46</f>
        <v>41817</v>
      </c>
      <c r="B610" s="25">
        <f>+Dates!$D$10-0</f>
        <v>41863</v>
      </c>
      <c r="C610" s="22" t="s">
        <v>709</v>
      </c>
      <c r="D610" s="23" t="s">
        <v>129</v>
      </c>
      <c r="E610" s="24" t="s">
        <v>291</v>
      </c>
      <c r="F610" s="24" t="s">
        <v>305</v>
      </c>
    </row>
    <row r="611" spans="1:6" ht="94.5" customHeight="1" x14ac:dyDescent="0.2">
      <c r="A611" s="21">
        <f>Dates!$D$10-46</f>
        <v>41817</v>
      </c>
      <c r="B611" s="25">
        <f>+Dates!$D$10-0</f>
        <v>41863</v>
      </c>
      <c r="C611" s="22" t="s">
        <v>710</v>
      </c>
      <c r="D611" s="23" t="s">
        <v>129</v>
      </c>
      <c r="E611" s="24" t="s">
        <v>301</v>
      </c>
      <c r="F611" s="24" t="s">
        <v>305</v>
      </c>
    </row>
    <row r="612" spans="1:6" ht="89.25" customHeight="1" x14ac:dyDescent="0.2">
      <c r="A612" s="21">
        <f>Dates!$D$10-46</f>
        <v>41817</v>
      </c>
      <c r="B612" s="25">
        <f>+Dates!$D$10-0</f>
        <v>41863</v>
      </c>
      <c r="C612" s="22" t="s">
        <v>712</v>
      </c>
      <c r="D612" s="23" t="s">
        <v>129</v>
      </c>
      <c r="E612" s="24" t="s">
        <v>297</v>
      </c>
      <c r="F612" s="24" t="s">
        <v>305</v>
      </c>
    </row>
    <row r="613" spans="1:6" ht="72" customHeight="1" x14ac:dyDescent="0.2">
      <c r="A613" s="21">
        <f>Dates!$D$10-46</f>
        <v>41817</v>
      </c>
      <c r="B613" s="25">
        <f>+Dates!$D$10-0</f>
        <v>41863</v>
      </c>
      <c r="C613" s="22" t="s">
        <v>713</v>
      </c>
      <c r="D613" s="23" t="s">
        <v>127</v>
      </c>
      <c r="E613" s="24" t="s">
        <v>61</v>
      </c>
      <c r="F613" s="24" t="s">
        <v>305</v>
      </c>
    </row>
    <row r="614" spans="1:6" ht="71.25" customHeight="1" x14ac:dyDescent="0.2">
      <c r="A614" s="21">
        <f>Dates!$D$10-46</f>
        <v>41817</v>
      </c>
      <c r="B614" s="25">
        <f>+Dates!$D$10-0</f>
        <v>41863</v>
      </c>
      <c r="C614" s="22" t="s">
        <v>70</v>
      </c>
      <c r="D614" s="23" t="s">
        <v>127</v>
      </c>
      <c r="E614" s="24" t="s">
        <v>80</v>
      </c>
      <c r="F614" s="24" t="s">
        <v>305</v>
      </c>
    </row>
    <row r="615" spans="1:6" ht="73.5" customHeight="1" x14ac:dyDescent="0.2">
      <c r="A615" s="21">
        <f>Dates!$D$10-46</f>
        <v>41817</v>
      </c>
      <c r="B615" s="25">
        <f>+Dates!$D$10-0</f>
        <v>41863</v>
      </c>
      <c r="C615" s="22" t="s">
        <v>714</v>
      </c>
      <c r="D615" s="23" t="s">
        <v>127</v>
      </c>
      <c r="E615" s="24" t="s">
        <v>289</v>
      </c>
      <c r="F615" s="24" t="s">
        <v>305</v>
      </c>
    </row>
    <row r="616" spans="1:6" ht="77.25" customHeight="1" x14ac:dyDescent="0.2">
      <c r="A616" s="21">
        <f>Dates!$D$10-46</f>
        <v>41817</v>
      </c>
      <c r="B616" s="25">
        <f>+Dates!$D$10-0</f>
        <v>41863</v>
      </c>
      <c r="C616" s="22" t="s">
        <v>715</v>
      </c>
      <c r="D616" s="23" t="s">
        <v>127</v>
      </c>
      <c r="E616" s="24" t="s">
        <v>291</v>
      </c>
      <c r="F616" s="24" t="s">
        <v>305</v>
      </c>
    </row>
    <row r="617" spans="1:6" ht="83.25" customHeight="1" x14ac:dyDescent="0.2">
      <c r="A617" s="21">
        <f>Dates!$D$10-46</f>
        <v>41817</v>
      </c>
      <c r="B617" s="25">
        <f>+Dates!$D$10-0</f>
        <v>41863</v>
      </c>
      <c r="C617" s="22" t="s">
        <v>716</v>
      </c>
      <c r="D617" s="23" t="s">
        <v>127</v>
      </c>
      <c r="E617" s="24" t="s">
        <v>301</v>
      </c>
      <c r="F617" s="24" t="s">
        <v>305</v>
      </c>
    </row>
    <row r="618" spans="1:6" ht="87" customHeight="1" x14ac:dyDescent="0.2">
      <c r="A618" s="21">
        <f>Dates!$D$10-46</f>
        <v>41817</v>
      </c>
      <c r="B618" s="25">
        <f>+Dates!$D$10-0</f>
        <v>41863</v>
      </c>
      <c r="C618" s="22" t="s">
        <v>711</v>
      </c>
      <c r="D618" s="23" t="s">
        <v>127</v>
      </c>
      <c r="E618" s="24" t="s">
        <v>297</v>
      </c>
      <c r="F618" s="24" t="s">
        <v>305</v>
      </c>
    </row>
    <row r="619" spans="1:6" ht="112.5" customHeight="1" x14ac:dyDescent="0.2">
      <c r="A619" s="21">
        <f>Dates!$D$10-46</f>
        <v>41817</v>
      </c>
      <c r="B619" s="21">
        <f>Dates!$D$10</f>
        <v>41863</v>
      </c>
      <c r="C619" s="22" t="s">
        <v>1567</v>
      </c>
      <c r="D619" s="23" t="s">
        <v>426</v>
      </c>
      <c r="E619" s="24" t="s">
        <v>61</v>
      </c>
      <c r="F619" s="24" t="s">
        <v>195</v>
      </c>
    </row>
    <row r="620" spans="1:6" ht="103.5" customHeight="1" x14ac:dyDescent="0.2">
      <c r="A620" s="21">
        <f>Dates!$D$10-46</f>
        <v>41817</v>
      </c>
      <c r="B620" s="21">
        <f>Dates!$D$10</f>
        <v>41863</v>
      </c>
      <c r="C620" s="22" t="s">
        <v>1572</v>
      </c>
      <c r="D620" s="23" t="s">
        <v>426</v>
      </c>
      <c r="E620" s="24" t="s">
        <v>80</v>
      </c>
      <c r="F620" s="24" t="s">
        <v>195</v>
      </c>
    </row>
    <row r="621" spans="1:6" ht="111.75" customHeight="1" x14ac:dyDescent="0.2">
      <c r="A621" s="21">
        <f>Dates!$D$10-46</f>
        <v>41817</v>
      </c>
      <c r="B621" s="21">
        <f>Dates!$D$10</f>
        <v>41863</v>
      </c>
      <c r="C621" s="22" t="s">
        <v>1571</v>
      </c>
      <c r="D621" s="23" t="s">
        <v>426</v>
      </c>
      <c r="E621" s="24" t="s">
        <v>289</v>
      </c>
      <c r="F621" s="24" t="s">
        <v>195</v>
      </c>
    </row>
    <row r="622" spans="1:6" ht="105.75" customHeight="1" x14ac:dyDescent="0.2">
      <c r="A622" s="21">
        <f>Dates!$D$10-46</f>
        <v>41817</v>
      </c>
      <c r="B622" s="21">
        <f>Dates!$D$10</f>
        <v>41863</v>
      </c>
      <c r="C622" s="22" t="s">
        <v>1570</v>
      </c>
      <c r="D622" s="23" t="s">
        <v>426</v>
      </c>
      <c r="E622" s="24" t="s">
        <v>291</v>
      </c>
      <c r="F622" s="24" t="s">
        <v>195</v>
      </c>
    </row>
    <row r="623" spans="1:6" ht="115.5" customHeight="1" x14ac:dyDescent="0.2">
      <c r="A623" s="21">
        <f>Dates!$D$10-46</f>
        <v>41817</v>
      </c>
      <c r="B623" s="21">
        <f>Dates!$D$10</f>
        <v>41863</v>
      </c>
      <c r="C623" s="22" t="s">
        <v>1569</v>
      </c>
      <c r="D623" s="23" t="s">
        <v>426</v>
      </c>
      <c r="E623" s="24" t="s">
        <v>301</v>
      </c>
      <c r="F623" s="24" t="s">
        <v>195</v>
      </c>
    </row>
    <row r="624" spans="1:6" ht="120" customHeight="1" x14ac:dyDescent="0.2">
      <c r="A624" s="21">
        <f>Dates!$D$10-46</f>
        <v>41817</v>
      </c>
      <c r="B624" s="21">
        <f>Dates!$D$10</f>
        <v>41863</v>
      </c>
      <c r="C624" s="22" t="s">
        <v>1568</v>
      </c>
      <c r="D624" s="23" t="s">
        <v>426</v>
      </c>
      <c r="E624" s="24" t="s">
        <v>297</v>
      </c>
      <c r="F624" s="24" t="s">
        <v>195</v>
      </c>
    </row>
    <row r="625" spans="1:6" ht="163.5" customHeight="1" x14ac:dyDescent="0.2">
      <c r="A625" s="21">
        <f>+Dates!$D$10-46</f>
        <v>41817</v>
      </c>
      <c r="B625" s="21">
        <f>+Dates!$D$11+10</f>
        <v>41957</v>
      </c>
      <c r="C625" s="22" t="s">
        <v>683</v>
      </c>
      <c r="D625" s="23" t="s">
        <v>440</v>
      </c>
      <c r="E625" s="24" t="s">
        <v>61</v>
      </c>
      <c r="F625" s="24" t="s">
        <v>441</v>
      </c>
    </row>
    <row r="626" spans="1:6" ht="165" customHeight="1" x14ac:dyDescent="0.2">
      <c r="A626" s="21">
        <f>+Dates!$D$10-46</f>
        <v>41817</v>
      </c>
      <c r="B626" s="21">
        <f>+Dates!$D$11+10</f>
        <v>41957</v>
      </c>
      <c r="C626" s="22" t="s">
        <v>684</v>
      </c>
      <c r="D626" s="23" t="s">
        <v>440</v>
      </c>
      <c r="E626" s="24" t="s">
        <v>391</v>
      </c>
      <c r="F626" s="24" t="s">
        <v>441</v>
      </c>
    </row>
    <row r="627" spans="1:6" ht="159.75" customHeight="1" x14ac:dyDescent="0.2">
      <c r="A627" s="21">
        <f>+Dates!$D$10-46</f>
        <v>41817</v>
      </c>
      <c r="B627" s="21">
        <f>+Dates!$D$11+10</f>
        <v>41957</v>
      </c>
      <c r="C627" s="22" t="s">
        <v>685</v>
      </c>
      <c r="D627" s="23" t="s">
        <v>440</v>
      </c>
      <c r="E627" s="24" t="s">
        <v>80</v>
      </c>
      <c r="F627" s="24" t="s">
        <v>441</v>
      </c>
    </row>
    <row r="628" spans="1:6" ht="176.25" customHeight="1" x14ac:dyDescent="0.2">
      <c r="A628" s="21">
        <f>+Dates!$D$10-46</f>
        <v>41817</v>
      </c>
      <c r="B628" s="21">
        <f>+Dates!$D$11+10</f>
        <v>41957</v>
      </c>
      <c r="C628" s="22" t="s">
        <v>687</v>
      </c>
      <c r="D628" s="23" t="s">
        <v>440</v>
      </c>
      <c r="E628" s="24" t="s">
        <v>1062</v>
      </c>
      <c r="F628" s="24" t="s">
        <v>441</v>
      </c>
    </row>
    <row r="629" spans="1:6" ht="167.25" customHeight="1" x14ac:dyDescent="0.2">
      <c r="A629" s="21">
        <f>+Dates!$D$10-46</f>
        <v>41817</v>
      </c>
      <c r="B629" s="21">
        <f>+Dates!$D$11+10</f>
        <v>41957</v>
      </c>
      <c r="C629" s="22" t="s">
        <v>682</v>
      </c>
      <c r="D629" s="23" t="s">
        <v>440</v>
      </c>
      <c r="E629" s="24" t="s">
        <v>289</v>
      </c>
      <c r="F629" s="24" t="s">
        <v>441</v>
      </c>
    </row>
    <row r="630" spans="1:6" ht="171" customHeight="1" x14ac:dyDescent="0.2">
      <c r="A630" s="21">
        <f>+Dates!$D$10-46</f>
        <v>41817</v>
      </c>
      <c r="B630" s="21">
        <f>+Dates!$D$11+10</f>
        <v>41957</v>
      </c>
      <c r="C630" s="22" t="s">
        <v>686</v>
      </c>
      <c r="D630" s="23" t="s">
        <v>440</v>
      </c>
      <c r="E630" s="24" t="s">
        <v>291</v>
      </c>
      <c r="F630" s="24" t="s">
        <v>441</v>
      </c>
    </row>
    <row r="631" spans="1:6" ht="167.25" customHeight="1" x14ac:dyDescent="0.2">
      <c r="A631" s="21">
        <f>+Dates!$D$10-46</f>
        <v>41817</v>
      </c>
      <c r="B631" s="21">
        <f>+Dates!$D$11+10</f>
        <v>41957</v>
      </c>
      <c r="C631" s="22" t="s">
        <v>688</v>
      </c>
      <c r="D631" s="23" t="s">
        <v>440</v>
      </c>
      <c r="E631" s="24" t="s">
        <v>301</v>
      </c>
      <c r="F631" s="24" t="s">
        <v>441</v>
      </c>
    </row>
    <row r="632" spans="1:6" ht="172.5" customHeight="1" x14ac:dyDescent="0.2">
      <c r="A632" s="21">
        <f>+Dates!$D$10-46</f>
        <v>41817</v>
      </c>
      <c r="B632" s="21">
        <f>+Dates!$D$11+10</f>
        <v>41957</v>
      </c>
      <c r="C632" s="22" t="s">
        <v>689</v>
      </c>
      <c r="D632" s="23" t="s">
        <v>440</v>
      </c>
      <c r="E632" s="24" t="s">
        <v>297</v>
      </c>
      <c r="F632" s="24" t="s">
        <v>441</v>
      </c>
    </row>
    <row r="633" spans="1:6" ht="171.75" customHeight="1" x14ac:dyDescent="0.2">
      <c r="A633" s="21">
        <f>+Dates!$D$10-46</f>
        <v>41817</v>
      </c>
      <c r="B633" s="21">
        <f>+Dates!$D$11+10</f>
        <v>41957</v>
      </c>
      <c r="C633" s="22" t="s">
        <v>690</v>
      </c>
      <c r="D633" s="23" t="s">
        <v>440</v>
      </c>
      <c r="E633" s="24" t="s">
        <v>333</v>
      </c>
      <c r="F633" s="24" t="s">
        <v>441</v>
      </c>
    </row>
    <row r="634" spans="1:6" ht="184.5" customHeight="1" x14ac:dyDescent="0.2">
      <c r="A634" s="21">
        <f>+Dates!$D$10-46</f>
        <v>41817</v>
      </c>
      <c r="B634" s="21">
        <f>+Dates!$D$11+10</f>
        <v>41957</v>
      </c>
      <c r="C634" s="22" t="s">
        <v>691</v>
      </c>
      <c r="D634" s="23" t="s">
        <v>440</v>
      </c>
      <c r="E634" s="24" t="s">
        <v>160</v>
      </c>
      <c r="F634" s="24" t="s">
        <v>441</v>
      </c>
    </row>
    <row r="635" spans="1:6" ht="163.5" customHeight="1" x14ac:dyDescent="0.2">
      <c r="A635" s="21">
        <f>+Dates!$D$10-46</f>
        <v>41817</v>
      </c>
      <c r="B635" s="21">
        <f>+Dates!$D$11+10</f>
        <v>41957</v>
      </c>
      <c r="C635" s="22" t="s">
        <v>692</v>
      </c>
      <c r="D635" s="23" t="s">
        <v>440</v>
      </c>
      <c r="E635" s="24" t="s">
        <v>295</v>
      </c>
      <c r="F635" s="24" t="s">
        <v>441</v>
      </c>
    </row>
    <row r="636" spans="1:6" ht="130.5" customHeight="1" x14ac:dyDescent="0.2">
      <c r="A636" s="21">
        <v>41820</v>
      </c>
      <c r="B636" s="21">
        <v>41820</v>
      </c>
      <c r="C636" s="22" t="s">
        <v>136</v>
      </c>
      <c r="D636" s="23" t="s">
        <v>392</v>
      </c>
      <c r="E636" s="24" t="s">
        <v>61</v>
      </c>
      <c r="F636" s="24" t="s">
        <v>391</v>
      </c>
    </row>
    <row r="637" spans="1:6" ht="126.75" customHeight="1" x14ac:dyDescent="0.2">
      <c r="A637" s="21">
        <v>41820</v>
      </c>
      <c r="B637" s="21">
        <v>41820</v>
      </c>
      <c r="C637" s="22" t="s">
        <v>364</v>
      </c>
      <c r="D637" s="23" t="s">
        <v>392</v>
      </c>
      <c r="E637" s="24" t="s">
        <v>61</v>
      </c>
      <c r="F637" s="24" t="s">
        <v>391</v>
      </c>
    </row>
    <row r="638" spans="1:6" ht="123" customHeight="1" x14ac:dyDescent="0.2">
      <c r="A638" s="21">
        <v>41820</v>
      </c>
      <c r="B638" s="21">
        <v>41820</v>
      </c>
      <c r="C638" s="22" t="s">
        <v>360</v>
      </c>
      <c r="D638" s="23" t="s">
        <v>392</v>
      </c>
      <c r="E638" s="24" t="s">
        <v>391</v>
      </c>
      <c r="F638" s="24" t="s">
        <v>391</v>
      </c>
    </row>
    <row r="639" spans="1:6" ht="126.75" customHeight="1" x14ac:dyDescent="0.2">
      <c r="A639" s="21">
        <v>41820</v>
      </c>
      <c r="B639" s="21">
        <v>41820</v>
      </c>
      <c r="C639" s="22" t="s">
        <v>361</v>
      </c>
      <c r="D639" s="23" t="s">
        <v>392</v>
      </c>
      <c r="E639" s="24" t="s">
        <v>391</v>
      </c>
      <c r="F639" s="24" t="s">
        <v>391</v>
      </c>
    </row>
    <row r="640" spans="1:6" ht="146.25" customHeight="1" x14ac:dyDescent="0.2">
      <c r="A640" s="21">
        <v>41820</v>
      </c>
      <c r="B640" s="21">
        <v>41820</v>
      </c>
      <c r="C640" s="22" t="s">
        <v>724</v>
      </c>
      <c r="D640" s="23" t="s">
        <v>392</v>
      </c>
      <c r="E640" s="24" t="s">
        <v>61</v>
      </c>
      <c r="F640" s="24" t="s">
        <v>391</v>
      </c>
    </row>
    <row r="641" spans="1:6" ht="141.75" customHeight="1" x14ac:dyDescent="0.2">
      <c r="A641" s="21">
        <v>41820</v>
      </c>
      <c r="B641" s="21">
        <v>41820</v>
      </c>
      <c r="C641" s="22" t="s">
        <v>725</v>
      </c>
      <c r="D641" s="23" t="s">
        <v>392</v>
      </c>
      <c r="E641" s="24" t="s">
        <v>391</v>
      </c>
      <c r="F641" s="24" t="s">
        <v>391</v>
      </c>
    </row>
    <row r="642" spans="1:6" ht="104.25" customHeight="1" x14ac:dyDescent="0.2">
      <c r="A642" s="21">
        <v>41820</v>
      </c>
      <c r="B642" s="21">
        <v>41820</v>
      </c>
      <c r="C642" s="22" t="s">
        <v>886</v>
      </c>
      <c r="D642" s="23" t="s">
        <v>884</v>
      </c>
      <c r="E642" s="24" t="s">
        <v>61</v>
      </c>
      <c r="F642" s="24" t="s">
        <v>241</v>
      </c>
    </row>
    <row r="643" spans="1:6" ht="94.5" customHeight="1" x14ac:dyDescent="0.2">
      <c r="A643" s="21">
        <v>41820</v>
      </c>
      <c r="B643" s="21">
        <v>41820</v>
      </c>
      <c r="C643" s="22" t="s">
        <v>887</v>
      </c>
      <c r="D643" s="23" t="s">
        <v>884</v>
      </c>
      <c r="E643" s="24" t="s">
        <v>80</v>
      </c>
      <c r="F643" s="24" t="s">
        <v>241</v>
      </c>
    </row>
    <row r="644" spans="1:6" ht="114.75" customHeight="1" x14ac:dyDescent="0.2">
      <c r="A644" s="21">
        <f>+Dates!$D$11-126</f>
        <v>41821</v>
      </c>
      <c r="B644" s="21">
        <f>+Dates!$D$11-126</f>
        <v>41821</v>
      </c>
      <c r="C644" s="22" t="s">
        <v>651</v>
      </c>
      <c r="D644" s="23" t="s">
        <v>98</v>
      </c>
      <c r="E644" s="24" t="s">
        <v>61</v>
      </c>
      <c r="F644" s="24" t="s">
        <v>111</v>
      </c>
    </row>
    <row r="645" spans="1:6" ht="106.5" customHeight="1" x14ac:dyDescent="0.2">
      <c r="A645" s="21">
        <f>+Dates!$D$11-126</f>
        <v>41821</v>
      </c>
      <c r="B645" s="21">
        <f>+Dates!$D$11-126</f>
        <v>41821</v>
      </c>
      <c r="C645" s="22" t="s">
        <v>652</v>
      </c>
      <c r="D645" s="23" t="s">
        <v>98</v>
      </c>
      <c r="E645" s="24" t="s">
        <v>80</v>
      </c>
      <c r="F645" s="24" t="s">
        <v>111</v>
      </c>
    </row>
    <row r="646" spans="1:6" ht="110.25" customHeight="1" x14ac:dyDescent="0.2">
      <c r="A646" s="21">
        <f>+Dates!$D$11-126</f>
        <v>41821</v>
      </c>
      <c r="B646" s="21">
        <f>+Dates!$D$11-126</f>
        <v>41821</v>
      </c>
      <c r="C646" s="22" t="s">
        <v>653</v>
      </c>
      <c r="D646" s="23" t="s">
        <v>98</v>
      </c>
      <c r="E646" s="24" t="s">
        <v>289</v>
      </c>
      <c r="F646" s="24" t="s">
        <v>111</v>
      </c>
    </row>
    <row r="647" spans="1:6" ht="112.5" customHeight="1" x14ac:dyDescent="0.2">
      <c r="A647" s="21">
        <f>+Dates!$D$11-126</f>
        <v>41821</v>
      </c>
      <c r="B647" s="21">
        <f>+Dates!$D$11-126</f>
        <v>41821</v>
      </c>
      <c r="C647" s="22" t="s">
        <v>654</v>
      </c>
      <c r="D647" s="23" t="s">
        <v>98</v>
      </c>
      <c r="E647" s="24" t="s">
        <v>291</v>
      </c>
      <c r="F647" s="24" t="s">
        <v>111</v>
      </c>
    </row>
    <row r="648" spans="1:6" ht="110.25" customHeight="1" x14ac:dyDescent="0.2">
      <c r="A648" s="21">
        <f>+Dates!$D$11-126</f>
        <v>41821</v>
      </c>
      <c r="B648" s="21">
        <f>+Dates!$D$11-126</f>
        <v>41821</v>
      </c>
      <c r="C648" s="22" t="s">
        <v>655</v>
      </c>
      <c r="D648" s="23" t="s">
        <v>98</v>
      </c>
      <c r="E648" s="24" t="s">
        <v>301</v>
      </c>
      <c r="F648" s="24" t="s">
        <v>111</v>
      </c>
    </row>
    <row r="649" spans="1:6" ht="114" customHeight="1" x14ac:dyDescent="0.2">
      <c r="A649" s="21">
        <f>+Dates!$D$11-126</f>
        <v>41821</v>
      </c>
      <c r="B649" s="21">
        <f>+Dates!$D$11-126</f>
        <v>41821</v>
      </c>
      <c r="C649" s="22" t="s">
        <v>656</v>
      </c>
      <c r="D649" s="23" t="s">
        <v>98</v>
      </c>
      <c r="E649" s="24" t="s">
        <v>297</v>
      </c>
      <c r="F649" s="24" t="s">
        <v>111</v>
      </c>
    </row>
    <row r="650" spans="1:6" ht="112.5" customHeight="1" x14ac:dyDescent="0.2">
      <c r="A650" s="21">
        <f>+Dates!$D$11-126</f>
        <v>41821</v>
      </c>
      <c r="B650" s="21">
        <f>+Dates!$D$11-126</f>
        <v>41821</v>
      </c>
      <c r="C650" s="22" t="s">
        <v>658</v>
      </c>
      <c r="D650" s="23" t="s">
        <v>98</v>
      </c>
      <c r="E650" s="24" t="s">
        <v>333</v>
      </c>
      <c r="F650" s="24" t="s">
        <v>111</v>
      </c>
    </row>
    <row r="651" spans="1:6" ht="102.75" customHeight="1" x14ac:dyDescent="0.2">
      <c r="A651" s="21">
        <f>+Dates!$D$11-126</f>
        <v>41821</v>
      </c>
      <c r="B651" s="21">
        <f>+Dates!$D$11-126</f>
        <v>41821</v>
      </c>
      <c r="C651" s="22" t="s">
        <v>657</v>
      </c>
      <c r="D651" s="23" t="s">
        <v>98</v>
      </c>
      <c r="E651" s="24" t="s">
        <v>160</v>
      </c>
      <c r="F651" s="24" t="s">
        <v>111</v>
      </c>
    </row>
    <row r="652" spans="1:6" ht="111" customHeight="1" x14ac:dyDescent="0.2">
      <c r="A652" s="21">
        <v>41821</v>
      </c>
      <c r="B652" s="21">
        <v>41821</v>
      </c>
      <c r="C652" s="22" t="s">
        <v>1844</v>
      </c>
      <c r="D652" s="23" t="s">
        <v>63</v>
      </c>
      <c r="E652" s="24" t="s">
        <v>61</v>
      </c>
      <c r="F652" s="24" t="s">
        <v>103</v>
      </c>
    </row>
    <row r="653" spans="1:6" ht="111" customHeight="1" x14ac:dyDescent="0.2">
      <c r="A653" s="21">
        <v>41821</v>
      </c>
      <c r="B653" s="21">
        <v>41821</v>
      </c>
      <c r="C653" s="22" t="s">
        <v>1845</v>
      </c>
      <c r="D653" s="23" t="s">
        <v>63</v>
      </c>
      <c r="E653" s="24" t="s">
        <v>135</v>
      </c>
      <c r="F653" s="24" t="s">
        <v>103</v>
      </c>
    </row>
    <row r="654" spans="1:6" ht="112.5" customHeight="1" x14ac:dyDescent="0.2">
      <c r="A654" s="21">
        <v>41821</v>
      </c>
      <c r="B654" s="21">
        <v>41821</v>
      </c>
      <c r="C654" s="22" t="s">
        <v>1846</v>
      </c>
      <c r="D654" s="23" t="s">
        <v>63</v>
      </c>
      <c r="E654" s="24" t="s">
        <v>391</v>
      </c>
      <c r="F654" s="24" t="s">
        <v>103</v>
      </c>
    </row>
    <row r="655" spans="1:6" ht="95.25" customHeight="1" x14ac:dyDescent="0.2">
      <c r="A655" s="21">
        <v>41821</v>
      </c>
      <c r="B655" s="21">
        <v>41821</v>
      </c>
      <c r="C655" s="22" t="s">
        <v>1847</v>
      </c>
      <c r="D655" s="23" t="s">
        <v>63</v>
      </c>
      <c r="E655" s="24" t="s">
        <v>292</v>
      </c>
      <c r="F655" s="24" t="s">
        <v>103</v>
      </c>
    </row>
    <row r="656" spans="1:6" ht="114" customHeight="1" x14ac:dyDescent="0.2">
      <c r="A656" s="21">
        <v>41821</v>
      </c>
      <c r="B656" s="21">
        <v>41821</v>
      </c>
      <c r="C656" s="22" t="s">
        <v>1848</v>
      </c>
      <c r="D656" s="23" t="s">
        <v>63</v>
      </c>
      <c r="E656" s="24" t="s">
        <v>289</v>
      </c>
      <c r="F656" s="24" t="s">
        <v>103</v>
      </c>
    </row>
    <row r="657" spans="1:6" ht="107.25" customHeight="1" x14ac:dyDescent="0.2">
      <c r="A657" s="21">
        <v>41821</v>
      </c>
      <c r="B657" s="21">
        <v>41821</v>
      </c>
      <c r="C657" s="22" t="s">
        <v>1849</v>
      </c>
      <c r="D657" s="23" t="s">
        <v>63</v>
      </c>
      <c r="E657" s="24" t="s">
        <v>291</v>
      </c>
      <c r="F657" s="24" t="s">
        <v>103</v>
      </c>
    </row>
    <row r="658" spans="1:6" ht="110.25" customHeight="1" x14ac:dyDescent="0.2">
      <c r="A658" s="21">
        <v>41821</v>
      </c>
      <c r="B658" s="21">
        <v>41821</v>
      </c>
      <c r="C658" s="22" t="s">
        <v>1850</v>
      </c>
      <c r="D658" s="23" t="s">
        <v>63</v>
      </c>
      <c r="E658" s="24" t="s">
        <v>430</v>
      </c>
      <c r="F658" s="24" t="s">
        <v>103</v>
      </c>
    </row>
    <row r="659" spans="1:6" ht="116.25" customHeight="1" x14ac:dyDescent="0.2">
      <c r="A659" s="21">
        <v>41821</v>
      </c>
      <c r="B659" s="21">
        <v>41821</v>
      </c>
      <c r="C659" s="22" t="s">
        <v>1851</v>
      </c>
      <c r="D659" s="23" t="s">
        <v>63</v>
      </c>
      <c r="E659" s="24" t="s">
        <v>431</v>
      </c>
      <c r="F659" s="24" t="s">
        <v>103</v>
      </c>
    </row>
    <row r="660" spans="1:6" ht="110.25" customHeight="1" x14ac:dyDescent="0.2">
      <c r="A660" s="21">
        <v>41821</v>
      </c>
      <c r="B660" s="21">
        <v>41821</v>
      </c>
      <c r="C660" s="22" t="s">
        <v>1852</v>
      </c>
      <c r="D660" s="23" t="s">
        <v>63</v>
      </c>
      <c r="E660" s="24" t="s">
        <v>333</v>
      </c>
      <c r="F660" s="24" t="s">
        <v>103</v>
      </c>
    </row>
    <row r="661" spans="1:6" ht="114.75" customHeight="1" x14ac:dyDescent="0.2">
      <c r="A661" s="21">
        <v>41821</v>
      </c>
      <c r="B661" s="21">
        <v>41821</v>
      </c>
      <c r="C661" s="22" t="s">
        <v>1853</v>
      </c>
      <c r="D661" s="23" t="s">
        <v>63</v>
      </c>
      <c r="E661" s="24" t="s">
        <v>160</v>
      </c>
      <c r="F661" s="24" t="s">
        <v>103</v>
      </c>
    </row>
    <row r="662" spans="1:6" ht="117.75" customHeight="1" x14ac:dyDescent="0.2">
      <c r="A662" s="21">
        <v>41821</v>
      </c>
      <c r="B662" s="21">
        <v>41821</v>
      </c>
      <c r="C662" s="22" t="s">
        <v>1854</v>
      </c>
      <c r="D662" s="23" t="s">
        <v>63</v>
      </c>
      <c r="E662" s="24" t="s">
        <v>295</v>
      </c>
      <c r="F662" s="24" t="s">
        <v>103</v>
      </c>
    </row>
    <row r="663" spans="1:6" ht="122.25" customHeight="1" x14ac:dyDescent="0.2">
      <c r="A663" s="21">
        <f>+Dates!$D$10-42</f>
        <v>41821</v>
      </c>
      <c r="B663" s="25">
        <f>+Dates!$D$10-1</f>
        <v>41862</v>
      </c>
      <c r="C663" s="22" t="s">
        <v>726</v>
      </c>
      <c r="D663" s="23" t="s">
        <v>231</v>
      </c>
      <c r="E663" s="24" t="s">
        <v>61</v>
      </c>
      <c r="F663" s="24" t="s">
        <v>306</v>
      </c>
    </row>
    <row r="664" spans="1:6" ht="126" customHeight="1" x14ac:dyDescent="0.2">
      <c r="A664" s="21">
        <f>+Dates!$D$10-42</f>
        <v>41821</v>
      </c>
      <c r="B664" s="25">
        <f>+Dates!$D$10-1</f>
        <v>41862</v>
      </c>
      <c r="C664" s="22" t="s">
        <v>727</v>
      </c>
      <c r="D664" s="23" t="s">
        <v>231</v>
      </c>
      <c r="E664" s="24" t="s">
        <v>80</v>
      </c>
      <c r="F664" s="24" t="s">
        <v>306</v>
      </c>
    </row>
    <row r="665" spans="1:6" ht="126" customHeight="1" x14ac:dyDescent="0.2">
      <c r="A665" s="21">
        <f>+Dates!$D$10-42</f>
        <v>41821</v>
      </c>
      <c r="B665" s="25">
        <f>+Dates!$D$10-1</f>
        <v>41862</v>
      </c>
      <c r="C665" s="22" t="s">
        <v>469</v>
      </c>
      <c r="D665" s="23" t="s">
        <v>231</v>
      </c>
      <c r="E665" s="24" t="s">
        <v>289</v>
      </c>
      <c r="F665" s="24" t="s">
        <v>306</v>
      </c>
    </row>
    <row r="666" spans="1:6" ht="126.75" customHeight="1" x14ac:dyDescent="0.2">
      <c r="A666" s="21">
        <f>+Dates!$D$10-42</f>
        <v>41821</v>
      </c>
      <c r="B666" s="25">
        <f>+Dates!$D$10-1</f>
        <v>41862</v>
      </c>
      <c r="C666" s="22" t="s">
        <v>728</v>
      </c>
      <c r="D666" s="23" t="s">
        <v>231</v>
      </c>
      <c r="E666" s="24" t="s">
        <v>291</v>
      </c>
      <c r="F666" s="24" t="s">
        <v>306</v>
      </c>
    </row>
    <row r="667" spans="1:6" ht="147.75" customHeight="1" x14ac:dyDescent="0.2">
      <c r="A667" s="21">
        <f>+Dates!$D$10-42</f>
        <v>41821</v>
      </c>
      <c r="B667" s="25">
        <f>+Dates!$D$10-1</f>
        <v>41862</v>
      </c>
      <c r="C667" s="22" t="s">
        <v>729</v>
      </c>
      <c r="D667" s="23" t="s">
        <v>231</v>
      </c>
      <c r="E667" s="24" t="s">
        <v>301</v>
      </c>
      <c r="F667" s="24" t="s">
        <v>306</v>
      </c>
    </row>
    <row r="668" spans="1:6" ht="136.5" customHeight="1" x14ac:dyDescent="0.2">
      <c r="A668" s="21">
        <f>+Dates!$D$10-42</f>
        <v>41821</v>
      </c>
      <c r="B668" s="25">
        <f>+Dates!$D$10-1</f>
        <v>41862</v>
      </c>
      <c r="C668" s="22" t="s">
        <v>730</v>
      </c>
      <c r="D668" s="23" t="s">
        <v>231</v>
      </c>
      <c r="E668" s="24" t="s">
        <v>297</v>
      </c>
      <c r="F668" s="24" t="s">
        <v>306</v>
      </c>
    </row>
    <row r="669" spans="1:6" ht="84.75" customHeight="1" x14ac:dyDescent="0.2">
      <c r="A669" s="21">
        <f>+Dates!$D$17</f>
        <v>41824</v>
      </c>
      <c r="B669" s="21">
        <f>+Dates!$D$17</f>
        <v>41824</v>
      </c>
      <c r="C669" s="22" t="s">
        <v>152</v>
      </c>
      <c r="D669" s="23" t="s">
        <v>293</v>
      </c>
      <c r="E669" s="24" t="s">
        <v>294</v>
      </c>
      <c r="F669" s="24" t="s">
        <v>294</v>
      </c>
    </row>
    <row r="670" spans="1:6" ht="93" customHeight="1" x14ac:dyDescent="0.2">
      <c r="A670" s="21">
        <f>+Dates!$D$11-119</f>
        <v>41828</v>
      </c>
      <c r="B670" s="21">
        <f>+Dates!$D$11-119</f>
        <v>41828</v>
      </c>
      <c r="C670" s="22" t="s">
        <v>731</v>
      </c>
      <c r="D670" s="23" t="s">
        <v>95</v>
      </c>
      <c r="E670" s="24" t="s">
        <v>61</v>
      </c>
      <c r="F670" s="24" t="s">
        <v>97</v>
      </c>
    </row>
    <row r="671" spans="1:6" ht="94.5" customHeight="1" x14ac:dyDescent="0.2">
      <c r="A671" s="21">
        <f>+Dates!$D$11-119</f>
        <v>41828</v>
      </c>
      <c r="B671" s="21">
        <f>+Dates!$D$11-119</f>
        <v>41828</v>
      </c>
      <c r="C671" s="22" t="s">
        <v>732</v>
      </c>
      <c r="D671" s="23" t="s">
        <v>95</v>
      </c>
      <c r="E671" s="24" t="s">
        <v>80</v>
      </c>
      <c r="F671" s="24" t="s">
        <v>97</v>
      </c>
    </row>
    <row r="672" spans="1:6" ht="91.5" customHeight="1" x14ac:dyDescent="0.2">
      <c r="A672" s="21">
        <f>+Dates!$D$11-119</f>
        <v>41828</v>
      </c>
      <c r="B672" s="21">
        <f>+Dates!$D$11-119</f>
        <v>41828</v>
      </c>
      <c r="C672" s="22" t="s">
        <v>41</v>
      </c>
      <c r="D672" s="23" t="s">
        <v>95</v>
      </c>
      <c r="E672" s="24" t="s">
        <v>96</v>
      </c>
      <c r="F672" s="24" t="s">
        <v>97</v>
      </c>
    </row>
    <row r="673" spans="1:6" ht="95.25" customHeight="1" x14ac:dyDescent="0.2">
      <c r="A673" s="21">
        <f>+Dates!$D$11-119</f>
        <v>41828</v>
      </c>
      <c r="B673" s="21">
        <f>+Dates!$D$11-119</f>
        <v>41828</v>
      </c>
      <c r="C673" s="22" t="s">
        <v>733</v>
      </c>
      <c r="D673" s="23" t="s">
        <v>95</v>
      </c>
      <c r="E673" s="24" t="s">
        <v>289</v>
      </c>
      <c r="F673" s="24" t="s">
        <v>97</v>
      </c>
    </row>
    <row r="674" spans="1:6" ht="95.25" customHeight="1" x14ac:dyDescent="0.2">
      <c r="A674" s="21">
        <f>+Dates!$D$11-119</f>
        <v>41828</v>
      </c>
      <c r="B674" s="21">
        <f>+Dates!$D$11-119</f>
        <v>41828</v>
      </c>
      <c r="C674" s="22" t="s">
        <v>734</v>
      </c>
      <c r="D674" s="23" t="s">
        <v>95</v>
      </c>
      <c r="E674" s="24" t="s">
        <v>291</v>
      </c>
      <c r="F674" s="24" t="s">
        <v>97</v>
      </c>
    </row>
    <row r="675" spans="1:6" ht="122.25" customHeight="1" x14ac:dyDescent="0.2">
      <c r="A675" s="21">
        <f>+Dates!$D$10-32</f>
        <v>41831</v>
      </c>
      <c r="B675" s="21">
        <f>+Dates!$D$10-32</f>
        <v>41831</v>
      </c>
      <c r="C675" s="22" t="s">
        <v>735</v>
      </c>
      <c r="D675" s="23" t="s">
        <v>169</v>
      </c>
      <c r="E675" s="24" t="s">
        <v>61</v>
      </c>
      <c r="F675" s="24" t="s">
        <v>103</v>
      </c>
    </row>
    <row r="676" spans="1:6" ht="123.75" customHeight="1" x14ac:dyDescent="0.2">
      <c r="A676" s="21">
        <f>+Dates!$D$10-32</f>
        <v>41831</v>
      </c>
      <c r="B676" s="21">
        <f>+Dates!$D$10-32</f>
        <v>41831</v>
      </c>
      <c r="C676" s="22" t="s">
        <v>85</v>
      </c>
      <c r="D676" s="23" t="s">
        <v>169</v>
      </c>
      <c r="E676" s="24" t="s">
        <v>292</v>
      </c>
      <c r="F676" s="24" t="s">
        <v>103</v>
      </c>
    </row>
    <row r="677" spans="1:6" ht="126" customHeight="1" x14ac:dyDescent="0.2">
      <c r="A677" s="21">
        <f>+Dates!$D$10-32</f>
        <v>41831</v>
      </c>
      <c r="B677" s="21">
        <f>+Dates!$D$10-32</f>
        <v>41831</v>
      </c>
      <c r="C677" s="22" t="s">
        <v>265</v>
      </c>
      <c r="D677" s="23" t="s">
        <v>169</v>
      </c>
      <c r="E677" s="24" t="s">
        <v>301</v>
      </c>
      <c r="F677" s="24" t="s">
        <v>103</v>
      </c>
    </row>
    <row r="678" spans="1:6" ht="119.25" customHeight="1" x14ac:dyDescent="0.2">
      <c r="A678" s="21">
        <f>+Dates!$D$10-32</f>
        <v>41831</v>
      </c>
      <c r="B678" s="21">
        <f>+Dates!$D$10-32</f>
        <v>41831</v>
      </c>
      <c r="C678" s="22" t="s">
        <v>19</v>
      </c>
      <c r="D678" s="23" t="s">
        <v>169</v>
      </c>
      <c r="E678" s="24" t="s">
        <v>297</v>
      </c>
      <c r="F678" s="24" t="s">
        <v>103</v>
      </c>
    </row>
    <row r="679" spans="1:6" ht="111" customHeight="1" x14ac:dyDescent="0.2">
      <c r="A679" s="21">
        <f>+Dates!$D$10-32</f>
        <v>41831</v>
      </c>
      <c r="B679" s="21">
        <f>+Dates!$D$10-32</f>
        <v>41831</v>
      </c>
      <c r="C679" s="22" t="s">
        <v>736</v>
      </c>
      <c r="D679" s="23" t="s">
        <v>168</v>
      </c>
      <c r="E679" s="24" t="s">
        <v>61</v>
      </c>
      <c r="F679" s="24" t="s">
        <v>103</v>
      </c>
    </row>
    <row r="680" spans="1:6" ht="108.75" customHeight="1" x14ac:dyDescent="0.2">
      <c r="A680" s="21">
        <f>+Dates!$D$10-32</f>
        <v>41831</v>
      </c>
      <c r="B680" s="21">
        <f>+Dates!$D$10-32</f>
        <v>41831</v>
      </c>
      <c r="C680" s="22" t="s">
        <v>91</v>
      </c>
      <c r="D680" s="23" t="s">
        <v>168</v>
      </c>
      <c r="E680" s="24" t="s">
        <v>292</v>
      </c>
      <c r="F680" s="24" t="s">
        <v>103</v>
      </c>
    </row>
    <row r="681" spans="1:6" ht="123" customHeight="1" x14ac:dyDescent="0.2">
      <c r="A681" s="21">
        <f>+Dates!$D$11-112</f>
        <v>41835</v>
      </c>
      <c r="B681" s="21">
        <f>+Dates!$D$11-112</f>
        <v>41835</v>
      </c>
      <c r="C681" s="22" t="s">
        <v>1346</v>
      </c>
      <c r="D681" s="23" t="s">
        <v>754</v>
      </c>
      <c r="E681" s="24" t="s">
        <v>61</v>
      </c>
      <c r="F681" s="24" t="s">
        <v>103</v>
      </c>
    </row>
    <row r="682" spans="1:6" ht="122.25" customHeight="1" x14ac:dyDescent="0.2">
      <c r="A682" s="21">
        <f>+Dates!$D$11-112</f>
        <v>41835</v>
      </c>
      <c r="B682" s="21">
        <f>+Dates!$D$11-112</f>
        <v>41835</v>
      </c>
      <c r="C682" s="22" t="s">
        <v>1347</v>
      </c>
      <c r="D682" s="23" t="s">
        <v>754</v>
      </c>
      <c r="E682" s="24" t="s">
        <v>135</v>
      </c>
      <c r="F682" s="24" t="s">
        <v>103</v>
      </c>
    </row>
    <row r="683" spans="1:6" ht="132.75" customHeight="1" x14ac:dyDescent="0.2">
      <c r="A683" s="21">
        <f>+Dates!$D$11-112</f>
        <v>41835</v>
      </c>
      <c r="B683" s="21">
        <f>+Dates!$D$11-112</f>
        <v>41835</v>
      </c>
      <c r="C683" s="22" t="s">
        <v>1348</v>
      </c>
      <c r="D683" s="23" t="s">
        <v>754</v>
      </c>
      <c r="E683" s="24" t="s">
        <v>391</v>
      </c>
      <c r="F683" s="24" t="s">
        <v>103</v>
      </c>
    </row>
    <row r="684" spans="1:6" ht="123" customHeight="1" x14ac:dyDescent="0.2">
      <c r="A684" s="21">
        <f>+Dates!$D$11-112</f>
        <v>41835</v>
      </c>
      <c r="B684" s="21">
        <f>+Dates!$D$11-112</f>
        <v>41835</v>
      </c>
      <c r="C684" s="22" t="s">
        <v>1349</v>
      </c>
      <c r="D684" s="23" t="s">
        <v>754</v>
      </c>
      <c r="E684" s="24" t="s">
        <v>80</v>
      </c>
      <c r="F684" s="24" t="s">
        <v>103</v>
      </c>
    </row>
    <row r="685" spans="1:6" ht="78.75" customHeight="1" x14ac:dyDescent="0.2">
      <c r="A685" s="21">
        <f>+Dates!$D$11-112</f>
        <v>41835</v>
      </c>
      <c r="B685" s="21">
        <f>+Dates!$D$11-112</f>
        <v>41835</v>
      </c>
      <c r="C685" s="22" t="s">
        <v>758</v>
      </c>
      <c r="D685" s="23" t="s">
        <v>9</v>
      </c>
      <c r="E685" s="24" t="s">
        <v>289</v>
      </c>
      <c r="F685" s="24" t="s">
        <v>103</v>
      </c>
    </row>
    <row r="686" spans="1:6" ht="134.25" customHeight="1" x14ac:dyDescent="0.2">
      <c r="A686" s="21">
        <f>+Dates!$D$11-112</f>
        <v>41835</v>
      </c>
      <c r="B686" s="21">
        <f>+Dates!$D$11-112</f>
        <v>41835</v>
      </c>
      <c r="C686" s="22" t="s">
        <v>755</v>
      </c>
      <c r="D686" s="23" t="s">
        <v>754</v>
      </c>
      <c r="E686" s="24" t="s">
        <v>291</v>
      </c>
      <c r="F686" s="24" t="s">
        <v>103</v>
      </c>
    </row>
    <row r="687" spans="1:6" ht="83.25" customHeight="1" x14ac:dyDescent="0.2">
      <c r="A687" s="21">
        <f>+Dates!$D$11-112</f>
        <v>41835</v>
      </c>
      <c r="B687" s="21">
        <f>+Dates!$D$11-112</f>
        <v>41835</v>
      </c>
      <c r="C687" s="22" t="s">
        <v>759</v>
      </c>
      <c r="D687" s="23" t="s">
        <v>9</v>
      </c>
      <c r="E687" s="24" t="s">
        <v>301</v>
      </c>
      <c r="F687" s="24" t="s">
        <v>103</v>
      </c>
    </row>
    <row r="688" spans="1:6" ht="124.5" customHeight="1" x14ac:dyDescent="0.2">
      <c r="A688" s="21">
        <f>+Dates!$D$11-112</f>
        <v>41835</v>
      </c>
      <c r="B688" s="21">
        <f>+Dates!$D$11-112</f>
        <v>41835</v>
      </c>
      <c r="C688" s="22" t="s">
        <v>756</v>
      </c>
      <c r="D688" s="23" t="s">
        <v>754</v>
      </c>
      <c r="E688" s="24" t="s">
        <v>297</v>
      </c>
      <c r="F688" s="24" t="s">
        <v>103</v>
      </c>
    </row>
    <row r="689" spans="1:6" ht="122.25" customHeight="1" x14ac:dyDescent="0.2">
      <c r="A689" s="21">
        <f>+Dates!$D$11-112</f>
        <v>41835</v>
      </c>
      <c r="B689" s="21">
        <f>+Dates!$D$11-112</f>
        <v>41835</v>
      </c>
      <c r="C689" s="22" t="s">
        <v>757</v>
      </c>
      <c r="D689" s="23" t="s">
        <v>754</v>
      </c>
      <c r="E689" s="24" t="s">
        <v>295</v>
      </c>
      <c r="F689" s="24" t="s">
        <v>103</v>
      </c>
    </row>
    <row r="690" spans="1:6" ht="133.5" customHeight="1" x14ac:dyDescent="0.2">
      <c r="A690" s="21">
        <f>+Dates!$D$11-112</f>
        <v>41835</v>
      </c>
      <c r="B690" s="21">
        <f>+Dates!$D$11-112</f>
        <v>41835</v>
      </c>
      <c r="C690" s="22" t="s">
        <v>1949</v>
      </c>
      <c r="D690" s="23" t="s">
        <v>754</v>
      </c>
      <c r="E690" s="24" t="s">
        <v>160</v>
      </c>
      <c r="F690" s="24" t="s">
        <v>103</v>
      </c>
    </row>
    <row r="691" spans="1:6" ht="126" customHeight="1" x14ac:dyDescent="0.2">
      <c r="A691" s="21">
        <f>+Dates!$D$11-109</f>
        <v>41838</v>
      </c>
      <c r="B691" s="21">
        <f>+Dates!$D$11-109</f>
        <v>41838</v>
      </c>
      <c r="C691" s="22" t="s">
        <v>777</v>
      </c>
      <c r="D691" s="23" t="s">
        <v>42</v>
      </c>
      <c r="E691" s="24" t="s">
        <v>61</v>
      </c>
      <c r="F691" s="24" t="s">
        <v>103</v>
      </c>
    </row>
    <row r="692" spans="1:6" ht="130.5" customHeight="1" x14ac:dyDescent="0.2">
      <c r="A692" s="21">
        <f>+Dates!$D$11-109</f>
        <v>41838</v>
      </c>
      <c r="B692" s="21">
        <f>+Dates!$D$11-109</f>
        <v>41838</v>
      </c>
      <c r="C692" s="22" t="s">
        <v>779</v>
      </c>
      <c r="D692" s="23" t="s">
        <v>42</v>
      </c>
      <c r="E692" s="24" t="s">
        <v>135</v>
      </c>
      <c r="F692" s="24" t="s">
        <v>103</v>
      </c>
    </row>
    <row r="693" spans="1:6" ht="135.75" customHeight="1" x14ac:dyDescent="0.2">
      <c r="A693" s="21">
        <f>+Dates!$D$11-109</f>
        <v>41838</v>
      </c>
      <c r="B693" s="21">
        <f>+Dates!$D$11-109</f>
        <v>41838</v>
      </c>
      <c r="C693" s="22" t="s">
        <v>778</v>
      </c>
      <c r="D693" s="23" t="s">
        <v>42</v>
      </c>
      <c r="E693" s="24" t="s">
        <v>391</v>
      </c>
      <c r="F693" s="24" t="s">
        <v>103</v>
      </c>
    </row>
    <row r="694" spans="1:6" ht="130.5" customHeight="1" x14ac:dyDescent="0.2">
      <c r="A694" s="21">
        <f>+Dates!$D$11-109</f>
        <v>41838</v>
      </c>
      <c r="B694" s="21">
        <f>+Dates!$D$11-109</f>
        <v>41838</v>
      </c>
      <c r="C694" s="22" t="s">
        <v>780</v>
      </c>
      <c r="D694" s="23" t="s">
        <v>42</v>
      </c>
      <c r="E694" s="24" t="s">
        <v>80</v>
      </c>
      <c r="F694" s="24" t="s">
        <v>103</v>
      </c>
    </row>
    <row r="695" spans="1:6" ht="73.5" customHeight="1" x14ac:dyDescent="0.2">
      <c r="A695" s="21">
        <f>+Dates!$D$11-109</f>
        <v>41838</v>
      </c>
      <c r="B695" s="21">
        <f>+Dates!$D$11-109</f>
        <v>41838</v>
      </c>
      <c r="C695" s="22" t="s">
        <v>785</v>
      </c>
      <c r="D695" s="23" t="s">
        <v>786</v>
      </c>
      <c r="E695" s="24" t="s">
        <v>289</v>
      </c>
      <c r="F695" s="24" t="s">
        <v>103</v>
      </c>
    </row>
    <row r="696" spans="1:6" ht="138.75" customHeight="1" x14ac:dyDescent="0.2">
      <c r="A696" s="21">
        <f>+Dates!$D$11-109</f>
        <v>41838</v>
      </c>
      <c r="B696" s="21">
        <f>+Dates!$D$11-109</f>
        <v>41838</v>
      </c>
      <c r="C696" s="22" t="s">
        <v>781</v>
      </c>
      <c r="D696" s="23" t="s">
        <v>42</v>
      </c>
      <c r="E696" s="24" t="s">
        <v>291</v>
      </c>
      <c r="F696" s="24" t="s">
        <v>103</v>
      </c>
    </row>
    <row r="697" spans="1:6" ht="86.25" customHeight="1" x14ac:dyDescent="0.2">
      <c r="A697" s="21">
        <f>+Dates!$D$11-109</f>
        <v>41838</v>
      </c>
      <c r="B697" s="21">
        <f>+Dates!$D$11-109</f>
        <v>41838</v>
      </c>
      <c r="C697" s="22" t="s">
        <v>787</v>
      </c>
      <c r="D697" s="23" t="s">
        <v>786</v>
      </c>
      <c r="E697" s="24" t="s">
        <v>301</v>
      </c>
      <c r="F697" s="24" t="s">
        <v>103</v>
      </c>
    </row>
    <row r="698" spans="1:6" ht="126" customHeight="1" x14ac:dyDescent="0.2">
      <c r="A698" s="21">
        <f>+Dates!$D$11-109</f>
        <v>41838</v>
      </c>
      <c r="B698" s="21">
        <f>+Dates!$D$11-109</f>
        <v>41838</v>
      </c>
      <c r="C698" s="22" t="s">
        <v>783</v>
      </c>
      <c r="D698" s="23" t="s">
        <v>42</v>
      </c>
      <c r="E698" s="24" t="s">
        <v>297</v>
      </c>
      <c r="F698" s="24" t="s">
        <v>103</v>
      </c>
    </row>
    <row r="699" spans="1:6" ht="132" customHeight="1" x14ac:dyDescent="0.2">
      <c r="A699" s="21">
        <f>+Dates!$D$11-109</f>
        <v>41838</v>
      </c>
      <c r="B699" s="21">
        <f>+Dates!$D$11-109</f>
        <v>41838</v>
      </c>
      <c r="C699" s="22" t="s">
        <v>782</v>
      </c>
      <c r="D699" s="23" t="s">
        <v>42</v>
      </c>
      <c r="E699" s="24" t="s">
        <v>160</v>
      </c>
      <c r="F699" s="24" t="s">
        <v>103</v>
      </c>
    </row>
    <row r="700" spans="1:6" ht="124.5" customHeight="1" x14ac:dyDescent="0.2">
      <c r="A700" s="21">
        <f>+Dates!$D$11-109</f>
        <v>41838</v>
      </c>
      <c r="B700" s="21">
        <f>+Dates!$D$11-109</f>
        <v>41838</v>
      </c>
      <c r="C700" s="22" t="s">
        <v>784</v>
      </c>
      <c r="D700" s="23" t="s">
        <v>42</v>
      </c>
      <c r="E700" s="24" t="s">
        <v>295</v>
      </c>
      <c r="F700" s="24" t="s">
        <v>103</v>
      </c>
    </row>
    <row r="701" spans="1:6" ht="125.25" customHeight="1" x14ac:dyDescent="0.2">
      <c r="A701" s="21">
        <f>+Dates!$D$10-25</f>
        <v>41838</v>
      </c>
      <c r="B701" s="21">
        <f>+Dates!$D$10-25</f>
        <v>41838</v>
      </c>
      <c r="C701" s="22" t="s">
        <v>746</v>
      </c>
      <c r="D701" s="23" t="s">
        <v>439</v>
      </c>
      <c r="E701" s="24" t="s">
        <v>61</v>
      </c>
      <c r="F701" s="24" t="s">
        <v>111</v>
      </c>
    </row>
    <row r="702" spans="1:6" ht="105" customHeight="1" x14ac:dyDescent="0.2">
      <c r="A702" s="21">
        <f>+Dates!$D$10-25</f>
        <v>41838</v>
      </c>
      <c r="B702" s="21">
        <f>+Dates!$D$10-25</f>
        <v>41838</v>
      </c>
      <c r="C702" s="22" t="s">
        <v>745</v>
      </c>
      <c r="D702" s="23" t="s">
        <v>439</v>
      </c>
      <c r="E702" s="24" t="s">
        <v>292</v>
      </c>
      <c r="F702" s="24" t="s">
        <v>111</v>
      </c>
    </row>
    <row r="703" spans="1:6" ht="87" customHeight="1" x14ac:dyDescent="0.2">
      <c r="A703" s="21">
        <f>+Dates!$D$10-25</f>
        <v>41838</v>
      </c>
      <c r="B703" s="21">
        <f>+Dates!$D$10-25</f>
        <v>41838</v>
      </c>
      <c r="C703" s="22" t="s">
        <v>748</v>
      </c>
      <c r="D703" s="23" t="s">
        <v>331</v>
      </c>
      <c r="E703" s="24" t="s">
        <v>61</v>
      </c>
      <c r="F703" s="24" t="s">
        <v>332</v>
      </c>
    </row>
    <row r="704" spans="1:6" ht="91.5" customHeight="1" x14ac:dyDescent="0.2">
      <c r="A704" s="21">
        <f>+Dates!$D$10-25</f>
        <v>41838</v>
      </c>
      <c r="B704" s="21">
        <f>+Dates!$D$10-25</f>
        <v>41838</v>
      </c>
      <c r="C704" s="22" t="s">
        <v>749</v>
      </c>
      <c r="D704" s="23" t="s">
        <v>331</v>
      </c>
      <c r="E704" s="24" t="s">
        <v>391</v>
      </c>
      <c r="F704" s="24" t="s">
        <v>332</v>
      </c>
    </row>
    <row r="705" spans="1:6" ht="83.25" customHeight="1" x14ac:dyDescent="0.2">
      <c r="A705" s="21">
        <f>+Dates!$D$10-25</f>
        <v>41838</v>
      </c>
      <c r="B705" s="21">
        <f>+Dates!$D$10-25</f>
        <v>41838</v>
      </c>
      <c r="C705" s="22" t="s">
        <v>750</v>
      </c>
      <c r="D705" s="23" t="s">
        <v>331</v>
      </c>
      <c r="E705" s="24" t="s">
        <v>80</v>
      </c>
      <c r="F705" s="24" t="s">
        <v>332</v>
      </c>
    </row>
    <row r="706" spans="1:6" ht="87" customHeight="1" x14ac:dyDescent="0.2">
      <c r="A706" s="21">
        <f>+Dates!$D$10-25</f>
        <v>41838</v>
      </c>
      <c r="B706" s="21">
        <f>+Dates!$D$10-25</f>
        <v>41838</v>
      </c>
      <c r="C706" s="22" t="s">
        <v>751</v>
      </c>
      <c r="D706" s="23" t="s">
        <v>331</v>
      </c>
      <c r="E706" s="24" t="s">
        <v>289</v>
      </c>
      <c r="F706" s="24" t="s">
        <v>332</v>
      </c>
    </row>
    <row r="707" spans="1:6" ht="93" customHeight="1" x14ac:dyDescent="0.2">
      <c r="A707" s="21">
        <f>+Dates!$D$10-25</f>
        <v>41838</v>
      </c>
      <c r="B707" s="21">
        <f>+Dates!$D$10-25</f>
        <v>41838</v>
      </c>
      <c r="C707" s="22" t="s">
        <v>752</v>
      </c>
      <c r="D707" s="23" t="s">
        <v>331</v>
      </c>
      <c r="E707" s="24" t="s">
        <v>291</v>
      </c>
      <c r="F707" s="24" t="s">
        <v>332</v>
      </c>
    </row>
    <row r="708" spans="1:6" ht="96" customHeight="1" x14ac:dyDescent="0.2">
      <c r="A708" s="21">
        <f>+Dates!$D$10-25</f>
        <v>41838</v>
      </c>
      <c r="B708" s="21">
        <f>+Dates!$D$10-25</f>
        <v>41838</v>
      </c>
      <c r="C708" s="22" t="s">
        <v>753</v>
      </c>
      <c r="D708" s="23" t="s">
        <v>331</v>
      </c>
      <c r="E708" s="24" t="s">
        <v>301</v>
      </c>
      <c r="F708" s="24" t="s">
        <v>332</v>
      </c>
    </row>
    <row r="709" spans="1:6" ht="99" customHeight="1" x14ac:dyDescent="0.2">
      <c r="A709" s="21">
        <f>+Dates!$D$10-25</f>
        <v>41838</v>
      </c>
      <c r="B709" s="21">
        <f>+Dates!$D$10-25</f>
        <v>41838</v>
      </c>
      <c r="C709" s="22" t="s">
        <v>747</v>
      </c>
      <c r="D709" s="23" t="s">
        <v>331</v>
      </c>
      <c r="E709" s="24" t="s">
        <v>297</v>
      </c>
      <c r="F709" s="24" t="s">
        <v>332</v>
      </c>
    </row>
    <row r="710" spans="1:6" ht="72" customHeight="1" x14ac:dyDescent="0.2">
      <c r="A710" s="21">
        <f>+Dates!$D$10-25</f>
        <v>41838</v>
      </c>
      <c r="B710" s="21">
        <f>+Dates!$D$10-25</f>
        <v>41838</v>
      </c>
      <c r="C710" s="22" t="s">
        <v>766</v>
      </c>
      <c r="D710" s="23" t="s">
        <v>93</v>
      </c>
      <c r="E710" s="24" t="s">
        <v>61</v>
      </c>
      <c r="F710" s="24" t="s">
        <v>94</v>
      </c>
    </row>
    <row r="711" spans="1:6" ht="89.25" customHeight="1" x14ac:dyDescent="0.2">
      <c r="A711" s="21">
        <f>+Dates!$D$10-25</f>
        <v>41838</v>
      </c>
      <c r="B711" s="21">
        <f>+Dates!$D$10-25</f>
        <v>41838</v>
      </c>
      <c r="C711" s="22" t="s">
        <v>770</v>
      </c>
      <c r="D711" s="23" t="s">
        <v>93</v>
      </c>
      <c r="E711" s="24" t="s">
        <v>80</v>
      </c>
      <c r="F711" s="24" t="s">
        <v>94</v>
      </c>
    </row>
    <row r="712" spans="1:6" ht="73.5" customHeight="1" x14ac:dyDescent="0.2">
      <c r="A712" s="21">
        <f>+Dates!$D$10-25</f>
        <v>41838</v>
      </c>
      <c r="B712" s="21">
        <f>+Dates!$D$10-25</f>
        <v>41838</v>
      </c>
      <c r="C712" s="22" t="s">
        <v>767</v>
      </c>
      <c r="D712" s="23" t="s">
        <v>93</v>
      </c>
      <c r="E712" s="24" t="s">
        <v>291</v>
      </c>
      <c r="F712" s="24" t="s">
        <v>94</v>
      </c>
    </row>
    <row r="713" spans="1:6" ht="75.75" customHeight="1" x14ac:dyDescent="0.2">
      <c r="A713" s="21">
        <f>+Dates!$D$10-25</f>
        <v>41838</v>
      </c>
      <c r="B713" s="21">
        <f>+Dates!$D$10-25</f>
        <v>41838</v>
      </c>
      <c r="C713" s="22" t="s">
        <v>92</v>
      </c>
      <c r="D713" s="23" t="s">
        <v>93</v>
      </c>
      <c r="E713" s="24" t="s">
        <v>289</v>
      </c>
      <c r="F713" s="24" t="s">
        <v>94</v>
      </c>
    </row>
    <row r="714" spans="1:6" ht="90.75" customHeight="1" x14ac:dyDescent="0.2">
      <c r="A714" s="21">
        <f>+Dates!$D$10-25</f>
        <v>41838</v>
      </c>
      <c r="B714" s="21">
        <f>+Dates!$D$10-25</f>
        <v>41838</v>
      </c>
      <c r="C714" s="22" t="s">
        <v>768</v>
      </c>
      <c r="D714" s="23" t="s">
        <v>93</v>
      </c>
      <c r="E714" s="24" t="s">
        <v>301</v>
      </c>
      <c r="F714" s="24" t="s">
        <v>94</v>
      </c>
    </row>
    <row r="715" spans="1:6" ht="78.75" customHeight="1" x14ac:dyDescent="0.2">
      <c r="A715" s="21">
        <f>+Dates!$D$10-25</f>
        <v>41838</v>
      </c>
      <c r="B715" s="21">
        <f>+Dates!$D$10-25</f>
        <v>41838</v>
      </c>
      <c r="C715" s="22" t="s">
        <v>769</v>
      </c>
      <c r="D715" s="23" t="s">
        <v>93</v>
      </c>
      <c r="E715" s="24" t="s">
        <v>297</v>
      </c>
      <c r="F715" s="24" t="s">
        <v>94</v>
      </c>
    </row>
    <row r="716" spans="1:6" ht="149.25" customHeight="1" x14ac:dyDescent="0.2">
      <c r="A716" s="21">
        <f>+Dates!$D$10-22</f>
        <v>41841</v>
      </c>
      <c r="B716" s="21">
        <f>+Dates!$D$10-22</f>
        <v>41841</v>
      </c>
      <c r="C716" s="22" t="s">
        <v>1908</v>
      </c>
      <c r="D716" s="23" t="s">
        <v>1904</v>
      </c>
      <c r="E716" s="24" t="s">
        <v>61</v>
      </c>
      <c r="F716" s="24" t="s">
        <v>119</v>
      </c>
    </row>
    <row r="717" spans="1:6" ht="155.25" customHeight="1" x14ac:dyDescent="0.2">
      <c r="A717" s="21">
        <f>+Dates!$D$10-22</f>
        <v>41841</v>
      </c>
      <c r="B717" s="21">
        <f>+Dates!$D$10-22</f>
        <v>41841</v>
      </c>
      <c r="C717" s="22" t="s">
        <v>1909</v>
      </c>
      <c r="D717" s="23" t="s">
        <v>1904</v>
      </c>
      <c r="E717" s="24" t="s">
        <v>80</v>
      </c>
      <c r="F717" s="24" t="s">
        <v>119</v>
      </c>
    </row>
    <row r="718" spans="1:6" ht="155.25" customHeight="1" x14ac:dyDescent="0.2">
      <c r="A718" s="21">
        <f>+Dates!$D$10-22</f>
        <v>41841</v>
      </c>
      <c r="B718" s="21">
        <f>+Dates!$D$10-22</f>
        <v>41841</v>
      </c>
      <c r="C718" s="22" t="s">
        <v>1910</v>
      </c>
      <c r="D718" s="23" t="s">
        <v>1904</v>
      </c>
      <c r="E718" s="24" t="s">
        <v>289</v>
      </c>
      <c r="F718" s="24" t="s">
        <v>119</v>
      </c>
    </row>
    <row r="719" spans="1:6" ht="155.25" customHeight="1" x14ac:dyDescent="0.2">
      <c r="A719" s="21">
        <f>+Dates!$D$10-22</f>
        <v>41841</v>
      </c>
      <c r="B719" s="21">
        <f>+Dates!$D$10-22</f>
        <v>41841</v>
      </c>
      <c r="C719" s="22" t="s">
        <v>1911</v>
      </c>
      <c r="D719" s="23" t="s">
        <v>1904</v>
      </c>
      <c r="E719" s="24" t="s">
        <v>291</v>
      </c>
      <c r="F719" s="24" t="s">
        <v>119</v>
      </c>
    </row>
    <row r="720" spans="1:6" ht="155.25" customHeight="1" x14ac:dyDescent="0.2">
      <c r="A720" s="21">
        <f>+Dates!$D$10-22</f>
        <v>41841</v>
      </c>
      <c r="B720" s="21">
        <f>+Dates!$D$10-22</f>
        <v>41841</v>
      </c>
      <c r="C720" s="22" t="s">
        <v>1912</v>
      </c>
      <c r="D720" s="23" t="s">
        <v>1904</v>
      </c>
      <c r="E720" s="24" t="s">
        <v>301</v>
      </c>
      <c r="F720" s="24" t="s">
        <v>119</v>
      </c>
    </row>
    <row r="721" spans="1:6" ht="155.25" customHeight="1" x14ac:dyDescent="0.2">
      <c r="A721" s="21">
        <f>+Dates!$D$10-22</f>
        <v>41841</v>
      </c>
      <c r="B721" s="21">
        <f>+Dates!$D$10-22</f>
        <v>41841</v>
      </c>
      <c r="C721" s="22" t="s">
        <v>1913</v>
      </c>
      <c r="D721" s="23" t="s">
        <v>1904</v>
      </c>
      <c r="E721" s="24" t="s">
        <v>297</v>
      </c>
      <c r="F721" s="24" t="s">
        <v>119</v>
      </c>
    </row>
    <row r="722" spans="1:6" ht="78" customHeight="1" x14ac:dyDescent="0.2">
      <c r="A722" s="21">
        <f>+Dates!$D$10-21</f>
        <v>41842</v>
      </c>
      <c r="B722" s="21">
        <f>+Dates!$D$10-21</f>
        <v>41842</v>
      </c>
      <c r="C722" s="22" t="s">
        <v>760</v>
      </c>
      <c r="D722" s="23" t="s">
        <v>335</v>
      </c>
      <c r="E722" s="24" t="s">
        <v>61</v>
      </c>
      <c r="F722" s="24" t="s">
        <v>195</v>
      </c>
    </row>
    <row r="723" spans="1:6" ht="78" customHeight="1" x14ac:dyDescent="0.2">
      <c r="A723" s="21">
        <f>+Dates!$D$10-21</f>
        <v>41842</v>
      </c>
      <c r="B723" s="21">
        <f>+Dates!$D$10-21</f>
        <v>41842</v>
      </c>
      <c r="C723" s="22" t="s">
        <v>761</v>
      </c>
      <c r="D723" s="23" t="s">
        <v>335</v>
      </c>
      <c r="E723" s="24" t="s">
        <v>391</v>
      </c>
      <c r="F723" s="24" t="s">
        <v>195</v>
      </c>
    </row>
    <row r="724" spans="1:6" ht="72" customHeight="1" x14ac:dyDescent="0.2">
      <c r="A724" s="21">
        <f>+Dates!$D$10-21</f>
        <v>41842</v>
      </c>
      <c r="B724" s="21">
        <f>+Dates!$D$10-21</f>
        <v>41842</v>
      </c>
      <c r="C724" s="22" t="s">
        <v>172</v>
      </c>
      <c r="D724" s="23" t="s">
        <v>335</v>
      </c>
      <c r="E724" s="24" t="s">
        <v>292</v>
      </c>
      <c r="F724" s="24" t="s">
        <v>195</v>
      </c>
    </row>
    <row r="725" spans="1:6" ht="94.5" customHeight="1" x14ac:dyDescent="0.2">
      <c r="A725" s="21">
        <f>+Dates!$D$10-21</f>
        <v>41842</v>
      </c>
      <c r="B725" s="21">
        <f>+Dates!$D$10-21</f>
        <v>41842</v>
      </c>
      <c r="C725" s="22" t="s">
        <v>1733</v>
      </c>
      <c r="D725" s="23" t="s">
        <v>335</v>
      </c>
      <c r="E725" s="24" t="s">
        <v>1062</v>
      </c>
      <c r="F725" s="24" t="s">
        <v>195</v>
      </c>
    </row>
    <row r="726" spans="1:6" ht="73.5" customHeight="1" x14ac:dyDescent="0.2">
      <c r="A726" s="21">
        <f>+Dates!$D$10-21</f>
        <v>41842</v>
      </c>
      <c r="B726" s="21">
        <f>+Dates!$D$10-21</f>
        <v>41842</v>
      </c>
      <c r="C726" s="22" t="s">
        <v>762</v>
      </c>
      <c r="D726" s="23" t="s">
        <v>335</v>
      </c>
      <c r="E726" s="24" t="s">
        <v>289</v>
      </c>
      <c r="F726" s="24" t="s">
        <v>195</v>
      </c>
    </row>
    <row r="727" spans="1:6" ht="87.75" customHeight="1" x14ac:dyDescent="0.2">
      <c r="A727" s="21">
        <f>+Dates!$D$10-21</f>
        <v>41842</v>
      </c>
      <c r="B727" s="21">
        <f>+Dates!$D$10-21</f>
        <v>41842</v>
      </c>
      <c r="C727" s="22" t="s">
        <v>763</v>
      </c>
      <c r="D727" s="23" t="s">
        <v>335</v>
      </c>
      <c r="E727" s="24" t="s">
        <v>291</v>
      </c>
      <c r="F727" s="24" t="s">
        <v>195</v>
      </c>
    </row>
    <row r="728" spans="1:6" ht="87.75" customHeight="1" x14ac:dyDescent="0.2">
      <c r="A728" s="21">
        <f>+Dates!$D$10-21</f>
        <v>41842</v>
      </c>
      <c r="B728" s="21">
        <f>+Dates!$D$10-21</f>
        <v>41842</v>
      </c>
      <c r="C728" s="22" t="s">
        <v>764</v>
      </c>
      <c r="D728" s="23" t="s">
        <v>335</v>
      </c>
      <c r="E728" s="24" t="s">
        <v>301</v>
      </c>
      <c r="F728" s="24" t="s">
        <v>195</v>
      </c>
    </row>
    <row r="729" spans="1:6" ht="91.5" customHeight="1" x14ac:dyDescent="0.2">
      <c r="A729" s="21">
        <f>+Dates!$D$10-21</f>
        <v>41842</v>
      </c>
      <c r="B729" s="21">
        <f>+Dates!$D$10-21</f>
        <v>41842</v>
      </c>
      <c r="C729" s="22" t="s">
        <v>765</v>
      </c>
      <c r="D729" s="23" t="s">
        <v>335</v>
      </c>
      <c r="E729" s="24" t="s">
        <v>297</v>
      </c>
      <c r="F729" s="24" t="s">
        <v>195</v>
      </c>
    </row>
    <row r="730" spans="1:6" ht="91.5" customHeight="1" x14ac:dyDescent="0.2">
      <c r="A730" s="21">
        <f>+Dates!$D$10-21</f>
        <v>41842</v>
      </c>
      <c r="B730" s="21">
        <f>+Dates!$D$10-21</f>
        <v>41842</v>
      </c>
      <c r="C730" s="22" t="s">
        <v>1734</v>
      </c>
      <c r="D730" s="23" t="s">
        <v>335</v>
      </c>
      <c r="E730" s="24" t="s">
        <v>333</v>
      </c>
      <c r="F730" s="24" t="s">
        <v>195</v>
      </c>
    </row>
    <row r="731" spans="1:6" ht="91.5" customHeight="1" x14ac:dyDescent="0.2">
      <c r="A731" s="21">
        <f>+Dates!$D$10-21</f>
        <v>41842</v>
      </c>
      <c r="B731" s="21">
        <f>+Dates!$D$10-21</f>
        <v>41842</v>
      </c>
      <c r="C731" s="22" t="s">
        <v>1735</v>
      </c>
      <c r="D731" s="23" t="s">
        <v>335</v>
      </c>
      <c r="E731" s="24" t="s">
        <v>160</v>
      </c>
      <c r="F731" s="24" t="s">
        <v>195</v>
      </c>
    </row>
    <row r="732" spans="1:6" ht="91.5" customHeight="1" x14ac:dyDescent="0.2">
      <c r="A732" s="21">
        <f>+Dates!$D$10-21</f>
        <v>41842</v>
      </c>
      <c r="B732" s="21">
        <f>+Dates!$D$10-21</f>
        <v>41842</v>
      </c>
      <c r="C732" s="22" t="s">
        <v>1736</v>
      </c>
      <c r="D732" s="23" t="s">
        <v>335</v>
      </c>
      <c r="E732" s="24" t="s">
        <v>295</v>
      </c>
      <c r="F732" s="24" t="s">
        <v>195</v>
      </c>
    </row>
    <row r="733" spans="1:6" ht="112.5" customHeight="1" x14ac:dyDescent="0.2">
      <c r="A733" s="21">
        <f>+Dates!$D$10-20</f>
        <v>41843</v>
      </c>
      <c r="B733" s="21">
        <f>+Dates!$D$10-20</f>
        <v>41843</v>
      </c>
      <c r="C733" s="22" t="s">
        <v>1838</v>
      </c>
      <c r="D733" s="23" t="s">
        <v>185</v>
      </c>
      <c r="E733" s="24" t="s">
        <v>61</v>
      </c>
      <c r="F733" s="24" t="s">
        <v>195</v>
      </c>
    </row>
    <row r="734" spans="1:6" ht="108.75" customHeight="1" x14ac:dyDescent="0.2">
      <c r="A734" s="21">
        <f>+Dates!$D$10-20</f>
        <v>41843</v>
      </c>
      <c r="B734" s="21">
        <f>+Dates!$D$10-20</f>
        <v>41843</v>
      </c>
      <c r="C734" s="22" t="s">
        <v>1839</v>
      </c>
      <c r="D734" s="23" t="s">
        <v>185</v>
      </c>
      <c r="E734" s="24" t="s">
        <v>80</v>
      </c>
      <c r="F734" s="24" t="s">
        <v>195</v>
      </c>
    </row>
    <row r="735" spans="1:6" ht="103.5" customHeight="1" x14ac:dyDescent="0.2">
      <c r="A735" s="21">
        <f>+Dates!$D$10-20</f>
        <v>41843</v>
      </c>
      <c r="B735" s="21">
        <f>+Dates!$D$10-20</f>
        <v>41843</v>
      </c>
      <c r="C735" s="22" t="s">
        <v>1840</v>
      </c>
      <c r="D735" s="23" t="s">
        <v>185</v>
      </c>
      <c r="E735" s="24" t="s">
        <v>289</v>
      </c>
      <c r="F735" s="24" t="s">
        <v>195</v>
      </c>
    </row>
    <row r="736" spans="1:6" ht="112.5" customHeight="1" x14ac:dyDescent="0.2">
      <c r="A736" s="21">
        <f>+Dates!$D$10-20</f>
        <v>41843</v>
      </c>
      <c r="B736" s="21">
        <f>+Dates!$D$10-20</f>
        <v>41843</v>
      </c>
      <c r="C736" s="22" t="s">
        <v>1841</v>
      </c>
      <c r="D736" s="23" t="s">
        <v>185</v>
      </c>
      <c r="E736" s="24" t="s">
        <v>291</v>
      </c>
      <c r="F736" s="24" t="s">
        <v>195</v>
      </c>
    </row>
    <row r="737" spans="1:6" ht="108.75" customHeight="1" x14ac:dyDescent="0.2">
      <c r="A737" s="21">
        <f>+Dates!$D$10-20</f>
        <v>41843</v>
      </c>
      <c r="B737" s="21">
        <f>+Dates!$D$10-20</f>
        <v>41843</v>
      </c>
      <c r="C737" s="22" t="s">
        <v>1842</v>
      </c>
      <c r="D737" s="23" t="s">
        <v>185</v>
      </c>
      <c r="E737" s="24" t="s">
        <v>301</v>
      </c>
      <c r="F737" s="24" t="s">
        <v>195</v>
      </c>
    </row>
    <row r="738" spans="1:6" ht="116.25" customHeight="1" x14ac:dyDescent="0.2">
      <c r="A738" s="21">
        <f>+Dates!$D$10-20</f>
        <v>41843</v>
      </c>
      <c r="B738" s="21">
        <f>+Dates!$D$10-20</f>
        <v>41843</v>
      </c>
      <c r="C738" s="22" t="s">
        <v>1843</v>
      </c>
      <c r="D738" s="23" t="s">
        <v>185</v>
      </c>
      <c r="E738" s="24" t="s">
        <v>297</v>
      </c>
      <c r="F738" s="24" t="s">
        <v>195</v>
      </c>
    </row>
    <row r="739" spans="1:6" ht="123.75" customHeight="1" x14ac:dyDescent="0.2">
      <c r="A739" s="21">
        <f>+Dates!$D$10-20</f>
        <v>41843</v>
      </c>
      <c r="B739" s="25">
        <f>+Dates!$D$10-1</f>
        <v>41862</v>
      </c>
      <c r="C739" s="22" t="s">
        <v>1872</v>
      </c>
      <c r="D739" s="23" t="s">
        <v>140</v>
      </c>
      <c r="E739" s="24" t="s">
        <v>61</v>
      </c>
      <c r="F739" s="24" t="s">
        <v>195</v>
      </c>
    </row>
    <row r="740" spans="1:6" ht="132" customHeight="1" x14ac:dyDescent="0.2">
      <c r="A740" s="21">
        <f>+Dates!$D$10-20</f>
        <v>41843</v>
      </c>
      <c r="B740" s="25">
        <f>+Dates!$D$10-1</f>
        <v>41862</v>
      </c>
      <c r="C740" s="22" t="s">
        <v>1873</v>
      </c>
      <c r="D740" s="23" t="s">
        <v>140</v>
      </c>
      <c r="E740" s="24" t="s">
        <v>80</v>
      </c>
      <c r="F740" s="24" t="s">
        <v>195</v>
      </c>
    </row>
    <row r="741" spans="1:6" ht="119.25" customHeight="1" x14ac:dyDescent="0.2">
      <c r="A741" s="21">
        <f>+Dates!$D$10-20</f>
        <v>41843</v>
      </c>
      <c r="B741" s="25">
        <f>+Dates!$D$10-1</f>
        <v>41862</v>
      </c>
      <c r="C741" s="22" t="s">
        <v>1874</v>
      </c>
      <c r="D741" s="23" t="s">
        <v>140</v>
      </c>
      <c r="E741" s="24" t="s">
        <v>289</v>
      </c>
      <c r="F741" s="24" t="s">
        <v>195</v>
      </c>
    </row>
    <row r="742" spans="1:6" ht="123" customHeight="1" x14ac:dyDescent="0.2">
      <c r="A742" s="21">
        <f>+Dates!$D$10-20</f>
        <v>41843</v>
      </c>
      <c r="B742" s="25">
        <f>+Dates!$D$10-1</f>
        <v>41862</v>
      </c>
      <c r="C742" s="22" t="s">
        <v>1875</v>
      </c>
      <c r="D742" s="23" t="s">
        <v>140</v>
      </c>
      <c r="E742" s="24" t="s">
        <v>291</v>
      </c>
      <c r="F742" s="24" t="s">
        <v>195</v>
      </c>
    </row>
    <row r="743" spans="1:6" ht="124.5" customHeight="1" x14ac:dyDescent="0.2">
      <c r="A743" s="21">
        <f>+Dates!$D$10-20</f>
        <v>41843</v>
      </c>
      <c r="B743" s="25">
        <f>+Dates!$D$10-1</f>
        <v>41862</v>
      </c>
      <c r="C743" s="22" t="s">
        <v>1876</v>
      </c>
      <c r="D743" s="23" t="s">
        <v>140</v>
      </c>
      <c r="E743" s="24" t="s">
        <v>301</v>
      </c>
      <c r="F743" s="24" t="s">
        <v>195</v>
      </c>
    </row>
    <row r="744" spans="1:6" ht="143.25" customHeight="1" x14ac:dyDescent="0.2">
      <c r="A744" s="21">
        <f>+Dates!$D$10-20</f>
        <v>41843</v>
      </c>
      <c r="B744" s="25">
        <f>+Dates!$D$10-1</f>
        <v>41862</v>
      </c>
      <c r="C744" s="22" t="s">
        <v>1877</v>
      </c>
      <c r="D744" s="23" t="s">
        <v>140</v>
      </c>
      <c r="E744" s="24" t="s">
        <v>297</v>
      </c>
      <c r="F744" s="24" t="s">
        <v>195</v>
      </c>
    </row>
    <row r="745" spans="1:6" ht="176.25" customHeight="1" x14ac:dyDescent="0.2">
      <c r="A745" s="21">
        <f>+Dates!$D$10-20</f>
        <v>41843</v>
      </c>
      <c r="B745" s="21">
        <f>+Dates!$D$10-1</f>
        <v>41862</v>
      </c>
      <c r="C745" s="22" t="s">
        <v>1761</v>
      </c>
      <c r="D745" s="23" t="s">
        <v>151</v>
      </c>
      <c r="E745" s="24" t="s">
        <v>61</v>
      </c>
      <c r="F745" s="24" t="s">
        <v>305</v>
      </c>
    </row>
    <row r="746" spans="1:6" ht="174.75" customHeight="1" x14ac:dyDescent="0.2">
      <c r="A746" s="21">
        <f>+Dates!$D$10-20</f>
        <v>41843</v>
      </c>
      <c r="B746" s="21">
        <f>+Dates!$D$10-1</f>
        <v>41862</v>
      </c>
      <c r="C746" s="22" t="s">
        <v>1762</v>
      </c>
      <c r="D746" s="23" t="s">
        <v>151</v>
      </c>
      <c r="E746" s="24" t="s">
        <v>80</v>
      </c>
      <c r="F746" s="24" t="s">
        <v>305</v>
      </c>
    </row>
    <row r="747" spans="1:6" ht="168.75" customHeight="1" x14ac:dyDescent="0.2">
      <c r="A747" s="21">
        <f>+Dates!$D$10-20</f>
        <v>41843</v>
      </c>
      <c r="B747" s="21">
        <f>+Dates!$D$10-1</f>
        <v>41862</v>
      </c>
      <c r="C747" s="22" t="s">
        <v>1763</v>
      </c>
      <c r="D747" s="23" t="s">
        <v>151</v>
      </c>
      <c r="E747" s="24" t="s">
        <v>289</v>
      </c>
      <c r="F747" s="24" t="s">
        <v>305</v>
      </c>
    </row>
    <row r="748" spans="1:6" ht="167.25" customHeight="1" x14ac:dyDescent="0.2">
      <c r="A748" s="21">
        <f>+Dates!$D$10-20</f>
        <v>41843</v>
      </c>
      <c r="B748" s="21">
        <f>+Dates!$D$10-1</f>
        <v>41862</v>
      </c>
      <c r="C748" s="22" t="s">
        <v>1764</v>
      </c>
      <c r="D748" s="23" t="s">
        <v>151</v>
      </c>
      <c r="E748" s="24" t="s">
        <v>291</v>
      </c>
      <c r="F748" s="24" t="s">
        <v>305</v>
      </c>
    </row>
    <row r="749" spans="1:6" ht="179.25" customHeight="1" x14ac:dyDescent="0.2">
      <c r="A749" s="21">
        <f>+Dates!$D$10-20</f>
        <v>41843</v>
      </c>
      <c r="B749" s="21">
        <f>+Dates!$D$10-1</f>
        <v>41862</v>
      </c>
      <c r="C749" s="22" t="s">
        <v>1765</v>
      </c>
      <c r="D749" s="23" t="s">
        <v>151</v>
      </c>
      <c r="E749" s="24" t="s">
        <v>301</v>
      </c>
      <c r="F749" s="24" t="s">
        <v>305</v>
      </c>
    </row>
    <row r="750" spans="1:6" ht="175.5" customHeight="1" x14ac:dyDescent="0.2">
      <c r="A750" s="21">
        <f>+Dates!$D$10-20</f>
        <v>41843</v>
      </c>
      <c r="B750" s="21">
        <f>+Dates!$D$10-1</f>
        <v>41862</v>
      </c>
      <c r="C750" s="22" t="s">
        <v>1766</v>
      </c>
      <c r="D750" s="23" t="s">
        <v>151</v>
      </c>
      <c r="E750" s="24" t="s">
        <v>297</v>
      </c>
      <c r="F750" s="24" t="s">
        <v>305</v>
      </c>
    </row>
    <row r="751" spans="1:6" ht="85.5" customHeight="1" x14ac:dyDescent="0.2">
      <c r="A751" s="21">
        <f>+Dates!$D$10-20</f>
        <v>41843</v>
      </c>
      <c r="B751" s="25">
        <f>+Dates!$D$10-1</f>
        <v>41862</v>
      </c>
      <c r="C751" s="22" t="s">
        <v>772</v>
      </c>
      <c r="D751" s="23" t="s">
        <v>264</v>
      </c>
      <c r="E751" s="24" t="s">
        <v>61</v>
      </c>
      <c r="F751" s="24" t="s">
        <v>195</v>
      </c>
    </row>
    <row r="752" spans="1:6" ht="84" customHeight="1" x14ac:dyDescent="0.2">
      <c r="A752" s="21">
        <f>+Dates!$D$10-20</f>
        <v>41843</v>
      </c>
      <c r="B752" s="25">
        <f>+Dates!$D$10-1</f>
        <v>41862</v>
      </c>
      <c r="C752" s="22" t="s">
        <v>771</v>
      </c>
      <c r="D752" s="23" t="s">
        <v>264</v>
      </c>
      <c r="E752" s="24" t="s">
        <v>292</v>
      </c>
      <c r="F752" s="24" t="s">
        <v>195</v>
      </c>
    </row>
    <row r="753" spans="1:6" ht="79.5" customHeight="1" x14ac:dyDescent="0.2">
      <c r="A753" s="21">
        <f>+Dates!$D$10-20</f>
        <v>41843</v>
      </c>
      <c r="B753" s="25">
        <f>+Dates!$D$10-1</f>
        <v>41862</v>
      </c>
      <c r="C753" s="22" t="s">
        <v>773</v>
      </c>
      <c r="D753" s="23" t="s">
        <v>264</v>
      </c>
      <c r="E753" s="24" t="s">
        <v>289</v>
      </c>
      <c r="F753" s="24" t="s">
        <v>195</v>
      </c>
    </row>
    <row r="754" spans="1:6" ht="89.25" customHeight="1" x14ac:dyDescent="0.2">
      <c r="A754" s="21">
        <f>+Dates!$D$10-20</f>
        <v>41843</v>
      </c>
      <c r="B754" s="25">
        <f>+Dates!$D$10-1</f>
        <v>41862</v>
      </c>
      <c r="C754" s="22" t="s">
        <v>774</v>
      </c>
      <c r="D754" s="23" t="s">
        <v>264</v>
      </c>
      <c r="E754" s="24" t="s">
        <v>291</v>
      </c>
      <c r="F754" s="24" t="s">
        <v>195</v>
      </c>
    </row>
    <row r="755" spans="1:6" ht="85.5" customHeight="1" x14ac:dyDescent="0.2">
      <c r="A755" s="21">
        <f>+Dates!$D$10-20</f>
        <v>41843</v>
      </c>
      <c r="B755" s="25">
        <f>+Dates!$D$10-1</f>
        <v>41862</v>
      </c>
      <c r="C755" s="22" t="s">
        <v>775</v>
      </c>
      <c r="D755" s="23" t="s">
        <v>264</v>
      </c>
      <c r="E755" s="24" t="s">
        <v>301</v>
      </c>
      <c r="F755" s="24" t="s">
        <v>195</v>
      </c>
    </row>
    <row r="756" spans="1:6" ht="93" customHeight="1" x14ac:dyDescent="0.2">
      <c r="A756" s="21">
        <f>+Dates!$D$10-20</f>
        <v>41843</v>
      </c>
      <c r="B756" s="25">
        <f>+Dates!$D$10-1</f>
        <v>41862</v>
      </c>
      <c r="C756" s="22" t="s">
        <v>776</v>
      </c>
      <c r="D756" s="23" t="s">
        <v>264</v>
      </c>
      <c r="E756" s="24" t="s">
        <v>297</v>
      </c>
      <c r="F756" s="24" t="s">
        <v>195</v>
      </c>
    </row>
    <row r="757" spans="1:6" ht="210" customHeight="1" x14ac:dyDescent="0.2">
      <c r="A757" s="21">
        <f>+Dates!$D$10-15</f>
        <v>41848</v>
      </c>
      <c r="B757" s="21">
        <f>+Dates!$D$10-15</f>
        <v>41848</v>
      </c>
      <c r="C757" s="22" t="s">
        <v>1676</v>
      </c>
      <c r="D757" s="23" t="s">
        <v>78</v>
      </c>
      <c r="E757" s="24" t="s">
        <v>61</v>
      </c>
      <c r="F757" s="24" t="s">
        <v>103</v>
      </c>
    </row>
    <row r="758" spans="1:6" ht="217.5" customHeight="1" x14ac:dyDescent="0.2">
      <c r="A758" s="21">
        <f>+Dates!$D$10-15</f>
        <v>41848</v>
      </c>
      <c r="B758" s="21">
        <f>+Dates!$D$10-15</f>
        <v>41848</v>
      </c>
      <c r="C758" s="22" t="s">
        <v>1677</v>
      </c>
      <c r="D758" s="23" t="s">
        <v>78</v>
      </c>
      <c r="E758" s="24" t="s">
        <v>135</v>
      </c>
      <c r="F758" s="24" t="s">
        <v>103</v>
      </c>
    </row>
    <row r="759" spans="1:6" ht="208.5" customHeight="1" x14ac:dyDescent="0.2">
      <c r="A759" s="21">
        <f>+Dates!$D$10-15</f>
        <v>41848</v>
      </c>
      <c r="B759" s="21">
        <f>+Dates!$D$10-15</f>
        <v>41848</v>
      </c>
      <c r="C759" s="22" t="s">
        <v>1678</v>
      </c>
      <c r="D759" s="23" t="s">
        <v>78</v>
      </c>
      <c r="E759" s="24" t="s">
        <v>391</v>
      </c>
      <c r="F759" s="24" t="s">
        <v>103</v>
      </c>
    </row>
    <row r="760" spans="1:6" ht="204" customHeight="1" x14ac:dyDescent="0.2">
      <c r="A760" s="21">
        <f>+Dates!$D$10-15</f>
        <v>41848</v>
      </c>
      <c r="B760" s="21">
        <f>+Dates!$D$10-15</f>
        <v>41848</v>
      </c>
      <c r="C760" s="22" t="s">
        <v>1679</v>
      </c>
      <c r="D760" s="23" t="s">
        <v>78</v>
      </c>
      <c r="E760" s="24" t="s">
        <v>80</v>
      </c>
      <c r="F760" s="24" t="s">
        <v>103</v>
      </c>
    </row>
    <row r="761" spans="1:6" ht="217.5" customHeight="1" x14ac:dyDescent="0.2">
      <c r="A761" s="21">
        <f>+Dates!$D$10-15</f>
        <v>41848</v>
      </c>
      <c r="B761" s="21">
        <f>+Dates!$D$10-15</f>
        <v>41848</v>
      </c>
      <c r="C761" s="22" t="s">
        <v>1680</v>
      </c>
      <c r="D761" s="23" t="s">
        <v>78</v>
      </c>
      <c r="E761" s="24" t="s">
        <v>289</v>
      </c>
      <c r="F761" s="24" t="s">
        <v>103</v>
      </c>
    </row>
    <row r="762" spans="1:6" ht="218.25" customHeight="1" x14ac:dyDescent="0.2">
      <c r="A762" s="21">
        <f>+Dates!$D$10-15</f>
        <v>41848</v>
      </c>
      <c r="B762" s="21">
        <f>+Dates!$D$10-15</f>
        <v>41848</v>
      </c>
      <c r="C762" s="22" t="s">
        <v>1681</v>
      </c>
      <c r="D762" s="23" t="s">
        <v>78</v>
      </c>
      <c r="E762" s="24" t="s">
        <v>291</v>
      </c>
      <c r="F762" s="24" t="s">
        <v>103</v>
      </c>
    </row>
    <row r="763" spans="1:6" ht="218.25" customHeight="1" x14ac:dyDescent="0.2">
      <c r="A763" s="21">
        <f>+Dates!$D$10-15</f>
        <v>41848</v>
      </c>
      <c r="B763" s="21">
        <f>+Dates!$D$10-15</f>
        <v>41848</v>
      </c>
      <c r="C763" s="22" t="s">
        <v>1682</v>
      </c>
      <c r="D763" s="23" t="s">
        <v>78</v>
      </c>
      <c r="E763" s="24" t="s">
        <v>301</v>
      </c>
      <c r="F763" s="24" t="s">
        <v>103</v>
      </c>
    </row>
    <row r="764" spans="1:6" ht="217.5" customHeight="1" x14ac:dyDescent="0.2">
      <c r="A764" s="21">
        <f>+Dates!$D$10-15</f>
        <v>41848</v>
      </c>
      <c r="B764" s="21">
        <f>+Dates!$D$10-15</f>
        <v>41848</v>
      </c>
      <c r="C764" s="22" t="s">
        <v>1683</v>
      </c>
      <c r="D764" s="23" t="s">
        <v>78</v>
      </c>
      <c r="E764" s="24" t="s">
        <v>297</v>
      </c>
      <c r="F764" s="24" t="s">
        <v>103</v>
      </c>
    </row>
    <row r="765" spans="1:6" ht="140.25" customHeight="1" x14ac:dyDescent="0.2">
      <c r="A765" s="21">
        <f>+Dates!$D$10-14</f>
        <v>41849</v>
      </c>
      <c r="B765" s="21">
        <f>+Dates!$D$10-14</f>
        <v>41849</v>
      </c>
      <c r="C765" s="22" t="s">
        <v>1614</v>
      </c>
      <c r="D765" s="23" t="s">
        <v>788</v>
      </c>
      <c r="E765" s="24" t="s">
        <v>61</v>
      </c>
      <c r="F765" s="24" t="s">
        <v>103</v>
      </c>
    </row>
    <row r="766" spans="1:6" ht="122.25" customHeight="1" x14ac:dyDescent="0.2">
      <c r="A766" s="21">
        <f>+Dates!$D$10-14</f>
        <v>41849</v>
      </c>
      <c r="B766" s="21">
        <f>+Dates!$D$10-14</f>
        <v>41849</v>
      </c>
      <c r="C766" s="22" t="s">
        <v>1615</v>
      </c>
      <c r="D766" s="23" t="s">
        <v>788</v>
      </c>
      <c r="E766" s="24" t="s">
        <v>80</v>
      </c>
      <c r="F766" s="24" t="s">
        <v>103</v>
      </c>
    </row>
    <row r="767" spans="1:6" ht="145.5" customHeight="1" x14ac:dyDescent="0.2">
      <c r="A767" s="21">
        <f>+Dates!$D$10-14</f>
        <v>41849</v>
      </c>
      <c r="B767" s="21">
        <f>+Dates!$D$10-14</f>
        <v>41849</v>
      </c>
      <c r="C767" s="22" t="s">
        <v>1616</v>
      </c>
      <c r="D767" s="23" t="s">
        <v>788</v>
      </c>
      <c r="E767" s="24" t="s">
        <v>289</v>
      </c>
      <c r="F767" s="24" t="s">
        <v>103</v>
      </c>
    </row>
    <row r="768" spans="1:6" ht="142.5" customHeight="1" x14ac:dyDescent="0.2">
      <c r="A768" s="21">
        <f>+Dates!$D$10-14</f>
        <v>41849</v>
      </c>
      <c r="B768" s="21">
        <f>+Dates!$D$10-14</f>
        <v>41849</v>
      </c>
      <c r="C768" s="22" t="s">
        <v>1617</v>
      </c>
      <c r="D768" s="23" t="s">
        <v>788</v>
      </c>
      <c r="E768" s="24" t="s">
        <v>333</v>
      </c>
      <c r="F768" s="24" t="s">
        <v>103</v>
      </c>
    </row>
    <row r="769" spans="1:6" ht="123" customHeight="1" x14ac:dyDescent="0.2">
      <c r="A769" s="21">
        <f>+Dates!$D$10-14</f>
        <v>41849</v>
      </c>
      <c r="B769" s="21">
        <f>+Dates!$D$10-14</f>
        <v>41849</v>
      </c>
      <c r="C769" s="22" t="s">
        <v>1537</v>
      </c>
      <c r="D769" s="23" t="s">
        <v>155</v>
      </c>
      <c r="E769" s="24" t="s">
        <v>61</v>
      </c>
      <c r="F769" s="24" t="s">
        <v>107</v>
      </c>
    </row>
    <row r="770" spans="1:6" ht="126" customHeight="1" x14ac:dyDescent="0.2">
      <c r="A770" s="21">
        <f>+Dates!$D$10-14</f>
        <v>41849</v>
      </c>
      <c r="B770" s="21">
        <f>+Dates!$D$10-14</f>
        <v>41849</v>
      </c>
      <c r="C770" s="22" t="s">
        <v>1538</v>
      </c>
      <c r="D770" s="23" t="s">
        <v>155</v>
      </c>
      <c r="E770" s="24" t="s">
        <v>391</v>
      </c>
      <c r="F770" s="24" t="s">
        <v>107</v>
      </c>
    </row>
    <row r="771" spans="1:6" ht="129" customHeight="1" x14ac:dyDescent="0.2">
      <c r="A771" s="21">
        <f>+Dates!$D$10-14</f>
        <v>41849</v>
      </c>
      <c r="B771" s="21">
        <f>+Dates!$D$10-14</f>
        <v>41849</v>
      </c>
      <c r="C771" s="22" t="s">
        <v>1539</v>
      </c>
      <c r="D771" s="23" t="s">
        <v>155</v>
      </c>
      <c r="E771" s="24" t="s">
        <v>80</v>
      </c>
      <c r="F771" s="24" t="s">
        <v>107</v>
      </c>
    </row>
    <row r="772" spans="1:6" ht="132" customHeight="1" x14ac:dyDescent="0.2">
      <c r="A772" s="21">
        <f>+Dates!$D$10-14</f>
        <v>41849</v>
      </c>
      <c r="B772" s="21">
        <f>+Dates!$D$10-14</f>
        <v>41849</v>
      </c>
      <c r="C772" s="22" t="s">
        <v>1540</v>
      </c>
      <c r="D772" s="23" t="s">
        <v>155</v>
      </c>
      <c r="E772" s="24" t="s">
        <v>289</v>
      </c>
      <c r="F772" s="24" t="s">
        <v>107</v>
      </c>
    </row>
    <row r="773" spans="1:6" ht="126.75" customHeight="1" x14ac:dyDescent="0.2">
      <c r="A773" s="21">
        <f>+Dates!$D$10-14</f>
        <v>41849</v>
      </c>
      <c r="B773" s="21">
        <f>+Dates!$D$10-14</f>
        <v>41849</v>
      </c>
      <c r="C773" s="22" t="s">
        <v>1541</v>
      </c>
      <c r="D773" s="23" t="s">
        <v>155</v>
      </c>
      <c r="E773" s="24" t="s">
        <v>291</v>
      </c>
      <c r="F773" s="24" t="s">
        <v>107</v>
      </c>
    </row>
    <row r="774" spans="1:6" ht="126" customHeight="1" x14ac:dyDescent="0.2">
      <c r="A774" s="21">
        <f>+Dates!$D$10-14</f>
        <v>41849</v>
      </c>
      <c r="B774" s="21">
        <f>+Dates!$D$10-14</f>
        <v>41849</v>
      </c>
      <c r="C774" s="22" t="s">
        <v>1542</v>
      </c>
      <c r="D774" s="23" t="s">
        <v>155</v>
      </c>
      <c r="E774" s="24" t="s">
        <v>301</v>
      </c>
      <c r="F774" s="24" t="s">
        <v>107</v>
      </c>
    </row>
    <row r="775" spans="1:6" ht="125.25" customHeight="1" x14ac:dyDescent="0.2">
      <c r="A775" s="21">
        <f>+Dates!$D$10-14</f>
        <v>41849</v>
      </c>
      <c r="B775" s="21">
        <f>+Dates!$D$10-14</f>
        <v>41849</v>
      </c>
      <c r="C775" s="22" t="s">
        <v>1543</v>
      </c>
      <c r="D775" s="23" t="s">
        <v>155</v>
      </c>
      <c r="E775" s="24" t="s">
        <v>297</v>
      </c>
      <c r="F775" s="24" t="s">
        <v>107</v>
      </c>
    </row>
    <row r="776" spans="1:6" ht="132" customHeight="1" x14ac:dyDescent="0.2">
      <c r="A776" s="21">
        <f>+Dates!$D$10-14</f>
        <v>41849</v>
      </c>
      <c r="B776" s="21">
        <f>+Dates!$D$10-14</f>
        <v>41849</v>
      </c>
      <c r="C776" s="22" t="s">
        <v>1544</v>
      </c>
      <c r="D776" s="23" t="s">
        <v>155</v>
      </c>
      <c r="E776" s="24" t="s">
        <v>333</v>
      </c>
      <c r="F776" s="24" t="s">
        <v>107</v>
      </c>
    </row>
    <row r="777" spans="1:6" ht="165.75" customHeight="1" x14ac:dyDescent="0.2">
      <c r="A777" s="21">
        <f>+Dates!$D$11-98</f>
        <v>41849</v>
      </c>
      <c r="B777" s="21">
        <f>+Dates!$D$11-98</f>
        <v>41849</v>
      </c>
      <c r="C777" s="22" t="s">
        <v>789</v>
      </c>
      <c r="D777" s="23" t="s">
        <v>122</v>
      </c>
      <c r="E777" s="24" t="s">
        <v>61</v>
      </c>
      <c r="F777" s="24" t="s">
        <v>305</v>
      </c>
    </row>
    <row r="778" spans="1:6" ht="167.25" customHeight="1" x14ac:dyDescent="0.2">
      <c r="A778" s="21">
        <f>+Dates!$D$11-98</f>
        <v>41849</v>
      </c>
      <c r="B778" s="21">
        <f>+Dates!$D$11-98</f>
        <v>41849</v>
      </c>
      <c r="C778" s="22" t="s">
        <v>790</v>
      </c>
      <c r="D778" s="23" t="s">
        <v>122</v>
      </c>
      <c r="E778" s="24" t="s">
        <v>80</v>
      </c>
      <c r="F778" s="24" t="s">
        <v>305</v>
      </c>
    </row>
    <row r="779" spans="1:6" ht="176.25" customHeight="1" x14ac:dyDescent="0.2">
      <c r="A779" s="21">
        <f>+Dates!$D$11-98</f>
        <v>41849</v>
      </c>
      <c r="B779" s="21">
        <f>+Dates!$D$11-98</f>
        <v>41849</v>
      </c>
      <c r="C779" s="22" t="s">
        <v>791</v>
      </c>
      <c r="D779" s="23" t="s">
        <v>122</v>
      </c>
      <c r="E779" s="24" t="s">
        <v>1062</v>
      </c>
      <c r="F779" s="24" t="s">
        <v>305</v>
      </c>
    </row>
    <row r="780" spans="1:6" ht="177" customHeight="1" x14ac:dyDescent="0.2">
      <c r="A780" s="21">
        <f>+Dates!$D$11-98</f>
        <v>41849</v>
      </c>
      <c r="B780" s="21">
        <f>+Dates!$D$11-98</f>
        <v>41849</v>
      </c>
      <c r="C780" s="22" t="s">
        <v>792</v>
      </c>
      <c r="D780" s="23" t="s">
        <v>122</v>
      </c>
      <c r="E780" s="24" t="s">
        <v>289</v>
      </c>
      <c r="F780" s="24" t="s">
        <v>305</v>
      </c>
    </row>
    <row r="781" spans="1:6" ht="168.75" customHeight="1" x14ac:dyDescent="0.2">
      <c r="A781" s="21">
        <f>+Dates!$D$11-98</f>
        <v>41849</v>
      </c>
      <c r="B781" s="21">
        <f>+Dates!$D$11-98</f>
        <v>41849</v>
      </c>
      <c r="C781" s="22" t="s">
        <v>793</v>
      </c>
      <c r="D781" s="23" t="s">
        <v>122</v>
      </c>
      <c r="E781" s="24" t="s">
        <v>291</v>
      </c>
      <c r="F781" s="24" t="s">
        <v>305</v>
      </c>
    </row>
    <row r="782" spans="1:6" ht="171" customHeight="1" x14ac:dyDescent="0.2">
      <c r="A782" s="21">
        <f>+Dates!$D$11-98</f>
        <v>41849</v>
      </c>
      <c r="B782" s="21">
        <f>+Dates!$D$11-98</f>
        <v>41849</v>
      </c>
      <c r="C782" s="22" t="s">
        <v>794</v>
      </c>
      <c r="D782" s="23" t="s">
        <v>122</v>
      </c>
      <c r="E782" s="24" t="s">
        <v>301</v>
      </c>
      <c r="F782" s="24" t="s">
        <v>305</v>
      </c>
    </row>
    <row r="783" spans="1:6" ht="171" customHeight="1" x14ac:dyDescent="0.2">
      <c r="A783" s="21">
        <f>+Dates!$D$11-98</f>
        <v>41849</v>
      </c>
      <c r="B783" s="21">
        <f>+Dates!$D$11-98</f>
        <v>41849</v>
      </c>
      <c r="C783" s="22" t="s">
        <v>795</v>
      </c>
      <c r="D783" s="23" t="s">
        <v>122</v>
      </c>
      <c r="E783" s="24" t="s">
        <v>297</v>
      </c>
      <c r="F783" s="24" t="s">
        <v>305</v>
      </c>
    </row>
    <row r="784" spans="1:6" ht="172.5" customHeight="1" x14ac:dyDescent="0.2">
      <c r="A784" s="21">
        <f>+Dates!$D$11-98</f>
        <v>41849</v>
      </c>
      <c r="B784" s="21">
        <f>+Dates!$D$11-98</f>
        <v>41849</v>
      </c>
      <c r="C784" s="22" t="s">
        <v>796</v>
      </c>
      <c r="D784" s="23" t="s">
        <v>122</v>
      </c>
      <c r="E784" s="24" t="s">
        <v>333</v>
      </c>
      <c r="F784" s="24" t="s">
        <v>305</v>
      </c>
    </row>
    <row r="785" spans="1:6" ht="168.75" customHeight="1" x14ac:dyDescent="0.2">
      <c r="A785" s="21">
        <f>+Dates!$D$11-98</f>
        <v>41849</v>
      </c>
      <c r="B785" s="21">
        <f>+Dates!$D$11-98</f>
        <v>41849</v>
      </c>
      <c r="C785" s="22" t="s">
        <v>797</v>
      </c>
      <c r="D785" s="23" t="s">
        <v>122</v>
      </c>
      <c r="E785" s="24" t="s">
        <v>160</v>
      </c>
      <c r="F785" s="24" t="s">
        <v>305</v>
      </c>
    </row>
    <row r="786" spans="1:6" ht="156.75" customHeight="1" x14ac:dyDescent="0.2">
      <c r="A786" s="21">
        <f>+Dates!$D$11-98</f>
        <v>41849</v>
      </c>
      <c r="B786" s="21">
        <f>+Dates!$D$11-98</f>
        <v>41849</v>
      </c>
      <c r="C786" s="22" t="s">
        <v>798</v>
      </c>
      <c r="D786" s="23" t="s">
        <v>122</v>
      </c>
      <c r="E786" s="24" t="s">
        <v>295</v>
      </c>
      <c r="F786" s="24" t="s">
        <v>305</v>
      </c>
    </row>
    <row r="787" spans="1:6" ht="100.5" customHeight="1" x14ac:dyDescent="0.2">
      <c r="A787" s="21">
        <f>+Dates!$D$10-14</f>
        <v>41849</v>
      </c>
      <c r="B787" s="21">
        <f>+Dates!$D$10-14</f>
        <v>41849</v>
      </c>
      <c r="C787" s="22" t="s">
        <v>810</v>
      </c>
      <c r="D787" s="23" t="s">
        <v>242</v>
      </c>
      <c r="E787" s="24" t="s">
        <v>61</v>
      </c>
      <c r="F787" s="24" t="s">
        <v>111</v>
      </c>
    </row>
    <row r="788" spans="1:6" ht="83.25" customHeight="1" x14ac:dyDescent="0.2">
      <c r="A788" s="21">
        <f>+Dates!$D$10-14</f>
        <v>41849</v>
      </c>
      <c r="B788" s="21">
        <f>+Dates!$D$10-14</f>
        <v>41849</v>
      </c>
      <c r="C788" s="22" t="s">
        <v>811</v>
      </c>
      <c r="D788" s="23" t="s">
        <v>242</v>
      </c>
      <c r="E788" s="24" t="s">
        <v>80</v>
      </c>
      <c r="F788" s="24" t="s">
        <v>111</v>
      </c>
    </row>
    <row r="789" spans="1:6" ht="97.5" customHeight="1" x14ac:dyDescent="0.2">
      <c r="A789" s="21">
        <f>+Dates!$D$10-14</f>
        <v>41849</v>
      </c>
      <c r="B789" s="21">
        <f>+Dates!$D$10-14</f>
        <v>41849</v>
      </c>
      <c r="C789" s="22" t="s">
        <v>812</v>
      </c>
      <c r="D789" s="23" t="s">
        <v>242</v>
      </c>
      <c r="E789" s="24" t="s">
        <v>289</v>
      </c>
      <c r="F789" s="24" t="s">
        <v>111</v>
      </c>
    </row>
    <row r="790" spans="1:6" ht="99" customHeight="1" x14ac:dyDescent="0.2">
      <c r="A790" s="21">
        <f>+Dates!$D$10-14</f>
        <v>41849</v>
      </c>
      <c r="B790" s="21">
        <f>+Dates!$D$10-14</f>
        <v>41849</v>
      </c>
      <c r="C790" s="22" t="s">
        <v>813</v>
      </c>
      <c r="D790" s="23" t="s">
        <v>242</v>
      </c>
      <c r="E790" s="24" t="s">
        <v>291</v>
      </c>
      <c r="F790" s="24" t="s">
        <v>111</v>
      </c>
    </row>
    <row r="791" spans="1:6" ht="112.5" customHeight="1" x14ac:dyDescent="0.2">
      <c r="A791" s="21">
        <f>+Dates!$D$10-14</f>
        <v>41849</v>
      </c>
      <c r="B791" s="21">
        <f>+Dates!$D$10-14</f>
        <v>41849</v>
      </c>
      <c r="C791" s="22" t="s">
        <v>814</v>
      </c>
      <c r="D791" s="23" t="s">
        <v>242</v>
      </c>
      <c r="E791" s="24" t="s">
        <v>301</v>
      </c>
      <c r="F791" s="24" t="s">
        <v>111</v>
      </c>
    </row>
    <row r="792" spans="1:6" ht="105" customHeight="1" x14ac:dyDescent="0.2">
      <c r="A792" s="21">
        <f>+Dates!$D$10-14</f>
        <v>41849</v>
      </c>
      <c r="B792" s="21">
        <f>+Dates!$D$10-14</f>
        <v>41849</v>
      </c>
      <c r="C792" s="22" t="s">
        <v>815</v>
      </c>
      <c r="D792" s="23" t="s">
        <v>242</v>
      </c>
      <c r="E792" s="24" t="s">
        <v>297</v>
      </c>
      <c r="F792" s="24" t="s">
        <v>111</v>
      </c>
    </row>
    <row r="793" spans="1:6" ht="126.75" customHeight="1" x14ac:dyDescent="0.2">
      <c r="A793" s="21">
        <f>+Dates!$D$10-14</f>
        <v>41849</v>
      </c>
      <c r="B793" s="21">
        <f>+Dates!$D$10-14</f>
        <v>41849</v>
      </c>
      <c r="C793" s="22" t="s">
        <v>843</v>
      </c>
      <c r="D793" s="23" t="s">
        <v>816</v>
      </c>
      <c r="E793" s="24" t="s">
        <v>61</v>
      </c>
      <c r="F793" s="24" t="s">
        <v>103</v>
      </c>
    </row>
    <row r="794" spans="1:6" ht="123" customHeight="1" x14ac:dyDescent="0.2">
      <c r="A794" s="21">
        <f>+Dates!$D$10-14</f>
        <v>41849</v>
      </c>
      <c r="B794" s="21">
        <f>+Dates!$D$10-14</f>
        <v>41849</v>
      </c>
      <c r="C794" s="22" t="s">
        <v>842</v>
      </c>
      <c r="D794" s="23" t="s">
        <v>816</v>
      </c>
      <c r="E794" s="24" t="s">
        <v>391</v>
      </c>
      <c r="F794" s="24" t="s">
        <v>103</v>
      </c>
    </row>
    <row r="795" spans="1:6" ht="123" customHeight="1" x14ac:dyDescent="0.2">
      <c r="A795" s="21">
        <f>+Dates!$D$10-14</f>
        <v>41849</v>
      </c>
      <c r="B795" s="21">
        <f>+Dates!$D$10-14</f>
        <v>41849</v>
      </c>
      <c r="C795" s="22" t="s">
        <v>844</v>
      </c>
      <c r="D795" s="23" t="s">
        <v>816</v>
      </c>
      <c r="E795" s="24" t="s">
        <v>80</v>
      </c>
      <c r="F795" s="24" t="s">
        <v>103</v>
      </c>
    </row>
    <row r="796" spans="1:6" ht="129.75" customHeight="1" x14ac:dyDescent="0.2">
      <c r="A796" s="21">
        <f>+Dates!$D$10-14</f>
        <v>41849</v>
      </c>
      <c r="B796" s="21">
        <f>+Dates!$D$10-14</f>
        <v>41849</v>
      </c>
      <c r="C796" s="22" t="s">
        <v>845</v>
      </c>
      <c r="D796" s="23" t="s">
        <v>816</v>
      </c>
      <c r="E796" s="24" t="s">
        <v>289</v>
      </c>
      <c r="F796" s="24" t="s">
        <v>103</v>
      </c>
    </row>
    <row r="797" spans="1:6" ht="114" customHeight="1" x14ac:dyDescent="0.2">
      <c r="A797" s="21">
        <f>+Dates!$D$10-14</f>
        <v>41849</v>
      </c>
      <c r="B797" s="21">
        <f>+Dates!$D$10-1</f>
        <v>41862</v>
      </c>
      <c r="C797" s="22" t="s">
        <v>817</v>
      </c>
      <c r="D797" s="23" t="s">
        <v>183</v>
      </c>
      <c r="E797" s="24" t="s">
        <v>61</v>
      </c>
      <c r="F797" s="24" t="s">
        <v>306</v>
      </c>
    </row>
    <row r="798" spans="1:6" ht="108.75" customHeight="1" x14ac:dyDescent="0.2">
      <c r="A798" s="21">
        <f>+Dates!$D$10-14</f>
        <v>41849</v>
      </c>
      <c r="B798" s="21">
        <f>+Dates!$D$10-1</f>
        <v>41862</v>
      </c>
      <c r="C798" s="22" t="s">
        <v>818</v>
      </c>
      <c r="D798" s="23" t="s">
        <v>183</v>
      </c>
      <c r="E798" s="24" t="s">
        <v>391</v>
      </c>
      <c r="F798" s="24" t="s">
        <v>306</v>
      </c>
    </row>
    <row r="799" spans="1:6" ht="106.5" customHeight="1" x14ac:dyDescent="0.2">
      <c r="A799" s="21">
        <f>+Dates!$D$10-14</f>
        <v>41849</v>
      </c>
      <c r="B799" s="21">
        <f>+Dates!$D$10-1</f>
        <v>41862</v>
      </c>
      <c r="C799" s="22" t="s">
        <v>819</v>
      </c>
      <c r="D799" s="23" t="s">
        <v>183</v>
      </c>
      <c r="E799" s="24" t="s">
        <v>80</v>
      </c>
      <c r="F799" s="24" t="s">
        <v>306</v>
      </c>
    </row>
    <row r="800" spans="1:6" ht="116.25" customHeight="1" x14ac:dyDescent="0.2">
      <c r="A800" s="21">
        <f>+Dates!$D$10-14</f>
        <v>41849</v>
      </c>
      <c r="B800" s="21">
        <f>+Dates!$D$10-1</f>
        <v>41862</v>
      </c>
      <c r="C800" s="22" t="s">
        <v>820</v>
      </c>
      <c r="D800" s="23" t="s">
        <v>183</v>
      </c>
      <c r="E800" s="24" t="s">
        <v>289</v>
      </c>
      <c r="F800" s="24" t="s">
        <v>306</v>
      </c>
    </row>
    <row r="801" spans="1:6" ht="118.5" customHeight="1" x14ac:dyDescent="0.2">
      <c r="A801" s="21">
        <f>+Dates!$D$10-14</f>
        <v>41849</v>
      </c>
      <c r="B801" s="21">
        <f>+Dates!$D$10-1</f>
        <v>41862</v>
      </c>
      <c r="C801" s="22" t="s">
        <v>821</v>
      </c>
      <c r="D801" s="23" t="s">
        <v>183</v>
      </c>
      <c r="E801" s="24" t="s">
        <v>291</v>
      </c>
      <c r="F801" s="24" t="s">
        <v>306</v>
      </c>
    </row>
    <row r="802" spans="1:6" ht="108.75" customHeight="1" x14ac:dyDescent="0.2">
      <c r="A802" s="21">
        <f>+Dates!$D$10-14</f>
        <v>41849</v>
      </c>
      <c r="B802" s="21">
        <f>+Dates!$D$10-1</f>
        <v>41862</v>
      </c>
      <c r="C802" s="22" t="s">
        <v>822</v>
      </c>
      <c r="D802" s="23" t="s">
        <v>183</v>
      </c>
      <c r="E802" s="24" t="s">
        <v>301</v>
      </c>
      <c r="F802" s="24" t="s">
        <v>306</v>
      </c>
    </row>
    <row r="803" spans="1:6" ht="117.75" customHeight="1" x14ac:dyDescent="0.2">
      <c r="A803" s="21">
        <f>+Dates!$D$10-14</f>
        <v>41849</v>
      </c>
      <c r="B803" s="21">
        <f>+Dates!$D$10-1</f>
        <v>41862</v>
      </c>
      <c r="C803" s="22" t="s">
        <v>823</v>
      </c>
      <c r="D803" s="23" t="s">
        <v>183</v>
      </c>
      <c r="E803" s="24" t="s">
        <v>297</v>
      </c>
      <c r="F803" s="24" t="s">
        <v>306</v>
      </c>
    </row>
    <row r="804" spans="1:6" ht="112.5" customHeight="1" x14ac:dyDescent="0.2">
      <c r="A804" s="21">
        <f>+Dates!$D$10-14</f>
        <v>41849</v>
      </c>
      <c r="B804" s="21">
        <f>+Dates!$D$10-1</f>
        <v>41862</v>
      </c>
      <c r="C804" s="22" t="s">
        <v>824</v>
      </c>
      <c r="D804" s="23" t="s">
        <v>183</v>
      </c>
      <c r="E804" s="24" t="s">
        <v>333</v>
      </c>
      <c r="F804" s="24" t="s">
        <v>306</v>
      </c>
    </row>
    <row r="805" spans="1:6" ht="207" customHeight="1" x14ac:dyDescent="0.2">
      <c r="A805" s="21">
        <f>+Dates!$D$11-98</f>
        <v>41849</v>
      </c>
      <c r="B805" s="21">
        <f>+Dates!$D$11-84</f>
        <v>41863</v>
      </c>
      <c r="C805" s="22" t="s">
        <v>857</v>
      </c>
      <c r="D805" s="23" t="s">
        <v>386</v>
      </c>
      <c r="E805" s="24" t="s">
        <v>61</v>
      </c>
      <c r="F805" s="24" t="s">
        <v>299</v>
      </c>
    </row>
    <row r="806" spans="1:6" ht="206.25" customHeight="1" x14ac:dyDescent="0.2">
      <c r="A806" s="21">
        <f>+Dates!$D$11-98</f>
        <v>41849</v>
      </c>
      <c r="B806" s="21">
        <f>+Dates!$D$11-84</f>
        <v>41863</v>
      </c>
      <c r="C806" s="22" t="s">
        <v>858</v>
      </c>
      <c r="D806" s="23" t="s">
        <v>386</v>
      </c>
      <c r="E806" s="24" t="s">
        <v>135</v>
      </c>
      <c r="F806" s="24" t="s">
        <v>299</v>
      </c>
    </row>
    <row r="807" spans="1:6" ht="209.25" customHeight="1" x14ac:dyDescent="0.2">
      <c r="A807" s="21">
        <f>+Dates!$D$11-98</f>
        <v>41849</v>
      </c>
      <c r="B807" s="21">
        <f>+Dates!$D$11-84</f>
        <v>41863</v>
      </c>
      <c r="C807" s="22" t="s">
        <v>859</v>
      </c>
      <c r="D807" s="23" t="s">
        <v>386</v>
      </c>
      <c r="E807" s="24" t="s">
        <v>391</v>
      </c>
      <c r="F807" s="24" t="s">
        <v>299</v>
      </c>
    </row>
    <row r="808" spans="1:6" ht="201.75" customHeight="1" x14ac:dyDescent="0.2">
      <c r="A808" s="21">
        <f>+Dates!$D$11-98</f>
        <v>41849</v>
      </c>
      <c r="B808" s="21">
        <f>+Dates!$D$11-84</f>
        <v>41863</v>
      </c>
      <c r="C808" s="22" t="s">
        <v>860</v>
      </c>
      <c r="D808" s="23" t="s">
        <v>386</v>
      </c>
      <c r="E808" s="24" t="s">
        <v>80</v>
      </c>
      <c r="F808" s="24" t="s">
        <v>299</v>
      </c>
    </row>
    <row r="809" spans="1:6" ht="107.25" customHeight="1" x14ac:dyDescent="0.2">
      <c r="A809" s="21">
        <f>+Dates!$D$11-98</f>
        <v>41849</v>
      </c>
      <c r="B809" s="21">
        <f>+Dates!$D$11-84</f>
        <v>41863</v>
      </c>
      <c r="C809" s="22" t="s">
        <v>864</v>
      </c>
      <c r="D809" s="23" t="s">
        <v>10</v>
      </c>
      <c r="E809" s="24" t="s">
        <v>289</v>
      </c>
      <c r="F809" s="24" t="s">
        <v>299</v>
      </c>
    </row>
    <row r="810" spans="1:6" ht="206.25" customHeight="1" x14ac:dyDescent="0.2">
      <c r="A810" s="21">
        <f>+Dates!$D$11-98</f>
        <v>41849</v>
      </c>
      <c r="B810" s="21">
        <f>+Dates!$D$11-84</f>
        <v>41863</v>
      </c>
      <c r="C810" s="22" t="s">
        <v>861</v>
      </c>
      <c r="D810" s="23" t="s">
        <v>386</v>
      </c>
      <c r="E810" s="24" t="s">
        <v>291</v>
      </c>
      <c r="F810" s="24" t="s">
        <v>299</v>
      </c>
    </row>
    <row r="811" spans="1:6" ht="114.75" customHeight="1" x14ac:dyDescent="0.2">
      <c r="A811" s="21">
        <f>+Dates!$D$11-98</f>
        <v>41849</v>
      </c>
      <c r="B811" s="21">
        <f>+Dates!$D$11-84</f>
        <v>41863</v>
      </c>
      <c r="C811" s="22" t="s">
        <v>865</v>
      </c>
      <c r="D811" s="23" t="s">
        <v>10</v>
      </c>
      <c r="E811" s="24" t="s">
        <v>301</v>
      </c>
      <c r="F811" s="24" t="s">
        <v>299</v>
      </c>
    </row>
    <row r="812" spans="1:6" ht="210" customHeight="1" x14ac:dyDescent="0.2">
      <c r="A812" s="21">
        <f>+Dates!$D$11-98</f>
        <v>41849</v>
      </c>
      <c r="B812" s="21">
        <f>+Dates!$D$11-84</f>
        <v>41863</v>
      </c>
      <c r="C812" s="22" t="s">
        <v>862</v>
      </c>
      <c r="D812" s="23" t="s">
        <v>386</v>
      </c>
      <c r="E812" s="24" t="s">
        <v>297</v>
      </c>
      <c r="F812" s="24" t="s">
        <v>299</v>
      </c>
    </row>
    <row r="813" spans="1:6" ht="212.25" customHeight="1" x14ac:dyDescent="0.2">
      <c r="A813" s="21">
        <f>+Dates!$D$11-98</f>
        <v>41849</v>
      </c>
      <c r="B813" s="21">
        <f>+Dates!$D$11-84</f>
        <v>41863</v>
      </c>
      <c r="C813" s="22" t="s">
        <v>863</v>
      </c>
      <c r="D813" s="23" t="s">
        <v>386</v>
      </c>
      <c r="E813" s="24" t="s">
        <v>160</v>
      </c>
      <c r="F813" s="24" t="s">
        <v>299</v>
      </c>
    </row>
    <row r="814" spans="1:6" ht="212.25" customHeight="1" x14ac:dyDescent="0.2">
      <c r="A814" s="21">
        <f>+Dates!$D$11-98</f>
        <v>41849</v>
      </c>
      <c r="B814" s="21">
        <f>+Dates!$D$11-84</f>
        <v>41863</v>
      </c>
      <c r="C814" s="22" t="s">
        <v>1923</v>
      </c>
      <c r="D814" s="23" t="s">
        <v>386</v>
      </c>
      <c r="E814" s="24" t="s">
        <v>295</v>
      </c>
      <c r="F814" s="24" t="s">
        <v>299</v>
      </c>
    </row>
    <row r="815" spans="1:6" ht="175.5" customHeight="1" x14ac:dyDescent="0.2">
      <c r="A815" s="21">
        <f>+Dates!$D$11-98</f>
        <v>41849</v>
      </c>
      <c r="B815" s="21">
        <f>+Dates!$D$11-70</f>
        <v>41877</v>
      </c>
      <c r="C815" s="22" t="s">
        <v>872</v>
      </c>
      <c r="D815" s="23" t="s">
        <v>866</v>
      </c>
      <c r="E815" s="24" t="s">
        <v>61</v>
      </c>
      <c r="F815" s="24" t="s">
        <v>299</v>
      </c>
    </row>
    <row r="816" spans="1:6" ht="165.75" customHeight="1" x14ac:dyDescent="0.2">
      <c r="A816" s="21">
        <f>+Dates!$D$11-98</f>
        <v>41849</v>
      </c>
      <c r="B816" s="21">
        <f>+Dates!$D$11-70</f>
        <v>41877</v>
      </c>
      <c r="C816" s="22" t="s">
        <v>873</v>
      </c>
      <c r="D816" s="23" t="s">
        <v>866</v>
      </c>
      <c r="E816" s="24" t="s">
        <v>135</v>
      </c>
      <c r="F816" s="24" t="s">
        <v>299</v>
      </c>
    </row>
    <row r="817" spans="1:6" ht="171.75" customHeight="1" x14ac:dyDescent="0.2">
      <c r="A817" s="21">
        <f>+Dates!$D$11-98</f>
        <v>41849</v>
      </c>
      <c r="B817" s="21">
        <f>+Dates!$D$11-70</f>
        <v>41877</v>
      </c>
      <c r="C817" s="22" t="s">
        <v>874</v>
      </c>
      <c r="D817" s="23" t="s">
        <v>866</v>
      </c>
      <c r="E817" s="24" t="s">
        <v>391</v>
      </c>
      <c r="F817" s="24" t="s">
        <v>299</v>
      </c>
    </row>
    <row r="818" spans="1:6" ht="158.25" customHeight="1" x14ac:dyDescent="0.2">
      <c r="A818" s="21">
        <f>+Dates!$D$11-98</f>
        <v>41849</v>
      </c>
      <c r="B818" s="21">
        <f>+Dates!$D$11-70</f>
        <v>41877</v>
      </c>
      <c r="C818" s="22" t="s">
        <v>875</v>
      </c>
      <c r="D818" s="23" t="s">
        <v>866</v>
      </c>
      <c r="E818" s="24" t="s">
        <v>80</v>
      </c>
      <c r="F818" s="24" t="s">
        <v>299</v>
      </c>
    </row>
    <row r="819" spans="1:6" ht="198" customHeight="1" x14ac:dyDescent="0.2">
      <c r="A819" s="21">
        <f>+Dates!$D$11-98</f>
        <v>41849</v>
      </c>
      <c r="B819" s="21">
        <f>+Dates!$D$11-70</f>
        <v>41877</v>
      </c>
      <c r="C819" s="22" t="s">
        <v>876</v>
      </c>
      <c r="D819" s="23" t="s">
        <v>866</v>
      </c>
      <c r="E819" s="24" t="s">
        <v>291</v>
      </c>
      <c r="F819" s="24" t="s">
        <v>299</v>
      </c>
    </row>
    <row r="820" spans="1:6" ht="120.75" customHeight="1" x14ac:dyDescent="0.2">
      <c r="A820" s="21">
        <f>+Dates!$D$10-11</f>
        <v>41852</v>
      </c>
      <c r="B820" s="21">
        <f>+Dates!$D$10-11</f>
        <v>41852</v>
      </c>
      <c r="C820" s="22" t="s">
        <v>825</v>
      </c>
      <c r="D820" s="23" t="s">
        <v>788</v>
      </c>
      <c r="E820" s="24" t="s">
        <v>61</v>
      </c>
      <c r="F820" s="24" t="s">
        <v>103</v>
      </c>
    </row>
    <row r="821" spans="1:6" ht="125.25" customHeight="1" x14ac:dyDescent="0.2">
      <c r="A821" s="21">
        <f>+Dates!$D$10-11</f>
        <v>41852</v>
      </c>
      <c r="B821" s="21">
        <f>+Dates!$D$10-11</f>
        <v>41852</v>
      </c>
      <c r="C821" s="22" t="s">
        <v>826</v>
      </c>
      <c r="D821" s="23" t="s">
        <v>788</v>
      </c>
      <c r="E821" s="24" t="s">
        <v>391</v>
      </c>
      <c r="F821" s="24" t="s">
        <v>103</v>
      </c>
    </row>
    <row r="822" spans="1:6" ht="122.25" customHeight="1" x14ac:dyDescent="0.2">
      <c r="A822" s="21">
        <f>+Dates!$D$10-11</f>
        <v>41852</v>
      </c>
      <c r="B822" s="21">
        <f>+Dates!$D$10-11</f>
        <v>41852</v>
      </c>
      <c r="C822" s="22" t="s">
        <v>827</v>
      </c>
      <c r="D822" s="23" t="s">
        <v>788</v>
      </c>
      <c r="E822" s="24" t="s">
        <v>80</v>
      </c>
      <c r="F822" s="24" t="s">
        <v>103</v>
      </c>
    </row>
    <row r="823" spans="1:6" ht="120.75" customHeight="1" x14ac:dyDescent="0.2">
      <c r="A823" s="21">
        <f>+Dates!$D$10-11</f>
        <v>41852</v>
      </c>
      <c r="B823" s="21">
        <f>+Dates!$D$10-11</f>
        <v>41852</v>
      </c>
      <c r="C823" s="22" t="s">
        <v>828</v>
      </c>
      <c r="D823" s="23" t="s">
        <v>788</v>
      </c>
      <c r="E823" s="24" t="s">
        <v>289</v>
      </c>
      <c r="F823" s="24" t="s">
        <v>103</v>
      </c>
    </row>
    <row r="824" spans="1:6" ht="130.5" customHeight="1" x14ac:dyDescent="0.2">
      <c r="A824" s="21">
        <f>+Dates!$D$10-11</f>
        <v>41852</v>
      </c>
      <c r="B824" s="21">
        <f>+Dates!$D$10-11</f>
        <v>41852</v>
      </c>
      <c r="C824" s="22" t="s">
        <v>829</v>
      </c>
      <c r="D824" s="23" t="s">
        <v>788</v>
      </c>
      <c r="E824" s="24" t="s">
        <v>333</v>
      </c>
      <c r="F824" s="24" t="s">
        <v>103</v>
      </c>
    </row>
    <row r="825" spans="1:6" ht="87" customHeight="1" x14ac:dyDescent="0.2">
      <c r="A825" s="21">
        <f>+Dates!$D$10-11</f>
        <v>41852</v>
      </c>
      <c r="B825" s="21">
        <f>+Dates!$D$10-11</f>
        <v>41852</v>
      </c>
      <c r="C825" s="22" t="s">
        <v>830</v>
      </c>
      <c r="D825" s="23" t="s">
        <v>228</v>
      </c>
      <c r="E825" s="24" t="s">
        <v>61</v>
      </c>
      <c r="F825" s="24" t="s">
        <v>332</v>
      </c>
    </row>
    <row r="826" spans="1:6" ht="89.25" customHeight="1" x14ac:dyDescent="0.2">
      <c r="A826" s="21">
        <f>+Dates!$D$10-11</f>
        <v>41852</v>
      </c>
      <c r="B826" s="21">
        <f>+Dates!$D$10-11</f>
        <v>41852</v>
      </c>
      <c r="C826" s="22" t="s">
        <v>831</v>
      </c>
      <c r="D826" s="23" t="s">
        <v>228</v>
      </c>
      <c r="E826" s="24" t="s">
        <v>80</v>
      </c>
      <c r="F826" s="24" t="s">
        <v>332</v>
      </c>
    </row>
    <row r="827" spans="1:6" ht="90.75" customHeight="1" x14ac:dyDescent="0.2">
      <c r="A827" s="21">
        <f>+Dates!$D$10-11</f>
        <v>41852</v>
      </c>
      <c r="B827" s="21">
        <f>+Dates!$D$10-11</f>
        <v>41852</v>
      </c>
      <c r="C827" s="22" t="s">
        <v>832</v>
      </c>
      <c r="D827" s="23" t="s">
        <v>228</v>
      </c>
      <c r="E827" s="24" t="s">
        <v>289</v>
      </c>
      <c r="F827" s="24" t="s">
        <v>332</v>
      </c>
    </row>
    <row r="828" spans="1:6" ht="98.25" customHeight="1" x14ac:dyDescent="0.2">
      <c r="A828" s="21">
        <f>+Dates!$D$10-11</f>
        <v>41852</v>
      </c>
      <c r="B828" s="21">
        <f>+Dates!$D$10-11</f>
        <v>41852</v>
      </c>
      <c r="C828" s="22" t="s">
        <v>833</v>
      </c>
      <c r="D828" s="23" t="s">
        <v>228</v>
      </c>
      <c r="E828" s="24" t="s">
        <v>291</v>
      </c>
      <c r="F828" s="24" t="s">
        <v>332</v>
      </c>
    </row>
    <row r="829" spans="1:6" ht="93.75" customHeight="1" x14ac:dyDescent="0.2">
      <c r="A829" s="21">
        <f>+Dates!$D$10-11</f>
        <v>41852</v>
      </c>
      <c r="B829" s="21">
        <f>+Dates!$D$10-11</f>
        <v>41852</v>
      </c>
      <c r="C829" s="22" t="s">
        <v>834</v>
      </c>
      <c r="D829" s="23" t="s">
        <v>228</v>
      </c>
      <c r="E829" s="24" t="s">
        <v>301</v>
      </c>
      <c r="F829" s="24" t="s">
        <v>332</v>
      </c>
    </row>
    <row r="830" spans="1:6" ht="93.75" customHeight="1" x14ac:dyDescent="0.2">
      <c r="A830" s="21">
        <f>+Dates!$D$10-11</f>
        <v>41852</v>
      </c>
      <c r="B830" s="21">
        <f>+Dates!$D$10-11</f>
        <v>41852</v>
      </c>
      <c r="C830" s="22" t="s">
        <v>835</v>
      </c>
      <c r="D830" s="23" t="s">
        <v>228</v>
      </c>
      <c r="E830" s="24" t="s">
        <v>297</v>
      </c>
      <c r="F830" s="24" t="s">
        <v>332</v>
      </c>
    </row>
    <row r="831" spans="1:6" ht="77.25" customHeight="1" x14ac:dyDescent="0.2">
      <c r="A831" s="21">
        <f>+Dates!$D$10-11</f>
        <v>41852</v>
      </c>
      <c r="B831" s="21">
        <f>+Dates!$D$10-11</f>
        <v>41852</v>
      </c>
      <c r="C831" s="22" t="s">
        <v>836</v>
      </c>
      <c r="D831" s="23" t="s">
        <v>114</v>
      </c>
      <c r="E831" s="24" t="s">
        <v>61</v>
      </c>
      <c r="F831" s="24" t="s">
        <v>299</v>
      </c>
    </row>
    <row r="832" spans="1:6" ht="75" customHeight="1" x14ac:dyDescent="0.2">
      <c r="A832" s="21">
        <f>+Dates!$D$10-11</f>
        <v>41852</v>
      </c>
      <c r="B832" s="21">
        <f>+Dates!$D$10-11</f>
        <v>41852</v>
      </c>
      <c r="C832" s="22" t="s">
        <v>837</v>
      </c>
      <c r="D832" s="23" t="s">
        <v>114</v>
      </c>
      <c r="E832" s="24" t="s">
        <v>135</v>
      </c>
      <c r="F832" s="24" t="s">
        <v>299</v>
      </c>
    </row>
    <row r="833" spans="1:6" ht="62.25" customHeight="1" x14ac:dyDescent="0.2">
      <c r="A833" s="21">
        <f>+Dates!$D$10-11</f>
        <v>41852</v>
      </c>
      <c r="B833" s="21">
        <f>+Dates!$D$10-11</f>
        <v>41852</v>
      </c>
      <c r="C833" s="22" t="s">
        <v>838</v>
      </c>
      <c r="D833" s="23" t="s">
        <v>114</v>
      </c>
      <c r="E833" s="24" t="s">
        <v>391</v>
      </c>
      <c r="F833" s="24" t="s">
        <v>299</v>
      </c>
    </row>
    <row r="834" spans="1:6" ht="68.25" customHeight="1" x14ac:dyDescent="0.2">
      <c r="A834" s="21">
        <f>+Dates!$D$10-11</f>
        <v>41852</v>
      </c>
      <c r="B834" s="21">
        <f>+Dates!$D$10-11</f>
        <v>41852</v>
      </c>
      <c r="C834" s="22" t="s">
        <v>839</v>
      </c>
      <c r="D834" s="23" t="s">
        <v>114</v>
      </c>
      <c r="E834" s="24" t="s">
        <v>80</v>
      </c>
      <c r="F834" s="24" t="s">
        <v>299</v>
      </c>
    </row>
    <row r="835" spans="1:6" ht="72" customHeight="1" x14ac:dyDescent="0.2">
      <c r="A835" s="21">
        <f>+Dates!$D$10-11</f>
        <v>41852</v>
      </c>
      <c r="B835" s="21">
        <f>+Dates!$D$10-11</f>
        <v>41852</v>
      </c>
      <c r="C835" s="22" t="s">
        <v>840</v>
      </c>
      <c r="D835" s="23" t="s">
        <v>114</v>
      </c>
      <c r="E835" s="24" t="s">
        <v>289</v>
      </c>
      <c r="F835" s="24" t="s">
        <v>299</v>
      </c>
    </row>
    <row r="836" spans="1:6" ht="78.75" customHeight="1" x14ac:dyDescent="0.2">
      <c r="A836" s="21">
        <f>+Dates!$D$10-11</f>
        <v>41852</v>
      </c>
      <c r="B836" s="21">
        <f>+Dates!$D$10-11</f>
        <v>41852</v>
      </c>
      <c r="C836" s="22" t="s">
        <v>841</v>
      </c>
      <c r="D836" s="23" t="s">
        <v>114</v>
      </c>
      <c r="E836" s="24" t="s">
        <v>333</v>
      </c>
      <c r="F836" s="24" t="s">
        <v>299</v>
      </c>
    </row>
    <row r="837" spans="1:6" ht="128.25" customHeight="1" x14ac:dyDescent="0.2">
      <c r="A837" s="21">
        <f>+Dates!$D$10-7</f>
        <v>41856</v>
      </c>
      <c r="B837" s="21">
        <f>+Dates!$D$10-7</f>
        <v>41856</v>
      </c>
      <c r="C837" s="22" t="s">
        <v>807</v>
      </c>
      <c r="D837" s="23" t="s">
        <v>240</v>
      </c>
      <c r="E837" s="24" t="s">
        <v>61</v>
      </c>
      <c r="F837" s="24" t="s">
        <v>103</v>
      </c>
    </row>
    <row r="838" spans="1:6" ht="132" customHeight="1" x14ac:dyDescent="0.2">
      <c r="A838" s="21">
        <f>+Dates!$D$10-7</f>
        <v>41856</v>
      </c>
      <c r="B838" s="21">
        <f>+Dates!$D$10-7</f>
        <v>41856</v>
      </c>
      <c r="C838" s="22" t="s">
        <v>808</v>
      </c>
      <c r="D838" s="23" t="s">
        <v>240</v>
      </c>
      <c r="E838" s="24" t="s">
        <v>391</v>
      </c>
      <c r="F838" s="24" t="s">
        <v>103</v>
      </c>
    </row>
    <row r="839" spans="1:6" ht="122.25" customHeight="1" x14ac:dyDescent="0.2">
      <c r="A839" s="21">
        <f>+Dates!$D$10-7</f>
        <v>41856</v>
      </c>
      <c r="B839" s="21">
        <f>+Dates!$D$10-7</f>
        <v>41856</v>
      </c>
      <c r="C839" s="22" t="s">
        <v>809</v>
      </c>
      <c r="D839" s="23" t="s">
        <v>240</v>
      </c>
      <c r="E839" s="24" t="s">
        <v>80</v>
      </c>
      <c r="F839" s="24" t="s">
        <v>103</v>
      </c>
    </row>
    <row r="840" spans="1:6" ht="73.5" customHeight="1" x14ac:dyDescent="0.2">
      <c r="A840" s="21">
        <f>+Dates!$D$10-7</f>
        <v>41856</v>
      </c>
      <c r="B840" s="21">
        <f>+Dates!$D$10-7</f>
        <v>41856</v>
      </c>
      <c r="C840" s="22" t="s">
        <v>846</v>
      </c>
      <c r="D840" s="23" t="s">
        <v>194</v>
      </c>
      <c r="E840" s="24" t="s">
        <v>61</v>
      </c>
      <c r="F840" s="24" t="s">
        <v>195</v>
      </c>
    </row>
    <row r="841" spans="1:6" ht="75" customHeight="1" x14ac:dyDescent="0.2">
      <c r="A841" s="21">
        <f>+Dates!$D$10-7</f>
        <v>41856</v>
      </c>
      <c r="B841" s="21">
        <f>+Dates!$D$10-7</f>
        <v>41856</v>
      </c>
      <c r="C841" s="22" t="s">
        <v>847</v>
      </c>
      <c r="D841" s="23" t="s">
        <v>194</v>
      </c>
      <c r="E841" s="24" t="s">
        <v>80</v>
      </c>
      <c r="F841" s="24" t="s">
        <v>195</v>
      </c>
    </row>
    <row r="842" spans="1:6" ht="85.5" customHeight="1" x14ac:dyDescent="0.2">
      <c r="A842" s="21">
        <f>+Dates!$D$10-7</f>
        <v>41856</v>
      </c>
      <c r="B842" s="21">
        <f>+Dates!$D$10-7</f>
        <v>41856</v>
      </c>
      <c r="C842" s="22" t="s">
        <v>848</v>
      </c>
      <c r="D842" s="23" t="s">
        <v>194</v>
      </c>
      <c r="E842" s="24" t="s">
        <v>289</v>
      </c>
      <c r="F842" s="24" t="s">
        <v>195</v>
      </c>
    </row>
    <row r="843" spans="1:6" ht="84" customHeight="1" x14ac:dyDescent="0.2">
      <c r="A843" s="21">
        <f>+Dates!$D$10-7</f>
        <v>41856</v>
      </c>
      <c r="B843" s="21">
        <f>+Dates!$D$10-7</f>
        <v>41856</v>
      </c>
      <c r="C843" s="22" t="s">
        <v>849</v>
      </c>
      <c r="D843" s="23" t="s">
        <v>194</v>
      </c>
      <c r="E843" s="24" t="s">
        <v>291</v>
      </c>
      <c r="F843" s="24" t="s">
        <v>195</v>
      </c>
    </row>
    <row r="844" spans="1:6" ht="87" customHeight="1" x14ac:dyDescent="0.2">
      <c r="A844" s="21">
        <f>+Dates!$D$10-7</f>
        <v>41856</v>
      </c>
      <c r="B844" s="21">
        <f>+Dates!$D$10-7</f>
        <v>41856</v>
      </c>
      <c r="C844" s="22" t="s">
        <v>850</v>
      </c>
      <c r="D844" s="23" t="s">
        <v>194</v>
      </c>
      <c r="E844" s="24" t="s">
        <v>301</v>
      </c>
      <c r="F844" s="24" t="s">
        <v>195</v>
      </c>
    </row>
    <row r="845" spans="1:6" ht="85.5" customHeight="1" x14ac:dyDescent="0.2">
      <c r="A845" s="21">
        <f>+Dates!$D$10-7</f>
        <v>41856</v>
      </c>
      <c r="B845" s="21">
        <f>+Dates!$D$10-7</f>
        <v>41856</v>
      </c>
      <c r="C845" s="22" t="s">
        <v>851</v>
      </c>
      <c r="D845" s="23" t="s">
        <v>194</v>
      </c>
      <c r="E845" s="24" t="s">
        <v>297</v>
      </c>
      <c r="F845" s="24" t="s">
        <v>195</v>
      </c>
    </row>
    <row r="846" spans="1:6" ht="85.5" customHeight="1" x14ac:dyDescent="0.2">
      <c r="A846" s="21">
        <f>+Dates!$D$10-7</f>
        <v>41856</v>
      </c>
      <c r="B846" s="21">
        <f>+Dates!$D$10-7</f>
        <v>41856</v>
      </c>
      <c r="C846" s="22" t="s">
        <v>852</v>
      </c>
      <c r="D846" s="23" t="s">
        <v>194</v>
      </c>
      <c r="E846" s="24" t="s">
        <v>333</v>
      </c>
      <c r="F846" s="24" t="s">
        <v>195</v>
      </c>
    </row>
    <row r="847" spans="1:6" ht="135.75" customHeight="1" x14ac:dyDescent="0.2">
      <c r="A847" s="21">
        <f>+Dates!$D$10-7</f>
        <v>41856</v>
      </c>
      <c r="B847" s="21">
        <f>+Dates!$D$10-7</f>
        <v>41856</v>
      </c>
      <c r="C847" s="22" t="s">
        <v>1618</v>
      </c>
      <c r="D847" s="23" t="s">
        <v>788</v>
      </c>
      <c r="E847" s="24" t="s">
        <v>61</v>
      </c>
      <c r="F847" s="24" t="s">
        <v>103</v>
      </c>
    </row>
    <row r="848" spans="1:6" ht="126" customHeight="1" x14ac:dyDescent="0.2">
      <c r="A848" s="21">
        <f>+Dates!$D$10-7</f>
        <v>41856</v>
      </c>
      <c r="B848" s="21">
        <f>+Dates!$D$10-7</f>
        <v>41856</v>
      </c>
      <c r="C848" s="22" t="s">
        <v>1619</v>
      </c>
      <c r="D848" s="23" t="s">
        <v>788</v>
      </c>
      <c r="E848" s="24" t="s">
        <v>80</v>
      </c>
      <c r="F848" s="24" t="s">
        <v>103</v>
      </c>
    </row>
    <row r="849" spans="1:6" ht="141.75" customHeight="1" x14ac:dyDescent="0.2">
      <c r="A849" s="21">
        <f>+Dates!$D$10-7</f>
        <v>41856</v>
      </c>
      <c r="B849" s="21">
        <f>+Dates!$D$10-7</f>
        <v>41856</v>
      </c>
      <c r="C849" s="22" t="s">
        <v>1620</v>
      </c>
      <c r="D849" s="23" t="s">
        <v>788</v>
      </c>
      <c r="E849" s="24" t="s">
        <v>289</v>
      </c>
      <c r="F849" s="24" t="s">
        <v>103</v>
      </c>
    </row>
    <row r="850" spans="1:6" ht="140.25" customHeight="1" x14ac:dyDescent="0.2">
      <c r="A850" s="21">
        <f>+Dates!$D$10-7</f>
        <v>41856</v>
      </c>
      <c r="B850" s="21">
        <f>+Dates!$D$10-7</f>
        <v>41856</v>
      </c>
      <c r="C850" s="22" t="s">
        <v>1621</v>
      </c>
      <c r="D850" s="23" t="s">
        <v>788</v>
      </c>
      <c r="E850" s="24" t="s">
        <v>333</v>
      </c>
      <c r="F850" s="24" t="s">
        <v>103</v>
      </c>
    </row>
    <row r="851" spans="1:6" ht="117.75" customHeight="1" x14ac:dyDescent="0.2">
      <c r="A851" s="21">
        <f>+Dates!$D$10-7</f>
        <v>41856</v>
      </c>
      <c r="B851" s="21">
        <f>+Dates!$D$10-7</f>
        <v>41856</v>
      </c>
      <c r="C851" s="22" t="s">
        <v>853</v>
      </c>
      <c r="D851" s="23" t="s">
        <v>242</v>
      </c>
      <c r="E851" s="24" t="s">
        <v>61</v>
      </c>
      <c r="F851" s="24" t="s">
        <v>111</v>
      </c>
    </row>
    <row r="852" spans="1:6" ht="107.25" customHeight="1" x14ac:dyDescent="0.2">
      <c r="A852" s="21">
        <f>+Dates!$D$10-7</f>
        <v>41856</v>
      </c>
      <c r="B852" s="21">
        <f>+Dates!$D$10-7</f>
        <v>41856</v>
      </c>
      <c r="C852" s="22" t="s">
        <v>854</v>
      </c>
      <c r="D852" s="23" t="s">
        <v>242</v>
      </c>
      <c r="E852" s="24" t="s">
        <v>80</v>
      </c>
      <c r="F852" s="24" t="s">
        <v>111</v>
      </c>
    </row>
    <row r="853" spans="1:6" ht="114" customHeight="1" x14ac:dyDescent="0.2">
      <c r="A853" s="21">
        <f>+Dates!$D$10-7</f>
        <v>41856</v>
      </c>
      <c r="B853" s="21">
        <f>+Dates!$D$10-7</f>
        <v>41856</v>
      </c>
      <c r="C853" s="22" t="s">
        <v>855</v>
      </c>
      <c r="D853" s="23" t="s">
        <v>242</v>
      </c>
      <c r="E853" s="24" t="s">
        <v>289</v>
      </c>
      <c r="F853" s="24" t="s">
        <v>111</v>
      </c>
    </row>
    <row r="854" spans="1:6" ht="124.5" customHeight="1" x14ac:dyDescent="0.2">
      <c r="A854" s="21">
        <f>+Dates!$D$10-7</f>
        <v>41856</v>
      </c>
      <c r="B854" s="21">
        <f>+Dates!$D$10-7</f>
        <v>41856</v>
      </c>
      <c r="C854" s="22" t="s">
        <v>856</v>
      </c>
      <c r="D854" s="23" t="s">
        <v>242</v>
      </c>
      <c r="E854" s="24" t="s">
        <v>333</v>
      </c>
      <c r="F854" s="24" t="s">
        <v>111</v>
      </c>
    </row>
    <row r="855" spans="1:6" ht="266.25" customHeight="1" x14ac:dyDescent="0.2">
      <c r="A855" s="21">
        <f>+Dates!$D$10-7</f>
        <v>41856</v>
      </c>
      <c r="B855" s="21">
        <f>+Dates!$D$10</f>
        <v>41863</v>
      </c>
      <c r="C855" s="22" t="s">
        <v>1750</v>
      </c>
      <c r="D855" s="23" t="s">
        <v>372</v>
      </c>
      <c r="E855" s="24" t="s">
        <v>61</v>
      </c>
      <c r="F855" s="24" t="s">
        <v>305</v>
      </c>
    </row>
    <row r="856" spans="1:6" ht="257.25" customHeight="1" x14ac:dyDescent="0.2">
      <c r="A856" s="21">
        <f>+Dates!$D$10-7</f>
        <v>41856</v>
      </c>
      <c r="B856" s="21">
        <f>+Dates!$D$10</f>
        <v>41863</v>
      </c>
      <c r="C856" s="22" t="s">
        <v>1751</v>
      </c>
      <c r="D856" s="23" t="s">
        <v>372</v>
      </c>
      <c r="E856" s="24" t="s">
        <v>80</v>
      </c>
      <c r="F856" s="24" t="s">
        <v>305</v>
      </c>
    </row>
    <row r="857" spans="1:6" ht="267" customHeight="1" x14ac:dyDescent="0.2">
      <c r="A857" s="21">
        <f>+Dates!$D$10-7</f>
        <v>41856</v>
      </c>
      <c r="B857" s="21">
        <f>+Dates!$D$10</f>
        <v>41863</v>
      </c>
      <c r="C857" s="22" t="s">
        <v>1752</v>
      </c>
      <c r="D857" s="23" t="s">
        <v>372</v>
      </c>
      <c r="E857" s="24" t="s">
        <v>289</v>
      </c>
      <c r="F857" s="24" t="s">
        <v>305</v>
      </c>
    </row>
    <row r="858" spans="1:6" ht="261" customHeight="1" x14ac:dyDescent="0.2">
      <c r="A858" s="21">
        <f>+Dates!$D$10-7</f>
        <v>41856</v>
      </c>
      <c r="B858" s="21">
        <f>+Dates!$D$10</f>
        <v>41863</v>
      </c>
      <c r="C858" s="22" t="s">
        <v>1753</v>
      </c>
      <c r="D858" s="23" t="s">
        <v>372</v>
      </c>
      <c r="E858" s="24" t="s">
        <v>291</v>
      </c>
      <c r="F858" s="24" t="s">
        <v>305</v>
      </c>
    </row>
    <row r="859" spans="1:6" ht="255" customHeight="1" x14ac:dyDescent="0.2">
      <c r="A859" s="21">
        <f>+Dates!$D$10-7</f>
        <v>41856</v>
      </c>
      <c r="B859" s="21">
        <f>+Dates!$D$10</f>
        <v>41863</v>
      </c>
      <c r="C859" s="22" t="s">
        <v>1754</v>
      </c>
      <c r="D859" s="23" t="s">
        <v>372</v>
      </c>
      <c r="E859" s="24" t="s">
        <v>301</v>
      </c>
      <c r="F859" s="24" t="s">
        <v>305</v>
      </c>
    </row>
    <row r="860" spans="1:6" ht="268.5" customHeight="1" x14ac:dyDescent="0.2">
      <c r="A860" s="21">
        <f>+Dates!$D$10-7</f>
        <v>41856</v>
      </c>
      <c r="B860" s="21">
        <f>+Dates!$D$10</f>
        <v>41863</v>
      </c>
      <c r="C860" s="22" t="s">
        <v>1755</v>
      </c>
      <c r="D860" s="23" t="s">
        <v>372</v>
      </c>
      <c r="E860" s="24" t="s">
        <v>297</v>
      </c>
      <c r="F860" s="24" t="s">
        <v>305</v>
      </c>
    </row>
    <row r="861" spans="1:6" ht="253.5" customHeight="1" x14ac:dyDescent="0.2">
      <c r="A861" s="21">
        <f>+Dates!$D$10-7</f>
        <v>41856</v>
      </c>
      <c r="B861" s="21">
        <f>+Dates!$D$10</f>
        <v>41863</v>
      </c>
      <c r="C861" s="22" t="s">
        <v>1756</v>
      </c>
      <c r="D861" s="23" t="s">
        <v>372</v>
      </c>
      <c r="E861" s="24" t="s">
        <v>333</v>
      </c>
      <c r="F861" s="24" t="s">
        <v>305</v>
      </c>
    </row>
    <row r="862" spans="1:6" ht="123.75" customHeight="1" x14ac:dyDescent="0.2">
      <c r="A862" s="21">
        <f>+Dates!$D$10-7</f>
        <v>41856</v>
      </c>
      <c r="B862" s="21">
        <f>+Dates!$D$10</f>
        <v>41863</v>
      </c>
      <c r="C862" s="22" t="s">
        <v>1685</v>
      </c>
      <c r="D862" s="23" t="s">
        <v>419</v>
      </c>
      <c r="E862" s="24" t="s">
        <v>61</v>
      </c>
      <c r="F862" s="24" t="s">
        <v>305</v>
      </c>
    </row>
    <row r="863" spans="1:6" ht="112.5" customHeight="1" x14ac:dyDescent="0.2">
      <c r="A863" s="21">
        <f>+Dates!$D$10-7</f>
        <v>41856</v>
      </c>
      <c r="B863" s="21">
        <f>+Dates!$D$10</f>
        <v>41863</v>
      </c>
      <c r="C863" s="22" t="s">
        <v>1686</v>
      </c>
      <c r="D863" s="23" t="s">
        <v>419</v>
      </c>
      <c r="E863" s="24" t="s">
        <v>80</v>
      </c>
      <c r="F863" s="24" t="s">
        <v>305</v>
      </c>
    </row>
    <row r="864" spans="1:6" ht="116.25" customHeight="1" x14ac:dyDescent="0.2">
      <c r="A864" s="21">
        <f>+Dates!$D$10-7</f>
        <v>41856</v>
      </c>
      <c r="B864" s="21">
        <f>+Dates!$D$10</f>
        <v>41863</v>
      </c>
      <c r="C864" s="22" t="s">
        <v>1687</v>
      </c>
      <c r="D864" s="23" t="s">
        <v>419</v>
      </c>
      <c r="E864" s="24" t="s">
        <v>289</v>
      </c>
      <c r="F864" s="24" t="s">
        <v>305</v>
      </c>
    </row>
    <row r="865" spans="1:6" ht="123" customHeight="1" x14ac:dyDescent="0.2">
      <c r="A865" s="21">
        <f>+Dates!$D$10-7</f>
        <v>41856</v>
      </c>
      <c r="B865" s="21">
        <f>+Dates!$D$10</f>
        <v>41863</v>
      </c>
      <c r="C865" s="22" t="s">
        <v>1688</v>
      </c>
      <c r="D865" s="23" t="s">
        <v>419</v>
      </c>
      <c r="E865" s="24" t="s">
        <v>291</v>
      </c>
      <c r="F865" s="24" t="s">
        <v>305</v>
      </c>
    </row>
    <row r="866" spans="1:6" ht="126" customHeight="1" x14ac:dyDescent="0.2">
      <c r="A866" s="21">
        <f>+Dates!$D$10-7</f>
        <v>41856</v>
      </c>
      <c r="B866" s="21">
        <f>+Dates!$D$10</f>
        <v>41863</v>
      </c>
      <c r="C866" s="22" t="s">
        <v>1689</v>
      </c>
      <c r="D866" s="23" t="s">
        <v>419</v>
      </c>
      <c r="E866" s="24" t="s">
        <v>301</v>
      </c>
      <c r="F866" s="24" t="s">
        <v>305</v>
      </c>
    </row>
    <row r="867" spans="1:6" ht="126.75" customHeight="1" x14ac:dyDescent="0.2">
      <c r="A867" s="21">
        <f>+Dates!$D$10-7</f>
        <v>41856</v>
      </c>
      <c r="B867" s="21">
        <f>+Dates!$D$10</f>
        <v>41863</v>
      </c>
      <c r="C867" s="22" t="s">
        <v>1690</v>
      </c>
      <c r="D867" s="23" t="s">
        <v>419</v>
      </c>
      <c r="E867" s="24" t="s">
        <v>297</v>
      </c>
      <c r="F867" s="24" t="s">
        <v>305</v>
      </c>
    </row>
    <row r="868" spans="1:6" ht="125.25" customHeight="1" x14ac:dyDescent="0.2">
      <c r="A868" s="21">
        <f>+Dates!$D$10-7</f>
        <v>41856</v>
      </c>
      <c r="B868" s="21">
        <f>+Dates!$D$10</f>
        <v>41863</v>
      </c>
      <c r="C868" s="22" t="s">
        <v>1691</v>
      </c>
      <c r="D868" s="23" t="s">
        <v>419</v>
      </c>
      <c r="E868" s="24" t="s">
        <v>333</v>
      </c>
      <c r="F868" s="24" t="s">
        <v>305</v>
      </c>
    </row>
    <row r="869" spans="1:6" ht="128.25" customHeight="1" x14ac:dyDescent="0.2">
      <c r="A869" s="21">
        <f>+Dates!$D$11-90</f>
        <v>41857</v>
      </c>
      <c r="B869" s="21">
        <f>+Dates!$D$11-90</f>
        <v>41857</v>
      </c>
      <c r="C869" s="22" t="s">
        <v>693</v>
      </c>
      <c r="D869" s="23" t="s">
        <v>106</v>
      </c>
      <c r="E869" s="24" t="s">
        <v>61</v>
      </c>
      <c r="F869" s="24" t="s">
        <v>107</v>
      </c>
    </row>
    <row r="870" spans="1:6" ht="126.75" customHeight="1" x14ac:dyDescent="0.2">
      <c r="A870" s="21">
        <f>+Dates!$D$11-90</f>
        <v>41857</v>
      </c>
      <c r="B870" s="21">
        <f>+Dates!$D$11-90</f>
        <v>41857</v>
      </c>
      <c r="C870" s="22" t="s">
        <v>694</v>
      </c>
      <c r="D870" s="23" t="s">
        <v>106</v>
      </c>
      <c r="E870" s="24" t="s">
        <v>80</v>
      </c>
      <c r="F870" s="24" t="s">
        <v>107</v>
      </c>
    </row>
    <row r="871" spans="1:6" ht="139.5" customHeight="1" x14ac:dyDescent="0.2">
      <c r="A871" s="21">
        <f>+Dates!$D$11-90</f>
        <v>41857</v>
      </c>
      <c r="B871" s="21">
        <f>+Dates!$D$11-90</f>
        <v>41857</v>
      </c>
      <c r="C871" s="22" t="s">
        <v>695</v>
      </c>
      <c r="D871" s="23" t="s">
        <v>106</v>
      </c>
      <c r="E871" s="24" t="s">
        <v>289</v>
      </c>
      <c r="F871" s="24" t="s">
        <v>107</v>
      </c>
    </row>
    <row r="872" spans="1:6" ht="135.75" customHeight="1" x14ac:dyDescent="0.2">
      <c r="A872" s="21">
        <f>+Dates!$D$11-90</f>
        <v>41857</v>
      </c>
      <c r="B872" s="21">
        <f>+Dates!$D$11-90</f>
        <v>41857</v>
      </c>
      <c r="C872" s="22" t="s">
        <v>696</v>
      </c>
      <c r="D872" s="23" t="s">
        <v>106</v>
      </c>
      <c r="E872" s="24" t="s">
        <v>291</v>
      </c>
      <c r="F872" s="24" t="s">
        <v>107</v>
      </c>
    </row>
    <row r="873" spans="1:6" ht="138" customHeight="1" x14ac:dyDescent="0.2">
      <c r="A873" s="21">
        <f>+Dates!$D$11-90</f>
        <v>41857</v>
      </c>
      <c r="B873" s="21">
        <f>+Dates!$D$11-90</f>
        <v>41857</v>
      </c>
      <c r="C873" s="22" t="s">
        <v>1020</v>
      </c>
      <c r="D873" s="23" t="s">
        <v>106</v>
      </c>
      <c r="E873" s="24" t="s">
        <v>301</v>
      </c>
      <c r="F873" s="24" t="s">
        <v>107</v>
      </c>
    </row>
    <row r="874" spans="1:6" ht="147" customHeight="1" x14ac:dyDescent="0.2">
      <c r="A874" s="21">
        <f>+Dates!$D$11-90</f>
        <v>41857</v>
      </c>
      <c r="B874" s="21">
        <f>+Dates!$D$11-90</f>
        <v>41857</v>
      </c>
      <c r="C874" s="22" t="s">
        <v>698</v>
      </c>
      <c r="D874" s="23" t="s">
        <v>106</v>
      </c>
      <c r="E874" s="24" t="s">
        <v>297</v>
      </c>
      <c r="F874" s="24" t="s">
        <v>107</v>
      </c>
    </row>
    <row r="875" spans="1:6" ht="141.75" customHeight="1" x14ac:dyDescent="0.2">
      <c r="A875" s="21">
        <f>+Dates!$D$11-90</f>
        <v>41857</v>
      </c>
      <c r="B875" s="21">
        <f>+Dates!$D$11-90</f>
        <v>41857</v>
      </c>
      <c r="C875" s="22" t="s">
        <v>699</v>
      </c>
      <c r="D875" s="23" t="s">
        <v>106</v>
      </c>
      <c r="E875" s="24" t="s">
        <v>333</v>
      </c>
      <c r="F875" s="24" t="s">
        <v>107</v>
      </c>
    </row>
    <row r="876" spans="1:6" ht="140.25" customHeight="1" x14ac:dyDescent="0.2">
      <c r="A876" s="21">
        <f>+Dates!$D$11-90</f>
        <v>41857</v>
      </c>
      <c r="B876" s="21">
        <f>+Dates!$D$11-90</f>
        <v>41857</v>
      </c>
      <c r="C876" s="22" t="s">
        <v>700</v>
      </c>
      <c r="D876" s="23" t="s">
        <v>106</v>
      </c>
      <c r="E876" s="24" t="s">
        <v>160</v>
      </c>
      <c r="F876" s="24" t="s">
        <v>107</v>
      </c>
    </row>
    <row r="877" spans="1:6" ht="192" customHeight="1" x14ac:dyDescent="0.2">
      <c r="A877" s="21">
        <f>+Dates!$D$10-5</f>
        <v>41858</v>
      </c>
      <c r="B877" s="21">
        <f>+Dates!$D$10-5</f>
        <v>41858</v>
      </c>
      <c r="C877" s="22" t="s">
        <v>1707</v>
      </c>
      <c r="D877" s="23" t="s">
        <v>1708</v>
      </c>
      <c r="E877" s="24" t="s">
        <v>61</v>
      </c>
      <c r="F877" s="24" t="s">
        <v>1709</v>
      </c>
    </row>
    <row r="878" spans="1:6" ht="192" customHeight="1" x14ac:dyDescent="0.2">
      <c r="A878" s="21">
        <f>+Dates!$D$10-5</f>
        <v>41858</v>
      </c>
      <c r="B878" s="21">
        <f>+Dates!$D$10-5</f>
        <v>41858</v>
      </c>
      <c r="C878" s="22" t="s">
        <v>1710</v>
      </c>
      <c r="D878" s="23" t="s">
        <v>1708</v>
      </c>
      <c r="E878" s="24" t="s">
        <v>80</v>
      </c>
      <c r="F878" s="24" t="s">
        <v>1709</v>
      </c>
    </row>
    <row r="879" spans="1:6" ht="192" customHeight="1" x14ac:dyDescent="0.2">
      <c r="A879" s="21">
        <f>+Dates!$D$10-5</f>
        <v>41858</v>
      </c>
      <c r="B879" s="21">
        <f>+Dates!$D$10-5</f>
        <v>41858</v>
      </c>
      <c r="C879" s="22" t="s">
        <v>1711</v>
      </c>
      <c r="D879" s="23" t="s">
        <v>1708</v>
      </c>
      <c r="E879" s="24" t="s">
        <v>289</v>
      </c>
      <c r="F879" s="24" t="s">
        <v>1709</v>
      </c>
    </row>
    <row r="880" spans="1:6" ht="192" customHeight="1" x14ac:dyDescent="0.2">
      <c r="A880" s="21">
        <f>+Dates!$D$10-5</f>
        <v>41858</v>
      </c>
      <c r="B880" s="21">
        <f>+Dates!$D$10-5</f>
        <v>41858</v>
      </c>
      <c r="C880" s="22" t="s">
        <v>1712</v>
      </c>
      <c r="D880" s="23" t="s">
        <v>1708</v>
      </c>
      <c r="E880" s="24" t="s">
        <v>291</v>
      </c>
      <c r="F880" s="24" t="s">
        <v>1709</v>
      </c>
    </row>
    <row r="881" spans="1:6" ht="192" customHeight="1" x14ac:dyDescent="0.2">
      <c r="A881" s="21">
        <f>+Dates!$D$10-5</f>
        <v>41858</v>
      </c>
      <c r="B881" s="21">
        <f>+Dates!$D$10-5</f>
        <v>41858</v>
      </c>
      <c r="C881" s="22" t="s">
        <v>1713</v>
      </c>
      <c r="D881" s="23" t="s">
        <v>1708</v>
      </c>
      <c r="E881" s="24" t="s">
        <v>301</v>
      </c>
      <c r="F881" s="24" t="s">
        <v>1709</v>
      </c>
    </row>
    <row r="882" spans="1:6" ht="192" customHeight="1" x14ac:dyDescent="0.2">
      <c r="A882" s="21">
        <f>+Dates!$D$10-5</f>
        <v>41858</v>
      </c>
      <c r="B882" s="21">
        <f>+Dates!$D$10-5</f>
        <v>41858</v>
      </c>
      <c r="C882" s="22" t="s">
        <v>1714</v>
      </c>
      <c r="D882" s="23" t="s">
        <v>1708</v>
      </c>
      <c r="E882" s="24" t="s">
        <v>297</v>
      </c>
      <c r="F882" s="24" t="s">
        <v>1709</v>
      </c>
    </row>
    <row r="883" spans="1:6" ht="192" customHeight="1" x14ac:dyDescent="0.2">
      <c r="A883" s="21">
        <f>+Dates!$D$10-5</f>
        <v>41858</v>
      </c>
      <c r="B883" s="21">
        <f>+Dates!$D$10-5</f>
        <v>41858</v>
      </c>
      <c r="C883" s="22" t="s">
        <v>1715</v>
      </c>
      <c r="D883" s="23" t="s">
        <v>1708</v>
      </c>
      <c r="E883" s="24" t="s">
        <v>333</v>
      </c>
      <c r="F883" s="24" t="s">
        <v>1709</v>
      </c>
    </row>
    <row r="884" spans="1:6" ht="125.25" customHeight="1" x14ac:dyDescent="0.2">
      <c r="A884" s="21">
        <f>+Dates!$D$10-4</f>
        <v>41859</v>
      </c>
      <c r="B884" s="21">
        <f>+Dates!$D$10-4</f>
        <v>41859</v>
      </c>
      <c r="C884" s="22" t="s">
        <v>878</v>
      </c>
      <c r="D884" s="23" t="s">
        <v>110</v>
      </c>
      <c r="E884" s="24" t="s">
        <v>61</v>
      </c>
      <c r="F884" s="24" t="s">
        <v>111</v>
      </c>
    </row>
    <row r="885" spans="1:6" ht="122.25" customHeight="1" x14ac:dyDescent="0.2">
      <c r="A885" s="21">
        <f>+Dates!$D$10-4</f>
        <v>41859</v>
      </c>
      <c r="B885" s="21">
        <f>+Dates!$D$10-4</f>
        <v>41859</v>
      </c>
      <c r="C885" s="22" t="s">
        <v>877</v>
      </c>
      <c r="D885" s="23" t="s">
        <v>110</v>
      </c>
      <c r="E885" s="24" t="s">
        <v>292</v>
      </c>
      <c r="F885" s="24" t="s">
        <v>111</v>
      </c>
    </row>
    <row r="886" spans="1:6" ht="129.75" customHeight="1" x14ac:dyDescent="0.2">
      <c r="A886" s="21">
        <f>+Dates!$D$10-4</f>
        <v>41859</v>
      </c>
      <c r="B886" s="21">
        <f>+Dates!$D$10-4</f>
        <v>41859</v>
      </c>
      <c r="C886" s="22" t="s">
        <v>879</v>
      </c>
      <c r="D886" s="23" t="s">
        <v>110</v>
      </c>
      <c r="E886" s="24" t="s">
        <v>289</v>
      </c>
      <c r="F886" s="24" t="s">
        <v>111</v>
      </c>
    </row>
    <row r="887" spans="1:6" ht="136.5" customHeight="1" x14ac:dyDescent="0.2">
      <c r="A887" s="21">
        <f>+Dates!$D$10-4</f>
        <v>41859</v>
      </c>
      <c r="B887" s="21">
        <f>+Dates!$D$10-4</f>
        <v>41859</v>
      </c>
      <c r="C887" s="22" t="s">
        <v>880</v>
      </c>
      <c r="D887" s="23" t="s">
        <v>110</v>
      </c>
      <c r="E887" s="24" t="s">
        <v>291</v>
      </c>
      <c r="F887" s="24" t="s">
        <v>111</v>
      </c>
    </row>
    <row r="888" spans="1:6" ht="139.5" customHeight="1" x14ac:dyDescent="0.2">
      <c r="A888" s="21">
        <f>+Dates!$D$10-4</f>
        <v>41859</v>
      </c>
      <c r="B888" s="21">
        <f>+Dates!$D$10-4</f>
        <v>41859</v>
      </c>
      <c r="C888" s="22" t="s">
        <v>881</v>
      </c>
      <c r="D888" s="23" t="s">
        <v>110</v>
      </c>
      <c r="E888" s="24" t="s">
        <v>301</v>
      </c>
      <c r="F888" s="24" t="s">
        <v>111</v>
      </c>
    </row>
    <row r="889" spans="1:6" ht="137.25" customHeight="1" x14ac:dyDescent="0.2">
      <c r="A889" s="21">
        <f>+Dates!$D$10-4</f>
        <v>41859</v>
      </c>
      <c r="B889" s="21">
        <f>+Dates!$D$10-4</f>
        <v>41859</v>
      </c>
      <c r="C889" s="22" t="s">
        <v>882</v>
      </c>
      <c r="D889" s="23" t="s">
        <v>110</v>
      </c>
      <c r="E889" s="24" t="s">
        <v>297</v>
      </c>
      <c r="F889" s="24" t="s">
        <v>111</v>
      </c>
    </row>
    <row r="890" spans="1:6" ht="75" customHeight="1" x14ac:dyDescent="0.2">
      <c r="A890" s="21">
        <f>+Dates!$D$10-4</f>
        <v>41859</v>
      </c>
      <c r="B890" s="21">
        <f>+Dates!$D$10-4</f>
        <v>41859</v>
      </c>
      <c r="C890" s="22" t="s">
        <v>894</v>
      </c>
      <c r="D890" s="23" t="s">
        <v>220</v>
      </c>
      <c r="E890" s="24" t="s">
        <v>61</v>
      </c>
      <c r="F890" s="24" t="s">
        <v>103</v>
      </c>
    </row>
    <row r="891" spans="1:6" ht="75.75" customHeight="1" x14ac:dyDescent="0.2">
      <c r="A891" s="21">
        <f>+Dates!$D$10-4</f>
        <v>41859</v>
      </c>
      <c r="B891" s="21">
        <f>+Dates!$D$10-4</f>
        <v>41859</v>
      </c>
      <c r="C891" s="22" t="s">
        <v>895</v>
      </c>
      <c r="D891" s="23" t="s">
        <v>220</v>
      </c>
      <c r="E891" s="24" t="s">
        <v>80</v>
      </c>
      <c r="F891" s="24" t="s">
        <v>103</v>
      </c>
    </row>
    <row r="892" spans="1:6" ht="90.75" customHeight="1" x14ac:dyDescent="0.2">
      <c r="A892" s="21">
        <f>+Dates!$D$10-4</f>
        <v>41859</v>
      </c>
      <c r="B892" s="21">
        <f>+Dates!$D$10-4</f>
        <v>41859</v>
      </c>
      <c r="C892" s="22" t="s">
        <v>896</v>
      </c>
      <c r="D892" s="23" t="s">
        <v>220</v>
      </c>
      <c r="E892" s="24" t="s">
        <v>333</v>
      </c>
      <c r="F892" s="24" t="s">
        <v>103</v>
      </c>
    </row>
    <row r="893" spans="1:6" ht="120" customHeight="1" x14ac:dyDescent="0.2">
      <c r="A893" s="21">
        <v>41859</v>
      </c>
      <c r="B893" s="21">
        <v>41859</v>
      </c>
      <c r="C893" s="22" t="s">
        <v>888</v>
      </c>
      <c r="D893" s="23" t="s">
        <v>348</v>
      </c>
      <c r="E893" s="24" t="s">
        <v>61</v>
      </c>
      <c r="F893" s="24" t="s">
        <v>241</v>
      </c>
    </row>
    <row r="894" spans="1:6" ht="123.75" customHeight="1" x14ac:dyDescent="0.2">
      <c r="A894" s="21">
        <v>41859</v>
      </c>
      <c r="B894" s="21">
        <v>41859</v>
      </c>
      <c r="C894" s="22" t="s">
        <v>889</v>
      </c>
      <c r="D894" s="23" t="s">
        <v>348</v>
      </c>
      <c r="E894" s="24" t="s">
        <v>80</v>
      </c>
      <c r="F894" s="24" t="s">
        <v>241</v>
      </c>
    </row>
    <row r="895" spans="1:6" ht="126" customHeight="1" x14ac:dyDescent="0.2">
      <c r="A895" s="21">
        <v>41859</v>
      </c>
      <c r="B895" s="21">
        <v>41859</v>
      </c>
      <c r="C895" s="22" t="s">
        <v>890</v>
      </c>
      <c r="D895" s="23" t="s">
        <v>348</v>
      </c>
      <c r="E895" s="24" t="s">
        <v>289</v>
      </c>
      <c r="F895" s="24" t="s">
        <v>241</v>
      </c>
    </row>
    <row r="896" spans="1:6" ht="124.5" customHeight="1" x14ac:dyDescent="0.2">
      <c r="A896" s="21">
        <v>41859</v>
      </c>
      <c r="B896" s="21">
        <v>41859</v>
      </c>
      <c r="C896" s="22" t="s">
        <v>891</v>
      </c>
      <c r="D896" s="23" t="s">
        <v>348</v>
      </c>
      <c r="E896" s="24" t="s">
        <v>291</v>
      </c>
      <c r="F896" s="24" t="s">
        <v>241</v>
      </c>
    </row>
    <row r="897" spans="1:6" ht="126.75" customHeight="1" x14ac:dyDescent="0.2">
      <c r="A897" s="21">
        <v>41859</v>
      </c>
      <c r="B897" s="21">
        <v>41859</v>
      </c>
      <c r="C897" s="22" t="s">
        <v>892</v>
      </c>
      <c r="D897" s="23" t="s">
        <v>348</v>
      </c>
      <c r="E897" s="24" t="s">
        <v>301</v>
      </c>
      <c r="F897" s="24" t="s">
        <v>241</v>
      </c>
    </row>
    <row r="898" spans="1:6" ht="125.25" customHeight="1" x14ac:dyDescent="0.2">
      <c r="A898" s="21">
        <v>41859</v>
      </c>
      <c r="B898" s="21">
        <v>41859</v>
      </c>
      <c r="C898" s="22" t="s">
        <v>893</v>
      </c>
      <c r="D898" s="23" t="s">
        <v>348</v>
      </c>
      <c r="E898" s="24" t="s">
        <v>297</v>
      </c>
      <c r="F898" s="24" t="s">
        <v>241</v>
      </c>
    </row>
    <row r="899" spans="1:6" ht="201.75" customHeight="1" x14ac:dyDescent="0.2">
      <c r="A899" s="21">
        <f>+Dates!$D$10-4</f>
        <v>41859</v>
      </c>
      <c r="B899" s="21">
        <f>+Dates!$D$10-4</f>
        <v>41859</v>
      </c>
      <c r="C899" s="22" t="s">
        <v>1696</v>
      </c>
      <c r="D899" s="23" t="s">
        <v>155</v>
      </c>
      <c r="E899" s="24" t="s">
        <v>61</v>
      </c>
      <c r="F899" s="24" t="s">
        <v>107</v>
      </c>
    </row>
    <row r="900" spans="1:6" ht="185.25" customHeight="1" x14ac:dyDescent="0.2">
      <c r="A900" s="21">
        <f>+Dates!$D$10-4</f>
        <v>41859</v>
      </c>
      <c r="B900" s="21">
        <f>+Dates!$D$10-4</f>
        <v>41859</v>
      </c>
      <c r="C900" s="22" t="s">
        <v>1697</v>
      </c>
      <c r="D900" s="23" t="s">
        <v>155</v>
      </c>
      <c r="E900" s="24" t="s">
        <v>391</v>
      </c>
      <c r="F900" s="24" t="s">
        <v>107</v>
      </c>
    </row>
    <row r="901" spans="1:6" ht="188.25" customHeight="1" x14ac:dyDescent="0.2">
      <c r="A901" s="21">
        <f>+Dates!$D$10-4</f>
        <v>41859</v>
      </c>
      <c r="B901" s="21">
        <f>+Dates!$D$10-4</f>
        <v>41859</v>
      </c>
      <c r="C901" s="22" t="s">
        <v>1698</v>
      </c>
      <c r="D901" s="23" t="s">
        <v>155</v>
      </c>
      <c r="E901" s="24" t="s">
        <v>80</v>
      </c>
      <c r="F901" s="24" t="s">
        <v>107</v>
      </c>
    </row>
    <row r="902" spans="1:6" ht="179.25" customHeight="1" x14ac:dyDescent="0.2">
      <c r="A902" s="21">
        <f>+Dates!$D$10-4</f>
        <v>41859</v>
      </c>
      <c r="B902" s="21">
        <f>+Dates!$D$10-4</f>
        <v>41859</v>
      </c>
      <c r="C902" s="22" t="s">
        <v>1699</v>
      </c>
      <c r="D902" s="23" t="s">
        <v>155</v>
      </c>
      <c r="E902" s="24" t="s">
        <v>289</v>
      </c>
      <c r="F902" s="24" t="s">
        <v>107</v>
      </c>
    </row>
    <row r="903" spans="1:6" ht="199.5" customHeight="1" x14ac:dyDescent="0.2">
      <c r="A903" s="21">
        <f>+Dates!$D$10-4</f>
        <v>41859</v>
      </c>
      <c r="B903" s="21">
        <f>+Dates!$D$10-4</f>
        <v>41859</v>
      </c>
      <c r="C903" s="22" t="s">
        <v>1700</v>
      </c>
      <c r="D903" s="23" t="s">
        <v>155</v>
      </c>
      <c r="E903" s="24" t="s">
        <v>291</v>
      </c>
      <c r="F903" s="24" t="s">
        <v>107</v>
      </c>
    </row>
    <row r="904" spans="1:6" ht="191.25" customHeight="1" x14ac:dyDescent="0.2">
      <c r="A904" s="21">
        <f>+Dates!$D$10-4</f>
        <v>41859</v>
      </c>
      <c r="B904" s="21">
        <f>+Dates!$D$10-4</f>
        <v>41859</v>
      </c>
      <c r="C904" s="22" t="s">
        <v>1701</v>
      </c>
      <c r="D904" s="23" t="s">
        <v>155</v>
      </c>
      <c r="E904" s="24" t="s">
        <v>301</v>
      </c>
      <c r="F904" s="24" t="s">
        <v>107</v>
      </c>
    </row>
    <row r="905" spans="1:6" ht="193.5" customHeight="1" x14ac:dyDescent="0.2">
      <c r="A905" s="21">
        <f>+Dates!$D$10-4</f>
        <v>41859</v>
      </c>
      <c r="B905" s="21">
        <f>+Dates!$D$10-4</f>
        <v>41859</v>
      </c>
      <c r="C905" s="22" t="s">
        <v>1702</v>
      </c>
      <c r="D905" s="23" t="s">
        <v>155</v>
      </c>
      <c r="E905" s="24" t="s">
        <v>297</v>
      </c>
      <c r="F905" s="24" t="s">
        <v>107</v>
      </c>
    </row>
    <row r="906" spans="1:6" ht="190.5" customHeight="1" x14ac:dyDescent="0.2">
      <c r="A906" s="21">
        <f>+Dates!$D$10-4</f>
        <v>41859</v>
      </c>
      <c r="B906" s="21">
        <f>+Dates!$D$10-4</f>
        <v>41859</v>
      </c>
      <c r="C906" s="22" t="s">
        <v>1703</v>
      </c>
      <c r="D906" s="23" t="s">
        <v>155</v>
      </c>
      <c r="E906" s="24" t="s">
        <v>333</v>
      </c>
      <c r="F906" s="24" t="s">
        <v>107</v>
      </c>
    </row>
    <row r="907" spans="1:6" ht="112.5" customHeight="1" x14ac:dyDescent="0.2">
      <c r="A907" s="21">
        <f>+Dates!$D$10-3</f>
        <v>41860</v>
      </c>
      <c r="B907" s="21">
        <f>+Dates!$D$10-3</f>
        <v>41860</v>
      </c>
      <c r="C907" s="22" t="s">
        <v>374</v>
      </c>
      <c r="D907" s="23" t="s">
        <v>263</v>
      </c>
      <c r="E907" s="24" t="s">
        <v>61</v>
      </c>
      <c r="F907" s="24" t="s">
        <v>305</v>
      </c>
    </row>
    <row r="908" spans="1:6" ht="63.75" customHeight="1" x14ac:dyDescent="0.2">
      <c r="A908" s="21">
        <f>+Dates!$D$10-3</f>
        <v>41860</v>
      </c>
      <c r="B908" s="21">
        <f>+Dates!$D$10-3</f>
        <v>41860</v>
      </c>
      <c r="C908" s="22" t="s">
        <v>328</v>
      </c>
      <c r="D908" s="23" t="s">
        <v>263</v>
      </c>
      <c r="E908" s="24" t="s">
        <v>391</v>
      </c>
      <c r="F908" s="24" t="s">
        <v>305</v>
      </c>
    </row>
    <row r="909" spans="1:6" ht="105" customHeight="1" x14ac:dyDescent="0.2">
      <c r="A909" s="21">
        <f>+Dates!$D$10-3</f>
        <v>41860</v>
      </c>
      <c r="B909" s="21">
        <f>+Dates!$D$10-3</f>
        <v>41860</v>
      </c>
      <c r="C909" s="22" t="s">
        <v>262</v>
      </c>
      <c r="D909" s="23" t="s">
        <v>263</v>
      </c>
      <c r="E909" s="24" t="s">
        <v>292</v>
      </c>
      <c r="F909" s="24" t="s">
        <v>305</v>
      </c>
    </row>
    <row r="910" spans="1:6" ht="75" customHeight="1" x14ac:dyDescent="0.2">
      <c r="A910" s="21">
        <f>+Dates!$D$10-3</f>
        <v>41860</v>
      </c>
      <c r="B910" s="21">
        <f>+Dates!$D$10-3</f>
        <v>41860</v>
      </c>
      <c r="C910" s="22" t="s">
        <v>326</v>
      </c>
      <c r="D910" s="23" t="s">
        <v>263</v>
      </c>
      <c r="E910" s="24" t="s">
        <v>289</v>
      </c>
      <c r="F910" s="24" t="s">
        <v>305</v>
      </c>
    </row>
    <row r="911" spans="1:6" ht="81" customHeight="1" x14ac:dyDescent="0.2">
      <c r="A911" s="21">
        <f>+Dates!$D$10-3</f>
        <v>41860</v>
      </c>
      <c r="B911" s="21">
        <f>+Dates!$D$10-3</f>
        <v>41860</v>
      </c>
      <c r="C911" s="22" t="s">
        <v>327</v>
      </c>
      <c r="D911" s="23" t="s">
        <v>263</v>
      </c>
      <c r="E911" s="24" t="s">
        <v>291</v>
      </c>
      <c r="F911" s="24" t="s">
        <v>305</v>
      </c>
    </row>
    <row r="912" spans="1:6" ht="82.5" customHeight="1" x14ac:dyDescent="0.2">
      <c r="A912" s="21">
        <f>+Dates!$D$10-3</f>
        <v>41860</v>
      </c>
      <c r="B912" s="21">
        <f>+Dates!$D$10-3</f>
        <v>41860</v>
      </c>
      <c r="C912" s="22" t="s">
        <v>238</v>
      </c>
      <c r="D912" s="23" t="s">
        <v>263</v>
      </c>
      <c r="E912" s="24" t="s">
        <v>301</v>
      </c>
      <c r="F912" s="24" t="s">
        <v>305</v>
      </c>
    </row>
    <row r="913" spans="1:6" ht="87.75" customHeight="1" x14ac:dyDescent="0.2">
      <c r="A913" s="21">
        <f>+Dates!$D$10-3</f>
        <v>41860</v>
      </c>
      <c r="B913" s="21">
        <f>+Dates!$D$10-3</f>
        <v>41860</v>
      </c>
      <c r="C913" s="22" t="s">
        <v>248</v>
      </c>
      <c r="D913" s="23" t="s">
        <v>263</v>
      </c>
      <c r="E913" s="24" t="s">
        <v>297</v>
      </c>
      <c r="F913" s="24" t="s">
        <v>305</v>
      </c>
    </row>
    <row r="914" spans="1:6" ht="112.5" customHeight="1" x14ac:dyDescent="0.2">
      <c r="A914" s="21">
        <f>+Dates!$D$10-3</f>
        <v>41860</v>
      </c>
      <c r="B914" s="21">
        <f>+Dates!$D$10-3</f>
        <v>41860</v>
      </c>
      <c r="C914" s="22" t="s">
        <v>897</v>
      </c>
      <c r="D914" s="23" t="s">
        <v>263</v>
      </c>
      <c r="E914" s="24" t="s">
        <v>333</v>
      </c>
      <c r="F914" s="24" t="s">
        <v>305</v>
      </c>
    </row>
    <row r="915" spans="1:6" ht="111.75" customHeight="1" x14ac:dyDescent="0.2">
      <c r="A915" s="21">
        <f>+Dates!$D$10-1</f>
        <v>41862</v>
      </c>
      <c r="B915" s="21">
        <f>+Dates!$D$10-1</f>
        <v>41862</v>
      </c>
      <c r="C915" s="22" t="s">
        <v>377</v>
      </c>
      <c r="D915" s="23" t="s">
        <v>263</v>
      </c>
      <c r="E915" s="24" t="s">
        <v>61</v>
      </c>
      <c r="F915" s="24" t="s">
        <v>305</v>
      </c>
    </row>
    <row r="916" spans="1:6" ht="72" customHeight="1" x14ac:dyDescent="0.2">
      <c r="A916" s="21">
        <f>+Dates!$D$10-1</f>
        <v>41862</v>
      </c>
      <c r="B916" s="21">
        <f>+Dates!$D$10-1</f>
        <v>41862</v>
      </c>
      <c r="C916" s="22" t="s">
        <v>412</v>
      </c>
      <c r="D916" s="23" t="s">
        <v>263</v>
      </c>
      <c r="E916" s="24" t="s">
        <v>391</v>
      </c>
      <c r="F916" s="24" t="s">
        <v>305</v>
      </c>
    </row>
    <row r="917" spans="1:6" ht="99" customHeight="1" x14ac:dyDescent="0.2">
      <c r="A917" s="21">
        <f>+Dates!$D$10-1</f>
        <v>41862</v>
      </c>
      <c r="B917" s="21">
        <f>+Dates!$D$10-1</f>
        <v>41862</v>
      </c>
      <c r="C917" s="22" t="s">
        <v>258</v>
      </c>
      <c r="D917" s="23" t="s">
        <v>263</v>
      </c>
      <c r="E917" s="24" t="s">
        <v>292</v>
      </c>
      <c r="F917" s="24" t="s">
        <v>305</v>
      </c>
    </row>
    <row r="918" spans="1:6" ht="81" customHeight="1" x14ac:dyDescent="0.2">
      <c r="A918" s="21">
        <f>+Dates!$D$10-1</f>
        <v>41862</v>
      </c>
      <c r="B918" s="21">
        <f>+Dates!$D$10-1</f>
        <v>41862</v>
      </c>
      <c r="C918" s="22" t="s">
        <v>411</v>
      </c>
      <c r="D918" s="23" t="s">
        <v>263</v>
      </c>
      <c r="E918" s="24" t="s">
        <v>289</v>
      </c>
      <c r="F918" s="24" t="s">
        <v>305</v>
      </c>
    </row>
    <row r="919" spans="1:6" ht="84.75" customHeight="1" x14ac:dyDescent="0.2">
      <c r="A919" s="21">
        <f>+Dates!$D$10-1</f>
        <v>41862</v>
      </c>
      <c r="B919" s="21">
        <f>+Dates!$D$10-1</f>
        <v>41862</v>
      </c>
      <c r="C919" s="22" t="s">
        <v>154</v>
      </c>
      <c r="D919" s="23" t="s">
        <v>263</v>
      </c>
      <c r="E919" s="24" t="s">
        <v>291</v>
      </c>
      <c r="F919" s="24" t="s">
        <v>305</v>
      </c>
    </row>
    <row r="920" spans="1:6" ht="73.5" customHeight="1" x14ac:dyDescent="0.2">
      <c r="A920" s="21">
        <f>+Dates!$D$10-1</f>
        <v>41862</v>
      </c>
      <c r="B920" s="21">
        <f>+Dates!$D$10-1</f>
        <v>41862</v>
      </c>
      <c r="C920" s="22" t="s">
        <v>413</v>
      </c>
      <c r="D920" s="23" t="s">
        <v>263</v>
      </c>
      <c r="E920" s="24" t="s">
        <v>301</v>
      </c>
      <c r="F920" s="24" t="s">
        <v>305</v>
      </c>
    </row>
    <row r="921" spans="1:6" ht="83.25" customHeight="1" x14ac:dyDescent="0.2">
      <c r="A921" s="21">
        <f>+Dates!$D$10-1</f>
        <v>41862</v>
      </c>
      <c r="B921" s="21">
        <f>+Dates!$D$10-1</f>
        <v>41862</v>
      </c>
      <c r="C921" s="22" t="s">
        <v>249</v>
      </c>
      <c r="D921" s="23" t="s">
        <v>263</v>
      </c>
      <c r="E921" s="24" t="s">
        <v>297</v>
      </c>
      <c r="F921" s="24" t="s">
        <v>305</v>
      </c>
    </row>
    <row r="922" spans="1:6" ht="114.75" customHeight="1" x14ac:dyDescent="0.2">
      <c r="A922" s="21">
        <f>+Dates!$D$10-1</f>
        <v>41862</v>
      </c>
      <c r="B922" s="21">
        <f>+Dates!$D$10-1</f>
        <v>41862</v>
      </c>
      <c r="C922" s="22" t="s">
        <v>898</v>
      </c>
      <c r="D922" s="23" t="s">
        <v>263</v>
      </c>
      <c r="E922" s="24" t="s">
        <v>333</v>
      </c>
      <c r="F922" s="24" t="s">
        <v>305</v>
      </c>
    </row>
    <row r="923" spans="1:6" ht="85.5" customHeight="1" x14ac:dyDescent="0.2">
      <c r="A923" s="21">
        <f>+Dates!$D$10-1</f>
        <v>41862</v>
      </c>
      <c r="B923" s="21">
        <f>+Dates!$D$10-1</f>
        <v>41862</v>
      </c>
      <c r="C923" s="22" t="s">
        <v>1878</v>
      </c>
      <c r="D923" s="23" t="s">
        <v>184</v>
      </c>
      <c r="E923" s="24" t="s">
        <v>61</v>
      </c>
      <c r="F923" s="24" t="s">
        <v>332</v>
      </c>
    </row>
    <row r="924" spans="1:6" ht="83.25" customHeight="1" x14ac:dyDescent="0.2">
      <c r="A924" s="21">
        <f>+Dates!$D$10-1</f>
        <v>41862</v>
      </c>
      <c r="B924" s="21">
        <f>+Dates!$D$10-1</f>
        <v>41862</v>
      </c>
      <c r="C924" s="22" t="s">
        <v>1879</v>
      </c>
      <c r="D924" s="23" t="s">
        <v>184</v>
      </c>
      <c r="E924" s="24" t="s">
        <v>80</v>
      </c>
      <c r="F924" s="24" t="s">
        <v>332</v>
      </c>
    </row>
    <row r="925" spans="1:6" ht="74.25" customHeight="1" x14ac:dyDescent="0.2">
      <c r="A925" s="21">
        <f>+Dates!$D$10-1</f>
        <v>41862</v>
      </c>
      <c r="B925" s="21">
        <f>+Dates!$D$10-1</f>
        <v>41862</v>
      </c>
      <c r="C925" s="22" t="s">
        <v>1880</v>
      </c>
      <c r="D925" s="23" t="s">
        <v>184</v>
      </c>
      <c r="E925" s="24" t="s">
        <v>289</v>
      </c>
      <c r="F925" s="24" t="s">
        <v>332</v>
      </c>
    </row>
    <row r="926" spans="1:6" ht="85.5" customHeight="1" x14ac:dyDescent="0.2">
      <c r="A926" s="21">
        <f>+Dates!$D$10-1</f>
        <v>41862</v>
      </c>
      <c r="B926" s="21">
        <f>+Dates!$D$10-1</f>
        <v>41862</v>
      </c>
      <c r="C926" s="22" t="s">
        <v>1881</v>
      </c>
      <c r="D926" s="23" t="s">
        <v>184</v>
      </c>
      <c r="E926" s="24" t="s">
        <v>291</v>
      </c>
      <c r="F926" s="24" t="s">
        <v>332</v>
      </c>
    </row>
    <row r="927" spans="1:6" ht="101.25" customHeight="1" x14ac:dyDescent="0.2">
      <c r="A927" s="21">
        <f>+Dates!$D$10-1</f>
        <v>41862</v>
      </c>
      <c r="B927" s="21">
        <f>+Dates!$D$10-1</f>
        <v>41862</v>
      </c>
      <c r="C927" s="22" t="s">
        <v>1882</v>
      </c>
      <c r="D927" s="23" t="s">
        <v>184</v>
      </c>
      <c r="E927" s="24" t="s">
        <v>301</v>
      </c>
      <c r="F927" s="24" t="s">
        <v>332</v>
      </c>
    </row>
    <row r="928" spans="1:6" ht="91.5" customHeight="1" x14ac:dyDescent="0.2">
      <c r="A928" s="21">
        <f>+Dates!$D$10-1</f>
        <v>41862</v>
      </c>
      <c r="B928" s="21">
        <f>+Dates!$D$10-1</f>
        <v>41862</v>
      </c>
      <c r="C928" s="22" t="s">
        <v>1883</v>
      </c>
      <c r="D928" s="23" t="s">
        <v>184</v>
      </c>
      <c r="E928" s="24" t="s">
        <v>297</v>
      </c>
      <c r="F928" s="24" t="s">
        <v>332</v>
      </c>
    </row>
    <row r="929" spans="1:6" ht="83.25" customHeight="1" x14ac:dyDescent="0.2">
      <c r="A929" s="21">
        <f>+Dates!$D$10-1</f>
        <v>41862</v>
      </c>
      <c r="B929" s="21">
        <f>+Dates!$D$10-1</f>
        <v>41862</v>
      </c>
      <c r="C929" s="22" t="s">
        <v>1442</v>
      </c>
      <c r="D929" s="23" t="s">
        <v>21</v>
      </c>
      <c r="E929" s="24" t="s">
        <v>61</v>
      </c>
      <c r="F929" s="24" t="s">
        <v>305</v>
      </c>
    </row>
    <row r="930" spans="1:6" ht="89.25" customHeight="1" x14ac:dyDescent="0.2">
      <c r="A930" s="21">
        <f>+Dates!$D$10-1</f>
        <v>41862</v>
      </c>
      <c r="B930" s="21">
        <f>+Dates!$D$10-1</f>
        <v>41862</v>
      </c>
      <c r="C930" s="22" t="s">
        <v>1443</v>
      </c>
      <c r="D930" s="23" t="s">
        <v>21</v>
      </c>
      <c r="E930" s="24" t="s">
        <v>391</v>
      </c>
      <c r="F930" s="24" t="s">
        <v>305</v>
      </c>
    </row>
    <row r="931" spans="1:6" ht="77.25" customHeight="1" x14ac:dyDescent="0.2">
      <c r="A931" s="21">
        <f>+Dates!$D$10-1</f>
        <v>41862</v>
      </c>
      <c r="B931" s="21">
        <f>+Dates!$D$10-1</f>
        <v>41862</v>
      </c>
      <c r="C931" s="22" t="s">
        <v>1444</v>
      </c>
      <c r="D931" s="23" t="s">
        <v>21</v>
      </c>
      <c r="E931" s="24" t="s">
        <v>80</v>
      </c>
      <c r="F931" s="24" t="s">
        <v>305</v>
      </c>
    </row>
    <row r="932" spans="1:6" ht="84" customHeight="1" x14ac:dyDescent="0.2">
      <c r="A932" s="21">
        <f>+Dates!$D$10-1</f>
        <v>41862</v>
      </c>
      <c r="B932" s="21">
        <f>+Dates!$D$10-1</f>
        <v>41862</v>
      </c>
      <c r="C932" s="22" t="s">
        <v>1445</v>
      </c>
      <c r="D932" s="23" t="s">
        <v>21</v>
      </c>
      <c r="E932" s="24" t="s">
        <v>289</v>
      </c>
      <c r="F932" s="24" t="s">
        <v>305</v>
      </c>
    </row>
    <row r="933" spans="1:6" ht="81.75" customHeight="1" x14ac:dyDescent="0.2">
      <c r="A933" s="21">
        <f>+Dates!$D$10-1</f>
        <v>41862</v>
      </c>
      <c r="B933" s="21">
        <f>+Dates!$D$10-1</f>
        <v>41862</v>
      </c>
      <c r="C933" s="22" t="s">
        <v>1446</v>
      </c>
      <c r="D933" s="23" t="s">
        <v>21</v>
      </c>
      <c r="E933" s="24" t="s">
        <v>291</v>
      </c>
      <c r="F933" s="24" t="s">
        <v>305</v>
      </c>
    </row>
    <row r="934" spans="1:6" ht="83.25" customHeight="1" x14ac:dyDescent="0.2">
      <c r="A934" s="21">
        <f>+Dates!$D$10-1</f>
        <v>41862</v>
      </c>
      <c r="B934" s="21">
        <f>+Dates!$D$10-1</f>
        <v>41862</v>
      </c>
      <c r="C934" s="22" t="s">
        <v>1447</v>
      </c>
      <c r="D934" s="23" t="s">
        <v>21</v>
      </c>
      <c r="E934" s="24" t="s">
        <v>301</v>
      </c>
      <c r="F934" s="24" t="s">
        <v>305</v>
      </c>
    </row>
    <row r="935" spans="1:6" ht="87" customHeight="1" x14ac:dyDescent="0.2">
      <c r="A935" s="21">
        <f>+Dates!$D$10-1</f>
        <v>41862</v>
      </c>
      <c r="B935" s="21">
        <f>+Dates!$D$10-1</f>
        <v>41862</v>
      </c>
      <c r="C935" s="22" t="s">
        <v>1448</v>
      </c>
      <c r="D935" s="23" t="s">
        <v>21</v>
      </c>
      <c r="E935" s="24" t="s">
        <v>297</v>
      </c>
      <c r="F935" s="24" t="s">
        <v>305</v>
      </c>
    </row>
    <row r="936" spans="1:6" ht="76.5" customHeight="1" x14ac:dyDescent="0.2">
      <c r="A936" s="21">
        <f>+Dates!$D$10-1</f>
        <v>41862</v>
      </c>
      <c r="B936" s="21">
        <f>+Dates!$D$10-1</f>
        <v>41862</v>
      </c>
      <c r="C936" s="22" t="s">
        <v>1449</v>
      </c>
      <c r="D936" s="23" t="s">
        <v>21</v>
      </c>
      <c r="E936" s="24" t="s">
        <v>333</v>
      </c>
      <c r="F936" s="24" t="s">
        <v>305</v>
      </c>
    </row>
    <row r="937" spans="1:6" ht="78.75" customHeight="1" x14ac:dyDescent="0.2">
      <c r="A937" s="21">
        <f>+Dates!$D$10</f>
        <v>41863</v>
      </c>
      <c r="B937" s="21">
        <f>+Dates!$D$10</f>
        <v>41863</v>
      </c>
      <c r="C937" s="22" t="s">
        <v>46</v>
      </c>
      <c r="D937" s="23" t="s">
        <v>83</v>
      </c>
      <c r="E937" s="24" t="s">
        <v>61</v>
      </c>
      <c r="F937" s="24" t="s">
        <v>111</v>
      </c>
    </row>
    <row r="938" spans="1:6" ht="77.25" customHeight="1" x14ac:dyDescent="0.2">
      <c r="A938" s="21">
        <f>+Dates!$D$10</f>
        <v>41863</v>
      </c>
      <c r="B938" s="21">
        <f>+Dates!$D$10</f>
        <v>41863</v>
      </c>
      <c r="C938" s="22" t="s">
        <v>931</v>
      </c>
      <c r="D938" s="23" t="s">
        <v>83</v>
      </c>
      <c r="E938" s="24" t="s">
        <v>135</v>
      </c>
      <c r="F938" s="24" t="s">
        <v>111</v>
      </c>
    </row>
    <row r="939" spans="1:6" ht="73.5" customHeight="1" x14ac:dyDescent="0.2">
      <c r="A939" s="21">
        <f>+Dates!$D$10</f>
        <v>41863</v>
      </c>
      <c r="B939" s="21">
        <f>+Dates!$D$10</f>
        <v>41863</v>
      </c>
      <c r="C939" s="22" t="s">
        <v>903</v>
      </c>
      <c r="D939" s="23" t="s">
        <v>83</v>
      </c>
      <c r="E939" s="24" t="s">
        <v>391</v>
      </c>
      <c r="F939" s="24" t="s">
        <v>111</v>
      </c>
    </row>
    <row r="940" spans="1:6" ht="66" customHeight="1" x14ac:dyDescent="0.2">
      <c r="A940" s="21">
        <f>+Dates!$D$10</f>
        <v>41863</v>
      </c>
      <c r="B940" s="21">
        <f>+Dates!$D$10</f>
        <v>41863</v>
      </c>
      <c r="C940" s="22" t="s">
        <v>44</v>
      </c>
      <c r="D940" s="23" t="s">
        <v>250</v>
      </c>
      <c r="E940" s="24" t="s">
        <v>292</v>
      </c>
      <c r="F940" s="24" t="s">
        <v>111</v>
      </c>
    </row>
    <row r="941" spans="1:6" ht="69" customHeight="1" x14ac:dyDescent="0.2">
      <c r="A941" s="21">
        <f>+Dates!$D$10</f>
        <v>41863</v>
      </c>
      <c r="B941" s="21">
        <f>+Dates!$D$10</f>
        <v>41863</v>
      </c>
      <c r="C941" s="22" t="s">
        <v>905</v>
      </c>
      <c r="D941" s="23" t="s">
        <v>250</v>
      </c>
      <c r="E941" s="24" t="s">
        <v>1062</v>
      </c>
      <c r="F941" s="24" t="s">
        <v>111</v>
      </c>
    </row>
    <row r="942" spans="1:6" ht="81.75" customHeight="1" x14ac:dyDescent="0.2">
      <c r="A942" s="21">
        <f>+Dates!$D$10</f>
        <v>41863</v>
      </c>
      <c r="B942" s="21">
        <f>+Dates!$D$10</f>
        <v>41863</v>
      </c>
      <c r="C942" s="22" t="s">
        <v>1896</v>
      </c>
      <c r="D942" s="23" t="s">
        <v>147</v>
      </c>
      <c r="E942" s="24" t="s">
        <v>289</v>
      </c>
      <c r="F942" s="24" t="s">
        <v>111</v>
      </c>
    </row>
    <row r="943" spans="1:6" ht="68.25" customHeight="1" x14ac:dyDescent="0.2">
      <c r="A943" s="21">
        <f>+Dates!$D$10</f>
        <v>41863</v>
      </c>
      <c r="B943" s="21">
        <f>+Dates!$D$10</f>
        <v>41863</v>
      </c>
      <c r="C943" s="22" t="s">
        <v>43</v>
      </c>
      <c r="D943" s="23" t="s">
        <v>83</v>
      </c>
      <c r="E943" s="24" t="s">
        <v>291</v>
      </c>
      <c r="F943" s="24" t="s">
        <v>111</v>
      </c>
    </row>
    <row r="944" spans="1:6" ht="87.75" customHeight="1" x14ac:dyDescent="0.2">
      <c r="A944" s="21">
        <f>+Dates!$D$10</f>
        <v>41863</v>
      </c>
      <c r="B944" s="21">
        <f>+Dates!$D$10</f>
        <v>41863</v>
      </c>
      <c r="C944" s="22" t="s">
        <v>45</v>
      </c>
      <c r="D944" s="23" t="s">
        <v>226</v>
      </c>
      <c r="E944" s="24" t="s">
        <v>301</v>
      </c>
      <c r="F944" s="24" t="s">
        <v>111</v>
      </c>
    </row>
    <row r="945" spans="1:6" ht="86.25" customHeight="1" x14ac:dyDescent="0.2">
      <c r="A945" s="21">
        <f>+Dates!$D$10</f>
        <v>41863</v>
      </c>
      <c r="B945" s="21">
        <f>+Dates!$D$10</f>
        <v>41863</v>
      </c>
      <c r="C945" s="22" t="s">
        <v>47</v>
      </c>
      <c r="D945" s="23" t="s">
        <v>226</v>
      </c>
      <c r="E945" s="24" t="s">
        <v>297</v>
      </c>
      <c r="F945" s="24" t="s">
        <v>111</v>
      </c>
    </row>
    <row r="946" spans="1:6" ht="78" customHeight="1" x14ac:dyDescent="0.2">
      <c r="A946" s="21">
        <f>+Dates!$D$10</f>
        <v>41863</v>
      </c>
      <c r="B946" s="21">
        <f>+Dates!$D$10</f>
        <v>41863</v>
      </c>
      <c r="C946" s="22" t="s">
        <v>1622</v>
      </c>
      <c r="D946" s="23" t="s">
        <v>414</v>
      </c>
      <c r="E946" s="24" t="s">
        <v>333</v>
      </c>
      <c r="F946" s="24" t="s">
        <v>111</v>
      </c>
    </row>
    <row r="947" spans="1:6" ht="75.75" customHeight="1" x14ac:dyDescent="0.2">
      <c r="A947" s="21">
        <f>+Dates!$D$10</f>
        <v>41863</v>
      </c>
      <c r="B947" s="21">
        <f>+Dates!$D$10</f>
        <v>41863</v>
      </c>
      <c r="C947" s="22" t="s">
        <v>904</v>
      </c>
      <c r="D947" s="23" t="s">
        <v>83</v>
      </c>
      <c r="E947" s="24" t="s">
        <v>160</v>
      </c>
      <c r="F947" s="24" t="s">
        <v>111</v>
      </c>
    </row>
    <row r="948" spans="1:6" ht="60" customHeight="1" x14ac:dyDescent="0.2">
      <c r="A948" s="21">
        <f>+Dates!$D$10</f>
        <v>41863</v>
      </c>
      <c r="B948" s="21">
        <f>+Dates!$D$10</f>
        <v>41863</v>
      </c>
      <c r="C948" s="22" t="s">
        <v>906</v>
      </c>
      <c r="D948" s="23" t="s">
        <v>83</v>
      </c>
      <c r="E948" s="24" t="s">
        <v>295</v>
      </c>
      <c r="F948" s="24" t="s">
        <v>111</v>
      </c>
    </row>
    <row r="949" spans="1:6" ht="225" customHeight="1" x14ac:dyDescent="0.2">
      <c r="A949" s="21">
        <f>+Dates!$D$10</f>
        <v>41863</v>
      </c>
      <c r="B949" s="21">
        <f>+Dates!$D$10</f>
        <v>41863</v>
      </c>
      <c r="C949" s="22" t="s">
        <v>907</v>
      </c>
      <c r="D949" s="23" t="s">
        <v>170</v>
      </c>
      <c r="E949" s="24" t="s">
        <v>61</v>
      </c>
      <c r="F949" s="24" t="s">
        <v>111</v>
      </c>
    </row>
    <row r="950" spans="1:6" ht="226.5" customHeight="1" x14ac:dyDescent="0.2">
      <c r="A950" s="21">
        <f>+Dates!$D$10</f>
        <v>41863</v>
      </c>
      <c r="B950" s="21">
        <f>+Dates!$D$10</f>
        <v>41863</v>
      </c>
      <c r="C950" s="22" t="s">
        <v>908</v>
      </c>
      <c r="D950" s="23" t="s">
        <v>170</v>
      </c>
      <c r="E950" s="24" t="s">
        <v>391</v>
      </c>
      <c r="F950" s="24" t="s">
        <v>111</v>
      </c>
    </row>
    <row r="951" spans="1:6" ht="222" customHeight="1" x14ac:dyDescent="0.2">
      <c r="A951" s="21">
        <f>+Dates!$D$10</f>
        <v>41863</v>
      </c>
      <c r="B951" s="21">
        <f>+Dates!$D$10</f>
        <v>41863</v>
      </c>
      <c r="C951" s="22" t="s">
        <v>27</v>
      </c>
      <c r="D951" s="23" t="s">
        <v>170</v>
      </c>
      <c r="E951" s="24" t="s">
        <v>292</v>
      </c>
      <c r="F951" s="24" t="s">
        <v>111</v>
      </c>
    </row>
    <row r="952" spans="1:6" ht="73.5" customHeight="1" x14ac:dyDescent="0.2">
      <c r="A952" s="21">
        <f>+Dates!$D$10</f>
        <v>41863</v>
      </c>
      <c r="B952" s="21">
        <f>+Dates!$D$10</f>
        <v>41863</v>
      </c>
      <c r="C952" s="22" t="s">
        <v>171</v>
      </c>
      <c r="D952" s="23" t="s">
        <v>170</v>
      </c>
      <c r="E952" s="24" t="s">
        <v>289</v>
      </c>
      <c r="F952" s="24" t="s">
        <v>111</v>
      </c>
    </row>
    <row r="953" spans="1:6" ht="87" customHeight="1" x14ac:dyDescent="0.2">
      <c r="A953" s="21">
        <f>+Dates!$D$10</f>
        <v>41863</v>
      </c>
      <c r="B953" s="21">
        <f>+Dates!$D$10</f>
        <v>41863</v>
      </c>
      <c r="C953" s="22" t="s">
        <v>82</v>
      </c>
      <c r="D953" s="23" t="s">
        <v>170</v>
      </c>
      <c r="E953" s="24" t="s">
        <v>291</v>
      </c>
      <c r="F953" s="24" t="s">
        <v>111</v>
      </c>
    </row>
    <row r="954" spans="1:6" ht="177" customHeight="1" x14ac:dyDescent="0.2">
      <c r="A954" s="21">
        <f>+Dates!$D$10</f>
        <v>41863</v>
      </c>
      <c r="B954" s="21">
        <f>+Dates!$D$10</f>
        <v>41863</v>
      </c>
      <c r="C954" s="22" t="s">
        <v>911</v>
      </c>
      <c r="D954" s="23" t="s">
        <v>170</v>
      </c>
      <c r="E954" s="24" t="s">
        <v>301</v>
      </c>
      <c r="F954" s="24" t="s">
        <v>111</v>
      </c>
    </row>
    <row r="955" spans="1:6" ht="172.5" customHeight="1" x14ac:dyDescent="0.2">
      <c r="A955" s="21">
        <f>+Dates!$D$10</f>
        <v>41863</v>
      </c>
      <c r="B955" s="21">
        <f>+Dates!$D$10</f>
        <v>41863</v>
      </c>
      <c r="C955" s="22" t="s">
        <v>912</v>
      </c>
      <c r="D955" s="23" t="s">
        <v>170</v>
      </c>
      <c r="E955" s="24" t="s">
        <v>297</v>
      </c>
      <c r="F955" s="24" t="s">
        <v>111</v>
      </c>
    </row>
    <row r="956" spans="1:6" ht="235.5" customHeight="1" x14ac:dyDescent="0.2">
      <c r="A956" s="21">
        <f>+Dates!$D$10</f>
        <v>41863</v>
      </c>
      <c r="B956" s="21">
        <f>+Dates!$D$10</f>
        <v>41863</v>
      </c>
      <c r="C956" s="22" t="s">
        <v>909</v>
      </c>
      <c r="D956" s="23" t="s">
        <v>170</v>
      </c>
      <c r="E956" s="24" t="s">
        <v>333</v>
      </c>
      <c r="F956" s="24" t="s">
        <v>111</v>
      </c>
    </row>
    <row r="957" spans="1:6" ht="229.5" customHeight="1" x14ac:dyDescent="0.2">
      <c r="A957" s="21">
        <f>+Dates!$D$10</f>
        <v>41863</v>
      </c>
      <c r="B957" s="21">
        <f>+Dates!$D$10</f>
        <v>41863</v>
      </c>
      <c r="C957" s="22" t="s">
        <v>910</v>
      </c>
      <c r="D957" s="23" t="s">
        <v>170</v>
      </c>
      <c r="E957" s="24" t="s">
        <v>160</v>
      </c>
      <c r="F957" s="24" t="s">
        <v>111</v>
      </c>
    </row>
    <row r="958" spans="1:6" ht="89.25" customHeight="1" x14ac:dyDescent="0.2">
      <c r="A958" s="21">
        <f>+Dates!$D$10</f>
        <v>41863</v>
      </c>
      <c r="B958" s="21">
        <f>+Dates!$D$10</f>
        <v>41863</v>
      </c>
      <c r="C958" s="22" t="s">
        <v>913</v>
      </c>
      <c r="D958" s="23" t="s">
        <v>77</v>
      </c>
      <c r="E958" s="24" t="s">
        <v>61</v>
      </c>
      <c r="F958" s="24" t="s">
        <v>305</v>
      </c>
    </row>
    <row r="959" spans="1:6" ht="100.5" customHeight="1" x14ac:dyDescent="0.2">
      <c r="A959" s="21">
        <f>+Dates!$D$10</f>
        <v>41863</v>
      </c>
      <c r="B959" s="21">
        <f>+Dates!$D$10</f>
        <v>41863</v>
      </c>
      <c r="C959" s="22" t="s">
        <v>914</v>
      </c>
      <c r="D959" s="23" t="s">
        <v>77</v>
      </c>
      <c r="E959" s="24" t="s">
        <v>80</v>
      </c>
      <c r="F959" s="24" t="s">
        <v>305</v>
      </c>
    </row>
    <row r="960" spans="1:6" ht="99" customHeight="1" x14ac:dyDescent="0.2">
      <c r="A960" s="21">
        <f>+Dates!$D$10</f>
        <v>41863</v>
      </c>
      <c r="B960" s="21">
        <f>+Dates!$D$10</f>
        <v>41863</v>
      </c>
      <c r="C960" s="22" t="s">
        <v>915</v>
      </c>
      <c r="D960" s="23" t="s">
        <v>77</v>
      </c>
      <c r="E960" s="24" t="s">
        <v>289</v>
      </c>
      <c r="F960" s="24" t="s">
        <v>305</v>
      </c>
    </row>
    <row r="961" spans="1:6" ht="111" customHeight="1" x14ac:dyDescent="0.2">
      <c r="A961" s="21">
        <f>+Dates!$D$10</f>
        <v>41863</v>
      </c>
      <c r="B961" s="21">
        <f>+Dates!$D$10</f>
        <v>41863</v>
      </c>
      <c r="C961" s="22" t="s">
        <v>916</v>
      </c>
      <c r="D961" s="23" t="s">
        <v>77</v>
      </c>
      <c r="E961" s="24" t="s">
        <v>291</v>
      </c>
      <c r="F961" s="24" t="s">
        <v>305</v>
      </c>
    </row>
    <row r="962" spans="1:6" ht="106.5" customHeight="1" x14ac:dyDescent="0.2">
      <c r="A962" s="21">
        <f>+Dates!$D$10</f>
        <v>41863</v>
      </c>
      <c r="B962" s="21">
        <f>+Dates!$D$10</f>
        <v>41863</v>
      </c>
      <c r="C962" s="22" t="s">
        <v>917</v>
      </c>
      <c r="D962" s="23" t="s">
        <v>77</v>
      </c>
      <c r="E962" s="24" t="s">
        <v>301</v>
      </c>
      <c r="F962" s="24" t="s">
        <v>305</v>
      </c>
    </row>
    <row r="963" spans="1:6" ht="114" customHeight="1" x14ac:dyDescent="0.2">
      <c r="A963" s="21">
        <f>+Dates!$D$10</f>
        <v>41863</v>
      </c>
      <c r="B963" s="21">
        <f>+Dates!$D$10</f>
        <v>41863</v>
      </c>
      <c r="C963" s="22" t="s">
        <v>918</v>
      </c>
      <c r="D963" s="23" t="s">
        <v>77</v>
      </c>
      <c r="E963" s="24" t="s">
        <v>297</v>
      </c>
      <c r="F963" s="24" t="s">
        <v>305</v>
      </c>
    </row>
    <row r="964" spans="1:6" ht="117.75" customHeight="1" x14ac:dyDescent="0.2">
      <c r="A964" s="21">
        <f>+Dates!$D$10</f>
        <v>41863</v>
      </c>
      <c r="B964" s="21">
        <f>+Dates!$D$10</f>
        <v>41863</v>
      </c>
      <c r="C964" s="22" t="s">
        <v>919</v>
      </c>
      <c r="D964" s="23" t="s">
        <v>77</v>
      </c>
      <c r="E964" s="24" t="s">
        <v>333</v>
      </c>
      <c r="F964" s="24" t="s">
        <v>305</v>
      </c>
    </row>
    <row r="965" spans="1:6" ht="266.25" customHeight="1" x14ac:dyDescent="0.2">
      <c r="A965" s="21">
        <f>+Dates!$D$10</f>
        <v>41863</v>
      </c>
      <c r="B965" s="21">
        <f>+Dates!$D$10</f>
        <v>41863</v>
      </c>
      <c r="C965" s="22" t="s">
        <v>920</v>
      </c>
      <c r="D965" s="23" t="s">
        <v>72</v>
      </c>
      <c r="E965" s="24" t="s">
        <v>61</v>
      </c>
      <c r="F965" s="24" t="s">
        <v>111</v>
      </c>
    </row>
    <row r="966" spans="1:6" ht="267.75" customHeight="1" x14ac:dyDescent="0.2">
      <c r="A966" s="21">
        <f>+Dates!$D$10</f>
        <v>41863</v>
      </c>
      <c r="B966" s="21">
        <f>+Dates!$D$10</f>
        <v>41863</v>
      </c>
      <c r="C966" s="22" t="s">
        <v>921</v>
      </c>
      <c r="D966" s="23" t="s">
        <v>72</v>
      </c>
      <c r="E966" s="24" t="s">
        <v>391</v>
      </c>
      <c r="F966" s="24" t="s">
        <v>111</v>
      </c>
    </row>
    <row r="967" spans="1:6" ht="275.25" customHeight="1" x14ac:dyDescent="0.2">
      <c r="A967" s="21">
        <f>+Dates!$D$10</f>
        <v>41863</v>
      </c>
      <c r="B967" s="21">
        <f>+Dates!$D$10</f>
        <v>41863</v>
      </c>
      <c r="C967" s="22" t="s">
        <v>922</v>
      </c>
      <c r="D967" s="23" t="s">
        <v>72</v>
      </c>
      <c r="E967" s="24" t="s">
        <v>292</v>
      </c>
      <c r="F967" s="24" t="s">
        <v>111</v>
      </c>
    </row>
    <row r="968" spans="1:6" ht="282" customHeight="1" x14ac:dyDescent="0.2">
      <c r="A968" s="21">
        <f>+Dates!$D$10</f>
        <v>41863</v>
      </c>
      <c r="B968" s="21">
        <f>+Dates!$D$10</f>
        <v>41863</v>
      </c>
      <c r="C968" s="22" t="s">
        <v>925</v>
      </c>
      <c r="D968" s="23" t="s">
        <v>72</v>
      </c>
      <c r="E968" s="24" t="s">
        <v>1062</v>
      </c>
      <c r="F968" s="24" t="s">
        <v>111</v>
      </c>
    </row>
    <row r="969" spans="1:6" ht="272.25" customHeight="1" x14ac:dyDescent="0.2">
      <c r="A969" s="21">
        <f>+Dates!$D$10</f>
        <v>41863</v>
      </c>
      <c r="B969" s="21">
        <f>+Dates!$D$10</f>
        <v>41863</v>
      </c>
      <c r="C969" s="22" t="s">
        <v>923</v>
      </c>
      <c r="D969" s="23" t="s">
        <v>72</v>
      </c>
      <c r="E969" s="24" t="s">
        <v>289</v>
      </c>
      <c r="F969" s="24" t="s">
        <v>111</v>
      </c>
    </row>
    <row r="970" spans="1:6" ht="276" customHeight="1" x14ac:dyDescent="0.2">
      <c r="A970" s="21">
        <f>+Dates!$D$10</f>
        <v>41863</v>
      </c>
      <c r="B970" s="21">
        <f>+Dates!$D$10</f>
        <v>41863</v>
      </c>
      <c r="C970" s="22" t="s">
        <v>924</v>
      </c>
      <c r="D970" s="23" t="s">
        <v>72</v>
      </c>
      <c r="E970" s="24" t="s">
        <v>291</v>
      </c>
      <c r="F970" s="24" t="s">
        <v>111</v>
      </c>
    </row>
    <row r="971" spans="1:6" ht="273.75" customHeight="1" x14ac:dyDescent="0.2">
      <c r="A971" s="21">
        <f>+Dates!$D$10</f>
        <v>41863</v>
      </c>
      <c r="B971" s="21">
        <f>+Dates!$D$10</f>
        <v>41863</v>
      </c>
      <c r="C971" s="22" t="s">
        <v>926</v>
      </c>
      <c r="D971" s="23" t="s">
        <v>72</v>
      </c>
      <c r="E971" s="24" t="s">
        <v>301</v>
      </c>
      <c r="F971" s="24" t="s">
        <v>111</v>
      </c>
    </row>
    <row r="972" spans="1:6" ht="280.5" customHeight="1" x14ac:dyDescent="0.2">
      <c r="A972" s="21">
        <f>+Dates!$D$10</f>
        <v>41863</v>
      </c>
      <c r="B972" s="21">
        <f>+Dates!$D$10</f>
        <v>41863</v>
      </c>
      <c r="C972" s="22" t="s">
        <v>927</v>
      </c>
      <c r="D972" s="23" t="s">
        <v>72</v>
      </c>
      <c r="E972" s="24" t="s">
        <v>297</v>
      </c>
      <c r="F972" s="24" t="s">
        <v>111</v>
      </c>
    </row>
    <row r="973" spans="1:6" ht="266.25" customHeight="1" x14ac:dyDescent="0.2">
      <c r="A973" s="21">
        <f>+Dates!$D$10</f>
        <v>41863</v>
      </c>
      <c r="B973" s="21">
        <f>+Dates!$D$10</f>
        <v>41863</v>
      </c>
      <c r="C973" s="22" t="s">
        <v>928</v>
      </c>
      <c r="D973" s="23" t="s">
        <v>72</v>
      </c>
      <c r="E973" s="24" t="s">
        <v>333</v>
      </c>
      <c r="F973" s="24" t="s">
        <v>111</v>
      </c>
    </row>
    <row r="974" spans="1:6" ht="272.25" customHeight="1" x14ac:dyDescent="0.2">
      <c r="A974" s="21">
        <f>+Dates!$D$10</f>
        <v>41863</v>
      </c>
      <c r="B974" s="21">
        <f>+Dates!$D$10</f>
        <v>41863</v>
      </c>
      <c r="C974" s="22" t="s">
        <v>929</v>
      </c>
      <c r="D974" s="23" t="s">
        <v>72</v>
      </c>
      <c r="E974" s="24" t="s">
        <v>160</v>
      </c>
      <c r="F974" s="24" t="s">
        <v>111</v>
      </c>
    </row>
    <row r="975" spans="1:6" ht="274.5" customHeight="1" x14ac:dyDescent="0.2">
      <c r="A975" s="21">
        <f>+Dates!$D$10</f>
        <v>41863</v>
      </c>
      <c r="B975" s="21">
        <f>+Dates!$D$10</f>
        <v>41863</v>
      </c>
      <c r="C975" s="22" t="s">
        <v>930</v>
      </c>
      <c r="D975" s="23" t="s">
        <v>72</v>
      </c>
      <c r="E975" s="24" t="s">
        <v>295</v>
      </c>
      <c r="F975" s="24" t="s">
        <v>111</v>
      </c>
    </row>
    <row r="976" spans="1:6" ht="184.5" customHeight="1" x14ac:dyDescent="0.2">
      <c r="A976" s="21">
        <f>+Dates!$D$10</f>
        <v>41863</v>
      </c>
      <c r="B976" s="21">
        <f>+Dates!$D$10+1</f>
        <v>41864</v>
      </c>
      <c r="C976" s="22" t="s">
        <v>1450</v>
      </c>
      <c r="D976" s="23" t="s">
        <v>400</v>
      </c>
      <c r="E976" s="24" t="s">
        <v>61</v>
      </c>
      <c r="F976" s="24" t="s">
        <v>305</v>
      </c>
    </row>
    <row r="977" spans="1:6" ht="190.5" customHeight="1" x14ac:dyDescent="0.2">
      <c r="A977" s="21">
        <f>+Dates!$D$10</f>
        <v>41863</v>
      </c>
      <c r="B977" s="21">
        <f>+Dates!$D$10+1</f>
        <v>41864</v>
      </c>
      <c r="C977" s="22" t="s">
        <v>1451</v>
      </c>
      <c r="D977" s="23" t="s">
        <v>400</v>
      </c>
      <c r="E977" s="24" t="s">
        <v>391</v>
      </c>
      <c r="F977" s="24" t="s">
        <v>305</v>
      </c>
    </row>
    <row r="978" spans="1:6" ht="189" customHeight="1" x14ac:dyDescent="0.2">
      <c r="A978" s="21">
        <f>+Dates!$D$10</f>
        <v>41863</v>
      </c>
      <c r="B978" s="21">
        <f>+Dates!$D$10+1</f>
        <v>41864</v>
      </c>
      <c r="C978" s="22" t="s">
        <v>1452</v>
      </c>
      <c r="D978" s="23" t="s">
        <v>400</v>
      </c>
      <c r="E978" s="24" t="s">
        <v>80</v>
      </c>
      <c r="F978" s="24" t="s">
        <v>305</v>
      </c>
    </row>
    <row r="979" spans="1:6" ht="191.25" customHeight="1" x14ac:dyDescent="0.2">
      <c r="A979" s="21">
        <f>+Dates!$D$10</f>
        <v>41863</v>
      </c>
      <c r="B979" s="21">
        <f>+Dates!$D$10+1</f>
        <v>41864</v>
      </c>
      <c r="C979" s="22" t="s">
        <v>1453</v>
      </c>
      <c r="D979" s="23" t="s">
        <v>400</v>
      </c>
      <c r="E979" s="24" t="s">
        <v>289</v>
      </c>
      <c r="F979" s="24" t="s">
        <v>305</v>
      </c>
    </row>
    <row r="980" spans="1:6" ht="190.5" customHeight="1" x14ac:dyDescent="0.2">
      <c r="A980" s="21">
        <f>+Dates!$D$10</f>
        <v>41863</v>
      </c>
      <c r="B980" s="21">
        <f>+Dates!$D$10+1</f>
        <v>41864</v>
      </c>
      <c r="C980" s="22" t="s">
        <v>1454</v>
      </c>
      <c r="D980" s="23" t="s">
        <v>400</v>
      </c>
      <c r="E980" s="24" t="s">
        <v>291</v>
      </c>
      <c r="F980" s="24" t="s">
        <v>305</v>
      </c>
    </row>
    <row r="981" spans="1:6" ht="194.25" customHeight="1" x14ac:dyDescent="0.2">
      <c r="A981" s="21">
        <f>+Dates!$D$10</f>
        <v>41863</v>
      </c>
      <c r="B981" s="21">
        <f>+Dates!$D$10+1</f>
        <v>41864</v>
      </c>
      <c r="C981" s="22" t="s">
        <v>1455</v>
      </c>
      <c r="D981" s="23" t="s">
        <v>400</v>
      </c>
      <c r="E981" s="24" t="s">
        <v>301</v>
      </c>
      <c r="F981" s="24" t="s">
        <v>305</v>
      </c>
    </row>
    <row r="982" spans="1:6" ht="190.5" customHeight="1" x14ac:dyDescent="0.2">
      <c r="A982" s="21">
        <f>+Dates!$D$10</f>
        <v>41863</v>
      </c>
      <c r="B982" s="21">
        <f>+Dates!$D$10+1</f>
        <v>41864</v>
      </c>
      <c r="C982" s="22" t="s">
        <v>1456</v>
      </c>
      <c r="D982" s="23" t="s">
        <v>400</v>
      </c>
      <c r="E982" s="24" t="s">
        <v>297</v>
      </c>
      <c r="F982" s="24" t="s">
        <v>305</v>
      </c>
    </row>
    <row r="983" spans="1:6" ht="188.25" customHeight="1" x14ac:dyDescent="0.2">
      <c r="A983" s="21">
        <f>+Dates!$D$10</f>
        <v>41863</v>
      </c>
      <c r="B983" s="21">
        <f>+Dates!$D$10+1</f>
        <v>41864</v>
      </c>
      <c r="C983" s="22" t="s">
        <v>1457</v>
      </c>
      <c r="D983" s="23" t="s">
        <v>400</v>
      </c>
      <c r="E983" s="24" t="s">
        <v>333</v>
      </c>
      <c r="F983" s="24" t="s">
        <v>305</v>
      </c>
    </row>
    <row r="984" spans="1:6" ht="153.75" customHeight="1" x14ac:dyDescent="0.2">
      <c r="A984" s="21">
        <f>+Dates!$D$11-84</f>
        <v>41863</v>
      </c>
      <c r="B984" s="21">
        <f>+Dates!$D$11-84</f>
        <v>41863</v>
      </c>
      <c r="C984" s="22" t="s">
        <v>1458</v>
      </c>
      <c r="D984" s="23" t="s">
        <v>386</v>
      </c>
      <c r="E984" s="24" t="s">
        <v>61</v>
      </c>
      <c r="F984" s="24" t="s">
        <v>299</v>
      </c>
    </row>
    <row r="985" spans="1:6" ht="155.25" customHeight="1" x14ac:dyDescent="0.2">
      <c r="A985" s="21">
        <f>+Dates!$D$11-84</f>
        <v>41863</v>
      </c>
      <c r="B985" s="21">
        <f>+Dates!$D$11-84</f>
        <v>41863</v>
      </c>
      <c r="C985" s="22" t="s">
        <v>1623</v>
      </c>
      <c r="D985" s="23" t="s">
        <v>386</v>
      </c>
      <c r="E985" s="24" t="s">
        <v>135</v>
      </c>
      <c r="F985" s="24" t="s">
        <v>299</v>
      </c>
    </row>
    <row r="986" spans="1:6" ht="147.75" customHeight="1" x14ac:dyDescent="0.2">
      <c r="A986" s="21">
        <f>+Dates!$D$11-84</f>
        <v>41863</v>
      </c>
      <c r="B986" s="21">
        <f>+Dates!$D$11-84</f>
        <v>41863</v>
      </c>
      <c r="C986" s="22" t="s">
        <v>1624</v>
      </c>
      <c r="D986" s="23" t="s">
        <v>386</v>
      </c>
      <c r="E986" s="24" t="s">
        <v>391</v>
      </c>
      <c r="F986" s="24" t="s">
        <v>299</v>
      </c>
    </row>
    <row r="987" spans="1:6" ht="144" customHeight="1" x14ac:dyDescent="0.2">
      <c r="A987" s="21">
        <f>+Dates!$D$11-84</f>
        <v>41863</v>
      </c>
      <c r="B987" s="21">
        <f>+Dates!$D$11-84</f>
        <v>41863</v>
      </c>
      <c r="C987" s="22" t="s">
        <v>1625</v>
      </c>
      <c r="D987" s="23" t="s">
        <v>386</v>
      </c>
      <c r="E987" s="24" t="s">
        <v>80</v>
      </c>
      <c r="F987" s="24" t="s">
        <v>299</v>
      </c>
    </row>
    <row r="988" spans="1:6" ht="64.5" customHeight="1" x14ac:dyDescent="0.2">
      <c r="A988" s="21">
        <f>+Dates!$D$11-84</f>
        <v>41863</v>
      </c>
      <c r="B988" s="21">
        <f>+Dates!$D$11-84</f>
        <v>41863</v>
      </c>
      <c r="C988" s="22" t="s">
        <v>972</v>
      </c>
      <c r="D988" s="23" t="s">
        <v>10</v>
      </c>
      <c r="E988" s="24" t="s">
        <v>289</v>
      </c>
      <c r="F988" s="24" t="s">
        <v>299</v>
      </c>
    </row>
    <row r="989" spans="1:6" ht="152.25" customHeight="1" x14ac:dyDescent="0.2">
      <c r="A989" s="21">
        <f>+Dates!$D$11-84</f>
        <v>41863</v>
      </c>
      <c r="B989" s="21">
        <f>+Dates!$D$11-84</f>
        <v>41863</v>
      </c>
      <c r="C989" s="22" t="s">
        <v>1626</v>
      </c>
      <c r="D989" s="23" t="s">
        <v>386</v>
      </c>
      <c r="E989" s="24" t="s">
        <v>291</v>
      </c>
      <c r="F989" s="24" t="s">
        <v>299</v>
      </c>
    </row>
    <row r="990" spans="1:6" ht="79.5" customHeight="1" x14ac:dyDescent="0.2">
      <c r="A990" s="21">
        <f>+Dates!$D$11-84</f>
        <v>41863</v>
      </c>
      <c r="B990" s="21">
        <f>+Dates!$D$11-84</f>
        <v>41863</v>
      </c>
      <c r="C990" s="22" t="s">
        <v>971</v>
      </c>
      <c r="D990" s="23" t="s">
        <v>10</v>
      </c>
      <c r="E990" s="24" t="s">
        <v>301</v>
      </c>
      <c r="F990" s="24" t="s">
        <v>299</v>
      </c>
    </row>
    <row r="991" spans="1:6" ht="169.5" customHeight="1" x14ac:dyDescent="0.2">
      <c r="A991" s="21">
        <f>+Dates!$D$11-84</f>
        <v>41863</v>
      </c>
      <c r="B991" s="21">
        <f>+Dates!$D$11-84</f>
        <v>41863</v>
      </c>
      <c r="C991" s="22" t="s">
        <v>1627</v>
      </c>
      <c r="D991" s="23" t="s">
        <v>386</v>
      </c>
      <c r="E991" s="24" t="s">
        <v>297</v>
      </c>
      <c r="F991" s="24" t="s">
        <v>299</v>
      </c>
    </row>
    <row r="992" spans="1:6" ht="139.5" customHeight="1" x14ac:dyDescent="0.2">
      <c r="A992" s="21">
        <f>+Dates!$D$11-84</f>
        <v>41863</v>
      </c>
      <c r="B992" s="21">
        <f>+Dates!$D$11-84</f>
        <v>41863</v>
      </c>
      <c r="C992" s="22" t="s">
        <v>1628</v>
      </c>
      <c r="D992" s="23" t="s">
        <v>386</v>
      </c>
      <c r="E992" s="24" t="s">
        <v>970</v>
      </c>
      <c r="F992" s="24" t="s">
        <v>299</v>
      </c>
    </row>
    <row r="993" spans="1:6" ht="154.5" customHeight="1" x14ac:dyDescent="0.2">
      <c r="A993" s="21">
        <f>+Dates!$D$11-84</f>
        <v>41863</v>
      </c>
      <c r="B993" s="21">
        <f>+Dates!$D$11-84</f>
        <v>41863</v>
      </c>
      <c r="C993" s="22" t="s">
        <v>1629</v>
      </c>
      <c r="D993" s="23" t="s">
        <v>386</v>
      </c>
      <c r="E993" s="24" t="s">
        <v>295</v>
      </c>
      <c r="F993" s="24" t="s">
        <v>299</v>
      </c>
    </row>
    <row r="994" spans="1:6" ht="154.5" customHeight="1" x14ac:dyDescent="0.2">
      <c r="A994" s="21">
        <f>+Dates!$D$11-84</f>
        <v>41863</v>
      </c>
      <c r="B994" s="21">
        <f>+Dates!$D$11-70</f>
        <v>41877</v>
      </c>
      <c r="C994" s="22" t="s">
        <v>1892</v>
      </c>
      <c r="D994" s="23" t="s">
        <v>219</v>
      </c>
      <c r="E994" s="24" t="s">
        <v>61</v>
      </c>
      <c r="F994" s="24" t="s">
        <v>299</v>
      </c>
    </row>
    <row r="995" spans="1:6" ht="154.5" customHeight="1" x14ac:dyDescent="0.2">
      <c r="A995" s="21">
        <f>+Dates!$D$11-84</f>
        <v>41863</v>
      </c>
      <c r="B995" s="21">
        <f>+Dates!$D$11-70</f>
        <v>41877</v>
      </c>
      <c r="C995" s="22" t="s">
        <v>1893</v>
      </c>
      <c r="D995" s="23" t="s">
        <v>219</v>
      </c>
      <c r="E995" s="24" t="s">
        <v>135</v>
      </c>
      <c r="F995" s="24" t="s">
        <v>299</v>
      </c>
    </row>
    <row r="996" spans="1:6" ht="144.75" customHeight="1" x14ac:dyDescent="0.2">
      <c r="A996" s="21">
        <f>+Dates!$D$11-84</f>
        <v>41863</v>
      </c>
      <c r="B996" s="21">
        <f>+Dates!$D$11-70</f>
        <v>41877</v>
      </c>
      <c r="C996" s="22" t="s">
        <v>1894</v>
      </c>
      <c r="D996" s="23" t="s">
        <v>219</v>
      </c>
      <c r="E996" s="24" t="s">
        <v>391</v>
      </c>
      <c r="F996" s="24" t="s">
        <v>299</v>
      </c>
    </row>
    <row r="997" spans="1:6" ht="141" customHeight="1" x14ac:dyDescent="0.2">
      <c r="A997" s="21">
        <f>+Dates!$D$11-84</f>
        <v>41863</v>
      </c>
      <c r="B997" s="21">
        <f>+Dates!$D$11-70</f>
        <v>41877</v>
      </c>
      <c r="C997" s="22" t="s">
        <v>1895</v>
      </c>
      <c r="D997" s="23" t="s">
        <v>219</v>
      </c>
      <c r="E997" s="24" t="s">
        <v>292</v>
      </c>
      <c r="F997" s="24" t="s">
        <v>299</v>
      </c>
    </row>
    <row r="998" spans="1:6" ht="154.5" customHeight="1" x14ac:dyDescent="0.2">
      <c r="A998" s="21">
        <f>+Dates!$D$11-84</f>
        <v>41863</v>
      </c>
      <c r="B998" s="21">
        <f>+Dates!$D$11-70</f>
        <v>41877</v>
      </c>
      <c r="C998" s="22" t="s">
        <v>1415</v>
      </c>
      <c r="D998" s="23" t="s">
        <v>219</v>
      </c>
      <c r="E998" s="24" t="s">
        <v>289</v>
      </c>
      <c r="F998" s="24" t="s">
        <v>299</v>
      </c>
    </row>
    <row r="999" spans="1:6" ht="153" customHeight="1" x14ac:dyDescent="0.2">
      <c r="A999" s="21">
        <f>+Dates!$D$11-84</f>
        <v>41863</v>
      </c>
      <c r="B999" s="21">
        <f>+Dates!$D$11-56</f>
        <v>41891</v>
      </c>
      <c r="C999" s="22" t="s">
        <v>1888</v>
      </c>
      <c r="D999" s="23" t="s">
        <v>866</v>
      </c>
      <c r="E999" s="24" t="s">
        <v>61</v>
      </c>
      <c r="F999" s="24" t="s">
        <v>299</v>
      </c>
    </row>
    <row r="1000" spans="1:6" ht="159" customHeight="1" x14ac:dyDescent="0.2">
      <c r="A1000" s="21">
        <f>+Dates!$D$11-84</f>
        <v>41863</v>
      </c>
      <c r="B1000" s="21">
        <f>+Dates!$D$11-56</f>
        <v>41891</v>
      </c>
      <c r="C1000" s="22" t="s">
        <v>1889</v>
      </c>
      <c r="D1000" s="23" t="s">
        <v>866</v>
      </c>
      <c r="E1000" s="24" t="s">
        <v>135</v>
      </c>
      <c r="F1000" s="24" t="s">
        <v>299</v>
      </c>
    </row>
    <row r="1001" spans="1:6" ht="155.25" customHeight="1" x14ac:dyDescent="0.2">
      <c r="A1001" s="21">
        <f>+Dates!$D$11-84</f>
        <v>41863</v>
      </c>
      <c r="B1001" s="21">
        <f>+Dates!$D$11-56</f>
        <v>41891</v>
      </c>
      <c r="C1001" s="22" t="s">
        <v>1890</v>
      </c>
      <c r="D1001" s="23" t="s">
        <v>866</v>
      </c>
      <c r="E1001" s="24" t="s">
        <v>391</v>
      </c>
      <c r="F1001" s="24" t="s">
        <v>299</v>
      </c>
    </row>
    <row r="1002" spans="1:6" ht="154.5" customHeight="1" x14ac:dyDescent="0.2">
      <c r="A1002" s="21">
        <f>+Dates!$D$11-84</f>
        <v>41863</v>
      </c>
      <c r="B1002" s="21">
        <f>+Dates!$D$11-56</f>
        <v>41891</v>
      </c>
      <c r="C1002" s="22" t="s">
        <v>1891</v>
      </c>
      <c r="D1002" s="23" t="s">
        <v>866</v>
      </c>
      <c r="E1002" s="24" t="s">
        <v>80</v>
      </c>
      <c r="F1002" s="24" t="s">
        <v>299</v>
      </c>
    </row>
    <row r="1003" spans="1:6" ht="200.25" customHeight="1" x14ac:dyDescent="0.2">
      <c r="A1003" s="21">
        <f>+Dates!$D$11-84</f>
        <v>41863</v>
      </c>
      <c r="B1003" s="21">
        <f>+Dates!$D$11-56</f>
        <v>41891</v>
      </c>
      <c r="C1003" s="22" t="s">
        <v>1887</v>
      </c>
      <c r="D1003" s="23" t="s">
        <v>866</v>
      </c>
      <c r="E1003" s="24" t="s">
        <v>291</v>
      </c>
      <c r="F1003" s="24" t="s">
        <v>299</v>
      </c>
    </row>
    <row r="1004" spans="1:6" ht="87" customHeight="1" x14ac:dyDescent="0.2">
      <c r="A1004" s="21">
        <f>+Dates!$D$10+1</f>
        <v>41864</v>
      </c>
      <c r="B1004" s="21">
        <f>+Dates!$D$10+1</f>
        <v>41864</v>
      </c>
      <c r="C1004" s="22" t="s">
        <v>932</v>
      </c>
      <c r="D1004" s="23" t="s">
        <v>38</v>
      </c>
      <c r="E1004" s="24" t="s">
        <v>61</v>
      </c>
      <c r="F1004" s="24" t="s">
        <v>332</v>
      </c>
    </row>
    <row r="1005" spans="1:6" ht="75" customHeight="1" x14ac:dyDescent="0.2">
      <c r="A1005" s="21">
        <f>+Dates!$D$10+1</f>
        <v>41864</v>
      </c>
      <c r="B1005" s="21">
        <f>+Dates!$D$10+1</f>
        <v>41864</v>
      </c>
      <c r="C1005" s="22" t="s">
        <v>933</v>
      </c>
      <c r="D1005" s="23" t="s">
        <v>38</v>
      </c>
      <c r="E1005" s="24" t="s">
        <v>80</v>
      </c>
      <c r="F1005" s="24" t="s">
        <v>332</v>
      </c>
    </row>
    <row r="1006" spans="1:6" ht="80.25" customHeight="1" x14ac:dyDescent="0.2">
      <c r="A1006" s="21">
        <f>+Dates!$D$10+1</f>
        <v>41864</v>
      </c>
      <c r="B1006" s="21">
        <f>+Dates!$D$10+1</f>
        <v>41864</v>
      </c>
      <c r="C1006" s="22" t="s">
        <v>48</v>
      </c>
      <c r="D1006" s="23" t="s">
        <v>38</v>
      </c>
      <c r="E1006" s="24" t="s">
        <v>289</v>
      </c>
      <c r="F1006" s="24" t="s">
        <v>332</v>
      </c>
    </row>
    <row r="1007" spans="1:6" ht="91.5" customHeight="1" x14ac:dyDescent="0.2">
      <c r="A1007" s="21">
        <f>+Dates!$D$10+1</f>
        <v>41864</v>
      </c>
      <c r="B1007" s="21">
        <f>+Dates!$D$10+1</f>
        <v>41864</v>
      </c>
      <c r="C1007" s="22" t="s">
        <v>337</v>
      </c>
      <c r="D1007" s="23" t="s">
        <v>38</v>
      </c>
      <c r="E1007" s="24" t="s">
        <v>291</v>
      </c>
      <c r="F1007" s="24" t="s">
        <v>332</v>
      </c>
    </row>
    <row r="1008" spans="1:6" ht="93" customHeight="1" x14ac:dyDescent="0.2">
      <c r="A1008" s="21">
        <f>+Dates!$D$10+1</f>
        <v>41864</v>
      </c>
      <c r="B1008" s="21">
        <f>+Dates!$D$10+1</f>
        <v>41864</v>
      </c>
      <c r="C1008" s="22" t="s">
        <v>934</v>
      </c>
      <c r="D1008" s="23" t="s">
        <v>38</v>
      </c>
      <c r="E1008" s="24" t="s">
        <v>301</v>
      </c>
      <c r="F1008" s="24" t="s">
        <v>332</v>
      </c>
    </row>
    <row r="1009" spans="1:6" ht="93" customHeight="1" x14ac:dyDescent="0.2">
      <c r="A1009" s="21">
        <f>+Dates!$D$10+1</f>
        <v>41864</v>
      </c>
      <c r="B1009" s="21">
        <f>+Dates!$D$10+1</f>
        <v>41864</v>
      </c>
      <c r="C1009" s="22" t="s">
        <v>935</v>
      </c>
      <c r="D1009" s="23" t="s">
        <v>38</v>
      </c>
      <c r="E1009" s="24" t="s">
        <v>297</v>
      </c>
      <c r="F1009" s="24" t="s">
        <v>332</v>
      </c>
    </row>
    <row r="1010" spans="1:6" ht="112.5" customHeight="1" x14ac:dyDescent="0.2">
      <c r="A1010" s="21">
        <f>+Dates!$D$11-83</f>
        <v>41864</v>
      </c>
      <c r="B1010" s="21">
        <f>+Dates!$D$11-83</f>
        <v>41864</v>
      </c>
      <c r="C1010" s="22" t="s">
        <v>983</v>
      </c>
      <c r="D1010" s="23" t="s">
        <v>10</v>
      </c>
      <c r="E1010" s="24" t="s">
        <v>61</v>
      </c>
      <c r="F1010" s="24" t="s">
        <v>299</v>
      </c>
    </row>
    <row r="1011" spans="1:6" ht="110.25" customHeight="1" x14ac:dyDescent="0.2">
      <c r="A1011" s="21">
        <f>+Dates!$D$11-83</f>
        <v>41864</v>
      </c>
      <c r="B1011" s="21">
        <f>+Dates!$D$11-83</f>
        <v>41864</v>
      </c>
      <c r="C1011" s="22" t="s">
        <v>984</v>
      </c>
      <c r="D1011" s="23" t="s">
        <v>10</v>
      </c>
      <c r="E1011" s="24" t="s">
        <v>80</v>
      </c>
      <c r="F1011" s="24" t="s">
        <v>299</v>
      </c>
    </row>
    <row r="1012" spans="1:6" ht="101.25" customHeight="1" x14ac:dyDescent="0.2">
      <c r="A1012" s="21">
        <f>+Dates!$D$11-83</f>
        <v>41864</v>
      </c>
      <c r="B1012" s="21">
        <f>+Dates!$D$11-83</f>
        <v>41864</v>
      </c>
      <c r="C1012" s="22" t="s">
        <v>985</v>
      </c>
      <c r="D1012" s="23" t="s">
        <v>10</v>
      </c>
      <c r="E1012" s="24" t="s">
        <v>289</v>
      </c>
      <c r="F1012" s="24" t="s">
        <v>299</v>
      </c>
    </row>
    <row r="1013" spans="1:6" ht="105" customHeight="1" x14ac:dyDescent="0.2">
      <c r="A1013" s="21">
        <f>+Dates!$D$11-83</f>
        <v>41864</v>
      </c>
      <c r="B1013" s="21">
        <f>+Dates!$D$11-83</f>
        <v>41864</v>
      </c>
      <c r="C1013" s="22" t="s">
        <v>986</v>
      </c>
      <c r="D1013" s="23" t="s">
        <v>10</v>
      </c>
      <c r="E1013" s="24" t="s">
        <v>291</v>
      </c>
      <c r="F1013" s="24" t="s">
        <v>299</v>
      </c>
    </row>
    <row r="1014" spans="1:6" ht="108.75" customHeight="1" x14ac:dyDescent="0.2">
      <c r="A1014" s="21">
        <f>+Dates!$D$11-83</f>
        <v>41864</v>
      </c>
      <c r="B1014" s="21">
        <f>+Dates!$D$11-83</f>
        <v>41864</v>
      </c>
      <c r="C1014" s="22" t="s">
        <v>987</v>
      </c>
      <c r="D1014" s="23" t="s">
        <v>10</v>
      </c>
      <c r="E1014" s="24" t="s">
        <v>301</v>
      </c>
      <c r="F1014" s="24" t="s">
        <v>299</v>
      </c>
    </row>
    <row r="1015" spans="1:6" ht="110.25" customHeight="1" x14ac:dyDescent="0.2">
      <c r="A1015" s="21">
        <f>+Dates!$D$11-83</f>
        <v>41864</v>
      </c>
      <c r="B1015" s="21">
        <f>+Dates!$D$11-83</f>
        <v>41864</v>
      </c>
      <c r="C1015" s="22" t="s">
        <v>988</v>
      </c>
      <c r="D1015" s="23" t="s">
        <v>10</v>
      </c>
      <c r="E1015" s="24" t="s">
        <v>297</v>
      </c>
      <c r="F1015" s="24" t="s">
        <v>299</v>
      </c>
    </row>
    <row r="1016" spans="1:6" ht="110.25" customHeight="1" x14ac:dyDescent="0.2">
      <c r="A1016" s="21">
        <f>+Dates!$D$11-83</f>
        <v>41864</v>
      </c>
      <c r="B1016" s="21">
        <f>+Dates!$D$11-83</f>
        <v>41864</v>
      </c>
      <c r="C1016" s="22" t="s">
        <v>989</v>
      </c>
      <c r="D1016" s="23" t="s">
        <v>10</v>
      </c>
      <c r="E1016" s="24" t="s">
        <v>295</v>
      </c>
      <c r="F1016" s="24" t="s">
        <v>299</v>
      </c>
    </row>
    <row r="1017" spans="1:6" ht="105" customHeight="1" x14ac:dyDescent="0.2">
      <c r="A1017" s="21">
        <f>+Dates!$D$10+1</f>
        <v>41864</v>
      </c>
      <c r="B1017" s="21">
        <f>+Dates!$D$10+42</f>
        <v>41905</v>
      </c>
      <c r="C1017" s="22" t="s">
        <v>937</v>
      </c>
      <c r="D1017" s="23">
        <v>201.17099999999999</v>
      </c>
      <c r="E1017" s="24" t="s">
        <v>61</v>
      </c>
      <c r="F1017" s="24" t="s">
        <v>195</v>
      </c>
    </row>
    <row r="1018" spans="1:6" ht="114" customHeight="1" x14ac:dyDescent="0.2">
      <c r="A1018" s="21">
        <f>+Dates!$D$10+1</f>
        <v>41864</v>
      </c>
      <c r="B1018" s="21">
        <f>+Dates!$D$10+42</f>
        <v>41905</v>
      </c>
      <c r="C1018" s="22" t="s">
        <v>938</v>
      </c>
      <c r="D1018" s="23">
        <v>201.17099999999999</v>
      </c>
      <c r="E1018" s="24" t="s">
        <v>391</v>
      </c>
      <c r="F1018" s="24" t="s">
        <v>195</v>
      </c>
    </row>
    <row r="1019" spans="1:6" ht="109.5" customHeight="1" x14ac:dyDescent="0.2">
      <c r="A1019" s="21">
        <f>+Dates!$D$10+1</f>
        <v>41864</v>
      </c>
      <c r="B1019" s="21">
        <f>+Dates!$D$10+42</f>
        <v>41905</v>
      </c>
      <c r="C1019" s="22" t="s">
        <v>936</v>
      </c>
      <c r="D1019" s="23">
        <v>201.17099999999999</v>
      </c>
      <c r="E1019" s="24" t="s">
        <v>292</v>
      </c>
      <c r="F1019" s="24" t="s">
        <v>195</v>
      </c>
    </row>
    <row r="1020" spans="1:6" ht="90.75" customHeight="1" x14ac:dyDescent="0.2">
      <c r="A1020" s="21">
        <f>+Dates!$D$10+1</f>
        <v>41864</v>
      </c>
      <c r="B1020" s="21">
        <f>+Dates!$D$10+42</f>
        <v>41905</v>
      </c>
      <c r="C1020" s="22" t="s">
        <v>1573</v>
      </c>
      <c r="D1020" s="23" t="s">
        <v>582</v>
      </c>
      <c r="E1020" s="24" t="s">
        <v>61</v>
      </c>
      <c r="F1020" s="24" t="s">
        <v>195</v>
      </c>
    </row>
    <row r="1021" spans="1:6" ht="76.5" customHeight="1" x14ac:dyDescent="0.2">
      <c r="A1021" s="21">
        <f>+Dates!$D$10+1</f>
        <v>41864</v>
      </c>
      <c r="B1021" s="21">
        <f>+Dates!$D$10+42</f>
        <v>41905</v>
      </c>
      <c r="C1021" s="22" t="s">
        <v>1574</v>
      </c>
      <c r="D1021" s="23">
        <v>201.17099999999999</v>
      </c>
      <c r="E1021" s="24" t="s">
        <v>391</v>
      </c>
      <c r="F1021" s="24" t="s">
        <v>195</v>
      </c>
    </row>
    <row r="1022" spans="1:6" ht="83.25" customHeight="1" x14ac:dyDescent="0.2">
      <c r="A1022" s="21">
        <f>+Dates!$D$10+1</f>
        <v>41864</v>
      </c>
      <c r="B1022" s="21">
        <f>+Dates!$D$10+42</f>
        <v>41905</v>
      </c>
      <c r="C1022" s="22" t="s">
        <v>1575</v>
      </c>
      <c r="D1022" s="23">
        <v>201.17099999999999</v>
      </c>
      <c r="E1022" s="24" t="s">
        <v>292</v>
      </c>
      <c r="F1022" s="24" t="s">
        <v>195</v>
      </c>
    </row>
    <row r="1023" spans="1:6" ht="105" customHeight="1" x14ac:dyDescent="0.2">
      <c r="A1023" s="21">
        <f>+Dates!$D$10+1</f>
        <v>41864</v>
      </c>
      <c r="B1023" s="21">
        <f>+Dates!$D$10+49</f>
        <v>41912</v>
      </c>
      <c r="C1023" s="22" t="s">
        <v>1576</v>
      </c>
      <c r="D1023" s="23" t="s">
        <v>166</v>
      </c>
      <c r="E1023" s="24" t="s">
        <v>61</v>
      </c>
      <c r="F1023" s="24" t="s">
        <v>290</v>
      </c>
    </row>
    <row r="1024" spans="1:6" ht="99.75" customHeight="1" x14ac:dyDescent="0.2">
      <c r="A1024" s="21">
        <f>+Dates!$D$10+1</f>
        <v>41864</v>
      </c>
      <c r="B1024" s="21">
        <f>+Dates!$D$10+49</f>
        <v>41912</v>
      </c>
      <c r="C1024" s="22" t="s">
        <v>1577</v>
      </c>
      <c r="D1024" s="23" t="s">
        <v>166</v>
      </c>
      <c r="E1024" s="24" t="s">
        <v>292</v>
      </c>
      <c r="F1024" s="24" t="s">
        <v>290</v>
      </c>
    </row>
    <row r="1025" spans="1:6" ht="73.5" customHeight="1" x14ac:dyDescent="0.2">
      <c r="A1025" s="21">
        <f>+Dates!$D$10+1</f>
        <v>41864</v>
      </c>
      <c r="B1025" s="21">
        <f>+Dates!$D$11-1</f>
        <v>41946</v>
      </c>
      <c r="C1025" s="22" t="s">
        <v>1578</v>
      </c>
      <c r="D1025" s="23" t="s">
        <v>432</v>
      </c>
      <c r="E1025" s="24" t="s">
        <v>61</v>
      </c>
      <c r="F1025" s="24" t="s">
        <v>17</v>
      </c>
    </row>
    <row r="1026" spans="1:6" ht="75" customHeight="1" x14ac:dyDescent="0.2">
      <c r="A1026" s="21">
        <f>+Dates!$D$10+1</f>
        <v>41864</v>
      </c>
      <c r="B1026" s="21">
        <f>+Dates!$D$11-1</f>
        <v>41946</v>
      </c>
      <c r="C1026" s="22" t="s">
        <v>1579</v>
      </c>
      <c r="D1026" s="23" t="s">
        <v>432</v>
      </c>
      <c r="E1026" s="24" t="s">
        <v>135</v>
      </c>
      <c r="F1026" s="24" t="s">
        <v>17</v>
      </c>
    </row>
    <row r="1027" spans="1:6" ht="73.5" customHeight="1" x14ac:dyDescent="0.2">
      <c r="A1027" s="21">
        <f>+Dates!$D$10+1</f>
        <v>41864</v>
      </c>
      <c r="B1027" s="21">
        <f>+Dates!$D$11-1</f>
        <v>41946</v>
      </c>
      <c r="C1027" s="22" t="s">
        <v>1580</v>
      </c>
      <c r="D1027" s="23" t="s">
        <v>432</v>
      </c>
      <c r="E1027" s="24" t="s">
        <v>391</v>
      </c>
      <c r="F1027" s="24" t="s">
        <v>17</v>
      </c>
    </row>
    <row r="1028" spans="1:6" ht="72" customHeight="1" x14ac:dyDescent="0.2">
      <c r="A1028" s="21">
        <f>+Dates!$D$10+1</f>
        <v>41864</v>
      </c>
      <c r="B1028" s="21">
        <f>+Dates!$D$11-1</f>
        <v>41946</v>
      </c>
      <c r="C1028" s="22" t="s">
        <v>1581</v>
      </c>
      <c r="D1028" s="23" t="s">
        <v>432</v>
      </c>
      <c r="E1028" s="24" t="s">
        <v>80</v>
      </c>
      <c r="F1028" s="24" t="s">
        <v>17</v>
      </c>
    </row>
    <row r="1029" spans="1:6" ht="89.25" customHeight="1" x14ac:dyDescent="0.2">
      <c r="A1029" s="21">
        <f>+Dates!$D$10+1</f>
        <v>41864</v>
      </c>
      <c r="B1029" s="21">
        <f>+Dates!$D$11-1</f>
        <v>41946</v>
      </c>
      <c r="C1029" s="22" t="s">
        <v>1582</v>
      </c>
      <c r="D1029" s="23" t="s">
        <v>432</v>
      </c>
      <c r="E1029" s="24" t="s">
        <v>1062</v>
      </c>
      <c r="F1029" s="24" t="s">
        <v>17</v>
      </c>
    </row>
    <row r="1030" spans="1:6" ht="71.25" customHeight="1" x14ac:dyDescent="0.2">
      <c r="A1030" s="21">
        <f>+Dates!$D$10+1</f>
        <v>41864</v>
      </c>
      <c r="B1030" s="21">
        <f>+Dates!$D$11-1</f>
        <v>41946</v>
      </c>
      <c r="C1030" s="22" t="s">
        <v>1583</v>
      </c>
      <c r="D1030" s="23" t="s">
        <v>432</v>
      </c>
      <c r="E1030" s="24" t="s">
        <v>289</v>
      </c>
      <c r="F1030" s="24" t="s">
        <v>17</v>
      </c>
    </row>
    <row r="1031" spans="1:6" ht="83.25" customHeight="1" x14ac:dyDescent="0.2">
      <c r="A1031" s="21">
        <f>+Dates!$D$10+1</f>
        <v>41864</v>
      </c>
      <c r="B1031" s="21">
        <f>+Dates!$D$11-1</f>
        <v>41946</v>
      </c>
      <c r="C1031" s="22" t="s">
        <v>1584</v>
      </c>
      <c r="D1031" s="23" t="s">
        <v>432</v>
      </c>
      <c r="E1031" s="24" t="s">
        <v>291</v>
      </c>
      <c r="F1031" s="24" t="s">
        <v>17</v>
      </c>
    </row>
    <row r="1032" spans="1:6" ht="78" customHeight="1" x14ac:dyDescent="0.2">
      <c r="A1032" s="21">
        <f>+Dates!$D$10+1</f>
        <v>41864</v>
      </c>
      <c r="B1032" s="21">
        <f>+Dates!$D$11-1</f>
        <v>41946</v>
      </c>
      <c r="C1032" s="22" t="s">
        <v>1585</v>
      </c>
      <c r="D1032" s="23" t="s">
        <v>432</v>
      </c>
      <c r="E1032" s="24" t="s">
        <v>301</v>
      </c>
      <c r="F1032" s="24" t="s">
        <v>17</v>
      </c>
    </row>
    <row r="1033" spans="1:6" ht="79.5" customHeight="1" x14ac:dyDescent="0.2">
      <c r="A1033" s="21">
        <f>+Dates!$D$10+1</f>
        <v>41864</v>
      </c>
      <c r="B1033" s="21">
        <f>+Dates!$D$11-1</f>
        <v>41946</v>
      </c>
      <c r="C1033" s="22" t="s">
        <v>1586</v>
      </c>
      <c r="D1033" s="23" t="s">
        <v>432</v>
      </c>
      <c r="E1033" s="24" t="s">
        <v>297</v>
      </c>
      <c r="F1033" s="24" t="s">
        <v>17</v>
      </c>
    </row>
    <row r="1034" spans="1:6" ht="85.5" customHeight="1" x14ac:dyDescent="0.2">
      <c r="A1034" s="21">
        <f>+Dates!$D$10+1</f>
        <v>41864</v>
      </c>
      <c r="B1034" s="21">
        <f>+Dates!$D$11-1</f>
        <v>41946</v>
      </c>
      <c r="C1034" s="22" t="s">
        <v>939</v>
      </c>
      <c r="D1034" s="23" t="s">
        <v>432</v>
      </c>
      <c r="E1034" s="24" t="s">
        <v>333</v>
      </c>
      <c r="F1034" s="24" t="s">
        <v>17</v>
      </c>
    </row>
    <row r="1035" spans="1:6" ht="83.25" customHeight="1" x14ac:dyDescent="0.2">
      <c r="A1035" s="21">
        <f>+Dates!$D$10+1</f>
        <v>41864</v>
      </c>
      <c r="B1035" s="21">
        <f>+Dates!$D$11-1</f>
        <v>41946</v>
      </c>
      <c r="C1035" s="22" t="s">
        <v>940</v>
      </c>
      <c r="D1035" s="23" t="s">
        <v>432</v>
      </c>
      <c r="E1035" s="24" t="s">
        <v>160</v>
      </c>
      <c r="F1035" s="24" t="s">
        <v>17</v>
      </c>
    </row>
    <row r="1036" spans="1:6" ht="75.75" customHeight="1" x14ac:dyDescent="0.2">
      <c r="A1036" s="21">
        <f>+Dates!$D$10+1</f>
        <v>41864</v>
      </c>
      <c r="B1036" s="21">
        <f>+Dates!$D$11-1</f>
        <v>41946</v>
      </c>
      <c r="C1036" s="22" t="s">
        <v>941</v>
      </c>
      <c r="D1036" s="23" t="s">
        <v>432</v>
      </c>
      <c r="E1036" s="24" t="s">
        <v>295</v>
      </c>
      <c r="F1036" s="24" t="s">
        <v>17</v>
      </c>
    </row>
    <row r="1037" spans="1:6" ht="87.75" customHeight="1" x14ac:dyDescent="0.2">
      <c r="A1037" s="21">
        <f>+Dates!$D$10+2</f>
        <v>41865</v>
      </c>
      <c r="B1037" s="21">
        <f>+Dates!$D$10+2</f>
        <v>41865</v>
      </c>
      <c r="C1037" s="22" t="s">
        <v>942</v>
      </c>
      <c r="D1037" s="23" t="s">
        <v>38</v>
      </c>
      <c r="E1037" s="24" t="s">
        <v>61</v>
      </c>
      <c r="F1037" s="24" t="s">
        <v>290</v>
      </c>
    </row>
    <row r="1038" spans="1:6" ht="81.75" customHeight="1" x14ac:dyDescent="0.2">
      <c r="A1038" s="21">
        <f>+Dates!$D$10+2</f>
        <v>41865</v>
      </c>
      <c r="B1038" s="21">
        <f>+Dates!$D$10+2</f>
        <v>41865</v>
      </c>
      <c r="C1038" s="22" t="s">
        <v>943</v>
      </c>
      <c r="D1038" s="23" t="s">
        <v>38</v>
      </c>
      <c r="E1038" s="24" t="s">
        <v>80</v>
      </c>
      <c r="F1038" s="24" t="s">
        <v>290</v>
      </c>
    </row>
    <row r="1039" spans="1:6" ht="89.25" customHeight="1" x14ac:dyDescent="0.2">
      <c r="A1039" s="21">
        <f>+Dates!$D$10+2</f>
        <v>41865</v>
      </c>
      <c r="B1039" s="21">
        <f>+Dates!$D$10+2</f>
        <v>41865</v>
      </c>
      <c r="C1039" s="22" t="s">
        <v>944</v>
      </c>
      <c r="D1039" s="23" t="s">
        <v>38</v>
      </c>
      <c r="E1039" s="24" t="s">
        <v>289</v>
      </c>
      <c r="F1039" s="24" t="s">
        <v>290</v>
      </c>
    </row>
    <row r="1040" spans="1:6" ht="87.75" customHeight="1" x14ac:dyDescent="0.2">
      <c r="A1040" s="21">
        <f>+Dates!$D$10+2</f>
        <v>41865</v>
      </c>
      <c r="B1040" s="21">
        <f>+Dates!$D$10+2</f>
        <v>41865</v>
      </c>
      <c r="C1040" s="22" t="s">
        <v>945</v>
      </c>
      <c r="D1040" s="23" t="s">
        <v>38</v>
      </c>
      <c r="E1040" s="24" t="s">
        <v>291</v>
      </c>
      <c r="F1040" s="24" t="s">
        <v>290</v>
      </c>
    </row>
    <row r="1041" spans="1:6" ht="90.75" customHeight="1" x14ac:dyDescent="0.2">
      <c r="A1041" s="21">
        <f>+Dates!$D$10+2</f>
        <v>41865</v>
      </c>
      <c r="B1041" s="21">
        <f>+Dates!$D$10+2</f>
        <v>41865</v>
      </c>
      <c r="C1041" s="22" t="s">
        <v>946</v>
      </c>
      <c r="D1041" s="23" t="s">
        <v>38</v>
      </c>
      <c r="E1041" s="24" t="s">
        <v>301</v>
      </c>
      <c r="F1041" s="24" t="s">
        <v>290</v>
      </c>
    </row>
    <row r="1042" spans="1:6" ht="94.5" customHeight="1" x14ac:dyDescent="0.2">
      <c r="A1042" s="21">
        <f>+Dates!$D$10+2</f>
        <v>41865</v>
      </c>
      <c r="B1042" s="21">
        <f>+Dates!$D$10+2</f>
        <v>41865</v>
      </c>
      <c r="C1042" s="22" t="s">
        <v>947</v>
      </c>
      <c r="D1042" s="23" t="s">
        <v>38</v>
      </c>
      <c r="E1042" s="24" t="s">
        <v>297</v>
      </c>
      <c r="F1042" s="24" t="s">
        <v>290</v>
      </c>
    </row>
    <row r="1043" spans="1:6" ht="126" customHeight="1" x14ac:dyDescent="0.2">
      <c r="A1043" s="21">
        <f>+Dates!$D$11-82</f>
        <v>41865</v>
      </c>
      <c r="B1043" s="21">
        <f>+Dates!$D$11-82</f>
        <v>41865</v>
      </c>
      <c r="C1043" s="22" t="s">
        <v>1631</v>
      </c>
      <c r="D1043" s="23" t="s">
        <v>1632</v>
      </c>
      <c r="E1043" s="24" t="s">
        <v>61</v>
      </c>
      <c r="F1043" s="24" t="s">
        <v>299</v>
      </c>
    </row>
    <row r="1044" spans="1:6" ht="127.5" customHeight="1" x14ac:dyDescent="0.2">
      <c r="A1044" s="21">
        <f>+Dates!$D$11-82</f>
        <v>41865</v>
      </c>
      <c r="B1044" s="21">
        <f>+Dates!$D$11-82</f>
        <v>41865</v>
      </c>
      <c r="C1044" s="22" t="s">
        <v>1633</v>
      </c>
      <c r="D1044" s="23" t="s">
        <v>1632</v>
      </c>
      <c r="E1044" s="24" t="s">
        <v>135</v>
      </c>
      <c r="F1044" s="24" t="s">
        <v>299</v>
      </c>
    </row>
    <row r="1045" spans="1:6" ht="103.5" customHeight="1" x14ac:dyDescent="0.2">
      <c r="A1045" s="21">
        <f>+Dates!$D$11-82</f>
        <v>41865</v>
      </c>
      <c r="B1045" s="21">
        <f>+Dates!$D$11-82</f>
        <v>41865</v>
      </c>
      <c r="C1045" s="22" t="s">
        <v>1634</v>
      </c>
      <c r="D1045" s="23" t="s">
        <v>1632</v>
      </c>
      <c r="E1045" s="24" t="s">
        <v>391</v>
      </c>
      <c r="F1045" s="24" t="s">
        <v>299</v>
      </c>
    </row>
    <row r="1046" spans="1:6" ht="110.25" customHeight="1" x14ac:dyDescent="0.2">
      <c r="A1046" s="21">
        <f>+Dates!$D$11-82</f>
        <v>41865</v>
      </c>
      <c r="B1046" s="21">
        <f>+Dates!$D$11-82</f>
        <v>41865</v>
      </c>
      <c r="C1046" s="22" t="s">
        <v>1635</v>
      </c>
      <c r="D1046" s="23" t="s">
        <v>1632</v>
      </c>
      <c r="E1046" s="24" t="s">
        <v>80</v>
      </c>
      <c r="F1046" s="24" t="s">
        <v>299</v>
      </c>
    </row>
    <row r="1047" spans="1:6" ht="112.5" customHeight="1" x14ac:dyDescent="0.2">
      <c r="A1047" s="21">
        <f>+Dates!$D$11-82</f>
        <v>41865</v>
      </c>
      <c r="B1047" s="21">
        <f>+Dates!$D$11-82</f>
        <v>41865</v>
      </c>
      <c r="C1047" s="22" t="s">
        <v>990</v>
      </c>
      <c r="D1047" s="23" t="s">
        <v>109</v>
      </c>
      <c r="E1047" s="24" t="s">
        <v>291</v>
      </c>
      <c r="F1047" s="24" t="s">
        <v>299</v>
      </c>
    </row>
    <row r="1048" spans="1:6" ht="108.75" customHeight="1" x14ac:dyDescent="0.2">
      <c r="A1048" s="21">
        <f>+Dates!$D$11-82</f>
        <v>41865</v>
      </c>
      <c r="B1048" s="21">
        <f>+Dates!$D$11-82</f>
        <v>41865</v>
      </c>
      <c r="C1048" s="22" t="s">
        <v>991</v>
      </c>
      <c r="D1048" s="23" t="s">
        <v>109</v>
      </c>
      <c r="E1048" s="24" t="s">
        <v>297</v>
      </c>
      <c r="F1048" s="24" t="s">
        <v>299</v>
      </c>
    </row>
    <row r="1049" spans="1:6" ht="114" customHeight="1" x14ac:dyDescent="0.2">
      <c r="A1049" s="21">
        <f>+Dates!$D$11-82</f>
        <v>41865</v>
      </c>
      <c r="B1049" s="21">
        <f>+Dates!$D$11-82</f>
        <v>41865</v>
      </c>
      <c r="C1049" s="22" t="s">
        <v>1630</v>
      </c>
      <c r="D1049" s="23" t="s">
        <v>217</v>
      </c>
      <c r="E1049" s="24" t="s">
        <v>160</v>
      </c>
      <c r="F1049" s="24" t="s">
        <v>299</v>
      </c>
    </row>
    <row r="1050" spans="1:6" ht="129.75" customHeight="1" x14ac:dyDescent="0.2">
      <c r="A1050" s="21">
        <f>+Dates!$D$11-82</f>
        <v>41865</v>
      </c>
      <c r="B1050" s="21">
        <f>+Dates!$D$11-82</f>
        <v>41865</v>
      </c>
      <c r="C1050" s="22" t="s">
        <v>1636</v>
      </c>
      <c r="D1050" s="23" t="s">
        <v>10</v>
      </c>
      <c r="E1050" s="24" t="s">
        <v>295</v>
      </c>
      <c r="F1050" s="24" t="s">
        <v>299</v>
      </c>
    </row>
    <row r="1051" spans="1:6" ht="106.5" customHeight="1" x14ac:dyDescent="0.2">
      <c r="A1051" s="21">
        <f>+Dates!$D$11-82</f>
        <v>41865</v>
      </c>
      <c r="B1051" s="21">
        <f>+Dates!$D$11-82</f>
        <v>41865</v>
      </c>
      <c r="C1051" s="22" t="s">
        <v>992</v>
      </c>
      <c r="D1051" s="23" t="s">
        <v>435</v>
      </c>
      <c r="E1051" s="24" t="s">
        <v>61</v>
      </c>
      <c r="F1051" s="24" t="s">
        <v>299</v>
      </c>
    </row>
    <row r="1052" spans="1:6" ht="102.75" customHeight="1" x14ac:dyDescent="0.2">
      <c r="A1052" s="21">
        <f>+Dates!$D$11-82</f>
        <v>41865</v>
      </c>
      <c r="B1052" s="21">
        <f>+Dates!$D$11-82</f>
        <v>41865</v>
      </c>
      <c r="C1052" s="22" t="s">
        <v>993</v>
      </c>
      <c r="D1052" s="23" t="s">
        <v>435</v>
      </c>
      <c r="E1052" s="24" t="s">
        <v>80</v>
      </c>
      <c r="F1052" s="24" t="s">
        <v>299</v>
      </c>
    </row>
    <row r="1053" spans="1:6" ht="102.75" customHeight="1" x14ac:dyDescent="0.2">
      <c r="A1053" s="21">
        <f>+Dates!$D$11-82</f>
        <v>41865</v>
      </c>
      <c r="B1053" s="21">
        <f>+Dates!$D$11-82</f>
        <v>41865</v>
      </c>
      <c r="C1053" s="22" t="s">
        <v>994</v>
      </c>
      <c r="D1053" s="23" t="s">
        <v>435</v>
      </c>
      <c r="E1053" s="24" t="s">
        <v>291</v>
      </c>
      <c r="F1053" s="24" t="s">
        <v>299</v>
      </c>
    </row>
    <row r="1054" spans="1:6" ht="107.25" customHeight="1" x14ac:dyDescent="0.2">
      <c r="A1054" s="21">
        <f>+Dates!$D$11-82</f>
        <v>41865</v>
      </c>
      <c r="B1054" s="21">
        <f>+Dates!$D$11-82</f>
        <v>41865</v>
      </c>
      <c r="C1054" s="22" t="s">
        <v>995</v>
      </c>
      <c r="D1054" s="23" t="s">
        <v>435</v>
      </c>
      <c r="E1054" s="24" t="s">
        <v>297</v>
      </c>
      <c r="F1054" s="24" t="s">
        <v>299</v>
      </c>
    </row>
    <row r="1055" spans="1:6" ht="114" customHeight="1" x14ac:dyDescent="0.2">
      <c r="A1055" s="21">
        <f>+Dates!$D$11-82</f>
        <v>41865</v>
      </c>
      <c r="B1055" s="21">
        <f>+Dates!$D$11-82</f>
        <v>41865</v>
      </c>
      <c r="C1055" s="22" t="s">
        <v>996</v>
      </c>
      <c r="D1055" s="23" t="s">
        <v>435</v>
      </c>
      <c r="E1055" s="24" t="s">
        <v>160</v>
      </c>
      <c r="F1055" s="24" t="s">
        <v>299</v>
      </c>
    </row>
    <row r="1056" spans="1:6" ht="118.5" customHeight="1" x14ac:dyDescent="0.2">
      <c r="A1056" s="21">
        <f>+Dates!$D$11-82</f>
        <v>41865</v>
      </c>
      <c r="B1056" s="21">
        <f>+Dates!$D$11-82</f>
        <v>41865</v>
      </c>
      <c r="C1056" s="22" t="s">
        <v>997</v>
      </c>
      <c r="D1056" s="23" t="s">
        <v>435</v>
      </c>
      <c r="E1056" s="24" t="s">
        <v>295</v>
      </c>
      <c r="F1056" s="24" t="s">
        <v>299</v>
      </c>
    </row>
    <row r="1057" spans="1:6" ht="172.5" customHeight="1" x14ac:dyDescent="0.2">
      <c r="A1057" s="21">
        <f>+Dates!$D$10+2</f>
        <v>41865</v>
      </c>
      <c r="B1057" s="21">
        <f>+Dates!$D$10+3</f>
        <v>41866</v>
      </c>
      <c r="C1057" s="22" t="s">
        <v>955</v>
      </c>
      <c r="D1057" s="23" t="s">
        <v>139</v>
      </c>
      <c r="E1057" s="24" t="s">
        <v>61</v>
      </c>
      <c r="F1057" s="24" t="s">
        <v>290</v>
      </c>
    </row>
    <row r="1058" spans="1:6" ht="175.5" customHeight="1" x14ac:dyDescent="0.2">
      <c r="A1058" s="21">
        <f>+Dates!$D$10+2</f>
        <v>41865</v>
      </c>
      <c r="B1058" s="21">
        <f>+Dates!$D$10+3</f>
        <v>41866</v>
      </c>
      <c r="C1058" s="22" t="s">
        <v>969</v>
      </c>
      <c r="D1058" s="23" t="s">
        <v>139</v>
      </c>
      <c r="E1058" s="24" t="s">
        <v>135</v>
      </c>
      <c r="F1058" s="24" t="s">
        <v>290</v>
      </c>
    </row>
    <row r="1059" spans="1:6" ht="154.5" customHeight="1" x14ac:dyDescent="0.2">
      <c r="A1059" s="21">
        <f>+Dates!$D$10+2</f>
        <v>41865</v>
      </c>
      <c r="B1059" s="21">
        <f>+Dates!$D$10+3</f>
        <v>41866</v>
      </c>
      <c r="C1059" s="22" t="s">
        <v>956</v>
      </c>
      <c r="D1059" s="23" t="s">
        <v>139</v>
      </c>
      <c r="E1059" s="24" t="s">
        <v>391</v>
      </c>
      <c r="F1059" s="24" t="s">
        <v>290</v>
      </c>
    </row>
    <row r="1060" spans="1:6" ht="165" customHeight="1" x14ac:dyDescent="0.2">
      <c r="A1060" s="21">
        <f>+Dates!$D$10+2</f>
        <v>41865</v>
      </c>
      <c r="B1060" s="21">
        <f>+Dates!$D$10+3</f>
        <v>41866</v>
      </c>
      <c r="C1060" s="22" t="s">
        <v>957</v>
      </c>
      <c r="D1060" s="23" t="s">
        <v>139</v>
      </c>
      <c r="E1060" s="24" t="s">
        <v>80</v>
      </c>
      <c r="F1060" s="24" t="s">
        <v>290</v>
      </c>
    </row>
    <row r="1061" spans="1:6" ht="96.75" customHeight="1" x14ac:dyDescent="0.2">
      <c r="A1061" s="21">
        <f>+Dates!$D$10+2</f>
        <v>41865</v>
      </c>
      <c r="B1061" s="21">
        <f>+Dates!$D$10+3</f>
        <v>41866</v>
      </c>
      <c r="C1061" s="22" t="s">
        <v>950</v>
      </c>
      <c r="D1061" s="23" t="s">
        <v>22</v>
      </c>
      <c r="E1061" s="24" t="s">
        <v>61</v>
      </c>
      <c r="F1061" s="24" t="s">
        <v>290</v>
      </c>
    </row>
    <row r="1062" spans="1:6" ht="91.5" customHeight="1" x14ac:dyDescent="0.2">
      <c r="A1062" s="21">
        <f>+Dates!$D$10+2</f>
        <v>41865</v>
      </c>
      <c r="B1062" s="21">
        <f>+Dates!$D$10+3</f>
        <v>41866</v>
      </c>
      <c r="C1062" s="22" t="s">
        <v>951</v>
      </c>
      <c r="D1062" s="23" t="s">
        <v>22</v>
      </c>
      <c r="E1062" s="24" t="s">
        <v>391</v>
      </c>
      <c r="F1062" s="24" t="s">
        <v>290</v>
      </c>
    </row>
    <row r="1063" spans="1:6" ht="104.25" customHeight="1" x14ac:dyDescent="0.2">
      <c r="A1063" s="21">
        <f>+Dates!$D$10+2</f>
        <v>41865</v>
      </c>
      <c r="B1063" s="21">
        <f>+Dates!$D$10+3</f>
        <v>41866</v>
      </c>
      <c r="C1063" s="22" t="s">
        <v>949</v>
      </c>
      <c r="D1063" s="23" t="s">
        <v>22</v>
      </c>
      <c r="E1063" s="24" t="s">
        <v>292</v>
      </c>
      <c r="F1063" s="24" t="s">
        <v>290</v>
      </c>
    </row>
    <row r="1064" spans="1:6" ht="123.75" customHeight="1" x14ac:dyDescent="0.2">
      <c r="A1064" s="21">
        <f>+Dates!$D$10+2</f>
        <v>41865</v>
      </c>
      <c r="B1064" s="21">
        <f>+Dates!$D$10+3</f>
        <v>41866</v>
      </c>
      <c r="C1064" s="22" t="s">
        <v>962</v>
      </c>
      <c r="D1064" s="23" t="s">
        <v>235</v>
      </c>
      <c r="E1064" s="24" t="s">
        <v>61</v>
      </c>
      <c r="F1064" s="24" t="s">
        <v>56</v>
      </c>
    </row>
    <row r="1065" spans="1:6" ht="123.75" customHeight="1" x14ac:dyDescent="0.2">
      <c r="A1065" s="21">
        <f>+Dates!$D$10+2</f>
        <v>41865</v>
      </c>
      <c r="B1065" s="21">
        <f>+Dates!$D$10+3</f>
        <v>41866</v>
      </c>
      <c r="C1065" s="22" t="s">
        <v>963</v>
      </c>
      <c r="D1065" s="23" t="s">
        <v>235</v>
      </c>
      <c r="E1065" s="24" t="s">
        <v>391</v>
      </c>
      <c r="F1065" s="24" t="s">
        <v>56</v>
      </c>
    </row>
    <row r="1066" spans="1:6" ht="116.25" customHeight="1" x14ac:dyDescent="0.2">
      <c r="A1066" s="21">
        <f>+Dates!$D$10+2</f>
        <v>41865</v>
      </c>
      <c r="B1066" s="21">
        <f>+Dates!$D$10+3</f>
        <v>41866</v>
      </c>
      <c r="C1066" s="22" t="s">
        <v>201</v>
      </c>
      <c r="D1066" s="23" t="s">
        <v>235</v>
      </c>
      <c r="E1066" s="24" t="s">
        <v>292</v>
      </c>
      <c r="F1066" s="24" t="s">
        <v>56</v>
      </c>
    </row>
    <row r="1067" spans="1:6" ht="124.5" customHeight="1" x14ac:dyDescent="0.2">
      <c r="A1067" s="21">
        <f>+Dates!$D$10+2</f>
        <v>41865</v>
      </c>
      <c r="B1067" s="21">
        <f>+Dates!$D$10+3</f>
        <v>41866</v>
      </c>
      <c r="C1067" s="22" t="s">
        <v>964</v>
      </c>
      <c r="D1067" s="23" t="s">
        <v>235</v>
      </c>
      <c r="E1067" s="24" t="s">
        <v>289</v>
      </c>
      <c r="F1067" s="24" t="s">
        <v>56</v>
      </c>
    </row>
    <row r="1068" spans="1:6" ht="126.75" customHeight="1" x14ac:dyDescent="0.2">
      <c r="A1068" s="21">
        <f>+Dates!$D$10+2</f>
        <v>41865</v>
      </c>
      <c r="B1068" s="21">
        <f>+Dates!$D$10+3</f>
        <v>41866</v>
      </c>
      <c r="C1068" s="22" t="s">
        <v>965</v>
      </c>
      <c r="D1068" s="23" t="s">
        <v>235</v>
      </c>
      <c r="E1068" s="24" t="s">
        <v>291</v>
      </c>
      <c r="F1068" s="24" t="s">
        <v>56</v>
      </c>
    </row>
    <row r="1069" spans="1:6" ht="129.75" customHeight="1" x14ac:dyDescent="0.2">
      <c r="A1069" s="21">
        <f>+Dates!$D$10+2</f>
        <v>41865</v>
      </c>
      <c r="B1069" s="21">
        <f>+Dates!$D$10+3</f>
        <v>41866</v>
      </c>
      <c r="C1069" s="22" t="s">
        <v>966</v>
      </c>
      <c r="D1069" s="23" t="s">
        <v>235</v>
      </c>
      <c r="E1069" s="24" t="s">
        <v>301</v>
      </c>
      <c r="F1069" s="24" t="s">
        <v>56</v>
      </c>
    </row>
    <row r="1070" spans="1:6" ht="126.75" customHeight="1" x14ac:dyDescent="0.2">
      <c r="A1070" s="21">
        <f>+Dates!$D$10+2</f>
        <v>41865</v>
      </c>
      <c r="B1070" s="21">
        <f>+Dates!$D$10+3</f>
        <v>41866</v>
      </c>
      <c r="C1070" s="22" t="s">
        <v>967</v>
      </c>
      <c r="D1070" s="23" t="s">
        <v>235</v>
      </c>
      <c r="E1070" s="24" t="s">
        <v>297</v>
      </c>
      <c r="F1070" s="24" t="s">
        <v>56</v>
      </c>
    </row>
    <row r="1071" spans="1:6" ht="198" customHeight="1" x14ac:dyDescent="0.2">
      <c r="A1071" s="21">
        <f>+Dates!$D$10+3</f>
        <v>41866</v>
      </c>
      <c r="B1071" s="21">
        <f>+Dates!$D$10+3</f>
        <v>41866</v>
      </c>
      <c r="C1071" s="22" t="s">
        <v>952</v>
      </c>
      <c r="D1071" s="23" t="s">
        <v>359</v>
      </c>
      <c r="E1071" s="24" t="s">
        <v>61</v>
      </c>
      <c r="F1071" s="24" t="s">
        <v>290</v>
      </c>
    </row>
    <row r="1072" spans="1:6" ht="196.5" customHeight="1" x14ac:dyDescent="0.2">
      <c r="A1072" s="21">
        <f>+Dates!$D$10+3</f>
        <v>41866</v>
      </c>
      <c r="B1072" s="21">
        <f>+Dates!$D$10+3</f>
        <v>41866</v>
      </c>
      <c r="C1072" s="22" t="s">
        <v>968</v>
      </c>
      <c r="D1072" s="23" t="s">
        <v>359</v>
      </c>
      <c r="E1072" s="24" t="s">
        <v>135</v>
      </c>
      <c r="F1072" s="24" t="s">
        <v>290</v>
      </c>
    </row>
    <row r="1073" spans="1:6" ht="196.5" customHeight="1" x14ac:dyDescent="0.2">
      <c r="A1073" s="21">
        <f>+Dates!$D$10+3</f>
        <v>41866</v>
      </c>
      <c r="B1073" s="21">
        <f>+Dates!$D$10+3</f>
        <v>41866</v>
      </c>
      <c r="C1073" s="22" t="s">
        <v>953</v>
      </c>
      <c r="D1073" s="23" t="s">
        <v>359</v>
      </c>
      <c r="E1073" s="24" t="s">
        <v>391</v>
      </c>
      <c r="F1073" s="24" t="s">
        <v>290</v>
      </c>
    </row>
    <row r="1074" spans="1:6" ht="190.5" customHeight="1" x14ac:dyDescent="0.2">
      <c r="A1074" s="21">
        <f>+Dates!$D$10+3</f>
        <v>41866</v>
      </c>
      <c r="B1074" s="21">
        <f>+Dates!$D$10+3</f>
        <v>41866</v>
      </c>
      <c r="C1074" s="22" t="s">
        <v>954</v>
      </c>
      <c r="D1074" s="23" t="s">
        <v>359</v>
      </c>
      <c r="E1074" s="24" t="s">
        <v>80</v>
      </c>
      <c r="F1074" s="24" t="s">
        <v>290</v>
      </c>
    </row>
    <row r="1075" spans="1:6" ht="166.5" customHeight="1" x14ac:dyDescent="0.2">
      <c r="A1075" s="21">
        <f>+Dates!$D$10+3</f>
        <v>41866</v>
      </c>
      <c r="B1075" s="21">
        <f>+Dates!$D$10+3</f>
        <v>41866</v>
      </c>
      <c r="C1075" s="22" t="s">
        <v>948</v>
      </c>
      <c r="D1075" s="23" t="s">
        <v>359</v>
      </c>
      <c r="E1075" s="24" t="s">
        <v>289</v>
      </c>
      <c r="F1075" s="24" t="s">
        <v>290</v>
      </c>
    </row>
    <row r="1076" spans="1:6" ht="209.25" customHeight="1" x14ac:dyDescent="0.2">
      <c r="A1076" s="21">
        <f>+Dates!$D$10+3</f>
        <v>41866</v>
      </c>
      <c r="B1076" s="21">
        <f>+Dates!$D$10+3</f>
        <v>41866</v>
      </c>
      <c r="C1076" s="22" t="s">
        <v>958</v>
      </c>
      <c r="D1076" s="23" t="s">
        <v>359</v>
      </c>
      <c r="E1076" s="24" t="s">
        <v>61</v>
      </c>
      <c r="F1076" s="24" t="s">
        <v>290</v>
      </c>
    </row>
    <row r="1077" spans="1:6" ht="192.75" customHeight="1" x14ac:dyDescent="0.2">
      <c r="A1077" s="21">
        <f>+Dates!$D$10+3</f>
        <v>41866</v>
      </c>
      <c r="B1077" s="21">
        <f>+Dates!$D$10+3</f>
        <v>41866</v>
      </c>
      <c r="C1077" s="22" t="s">
        <v>961</v>
      </c>
      <c r="D1077" s="23" t="s">
        <v>359</v>
      </c>
      <c r="E1077" s="24" t="s">
        <v>391</v>
      </c>
      <c r="F1077" s="24" t="s">
        <v>290</v>
      </c>
    </row>
    <row r="1078" spans="1:6" ht="194.25" customHeight="1" x14ac:dyDescent="0.2">
      <c r="A1078" s="21">
        <f>+Dates!$D$10+3</f>
        <v>41866</v>
      </c>
      <c r="B1078" s="21">
        <f>+Dates!$D$10+3</f>
        <v>41866</v>
      </c>
      <c r="C1078" s="22" t="s">
        <v>960</v>
      </c>
      <c r="D1078" s="23" t="s">
        <v>359</v>
      </c>
      <c r="E1078" s="24" t="s">
        <v>80</v>
      </c>
      <c r="F1078" s="24" t="s">
        <v>290</v>
      </c>
    </row>
    <row r="1079" spans="1:6" ht="207" customHeight="1" x14ac:dyDescent="0.2">
      <c r="A1079" s="21">
        <f>+Dates!$D$10+3</f>
        <v>41866</v>
      </c>
      <c r="B1079" s="21">
        <f>+Dates!$D$10+3</f>
        <v>41866</v>
      </c>
      <c r="C1079" s="22" t="s">
        <v>959</v>
      </c>
      <c r="D1079" s="23" t="s">
        <v>359</v>
      </c>
      <c r="E1079" s="24" t="s">
        <v>333</v>
      </c>
      <c r="F1079" s="24" t="s">
        <v>290</v>
      </c>
    </row>
    <row r="1080" spans="1:6" ht="66" customHeight="1" x14ac:dyDescent="0.2">
      <c r="A1080" s="21">
        <f>+Dates!$D$11-81</f>
        <v>41866</v>
      </c>
      <c r="B1080" s="21">
        <f>+Dates!$D$11-81</f>
        <v>41866</v>
      </c>
      <c r="C1080" s="22" t="s">
        <v>998</v>
      </c>
      <c r="D1080" s="23" t="s">
        <v>215</v>
      </c>
      <c r="E1080" s="24" t="s">
        <v>61</v>
      </c>
      <c r="F1080" s="24" t="s">
        <v>118</v>
      </c>
    </row>
    <row r="1081" spans="1:6" ht="63.75" customHeight="1" x14ac:dyDescent="0.2">
      <c r="A1081" s="21">
        <f>+Dates!$D$11-81</f>
        <v>41866</v>
      </c>
      <c r="B1081" s="21">
        <f>+Dates!$D$11-81</f>
        <v>41866</v>
      </c>
      <c r="C1081" s="22" t="s">
        <v>999</v>
      </c>
      <c r="D1081" s="23" t="s">
        <v>215</v>
      </c>
      <c r="E1081" s="24" t="s">
        <v>80</v>
      </c>
      <c r="F1081" s="24" t="s">
        <v>118</v>
      </c>
    </row>
    <row r="1082" spans="1:6" ht="97.5" customHeight="1" x14ac:dyDescent="0.2">
      <c r="A1082" s="21">
        <f>+Dates!$D$10+3</f>
        <v>41866</v>
      </c>
      <c r="B1082" s="25">
        <f>+Dates!$D$10+8</f>
        <v>41871</v>
      </c>
      <c r="C1082" s="22" t="s">
        <v>973</v>
      </c>
      <c r="D1082" s="23" t="s">
        <v>223</v>
      </c>
      <c r="E1082" s="24" t="s">
        <v>61</v>
      </c>
      <c r="F1082" s="24" t="s">
        <v>290</v>
      </c>
    </row>
    <row r="1083" spans="1:6" ht="99" customHeight="1" x14ac:dyDescent="0.2">
      <c r="A1083" s="21">
        <f>+Dates!$D$10+3</f>
        <v>41866</v>
      </c>
      <c r="B1083" s="25">
        <f>+Dates!$D$10+8</f>
        <v>41871</v>
      </c>
      <c r="C1083" s="22" t="s">
        <v>974</v>
      </c>
      <c r="D1083" s="23" t="s">
        <v>223</v>
      </c>
      <c r="E1083" s="24" t="s">
        <v>135</v>
      </c>
      <c r="F1083" s="24" t="s">
        <v>290</v>
      </c>
    </row>
    <row r="1084" spans="1:6" ht="94.5" customHeight="1" x14ac:dyDescent="0.2">
      <c r="A1084" s="21">
        <f>+Dates!$D$10+3</f>
        <v>41866</v>
      </c>
      <c r="B1084" s="25">
        <f>+Dates!$D$10+8</f>
        <v>41871</v>
      </c>
      <c r="C1084" s="22" t="s">
        <v>975</v>
      </c>
      <c r="D1084" s="23" t="s">
        <v>223</v>
      </c>
      <c r="E1084" s="24" t="s">
        <v>391</v>
      </c>
      <c r="F1084" s="24" t="s">
        <v>290</v>
      </c>
    </row>
    <row r="1085" spans="1:6" ht="99" customHeight="1" x14ac:dyDescent="0.2">
      <c r="A1085" s="21">
        <f>+Dates!$D$10+3</f>
        <v>41866</v>
      </c>
      <c r="B1085" s="25">
        <f>+Dates!$D$10+8</f>
        <v>41871</v>
      </c>
      <c r="C1085" s="22" t="s">
        <v>976</v>
      </c>
      <c r="D1085" s="23" t="s">
        <v>223</v>
      </c>
      <c r="E1085" s="24" t="s">
        <v>80</v>
      </c>
      <c r="F1085" s="24" t="s">
        <v>290</v>
      </c>
    </row>
    <row r="1086" spans="1:6" ht="98.25" customHeight="1" x14ac:dyDescent="0.2">
      <c r="A1086" s="21">
        <f>+Dates!$D$10+3</f>
        <v>41866</v>
      </c>
      <c r="B1086" s="25">
        <f>+Dates!$D$10+8</f>
        <v>41871</v>
      </c>
      <c r="C1086" s="22" t="s">
        <v>977</v>
      </c>
      <c r="D1086" s="23" t="s">
        <v>223</v>
      </c>
      <c r="E1086" s="24" t="s">
        <v>289</v>
      </c>
      <c r="F1086" s="24" t="s">
        <v>290</v>
      </c>
    </row>
    <row r="1087" spans="1:6" ht="106.5" customHeight="1" x14ac:dyDescent="0.2">
      <c r="A1087" s="21">
        <f>+Dates!$D$10+3</f>
        <v>41866</v>
      </c>
      <c r="B1087" s="25">
        <f>+Dates!$D$10+8</f>
        <v>41871</v>
      </c>
      <c r="C1087" s="22" t="s">
        <v>978</v>
      </c>
      <c r="D1087" s="23" t="s">
        <v>223</v>
      </c>
      <c r="E1087" s="24" t="s">
        <v>289</v>
      </c>
      <c r="F1087" s="24" t="s">
        <v>290</v>
      </c>
    </row>
    <row r="1088" spans="1:6" ht="165" customHeight="1" x14ac:dyDescent="0.2">
      <c r="A1088" s="21">
        <f>+Dates!$D$10+7</f>
        <v>41870</v>
      </c>
      <c r="B1088" s="21">
        <f>+Dates!$D$10+7</f>
        <v>41870</v>
      </c>
      <c r="C1088" s="22" t="s">
        <v>979</v>
      </c>
      <c r="D1088" s="23" t="s">
        <v>260</v>
      </c>
      <c r="E1088" s="24" t="s">
        <v>61</v>
      </c>
      <c r="F1088" s="24" t="s">
        <v>290</v>
      </c>
    </row>
    <row r="1089" spans="1:6" ht="168.75" customHeight="1" x14ac:dyDescent="0.2">
      <c r="A1089" s="21">
        <f>+Dates!$D$10+7</f>
        <v>41870</v>
      </c>
      <c r="B1089" s="21">
        <f>+Dates!$D$10+7</f>
        <v>41870</v>
      </c>
      <c r="C1089" s="22" t="s">
        <v>980</v>
      </c>
      <c r="D1089" s="23" t="s">
        <v>260</v>
      </c>
      <c r="E1089" s="24" t="s">
        <v>135</v>
      </c>
      <c r="F1089" s="24" t="s">
        <v>290</v>
      </c>
    </row>
    <row r="1090" spans="1:6" ht="157.5" customHeight="1" x14ac:dyDescent="0.2">
      <c r="A1090" s="21">
        <f>+Dates!$D$10+7</f>
        <v>41870</v>
      </c>
      <c r="B1090" s="21">
        <f>+Dates!$D$10+7</f>
        <v>41870</v>
      </c>
      <c r="C1090" s="22" t="s">
        <v>981</v>
      </c>
      <c r="D1090" s="23" t="s">
        <v>260</v>
      </c>
      <c r="E1090" s="24" t="s">
        <v>391</v>
      </c>
      <c r="F1090" s="24" t="s">
        <v>290</v>
      </c>
    </row>
    <row r="1091" spans="1:6" ht="160.5" customHeight="1" x14ac:dyDescent="0.2">
      <c r="A1091" s="21">
        <f>+Dates!$D$10+7</f>
        <v>41870</v>
      </c>
      <c r="B1091" s="21">
        <f>+Dates!$D$10+7</f>
        <v>41870</v>
      </c>
      <c r="C1091" s="22" t="s">
        <v>982</v>
      </c>
      <c r="D1091" s="23" t="s">
        <v>260</v>
      </c>
      <c r="E1091" s="24" t="s">
        <v>80</v>
      </c>
      <c r="F1091" s="24" t="s">
        <v>290</v>
      </c>
    </row>
    <row r="1092" spans="1:6" ht="94.5" customHeight="1" x14ac:dyDescent="0.2">
      <c r="A1092" s="21">
        <f>+Dates!$D$11-77</f>
        <v>41870</v>
      </c>
      <c r="B1092" s="21">
        <f>+Dates!$D$11-77</f>
        <v>41870</v>
      </c>
      <c r="C1092" s="22" t="s">
        <v>900</v>
      </c>
      <c r="D1092" s="23" t="s">
        <v>899</v>
      </c>
      <c r="E1092" s="24" t="s">
        <v>61</v>
      </c>
      <c r="F1092" s="24" t="s">
        <v>111</v>
      </c>
    </row>
    <row r="1093" spans="1:6" ht="94.5" customHeight="1" x14ac:dyDescent="0.2">
      <c r="A1093" s="21">
        <f>+Dates!$D$11-77</f>
        <v>41870</v>
      </c>
      <c r="B1093" s="21">
        <f>+Dates!$D$11-77</f>
        <v>41870</v>
      </c>
      <c r="C1093" s="22" t="s">
        <v>901</v>
      </c>
      <c r="D1093" s="23" t="s">
        <v>899</v>
      </c>
      <c r="E1093" s="24" t="s">
        <v>391</v>
      </c>
      <c r="F1093" s="24" t="s">
        <v>111</v>
      </c>
    </row>
    <row r="1094" spans="1:6" ht="90.75" customHeight="1" x14ac:dyDescent="0.2">
      <c r="A1094" s="21">
        <f>+Dates!$D$11-77</f>
        <v>41870</v>
      </c>
      <c r="B1094" s="21">
        <f>+Dates!$D$11-77</f>
        <v>41870</v>
      </c>
      <c r="C1094" s="22" t="s">
        <v>902</v>
      </c>
      <c r="D1094" s="23" t="s">
        <v>899</v>
      </c>
      <c r="E1094" s="24" t="s">
        <v>80</v>
      </c>
      <c r="F1094" s="24" t="s">
        <v>111</v>
      </c>
    </row>
    <row r="1095" spans="1:6" ht="160.5" customHeight="1" x14ac:dyDescent="0.2">
      <c r="A1095" s="21">
        <f>+Dates!$D$10+7</f>
        <v>41870</v>
      </c>
      <c r="B1095" s="21">
        <f>+Dates!$D$10+9</f>
        <v>41872</v>
      </c>
      <c r="C1095" s="22" t="s">
        <v>1005</v>
      </c>
      <c r="D1095" s="23" t="s">
        <v>1004</v>
      </c>
      <c r="E1095" s="24" t="s">
        <v>61</v>
      </c>
      <c r="F1095" s="24" t="s">
        <v>290</v>
      </c>
    </row>
    <row r="1096" spans="1:6" ht="155.25" customHeight="1" x14ac:dyDescent="0.2">
      <c r="A1096" s="21">
        <f>+Dates!$D$10+7</f>
        <v>41870</v>
      </c>
      <c r="B1096" s="21">
        <f>+Dates!$D$10+9</f>
        <v>41872</v>
      </c>
      <c r="C1096" s="22" t="s">
        <v>1007</v>
      </c>
      <c r="D1096" s="23" t="s">
        <v>1004</v>
      </c>
      <c r="E1096" s="24" t="s">
        <v>135</v>
      </c>
      <c r="F1096" s="24" t="s">
        <v>290</v>
      </c>
    </row>
    <row r="1097" spans="1:6" ht="161.25" customHeight="1" x14ac:dyDescent="0.2">
      <c r="A1097" s="21">
        <f>+Dates!$D$10+7</f>
        <v>41870</v>
      </c>
      <c r="B1097" s="21">
        <f>+Dates!$D$10+9</f>
        <v>41872</v>
      </c>
      <c r="C1097" s="22" t="s">
        <v>1008</v>
      </c>
      <c r="D1097" s="23" t="s">
        <v>1004</v>
      </c>
      <c r="E1097" s="24" t="s">
        <v>391</v>
      </c>
      <c r="F1097" s="24" t="s">
        <v>290</v>
      </c>
    </row>
    <row r="1098" spans="1:6" ht="153.75" customHeight="1" x14ac:dyDescent="0.2">
      <c r="A1098" s="21">
        <f>+Dates!$D$10+7</f>
        <v>41870</v>
      </c>
      <c r="B1098" s="21">
        <f>+Dates!$D$10+9</f>
        <v>41872</v>
      </c>
      <c r="C1098" s="22" t="s">
        <v>1006</v>
      </c>
      <c r="D1098" s="23" t="s">
        <v>1004</v>
      </c>
      <c r="E1098" s="24" t="s">
        <v>80</v>
      </c>
      <c r="F1098" s="24" t="s">
        <v>290</v>
      </c>
    </row>
    <row r="1099" spans="1:6" ht="213" customHeight="1" x14ac:dyDescent="0.2">
      <c r="A1099" s="21">
        <f>+Dates!$D$11-74</f>
        <v>41873</v>
      </c>
      <c r="B1099" s="21">
        <f>+Dates!$D$11-74</f>
        <v>41873</v>
      </c>
      <c r="C1099" s="22" t="s">
        <v>1637</v>
      </c>
      <c r="D1099" s="23" t="s">
        <v>53</v>
      </c>
      <c r="E1099" s="24" t="s">
        <v>292</v>
      </c>
      <c r="F1099" s="24" t="s">
        <v>103</v>
      </c>
    </row>
    <row r="1100" spans="1:6" ht="204.75" customHeight="1" x14ac:dyDescent="0.2">
      <c r="A1100" s="21">
        <f>+Dates!$D$11-74</f>
        <v>41873</v>
      </c>
      <c r="B1100" s="21">
        <f>+Dates!$D$11-74</f>
        <v>41873</v>
      </c>
      <c r="C1100" s="22" t="s">
        <v>1638</v>
      </c>
      <c r="D1100" s="23" t="s">
        <v>53</v>
      </c>
      <c r="E1100" s="24" t="s">
        <v>135</v>
      </c>
      <c r="F1100" s="24" t="s">
        <v>103</v>
      </c>
    </row>
    <row r="1101" spans="1:6" ht="205.5" customHeight="1" x14ac:dyDescent="0.2">
      <c r="A1101" s="21">
        <f>+Dates!$D$11-74</f>
        <v>41873</v>
      </c>
      <c r="B1101" s="21">
        <f>+Dates!$D$11-74</f>
        <v>41873</v>
      </c>
      <c r="C1101" s="22" t="s">
        <v>1639</v>
      </c>
      <c r="D1101" s="23" t="s">
        <v>53</v>
      </c>
      <c r="E1101" s="24" t="s">
        <v>391</v>
      </c>
      <c r="F1101" s="24" t="s">
        <v>103</v>
      </c>
    </row>
    <row r="1102" spans="1:6" ht="207.75" customHeight="1" x14ac:dyDescent="0.2">
      <c r="A1102" s="21">
        <f>+Dates!$D$11-74</f>
        <v>41873</v>
      </c>
      <c r="B1102" s="21">
        <f>+Dates!$D$11-74</f>
        <v>41873</v>
      </c>
      <c r="C1102" s="22" t="s">
        <v>1640</v>
      </c>
      <c r="D1102" s="23" t="s">
        <v>53</v>
      </c>
      <c r="E1102" s="24" t="s">
        <v>289</v>
      </c>
      <c r="F1102" s="24" t="s">
        <v>103</v>
      </c>
    </row>
    <row r="1103" spans="1:6" ht="210.75" customHeight="1" x14ac:dyDescent="0.2">
      <c r="A1103" s="21">
        <f>+Dates!$D$11-74</f>
        <v>41873</v>
      </c>
      <c r="B1103" s="21">
        <f>+Dates!$D$11-74</f>
        <v>41873</v>
      </c>
      <c r="C1103" s="22" t="s">
        <v>1641</v>
      </c>
      <c r="D1103" s="23" t="s">
        <v>53</v>
      </c>
      <c r="E1103" s="24" t="s">
        <v>291</v>
      </c>
      <c r="F1103" s="24" t="s">
        <v>103</v>
      </c>
    </row>
    <row r="1104" spans="1:6" ht="202.5" customHeight="1" x14ac:dyDescent="0.2">
      <c r="A1104" s="21">
        <f>+Dates!$D$11-74</f>
        <v>41873</v>
      </c>
      <c r="B1104" s="21">
        <f>+Dates!$D$11-74</f>
        <v>41873</v>
      </c>
      <c r="C1104" s="22" t="s">
        <v>1642</v>
      </c>
      <c r="D1104" s="23" t="s">
        <v>53</v>
      </c>
      <c r="E1104" s="24" t="s">
        <v>297</v>
      </c>
      <c r="F1104" s="24" t="s">
        <v>103</v>
      </c>
    </row>
    <row r="1105" spans="1:6" ht="204.75" customHeight="1" x14ac:dyDescent="0.2">
      <c r="A1105" s="21">
        <f>+Dates!$D$11-74</f>
        <v>41873</v>
      </c>
      <c r="B1105" s="21">
        <f>+Dates!$D$11-74</f>
        <v>41873</v>
      </c>
      <c r="C1105" s="22" t="s">
        <v>1643</v>
      </c>
      <c r="D1105" s="23" t="s">
        <v>53</v>
      </c>
      <c r="E1105" s="24" t="s">
        <v>333</v>
      </c>
      <c r="F1105" s="24" t="s">
        <v>103</v>
      </c>
    </row>
    <row r="1106" spans="1:6" ht="207.75" customHeight="1" x14ac:dyDescent="0.2">
      <c r="A1106" s="21">
        <f>+Dates!$D$11-74</f>
        <v>41873</v>
      </c>
      <c r="B1106" s="21">
        <f>+Dates!$D$11-74</f>
        <v>41873</v>
      </c>
      <c r="C1106" s="22" t="s">
        <v>1644</v>
      </c>
      <c r="D1106" s="23" t="s">
        <v>53</v>
      </c>
      <c r="E1106" s="24" t="s">
        <v>160</v>
      </c>
      <c r="F1106" s="24" t="s">
        <v>103</v>
      </c>
    </row>
    <row r="1107" spans="1:6" ht="202.5" customHeight="1" x14ac:dyDescent="0.2">
      <c r="A1107" s="21">
        <f>+Dates!$D$11-74</f>
        <v>41873</v>
      </c>
      <c r="B1107" s="21">
        <f>+Dates!$D$11-74</f>
        <v>41873</v>
      </c>
      <c r="C1107" s="22" t="s">
        <v>1645</v>
      </c>
      <c r="D1107" s="23" t="s">
        <v>53</v>
      </c>
      <c r="E1107" s="24" t="s">
        <v>295</v>
      </c>
      <c r="F1107" s="24" t="s">
        <v>103</v>
      </c>
    </row>
    <row r="1108" spans="1:6" ht="85.5" customHeight="1" x14ac:dyDescent="0.2">
      <c r="A1108" s="21">
        <f>+Dates!$D$11-74</f>
        <v>41873</v>
      </c>
      <c r="B1108" s="21">
        <f>+Dates!$D$11-74</f>
        <v>41873</v>
      </c>
      <c r="C1108" s="22" t="s">
        <v>1000</v>
      </c>
      <c r="D1108" s="23" t="s">
        <v>215</v>
      </c>
      <c r="E1108" s="24" t="s">
        <v>61</v>
      </c>
      <c r="F1108" s="24" t="s">
        <v>118</v>
      </c>
    </row>
    <row r="1109" spans="1:6" ht="71.25" customHeight="1" x14ac:dyDescent="0.2">
      <c r="A1109" s="21">
        <f>+Dates!$D$11-74</f>
        <v>41873</v>
      </c>
      <c r="B1109" s="21">
        <f>+Dates!$D$11-74</f>
        <v>41873</v>
      </c>
      <c r="C1109" s="22" t="s">
        <v>1001</v>
      </c>
      <c r="D1109" s="23" t="s">
        <v>215</v>
      </c>
      <c r="E1109" s="24" t="s">
        <v>80</v>
      </c>
      <c r="F1109" s="24" t="s">
        <v>118</v>
      </c>
    </row>
    <row r="1110" spans="1:6" ht="81" customHeight="1" x14ac:dyDescent="0.2">
      <c r="A1110" s="21">
        <f>+Dates!$D$10+10</f>
        <v>41873</v>
      </c>
      <c r="B1110" s="21">
        <f>+Dates!$D$10+10</f>
        <v>41873</v>
      </c>
      <c r="C1110" s="22" t="s">
        <v>1003</v>
      </c>
      <c r="D1110" s="23" t="s">
        <v>259</v>
      </c>
      <c r="E1110" s="24" t="s">
        <v>61</v>
      </c>
      <c r="F1110" s="24" t="s">
        <v>195</v>
      </c>
    </row>
    <row r="1111" spans="1:6" ht="78" customHeight="1" x14ac:dyDescent="0.2">
      <c r="A1111" s="21">
        <f>+Dates!$D$10+10</f>
        <v>41873</v>
      </c>
      <c r="B1111" s="21">
        <f>+Dates!$D$10+10</f>
        <v>41873</v>
      </c>
      <c r="C1111" s="22" t="s">
        <v>1002</v>
      </c>
      <c r="D1111" s="23" t="s">
        <v>259</v>
      </c>
      <c r="E1111" s="24" t="s">
        <v>292</v>
      </c>
      <c r="F1111" s="24" t="s">
        <v>195</v>
      </c>
    </row>
    <row r="1112" spans="1:6" ht="114.75" customHeight="1" x14ac:dyDescent="0.2">
      <c r="A1112" s="21">
        <f>+Dates!$D$11-74</f>
        <v>41873</v>
      </c>
      <c r="B1112" s="21">
        <f>+Dates!$D$11-74</f>
        <v>41873</v>
      </c>
      <c r="C1112" s="22" t="s">
        <v>1017</v>
      </c>
      <c r="D1112" s="23" t="s">
        <v>54</v>
      </c>
      <c r="E1112" s="24" t="s">
        <v>61</v>
      </c>
      <c r="F1112" s="24" t="s">
        <v>111</v>
      </c>
    </row>
    <row r="1113" spans="1:6" ht="101.25" customHeight="1" x14ac:dyDescent="0.2">
      <c r="A1113" s="21">
        <f>+Dates!$D$11-74</f>
        <v>41873</v>
      </c>
      <c r="B1113" s="21">
        <f>+Dates!$D$11-74</f>
        <v>41873</v>
      </c>
      <c r="C1113" s="22" t="s">
        <v>1016</v>
      </c>
      <c r="D1113" s="23" t="s">
        <v>54</v>
      </c>
      <c r="E1113" s="24" t="s">
        <v>80</v>
      </c>
      <c r="F1113" s="24" t="s">
        <v>111</v>
      </c>
    </row>
    <row r="1114" spans="1:6" ht="122.25" customHeight="1" x14ac:dyDescent="0.2">
      <c r="A1114" s="21">
        <f>+Dates!$D$11-74</f>
        <v>41873</v>
      </c>
      <c r="B1114" s="21">
        <f>+Dates!$D$11-74</f>
        <v>41873</v>
      </c>
      <c r="C1114" s="22" t="s">
        <v>1018</v>
      </c>
      <c r="D1114" s="23" t="s">
        <v>54</v>
      </c>
      <c r="E1114" s="24" t="s">
        <v>333</v>
      </c>
      <c r="F1114" s="24" t="s">
        <v>111</v>
      </c>
    </row>
    <row r="1115" spans="1:6" ht="121.5" customHeight="1" x14ac:dyDescent="0.2">
      <c r="A1115" s="21">
        <f>+Dates!$D$11-74</f>
        <v>41873</v>
      </c>
      <c r="B1115" s="21">
        <f>+Dates!$D$11-74</f>
        <v>41873</v>
      </c>
      <c r="C1115" s="22" t="s">
        <v>1019</v>
      </c>
      <c r="D1115" s="23" t="s">
        <v>54</v>
      </c>
      <c r="E1115" s="24" t="s">
        <v>160</v>
      </c>
      <c r="F1115" s="24" t="s">
        <v>111</v>
      </c>
    </row>
    <row r="1116" spans="1:6" ht="83.25" customHeight="1" x14ac:dyDescent="0.2">
      <c r="A1116" s="21">
        <f>+Dates!$D$11-70</f>
        <v>41877</v>
      </c>
      <c r="B1116" s="21">
        <f>+Dates!$D$11-70</f>
        <v>41877</v>
      </c>
      <c r="C1116" s="22" t="s">
        <v>1943</v>
      </c>
      <c r="D1116" s="23" t="s">
        <v>5</v>
      </c>
      <c r="E1116" s="24" t="s">
        <v>61</v>
      </c>
      <c r="F1116" s="24" t="s">
        <v>107</v>
      </c>
    </row>
    <row r="1117" spans="1:6" ht="85.5" customHeight="1" x14ac:dyDescent="0.2">
      <c r="A1117" s="21">
        <f>+Dates!$D$11-70</f>
        <v>41877</v>
      </c>
      <c r="B1117" s="21">
        <f>+Dates!$D$11-70</f>
        <v>41877</v>
      </c>
      <c r="C1117" s="22" t="s">
        <v>1944</v>
      </c>
      <c r="D1117" s="23" t="s">
        <v>5</v>
      </c>
      <c r="E1117" s="24" t="s">
        <v>80</v>
      </c>
      <c r="F1117" s="24" t="s">
        <v>107</v>
      </c>
    </row>
    <row r="1118" spans="1:6" ht="83.25" customHeight="1" x14ac:dyDescent="0.2">
      <c r="A1118" s="21">
        <f>+Dates!$D$11-70</f>
        <v>41877</v>
      </c>
      <c r="B1118" s="21">
        <f>+Dates!$D$11-70</f>
        <v>41877</v>
      </c>
      <c r="C1118" s="22" t="s">
        <v>1945</v>
      </c>
      <c r="D1118" s="23" t="s">
        <v>5</v>
      </c>
      <c r="E1118" s="24" t="s">
        <v>289</v>
      </c>
      <c r="F1118" s="24" t="s">
        <v>107</v>
      </c>
    </row>
    <row r="1119" spans="1:6" ht="91.5" customHeight="1" x14ac:dyDescent="0.2">
      <c r="A1119" s="21">
        <f>+Dates!$D$11-70</f>
        <v>41877</v>
      </c>
      <c r="B1119" s="21">
        <f>+Dates!$D$11-70</f>
        <v>41877</v>
      </c>
      <c r="C1119" s="22" t="s">
        <v>1946</v>
      </c>
      <c r="D1119" s="23" t="s">
        <v>5</v>
      </c>
      <c r="E1119" s="24" t="s">
        <v>291</v>
      </c>
      <c r="F1119" s="24" t="s">
        <v>107</v>
      </c>
    </row>
    <row r="1120" spans="1:6" ht="90.75" customHeight="1" x14ac:dyDescent="0.2">
      <c r="A1120" s="21">
        <f>+Dates!$D$11-70</f>
        <v>41877</v>
      </c>
      <c r="B1120" s="21">
        <f>+Dates!$D$11-70</f>
        <v>41877</v>
      </c>
      <c r="C1120" s="22" t="s">
        <v>1947</v>
      </c>
      <c r="D1120" s="23" t="s">
        <v>5</v>
      </c>
      <c r="E1120" s="24" t="s">
        <v>301</v>
      </c>
      <c r="F1120" s="24" t="s">
        <v>107</v>
      </c>
    </row>
    <row r="1121" spans="1:6" ht="90.75" customHeight="1" x14ac:dyDescent="0.2">
      <c r="A1121" s="21">
        <f>+Dates!$D$11-70</f>
        <v>41877</v>
      </c>
      <c r="B1121" s="21">
        <f>+Dates!$D$11-70</f>
        <v>41877</v>
      </c>
      <c r="C1121" s="22" t="s">
        <v>1948</v>
      </c>
      <c r="D1121" s="23" t="s">
        <v>5</v>
      </c>
      <c r="E1121" s="24" t="s">
        <v>297</v>
      </c>
      <c r="F1121" s="24" t="s">
        <v>107</v>
      </c>
    </row>
    <row r="1122" spans="1:6" ht="66" customHeight="1" x14ac:dyDescent="0.2">
      <c r="A1122" s="21">
        <f>+Dates!$D$18</f>
        <v>41883</v>
      </c>
      <c r="B1122" s="21">
        <f>+Dates!$D$18</f>
        <v>41883</v>
      </c>
      <c r="C1122" s="22" t="s">
        <v>1009</v>
      </c>
      <c r="D1122" s="23" t="s">
        <v>293</v>
      </c>
      <c r="E1122" s="24" t="s">
        <v>294</v>
      </c>
      <c r="F1122" s="24" t="s">
        <v>294</v>
      </c>
    </row>
    <row r="1123" spans="1:6" ht="138.75" customHeight="1" x14ac:dyDescent="0.2">
      <c r="A1123" s="21">
        <f>+Dates!$D$11-61</f>
        <v>41886</v>
      </c>
      <c r="B1123" s="21">
        <f>+Dates!$D$11-61</f>
        <v>41886</v>
      </c>
      <c r="C1123" s="22" t="s">
        <v>666</v>
      </c>
      <c r="D1123" s="23" t="s">
        <v>36</v>
      </c>
      <c r="E1123" s="24" t="s">
        <v>61</v>
      </c>
      <c r="F1123" s="24" t="s">
        <v>306</v>
      </c>
    </row>
    <row r="1124" spans="1:6" ht="139.5" customHeight="1" x14ac:dyDescent="0.2">
      <c r="A1124" s="21">
        <f>+Dates!$D$11-61</f>
        <v>41886</v>
      </c>
      <c r="B1124" s="21">
        <f>+Dates!$D$11-61</f>
        <v>41886</v>
      </c>
      <c r="C1124" s="22" t="s">
        <v>665</v>
      </c>
      <c r="D1124" s="23" t="s">
        <v>36</v>
      </c>
      <c r="E1124" s="24" t="s">
        <v>80</v>
      </c>
      <c r="F1124" s="24" t="s">
        <v>306</v>
      </c>
    </row>
    <row r="1125" spans="1:6" ht="134.25" customHeight="1" x14ac:dyDescent="0.2">
      <c r="A1125" s="21">
        <f>+Dates!$D$11-61</f>
        <v>41886</v>
      </c>
      <c r="B1125" s="21">
        <f>+Dates!$D$11-61</f>
        <v>41886</v>
      </c>
      <c r="C1125" s="22" t="s">
        <v>667</v>
      </c>
      <c r="D1125" s="23" t="s">
        <v>36</v>
      </c>
      <c r="E1125" s="24" t="s">
        <v>289</v>
      </c>
      <c r="F1125" s="24" t="s">
        <v>306</v>
      </c>
    </row>
    <row r="1126" spans="1:6" ht="139.5" customHeight="1" x14ac:dyDescent="0.2">
      <c r="A1126" s="21">
        <f>+Dates!$D$11-61</f>
        <v>41886</v>
      </c>
      <c r="B1126" s="21">
        <f>+Dates!$D$11-61</f>
        <v>41886</v>
      </c>
      <c r="C1126" s="22" t="s">
        <v>668</v>
      </c>
      <c r="D1126" s="23" t="s">
        <v>36</v>
      </c>
      <c r="E1126" s="24" t="s">
        <v>291</v>
      </c>
      <c r="F1126" s="24" t="s">
        <v>306</v>
      </c>
    </row>
    <row r="1127" spans="1:6" ht="136.5" customHeight="1" x14ac:dyDescent="0.2">
      <c r="A1127" s="21">
        <f>+Dates!$D$11-61</f>
        <v>41886</v>
      </c>
      <c r="B1127" s="21">
        <f>+Dates!$D$11-61</f>
        <v>41886</v>
      </c>
      <c r="C1127" s="22" t="s">
        <v>669</v>
      </c>
      <c r="D1127" s="23" t="s">
        <v>36</v>
      </c>
      <c r="E1127" s="24" t="s">
        <v>301</v>
      </c>
      <c r="F1127" s="24" t="s">
        <v>306</v>
      </c>
    </row>
    <row r="1128" spans="1:6" ht="140.25" customHeight="1" x14ac:dyDescent="0.2">
      <c r="A1128" s="21">
        <f>+Dates!$D$11-61</f>
        <v>41886</v>
      </c>
      <c r="B1128" s="21">
        <f>+Dates!$D$11-61</f>
        <v>41886</v>
      </c>
      <c r="C1128" s="22" t="s">
        <v>670</v>
      </c>
      <c r="D1128" s="23" t="s">
        <v>36</v>
      </c>
      <c r="E1128" s="24" t="s">
        <v>297</v>
      </c>
      <c r="F1128" s="24" t="s">
        <v>306</v>
      </c>
    </row>
    <row r="1129" spans="1:6" ht="100.5" customHeight="1" x14ac:dyDescent="0.2">
      <c r="A1129" s="21">
        <f>+Dates!$D$11-60</f>
        <v>41887</v>
      </c>
      <c r="B1129" s="21">
        <f>+Dates!$D$11-60</f>
        <v>41887</v>
      </c>
      <c r="C1129" s="22" t="s">
        <v>671</v>
      </c>
      <c r="D1129" s="23" t="s">
        <v>231</v>
      </c>
      <c r="E1129" s="24" t="s">
        <v>61</v>
      </c>
      <c r="F1129" s="24" t="s">
        <v>306</v>
      </c>
    </row>
    <row r="1130" spans="1:6" ht="90" customHeight="1" x14ac:dyDescent="0.2">
      <c r="A1130" s="21">
        <f>+Dates!$D$11-60</f>
        <v>41887</v>
      </c>
      <c r="B1130" s="21">
        <f>+Dates!$D$11-60</f>
        <v>41887</v>
      </c>
      <c r="C1130" s="22" t="s">
        <v>672</v>
      </c>
      <c r="D1130" s="23" t="s">
        <v>231</v>
      </c>
      <c r="E1130" s="24" t="s">
        <v>80</v>
      </c>
      <c r="F1130" s="24" t="s">
        <v>306</v>
      </c>
    </row>
    <row r="1131" spans="1:6" ht="89.25" customHeight="1" x14ac:dyDescent="0.2">
      <c r="A1131" s="21">
        <f>+Dates!$D$11-60</f>
        <v>41887</v>
      </c>
      <c r="B1131" s="21">
        <f>+Dates!$D$11-60</f>
        <v>41887</v>
      </c>
      <c r="C1131" s="22" t="s">
        <v>673</v>
      </c>
      <c r="D1131" s="23" t="s">
        <v>231</v>
      </c>
      <c r="E1131" s="24" t="s">
        <v>289</v>
      </c>
      <c r="F1131" s="24" t="s">
        <v>306</v>
      </c>
    </row>
    <row r="1132" spans="1:6" ht="92.25" customHeight="1" x14ac:dyDescent="0.2">
      <c r="A1132" s="21">
        <f>+Dates!$D$11-60</f>
        <v>41887</v>
      </c>
      <c r="B1132" s="21">
        <f>+Dates!$D$11-60</f>
        <v>41887</v>
      </c>
      <c r="C1132" s="22" t="s">
        <v>674</v>
      </c>
      <c r="D1132" s="23" t="s">
        <v>231</v>
      </c>
      <c r="E1132" s="24" t="s">
        <v>291</v>
      </c>
      <c r="F1132" s="24" t="s">
        <v>306</v>
      </c>
    </row>
    <row r="1133" spans="1:6" ht="97.5" customHeight="1" x14ac:dyDescent="0.2">
      <c r="A1133" s="21">
        <f>+Dates!$D$11-60</f>
        <v>41887</v>
      </c>
      <c r="B1133" s="21">
        <f>+Dates!$D$11-60</f>
        <v>41887</v>
      </c>
      <c r="C1133" s="22" t="s">
        <v>675</v>
      </c>
      <c r="D1133" s="23" t="s">
        <v>231</v>
      </c>
      <c r="E1133" s="24" t="s">
        <v>301</v>
      </c>
      <c r="F1133" s="24" t="s">
        <v>306</v>
      </c>
    </row>
    <row r="1134" spans="1:6" ht="108.75" customHeight="1" x14ac:dyDescent="0.2">
      <c r="A1134" s="21">
        <f>+Dates!$D$11-60</f>
        <v>41887</v>
      </c>
      <c r="B1134" s="21">
        <f>+Dates!$D$11-60</f>
        <v>41887</v>
      </c>
      <c r="C1134" s="22" t="s">
        <v>676</v>
      </c>
      <c r="D1134" s="23" t="s">
        <v>231</v>
      </c>
      <c r="E1134" s="24" t="s">
        <v>297</v>
      </c>
      <c r="F1134" s="24" t="s">
        <v>306</v>
      </c>
    </row>
    <row r="1135" spans="1:6" ht="96.75" customHeight="1" x14ac:dyDescent="0.2">
      <c r="A1135" s="21">
        <f>+Dates!$D$11-60</f>
        <v>41887</v>
      </c>
      <c r="B1135" s="21">
        <f>+Dates!$D$11-32</f>
        <v>41915</v>
      </c>
      <c r="C1135" s="22" t="s">
        <v>1587</v>
      </c>
      <c r="D1135" s="23" t="s">
        <v>429</v>
      </c>
      <c r="E1135" s="24" t="s">
        <v>61</v>
      </c>
      <c r="F1135" s="24" t="s">
        <v>195</v>
      </c>
    </row>
    <row r="1136" spans="1:6" ht="76.5" customHeight="1" x14ac:dyDescent="0.2">
      <c r="A1136" s="21">
        <f>+Dates!$D$11-60</f>
        <v>41887</v>
      </c>
      <c r="B1136" s="21">
        <f>+Dates!$D$11-32</f>
        <v>41915</v>
      </c>
      <c r="C1136" s="22" t="s">
        <v>1588</v>
      </c>
      <c r="D1136" s="23" t="s">
        <v>429</v>
      </c>
      <c r="E1136" s="24" t="s">
        <v>80</v>
      </c>
      <c r="F1136" s="24" t="s">
        <v>195</v>
      </c>
    </row>
    <row r="1137" spans="1:6" ht="73.5" customHeight="1" x14ac:dyDescent="0.2">
      <c r="A1137" s="21">
        <f>+Dates!$D$11-48</f>
        <v>41899</v>
      </c>
      <c r="B1137" s="21">
        <f>+Dates!$D$11-48</f>
        <v>41899</v>
      </c>
      <c r="C1137" s="22" t="s">
        <v>1589</v>
      </c>
      <c r="D1137" s="23" t="s">
        <v>428</v>
      </c>
      <c r="E1137" s="24" t="s">
        <v>61</v>
      </c>
      <c r="F1137" s="24" t="s">
        <v>195</v>
      </c>
    </row>
    <row r="1138" spans="1:6" ht="66" customHeight="1" x14ac:dyDescent="0.2">
      <c r="A1138" s="21">
        <f>+Dates!$D$11-48</f>
        <v>41899</v>
      </c>
      <c r="B1138" s="21">
        <f>+Dates!$D$11-48</f>
        <v>41899</v>
      </c>
      <c r="C1138" s="22" t="s">
        <v>1590</v>
      </c>
      <c r="D1138" s="23" t="s">
        <v>428</v>
      </c>
      <c r="E1138" s="24" t="s">
        <v>80</v>
      </c>
      <c r="F1138" s="24" t="s">
        <v>195</v>
      </c>
    </row>
    <row r="1139" spans="1:6" ht="106.5" customHeight="1" x14ac:dyDescent="0.2">
      <c r="A1139" s="21">
        <f>+Dates!$D$11-46</f>
        <v>41901</v>
      </c>
      <c r="B1139" s="21">
        <f>+Dates!$D$11-46</f>
        <v>41901</v>
      </c>
      <c r="C1139" s="22" t="s">
        <v>1591</v>
      </c>
      <c r="D1139" s="23" t="s">
        <v>90</v>
      </c>
      <c r="E1139" s="24" t="s">
        <v>61</v>
      </c>
      <c r="F1139" s="24" t="s">
        <v>103</v>
      </c>
    </row>
    <row r="1140" spans="1:6" ht="103.5" customHeight="1" x14ac:dyDescent="0.2">
      <c r="A1140" s="21">
        <f>+Dates!$D$11-46</f>
        <v>41901</v>
      </c>
      <c r="B1140" s="21">
        <f>+Dates!$D$11-46</f>
        <v>41901</v>
      </c>
      <c r="C1140" s="22" t="s">
        <v>1592</v>
      </c>
      <c r="D1140" s="23" t="s">
        <v>90</v>
      </c>
      <c r="E1140" s="24" t="s">
        <v>80</v>
      </c>
      <c r="F1140" s="24" t="s">
        <v>103</v>
      </c>
    </row>
    <row r="1141" spans="1:6" ht="124.5" customHeight="1" x14ac:dyDescent="0.2">
      <c r="A1141" s="21">
        <f>+Dates!$D$11-46</f>
        <v>41901</v>
      </c>
      <c r="B1141" s="21">
        <f>+Dates!$D$11-46</f>
        <v>41901</v>
      </c>
      <c r="C1141" s="22" t="s">
        <v>1593</v>
      </c>
      <c r="D1141" s="23" t="s">
        <v>90</v>
      </c>
      <c r="E1141" s="24" t="s">
        <v>1062</v>
      </c>
      <c r="F1141" s="24" t="s">
        <v>103</v>
      </c>
    </row>
    <row r="1142" spans="1:6" ht="108" customHeight="1" x14ac:dyDescent="0.2">
      <c r="A1142" s="21">
        <f>+Dates!$D$11-46</f>
        <v>41901</v>
      </c>
      <c r="B1142" s="21">
        <f>+Dates!$D$11-46</f>
        <v>41901</v>
      </c>
      <c r="C1142" s="22" t="s">
        <v>1594</v>
      </c>
      <c r="D1142" s="23" t="s">
        <v>90</v>
      </c>
      <c r="E1142" s="24" t="s">
        <v>289</v>
      </c>
      <c r="F1142" s="24" t="s">
        <v>103</v>
      </c>
    </row>
    <row r="1143" spans="1:6" ht="106.5" customHeight="1" x14ac:dyDescent="0.2">
      <c r="A1143" s="21">
        <f>+Dates!$D$11-46</f>
        <v>41901</v>
      </c>
      <c r="B1143" s="21">
        <f>+Dates!$D$11-46</f>
        <v>41901</v>
      </c>
      <c r="C1143" s="22" t="s">
        <v>1595</v>
      </c>
      <c r="D1143" s="23" t="s">
        <v>90</v>
      </c>
      <c r="E1143" s="24" t="s">
        <v>291</v>
      </c>
      <c r="F1143" s="24" t="s">
        <v>103</v>
      </c>
    </row>
    <row r="1144" spans="1:6" ht="110.25" customHeight="1" x14ac:dyDescent="0.2">
      <c r="A1144" s="21">
        <f>+Dates!$D$11-46</f>
        <v>41901</v>
      </c>
      <c r="B1144" s="21">
        <f>+Dates!$D$11-46</f>
        <v>41901</v>
      </c>
      <c r="C1144" s="22" t="s">
        <v>1596</v>
      </c>
      <c r="D1144" s="23" t="s">
        <v>90</v>
      </c>
      <c r="E1144" s="24" t="s">
        <v>301</v>
      </c>
      <c r="F1144" s="24" t="s">
        <v>103</v>
      </c>
    </row>
    <row r="1145" spans="1:6" ht="103.5" customHeight="1" x14ac:dyDescent="0.2">
      <c r="A1145" s="21">
        <f>+Dates!$D$11-46</f>
        <v>41901</v>
      </c>
      <c r="B1145" s="21">
        <f>+Dates!$D$11-46</f>
        <v>41901</v>
      </c>
      <c r="C1145" s="22" t="s">
        <v>1597</v>
      </c>
      <c r="D1145" s="23" t="s">
        <v>90</v>
      </c>
      <c r="E1145" s="24" t="s">
        <v>297</v>
      </c>
      <c r="F1145" s="24" t="s">
        <v>103</v>
      </c>
    </row>
    <row r="1146" spans="1:6" ht="105" customHeight="1" x14ac:dyDescent="0.2">
      <c r="A1146" s="21">
        <f>+Dates!$D$11-46</f>
        <v>41901</v>
      </c>
      <c r="B1146" s="21">
        <f>+Dates!$D$11-46</f>
        <v>41901</v>
      </c>
      <c r="C1146" s="22" t="s">
        <v>1598</v>
      </c>
      <c r="D1146" s="23" t="s">
        <v>90</v>
      </c>
      <c r="E1146" s="24" t="s">
        <v>333</v>
      </c>
      <c r="F1146" s="24" t="s">
        <v>103</v>
      </c>
    </row>
    <row r="1147" spans="1:6" ht="110.25" customHeight="1" x14ac:dyDescent="0.2">
      <c r="A1147" s="21">
        <f>+Dates!$D$11-46</f>
        <v>41901</v>
      </c>
      <c r="B1147" s="21">
        <f>+Dates!$D$11-46</f>
        <v>41901</v>
      </c>
      <c r="C1147" s="22" t="s">
        <v>1599</v>
      </c>
      <c r="D1147" s="23" t="s">
        <v>90</v>
      </c>
      <c r="E1147" s="24" t="s">
        <v>160</v>
      </c>
      <c r="F1147" s="24" t="s">
        <v>103</v>
      </c>
    </row>
    <row r="1148" spans="1:6" ht="105.75" customHeight="1" x14ac:dyDescent="0.2">
      <c r="A1148" s="21">
        <f>+Dates!$D$11-46</f>
        <v>41901</v>
      </c>
      <c r="B1148" s="21">
        <f>+Dates!$D$11-46</f>
        <v>41901</v>
      </c>
      <c r="C1148" s="22" t="s">
        <v>1600</v>
      </c>
      <c r="D1148" s="23" t="s">
        <v>90</v>
      </c>
      <c r="E1148" s="24" t="s">
        <v>295</v>
      </c>
      <c r="F1148" s="24" t="s">
        <v>103</v>
      </c>
    </row>
    <row r="1149" spans="1:6" ht="106.5" customHeight="1" x14ac:dyDescent="0.2">
      <c r="A1149" s="21">
        <f>+Dates!$D$11-46</f>
        <v>41901</v>
      </c>
      <c r="B1149" s="21">
        <f>+Dates!$D$11-46</f>
        <v>41901</v>
      </c>
      <c r="C1149" s="22" t="s">
        <v>1010</v>
      </c>
      <c r="D1149" s="23" t="s">
        <v>420</v>
      </c>
      <c r="E1149" s="24" t="s">
        <v>61</v>
      </c>
      <c r="F1149" s="24" t="s">
        <v>111</v>
      </c>
    </row>
    <row r="1150" spans="1:6" ht="105" customHeight="1" x14ac:dyDescent="0.2">
      <c r="A1150" s="21">
        <f>+Dates!$D$11-46</f>
        <v>41901</v>
      </c>
      <c r="B1150" s="21">
        <f>+Dates!$D$11-46</f>
        <v>41901</v>
      </c>
      <c r="C1150" s="22" t="s">
        <v>1012</v>
      </c>
      <c r="D1150" s="23" t="s">
        <v>420</v>
      </c>
      <c r="E1150" s="24" t="s">
        <v>80</v>
      </c>
      <c r="F1150" s="24" t="s">
        <v>111</v>
      </c>
    </row>
    <row r="1151" spans="1:6" ht="105" customHeight="1" x14ac:dyDescent="0.2">
      <c r="A1151" s="21">
        <f>+Dates!$D$11-46</f>
        <v>41901</v>
      </c>
      <c r="B1151" s="21">
        <f>+Dates!$D$11-46</f>
        <v>41901</v>
      </c>
      <c r="C1151" s="22" t="s">
        <v>1011</v>
      </c>
      <c r="D1151" s="23" t="s">
        <v>420</v>
      </c>
      <c r="E1151" s="24" t="s">
        <v>289</v>
      </c>
      <c r="F1151" s="24" t="s">
        <v>111</v>
      </c>
    </row>
    <row r="1152" spans="1:6" ht="107.25" customHeight="1" x14ac:dyDescent="0.2">
      <c r="A1152" s="21">
        <f>+Dates!$D$11-46</f>
        <v>41901</v>
      </c>
      <c r="B1152" s="21">
        <f>+Dates!$D$11-46</f>
        <v>41901</v>
      </c>
      <c r="C1152" s="22" t="s">
        <v>1013</v>
      </c>
      <c r="D1152" s="23" t="s">
        <v>420</v>
      </c>
      <c r="E1152" s="24" t="s">
        <v>291</v>
      </c>
      <c r="F1152" s="24" t="s">
        <v>111</v>
      </c>
    </row>
    <row r="1153" spans="1:6" ht="106.5" customHeight="1" x14ac:dyDescent="0.2">
      <c r="A1153" s="21">
        <f>+Dates!$D$11-46</f>
        <v>41901</v>
      </c>
      <c r="B1153" s="21">
        <f>+Dates!$D$11-46</f>
        <v>41901</v>
      </c>
      <c r="C1153" s="22" t="s">
        <v>1014</v>
      </c>
      <c r="D1153" s="23" t="s">
        <v>420</v>
      </c>
      <c r="E1153" s="24" t="s">
        <v>301</v>
      </c>
      <c r="F1153" s="24" t="s">
        <v>111</v>
      </c>
    </row>
    <row r="1154" spans="1:6" ht="118.5" customHeight="1" x14ac:dyDescent="0.2">
      <c r="A1154" s="21">
        <f>+Dates!$D$11-46</f>
        <v>41901</v>
      </c>
      <c r="B1154" s="21">
        <f>+Dates!$D$11-46</f>
        <v>41901</v>
      </c>
      <c r="C1154" s="22" t="s">
        <v>1015</v>
      </c>
      <c r="D1154" s="23" t="s">
        <v>420</v>
      </c>
      <c r="E1154" s="24" t="s">
        <v>297</v>
      </c>
      <c r="F1154" s="24" t="s">
        <v>111</v>
      </c>
    </row>
    <row r="1155" spans="1:6" ht="105" customHeight="1" x14ac:dyDescent="0.2">
      <c r="A1155" s="21">
        <f>+Dates!$D$11-46</f>
        <v>41901</v>
      </c>
      <c r="B1155" s="21">
        <f>+Dates!$D$11-32</f>
        <v>41915</v>
      </c>
      <c r="C1155" s="22" t="s">
        <v>1021</v>
      </c>
      <c r="D1155" s="23" t="s">
        <v>194</v>
      </c>
      <c r="E1155" s="24" t="s">
        <v>61</v>
      </c>
      <c r="F1155" s="24" t="s">
        <v>195</v>
      </c>
    </row>
    <row r="1156" spans="1:6" ht="108" customHeight="1" x14ac:dyDescent="0.2">
      <c r="A1156" s="21">
        <f>+Dates!$D$11-46</f>
        <v>41901</v>
      </c>
      <c r="B1156" s="21">
        <f>+Dates!$D$11-32</f>
        <v>41915</v>
      </c>
      <c r="C1156" s="22" t="s">
        <v>1022</v>
      </c>
      <c r="D1156" s="23" t="s">
        <v>194</v>
      </c>
      <c r="E1156" s="24" t="s">
        <v>80</v>
      </c>
      <c r="F1156" s="24" t="s">
        <v>195</v>
      </c>
    </row>
    <row r="1157" spans="1:6" ht="102" customHeight="1" x14ac:dyDescent="0.2">
      <c r="A1157" s="21">
        <f>+Dates!$D$11-46</f>
        <v>41901</v>
      </c>
      <c r="B1157" s="21">
        <f>+Dates!$D$11-32</f>
        <v>41915</v>
      </c>
      <c r="C1157" s="22" t="s">
        <v>1023</v>
      </c>
      <c r="D1157" s="23" t="s">
        <v>194</v>
      </c>
      <c r="E1157" s="24" t="s">
        <v>289</v>
      </c>
      <c r="F1157" s="24" t="s">
        <v>195</v>
      </c>
    </row>
    <row r="1158" spans="1:6" ht="114" customHeight="1" x14ac:dyDescent="0.2">
      <c r="A1158" s="21">
        <f>+Dates!$D$11-46</f>
        <v>41901</v>
      </c>
      <c r="B1158" s="21">
        <f>+Dates!$D$11-32</f>
        <v>41915</v>
      </c>
      <c r="C1158" s="22" t="s">
        <v>1024</v>
      </c>
      <c r="D1158" s="23" t="s">
        <v>194</v>
      </c>
      <c r="E1158" s="24" t="s">
        <v>291</v>
      </c>
      <c r="F1158" s="24" t="s">
        <v>195</v>
      </c>
    </row>
    <row r="1159" spans="1:6" ht="113.25" customHeight="1" x14ac:dyDescent="0.2">
      <c r="A1159" s="21">
        <f>+Dates!$D$11-46</f>
        <v>41901</v>
      </c>
      <c r="B1159" s="21">
        <f>+Dates!$D$11-32</f>
        <v>41915</v>
      </c>
      <c r="C1159" s="22" t="s">
        <v>1025</v>
      </c>
      <c r="D1159" s="23" t="s">
        <v>194</v>
      </c>
      <c r="E1159" s="24" t="s">
        <v>301</v>
      </c>
      <c r="F1159" s="24" t="s">
        <v>195</v>
      </c>
    </row>
    <row r="1160" spans="1:6" ht="108.75" customHeight="1" x14ac:dyDescent="0.2">
      <c r="A1160" s="21">
        <f>+Dates!$D$11-46</f>
        <v>41901</v>
      </c>
      <c r="B1160" s="21">
        <f>+Dates!$D$11-32</f>
        <v>41915</v>
      </c>
      <c r="C1160" s="22" t="s">
        <v>1026</v>
      </c>
      <c r="D1160" s="23" t="s">
        <v>194</v>
      </c>
      <c r="E1160" s="24" t="s">
        <v>297</v>
      </c>
      <c r="F1160" s="24" t="s">
        <v>195</v>
      </c>
    </row>
    <row r="1161" spans="1:6" ht="279" customHeight="1" x14ac:dyDescent="0.2">
      <c r="A1161" s="21">
        <f>+Dates!$D$11-46</f>
        <v>41901</v>
      </c>
      <c r="B1161" s="21">
        <f>+Dates!$D$11-14</f>
        <v>41933</v>
      </c>
      <c r="C1161" s="22" t="s">
        <v>1530</v>
      </c>
      <c r="D1161" s="23" t="s">
        <v>396</v>
      </c>
      <c r="E1161" s="24" t="s">
        <v>61</v>
      </c>
      <c r="F1161" s="24" t="s">
        <v>107</v>
      </c>
    </row>
    <row r="1162" spans="1:6" ht="258" customHeight="1" x14ac:dyDescent="0.2">
      <c r="A1162" s="21">
        <f>+Dates!$D$11-46</f>
        <v>41901</v>
      </c>
      <c r="B1162" s="21">
        <f>+Dates!$D$11-14</f>
        <v>41933</v>
      </c>
      <c r="C1162" s="22" t="s">
        <v>1531</v>
      </c>
      <c r="D1162" s="23" t="s">
        <v>396</v>
      </c>
      <c r="E1162" s="24" t="s">
        <v>391</v>
      </c>
      <c r="F1162" s="24" t="s">
        <v>107</v>
      </c>
    </row>
    <row r="1163" spans="1:6" ht="258.75" customHeight="1" x14ac:dyDescent="0.2">
      <c r="A1163" s="21">
        <f>+Dates!$D$11-46</f>
        <v>41901</v>
      </c>
      <c r="B1163" s="21">
        <f>+Dates!$D$11-14</f>
        <v>41933</v>
      </c>
      <c r="C1163" s="22" t="s">
        <v>1532</v>
      </c>
      <c r="D1163" s="23" t="s">
        <v>396</v>
      </c>
      <c r="E1163" s="24" t="s">
        <v>80</v>
      </c>
      <c r="F1163" s="24" t="s">
        <v>107</v>
      </c>
    </row>
    <row r="1164" spans="1:6" ht="270.75" customHeight="1" x14ac:dyDescent="0.2">
      <c r="A1164" s="21">
        <f>+Dates!$D$11-46</f>
        <v>41901</v>
      </c>
      <c r="B1164" s="21">
        <f>+Dates!$D$11-14</f>
        <v>41933</v>
      </c>
      <c r="C1164" s="22" t="s">
        <v>1545</v>
      </c>
      <c r="D1164" s="23" t="s">
        <v>396</v>
      </c>
      <c r="E1164" s="24" t="s">
        <v>1062</v>
      </c>
      <c r="F1164" s="24" t="s">
        <v>107</v>
      </c>
    </row>
    <row r="1165" spans="1:6" ht="267" customHeight="1" x14ac:dyDescent="0.2">
      <c r="A1165" s="21">
        <f>+Dates!$D$11-46</f>
        <v>41901</v>
      </c>
      <c r="B1165" s="21">
        <f>+Dates!$D$11-14</f>
        <v>41933</v>
      </c>
      <c r="C1165" s="22" t="s">
        <v>1533</v>
      </c>
      <c r="D1165" s="23" t="s">
        <v>396</v>
      </c>
      <c r="E1165" s="24" t="s">
        <v>289</v>
      </c>
      <c r="F1165" s="24" t="s">
        <v>107</v>
      </c>
    </row>
    <row r="1166" spans="1:6" ht="272.25" customHeight="1" x14ac:dyDescent="0.2">
      <c r="A1166" s="21">
        <f>+Dates!$D$11-46</f>
        <v>41901</v>
      </c>
      <c r="B1166" s="21">
        <f>+Dates!$D$11-14</f>
        <v>41933</v>
      </c>
      <c r="C1166" s="22" t="s">
        <v>1534</v>
      </c>
      <c r="D1166" s="23" t="s">
        <v>396</v>
      </c>
      <c r="E1166" s="24" t="s">
        <v>291</v>
      </c>
      <c r="F1166" s="24" t="s">
        <v>107</v>
      </c>
    </row>
    <row r="1167" spans="1:6" ht="268.5" customHeight="1" x14ac:dyDescent="0.2">
      <c r="A1167" s="21">
        <f>+Dates!$D$11-46</f>
        <v>41901</v>
      </c>
      <c r="B1167" s="21">
        <f>+Dates!$D$11-14</f>
        <v>41933</v>
      </c>
      <c r="C1167" s="22" t="s">
        <v>1546</v>
      </c>
      <c r="D1167" s="23" t="s">
        <v>396</v>
      </c>
      <c r="E1167" s="24" t="s">
        <v>301</v>
      </c>
      <c r="F1167" s="24" t="s">
        <v>107</v>
      </c>
    </row>
    <row r="1168" spans="1:6" ht="279" customHeight="1" x14ac:dyDescent="0.2">
      <c r="A1168" s="21">
        <f>+Dates!$D$11-46</f>
        <v>41901</v>
      </c>
      <c r="B1168" s="21">
        <f>+Dates!$D$11-14</f>
        <v>41933</v>
      </c>
      <c r="C1168" s="22" t="s">
        <v>1535</v>
      </c>
      <c r="D1168" s="23" t="s">
        <v>396</v>
      </c>
      <c r="E1168" s="24" t="s">
        <v>297</v>
      </c>
      <c r="F1168" s="24" t="s">
        <v>107</v>
      </c>
    </row>
    <row r="1169" spans="1:6" ht="284.25" customHeight="1" x14ac:dyDescent="0.2">
      <c r="A1169" s="21">
        <f>+Dates!$D$11-46</f>
        <v>41901</v>
      </c>
      <c r="B1169" s="21">
        <f>+Dates!$D$11-14</f>
        <v>41933</v>
      </c>
      <c r="C1169" s="22" t="s">
        <v>1536</v>
      </c>
      <c r="D1169" s="23" t="s">
        <v>396</v>
      </c>
      <c r="E1169" s="24" t="s">
        <v>333</v>
      </c>
      <c r="F1169" s="24" t="s">
        <v>107</v>
      </c>
    </row>
    <row r="1170" spans="1:6" ht="271.5" customHeight="1" x14ac:dyDescent="0.2">
      <c r="A1170" s="21">
        <f>+Dates!$D$11-46</f>
        <v>41901</v>
      </c>
      <c r="B1170" s="21">
        <f>+Dates!$D$11-14</f>
        <v>41933</v>
      </c>
      <c r="C1170" s="22" t="s">
        <v>1547</v>
      </c>
      <c r="D1170" s="23" t="s">
        <v>396</v>
      </c>
      <c r="E1170" s="24" t="s">
        <v>160</v>
      </c>
      <c r="F1170" s="24" t="s">
        <v>107</v>
      </c>
    </row>
    <row r="1171" spans="1:6" ht="258" customHeight="1" x14ac:dyDescent="0.2">
      <c r="A1171" s="21">
        <f>+Dates!$D$11-46</f>
        <v>41901</v>
      </c>
      <c r="B1171" s="21">
        <f>+Dates!$D$11-14</f>
        <v>41933</v>
      </c>
      <c r="C1171" s="22" t="s">
        <v>1548</v>
      </c>
      <c r="D1171" s="23" t="s">
        <v>396</v>
      </c>
      <c r="E1171" s="24" t="s">
        <v>295</v>
      </c>
      <c r="F1171" s="24" t="s">
        <v>107</v>
      </c>
    </row>
    <row r="1172" spans="1:6" ht="115.5" customHeight="1" x14ac:dyDescent="0.2">
      <c r="A1172" s="21">
        <f>Dates!$D$11-46</f>
        <v>41901</v>
      </c>
      <c r="B1172" s="25">
        <f>+Dates!$D$11-1</f>
        <v>41946</v>
      </c>
      <c r="C1172" s="22" t="s">
        <v>1459</v>
      </c>
      <c r="D1172" s="23" t="s">
        <v>438</v>
      </c>
      <c r="E1172" s="24" t="s">
        <v>61</v>
      </c>
      <c r="F1172" s="24" t="s">
        <v>305</v>
      </c>
    </row>
    <row r="1173" spans="1:6" ht="111.75" customHeight="1" x14ac:dyDescent="0.2">
      <c r="A1173" s="21">
        <f>Dates!$D$11-46</f>
        <v>41901</v>
      </c>
      <c r="B1173" s="25">
        <f>+Dates!$D$11-1</f>
        <v>41946</v>
      </c>
      <c r="C1173" s="22" t="s">
        <v>1460</v>
      </c>
      <c r="D1173" s="23" t="s">
        <v>438</v>
      </c>
      <c r="E1173" s="24" t="s">
        <v>391</v>
      </c>
      <c r="F1173" s="24" t="s">
        <v>305</v>
      </c>
    </row>
    <row r="1174" spans="1:6" ht="114.75" customHeight="1" x14ac:dyDescent="0.2">
      <c r="A1174" s="21">
        <f>Dates!$D$11-46</f>
        <v>41901</v>
      </c>
      <c r="B1174" s="25">
        <f>+Dates!$D$11-1</f>
        <v>41946</v>
      </c>
      <c r="C1174" s="22" t="s">
        <v>1461</v>
      </c>
      <c r="D1174" s="23" t="s">
        <v>438</v>
      </c>
      <c r="E1174" s="24" t="s">
        <v>80</v>
      </c>
      <c r="F1174" s="24" t="s">
        <v>305</v>
      </c>
    </row>
    <row r="1175" spans="1:6" ht="130.5" customHeight="1" x14ac:dyDescent="0.2">
      <c r="A1175" s="21">
        <f>Dates!$D$11-46</f>
        <v>41901</v>
      </c>
      <c r="B1175" s="25">
        <f>+Dates!$D$11-1</f>
        <v>41946</v>
      </c>
      <c r="C1175" s="22" t="s">
        <v>1462</v>
      </c>
      <c r="D1175" s="23" t="s">
        <v>438</v>
      </c>
      <c r="E1175" s="24" t="s">
        <v>1062</v>
      </c>
      <c r="F1175" s="24" t="s">
        <v>305</v>
      </c>
    </row>
    <row r="1176" spans="1:6" ht="118.5" customHeight="1" x14ac:dyDescent="0.2">
      <c r="A1176" s="21">
        <f>Dates!$D$11-46</f>
        <v>41901</v>
      </c>
      <c r="B1176" s="25">
        <f>+Dates!$D$11-1</f>
        <v>41946</v>
      </c>
      <c r="C1176" s="22" t="s">
        <v>1463</v>
      </c>
      <c r="D1176" s="23" t="s">
        <v>438</v>
      </c>
      <c r="E1176" s="24" t="s">
        <v>289</v>
      </c>
      <c r="F1176" s="24" t="s">
        <v>305</v>
      </c>
    </row>
    <row r="1177" spans="1:6" ht="125.25" customHeight="1" x14ac:dyDescent="0.2">
      <c r="A1177" s="21">
        <f>Dates!$D$11-46</f>
        <v>41901</v>
      </c>
      <c r="B1177" s="25">
        <f>+Dates!$D$11-1</f>
        <v>41946</v>
      </c>
      <c r="C1177" s="22" t="s">
        <v>1464</v>
      </c>
      <c r="D1177" s="23" t="s">
        <v>438</v>
      </c>
      <c r="E1177" s="24" t="s">
        <v>291</v>
      </c>
      <c r="F1177" s="24" t="s">
        <v>305</v>
      </c>
    </row>
    <row r="1178" spans="1:6" ht="121.5" customHeight="1" x14ac:dyDescent="0.2">
      <c r="A1178" s="21">
        <f>Dates!$D$11-46</f>
        <v>41901</v>
      </c>
      <c r="B1178" s="25">
        <f>+Dates!$D$11-1</f>
        <v>41946</v>
      </c>
      <c r="C1178" s="22" t="s">
        <v>1465</v>
      </c>
      <c r="D1178" s="23" t="s">
        <v>438</v>
      </c>
      <c r="E1178" s="24" t="s">
        <v>301</v>
      </c>
      <c r="F1178" s="24" t="s">
        <v>305</v>
      </c>
    </row>
    <row r="1179" spans="1:6" ht="121.5" customHeight="1" x14ac:dyDescent="0.2">
      <c r="A1179" s="21">
        <f>Dates!$D$11-46</f>
        <v>41901</v>
      </c>
      <c r="B1179" s="25">
        <f>+Dates!$D$11-1</f>
        <v>41946</v>
      </c>
      <c r="C1179" s="22" t="s">
        <v>1466</v>
      </c>
      <c r="D1179" s="23" t="s">
        <v>438</v>
      </c>
      <c r="E1179" s="24" t="s">
        <v>297</v>
      </c>
      <c r="F1179" s="24" t="s">
        <v>305</v>
      </c>
    </row>
    <row r="1180" spans="1:6" ht="123.75" customHeight="1" x14ac:dyDescent="0.2">
      <c r="A1180" s="21">
        <f>Dates!$D$11-46</f>
        <v>41901</v>
      </c>
      <c r="B1180" s="25">
        <f>+Dates!$D$11-1</f>
        <v>41946</v>
      </c>
      <c r="C1180" s="22" t="s">
        <v>1467</v>
      </c>
      <c r="D1180" s="23" t="s">
        <v>438</v>
      </c>
      <c r="E1180" s="24" t="s">
        <v>333</v>
      </c>
      <c r="F1180" s="24" t="s">
        <v>305</v>
      </c>
    </row>
    <row r="1181" spans="1:6" ht="126" customHeight="1" x14ac:dyDescent="0.2">
      <c r="A1181" s="21">
        <f>Dates!$D$11-46</f>
        <v>41901</v>
      </c>
      <c r="B1181" s="25">
        <f>+Dates!$D$11-1</f>
        <v>41946</v>
      </c>
      <c r="C1181" s="22" t="s">
        <v>1468</v>
      </c>
      <c r="D1181" s="23" t="s">
        <v>438</v>
      </c>
      <c r="E1181" s="24" t="s">
        <v>160</v>
      </c>
      <c r="F1181" s="24" t="s">
        <v>305</v>
      </c>
    </row>
    <row r="1182" spans="1:6" ht="112.5" customHeight="1" x14ac:dyDescent="0.2">
      <c r="A1182" s="21">
        <f>Dates!$D$11-46</f>
        <v>41901</v>
      </c>
      <c r="B1182" s="25">
        <f>+Dates!$D$11-1</f>
        <v>41946</v>
      </c>
      <c r="C1182" s="22" t="s">
        <v>1469</v>
      </c>
      <c r="D1182" s="23" t="s">
        <v>438</v>
      </c>
      <c r="E1182" s="24" t="s">
        <v>295</v>
      </c>
      <c r="F1182" s="24" t="s">
        <v>305</v>
      </c>
    </row>
    <row r="1183" spans="1:6" ht="84" customHeight="1" x14ac:dyDescent="0.2">
      <c r="A1183" s="21">
        <f>Dates!$D$11-46</f>
        <v>41901</v>
      </c>
      <c r="B1183" s="25">
        <f>+Dates!$D$11-0</f>
        <v>41947</v>
      </c>
      <c r="C1183" s="22" t="s">
        <v>707</v>
      </c>
      <c r="D1183" s="23" t="s">
        <v>129</v>
      </c>
      <c r="E1183" s="24" t="s">
        <v>61</v>
      </c>
      <c r="F1183" s="24" t="s">
        <v>305</v>
      </c>
    </row>
    <row r="1184" spans="1:6" ht="72" customHeight="1" x14ac:dyDescent="0.2">
      <c r="A1184" s="21">
        <f>Dates!$D$11-46</f>
        <v>41901</v>
      </c>
      <c r="B1184" s="25">
        <f>+Dates!$D$11-0</f>
        <v>41947</v>
      </c>
      <c r="C1184" s="22" t="s">
        <v>128</v>
      </c>
      <c r="D1184" s="23" t="s">
        <v>129</v>
      </c>
      <c r="E1184" s="24" t="s">
        <v>80</v>
      </c>
      <c r="F1184" s="24" t="s">
        <v>305</v>
      </c>
    </row>
    <row r="1185" spans="1:6" ht="81.75" customHeight="1" x14ac:dyDescent="0.2">
      <c r="A1185" s="21">
        <f>Dates!$D$11-46</f>
        <v>41901</v>
      </c>
      <c r="B1185" s="25">
        <f>+Dates!$D$11-0</f>
        <v>41947</v>
      </c>
      <c r="C1185" s="22" t="s">
        <v>708</v>
      </c>
      <c r="D1185" s="23" t="s">
        <v>129</v>
      </c>
      <c r="E1185" s="24" t="s">
        <v>289</v>
      </c>
      <c r="F1185" s="24" t="s">
        <v>305</v>
      </c>
    </row>
    <row r="1186" spans="1:6" ht="84" customHeight="1" x14ac:dyDescent="0.2">
      <c r="A1186" s="21">
        <f>Dates!$D$11-46</f>
        <v>41901</v>
      </c>
      <c r="B1186" s="25">
        <f>+Dates!$D$11-0</f>
        <v>41947</v>
      </c>
      <c r="C1186" s="22" t="s">
        <v>709</v>
      </c>
      <c r="D1186" s="23" t="s">
        <v>129</v>
      </c>
      <c r="E1186" s="24" t="s">
        <v>291</v>
      </c>
      <c r="F1186" s="24" t="s">
        <v>305</v>
      </c>
    </row>
    <row r="1187" spans="1:6" ht="87.75" customHeight="1" x14ac:dyDescent="0.2">
      <c r="A1187" s="21">
        <f>Dates!$D$11-46</f>
        <v>41901</v>
      </c>
      <c r="B1187" s="25">
        <f>+Dates!$D$11-0</f>
        <v>41947</v>
      </c>
      <c r="C1187" s="22" t="s">
        <v>710</v>
      </c>
      <c r="D1187" s="23" t="s">
        <v>129</v>
      </c>
      <c r="E1187" s="24" t="s">
        <v>301</v>
      </c>
      <c r="F1187" s="24" t="s">
        <v>305</v>
      </c>
    </row>
    <row r="1188" spans="1:6" ht="90.75" customHeight="1" x14ac:dyDescent="0.2">
      <c r="A1188" s="21">
        <f>Dates!$D$11-46</f>
        <v>41901</v>
      </c>
      <c r="B1188" s="25">
        <f>+Dates!$D$11-0</f>
        <v>41947</v>
      </c>
      <c r="C1188" s="22" t="s">
        <v>712</v>
      </c>
      <c r="D1188" s="23" t="s">
        <v>129</v>
      </c>
      <c r="E1188" s="24" t="s">
        <v>297</v>
      </c>
      <c r="F1188" s="24" t="s">
        <v>305</v>
      </c>
    </row>
    <row r="1189" spans="1:6" ht="248.25" customHeight="1" x14ac:dyDescent="0.2">
      <c r="A1189" s="21">
        <f>+Dates!$D$11-46</f>
        <v>41901</v>
      </c>
      <c r="B1189" s="25">
        <f>+Dates!$D$11</f>
        <v>41947</v>
      </c>
      <c r="C1189" s="22" t="s">
        <v>1470</v>
      </c>
      <c r="D1189" s="23" t="s">
        <v>153</v>
      </c>
      <c r="E1189" s="24" t="s">
        <v>61</v>
      </c>
      <c r="F1189" s="24" t="s">
        <v>305</v>
      </c>
    </row>
    <row r="1190" spans="1:6" ht="249" customHeight="1" x14ac:dyDescent="0.2">
      <c r="A1190" s="21">
        <f>+Dates!$D$11-46</f>
        <v>41901</v>
      </c>
      <c r="B1190" s="25">
        <f>+Dates!$D$11</f>
        <v>41947</v>
      </c>
      <c r="C1190" s="22" t="s">
        <v>1471</v>
      </c>
      <c r="D1190" s="23" t="s">
        <v>153</v>
      </c>
      <c r="E1190" s="24" t="s">
        <v>391</v>
      </c>
      <c r="F1190" s="24" t="s">
        <v>305</v>
      </c>
    </row>
    <row r="1191" spans="1:6" ht="252.75" customHeight="1" x14ac:dyDescent="0.2">
      <c r="A1191" s="21">
        <f>+Dates!$D$11-46</f>
        <v>41901</v>
      </c>
      <c r="B1191" s="25">
        <f>+Dates!$D$11</f>
        <v>41947</v>
      </c>
      <c r="C1191" s="22" t="s">
        <v>1027</v>
      </c>
      <c r="D1191" s="23" t="s">
        <v>153</v>
      </c>
      <c r="E1191" s="24" t="s">
        <v>80</v>
      </c>
      <c r="F1191" s="24" t="s">
        <v>305</v>
      </c>
    </row>
    <row r="1192" spans="1:6" ht="260.25" customHeight="1" x14ac:dyDescent="0.2">
      <c r="A1192" s="21">
        <f>+Dates!$D$11-46</f>
        <v>41901</v>
      </c>
      <c r="B1192" s="25">
        <f>+Dates!$D$11</f>
        <v>41947</v>
      </c>
      <c r="C1192" s="22" t="s">
        <v>1472</v>
      </c>
      <c r="D1192" s="23" t="s">
        <v>153</v>
      </c>
      <c r="E1192" s="24" t="s">
        <v>1062</v>
      </c>
      <c r="F1192" s="24" t="s">
        <v>305</v>
      </c>
    </row>
    <row r="1193" spans="1:6" ht="264" customHeight="1" x14ac:dyDescent="0.2">
      <c r="A1193" s="21">
        <f>+Dates!$D$11-46</f>
        <v>41901</v>
      </c>
      <c r="B1193" s="25">
        <f>+Dates!$D$11</f>
        <v>41947</v>
      </c>
      <c r="C1193" s="22" t="s">
        <v>1473</v>
      </c>
      <c r="D1193" s="23" t="s">
        <v>153</v>
      </c>
      <c r="E1193" s="24" t="s">
        <v>289</v>
      </c>
      <c r="F1193" s="24" t="s">
        <v>305</v>
      </c>
    </row>
    <row r="1194" spans="1:6" ht="254.25" customHeight="1" x14ac:dyDescent="0.2">
      <c r="A1194" s="21">
        <f>+Dates!$D$11-46</f>
        <v>41901</v>
      </c>
      <c r="B1194" s="25">
        <f>+Dates!$D$11</f>
        <v>41947</v>
      </c>
      <c r="C1194" s="22" t="s">
        <v>1474</v>
      </c>
      <c r="D1194" s="23" t="s">
        <v>153</v>
      </c>
      <c r="E1194" s="24" t="s">
        <v>291</v>
      </c>
      <c r="F1194" s="24" t="s">
        <v>305</v>
      </c>
    </row>
    <row r="1195" spans="1:6" ht="252.75" customHeight="1" x14ac:dyDescent="0.2">
      <c r="A1195" s="21">
        <f>+Dates!$D$11-46</f>
        <v>41901</v>
      </c>
      <c r="B1195" s="25">
        <f>+Dates!$D$11</f>
        <v>41947</v>
      </c>
      <c r="C1195" s="22" t="s">
        <v>1475</v>
      </c>
      <c r="D1195" s="23" t="s">
        <v>153</v>
      </c>
      <c r="E1195" s="24" t="s">
        <v>301</v>
      </c>
      <c r="F1195" s="24" t="s">
        <v>305</v>
      </c>
    </row>
    <row r="1196" spans="1:6" ht="258.75" customHeight="1" x14ac:dyDescent="0.2">
      <c r="A1196" s="21">
        <f>+Dates!$D$11-46</f>
        <v>41901</v>
      </c>
      <c r="B1196" s="25">
        <f>+Dates!$D$11</f>
        <v>41947</v>
      </c>
      <c r="C1196" s="22" t="s">
        <v>1476</v>
      </c>
      <c r="D1196" s="23" t="s">
        <v>153</v>
      </c>
      <c r="E1196" s="24" t="s">
        <v>333</v>
      </c>
      <c r="F1196" s="24" t="s">
        <v>305</v>
      </c>
    </row>
    <row r="1197" spans="1:6" ht="258" customHeight="1" x14ac:dyDescent="0.2">
      <c r="A1197" s="21">
        <f>+Dates!$D$11-46</f>
        <v>41901</v>
      </c>
      <c r="B1197" s="25">
        <f>+Dates!$D$11</f>
        <v>41947</v>
      </c>
      <c r="C1197" s="22" t="s">
        <v>1477</v>
      </c>
      <c r="D1197" s="23" t="s">
        <v>153</v>
      </c>
      <c r="E1197" s="24" t="s">
        <v>160</v>
      </c>
      <c r="F1197" s="24" t="s">
        <v>305</v>
      </c>
    </row>
    <row r="1198" spans="1:6" ht="256.5" customHeight="1" x14ac:dyDescent="0.2">
      <c r="A1198" s="21">
        <f>+Dates!$D$11-46</f>
        <v>41901</v>
      </c>
      <c r="B1198" s="25">
        <f>+Dates!$D$11</f>
        <v>41947</v>
      </c>
      <c r="C1198" s="22" t="s">
        <v>1478</v>
      </c>
      <c r="D1198" s="23" t="s">
        <v>153</v>
      </c>
      <c r="E1198" s="24" t="s">
        <v>295</v>
      </c>
      <c r="F1198" s="24" t="s">
        <v>305</v>
      </c>
    </row>
    <row r="1199" spans="1:6" ht="81.75" customHeight="1" x14ac:dyDescent="0.2">
      <c r="A1199" s="21">
        <f>+Dates!$D$10+42</f>
        <v>41905</v>
      </c>
      <c r="B1199" s="21">
        <f>+Dates!$D$10+42</f>
        <v>41905</v>
      </c>
      <c r="C1199" s="22" t="s">
        <v>1028</v>
      </c>
      <c r="D1199" s="23" t="s">
        <v>4</v>
      </c>
      <c r="E1199" s="24" t="s">
        <v>61</v>
      </c>
      <c r="F1199" s="24" t="s">
        <v>195</v>
      </c>
    </row>
    <row r="1200" spans="1:6" ht="78" customHeight="1" x14ac:dyDescent="0.2">
      <c r="A1200" s="21">
        <f>+Dates!$D$10+42</f>
        <v>41905</v>
      </c>
      <c r="B1200" s="21">
        <f>+Dates!$D$10+42</f>
        <v>41905</v>
      </c>
      <c r="C1200" s="22" t="s">
        <v>28</v>
      </c>
      <c r="D1200" s="23" t="s">
        <v>4</v>
      </c>
      <c r="E1200" s="24" t="s">
        <v>292</v>
      </c>
      <c r="F1200" s="24" t="s">
        <v>195</v>
      </c>
    </row>
    <row r="1201" spans="1:6" ht="129.75" customHeight="1" x14ac:dyDescent="0.2">
      <c r="A1201" s="21">
        <f>+Dates!$D$11-42</f>
        <v>41905</v>
      </c>
      <c r="B1201" s="21">
        <f>+Dates!$D$11-1</f>
        <v>41946</v>
      </c>
      <c r="C1201" s="22" t="s">
        <v>1030</v>
      </c>
      <c r="D1201" s="23" t="s">
        <v>231</v>
      </c>
      <c r="E1201" s="24" t="s">
        <v>61</v>
      </c>
      <c r="F1201" s="24" t="s">
        <v>306</v>
      </c>
    </row>
    <row r="1202" spans="1:6" ht="126" customHeight="1" x14ac:dyDescent="0.2">
      <c r="A1202" s="21">
        <f>+Dates!$D$11-42</f>
        <v>41905</v>
      </c>
      <c r="B1202" s="21">
        <f>+Dates!$D$11-1</f>
        <v>41946</v>
      </c>
      <c r="C1202" s="22" t="s">
        <v>1031</v>
      </c>
      <c r="D1202" s="23" t="s">
        <v>231</v>
      </c>
      <c r="E1202" s="24" t="s">
        <v>80</v>
      </c>
      <c r="F1202" s="24" t="s">
        <v>306</v>
      </c>
    </row>
    <row r="1203" spans="1:6" ht="117.75" customHeight="1" x14ac:dyDescent="0.2">
      <c r="A1203" s="21">
        <f>+Dates!$D$11-42</f>
        <v>41905</v>
      </c>
      <c r="B1203" s="21">
        <f>+Dates!$D$11-1</f>
        <v>41946</v>
      </c>
      <c r="C1203" s="22" t="s">
        <v>1032</v>
      </c>
      <c r="D1203" s="23" t="s">
        <v>231</v>
      </c>
      <c r="E1203" s="24" t="s">
        <v>289</v>
      </c>
      <c r="F1203" s="24" t="s">
        <v>306</v>
      </c>
    </row>
    <row r="1204" spans="1:6" ht="124.5" customHeight="1" x14ac:dyDescent="0.2">
      <c r="A1204" s="21">
        <f>+Dates!$D$11-42</f>
        <v>41905</v>
      </c>
      <c r="B1204" s="21">
        <f>+Dates!$D$11-1</f>
        <v>41946</v>
      </c>
      <c r="C1204" s="22" t="s">
        <v>1033</v>
      </c>
      <c r="D1204" s="23" t="s">
        <v>231</v>
      </c>
      <c r="E1204" s="24" t="s">
        <v>291</v>
      </c>
      <c r="F1204" s="24" t="s">
        <v>306</v>
      </c>
    </row>
    <row r="1205" spans="1:6" ht="135" customHeight="1" x14ac:dyDescent="0.2">
      <c r="A1205" s="21">
        <f>+Dates!$D$11-42</f>
        <v>41905</v>
      </c>
      <c r="B1205" s="21">
        <f>+Dates!$D$11-1</f>
        <v>41946</v>
      </c>
      <c r="C1205" s="22" t="s">
        <v>1034</v>
      </c>
      <c r="D1205" s="23" t="s">
        <v>231</v>
      </c>
      <c r="E1205" s="24" t="s">
        <v>301</v>
      </c>
      <c r="F1205" s="24" t="s">
        <v>306</v>
      </c>
    </row>
    <row r="1206" spans="1:6" ht="138" customHeight="1" x14ac:dyDescent="0.2">
      <c r="A1206" s="21">
        <f>+Dates!$D$11-42</f>
        <v>41905</v>
      </c>
      <c r="B1206" s="21">
        <f>+Dates!$D$11-1</f>
        <v>41946</v>
      </c>
      <c r="C1206" s="22" t="s">
        <v>1029</v>
      </c>
      <c r="D1206" s="23" t="s">
        <v>231</v>
      </c>
      <c r="E1206" s="24" t="s">
        <v>297</v>
      </c>
      <c r="F1206" s="24" t="s">
        <v>306</v>
      </c>
    </row>
    <row r="1207" spans="1:6" ht="322.5" customHeight="1" x14ac:dyDescent="0.2">
      <c r="A1207" s="21">
        <v>41912</v>
      </c>
      <c r="B1207" s="21">
        <v>41912</v>
      </c>
      <c r="C1207" s="22" t="s">
        <v>1037</v>
      </c>
      <c r="D1207" s="23" t="s">
        <v>1035</v>
      </c>
      <c r="E1207" s="24" t="s">
        <v>61</v>
      </c>
      <c r="F1207" s="24" t="s">
        <v>241</v>
      </c>
    </row>
    <row r="1208" spans="1:6" ht="317.25" customHeight="1" x14ac:dyDescent="0.2">
      <c r="A1208" s="21">
        <v>41912</v>
      </c>
      <c r="B1208" s="21">
        <v>41912</v>
      </c>
      <c r="C1208" s="22" t="s">
        <v>1036</v>
      </c>
      <c r="D1208" s="23" t="s">
        <v>1035</v>
      </c>
      <c r="E1208" s="24" t="s">
        <v>292</v>
      </c>
      <c r="F1208" s="24" t="s">
        <v>241</v>
      </c>
    </row>
    <row r="1209" spans="1:6" ht="81" customHeight="1" x14ac:dyDescent="0.2">
      <c r="A1209" s="21">
        <f>+Dates!$D$11-25</f>
        <v>41922</v>
      </c>
      <c r="B1209" s="21">
        <f>+Dates!$D$11-25</f>
        <v>41922</v>
      </c>
      <c r="C1209" s="22" t="s">
        <v>1039</v>
      </c>
      <c r="D1209" s="23" t="s">
        <v>331</v>
      </c>
      <c r="E1209" s="24" t="s">
        <v>61</v>
      </c>
      <c r="F1209" s="24" t="s">
        <v>332</v>
      </c>
    </row>
    <row r="1210" spans="1:6" ht="74.25" customHeight="1" x14ac:dyDescent="0.2">
      <c r="A1210" s="21">
        <f>+Dates!$D$11-25</f>
        <v>41922</v>
      </c>
      <c r="B1210" s="21">
        <f>+Dates!$D$11-25</f>
        <v>41922</v>
      </c>
      <c r="C1210" s="22" t="s">
        <v>1040</v>
      </c>
      <c r="D1210" s="23" t="s">
        <v>331</v>
      </c>
      <c r="E1210" s="24" t="s">
        <v>391</v>
      </c>
      <c r="F1210" s="24" t="s">
        <v>332</v>
      </c>
    </row>
    <row r="1211" spans="1:6" ht="71.25" customHeight="1" x14ac:dyDescent="0.2">
      <c r="A1211" s="21">
        <f>+Dates!$D$11-25</f>
        <v>41922</v>
      </c>
      <c r="B1211" s="21">
        <f>+Dates!$D$11-25</f>
        <v>41922</v>
      </c>
      <c r="C1211" s="22" t="s">
        <v>1041</v>
      </c>
      <c r="D1211" s="23" t="s">
        <v>331</v>
      </c>
      <c r="E1211" s="24" t="s">
        <v>80</v>
      </c>
      <c r="F1211" s="24" t="s">
        <v>332</v>
      </c>
    </row>
    <row r="1212" spans="1:6" ht="75.75" customHeight="1" x14ac:dyDescent="0.2">
      <c r="A1212" s="21">
        <f>+Dates!$D$11-25</f>
        <v>41922</v>
      </c>
      <c r="B1212" s="21">
        <f>+Dates!$D$11-25</f>
        <v>41922</v>
      </c>
      <c r="C1212" s="22" t="s">
        <v>13</v>
      </c>
      <c r="D1212" s="23" t="s">
        <v>331</v>
      </c>
      <c r="E1212" s="24" t="s">
        <v>289</v>
      </c>
      <c r="F1212" s="24" t="s">
        <v>332</v>
      </c>
    </row>
    <row r="1213" spans="1:6" ht="77.25" customHeight="1" x14ac:dyDescent="0.2">
      <c r="A1213" s="21">
        <f>+Dates!$D$11-25</f>
        <v>41922</v>
      </c>
      <c r="B1213" s="21">
        <f>+Dates!$D$11-25</f>
        <v>41922</v>
      </c>
      <c r="C1213" s="22" t="s">
        <v>1042</v>
      </c>
      <c r="D1213" s="23" t="s">
        <v>331</v>
      </c>
      <c r="E1213" s="24" t="s">
        <v>291</v>
      </c>
      <c r="F1213" s="24" t="s">
        <v>332</v>
      </c>
    </row>
    <row r="1214" spans="1:6" ht="72" customHeight="1" x14ac:dyDescent="0.2">
      <c r="A1214" s="21">
        <f>+Dates!$D$11-25</f>
        <v>41922</v>
      </c>
      <c r="B1214" s="21">
        <f>+Dates!$D$11-25</f>
        <v>41922</v>
      </c>
      <c r="C1214" s="22" t="s">
        <v>1043</v>
      </c>
      <c r="D1214" s="23" t="s">
        <v>331</v>
      </c>
      <c r="E1214" s="24" t="s">
        <v>301</v>
      </c>
      <c r="F1214" s="24" t="s">
        <v>332</v>
      </c>
    </row>
    <row r="1215" spans="1:6" ht="80.25" customHeight="1" x14ac:dyDescent="0.2">
      <c r="A1215" s="21">
        <f>+Dates!$D$11-25</f>
        <v>41922</v>
      </c>
      <c r="B1215" s="21">
        <f>+Dates!$D$11-25</f>
        <v>41922</v>
      </c>
      <c r="C1215" s="22" t="s">
        <v>1044</v>
      </c>
      <c r="D1215" s="23" t="s">
        <v>331</v>
      </c>
      <c r="E1215" s="24" t="s">
        <v>297</v>
      </c>
      <c r="F1215" s="24" t="s">
        <v>332</v>
      </c>
    </row>
    <row r="1216" spans="1:6" ht="156" customHeight="1" x14ac:dyDescent="0.2">
      <c r="A1216" s="21">
        <f>+Dates!$D$11-25</f>
        <v>41922</v>
      </c>
      <c r="B1216" s="21">
        <f>+Dates!$D$11-25</f>
        <v>41922</v>
      </c>
      <c r="C1216" s="22" t="s">
        <v>1916</v>
      </c>
      <c r="D1216" s="23" t="s">
        <v>1904</v>
      </c>
      <c r="E1216" s="24" t="s">
        <v>61</v>
      </c>
      <c r="F1216" s="24" t="s">
        <v>119</v>
      </c>
    </row>
    <row r="1217" spans="1:6" ht="156" customHeight="1" x14ac:dyDescent="0.2">
      <c r="A1217" s="21">
        <f>+Dates!$D$11-25</f>
        <v>41922</v>
      </c>
      <c r="B1217" s="21">
        <f>+Dates!$D$11-25</f>
        <v>41922</v>
      </c>
      <c r="C1217" s="22" t="s">
        <v>1917</v>
      </c>
      <c r="D1217" s="23" t="s">
        <v>1904</v>
      </c>
      <c r="E1217" s="24" t="s">
        <v>80</v>
      </c>
      <c r="F1217" s="24" t="s">
        <v>119</v>
      </c>
    </row>
    <row r="1218" spans="1:6" ht="156" customHeight="1" x14ac:dyDescent="0.2">
      <c r="A1218" s="21">
        <f>+Dates!$D$11-25</f>
        <v>41922</v>
      </c>
      <c r="B1218" s="21">
        <f>+Dates!$D$11-25</f>
        <v>41922</v>
      </c>
      <c r="C1218" s="22" t="s">
        <v>1918</v>
      </c>
      <c r="D1218" s="23" t="s">
        <v>1904</v>
      </c>
      <c r="E1218" s="24" t="s">
        <v>289</v>
      </c>
      <c r="F1218" s="24" t="s">
        <v>119</v>
      </c>
    </row>
    <row r="1219" spans="1:6" ht="156" customHeight="1" x14ac:dyDescent="0.2">
      <c r="A1219" s="21">
        <f>+Dates!$D$11-25</f>
        <v>41922</v>
      </c>
      <c r="B1219" s="21">
        <f>+Dates!$D$11-25</f>
        <v>41922</v>
      </c>
      <c r="C1219" s="22" t="s">
        <v>1919</v>
      </c>
      <c r="D1219" s="23" t="s">
        <v>1904</v>
      </c>
      <c r="E1219" s="24" t="s">
        <v>291</v>
      </c>
      <c r="F1219" s="24" t="s">
        <v>119</v>
      </c>
    </row>
    <row r="1220" spans="1:6" ht="156" customHeight="1" x14ac:dyDescent="0.2">
      <c r="A1220" s="21">
        <f>+Dates!$D$11-25</f>
        <v>41922</v>
      </c>
      <c r="B1220" s="21">
        <f>+Dates!$D$11-25</f>
        <v>41922</v>
      </c>
      <c r="C1220" s="22" t="s">
        <v>1920</v>
      </c>
      <c r="D1220" s="23" t="s">
        <v>1904</v>
      </c>
      <c r="E1220" s="24" t="s">
        <v>301</v>
      </c>
      <c r="F1220" s="24" t="s">
        <v>119</v>
      </c>
    </row>
    <row r="1221" spans="1:6" ht="153.75" customHeight="1" x14ac:dyDescent="0.2">
      <c r="A1221" s="21">
        <f>+Dates!$D$11-25</f>
        <v>41922</v>
      </c>
      <c r="B1221" s="21">
        <f>+Dates!$D$11-25</f>
        <v>41922</v>
      </c>
      <c r="C1221" s="22" t="s">
        <v>1921</v>
      </c>
      <c r="D1221" s="23" t="s">
        <v>1904</v>
      </c>
      <c r="E1221" s="24" t="s">
        <v>297</v>
      </c>
      <c r="F1221" s="24" t="s">
        <v>119</v>
      </c>
    </row>
    <row r="1222" spans="1:6" ht="124.5" customHeight="1" x14ac:dyDescent="0.2">
      <c r="A1222" s="21">
        <f>+Dates!$D$19</f>
        <v>41925</v>
      </c>
      <c r="B1222" s="21">
        <f>+Dates!$D$19</f>
        <v>41925</v>
      </c>
      <c r="C1222" s="22" t="s">
        <v>12</v>
      </c>
      <c r="D1222" s="23" t="s">
        <v>293</v>
      </c>
      <c r="E1222" s="24" t="s">
        <v>294</v>
      </c>
      <c r="F1222" s="24" t="s">
        <v>294</v>
      </c>
    </row>
    <row r="1223" spans="1:6" ht="75" customHeight="1" x14ac:dyDescent="0.2">
      <c r="A1223" s="21">
        <f>+Dates!$D$11-21</f>
        <v>41926</v>
      </c>
      <c r="B1223" s="21">
        <f>+Dates!$D$11-21</f>
        <v>41926</v>
      </c>
      <c r="C1223" s="22" t="s">
        <v>1855</v>
      </c>
      <c r="D1223" s="23" t="s">
        <v>363</v>
      </c>
      <c r="E1223" s="24" t="s">
        <v>61</v>
      </c>
      <c r="F1223" s="24" t="s">
        <v>195</v>
      </c>
    </row>
    <row r="1224" spans="1:6" ht="78.75" customHeight="1" x14ac:dyDescent="0.2">
      <c r="A1224" s="21">
        <f>+Dates!$D$11-21</f>
        <v>41926</v>
      </c>
      <c r="B1224" s="21">
        <f>+Dates!$D$11-21</f>
        <v>41926</v>
      </c>
      <c r="C1224" s="22" t="s">
        <v>1856</v>
      </c>
      <c r="D1224" s="23" t="s">
        <v>363</v>
      </c>
      <c r="E1224" s="24" t="s">
        <v>391</v>
      </c>
      <c r="F1224" s="24" t="s">
        <v>195</v>
      </c>
    </row>
    <row r="1225" spans="1:6" ht="76.5" customHeight="1" x14ac:dyDescent="0.2">
      <c r="A1225" s="21">
        <f>+Dates!$D$11-21</f>
        <v>41926</v>
      </c>
      <c r="B1225" s="21">
        <f>+Dates!$D$11-21</f>
        <v>41926</v>
      </c>
      <c r="C1225" s="22" t="s">
        <v>1857</v>
      </c>
      <c r="D1225" s="23" t="s">
        <v>363</v>
      </c>
      <c r="E1225" s="24" t="s">
        <v>80</v>
      </c>
      <c r="F1225" s="24" t="s">
        <v>195</v>
      </c>
    </row>
    <row r="1226" spans="1:6" ht="87" customHeight="1" x14ac:dyDescent="0.2">
      <c r="A1226" s="21">
        <f>+Dates!$D$11-21</f>
        <v>41926</v>
      </c>
      <c r="B1226" s="21">
        <f>+Dates!$D$11-21</f>
        <v>41926</v>
      </c>
      <c r="C1226" s="22" t="s">
        <v>1858</v>
      </c>
      <c r="D1226" s="23" t="s">
        <v>363</v>
      </c>
      <c r="E1226" s="24" t="s">
        <v>1062</v>
      </c>
      <c r="F1226" s="24" t="s">
        <v>195</v>
      </c>
    </row>
    <row r="1227" spans="1:6" ht="73.5" customHeight="1" x14ac:dyDescent="0.2">
      <c r="A1227" s="21">
        <f>+Dates!$D$11-21</f>
        <v>41926</v>
      </c>
      <c r="B1227" s="21">
        <f>+Dates!$D$11-21</f>
        <v>41926</v>
      </c>
      <c r="C1227" s="22" t="s">
        <v>1859</v>
      </c>
      <c r="D1227" s="23" t="s">
        <v>363</v>
      </c>
      <c r="E1227" s="24" t="s">
        <v>289</v>
      </c>
      <c r="F1227" s="24" t="s">
        <v>195</v>
      </c>
    </row>
    <row r="1228" spans="1:6" ht="78.75" customHeight="1" x14ac:dyDescent="0.2">
      <c r="A1228" s="21">
        <f>+Dates!$D$11-21</f>
        <v>41926</v>
      </c>
      <c r="B1228" s="21">
        <f>+Dates!$D$11-21</f>
        <v>41926</v>
      </c>
      <c r="C1228" s="22" t="s">
        <v>1860</v>
      </c>
      <c r="D1228" s="23" t="s">
        <v>363</v>
      </c>
      <c r="E1228" s="24" t="s">
        <v>291</v>
      </c>
      <c r="F1228" s="24" t="s">
        <v>195</v>
      </c>
    </row>
    <row r="1229" spans="1:6" ht="75.75" customHeight="1" x14ac:dyDescent="0.2">
      <c r="A1229" s="21">
        <f>+Dates!$D$11-21</f>
        <v>41926</v>
      </c>
      <c r="B1229" s="21">
        <f>+Dates!$D$11-21</f>
        <v>41926</v>
      </c>
      <c r="C1229" s="22" t="s">
        <v>1861</v>
      </c>
      <c r="D1229" s="23" t="s">
        <v>363</v>
      </c>
      <c r="E1229" s="24" t="s">
        <v>301</v>
      </c>
      <c r="F1229" s="24" t="s">
        <v>195</v>
      </c>
    </row>
    <row r="1230" spans="1:6" ht="84" customHeight="1" x14ac:dyDescent="0.2">
      <c r="A1230" s="21">
        <f>+Dates!$D$11-21</f>
        <v>41926</v>
      </c>
      <c r="B1230" s="21">
        <f>+Dates!$D$11-21</f>
        <v>41926</v>
      </c>
      <c r="C1230" s="22" t="s">
        <v>1862</v>
      </c>
      <c r="D1230" s="23" t="s">
        <v>363</v>
      </c>
      <c r="E1230" s="24" t="s">
        <v>297</v>
      </c>
      <c r="F1230" s="24" t="s">
        <v>195</v>
      </c>
    </row>
    <row r="1231" spans="1:6" ht="79.5" customHeight="1" x14ac:dyDescent="0.2">
      <c r="A1231" s="21">
        <f>+Dates!$D$11-21</f>
        <v>41926</v>
      </c>
      <c r="B1231" s="21">
        <f>+Dates!$D$11-21</f>
        <v>41926</v>
      </c>
      <c r="C1231" s="22" t="s">
        <v>1863</v>
      </c>
      <c r="D1231" s="23" t="s">
        <v>363</v>
      </c>
      <c r="E1231" s="24" t="s">
        <v>333</v>
      </c>
      <c r="F1231" s="24" t="s">
        <v>195</v>
      </c>
    </row>
    <row r="1232" spans="1:6" ht="80.25" customHeight="1" x14ac:dyDescent="0.2">
      <c r="A1232" s="21">
        <f>+Dates!$D$11-21</f>
        <v>41926</v>
      </c>
      <c r="B1232" s="21">
        <f>+Dates!$D$11-21</f>
        <v>41926</v>
      </c>
      <c r="C1232" s="22" t="s">
        <v>1864</v>
      </c>
      <c r="D1232" s="23" t="s">
        <v>363</v>
      </c>
      <c r="E1232" s="24" t="s">
        <v>160</v>
      </c>
      <c r="F1232" s="24" t="s">
        <v>195</v>
      </c>
    </row>
    <row r="1233" spans="1:6" ht="80.25" customHeight="1" x14ac:dyDescent="0.2">
      <c r="A1233" s="21">
        <f>+Dates!$D$11-21</f>
        <v>41926</v>
      </c>
      <c r="B1233" s="21">
        <f>+Dates!$D$11-21</f>
        <v>41926</v>
      </c>
      <c r="C1233" s="22" t="s">
        <v>1865</v>
      </c>
      <c r="D1233" s="23" t="s">
        <v>363</v>
      </c>
      <c r="E1233" s="24" t="s">
        <v>295</v>
      </c>
      <c r="F1233" s="24" t="s">
        <v>195</v>
      </c>
    </row>
    <row r="1234" spans="1:6" ht="103.5" customHeight="1" x14ac:dyDescent="0.2">
      <c r="A1234" s="21">
        <f>+Dates!$D$11-20</f>
        <v>41927</v>
      </c>
      <c r="B1234" s="21">
        <f>+Dates!$D$11-20</f>
        <v>41927</v>
      </c>
      <c r="C1234" s="22" t="s">
        <v>1045</v>
      </c>
      <c r="D1234" s="23" t="s">
        <v>6</v>
      </c>
      <c r="E1234" s="24" t="s">
        <v>61</v>
      </c>
      <c r="F1234" s="24" t="s">
        <v>195</v>
      </c>
    </row>
    <row r="1235" spans="1:6" ht="96" customHeight="1" x14ac:dyDescent="0.2">
      <c r="A1235" s="21">
        <f>+Dates!$D$11-20</f>
        <v>41927</v>
      </c>
      <c r="B1235" s="21">
        <f>+Dates!$D$11-20</f>
        <v>41927</v>
      </c>
      <c r="C1235" s="22" t="s">
        <v>1046</v>
      </c>
      <c r="D1235" s="23" t="s">
        <v>6</v>
      </c>
      <c r="E1235" s="24" t="s">
        <v>80</v>
      </c>
      <c r="F1235" s="24" t="s">
        <v>195</v>
      </c>
    </row>
    <row r="1236" spans="1:6" ht="109.5" customHeight="1" x14ac:dyDescent="0.2">
      <c r="A1236" s="21">
        <f>+Dates!$D$11-20</f>
        <v>41927</v>
      </c>
      <c r="B1236" s="21">
        <f>+Dates!$D$11-20</f>
        <v>41927</v>
      </c>
      <c r="C1236" s="22" t="s">
        <v>1047</v>
      </c>
      <c r="D1236" s="23" t="s">
        <v>6</v>
      </c>
      <c r="E1236" s="24" t="s">
        <v>289</v>
      </c>
      <c r="F1236" s="24" t="s">
        <v>195</v>
      </c>
    </row>
    <row r="1237" spans="1:6" ht="108" customHeight="1" x14ac:dyDescent="0.2">
      <c r="A1237" s="21">
        <f>+Dates!$D$11-20</f>
        <v>41927</v>
      </c>
      <c r="B1237" s="21">
        <f>+Dates!$D$11-20</f>
        <v>41927</v>
      </c>
      <c r="C1237" s="22" t="s">
        <v>1048</v>
      </c>
      <c r="D1237" s="23" t="s">
        <v>6</v>
      </c>
      <c r="E1237" s="24" t="s">
        <v>291</v>
      </c>
      <c r="F1237" s="24" t="s">
        <v>195</v>
      </c>
    </row>
    <row r="1238" spans="1:6" ht="105" customHeight="1" x14ac:dyDescent="0.2">
      <c r="A1238" s="21">
        <f>+Dates!$D$11-20</f>
        <v>41927</v>
      </c>
      <c r="B1238" s="21">
        <f>+Dates!$D$11-20</f>
        <v>41927</v>
      </c>
      <c r="C1238" s="22" t="s">
        <v>1049</v>
      </c>
      <c r="D1238" s="23" t="s">
        <v>6</v>
      </c>
      <c r="E1238" s="24" t="s">
        <v>301</v>
      </c>
      <c r="F1238" s="24" t="s">
        <v>195</v>
      </c>
    </row>
    <row r="1239" spans="1:6" ht="108.75" customHeight="1" x14ac:dyDescent="0.2">
      <c r="A1239" s="21">
        <f>+Dates!$D$11-20</f>
        <v>41927</v>
      </c>
      <c r="B1239" s="21">
        <f>+Dates!$D$11-20</f>
        <v>41927</v>
      </c>
      <c r="C1239" s="22" t="s">
        <v>1050</v>
      </c>
      <c r="D1239" s="23" t="s">
        <v>6</v>
      </c>
      <c r="E1239" s="24" t="s">
        <v>297</v>
      </c>
      <c r="F1239" s="24" t="s">
        <v>195</v>
      </c>
    </row>
    <row r="1240" spans="1:6" ht="131.25" customHeight="1" x14ac:dyDescent="0.2">
      <c r="A1240" s="21">
        <f>+Dates!$D$11-20</f>
        <v>41927</v>
      </c>
      <c r="B1240" s="21">
        <f>+Dates!$D$11-1</f>
        <v>41946</v>
      </c>
      <c r="C1240" s="22" t="s">
        <v>1866</v>
      </c>
      <c r="D1240" s="23" t="s">
        <v>140</v>
      </c>
      <c r="E1240" s="24" t="s">
        <v>61</v>
      </c>
      <c r="F1240" s="24" t="s">
        <v>195</v>
      </c>
    </row>
    <row r="1241" spans="1:6" ht="129.75" customHeight="1" x14ac:dyDescent="0.2">
      <c r="A1241" s="21">
        <f>+Dates!$D$11-20</f>
        <v>41927</v>
      </c>
      <c r="B1241" s="21">
        <f>+Dates!$D$11-1</f>
        <v>41946</v>
      </c>
      <c r="C1241" s="22" t="s">
        <v>1867</v>
      </c>
      <c r="D1241" s="23" t="s">
        <v>140</v>
      </c>
      <c r="E1241" s="24" t="s">
        <v>80</v>
      </c>
      <c r="F1241" s="24" t="s">
        <v>195</v>
      </c>
    </row>
    <row r="1242" spans="1:6" ht="136.5" customHeight="1" x14ac:dyDescent="0.2">
      <c r="A1242" s="21">
        <f>+Dates!$D$11-20</f>
        <v>41927</v>
      </c>
      <c r="B1242" s="21">
        <f>+Dates!$D$11-1</f>
        <v>41946</v>
      </c>
      <c r="C1242" s="22" t="s">
        <v>1868</v>
      </c>
      <c r="D1242" s="23" t="s">
        <v>140</v>
      </c>
      <c r="E1242" s="24" t="s">
        <v>289</v>
      </c>
      <c r="F1242" s="24" t="s">
        <v>195</v>
      </c>
    </row>
    <row r="1243" spans="1:6" ht="129.75" customHeight="1" x14ac:dyDescent="0.2">
      <c r="A1243" s="21">
        <f>+Dates!$D$11-20</f>
        <v>41927</v>
      </c>
      <c r="B1243" s="21">
        <f>+Dates!$D$11-1</f>
        <v>41946</v>
      </c>
      <c r="C1243" s="22" t="s">
        <v>1869</v>
      </c>
      <c r="D1243" s="23" t="s">
        <v>140</v>
      </c>
      <c r="E1243" s="24" t="s">
        <v>291</v>
      </c>
      <c r="F1243" s="24" t="s">
        <v>195</v>
      </c>
    </row>
    <row r="1244" spans="1:6" ht="129.75" customHeight="1" x14ac:dyDescent="0.2">
      <c r="A1244" s="21">
        <f>+Dates!$D$11-20</f>
        <v>41927</v>
      </c>
      <c r="B1244" s="21">
        <f>+Dates!$D$11-1</f>
        <v>41946</v>
      </c>
      <c r="C1244" s="22" t="s">
        <v>1870</v>
      </c>
      <c r="D1244" s="23" t="s">
        <v>140</v>
      </c>
      <c r="E1244" s="24" t="s">
        <v>301</v>
      </c>
      <c r="F1244" s="24" t="s">
        <v>195</v>
      </c>
    </row>
    <row r="1245" spans="1:6" ht="150" customHeight="1" x14ac:dyDescent="0.2">
      <c r="A1245" s="21">
        <f>+Dates!$D$11-20</f>
        <v>41927</v>
      </c>
      <c r="B1245" s="21">
        <f>+Dates!$D$11-1</f>
        <v>41946</v>
      </c>
      <c r="C1245" s="22" t="s">
        <v>1871</v>
      </c>
      <c r="D1245" s="23" t="s">
        <v>140</v>
      </c>
      <c r="E1245" s="24" t="s">
        <v>297</v>
      </c>
      <c r="F1245" s="24" t="s">
        <v>195</v>
      </c>
    </row>
    <row r="1246" spans="1:6" ht="174.75" customHeight="1" x14ac:dyDescent="0.2">
      <c r="A1246" s="21">
        <f>+Dates!$D$11-20</f>
        <v>41927</v>
      </c>
      <c r="B1246" s="21">
        <f>+Dates!$D$11-1</f>
        <v>41946</v>
      </c>
      <c r="C1246" s="22" t="s">
        <v>1761</v>
      </c>
      <c r="D1246" s="23" t="s">
        <v>151</v>
      </c>
      <c r="E1246" s="24" t="s">
        <v>61</v>
      </c>
      <c r="F1246" s="24" t="s">
        <v>305</v>
      </c>
    </row>
    <row r="1247" spans="1:6" ht="169.5" customHeight="1" x14ac:dyDescent="0.2">
      <c r="A1247" s="21">
        <f>+Dates!$D$11-20</f>
        <v>41927</v>
      </c>
      <c r="B1247" s="21">
        <f>+Dates!$D$11-1</f>
        <v>41946</v>
      </c>
      <c r="C1247" s="22" t="s">
        <v>1767</v>
      </c>
      <c r="D1247" s="23" t="s">
        <v>151</v>
      </c>
      <c r="E1247" s="24" t="s">
        <v>391</v>
      </c>
      <c r="F1247" s="24" t="s">
        <v>305</v>
      </c>
    </row>
    <row r="1248" spans="1:6" ht="180.75" customHeight="1" x14ac:dyDescent="0.2">
      <c r="A1248" s="21">
        <f>+Dates!$D$11-20</f>
        <v>41927</v>
      </c>
      <c r="B1248" s="21">
        <f>+Dates!$D$11-1</f>
        <v>41946</v>
      </c>
      <c r="C1248" s="22" t="s">
        <v>1762</v>
      </c>
      <c r="D1248" s="23" t="s">
        <v>151</v>
      </c>
      <c r="E1248" s="24" t="s">
        <v>80</v>
      </c>
      <c r="F1248" s="24" t="s">
        <v>305</v>
      </c>
    </row>
    <row r="1249" spans="1:6" ht="177" customHeight="1" x14ac:dyDescent="0.2">
      <c r="A1249" s="21">
        <f>+Dates!$D$11-20</f>
        <v>41927</v>
      </c>
      <c r="B1249" s="21">
        <f>+Dates!$D$11-1</f>
        <v>41946</v>
      </c>
      <c r="C1249" s="22" t="s">
        <v>1768</v>
      </c>
      <c r="D1249" s="23" t="s">
        <v>151</v>
      </c>
      <c r="E1249" s="24" t="s">
        <v>1062</v>
      </c>
      <c r="F1249" s="24" t="s">
        <v>305</v>
      </c>
    </row>
    <row r="1250" spans="1:6" ht="171.75" customHeight="1" x14ac:dyDescent="0.2">
      <c r="A1250" s="21">
        <f>+Dates!$D$11-20</f>
        <v>41927</v>
      </c>
      <c r="B1250" s="21">
        <f>+Dates!$D$11-1</f>
        <v>41946</v>
      </c>
      <c r="C1250" s="22" t="s">
        <v>1763</v>
      </c>
      <c r="D1250" s="23" t="s">
        <v>151</v>
      </c>
      <c r="E1250" s="24" t="s">
        <v>289</v>
      </c>
      <c r="F1250" s="24" t="s">
        <v>305</v>
      </c>
    </row>
    <row r="1251" spans="1:6" ht="173.25" customHeight="1" x14ac:dyDescent="0.2">
      <c r="A1251" s="21">
        <f>+Dates!$D$11-20</f>
        <v>41927</v>
      </c>
      <c r="B1251" s="21">
        <f>+Dates!$D$11-1</f>
        <v>41946</v>
      </c>
      <c r="C1251" s="22" t="s">
        <v>1764</v>
      </c>
      <c r="D1251" s="23" t="s">
        <v>151</v>
      </c>
      <c r="E1251" s="24" t="s">
        <v>291</v>
      </c>
      <c r="F1251" s="24" t="s">
        <v>305</v>
      </c>
    </row>
    <row r="1252" spans="1:6" ht="179.25" customHeight="1" x14ac:dyDescent="0.2">
      <c r="A1252" s="21">
        <f>+Dates!$D$11-20</f>
        <v>41927</v>
      </c>
      <c r="B1252" s="21">
        <f>+Dates!$D$11-1</f>
        <v>41946</v>
      </c>
      <c r="C1252" s="22" t="s">
        <v>1765</v>
      </c>
      <c r="D1252" s="23" t="s">
        <v>151</v>
      </c>
      <c r="E1252" s="24" t="s">
        <v>301</v>
      </c>
      <c r="F1252" s="24" t="s">
        <v>305</v>
      </c>
    </row>
    <row r="1253" spans="1:6" ht="178.5" customHeight="1" x14ac:dyDescent="0.2">
      <c r="A1253" s="21">
        <f>+Dates!$D$11-20</f>
        <v>41927</v>
      </c>
      <c r="B1253" s="21">
        <f>+Dates!$D$11-1</f>
        <v>41946</v>
      </c>
      <c r="C1253" s="22" t="s">
        <v>1766</v>
      </c>
      <c r="D1253" s="23" t="s">
        <v>151</v>
      </c>
      <c r="E1253" s="24" t="s">
        <v>297</v>
      </c>
      <c r="F1253" s="24" t="s">
        <v>305</v>
      </c>
    </row>
    <row r="1254" spans="1:6" ht="172.5" customHeight="1" x14ac:dyDescent="0.2">
      <c r="A1254" s="21">
        <f>+Dates!$D$11-20</f>
        <v>41927</v>
      </c>
      <c r="B1254" s="21">
        <f>+Dates!$D$11-1</f>
        <v>41946</v>
      </c>
      <c r="C1254" s="22" t="s">
        <v>1769</v>
      </c>
      <c r="D1254" s="23" t="s">
        <v>151</v>
      </c>
      <c r="E1254" s="24" t="s">
        <v>333</v>
      </c>
      <c r="F1254" s="24" t="s">
        <v>305</v>
      </c>
    </row>
    <row r="1255" spans="1:6" ht="180.75" customHeight="1" x14ac:dyDescent="0.2">
      <c r="A1255" s="21">
        <f>+Dates!$D$11-20</f>
        <v>41927</v>
      </c>
      <c r="B1255" s="21">
        <f>+Dates!$D$11-1</f>
        <v>41946</v>
      </c>
      <c r="C1255" s="22" t="s">
        <v>1770</v>
      </c>
      <c r="D1255" s="23" t="s">
        <v>151</v>
      </c>
      <c r="E1255" s="24" t="s">
        <v>160</v>
      </c>
      <c r="F1255" s="24" t="s">
        <v>305</v>
      </c>
    </row>
    <row r="1256" spans="1:6" ht="168.75" customHeight="1" x14ac:dyDescent="0.2">
      <c r="A1256" s="21">
        <f>+Dates!$D$11-20</f>
        <v>41927</v>
      </c>
      <c r="B1256" s="21">
        <f>+Dates!$D$11-1</f>
        <v>41946</v>
      </c>
      <c r="C1256" s="22" t="s">
        <v>1771</v>
      </c>
      <c r="D1256" s="23" t="s">
        <v>151</v>
      </c>
      <c r="E1256" s="24" t="s">
        <v>295</v>
      </c>
      <c r="F1256" s="24" t="s">
        <v>305</v>
      </c>
    </row>
    <row r="1257" spans="1:6" ht="75.75" customHeight="1" x14ac:dyDescent="0.2">
      <c r="A1257" s="21">
        <f>+Dates!$D$11-20</f>
        <v>41927</v>
      </c>
      <c r="B1257" s="25">
        <f>+Dates!$D$11-1</f>
        <v>41946</v>
      </c>
      <c r="C1257" s="22" t="s">
        <v>1051</v>
      </c>
      <c r="D1257" s="23" t="s">
        <v>264</v>
      </c>
      <c r="E1257" s="24" t="s">
        <v>61</v>
      </c>
      <c r="F1257" s="24" t="s">
        <v>195</v>
      </c>
    </row>
    <row r="1258" spans="1:6" ht="74.25" customHeight="1" x14ac:dyDescent="0.2">
      <c r="A1258" s="21">
        <f>+Dates!$D$11-20</f>
        <v>41927</v>
      </c>
      <c r="B1258" s="25">
        <f>+Dates!$D$11-1</f>
        <v>41946</v>
      </c>
      <c r="C1258" s="22" t="s">
        <v>1052</v>
      </c>
      <c r="D1258" s="23" t="s">
        <v>264</v>
      </c>
      <c r="E1258" s="24" t="s">
        <v>80</v>
      </c>
      <c r="F1258" s="24" t="s">
        <v>195</v>
      </c>
    </row>
    <row r="1259" spans="1:6" ht="78" customHeight="1" x14ac:dyDescent="0.2">
      <c r="A1259" s="21">
        <f>+Dates!$D$11-20</f>
        <v>41927</v>
      </c>
      <c r="B1259" s="25">
        <f>+Dates!$D$11-1</f>
        <v>41946</v>
      </c>
      <c r="C1259" s="22" t="s">
        <v>1053</v>
      </c>
      <c r="D1259" s="23" t="s">
        <v>264</v>
      </c>
      <c r="E1259" s="24" t="s">
        <v>289</v>
      </c>
      <c r="F1259" s="24" t="s">
        <v>195</v>
      </c>
    </row>
    <row r="1260" spans="1:6" ht="75.75" customHeight="1" x14ac:dyDescent="0.2">
      <c r="A1260" s="21">
        <f>+Dates!$D$11-20</f>
        <v>41927</v>
      </c>
      <c r="B1260" s="25">
        <f>+Dates!$D$11-1</f>
        <v>41946</v>
      </c>
      <c r="C1260" s="22" t="s">
        <v>1054</v>
      </c>
      <c r="D1260" s="23" t="s">
        <v>264</v>
      </c>
      <c r="E1260" s="24" t="s">
        <v>291</v>
      </c>
      <c r="F1260" s="24" t="s">
        <v>195</v>
      </c>
    </row>
    <row r="1261" spans="1:6" ht="89.25" customHeight="1" x14ac:dyDescent="0.2">
      <c r="A1261" s="21">
        <f>+Dates!$D$11-20</f>
        <v>41927</v>
      </c>
      <c r="B1261" s="25">
        <f>+Dates!$D$11-1</f>
        <v>41946</v>
      </c>
      <c r="C1261" s="22" t="s">
        <v>1055</v>
      </c>
      <c r="D1261" s="23" t="s">
        <v>264</v>
      </c>
      <c r="E1261" s="24" t="s">
        <v>301</v>
      </c>
      <c r="F1261" s="24" t="s">
        <v>195</v>
      </c>
    </row>
    <row r="1262" spans="1:6" ht="98.25" customHeight="1" x14ac:dyDescent="0.2">
      <c r="A1262" s="21">
        <f>+Dates!$D$11-20</f>
        <v>41927</v>
      </c>
      <c r="B1262" s="25">
        <f>+Dates!$D$11-1</f>
        <v>41946</v>
      </c>
      <c r="C1262" s="22" t="s">
        <v>1056</v>
      </c>
      <c r="D1262" s="23" t="s">
        <v>264</v>
      </c>
      <c r="E1262" s="24" t="s">
        <v>297</v>
      </c>
      <c r="F1262" s="24" t="s">
        <v>195</v>
      </c>
    </row>
    <row r="1263" spans="1:6" ht="208.5" customHeight="1" x14ac:dyDescent="0.2">
      <c r="A1263" s="21">
        <f>+Dates!$D$11-15</f>
        <v>41932</v>
      </c>
      <c r="B1263" s="21">
        <f>+Dates!$D$11-15</f>
        <v>41932</v>
      </c>
      <c r="C1263" s="22" t="s">
        <v>1676</v>
      </c>
      <c r="D1263" s="23" t="s">
        <v>78</v>
      </c>
      <c r="E1263" s="24" t="s">
        <v>61</v>
      </c>
      <c r="F1263" s="24" t="s">
        <v>103</v>
      </c>
    </row>
    <row r="1264" spans="1:6" ht="213.75" customHeight="1" x14ac:dyDescent="0.2">
      <c r="A1264" s="21">
        <f>+Dates!$D$11-15</f>
        <v>41932</v>
      </c>
      <c r="B1264" s="21">
        <f>+Dates!$D$11-15</f>
        <v>41932</v>
      </c>
      <c r="C1264" s="22" t="s">
        <v>1677</v>
      </c>
      <c r="D1264" s="23" t="s">
        <v>78</v>
      </c>
      <c r="E1264" s="24" t="s">
        <v>135</v>
      </c>
      <c r="F1264" s="24" t="s">
        <v>103</v>
      </c>
    </row>
    <row r="1265" spans="1:6" ht="211.5" customHeight="1" x14ac:dyDescent="0.2">
      <c r="A1265" s="21">
        <f>+Dates!$D$11-15</f>
        <v>41932</v>
      </c>
      <c r="B1265" s="21">
        <f>+Dates!$D$11-15</f>
        <v>41932</v>
      </c>
      <c r="C1265" s="22" t="s">
        <v>1678</v>
      </c>
      <c r="D1265" s="23" t="s">
        <v>78</v>
      </c>
      <c r="E1265" s="24" t="s">
        <v>391</v>
      </c>
      <c r="F1265" s="24" t="s">
        <v>103</v>
      </c>
    </row>
    <row r="1266" spans="1:6" ht="212.25" customHeight="1" x14ac:dyDescent="0.2">
      <c r="A1266" s="21">
        <f>+Dates!$D$11-15</f>
        <v>41932</v>
      </c>
      <c r="B1266" s="21">
        <f>+Dates!$D$11-15</f>
        <v>41932</v>
      </c>
      <c r="C1266" s="22" t="s">
        <v>1679</v>
      </c>
      <c r="D1266" s="23" t="s">
        <v>78</v>
      </c>
      <c r="E1266" s="24" t="s">
        <v>80</v>
      </c>
      <c r="F1266" s="24" t="s">
        <v>103</v>
      </c>
    </row>
    <row r="1267" spans="1:6" ht="213" customHeight="1" x14ac:dyDescent="0.2">
      <c r="A1267" s="21">
        <f>+Dates!$D$11-15</f>
        <v>41932</v>
      </c>
      <c r="B1267" s="21">
        <f>+Dates!$D$11-15</f>
        <v>41932</v>
      </c>
      <c r="C1267" s="22" t="s">
        <v>1680</v>
      </c>
      <c r="D1267" s="23" t="s">
        <v>78</v>
      </c>
      <c r="E1267" s="24" t="s">
        <v>1058</v>
      </c>
      <c r="F1267" s="24" t="s">
        <v>103</v>
      </c>
    </row>
    <row r="1268" spans="1:6" ht="227.25" customHeight="1" x14ac:dyDescent="0.2">
      <c r="A1268" s="21">
        <f>+Dates!$D$11-15</f>
        <v>41932</v>
      </c>
      <c r="B1268" s="21">
        <f>+Dates!$D$11-15</f>
        <v>41932</v>
      </c>
      <c r="C1268" s="22" t="s">
        <v>1684</v>
      </c>
      <c r="D1268" s="23" t="s">
        <v>78</v>
      </c>
      <c r="E1268" s="24" t="s">
        <v>291</v>
      </c>
      <c r="F1268" s="24" t="s">
        <v>103</v>
      </c>
    </row>
    <row r="1269" spans="1:6" ht="225" customHeight="1" x14ac:dyDescent="0.2">
      <c r="A1269" s="21">
        <f>+Dates!$D$11-15</f>
        <v>41932</v>
      </c>
      <c r="B1269" s="21">
        <f>+Dates!$D$11-15</f>
        <v>41932</v>
      </c>
      <c r="C1269" s="22" t="s">
        <v>1682</v>
      </c>
      <c r="D1269" s="23" t="s">
        <v>78</v>
      </c>
      <c r="E1269" s="24" t="s">
        <v>301</v>
      </c>
      <c r="F1269" s="24" t="s">
        <v>103</v>
      </c>
    </row>
    <row r="1270" spans="1:6" ht="218.25" customHeight="1" x14ac:dyDescent="0.2">
      <c r="A1270" s="21">
        <f>+Dates!$D$11-15</f>
        <v>41932</v>
      </c>
      <c r="B1270" s="21">
        <f>+Dates!$D$11-15</f>
        <v>41932</v>
      </c>
      <c r="C1270" s="22" t="s">
        <v>1683</v>
      </c>
      <c r="D1270" s="23" t="s">
        <v>78</v>
      </c>
      <c r="E1270" s="24" t="s">
        <v>297</v>
      </c>
      <c r="F1270" s="24" t="s">
        <v>103</v>
      </c>
    </row>
    <row r="1271" spans="1:6" ht="127.5" customHeight="1" x14ac:dyDescent="0.2">
      <c r="A1271" s="21">
        <f>+Dates!$D$11-15</f>
        <v>41932</v>
      </c>
      <c r="B1271" s="21">
        <f>+Dates!$D$11-2</f>
        <v>41945</v>
      </c>
      <c r="C1271" s="22" t="s">
        <v>1060</v>
      </c>
      <c r="D1271" s="23" t="s">
        <v>90</v>
      </c>
      <c r="E1271" s="24" t="s">
        <v>61</v>
      </c>
      <c r="F1271" s="24" t="s">
        <v>103</v>
      </c>
    </row>
    <row r="1272" spans="1:6" ht="117.75" customHeight="1" x14ac:dyDescent="0.2">
      <c r="A1272" s="21">
        <f>+Dates!$D$11-15</f>
        <v>41932</v>
      </c>
      <c r="B1272" s="21">
        <f>+Dates!$D$11-2</f>
        <v>41945</v>
      </c>
      <c r="C1272" s="22" t="s">
        <v>1059</v>
      </c>
      <c r="D1272" s="23" t="s">
        <v>90</v>
      </c>
      <c r="E1272" s="24" t="s">
        <v>80</v>
      </c>
      <c r="F1272" s="24" t="s">
        <v>103</v>
      </c>
    </row>
    <row r="1273" spans="1:6" ht="131.25" customHeight="1" x14ac:dyDescent="0.2">
      <c r="A1273" s="21">
        <f>+Dates!$D$11-15</f>
        <v>41932</v>
      </c>
      <c r="B1273" s="21">
        <f>+Dates!$D$11-2</f>
        <v>41945</v>
      </c>
      <c r="C1273" s="22" t="s">
        <v>1061</v>
      </c>
      <c r="D1273" s="23" t="s">
        <v>90</v>
      </c>
      <c r="E1273" s="24" t="s">
        <v>1062</v>
      </c>
      <c r="F1273" s="24" t="s">
        <v>103</v>
      </c>
    </row>
    <row r="1274" spans="1:6" ht="162.75" customHeight="1" x14ac:dyDescent="0.2">
      <c r="A1274" s="21">
        <f>+Dates!$D$11-14</f>
        <v>41933</v>
      </c>
      <c r="B1274" s="21">
        <f>+Dates!$D$11-14</f>
        <v>41933</v>
      </c>
      <c r="C1274" s="22" t="s">
        <v>1941</v>
      </c>
      <c r="D1274" s="23" t="s">
        <v>1924</v>
      </c>
      <c r="E1274" s="24" t="s">
        <v>61</v>
      </c>
      <c r="F1274" s="24" t="s">
        <v>103</v>
      </c>
    </row>
    <row r="1275" spans="1:6" ht="163.5" customHeight="1" x14ac:dyDescent="0.2">
      <c r="A1275" s="21">
        <f>+Dates!$D$11-14</f>
        <v>41933</v>
      </c>
      <c r="B1275" s="21">
        <f>+Dates!$D$11-14</f>
        <v>41933</v>
      </c>
      <c r="C1275" s="22" t="s">
        <v>1940</v>
      </c>
      <c r="D1275" s="23" t="s">
        <v>1924</v>
      </c>
      <c r="E1275" s="24" t="s">
        <v>135</v>
      </c>
      <c r="F1275" s="24" t="s">
        <v>103</v>
      </c>
    </row>
    <row r="1276" spans="1:6" ht="151.5" customHeight="1" x14ac:dyDescent="0.2">
      <c r="A1276" s="21">
        <f>+Dates!$D$11-14</f>
        <v>41933</v>
      </c>
      <c r="B1276" s="21">
        <f>+Dates!$D$11-14</f>
        <v>41933</v>
      </c>
      <c r="C1276" s="22" t="s">
        <v>1939</v>
      </c>
      <c r="D1276" s="23" t="s">
        <v>1924</v>
      </c>
      <c r="E1276" s="24" t="s">
        <v>391</v>
      </c>
      <c r="F1276" s="24" t="s">
        <v>103</v>
      </c>
    </row>
    <row r="1277" spans="1:6" ht="152.25" customHeight="1" x14ac:dyDescent="0.2">
      <c r="A1277" s="21">
        <f>+Dates!$D$11-14</f>
        <v>41933</v>
      </c>
      <c r="B1277" s="21">
        <f>+Dates!$D$11-14</f>
        <v>41933</v>
      </c>
      <c r="C1277" s="22" t="s">
        <v>1938</v>
      </c>
      <c r="D1277" s="23" t="s">
        <v>1924</v>
      </c>
      <c r="E1277" s="24" t="s">
        <v>80</v>
      </c>
      <c r="F1277" s="24" t="s">
        <v>103</v>
      </c>
    </row>
    <row r="1278" spans="1:6" ht="154.5" customHeight="1" x14ac:dyDescent="0.2">
      <c r="A1278" s="21">
        <f>+Dates!$D$11-14</f>
        <v>41933</v>
      </c>
      <c r="B1278" s="21">
        <f>+Dates!$D$11-14</f>
        <v>41933</v>
      </c>
      <c r="C1278" s="22" t="s">
        <v>1937</v>
      </c>
      <c r="D1278" s="23" t="s">
        <v>1924</v>
      </c>
      <c r="E1278" s="24" t="s">
        <v>289</v>
      </c>
      <c r="F1278" s="24" t="s">
        <v>103</v>
      </c>
    </row>
    <row r="1279" spans="1:6" ht="150" customHeight="1" x14ac:dyDescent="0.2">
      <c r="A1279" s="21">
        <f>+Dates!$D$11-14</f>
        <v>41933</v>
      </c>
      <c r="B1279" s="21">
        <f>+Dates!$D$11-14</f>
        <v>41933</v>
      </c>
      <c r="C1279" s="22" t="s">
        <v>1936</v>
      </c>
      <c r="D1279" s="23" t="s">
        <v>1924</v>
      </c>
      <c r="E1279" s="24" t="s">
        <v>291</v>
      </c>
      <c r="F1279" s="24" t="s">
        <v>103</v>
      </c>
    </row>
    <row r="1280" spans="1:6" ht="161.25" customHeight="1" x14ac:dyDescent="0.2">
      <c r="A1280" s="21">
        <f>+Dates!$D$11-14</f>
        <v>41933</v>
      </c>
      <c r="B1280" s="21">
        <f>+Dates!$D$11-14</f>
        <v>41933</v>
      </c>
      <c r="C1280" s="22" t="s">
        <v>1935</v>
      </c>
      <c r="D1280" s="23" t="s">
        <v>1924</v>
      </c>
      <c r="E1280" s="24" t="s">
        <v>297</v>
      </c>
      <c r="F1280" s="24" t="s">
        <v>103</v>
      </c>
    </row>
    <row r="1281" spans="1:6" ht="156.75" customHeight="1" x14ac:dyDescent="0.2">
      <c r="A1281" s="21">
        <f>+Dates!$D$11-14</f>
        <v>41933</v>
      </c>
      <c r="B1281" s="21">
        <f>+Dates!$D$11-14</f>
        <v>41933</v>
      </c>
      <c r="C1281" s="22" t="s">
        <v>1925</v>
      </c>
      <c r="D1281" s="23" t="s">
        <v>1924</v>
      </c>
      <c r="E1281" s="24" t="s">
        <v>295</v>
      </c>
      <c r="F1281" s="24" t="s">
        <v>103</v>
      </c>
    </row>
    <row r="1282" spans="1:6" ht="124.5" customHeight="1" x14ac:dyDescent="0.2">
      <c r="A1282" s="21">
        <f>+Dates!$D$11-14</f>
        <v>41933</v>
      </c>
      <c r="B1282" s="21">
        <f>+Dates!$D$11-14</f>
        <v>41933</v>
      </c>
      <c r="C1282" s="22" t="s">
        <v>1537</v>
      </c>
      <c r="D1282" s="23" t="s">
        <v>155</v>
      </c>
      <c r="E1282" s="24" t="s">
        <v>61</v>
      </c>
      <c r="F1282" s="24" t="s">
        <v>107</v>
      </c>
    </row>
    <row r="1283" spans="1:6" ht="123" customHeight="1" x14ac:dyDescent="0.2">
      <c r="A1283" s="21">
        <f>+Dates!$D$11-14</f>
        <v>41933</v>
      </c>
      <c r="B1283" s="21">
        <f>+Dates!$D$11-14</f>
        <v>41933</v>
      </c>
      <c r="C1283" s="22" t="s">
        <v>1538</v>
      </c>
      <c r="D1283" s="23" t="s">
        <v>155</v>
      </c>
      <c r="E1283" s="24" t="s">
        <v>391</v>
      </c>
      <c r="F1283" s="24" t="s">
        <v>107</v>
      </c>
    </row>
    <row r="1284" spans="1:6" ht="123.75" customHeight="1" x14ac:dyDescent="0.2">
      <c r="A1284" s="21">
        <f>+Dates!$D$11-14</f>
        <v>41933</v>
      </c>
      <c r="B1284" s="21">
        <f>+Dates!$D$11-14</f>
        <v>41933</v>
      </c>
      <c r="C1284" s="22" t="s">
        <v>1539</v>
      </c>
      <c r="D1284" s="23" t="s">
        <v>155</v>
      </c>
      <c r="E1284" s="24" t="s">
        <v>80</v>
      </c>
      <c r="F1284" s="24" t="s">
        <v>107</v>
      </c>
    </row>
    <row r="1285" spans="1:6" ht="138" customHeight="1" x14ac:dyDescent="0.2">
      <c r="A1285" s="21">
        <f>+Dates!$D$11-14</f>
        <v>41933</v>
      </c>
      <c r="B1285" s="21">
        <f>+Dates!$D$11-14</f>
        <v>41933</v>
      </c>
      <c r="C1285" s="22" t="s">
        <v>1549</v>
      </c>
      <c r="D1285" s="23" t="s">
        <v>155</v>
      </c>
      <c r="E1285" s="24" t="s">
        <v>1062</v>
      </c>
      <c r="F1285" s="24" t="s">
        <v>107</v>
      </c>
    </row>
    <row r="1286" spans="1:6" ht="124.5" customHeight="1" x14ac:dyDescent="0.2">
      <c r="A1286" s="21">
        <f>+Dates!$D$11-14</f>
        <v>41933</v>
      </c>
      <c r="B1286" s="21">
        <f>+Dates!$D$11-14</f>
        <v>41933</v>
      </c>
      <c r="C1286" s="22" t="s">
        <v>1540</v>
      </c>
      <c r="D1286" s="23" t="s">
        <v>155</v>
      </c>
      <c r="E1286" s="24" t="s">
        <v>289</v>
      </c>
      <c r="F1286" s="24" t="s">
        <v>107</v>
      </c>
    </row>
    <row r="1287" spans="1:6" ht="132" customHeight="1" x14ac:dyDescent="0.2">
      <c r="A1287" s="21">
        <f>+Dates!$D$11-14</f>
        <v>41933</v>
      </c>
      <c r="B1287" s="21">
        <f>+Dates!$D$11-14</f>
        <v>41933</v>
      </c>
      <c r="C1287" s="22" t="s">
        <v>1541</v>
      </c>
      <c r="D1287" s="23" t="s">
        <v>155</v>
      </c>
      <c r="E1287" s="24" t="s">
        <v>291</v>
      </c>
      <c r="F1287" s="24" t="s">
        <v>107</v>
      </c>
    </row>
    <row r="1288" spans="1:6" ht="124.5" customHeight="1" x14ac:dyDescent="0.2">
      <c r="A1288" s="21">
        <f>+Dates!$D$11-14</f>
        <v>41933</v>
      </c>
      <c r="B1288" s="21">
        <f>+Dates!$D$11-14</f>
        <v>41933</v>
      </c>
      <c r="C1288" s="22" t="s">
        <v>1542</v>
      </c>
      <c r="D1288" s="23" t="s">
        <v>155</v>
      </c>
      <c r="E1288" s="24" t="s">
        <v>301</v>
      </c>
      <c r="F1288" s="24" t="s">
        <v>107</v>
      </c>
    </row>
    <row r="1289" spans="1:6" ht="122.25" customHeight="1" x14ac:dyDescent="0.2">
      <c r="A1289" s="21">
        <f>+Dates!$D$11-14</f>
        <v>41933</v>
      </c>
      <c r="B1289" s="21">
        <f>+Dates!$D$11-14</f>
        <v>41933</v>
      </c>
      <c r="C1289" s="22" t="s">
        <v>1543</v>
      </c>
      <c r="D1289" s="23" t="s">
        <v>155</v>
      </c>
      <c r="E1289" s="24" t="s">
        <v>297</v>
      </c>
      <c r="F1289" s="24" t="s">
        <v>107</v>
      </c>
    </row>
    <row r="1290" spans="1:6" ht="126.75" customHeight="1" x14ac:dyDescent="0.2">
      <c r="A1290" s="21">
        <f>+Dates!$D$11-14</f>
        <v>41933</v>
      </c>
      <c r="B1290" s="21">
        <f>+Dates!$D$11-14</f>
        <v>41933</v>
      </c>
      <c r="C1290" s="22" t="s">
        <v>1544</v>
      </c>
      <c r="D1290" s="23" t="s">
        <v>155</v>
      </c>
      <c r="E1290" s="24" t="s">
        <v>333</v>
      </c>
      <c r="F1290" s="24" t="s">
        <v>107</v>
      </c>
    </row>
    <row r="1291" spans="1:6" ht="129.75" customHeight="1" x14ac:dyDescent="0.2">
      <c r="A1291" s="21">
        <f>+Dates!$D$11-14</f>
        <v>41933</v>
      </c>
      <c r="B1291" s="21">
        <f>+Dates!$D$11-14</f>
        <v>41933</v>
      </c>
      <c r="C1291" s="22" t="s">
        <v>1550</v>
      </c>
      <c r="D1291" s="23" t="s">
        <v>155</v>
      </c>
      <c r="E1291" s="24" t="s">
        <v>333</v>
      </c>
      <c r="F1291" s="24" t="s">
        <v>107</v>
      </c>
    </row>
    <row r="1292" spans="1:6" ht="130.5" customHeight="1" x14ac:dyDescent="0.2">
      <c r="A1292" s="21">
        <f>+Dates!$D$11-14</f>
        <v>41933</v>
      </c>
      <c r="B1292" s="21">
        <f>+Dates!$D$11-14</f>
        <v>41933</v>
      </c>
      <c r="C1292" s="22" t="s">
        <v>1551</v>
      </c>
      <c r="D1292" s="23" t="s">
        <v>155</v>
      </c>
      <c r="E1292" s="24" t="s">
        <v>295</v>
      </c>
      <c r="F1292" s="24" t="s">
        <v>107</v>
      </c>
    </row>
    <row r="1293" spans="1:6" ht="155.25" customHeight="1" x14ac:dyDescent="0.2">
      <c r="A1293" s="21">
        <f>+Dates!$D$11-14</f>
        <v>41933</v>
      </c>
      <c r="B1293" s="21">
        <f>+Dates!$D$11-14</f>
        <v>41933</v>
      </c>
      <c r="C1293" s="22" t="s">
        <v>1720</v>
      </c>
      <c r="D1293" s="23" t="s">
        <v>816</v>
      </c>
      <c r="E1293" s="24" t="s">
        <v>61</v>
      </c>
      <c r="F1293" s="24" t="s">
        <v>103</v>
      </c>
    </row>
    <row r="1294" spans="1:6" ht="155.25" customHeight="1" x14ac:dyDescent="0.2">
      <c r="A1294" s="21">
        <f>+Dates!$D$11-14</f>
        <v>41933</v>
      </c>
      <c r="B1294" s="21">
        <f>+Dates!$D$11-14</f>
        <v>41933</v>
      </c>
      <c r="C1294" s="22" t="s">
        <v>1721</v>
      </c>
      <c r="D1294" s="23" t="s">
        <v>816</v>
      </c>
      <c r="E1294" s="24" t="s">
        <v>135</v>
      </c>
      <c r="F1294" s="24" t="s">
        <v>103</v>
      </c>
    </row>
    <row r="1295" spans="1:6" ht="158.25" customHeight="1" x14ac:dyDescent="0.2">
      <c r="A1295" s="21">
        <f>+Dates!$D$11-14</f>
        <v>41933</v>
      </c>
      <c r="B1295" s="21">
        <f>+Dates!$D$11-14</f>
        <v>41933</v>
      </c>
      <c r="C1295" s="22" t="s">
        <v>1722</v>
      </c>
      <c r="D1295" s="23" t="s">
        <v>816</v>
      </c>
      <c r="E1295" s="24" t="s">
        <v>391</v>
      </c>
      <c r="F1295" s="24" t="s">
        <v>103</v>
      </c>
    </row>
    <row r="1296" spans="1:6" ht="146.25" customHeight="1" x14ac:dyDescent="0.2">
      <c r="A1296" s="21">
        <f>+Dates!$D$11-14</f>
        <v>41933</v>
      </c>
      <c r="B1296" s="21">
        <f>+Dates!$D$11-14</f>
        <v>41933</v>
      </c>
      <c r="C1296" s="22" t="s">
        <v>1723</v>
      </c>
      <c r="D1296" s="23" t="s">
        <v>816</v>
      </c>
      <c r="E1296" s="24" t="s">
        <v>80</v>
      </c>
      <c r="F1296" s="24" t="s">
        <v>103</v>
      </c>
    </row>
    <row r="1297" spans="1:6" ht="152.25" customHeight="1" x14ac:dyDescent="0.2">
      <c r="A1297" s="21">
        <f>+Dates!$D$11-14</f>
        <v>41933</v>
      </c>
      <c r="B1297" s="21">
        <f>+Dates!$D$11-14</f>
        <v>41933</v>
      </c>
      <c r="C1297" s="22" t="s">
        <v>1724</v>
      </c>
      <c r="D1297" s="23" t="s">
        <v>816</v>
      </c>
      <c r="E1297" s="24" t="s">
        <v>289</v>
      </c>
      <c r="F1297" s="24" t="s">
        <v>103</v>
      </c>
    </row>
    <row r="1298" spans="1:6" ht="149.25" customHeight="1" x14ac:dyDescent="0.2">
      <c r="A1298" s="21">
        <f>+Dates!$D$11-14</f>
        <v>41933</v>
      </c>
      <c r="B1298" s="21">
        <f>+Dates!$D$11-14</f>
        <v>41933</v>
      </c>
      <c r="C1298" s="22" t="s">
        <v>1725</v>
      </c>
      <c r="D1298" s="23" t="s">
        <v>816</v>
      </c>
      <c r="E1298" s="24" t="s">
        <v>291</v>
      </c>
      <c r="F1298" s="24" t="s">
        <v>103</v>
      </c>
    </row>
    <row r="1299" spans="1:6" ht="160.5" customHeight="1" x14ac:dyDescent="0.2">
      <c r="A1299" s="21">
        <f>+Dates!$D$11-14</f>
        <v>41933</v>
      </c>
      <c r="B1299" s="21">
        <f>+Dates!$D$11-14</f>
        <v>41933</v>
      </c>
      <c r="C1299" s="22" t="s">
        <v>1726</v>
      </c>
      <c r="D1299" s="23" t="s">
        <v>816</v>
      </c>
      <c r="E1299" s="24" t="s">
        <v>297</v>
      </c>
      <c r="F1299" s="24" t="s">
        <v>103</v>
      </c>
    </row>
    <row r="1300" spans="1:6" ht="156.75" customHeight="1" x14ac:dyDescent="0.2">
      <c r="A1300" s="21">
        <f>+Dates!$D$11-14</f>
        <v>41933</v>
      </c>
      <c r="B1300" s="21">
        <f>+Dates!$D$11-14</f>
        <v>41933</v>
      </c>
      <c r="C1300" s="22" t="s">
        <v>1727</v>
      </c>
      <c r="D1300" s="23" t="s">
        <v>816</v>
      </c>
      <c r="E1300" s="24" t="s">
        <v>295</v>
      </c>
      <c r="F1300" s="24" t="s">
        <v>103</v>
      </c>
    </row>
    <row r="1301" spans="1:6" ht="90.75" customHeight="1" x14ac:dyDescent="0.2">
      <c r="A1301" s="21">
        <f>+Dates!$D$11-14</f>
        <v>41933</v>
      </c>
      <c r="B1301" s="21">
        <f>+Dates!$D$11-14</f>
        <v>41933</v>
      </c>
      <c r="C1301" s="22" t="s">
        <v>379</v>
      </c>
      <c r="D1301" s="23" t="s">
        <v>242</v>
      </c>
      <c r="E1301" s="24" t="s">
        <v>61</v>
      </c>
      <c r="F1301" s="24" t="s">
        <v>111</v>
      </c>
    </row>
    <row r="1302" spans="1:6" ht="95.25" customHeight="1" x14ac:dyDescent="0.2">
      <c r="A1302" s="21">
        <f>+Dates!$D$11-14</f>
        <v>41933</v>
      </c>
      <c r="B1302" s="21">
        <f>+Dates!$D$11-14</f>
        <v>41933</v>
      </c>
      <c r="C1302" s="22" t="s">
        <v>1063</v>
      </c>
      <c r="D1302" s="23" t="s">
        <v>242</v>
      </c>
      <c r="E1302" s="24" t="s">
        <v>80</v>
      </c>
      <c r="F1302" s="24" t="s">
        <v>111</v>
      </c>
    </row>
    <row r="1303" spans="1:6" ht="111.75" customHeight="1" x14ac:dyDescent="0.2">
      <c r="A1303" s="21">
        <f>+Dates!$D$11-14</f>
        <v>41933</v>
      </c>
      <c r="B1303" s="21">
        <f>+Dates!$D$11-1</f>
        <v>41946</v>
      </c>
      <c r="C1303" s="22" t="s">
        <v>34</v>
      </c>
      <c r="D1303" s="23" t="s">
        <v>183</v>
      </c>
      <c r="E1303" s="24" t="s">
        <v>61</v>
      </c>
      <c r="F1303" s="24" t="s">
        <v>306</v>
      </c>
    </row>
    <row r="1304" spans="1:6" ht="105" customHeight="1" x14ac:dyDescent="0.2">
      <c r="A1304" s="21">
        <f>+Dates!$D$11-14</f>
        <v>41933</v>
      </c>
      <c r="B1304" s="21">
        <f>+Dates!$D$11-1</f>
        <v>41946</v>
      </c>
      <c r="C1304" s="22" t="s">
        <v>236</v>
      </c>
      <c r="D1304" s="23" t="s">
        <v>183</v>
      </c>
      <c r="E1304" s="24" t="s">
        <v>391</v>
      </c>
      <c r="F1304" s="24" t="s">
        <v>306</v>
      </c>
    </row>
    <row r="1305" spans="1:6" ht="111" customHeight="1" x14ac:dyDescent="0.2">
      <c r="A1305" s="21">
        <f>+Dates!$D$11-14</f>
        <v>41933</v>
      </c>
      <c r="B1305" s="21">
        <f>+Dates!$D$11-1</f>
        <v>41946</v>
      </c>
      <c r="C1305" s="22" t="s">
        <v>33</v>
      </c>
      <c r="D1305" s="23" t="s">
        <v>183</v>
      </c>
      <c r="E1305" s="24" t="s">
        <v>80</v>
      </c>
      <c r="F1305" s="24" t="s">
        <v>306</v>
      </c>
    </row>
    <row r="1306" spans="1:6" ht="126" customHeight="1" x14ac:dyDescent="0.2">
      <c r="A1306" s="21">
        <f>+Dates!$D$11-14</f>
        <v>41933</v>
      </c>
      <c r="B1306" s="21">
        <f>+Dates!$D$11-1</f>
        <v>41946</v>
      </c>
      <c r="C1306" s="22" t="s">
        <v>1064</v>
      </c>
      <c r="D1306" s="23" t="s">
        <v>183</v>
      </c>
      <c r="E1306" s="24" t="s">
        <v>1062</v>
      </c>
      <c r="F1306" s="24" t="s">
        <v>306</v>
      </c>
    </row>
    <row r="1307" spans="1:6" ht="104.25" customHeight="1" x14ac:dyDescent="0.2">
      <c r="A1307" s="21">
        <f>+Dates!$D$11-14</f>
        <v>41933</v>
      </c>
      <c r="B1307" s="21">
        <f>+Dates!$D$11-1</f>
        <v>41946</v>
      </c>
      <c r="C1307" s="22" t="s">
        <v>1728</v>
      </c>
      <c r="D1307" s="23" t="s">
        <v>183</v>
      </c>
      <c r="E1307" s="24" t="s">
        <v>289</v>
      </c>
      <c r="F1307" s="24" t="s">
        <v>306</v>
      </c>
    </row>
    <row r="1308" spans="1:6" ht="105" customHeight="1" x14ac:dyDescent="0.2">
      <c r="A1308" s="21">
        <f>+Dates!$D$11-14</f>
        <v>41933</v>
      </c>
      <c r="B1308" s="21">
        <f>+Dates!$D$11-1</f>
        <v>41946</v>
      </c>
      <c r="C1308" s="22" t="s">
        <v>1065</v>
      </c>
      <c r="D1308" s="23" t="s">
        <v>183</v>
      </c>
      <c r="E1308" s="24" t="s">
        <v>291</v>
      </c>
      <c r="F1308" s="24" t="s">
        <v>306</v>
      </c>
    </row>
    <row r="1309" spans="1:6" ht="107.25" customHeight="1" x14ac:dyDescent="0.2">
      <c r="A1309" s="21">
        <f>+Dates!$D$11-14</f>
        <v>41933</v>
      </c>
      <c r="B1309" s="21">
        <f>+Dates!$D$11-1</f>
        <v>41946</v>
      </c>
      <c r="C1309" s="22" t="s">
        <v>1067</v>
      </c>
      <c r="D1309" s="23" t="s">
        <v>183</v>
      </c>
      <c r="E1309" s="24" t="s">
        <v>301</v>
      </c>
      <c r="F1309" s="24" t="s">
        <v>306</v>
      </c>
    </row>
    <row r="1310" spans="1:6" ht="112.5" customHeight="1" x14ac:dyDescent="0.2">
      <c r="A1310" s="21">
        <f>+Dates!$D$11-14</f>
        <v>41933</v>
      </c>
      <c r="B1310" s="21">
        <f>+Dates!$D$11-1</f>
        <v>41946</v>
      </c>
      <c r="C1310" s="22" t="s">
        <v>1066</v>
      </c>
      <c r="D1310" s="23" t="s">
        <v>183</v>
      </c>
      <c r="E1310" s="24" t="s">
        <v>297</v>
      </c>
      <c r="F1310" s="24" t="s">
        <v>306</v>
      </c>
    </row>
    <row r="1311" spans="1:6" ht="116.25" customHeight="1" x14ac:dyDescent="0.2">
      <c r="A1311" s="21">
        <f>+Dates!$D$11-14</f>
        <v>41933</v>
      </c>
      <c r="B1311" s="21">
        <f>+Dates!$D$11-1</f>
        <v>41946</v>
      </c>
      <c r="C1311" s="22" t="s">
        <v>1068</v>
      </c>
      <c r="D1311" s="23" t="s">
        <v>183</v>
      </c>
      <c r="E1311" s="24" t="s">
        <v>333</v>
      </c>
      <c r="F1311" s="24" t="s">
        <v>306</v>
      </c>
    </row>
    <row r="1312" spans="1:6" ht="112.5" customHeight="1" x14ac:dyDescent="0.2">
      <c r="A1312" s="21">
        <f>+Dates!$D$11-14</f>
        <v>41933</v>
      </c>
      <c r="B1312" s="21">
        <f>+Dates!$D$11-1</f>
        <v>41946</v>
      </c>
      <c r="C1312" s="22" t="s">
        <v>1069</v>
      </c>
      <c r="D1312" s="23" t="s">
        <v>183</v>
      </c>
      <c r="E1312" s="24" t="s">
        <v>160</v>
      </c>
      <c r="F1312" s="24" t="s">
        <v>306</v>
      </c>
    </row>
    <row r="1313" spans="1:6" ht="111" customHeight="1" x14ac:dyDescent="0.2">
      <c r="A1313" s="21">
        <f>+Dates!$D$11-14</f>
        <v>41933</v>
      </c>
      <c r="B1313" s="21">
        <f>+Dates!$D$11-1</f>
        <v>41946</v>
      </c>
      <c r="C1313" s="22" t="s">
        <v>1070</v>
      </c>
      <c r="D1313" s="23" t="s">
        <v>183</v>
      </c>
      <c r="E1313" s="24" t="s">
        <v>295</v>
      </c>
      <c r="F1313" s="24" t="s">
        <v>306</v>
      </c>
    </row>
    <row r="1314" spans="1:6" ht="150.75" customHeight="1" x14ac:dyDescent="0.2">
      <c r="A1314" s="21">
        <f>+Dates!$D$11-11</f>
        <v>41936</v>
      </c>
      <c r="B1314" s="21">
        <f>+Dates!$D$11-11</f>
        <v>41936</v>
      </c>
      <c r="C1314" s="22" t="s">
        <v>1646</v>
      </c>
      <c r="D1314" s="23" t="s">
        <v>788</v>
      </c>
      <c r="E1314" s="24" t="s">
        <v>61</v>
      </c>
      <c r="F1314" s="24" t="s">
        <v>103</v>
      </c>
    </row>
    <row r="1315" spans="1:6" ht="164.25" customHeight="1" x14ac:dyDescent="0.2">
      <c r="A1315" s="21">
        <f>+Dates!$D$11-11</f>
        <v>41936</v>
      </c>
      <c r="B1315" s="21">
        <f>+Dates!$D$11-11</f>
        <v>41936</v>
      </c>
      <c r="C1315" s="22" t="s">
        <v>1647</v>
      </c>
      <c r="D1315" s="23" t="s">
        <v>788</v>
      </c>
      <c r="E1315" s="24" t="s">
        <v>391</v>
      </c>
      <c r="F1315" s="24" t="s">
        <v>103</v>
      </c>
    </row>
    <row r="1316" spans="1:6" ht="142.5" customHeight="1" x14ac:dyDescent="0.2">
      <c r="A1316" s="21">
        <f>+Dates!$D$11-11</f>
        <v>41936</v>
      </c>
      <c r="B1316" s="21">
        <f>+Dates!$D$11-11</f>
        <v>41936</v>
      </c>
      <c r="C1316" s="22" t="s">
        <v>1648</v>
      </c>
      <c r="D1316" s="23" t="s">
        <v>788</v>
      </c>
      <c r="E1316" s="24" t="s">
        <v>80</v>
      </c>
      <c r="F1316" s="24" t="s">
        <v>103</v>
      </c>
    </row>
    <row r="1317" spans="1:6" ht="153.75" customHeight="1" x14ac:dyDescent="0.2">
      <c r="A1317" s="21">
        <f>+Dates!$D$11-11</f>
        <v>41936</v>
      </c>
      <c r="B1317" s="21">
        <f>+Dates!$D$11-11</f>
        <v>41936</v>
      </c>
      <c r="C1317" s="22" t="s">
        <v>1649</v>
      </c>
      <c r="D1317" s="23" t="s">
        <v>788</v>
      </c>
      <c r="E1317" s="24" t="s">
        <v>289</v>
      </c>
      <c r="F1317" s="24" t="s">
        <v>103</v>
      </c>
    </row>
    <row r="1318" spans="1:6" ht="161.25" customHeight="1" x14ac:dyDescent="0.2">
      <c r="A1318" s="21">
        <f>+Dates!$D$11-11</f>
        <v>41936</v>
      </c>
      <c r="B1318" s="21">
        <f>+Dates!$D$11-11</f>
        <v>41936</v>
      </c>
      <c r="C1318" s="22" t="s">
        <v>1650</v>
      </c>
      <c r="D1318" s="23" t="s">
        <v>788</v>
      </c>
      <c r="E1318" s="24" t="s">
        <v>291</v>
      </c>
      <c r="F1318" s="24" t="s">
        <v>103</v>
      </c>
    </row>
    <row r="1319" spans="1:6" ht="156" customHeight="1" x14ac:dyDescent="0.2">
      <c r="A1319" s="21">
        <f>+Dates!$D$11-11</f>
        <v>41936</v>
      </c>
      <c r="B1319" s="21">
        <f>+Dates!$D$11-11</f>
        <v>41936</v>
      </c>
      <c r="C1319" s="22" t="s">
        <v>1651</v>
      </c>
      <c r="D1319" s="23" t="s">
        <v>788</v>
      </c>
      <c r="E1319" s="24" t="s">
        <v>297</v>
      </c>
      <c r="F1319" s="24" t="s">
        <v>103</v>
      </c>
    </row>
    <row r="1320" spans="1:6" ht="153" customHeight="1" x14ac:dyDescent="0.2">
      <c r="A1320" s="21">
        <f>+Dates!$D$11-11</f>
        <v>41936</v>
      </c>
      <c r="B1320" s="21">
        <f>+Dates!$D$11-11</f>
        <v>41936</v>
      </c>
      <c r="C1320" s="22" t="s">
        <v>1652</v>
      </c>
      <c r="D1320" s="23" t="s">
        <v>788</v>
      </c>
      <c r="E1320" s="24" t="s">
        <v>333</v>
      </c>
      <c r="F1320" s="24" t="s">
        <v>103</v>
      </c>
    </row>
    <row r="1321" spans="1:6" ht="162" customHeight="1" x14ac:dyDescent="0.2">
      <c r="A1321" s="21">
        <f>+Dates!$D$11-11</f>
        <v>41936</v>
      </c>
      <c r="B1321" s="21">
        <f>+Dates!$D$11-11</f>
        <v>41936</v>
      </c>
      <c r="C1321" s="22" t="s">
        <v>1653</v>
      </c>
      <c r="D1321" s="23" t="s">
        <v>788</v>
      </c>
      <c r="E1321" s="24" t="s">
        <v>160</v>
      </c>
      <c r="F1321" s="24" t="s">
        <v>103</v>
      </c>
    </row>
    <row r="1322" spans="1:6" ht="66" customHeight="1" x14ac:dyDescent="0.2">
      <c r="A1322" s="21">
        <f>+Dates!$D$11-11</f>
        <v>41936</v>
      </c>
      <c r="B1322" s="21">
        <f>+Dates!$D$11-11</f>
        <v>41936</v>
      </c>
      <c r="C1322" s="22" t="s">
        <v>1071</v>
      </c>
      <c r="D1322" s="23" t="s">
        <v>9</v>
      </c>
      <c r="E1322" s="24" t="s">
        <v>295</v>
      </c>
      <c r="F1322" s="24" t="s">
        <v>103</v>
      </c>
    </row>
    <row r="1323" spans="1:6" ht="93" customHeight="1" x14ac:dyDescent="0.2">
      <c r="A1323" s="21">
        <f>+Dates!$D$11-11</f>
        <v>41936</v>
      </c>
      <c r="B1323" s="21">
        <f>+Dates!$D$11-11</f>
        <v>41936</v>
      </c>
      <c r="C1323" s="22" t="s">
        <v>1072</v>
      </c>
      <c r="D1323" s="23" t="s">
        <v>228</v>
      </c>
      <c r="E1323" s="24" t="s">
        <v>61</v>
      </c>
      <c r="F1323" s="24" t="s">
        <v>332</v>
      </c>
    </row>
    <row r="1324" spans="1:6" ht="76.5" customHeight="1" x14ac:dyDescent="0.2">
      <c r="A1324" s="21">
        <f>+Dates!$D$11-11</f>
        <v>41936</v>
      </c>
      <c r="B1324" s="21">
        <f>+Dates!$D$11-11</f>
        <v>41936</v>
      </c>
      <c r="C1324" s="22" t="s">
        <v>1073</v>
      </c>
      <c r="D1324" s="23" t="s">
        <v>228</v>
      </c>
      <c r="E1324" s="24" t="s">
        <v>80</v>
      </c>
      <c r="F1324" s="24" t="s">
        <v>332</v>
      </c>
    </row>
    <row r="1325" spans="1:6" ht="91.5" customHeight="1" x14ac:dyDescent="0.2">
      <c r="A1325" s="21">
        <f>+Dates!$D$11-11</f>
        <v>41936</v>
      </c>
      <c r="B1325" s="21">
        <f>+Dates!$D$11-11</f>
        <v>41936</v>
      </c>
      <c r="C1325" s="22" t="s">
        <v>1074</v>
      </c>
      <c r="D1325" s="23" t="s">
        <v>228</v>
      </c>
      <c r="E1325" s="24" t="s">
        <v>289</v>
      </c>
      <c r="F1325" s="24" t="s">
        <v>332</v>
      </c>
    </row>
    <row r="1326" spans="1:6" ht="91.5" customHeight="1" x14ac:dyDescent="0.2">
      <c r="A1326" s="21">
        <f>+Dates!$D$11-11</f>
        <v>41936</v>
      </c>
      <c r="B1326" s="21">
        <f>+Dates!$D$11-11</f>
        <v>41936</v>
      </c>
      <c r="C1326" s="22" t="s">
        <v>187</v>
      </c>
      <c r="D1326" s="23" t="s">
        <v>228</v>
      </c>
      <c r="E1326" s="24" t="s">
        <v>291</v>
      </c>
      <c r="F1326" s="24" t="s">
        <v>332</v>
      </c>
    </row>
    <row r="1327" spans="1:6" ht="91.5" customHeight="1" x14ac:dyDescent="0.2">
      <c r="A1327" s="21">
        <f>+Dates!$D$11-11</f>
        <v>41936</v>
      </c>
      <c r="B1327" s="21">
        <f>+Dates!$D$11-11</f>
        <v>41936</v>
      </c>
      <c r="C1327" s="22" t="s">
        <v>1075</v>
      </c>
      <c r="D1327" s="23" t="s">
        <v>228</v>
      </c>
      <c r="E1327" s="24" t="s">
        <v>301</v>
      </c>
      <c r="F1327" s="24" t="s">
        <v>332</v>
      </c>
    </row>
    <row r="1328" spans="1:6" ht="95.25" customHeight="1" x14ac:dyDescent="0.2">
      <c r="A1328" s="21">
        <f>+Dates!$D$11-11</f>
        <v>41936</v>
      </c>
      <c r="B1328" s="21">
        <f>+Dates!$D$11-11</f>
        <v>41936</v>
      </c>
      <c r="C1328" s="22" t="s">
        <v>1076</v>
      </c>
      <c r="D1328" s="23" t="s">
        <v>228</v>
      </c>
      <c r="E1328" s="24" t="s">
        <v>297</v>
      </c>
      <c r="F1328" s="24" t="s">
        <v>332</v>
      </c>
    </row>
    <row r="1329" spans="1:6" ht="58.5" customHeight="1" x14ac:dyDescent="0.2">
      <c r="A1329" s="21">
        <f>+Dates!$D$11-11</f>
        <v>41936</v>
      </c>
      <c r="B1329" s="21">
        <f>+Dates!$D$11-11</f>
        <v>41936</v>
      </c>
      <c r="C1329" s="22" t="s">
        <v>1077</v>
      </c>
      <c r="D1329" s="23" t="s">
        <v>114</v>
      </c>
      <c r="E1329" s="24" t="s">
        <v>61</v>
      </c>
      <c r="F1329" s="24" t="s">
        <v>299</v>
      </c>
    </row>
    <row r="1330" spans="1:6" ht="60.75" customHeight="1" x14ac:dyDescent="0.2">
      <c r="A1330" s="21">
        <f>+Dates!$D$11-11</f>
        <v>41936</v>
      </c>
      <c r="B1330" s="21">
        <f>+Dates!$D$11-11</f>
        <v>41936</v>
      </c>
      <c r="C1330" s="22" t="s">
        <v>174</v>
      </c>
      <c r="D1330" s="23" t="s">
        <v>114</v>
      </c>
      <c r="E1330" s="24" t="s">
        <v>135</v>
      </c>
      <c r="F1330" s="24" t="s">
        <v>299</v>
      </c>
    </row>
    <row r="1331" spans="1:6" ht="57" customHeight="1" x14ac:dyDescent="0.2">
      <c r="A1331" s="21">
        <f>+Dates!$D$11-11</f>
        <v>41936</v>
      </c>
      <c r="B1331" s="21">
        <f>+Dates!$D$11-11</f>
        <v>41936</v>
      </c>
      <c r="C1331" s="22" t="s">
        <v>1078</v>
      </c>
      <c r="D1331" s="23" t="s">
        <v>114</v>
      </c>
      <c r="E1331" s="24" t="s">
        <v>391</v>
      </c>
      <c r="F1331" s="24" t="s">
        <v>299</v>
      </c>
    </row>
    <row r="1332" spans="1:6" ht="57.75" customHeight="1" x14ac:dyDescent="0.2">
      <c r="A1332" s="21">
        <f>+Dates!$D$11-11</f>
        <v>41936</v>
      </c>
      <c r="B1332" s="21">
        <f>+Dates!$D$11-11</f>
        <v>41936</v>
      </c>
      <c r="C1332" s="22" t="s">
        <v>1079</v>
      </c>
      <c r="D1332" s="23" t="s">
        <v>114</v>
      </c>
      <c r="E1332" s="24" t="s">
        <v>80</v>
      </c>
      <c r="F1332" s="24" t="s">
        <v>299</v>
      </c>
    </row>
    <row r="1333" spans="1:6" ht="73.5" customHeight="1" x14ac:dyDescent="0.2">
      <c r="A1333" s="21">
        <f>+Dates!$D$11-11</f>
        <v>41936</v>
      </c>
      <c r="B1333" s="21">
        <f>+Dates!$D$11-11</f>
        <v>41936</v>
      </c>
      <c r="C1333" s="22" t="s">
        <v>1080</v>
      </c>
      <c r="D1333" s="23" t="s">
        <v>114</v>
      </c>
      <c r="E1333" s="24" t="s">
        <v>1062</v>
      </c>
      <c r="F1333" s="24" t="s">
        <v>299</v>
      </c>
    </row>
    <row r="1334" spans="1:6" ht="64.5" customHeight="1" x14ac:dyDescent="0.2">
      <c r="A1334" s="21">
        <f>+Dates!$D$11-11</f>
        <v>41936</v>
      </c>
      <c r="B1334" s="21">
        <f>+Dates!$D$11-11</f>
        <v>41936</v>
      </c>
      <c r="C1334" s="22" t="s">
        <v>365</v>
      </c>
      <c r="D1334" s="23" t="s">
        <v>114</v>
      </c>
      <c r="E1334" s="24" t="s">
        <v>289</v>
      </c>
      <c r="F1334" s="24" t="s">
        <v>299</v>
      </c>
    </row>
    <row r="1335" spans="1:6" ht="62.25" customHeight="1" x14ac:dyDescent="0.2">
      <c r="A1335" s="21">
        <f>+Dates!$D$11-11</f>
        <v>41936</v>
      </c>
      <c r="B1335" s="21">
        <f>+Dates!$D$11-11</f>
        <v>41936</v>
      </c>
      <c r="C1335" s="22" t="s">
        <v>1081</v>
      </c>
      <c r="D1335" s="23" t="s">
        <v>114</v>
      </c>
      <c r="E1335" s="24" t="s">
        <v>291</v>
      </c>
      <c r="F1335" s="24" t="s">
        <v>299</v>
      </c>
    </row>
    <row r="1336" spans="1:6" ht="69.75" customHeight="1" x14ac:dyDescent="0.2">
      <c r="A1336" s="21">
        <f>+Dates!$D$11-11</f>
        <v>41936</v>
      </c>
      <c r="B1336" s="21">
        <f>+Dates!$D$11-11</f>
        <v>41936</v>
      </c>
      <c r="C1336" s="22" t="s">
        <v>1082</v>
      </c>
      <c r="D1336" s="23" t="s">
        <v>114</v>
      </c>
      <c r="E1336" s="24" t="s">
        <v>297</v>
      </c>
      <c r="F1336" s="24" t="s">
        <v>299</v>
      </c>
    </row>
    <row r="1337" spans="1:6" ht="75" customHeight="1" x14ac:dyDescent="0.2">
      <c r="A1337" s="21">
        <f>+Dates!$D$11-11</f>
        <v>41936</v>
      </c>
      <c r="B1337" s="21">
        <f>+Dates!$D$11-11</f>
        <v>41936</v>
      </c>
      <c r="C1337" s="22" t="s">
        <v>1083</v>
      </c>
      <c r="D1337" s="23" t="s">
        <v>114</v>
      </c>
      <c r="E1337" s="24" t="s">
        <v>333</v>
      </c>
      <c r="F1337" s="24" t="s">
        <v>299</v>
      </c>
    </row>
    <row r="1338" spans="1:6" ht="75.75" customHeight="1" x14ac:dyDescent="0.2">
      <c r="A1338" s="21">
        <f>+Dates!$D$11-11</f>
        <v>41936</v>
      </c>
      <c r="B1338" s="21">
        <f>+Dates!$D$11-11</f>
        <v>41936</v>
      </c>
      <c r="C1338" s="22" t="s">
        <v>1084</v>
      </c>
      <c r="D1338" s="23" t="s">
        <v>114</v>
      </c>
      <c r="E1338" s="24" t="s">
        <v>160</v>
      </c>
      <c r="F1338" s="24" t="s">
        <v>299</v>
      </c>
    </row>
    <row r="1339" spans="1:6" ht="65.25" customHeight="1" x14ac:dyDescent="0.2">
      <c r="A1339" s="21">
        <f>+Dates!$D$11-11</f>
        <v>41936</v>
      </c>
      <c r="B1339" s="21">
        <f>+Dates!$D$11-11</f>
        <v>41936</v>
      </c>
      <c r="C1339" s="22" t="s">
        <v>308</v>
      </c>
      <c r="D1339" s="23" t="s">
        <v>114</v>
      </c>
      <c r="E1339" s="24" t="s">
        <v>295</v>
      </c>
      <c r="F1339" s="24" t="s">
        <v>299</v>
      </c>
    </row>
    <row r="1340" spans="1:6" ht="159" customHeight="1" x14ac:dyDescent="0.2">
      <c r="A1340" s="21">
        <f>+Dates!$D$11-7</f>
        <v>41940</v>
      </c>
      <c r="B1340" s="21">
        <f>+Dates!$D$11-7</f>
        <v>41940</v>
      </c>
      <c r="C1340" s="22" t="s">
        <v>1934</v>
      </c>
      <c r="D1340" s="23" t="s">
        <v>1924</v>
      </c>
      <c r="E1340" s="24" t="s">
        <v>61</v>
      </c>
      <c r="F1340" s="24" t="s">
        <v>103</v>
      </c>
    </row>
    <row r="1341" spans="1:6" ht="162" customHeight="1" x14ac:dyDescent="0.2">
      <c r="A1341" s="21">
        <f>+Dates!$D$11-7</f>
        <v>41940</v>
      </c>
      <c r="B1341" s="21">
        <f>+Dates!$D$11-7</f>
        <v>41940</v>
      </c>
      <c r="C1341" s="22" t="s">
        <v>1933</v>
      </c>
      <c r="D1341" s="23" t="s">
        <v>1924</v>
      </c>
      <c r="E1341" s="24" t="s">
        <v>391</v>
      </c>
      <c r="F1341" s="24" t="s">
        <v>103</v>
      </c>
    </row>
    <row r="1342" spans="1:6" ht="155.25" customHeight="1" x14ac:dyDescent="0.2">
      <c r="A1342" s="21">
        <f>+Dates!$D$11-7</f>
        <v>41940</v>
      </c>
      <c r="B1342" s="21">
        <f>+Dates!$D$11-7</f>
        <v>41940</v>
      </c>
      <c r="C1342" s="22" t="s">
        <v>1932</v>
      </c>
      <c r="D1342" s="23" t="s">
        <v>1924</v>
      </c>
      <c r="E1342" s="24" t="s">
        <v>80</v>
      </c>
      <c r="F1342" s="24" t="s">
        <v>103</v>
      </c>
    </row>
    <row r="1343" spans="1:6" ht="161.25" customHeight="1" x14ac:dyDescent="0.2">
      <c r="A1343" s="21">
        <f>+Dates!$D$11-7</f>
        <v>41940</v>
      </c>
      <c r="B1343" s="21">
        <f>+Dates!$D$11-7</f>
        <v>41940</v>
      </c>
      <c r="C1343" s="22" t="s">
        <v>1927</v>
      </c>
      <c r="D1343" s="23" t="s">
        <v>1924</v>
      </c>
      <c r="E1343" s="24" t="s">
        <v>289</v>
      </c>
      <c r="F1343" s="24" t="s">
        <v>103</v>
      </c>
    </row>
    <row r="1344" spans="1:6" ht="156.75" customHeight="1" x14ac:dyDescent="0.2">
      <c r="A1344" s="21">
        <f>+Dates!$D$11-7</f>
        <v>41940</v>
      </c>
      <c r="B1344" s="21">
        <f>+Dates!$D$11-7</f>
        <v>41940</v>
      </c>
      <c r="C1344" s="22" t="s">
        <v>1928</v>
      </c>
      <c r="D1344" s="23" t="s">
        <v>1924</v>
      </c>
      <c r="E1344" s="24" t="s">
        <v>291</v>
      </c>
      <c r="F1344" s="24" t="s">
        <v>103</v>
      </c>
    </row>
    <row r="1345" spans="1:6" ht="163.5" customHeight="1" x14ac:dyDescent="0.2">
      <c r="A1345" s="21">
        <f>+Dates!$D$11-7</f>
        <v>41940</v>
      </c>
      <c r="B1345" s="21">
        <f>+Dates!$D$11-7</f>
        <v>41940</v>
      </c>
      <c r="C1345" s="22" t="s">
        <v>1929</v>
      </c>
      <c r="D1345" s="23" t="s">
        <v>1924</v>
      </c>
      <c r="E1345" s="24" t="s">
        <v>61</v>
      </c>
      <c r="F1345" s="24" t="s">
        <v>103</v>
      </c>
    </row>
    <row r="1346" spans="1:6" ht="163.5" customHeight="1" x14ac:dyDescent="0.2">
      <c r="A1346" s="21">
        <f>+Dates!$D$11-7</f>
        <v>41940</v>
      </c>
      <c r="B1346" s="21">
        <f>+Dates!$D$11-7</f>
        <v>41940</v>
      </c>
      <c r="C1346" s="22" t="s">
        <v>1930</v>
      </c>
      <c r="D1346" s="23" t="s">
        <v>1924</v>
      </c>
      <c r="E1346" s="24" t="s">
        <v>333</v>
      </c>
      <c r="F1346" s="24" t="s">
        <v>103</v>
      </c>
    </row>
    <row r="1347" spans="1:6" ht="162.75" customHeight="1" x14ac:dyDescent="0.2">
      <c r="A1347" s="21">
        <f>+Dates!$D$11-7</f>
        <v>41940</v>
      </c>
      <c r="B1347" s="21">
        <f>+Dates!$D$11-7</f>
        <v>41940</v>
      </c>
      <c r="C1347" s="22" t="s">
        <v>1931</v>
      </c>
      <c r="D1347" s="23" t="s">
        <v>1924</v>
      </c>
      <c r="E1347" s="24" t="s">
        <v>160</v>
      </c>
      <c r="F1347" s="24" t="s">
        <v>103</v>
      </c>
    </row>
    <row r="1348" spans="1:6" ht="153" customHeight="1" x14ac:dyDescent="0.2">
      <c r="A1348" s="21">
        <f>+Dates!$D$11-7</f>
        <v>41940</v>
      </c>
      <c r="B1348" s="21">
        <f>+Dates!$D$11-7</f>
        <v>41940</v>
      </c>
      <c r="C1348" s="22" t="s">
        <v>1926</v>
      </c>
      <c r="D1348" s="23" t="s">
        <v>1924</v>
      </c>
      <c r="E1348" s="24" t="s">
        <v>295</v>
      </c>
      <c r="F1348" s="24" t="s">
        <v>103</v>
      </c>
    </row>
    <row r="1349" spans="1:6" ht="72.75" customHeight="1" x14ac:dyDescent="0.2">
      <c r="A1349" s="21">
        <f>+Dates!$D$11-7</f>
        <v>41940</v>
      </c>
      <c r="B1349" s="21">
        <f>+Dates!$D$11-7</f>
        <v>41940</v>
      </c>
      <c r="C1349" s="22" t="s">
        <v>1085</v>
      </c>
      <c r="D1349" s="23" t="s">
        <v>194</v>
      </c>
      <c r="E1349" s="24" t="s">
        <v>61</v>
      </c>
      <c r="F1349" s="24" t="s">
        <v>195</v>
      </c>
    </row>
    <row r="1350" spans="1:6" ht="67.5" customHeight="1" x14ac:dyDescent="0.2">
      <c r="A1350" s="21">
        <f>+Dates!$D$11-7</f>
        <v>41940</v>
      </c>
      <c r="B1350" s="21">
        <f>+Dates!$D$11-7</f>
        <v>41940</v>
      </c>
      <c r="C1350" s="22" t="s">
        <v>81</v>
      </c>
      <c r="D1350" s="23" t="s">
        <v>194</v>
      </c>
      <c r="E1350" s="24" t="s">
        <v>80</v>
      </c>
      <c r="F1350" s="24" t="s">
        <v>195</v>
      </c>
    </row>
    <row r="1351" spans="1:6" ht="75" customHeight="1" x14ac:dyDescent="0.2">
      <c r="A1351" s="21">
        <f>+Dates!$D$11-7</f>
        <v>41940</v>
      </c>
      <c r="B1351" s="21">
        <f>+Dates!$D$11-7</f>
        <v>41940</v>
      </c>
      <c r="C1351" s="22" t="s">
        <v>1086</v>
      </c>
      <c r="D1351" s="23" t="s">
        <v>194</v>
      </c>
      <c r="E1351" s="24" t="s">
        <v>289</v>
      </c>
      <c r="F1351" s="24" t="s">
        <v>195</v>
      </c>
    </row>
    <row r="1352" spans="1:6" ht="75" customHeight="1" x14ac:dyDescent="0.2">
      <c r="A1352" s="21">
        <f>+Dates!$D$11-7</f>
        <v>41940</v>
      </c>
      <c r="B1352" s="21">
        <f>+Dates!$D$11-7</f>
        <v>41940</v>
      </c>
      <c r="C1352" s="22" t="s">
        <v>1087</v>
      </c>
      <c r="D1352" s="23" t="s">
        <v>194</v>
      </c>
      <c r="E1352" s="24" t="s">
        <v>291</v>
      </c>
      <c r="F1352" s="24" t="s">
        <v>195</v>
      </c>
    </row>
    <row r="1353" spans="1:6" ht="69.75" customHeight="1" x14ac:dyDescent="0.2">
      <c r="A1353" s="21">
        <f>+Dates!$D$11-7</f>
        <v>41940</v>
      </c>
      <c r="B1353" s="21">
        <f>+Dates!$D$11-7</f>
        <v>41940</v>
      </c>
      <c r="C1353" s="22" t="s">
        <v>1088</v>
      </c>
      <c r="D1353" s="23" t="s">
        <v>194</v>
      </c>
      <c r="E1353" s="24" t="s">
        <v>301</v>
      </c>
      <c r="F1353" s="24" t="s">
        <v>195</v>
      </c>
    </row>
    <row r="1354" spans="1:6" ht="79.5" customHeight="1" x14ac:dyDescent="0.2">
      <c r="A1354" s="21">
        <f>+Dates!$D$11-7</f>
        <v>41940</v>
      </c>
      <c r="B1354" s="21">
        <f>+Dates!$D$11-7</f>
        <v>41940</v>
      </c>
      <c r="C1354" s="22" t="s">
        <v>1089</v>
      </c>
      <c r="D1354" s="23" t="s">
        <v>194</v>
      </c>
      <c r="E1354" s="24" t="s">
        <v>297</v>
      </c>
      <c r="F1354" s="24" t="s">
        <v>195</v>
      </c>
    </row>
    <row r="1355" spans="1:6" ht="159" customHeight="1" x14ac:dyDescent="0.2">
      <c r="A1355" s="21">
        <f>+Dates!$D$11-7</f>
        <v>41940</v>
      </c>
      <c r="B1355" s="21">
        <f>+Dates!$D$11-7</f>
        <v>41940</v>
      </c>
      <c r="C1355" s="22" t="s">
        <v>1090</v>
      </c>
      <c r="D1355" s="23" t="s">
        <v>177</v>
      </c>
      <c r="E1355" s="24" t="s">
        <v>61</v>
      </c>
      <c r="F1355" s="24" t="s">
        <v>299</v>
      </c>
    </row>
    <row r="1356" spans="1:6" ht="152.25" customHeight="1" x14ac:dyDescent="0.2">
      <c r="A1356" s="21">
        <f>+Dates!$D$11-7</f>
        <v>41940</v>
      </c>
      <c r="B1356" s="21">
        <f>+Dates!$D$11-7</f>
        <v>41940</v>
      </c>
      <c r="C1356" s="22" t="s">
        <v>1091</v>
      </c>
      <c r="D1356" s="23" t="s">
        <v>177</v>
      </c>
      <c r="E1356" s="24" t="s">
        <v>135</v>
      </c>
      <c r="F1356" s="24" t="s">
        <v>299</v>
      </c>
    </row>
    <row r="1357" spans="1:6" ht="157.5" customHeight="1" x14ac:dyDescent="0.2">
      <c r="A1357" s="21">
        <f>+Dates!$D$11-7</f>
        <v>41940</v>
      </c>
      <c r="B1357" s="21">
        <f>+Dates!$D$11-7</f>
        <v>41940</v>
      </c>
      <c r="C1357" s="22" t="s">
        <v>1092</v>
      </c>
      <c r="D1357" s="23" t="s">
        <v>177</v>
      </c>
      <c r="E1357" s="24" t="s">
        <v>391</v>
      </c>
      <c r="F1357" s="24" t="s">
        <v>299</v>
      </c>
    </row>
    <row r="1358" spans="1:6" ht="149.25" customHeight="1" x14ac:dyDescent="0.2">
      <c r="A1358" s="21">
        <f>+Dates!$D$11-7</f>
        <v>41940</v>
      </c>
      <c r="B1358" s="21">
        <f>+Dates!$D$11-7</f>
        <v>41940</v>
      </c>
      <c r="C1358" s="22" t="s">
        <v>1093</v>
      </c>
      <c r="D1358" s="23" t="s">
        <v>177</v>
      </c>
      <c r="E1358" s="24" t="s">
        <v>80</v>
      </c>
      <c r="F1358" s="24" t="s">
        <v>299</v>
      </c>
    </row>
    <row r="1359" spans="1:6" ht="172.5" customHeight="1" x14ac:dyDescent="0.2">
      <c r="A1359" s="21">
        <f>+Dates!$D$11-7</f>
        <v>41940</v>
      </c>
      <c r="B1359" s="21">
        <f>+Dates!$D$11-7</f>
        <v>41940</v>
      </c>
      <c r="C1359" s="22" t="s">
        <v>1094</v>
      </c>
      <c r="D1359" s="23" t="s">
        <v>177</v>
      </c>
      <c r="E1359" s="24" t="s">
        <v>1062</v>
      </c>
      <c r="F1359" s="24" t="s">
        <v>299</v>
      </c>
    </row>
    <row r="1360" spans="1:6" ht="124.5" customHeight="1" x14ac:dyDescent="0.2">
      <c r="A1360" s="21">
        <f>+Dates!$D$11-7</f>
        <v>41940</v>
      </c>
      <c r="B1360" s="21">
        <f>+Dates!$D$11</f>
        <v>41947</v>
      </c>
      <c r="C1360" s="22" t="s">
        <v>1685</v>
      </c>
      <c r="D1360" s="23" t="s">
        <v>419</v>
      </c>
      <c r="E1360" s="24" t="s">
        <v>61</v>
      </c>
      <c r="F1360" s="24" t="s">
        <v>305</v>
      </c>
    </row>
    <row r="1361" spans="1:6" ht="123.75" customHeight="1" x14ac:dyDescent="0.2">
      <c r="A1361" s="21">
        <f>+Dates!$D$11-7</f>
        <v>41940</v>
      </c>
      <c r="B1361" s="21">
        <f>+Dates!$D$11</f>
        <v>41947</v>
      </c>
      <c r="C1361" s="22" t="s">
        <v>1692</v>
      </c>
      <c r="D1361" s="23" t="s">
        <v>419</v>
      </c>
      <c r="E1361" s="24" t="s">
        <v>391</v>
      </c>
      <c r="F1361" s="24" t="s">
        <v>305</v>
      </c>
    </row>
    <row r="1362" spans="1:6" ht="117.75" customHeight="1" x14ac:dyDescent="0.2">
      <c r="A1362" s="21">
        <f>+Dates!$D$11-7</f>
        <v>41940</v>
      </c>
      <c r="B1362" s="21">
        <f>+Dates!$D$11</f>
        <v>41947</v>
      </c>
      <c r="C1362" s="22" t="s">
        <v>1686</v>
      </c>
      <c r="D1362" s="23" t="s">
        <v>419</v>
      </c>
      <c r="E1362" s="24" t="s">
        <v>80</v>
      </c>
      <c r="F1362" s="24" t="s">
        <v>305</v>
      </c>
    </row>
    <row r="1363" spans="1:6" ht="146.25" customHeight="1" x14ac:dyDescent="0.2">
      <c r="A1363" s="21">
        <f>+Dates!$D$11-7</f>
        <v>41940</v>
      </c>
      <c r="B1363" s="21">
        <f>+Dates!$D$11</f>
        <v>41947</v>
      </c>
      <c r="C1363" s="22" t="s">
        <v>1693</v>
      </c>
      <c r="D1363" s="23" t="s">
        <v>419</v>
      </c>
      <c r="E1363" s="24" t="s">
        <v>1062</v>
      </c>
      <c r="F1363" s="24" t="s">
        <v>305</v>
      </c>
    </row>
    <row r="1364" spans="1:6" ht="120.75" customHeight="1" x14ac:dyDescent="0.2">
      <c r="A1364" s="21">
        <f>+Dates!$D$11-7</f>
        <v>41940</v>
      </c>
      <c r="B1364" s="21">
        <f>+Dates!$D$11</f>
        <v>41947</v>
      </c>
      <c r="C1364" s="22" t="s">
        <v>1687</v>
      </c>
      <c r="D1364" s="23" t="s">
        <v>419</v>
      </c>
      <c r="E1364" s="24" t="s">
        <v>289</v>
      </c>
      <c r="F1364" s="24" t="s">
        <v>305</v>
      </c>
    </row>
    <row r="1365" spans="1:6" ht="124.5" customHeight="1" x14ac:dyDescent="0.2">
      <c r="A1365" s="21">
        <f>+Dates!$D$11-7</f>
        <v>41940</v>
      </c>
      <c r="B1365" s="21">
        <f>+Dates!$D$11</f>
        <v>41947</v>
      </c>
      <c r="C1365" s="22" t="s">
        <v>1688</v>
      </c>
      <c r="D1365" s="23" t="s">
        <v>419</v>
      </c>
      <c r="E1365" s="24" t="s">
        <v>291</v>
      </c>
      <c r="F1365" s="24" t="s">
        <v>305</v>
      </c>
    </row>
    <row r="1366" spans="1:6" ht="131.25" customHeight="1" x14ac:dyDescent="0.2">
      <c r="A1366" s="21">
        <f>+Dates!$D$11-7</f>
        <v>41940</v>
      </c>
      <c r="B1366" s="21">
        <f>+Dates!$D$11</f>
        <v>41947</v>
      </c>
      <c r="C1366" s="22" t="s">
        <v>1689</v>
      </c>
      <c r="D1366" s="23" t="s">
        <v>419</v>
      </c>
      <c r="E1366" s="24" t="s">
        <v>301</v>
      </c>
      <c r="F1366" s="24" t="s">
        <v>305</v>
      </c>
    </row>
    <row r="1367" spans="1:6" ht="130.5" customHeight="1" x14ac:dyDescent="0.2">
      <c r="A1367" s="21">
        <f>+Dates!$D$11-7</f>
        <v>41940</v>
      </c>
      <c r="B1367" s="21">
        <f>+Dates!$D$11</f>
        <v>41947</v>
      </c>
      <c r="C1367" s="22" t="s">
        <v>1690</v>
      </c>
      <c r="D1367" s="23" t="s">
        <v>419</v>
      </c>
      <c r="E1367" s="24" t="s">
        <v>297</v>
      </c>
      <c r="F1367" s="24" t="s">
        <v>305</v>
      </c>
    </row>
    <row r="1368" spans="1:6" ht="132.75" customHeight="1" x14ac:dyDescent="0.2">
      <c r="A1368" s="21">
        <f>+Dates!$D$11-7</f>
        <v>41940</v>
      </c>
      <c r="B1368" s="21">
        <f>+Dates!$D$11</f>
        <v>41947</v>
      </c>
      <c r="C1368" s="22" t="s">
        <v>1691</v>
      </c>
      <c r="D1368" s="23" t="s">
        <v>419</v>
      </c>
      <c r="E1368" s="24" t="s">
        <v>333</v>
      </c>
      <c r="F1368" s="24" t="s">
        <v>305</v>
      </c>
    </row>
    <row r="1369" spans="1:6" ht="121.5" customHeight="1" x14ac:dyDescent="0.2">
      <c r="A1369" s="21">
        <f>+Dates!$D$11-7</f>
        <v>41940</v>
      </c>
      <c r="B1369" s="21">
        <f>+Dates!$D$11</f>
        <v>41947</v>
      </c>
      <c r="C1369" s="22" t="s">
        <v>1694</v>
      </c>
      <c r="D1369" s="23" t="s">
        <v>419</v>
      </c>
      <c r="E1369" s="24" t="s">
        <v>160</v>
      </c>
      <c r="F1369" s="24" t="s">
        <v>305</v>
      </c>
    </row>
    <row r="1370" spans="1:6" ht="127.5" customHeight="1" x14ac:dyDescent="0.2">
      <c r="A1370" s="21">
        <f>+Dates!$D$11-7</f>
        <v>41940</v>
      </c>
      <c r="B1370" s="21">
        <f>+Dates!$D$11</f>
        <v>41947</v>
      </c>
      <c r="C1370" s="22" t="s">
        <v>1695</v>
      </c>
      <c r="D1370" s="23" t="s">
        <v>419</v>
      </c>
      <c r="E1370" s="24" t="s">
        <v>295</v>
      </c>
      <c r="F1370" s="24" t="s">
        <v>305</v>
      </c>
    </row>
    <row r="1371" spans="1:6" ht="256.5" customHeight="1" x14ac:dyDescent="0.2">
      <c r="A1371" s="21">
        <f>+Dates!$D$11-7</f>
        <v>41940</v>
      </c>
      <c r="B1371" s="21">
        <f>+Dates!$D$11</f>
        <v>41947</v>
      </c>
      <c r="C1371" s="22" t="s">
        <v>1750</v>
      </c>
      <c r="D1371" s="23" t="s">
        <v>372</v>
      </c>
      <c r="E1371" s="24" t="s">
        <v>61</v>
      </c>
      <c r="F1371" s="24" t="s">
        <v>305</v>
      </c>
    </row>
    <row r="1372" spans="1:6" ht="259.5" customHeight="1" x14ac:dyDescent="0.2">
      <c r="A1372" s="21">
        <f>+Dates!$D$11-7</f>
        <v>41940</v>
      </c>
      <c r="B1372" s="21">
        <f>+Dates!$D$11</f>
        <v>41947</v>
      </c>
      <c r="C1372" s="22" t="s">
        <v>1757</v>
      </c>
      <c r="D1372" s="23" t="s">
        <v>372</v>
      </c>
      <c r="E1372" s="24" t="s">
        <v>391</v>
      </c>
      <c r="F1372" s="24" t="s">
        <v>305</v>
      </c>
    </row>
    <row r="1373" spans="1:6" ht="258.75" customHeight="1" x14ac:dyDescent="0.2">
      <c r="A1373" s="21">
        <f>+Dates!$D$11-7</f>
        <v>41940</v>
      </c>
      <c r="B1373" s="21">
        <f>+Dates!$D$11</f>
        <v>41947</v>
      </c>
      <c r="C1373" s="22" t="s">
        <v>1751</v>
      </c>
      <c r="D1373" s="23" t="s">
        <v>372</v>
      </c>
      <c r="E1373" s="24" t="s">
        <v>80</v>
      </c>
      <c r="F1373" s="24" t="s">
        <v>305</v>
      </c>
    </row>
    <row r="1374" spans="1:6" ht="268.5" customHeight="1" x14ac:dyDescent="0.2">
      <c r="A1374" s="21">
        <f>+Dates!$D$11-7</f>
        <v>41940</v>
      </c>
      <c r="B1374" s="21">
        <f>+Dates!$D$11</f>
        <v>41947</v>
      </c>
      <c r="C1374" s="22" t="s">
        <v>1758</v>
      </c>
      <c r="D1374" s="23" t="s">
        <v>372</v>
      </c>
      <c r="E1374" s="24" t="s">
        <v>1062</v>
      </c>
      <c r="F1374" s="24" t="s">
        <v>305</v>
      </c>
    </row>
    <row r="1375" spans="1:6" ht="255" customHeight="1" x14ac:dyDescent="0.2">
      <c r="A1375" s="21">
        <f>+Dates!$D$11-7</f>
        <v>41940</v>
      </c>
      <c r="B1375" s="21">
        <f>+Dates!$D$11</f>
        <v>41947</v>
      </c>
      <c r="C1375" s="22" t="s">
        <v>1752</v>
      </c>
      <c r="D1375" s="23" t="s">
        <v>372</v>
      </c>
      <c r="E1375" s="24" t="s">
        <v>289</v>
      </c>
      <c r="F1375" s="24" t="s">
        <v>305</v>
      </c>
    </row>
    <row r="1376" spans="1:6" ht="260.25" customHeight="1" x14ac:dyDescent="0.2">
      <c r="A1376" s="21">
        <f>+Dates!$D$11-7</f>
        <v>41940</v>
      </c>
      <c r="B1376" s="21">
        <f>+Dates!$D$11</f>
        <v>41947</v>
      </c>
      <c r="C1376" s="22" t="s">
        <v>1753</v>
      </c>
      <c r="D1376" s="23" t="s">
        <v>372</v>
      </c>
      <c r="E1376" s="24" t="s">
        <v>291</v>
      </c>
      <c r="F1376" s="24" t="s">
        <v>305</v>
      </c>
    </row>
    <row r="1377" spans="1:6" ht="261" customHeight="1" x14ac:dyDescent="0.2">
      <c r="A1377" s="21">
        <f>+Dates!$D$11-7</f>
        <v>41940</v>
      </c>
      <c r="B1377" s="21">
        <f>+Dates!$D$11</f>
        <v>41947</v>
      </c>
      <c r="C1377" s="22" t="s">
        <v>1754</v>
      </c>
      <c r="D1377" s="23" t="s">
        <v>372</v>
      </c>
      <c r="E1377" s="24" t="s">
        <v>301</v>
      </c>
      <c r="F1377" s="24" t="s">
        <v>305</v>
      </c>
    </row>
    <row r="1378" spans="1:6" ht="276" customHeight="1" x14ac:dyDescent="0.2">
      <c r="A1378" s="21">
        <f>+Dates!$D$11-7</f>
        <v>41940</v>
      </c>
      <c r="B1378" s="21">
        <f>+Dates!$D$11</f>
        <v>41947</v>
      </c>
      <c r="C1378" s="22" t="s">
        <v>1755</v>
      </c>
      <c r="D1378" s="23" t="s">
        <v>372</v>
      </c>
      <c r="E1378" s="24" t="s">
        <v>297</v>
      </c>
      <c r="F1378" s="24" t="s">
        <v>305</v>
      </c>
    </row>
    <row r="1379" spans="1:6" ht="262.5" customHeight="1" x14ac:dyDescent="0.2">
      <c r="A1379" s="21">
        <f>+Dates!$D$11-7</f>
        <v>41940</v>
      </c>
      <c r="B1379" s="21">
        <f>+Dates!$D$11</f>
        <v>41947</v>
      </c>
      <c r="C1379" s="22" t="s">
        <v>1756</v>
      </c>
      <c r="D1379" s="23" t="s">
        <v>372</v>
      </c>
      <c r="E1379" s="24" t="s">
        <v>333</v>
      </c>
      <c r="F1379" s="24" t="s">
        <v>305</v>
      </c>
    </row>
    <row r="1380" spans="1:6" ht="264.75" customHeight="1" x14ac:dyDescent="0.2">
      <c r="A1380" s="21">
        <f>+Dates!$D$11-7</f>
        <v>41940</v>
      </c>
      <c r="B1380" s="21">
        <f>+Dates!$D$11</f>
        <v>41947</v>
      </c>
      <c r="C1380" s="22" t="s">
        <v>1759</v>
      </c>
      <c r="D1380" s="23" t="s">
        <v>372</v>
      </c>
      <c r="E1380" s="24" t="s">
        <v>160</v>
      </c>
      <c r="F1380" s="24" t="s">
        <v>305</v>
      </c>
    </row>
    <row r="1381" spans="1:6" ht="255.75" customHeight="1" x14ac:dyDescent="0.2">
      <c r="A1381" s="21">
        <f>+Dates!$D$11-7</f>
        <v>41940</v>
      </c>
      <c r="B1381" s="21">
        <f>+Dates!$D$11</f>
        <v>41947</v>
      </c>
      <c r="C1381" s="22" t="s">
        <v>1760</v>
      </c>
      <c r="D1381" s="23" t="s">
        <v>372</v>
      </c>
      <c r="E1381" s="24" t="s">
        <v>295</v>
      </c>
      <c r="F1381" s="24" t="s">
        <v>305</v>
      </c>
    </row>
    <row r="1382" spans="1:6" ht="182.25" customHeight="1" x14ac:dyDescent="0.2">
      <c r="A1382" s="21">
        <f>+Dates!$D$11-5</f>
        <v>41942</v>
      </c>
      <c r="B1382" s="21">
        <f>+Dates!$D$11-5</f>
        <v>41942</v>
      </c>
      <c r="C1382" s="22" t="s">
        <v>1707</v>
      </c>
      <c r="D1382" s="23" t="s">
        <v>1708</v>
      </c>
      <c r="E1382" s="24" t="s">
        <v>61</v>
      </c>
      <c r="F1382" s="24" t="s">
        <v>1709</v>
      </c>
    </row>
    <row r="1383" spans="1:6" ht="182.25" customHeight="1" x14ac:dyDescent="0.2">
      <c r="A1383" s="21">
        <f>+Dates!$D$11-5</f>
        <v>41942</v>
      </c>
      <c r="B1383" s="21">
        <f>+Dates!$D$11-5</f>
        <v>41942</v>
      </c>
      <c r="C1383" s="22" t="s">
        <v>1710</v>
      </c>
      <c r="D1383" s="23" t="s">
        <v>1708</v>
      </c>
      <c r="E1383" s="24" t="s">
        <v>80</v>
      </c>
      <c r="F1383" s="24" t="s">
        <v>1709</v>
      </c>
    </row>
    <row r="1384" spans="1:6" ht="182.25" customHeight="1" x14ac:dyDescent="0.2">
      <c r="A1384" s="21">
        <f>+Dates!$D$11-5</f>
        <v>41942</v>
      </c>
      <c r="B1384" s="21">
        <f>+Dates!$D$11-5</f>
        <v>41942</v>
      </c>
      <c r="C1384" s="22" t="s">
        <v>1716</v>
      </c>
      <c r="D1384" s="23" t="s">
        <v>1708</v>
      </c>
      <c r="E1384" s="24" t="s">
        <v>1062</v>
      </c>
      <c r="F1384" s="24" t="s">
        <v>1709</v>
      </c>
    </row>
    <row r="1385" spans="1:6" ht="182.25" customHeight="1" x14ac:dyDescent="0.2">
      <c r="A1385" s="21">
        <f>+Dates!$D$11-5</f>
        <v>41942</v>
      </c>
      <c r="B1385" s="21">
        <f>+Dates!$D$11-5</f>
        <v>41942</v>
      </c>
      <c r="C1385" s="22" t="s">
        <v>1711</v>
      </c>
      <c r="D1385" s="23" t="s">
        <v>1708</v>
      </c>
      <c r="E1385" s="24" t="s">
        <v>289</v>
      </c>
      <c r="F1385" s="24" t="s">
        <v>1709</v>
      </c>
    </row>
    <row r="1386" spans="1:6" ht="182.25" customHeight="1" x14ac:dyDescent="0.2">
      <c r="A1386" s="21">
        <f>+Dates!$D$11-5</f>
        <v>41942</v>
      </c>
      <c r="B1386" s="21">
        <f>+Dates!$D$11-5</f>
        <v>41942</v>
      </c>
      <c r="C1386" s="22" t="s">
        <v>1712</v>
      </c>
      <c r="D1386" s="23" t="s">
        <v>1708</v>
      </c>
      <c r="E1386" s="24" t="s">
        <v>291</v>
      </c>
      <c r="F1386" s="24" t="s">
        <v>1709</v>
      </c>
    </row>
    <row r="1387" spans="1:6" ht="182.25" customHeight="1" x14ac:dyDescent="0.2">
      <c r="A1387" s="21">
        <f>+Dates!$D$11-5</f>
        <v>41942</v>
      </c>
      <c r="B1387" s="21">
        <f>+Dates!$D$11-5</f>
        <v>41942</v>
      </c>
      <c r="C1387" s="22" t="s">
        <v>1713</v>
      </c>
      <c r="D1387" s="23" t="s">
        <v>1708</v>
      </c>
      <c r="E1387" s="24" t="s">
        <v>301</v>
      </c>
      <c r="F1387" s="24" t="s">
        <v>1709</v>
      </c>
    </row>
    <row r="1388" spans="1:6" ht="182.25" customHeight="1" x14ac:dyDescent="0.2">
      <c r="A1388" s="21">
        <f>+Dates!$D$11-5</f>
        <v>41942</v>
      </c>
      <c r="B1388" s="21">
        <f>+Dates!$D$11-5</f>
        <v>41942</v>
      </c>
      <c r="C1388" s="22" t="s">
        <v>1717</v>
      </c>
      <c r="D1388" s="23" t="s">
        <v>1708</v>
      </c>
      <c r="E1388" s="24" t="s">
        <v>297</v>
      </c>
      <c r="F1388" s="24" t="s">
        <v>1709</v>
      </c>
    </row>
    <row r="1389" spans="1:6" ht="182.25" customHeight="1" x14ac:dyDescent="0.2">
      <c r="A1389" s="21">
        <f>+Dates!$D$11-5</f>
        <v>41942</v>
      </c>
      <c r="B1389" s="21">
        <f>+Dates!$D$11-5</f>
        <v>41942</v>
      </c>
      <c r="C1389" s="22" t="s">
        <v>1715</v>
      </c>
      <c r="D1389" s="23" t="s">
        <v>1708</v>
      </c>
      <c r="E1389" s="24" t="s">
        <v>333</v>
      </c>
      <c r="F1389" s="24" t="s">
        <v>1709</v>
      </c>
    </row>
    <row r="1390" spans="1:6" ht="192" customHeight="1" x14ac:dyDescent="0.2">
      <c r="A1390" s="21">
        <f>+Dates!$D$11-5</f>
        <v>41942</v>
      </c>
      <c r="B1390" s="21">
        <f>+Dates!$D$11-5</f>
        <v>41942</v>
      </c>
      <c r="C1390" s="22" t="s">
        <v>1718</v>
      </c>
      <c r="D1390" s="23" t="s">
        <v>1708</v>
      </c>
      <c r="E1390" s="24" t="s">
        <v>160</v>
      </c>
      <c r="F1390" s="24" t="s">
        <v>1709</v>
      </c>
    </row>
    <row r="1391" spans="1:6" ht="189.75" customHeight="1" x14ac:dyDescent="0.2">
      <c r="A1391" s="21">
        <f>+Dates!$D$11-5</f>
        <v>41942</v>
      </c>
      <c r="B1391" s="21">
        <f>+Dates!$D$11-5</f>
        <v>41942</v>
      </c>
      <c r="C1391" s="22" t="s">
        <v>1719</v>
      </c>
      <c r="D1391" s="23" t="s">
        <v>1708</v>
      </c>
      <c r="E1391" s="24" t="s">
        <v>295</v>
      </c>
      <c r="F1391" s="24" t="s">
        <v>1709</v>
      </c>
    </row>
    <row r="1392" spans="1:6" ht="130.5" customHeight="1" x14ac:dyDescent="0.2">
      <c r="A1392" s="21">
        <f>+Dates!$D$11-4</f>
        <v>41943</v>
      </c>
      <c r="B1392" s="21">
        <f>+Dates!$D$11-4</f>
        <v>41943</v>
      </c>
      <c r="C1392" s="22" t="s">
        <v>1095</v>
      </c>
      <c r="D1392" s="23" t="s">
        <v>110</v>
      </c>
      <c r="E1392" s="24" t="s">
        <v>61</v>
      </c>
      <c r="F1392" s="24" t="s">
        <v>111</v>
      </c>
    </row>
    <row r="1393" spans="1:6" ht="123" customHeight="1" x14ac:dyDescent="0.2">
      <c r="A1393" s="21">
        <f>+Dates!$D$11-4</f>
        <v>41943</v>
      </c>
      <c r="B1393" s="21">
        <f>+Dates!$D$11-4</f>
        <v>41943</v>
      </c>
      <c r="C1393" s="22" t="s">
        <v>1096</v>
      </c>
      <c r="D1393" s="23" t="s">
        <v>110</v>
      </c>
      <c r="E1393" s="24" t="s">
        <v>80</v>
      </c>
      <c r="F1393" s="24" t="s">
        <v>111</v>
      </c>
    </row>
    <row r="1394" spans="1:6" ht="136.5" customHeight="1" x14ac:dyDescent="0.2">
      <c r="A1394" s="21">
        <f>+Dates!$D$11-4</f>
        <v>41943</v>
      </c>
      <c r="B1394" s="21">
        <f>+Dates!$D$11-4</f>
        <v>41943</v>
      </c>
      <c r="C1394" s="22" t="s">
        <v>1097</v>
      </c>
      <c r="D1394" s="23" t="s">
        <v>110</v>
      </c>
      <c r="E1394" s="24" t="s">
        <v>289</v>
      </c>
      <c r="F1394" s="24" t="s">
        <v>111</v>
      </c>
    </row>
    <row r="1395" spans="1:6" ht="128.25" customHeight="1" x14ac:dyDescent="0.2">
      <c r="A1395" s="21">
        <f>+Dates!$D$11-4</f>
        <v>41943</v>
      </c>
      <c r="B1395" s="21">
        <f>+Dates!$D$11-4</f>
        <v>41943</v>
      </c>
      <c r="C1395" s="22" t="s">
        <v>1098</v>
      </c>
      <c r="D1395" s="23" t="s">
        <v>110</v>
      </c>
      <c r="E1395" s="24" t="s">
        <v>291</v>
      </c>
      <c r="F1395" s="24" t="s">
        <v>111</v>
      </c>
    </row>
    <row r="1396" spans="1:6" ht="141" customHeight="1" x14ac:dyDescent="0.2">
      <c r="A1396" s="21">
        <f>+Dates!$D$11-4</f>
        <v>41943</v>
      </c>
      <c r="B1396" s="21">
        <f>+Dates!$D$11-4</f>
        <v>41943</v>
      </c>
      <c r="C1396" s="22" t="s">
        <v>1099</v>
      </c>
      <c r="D1396" s="23" t="s">
        <v>110</v>
      </c>
      <c r="E1396" s="24" t="s">
        <v>301</v>
      </c>
      <c r="F1396" s="24" t="s">
        <v>111</v>
      </c>
    </row>
    <row r="1397" spans="1:6" ht="141" customHeight="1" x14ac:dyDescent="0.2">
      <c r="A1397" s="21">
        <f>+Dates!$D$11-4</f>
        <v>41943</v>
      </c>
      <c r="B1397" s="21">
        <f>+Dates!$D$11-4</f>
        <v>41943</v>
      </c>
      <c r="C1397" s="22" t="s">
        <v>1100</v>
      </c>
      <c r="D1397" s="23" t="s">
        <v>110</v>
      </c>
      <c r="E1397" s="24" t="s">
        <v>297</v>
      </c>
      <c r="F1397" s="24" t="s">
        <v>111</v>
      </c>
    </row>
    <row r="1398" spans="1:6" ht="75" customHeight="1" x14ac:dyDescent="0.2">
      <c r="A1398" s="21">
        <f>+Dates!$D$11-4</f>
        <v>41943</v>
      </c>
      <c r="B1398" s="21">
        <f>+Dates!$D$11-4</f>
        <v>41943</v>
      </c>
      <c r="C1398" s="22" t="s">
        <v>1101</v>
      </c>
      <c r="D1398" s="23" t="s">
        <v>220</v>
      </c>
      <c r="E1398" s="24" t="s">
        <v>61</v>
      </c>
      <c r="F1398" s="24" t="s">
        <v>103</v>
      </c>
    </row>
    <row r="1399" spans="1:6" ht="74.25" customHeight="1" x14ac:dyDescent="0.2">
      <c r="A1399" s="21">
        <f>+Dates!$D$11-4</f>
        <v>41943</v>
      </c>
      <c r="B1399" s="21">
        <f>+Dates!$D$11-4</f>
        <v>41943</v>
      </c>
      <c r="C1399" s="22" t="s">
        <v>1102</v>
      </c>
      <c r="D1399" s="23" t="s">
        <v>220</v>
      </c>
      <c r="E1399" s="24" t="s">
        <v>391</v>
      </c>
      <c r="F1399" s="24" t="s">
        <v>103</v>
      </c>
    </row>
    <row r="1400" spans="1:6" ht="69.75" customHeight="1" x14ac:dyDescent="0.2">
      <c r="A1400" s="21">
        <f>+Dates!$D$11-4</f>
        <v>41943</v>
      </c>
      <c r="B1400" s="21">
        <f>+Dates!$D$11-4</f>
        <v>41943</v>
      </c>
      <c r="C1400" s="22" t="s">
        <v>1103</v>
      </c>
      <c r="D1400" s="23" t="s">
        <v>220</v>
      </c>
      <c r="E1400" s="24" t="s">
        <v>80</v>
      </c>
      <c r="F1400" s="24" t="s">
        <v>103</v>
      </c>
    </row>
    <row r="1401" spans="1:6" ht="74.25" customHeight="1" x14ac:dyDescent="0.2">
      <c r="A1401" s="21">
        <f>+Dates!$D$11-4</f>
        <v>41943</v>
      </c>
      <c r="B1401" s="21">
        <f>+Dates!$D$11-4</f>
        <v>41943</v>
      </c>
      <c r="C1401" s="22" t="s">
        <v>1104</v>
      </c>
      <c r="D1401" s="23" t="s">
        <v>220</v>
      </c>
      <c r="E1401" s="24" t="s">
        <v>333</v>
      </c>
      <c r="F1401" s="24" t="s">
        <v>103</v>
      </c>
    </row>
    <row r="1402" spans="1:6" ht="87.75" customHeight="1" x14ac:dyDescent="0.2">
      <c r="A1402" s="21">
        <f>+Dates!$D$11-4</f>
        <v>41943</v>
      </c>
      <c r="B1402" s="21">
        <f>+Dates!$D$11-4</f>
        <v>41943</v>
      </c>
      <c r="C1402" s="22" t="s">
        <v>1105</v>
      </c>
      <c r="D1402" s="23" t="s">
        <v>220</v>
      </c>
      <c r="E1402" s="24" t="s">
        <v>160</v>
      </c>
      <c r="F1402" s="24" t="s">
        <v>103</v>
      </c>
    </row>
    <row r="1403" spans="1:6" ht="200.25" customHeight="1" x14ac:dyDescent="0.2">
      <c r="A1403" s="21">
        <f>+Dates!$D$11-4</f>
        <v>41943</v>
      </c>
      <c r="B1403" s="21">
        <f>+Dates!$D$11-4</f>
        <v>41943</v>
      </c>
      <c r="C1403" s="22" t="s">
        <v>1696</v>
      </c>
      <c r="D1403" s="23" t="s">
        <v>155</v>
      </c>
      <c r="E1403" s="24" t="s">
        <v>61</v>
      </c>
      <c r="F1403" s="24" t="s">
        <v>107</v>
      </c>
    </row>
    <row r="1404" spans="1:6" ht="200.25" customHeight="1" x14ac:dyDescent="0.2">
      <c r="A1404" s="21">
        <f>+Dates!$D$11-4</f>
        <v>41943</v>
      </c>
      <c r="B1404" s="21">
        <f>+Dates!$D$11-4</f>
        <v>41943</v>
      </c>
      <c r="C1404" s="22" t="s">
        <v>1697</v>
      </c>
      <c r="D1404" s="23" t="s">
        <v>155</v>
      </c>
      <c r="E1404" s="24" t="s">
        <v>391</v>
      </c>
      <c r="F1404" s="24" t="s">
        <v>107</v>
      </c>
    </row>
    <row r="1405" spans="1:6" ht="200.25" customHeight="1" x14ac:dyDescent="0.2">
      <c r="A1405" s="21">
        <f>+Dates!$D$11-4</f>
        <v>41943</v>
      </c>
      <c r="B1405" s="21">
        <f>+Dates!$D$11-4</f>
        <v>41943</v>
      </c>
      <c r="C1405" s="22" t="s">
        <v>1698</v>
      </c>
      <c r="D1405" s="23" t="s">
        <v>155</v>
      </c>
      <c r="E1405" s="24" t="s">
        <v>80</v>
      </c>
      <c r="F1405" s="24" t="s">
        <v>107</v>
      </c>
    </row>
    <row r="1406" spans="1:6" ht="200.25" customHeight="1" x14ac:dyDescent="0.2">
      <c r="A1406" s="21">
        <f>+Dates!$D$11-4</f>
        <v>41943</v>
      </c>
      <c r="B1406" s="21">
        <f>+Dates!$D$11-4</f>
        <v>41943</v>
      </c>
      <c r="C1406" s="22" t="s">
        <v>1704</v>
      </c>
      <c r="D1406" s="23" t="s">
        <v>155</v>
      </c>
      <c r="E1406" s="24" t="s">
        <v>1062</v>
      </c>
      <c r="F1406" s="24" t="s">
        <v>107</v>
      </c>
    </row>
    <row r="1407" spans="1:6" ht="200.25" customHeight="1" x14ac:dyDescent="0.2">
      <c r="A1407" s="21">
        <f>+Dates!$D$11-4</f>
        <v>41943</v>
      </c>
      <c r="B1407" s="21">
        <f>+Dates!$D$11-4</f>
        <v>41943</v>
      </c>
      <c r="C1407" s="22" t="s">
        <v>1699</v>
      </c>
      <c r="D1407" s="23" t="s">
        <v>155</v>
      </c>
      <c r="E1407" s="24" t="s">
        <v>289</v>
      </c>
      <c r="F1407" s="24" t="s">
        <v>107</v>
      </c>
    </row>
    <row r="1408" spans="1:6" ht="200.25" customHeight="1" x14ac:dyDescent="0.2">
      <c r="A1408" s="21">
        <f>+Dates!$D$11-4</f>
        <v>41943</v>
      </c>
      <c r="B1408" s="21">
        <f>+Dates!$D$11-4</f>
        <v>41943</v>
      </c>
      <c r="C1408" s="22" t="s">
        <v>1700</v>
      </c>
      <c r="D1408" s="23" t="s">
        <v>155</v>
      </c>
      <c r="E1408" s="24" t="s">
        <v>291</v>
      </c>
      <c r="F1408" s="24" t="s">
        <v>107</v>
      </c>
    </row>
    <row r="1409" spans="1:6" ht="200.25" customHeight="1" x14ac:dyDescent="0.2">
      <c r="A1409" s="21">
        <f>+Dates!$D$11-4</f>
        <v>41943</v>
      </c>
      <c r="B1409" s="21">
        <f>+Dates!$D$11-4</f>
        <v>41943</v>
      </c>
      <c r="C1409" s="22" t="s">
        <v>1701</v>
      </c>
      <c r="D1409" s="23" t="s">
        <v>155</v>
      </c>
      <c r="E1409" s="24" t="s">
        <v>301</v>
      </c>
      <c r="F1409" s="24" t="s">
        <v>107</v>
      </c>
    </row>
    <row r="1410" spans="1:6" ht="200.25" customHeight="1" x14ac:dyDescent="0.2">
      <c r="A1410" s="21">
        <f>+Dates!$D$11-4</f>
        <v>41943</v>
      </c>
      <c r="B1410" s="21">
        <f>+Dates!$D$11-4</f>
        <v>41943</v>
      </c>
      <c r="C1410" s="22" t="s">
        <v>1702</v>
      </c>
      <c r="D1410" s="23" t="s">
        <v>155</v>
      </c>
      <c r="E1410" s="24" t="s">
        <v>297</v>
      </c>
      <c r="F1410" s="24" t="s">
        <v>107</v>
      </c>
    </row>
    <row r="1411" spans="1:6" ht="200.25" customHeight="1" x14ac:dyDescent="0.2">
      <c r="A1411" s="21">
        <f>+Dates!$D$11-4</f>
        <v>41943</v>
      </c>
      <c r="B1411" s="21">
        <f>+Dates!$D$11-4</f>
        <v>41943</v>
      </c>
      <c r="C1411" s="22" t="s">
        <v>1703</v>
      </c>
      <c r="D1411" s="23" t="s">
        <v>155</v>
      </c>
      <c r="E1411" s="24" t="s">
        <v>333</v>
      </c>
      <c r="F1411" s="24" t="s">
        <v>107</v>
      </c>
    </row>
    <row r="1412" spans="1:6" ht="200.25" customHeight="1" x14ac:dyDescent="0.2">
      <c r="A1412" s="21">
        <f>+Dates!$D$11-4</f>
        <v>41943</v>
      </c>
      <c r="B1412" s="21">
        <f>+Dates!$D$11-4</f>
        <v>41943</v>
      </c>
      <c r="C1412" s="22" t="s">
        <v>1705</v>
      </c>
      <c r="D1412" s="23" t="s">
        <v>155</v>
      </c>
      <c r="E1412" s="24" t="s">
        <v>160</v>
      </c>
      <c r="F1412" s="24" t="s">
        <v>107</v>
      </c>
    </row>
    <row r="1413" spans="1:6" ht="200.25" customHeight="1" x14ac:dyDescent="0.2">
      <c r="A1413" s="21">
        <f>+Dates!$D$11-4</f>
        <v>41943</v>
      </c>
      <c r="B1413" s="21">
        <f>+Dates!$D$11-4</f>
        <v>41943</v>
      </c>
      <c r="C1413" s="22" t="s">
        <v>1706</v>
      </c>
      <c r="D1413" s="23" t="s">
        <v>155</v>
      </c>
      <c r="E1413" s="24" t="s">
        <v>295</v>
      </c>
      <c r="F1413" s="24" t="s">
        <v>107</v>
      </c>
    </row>
    <row r="1414" spans="1:6" ht="106.5" customHeight="1" x14ac:dyDescent="0.2">
      <c r="A1414" s="21">
        <f>+Dates!$D$11-3</f>
        <v>41944</v>
      </c>
      <c r="B1414" s="21">
        <f>+Dates!$D$11-3</f>
        <v>41944</v>
      </c>
      <c r="C1414" s="22" t="s">
        <v>374</v>
      </c>
      <c r="D1414" s="23" t="s">
        <v>263</v>
      </c>
      <c r="E1414" s="24" t="s">
        <v>61</v>
      </c>
      <c r="F1414" s="24" t="s">
        <v>305</v>
      </c>
    </row>
    <row r="1415" spans="1:6" ht="60.75" customHeight="1" x14ac:dyDescent="0.2">
      <c r="A1415" s="21">
        <f>+Dates!$D$11-3</f>
        <v>41944</v>
      </c>
      <c r="B1415" s="21">
        <f>+Dates!$D$11-3</f>
        <v>41944</v>
      </c>
      <c r="C1415" s="22" t="s">
        <v>328</v>
      </c>
      <c r="D1415" s="23" t="s">
        <v>263</v>
      </c>
      <c r="E1415" s="24" t="s">
        <v>391</v>
      </c>
      <c r="F1415" s="24" t="s">
        <v>305</v>
      </c>
    </row>
    <row r="1416" spans="1:6" ht="105" customHeight="1" x14ac:dyDescent="0.2">
      <c r="A1416" s="21">
        <f>+Dates!$D$11-3</f>
        <v>41944</v>
      </c>
      <c r="B1416" s="21">
        <f>+Dates!$D$11-3</f>
        <v>41944</v>
      </c>
      <c r="C1416" s="22" t="s">
        <v>262</v>
      </c>
      <c r="D1416" s="23" t="s">
        <v>263</v>
      </c>
      <c r="E1416" s="24" t="s">
        <v>292</v>
      </c>
      <c r="F1416" s="24" t="s">
        <v>305</v>
      </c>
    </row>
    <row r="1417" spans="1:6" ht="119.25" customHeight="1" x14ac:dyDescent="0.2">
      <c r="A1417" s="21">
        <f>+Dates!$D$11-3</f>
        <v>41944</v>
      </c>
      <c r="B1417" s="21">
        <f>+Dates!$D$11-3</f>
        <v>41944</v>
      </c>
      <c r="C1417" s="22" t="s">
        <v>1110</v>
      </c>
      <c r="D1417" s="23" t="s">
        <v>263</v>
      </c>
      <c r="E1417" s="24" t="s">
        <v>1062</v>
      </c>
      <c r="F1417" s="24" t="s">
        <v>305</v>
      </c>
    </row>
    <row r="1418" spans="1:6" ht="72" customHeight="1" x14ac:dyDescent="0.2">
      <c r="A1418" s="21">
        <f>+Dates!$D$11-3</f>
        <v>41944</v>
      </c>
      <c r="B1418" s="21">
        <f>+Dates!$D$11-3</f>
        <v>41944</v>
      </c>
      <c r="C1418" s="22" t="s">
        <v>326</v>
      </c>
      <c r="D1418" s="23" t="s">
        <v>263</v>
      </c>
      <c r="E1418" s="24" t="s">
        <v>289</v>
      </c>
      <c r="F1418" s="24" t="s">
        <v>305</v>
      </c>
    </row>
    <row r="1419" spans="1:6" ht="82.5" customHeight="1" x14ac:dyDescent="0.2">
      <c r="A1419" s="21">
        <f>+Dates!$D$11-3</f>
        <v>41944</v>
      </c>
      <c r="B1419" s="21">
        <f>+Dates!$D$11-3</f>
        <v>41944</v>
      </c>
      <c r="C1419" s="22" t="s">
        <v>327</v>
      </c>
      <c r="D1419" s="23" t="s">
        <v>263</v>
      </c>
      <c r="E1419" s="24" t="s">
        <v>291</v>
      </c>
      <c r="F1419" s="24" t="s">
        <v>305</v>
      </c>
    </row>
    <row r="1420" spans="1:6" ht="77.25" customHeight="1" x14ac:dyDescent="0.2">
      <c r="A1420" s="21">
        <f>+Dates!$D$11-3</f>
        <v>41944</v>
      </c>
      <c r="B1420" s="21">
        <f>+Dates!$D$11-3</f>
        <v>41944</v>
      </c>
      <c r="C1420" s="22" t="s">
        <v>238</v>
      </c>
      <c r="D1420" s="23" t="s">
        <v>263</v>
      </c>
      <c r="E1420" s="24" t="s">
        <v>301</v>
      </c>
      <c r="F1420" s="24" t="s">
        <v>305</v>
      </c>
    </row>
    <row r="1421" spans="1:6" ht="80.25" customHeight="1" x14ac:dyDescent="0.2">
      <c r="A1421" s="21">
        <f>+Dates!$D$11-3</f>
        <v>41944</v>
      </c>
      <c r="B1421" s="21">
        <f>+Dates!$D$11-3</f>
        <v>41944</v>
      </c>
      <c r="C1421" s="22" t="s">
        <v>248</v>
      </c>
      <c r="D1421" s="23" t="s">
        <v>263</v>
      </c>
      <c r="E1421" s="24" t="s">
        <v>297</v>
      </c>
      <c r="F1421" s="24" t="s">
        <v>305</v>
      </c>
    </row>
    <row r="1422" spans="1:6" ht="87" customHeight="1" x14ac:dyDescent="0.2">
      <c r="A1422" s="21">
        <f>+Dates!$D$11-3</f>
        <v>41944</v>
      </c>
      <c r="B1422" s="21">
        <f>+Dates!$D$11-3</f>
        <v>41944</v>
      </c>
      <c r="C1422" s="22" t="s">
        <v>1106</v>
      </c>
      <c r="D1422" s="23" t="s">
        <v>263</v>
      </c>
      <c r="E1422" s="24" t="s">
        <v>333</v>
      </c>
      <c r="F1422" s="24" t="s">
        <v>305</v>
      </c>
    </row>
    <row r="1423" spans="1:6" ht="89.25" customHeight="1" x14ac:dyDescent="0.2">
      <c r="A1423" s="21">
        <f>+Dates!$D$11-3</f>
        <v>41944</v>
      </c>
      <c r="B1423" s="21">
        <f>+Dates!$D$11-3</f>
        <v>41944</v>
      </c>
      <c r="C1423" s="22" t="s">
        <v>1107</v>
      </c>
      <c r="D1423" s="23" t="s">
        <v>263</v>
      </c>
      <c r="E1423" s="24" t="s">
        <v>160</v>
      </c>
      <c r="F1423" s="24" t="s">
        <v>305</v>
      </c>
    </row>
    <row r="1424" spans="1:6" ht="87" customHeight="1" x14ac:dyDescent="0.2">
      <c r="A1424" s="21">
        <f>+Dates!$D$11-3</f>
        <v>41944</v>
      </c>
      <c r="B1424" s="21">
        <f>+Dates!$D$11-3</f>
        <v>41944</v>
      </c>
      <c r="C1424" s="22" t="s">
        <v>1111</v>
      </c>
      <c r="D1424" s="23" t="s">
        <v>263</v>
      </c>
      <c r="E1424" s="24" t="s">
        <v>295</v>
      </c>
      <c r="F1424" s="24" t="s">
        <v>305</v>
      </c>
    </row>
    <row r="1425" spans="1:6" ht="108.75" customHeight="1" x14ac:dyDescent="0.2">
      <c r="A1425" s="21">
        <f>+Dates!$D$11-1</f>
        <v>41946</v>
      </c>
      <c r="B1425" s="21">
        <f>+Dates!$D$11-1</f>
        <v>41946</v>
      </c>
      <c r="C1425" s="22" t="s">
        <v>377</v>
      </c>
      <c r="D1425" s="23" t="s">
        <v>263</v>
      </c>
      <c r="E1425" s="24" t="s">
        <v>61</v>
      </c>
      <c r="F1425" s="24" t="s">
        <v>305</v>
      </c>
    </row>
    <row r="1426" spans="1:6" ht="60" customHeight="1" x14ac:dyDescent="0.2">
      <c r="A1426" s="21">
        <f>+Dates!$D$11-1</f>
        <v>41946</v>
      </c>
      <c r="B1426" s="21">
        <f>+Dates!$D$11-1</f>
        <v>41946</v>
      </c>
      <c r="C1426" s="22" t="s">
        <v>412</v>
      </c>
      <c r="D1426" s="23" t="s">
        <v>263</v>
      </c>
      <c r="E1426" s="24" t="s">
        <v>391</v>
      </c>
      <c r="F1426" s="24" t="s">
        <v>305</v>
      </c>
    </row>
    <row r="1427" spans="1:6" ht="94.5" customHeight="1" x14ac:dyDescent="0.2">
      <c r="A1427" s="21">
        <f>+Dates!$D$11-1</f>
        <v>41946</v>
      </c>
      <c r="B1427" s="21">
        <f>+Dates!$D$11-1</f>
        <v>41946</v>
      </c>
      <c r="C1427" s="22" t="s">
        <v>258</v>
      </c>
      <c r="D1427" s="23" t="s">
        <v>263</v>
      </c>
      <c r="E1427" s="24" t="s">
        <v>292</v>
      </c>
      <c r="F1427" s="24" t="s">
        <v>305</v>
      </c>
    </row>
    <row r="1428" spans="1:6" ht="111" customHeight="1" x14ac:dyDescent="0.2">
      <c r="A1428" s="21">
        <f>+Dates!$D$11-1</f>
        <v>41946</v>
      </c>
      <c r="B1428" s="21">
        <f>+Dates!$D$11-1</f>
        <v>41946</v>
      </c>
      <c r="C1428" s="22" t="s">
        <v>1112</v>
      </c>
      <c r="D1428" s="23" t="s">
        <v>263</v>
      </c>
      <c r="E1428" s="24" t="s">
        <v>1062</v>
      </c>
      <c r="F1428" s="24" t="s">
        <v>305</v>
      </c>
    </row>
    <row r="1429" spans="1:6" ht="73.5" customHeight="1" x14ac:dyDescent="0.2">
      <c r="A1429" s="21">
        <f>+Dates!$D$11-1</f>
        <v>41946</v>
      </c>
      <c r="B1429" s="21">
        <f>+Dates!$D$11-1</f>
        <v>41946</v>
      </c>
      <c r="C1429" s="22" t="s">
        <v>411</v>
      </c>
      <c r="D1429" s="23" t="s">
        <v>263</v>
      </c>
      <c r="E1429" s="24" t="s">
        <v>289</v>
      </c>
      <c r="F1429" s="24" t="s">
        <v>305</v>
      </c>
    </row>
    <row r="1430" spans="1:6" ht="73.5" customHeight="1" x14ac:dyDescent="0.2">
      <c r="A1430" s="21">
        <f>+Dates!$D$11-1</f>
        <v>41946</v>
      </c>
      <c r="B1430" s="21">
        <f>+Dates!$D$11-1</f>
        <v>41946</v>
      </c>
      <c r="C1430" s="22" t="s">
        <v>154</v>
      </c>
      <c r="D1430" s="23" t="s">
        <v>263</v>
      </c>
      <c r="E1430" s="24" t="s">
        <v>291</v>
      </c>
      <c r="F1430" s="24" t="s">
        <v>305</v>
      </c>
    </row>
    <row r="1431" spans="1:6" ht="78" customHeight="1" x14ac:dyDescent="0.2">
      <c r="A1431" s="21">
        <f>+Dates!$D$11-1</f>
        <v>41946</v>
      </c>
      <c r="B1431" s="21">
        <f>+Dates!$D$11-1</f>
        <v>41946</v>
      </c>
      <c r="C1431" s="22" t="s">
        <v>413</v>
      </c>
      <c r="D1431" s="23" t="s">
        <v>263</v>
      </c>
      <c r="E1431" s="24" t="s">
        <v>301</v>
      </c>
      <c r="F1431" s="24" t="s">
        <v>305</v>
      </c>
    </row>
    <row r="1432" spans="1:6" ht="78" customHeight="1" x14ac:dyDescent="0.2">
      <c r="A1432" s="21">
        <f>+Dates!$D$11-1</f>
        <v>41946</v>
      </c>
      <c r="B1432" s="21">
        <f>+Dates!$D$11-1</f>
        <v>41946</v>
      </c>
      <c r="C1432" s="22" t="s">
        <v>249</v>
      </c>
      <c r="D1432" s="23" t="s">
        <v>263</v>
      </c>
      <c r="E1432" s="24" t="s">
        <v>297</v>
      </c>
      <c r="F1432" s="24" t="s">
        <v>305</v>
      </c>
    </row>
    <row r="1433" spans="1:6" ht="96.75" customHeight="1" x14ac:dyDescent="0.2">
      <c r="A1433" s="21">
        <f>+Dates!$D$11-1</f>
        <v>41946</v>
      </c>
      <c r="B1433" s="21">
        <f>+Dates!$D$11-1</f>
        <v>41946</v>
      </c>
      <c r="C1433" s="22" t="s">
        <v>1108</v>
      </c>
      <c r="D1433" s="23" t="s">
        <v>263</v>
      </c>
      <c r="E1433" s="24" t="s">
        <v>333</v>
      </c>
      <c r="F1433" s="24" t="s">
        <v>305</v>
      </c>
    </row>
    <row r="1434" spans="1:6" ht="95.25" customHeight="1" x14ac:dyDescent="0.2">
      <c r="A1434" s="21">
        <f>+Dates!$D$11-1</f>
        <v>41946</v>
      </c>
      <c r="B1434" s="21">
        <f>+Dates!$D$11-1</f>
        <v>41946</v>
      </c>
      <c r="C1434" s="22" t="s">
        <v>1109</v>
      </c>
      <c r="D1434" s="23" t="s">
        <v>263</v>
      </c>
      <c r="E1434" s="24" t="s">
        <v>160</v>
      </c>
      <c r="F1434" s="24" t="s">
        <v>305</v>
      </c>
    </row>
    <row r="1435" spans="1:6" ht="87.75" customHeight="1" x14ac:dyDescent="0.2">
      <c r="A1435" s="21">
        <f>+Dates!$D$11-1</f>
        <v>41946</v>
      </c>
      <c r="B1435" s="21">
        <f>+Dates!$D$11-1</f>
        <v>41946</v>
      </c>
      <c r="C1435" s="22" t="s">
        <v>1113</v>
      </c>
      <c r="D1435" s="23" t="s">
        <v>263</v>
      </c>
      <c r="E1435" s="24" t="s">
        <v>295</v>
      </c>
      <c r="F1435" s="24" t="s">
        <v>305</v>
      </c>
    </row>
    <row r="1436" spans="1:6" ht="80.25" customHeight="1" x14ac:dyDescent="0.2">
      <c r="A1436" s="21">
        <f>+Dates!$D$11-1</f>
        <v>41946</v>
      </c>
      <c r="B1436" s="21">
        <f>+Dates!$D$11-1</f>
        <v>41946</v>
      </c>
      <c r="C1436" s="22" t="s">
        <v>1114</v>
      </c>
      <c r="D1436" s="23" t="s">
        <v>184</v>
      </c>
      <c r="E1436" s="24" t="s">
        <v>61</v>
      </c>
      <c r="F1436" s="24" t="s">
        <v>332</v>
      </c>
    </row>
    <row r="1437" spans="1:6" ht="74.25" customHeight="1" x14ac:dyDescent="0.2">
      <c r="A1437" s="21">
        <f>+Dates!$D$11-1</f>
        <v>41946</v>
      </c>
      <c r="B1437" s="21">
        <f>+Dates!$D$11-1</f>
        <v>41946</v>
      </c>
      <c r="C1437" s="22" t="s">
        <v>1115</v>
      </c>
      <c r="D1437" s="23" t="s">
        <v>184</v>
      </c>
      <c r="E1437" s="24" t="s">
        <v>80</v>
      </c>
      <c r="F1437" s="24" t="s">
        <v>332</v>
      </c>
    </row>
    <row r="1438" spans="1:6" ht="74.25" customHeight="1" x14ac:dyDescent="0.2">
      <c r="A1438" s="21">
        <f>+Dates!$D$11-1</f>
        <v>41946</v>
      </c>
      <c r="B1438" s="21">
        <f>+Dates!$D$11-1</f>
        <v>41946</v>
      </c>
      <c r="C1438" s="22" t="s">
        <v>257</v>
      </c>
      <c r="D1438" s="23" t="s">
        <v>184</v>
      </c>
      <c r="E1438" s="24" t="s">
        <v>289</v>
      </c>
      <c r="F1438" s="24" t="s">
        <v>332</v>
      </c>
    </row>
    <row r="1439" spans="1:6" ht="74.25" customHeight="1" x14ac:dyDescent="0.2">
      <c r="A1439" s="21">
        <f>+Dates!$D$11-1</f>
        <v>41946</v>
      </c>
      <c r="B1439" s="21">
        <f>+Dates!$D$11-1</f>
        <v>41946</v>
      </c>
      <c r="C1439" s="22" t="s">
        <v>1116</v>
      </c>
      <c r="D1439" s="23" t="s">
        <v>184</v>
      </c>
      <c r="E1439" s="24" t="s">
        <v>291</v>
      </c>
      <c r="F1439" s="24" t="s">
        <v>332</v>
      </c>
    </row>
    <row r="1440" spans="1:6" ht="92.25" customHeight="1" x14ac:dyDescent="0.2">
      <c r="A1440" s="21">
        <f>+Dates!$D$11-1</f>
        <v>41946</v>
      </c>
      <c r="B1440" s="21">
        <f>+Dates!$D$11-1</f>
        <v>41946</v>
      </c>
      <c r="C1440" s="22" t="s">
        <v>1117</v>
      </c>
      <c r="D1440" s="23" t="s">
        <v>184</v>
      </c>
      <c r="E1440" s="24" t="s">
        <v>301</v>
      </c>
      <c r="F1440" s="24" t="s">
        <v>332</v>
      </c>
    </row>
    <row r="1441" spans="1:6" ht="90" customHeight="1" x14ac:dyDescent="0.2">
      <c r="A1441" s="21">
        <f>+Dates!$D$11-1</f>
        <v>41946</v>
      </c>
      <c r="B1441" s="21">
        <f>+Dates!$D$11-1</f>
        <v>41946</v>
      </c>
      <c r="C1441" s="22" t="s">
        <v>1118</v>
      </c>
      <c r="D1441" s="23" t="s">
        <v>184</v>
      </c>
      <c r="E1441" s="24" t="s">
        <v>297</v>
      </c>
      <c r="F1441" s="24" t="s">
        <v>332</v>
      </c>
    </row>
    <row r="1442" spans="1:6" ht="80.25" customHeight="1" x14ac:dyDescent="0.2">
      <c r="A1442" s="21">
        <f>+Dates!$D$11-1</f>
        <v>41946</v>
      </c>
      <c r="B1442" s="21">
        <f>+Dates!$D$11-1</f>
        <v>41946</v>
      </c>
      <c r="C1442" s="22" t="s">
        <v>1479</v>
      </c>
      <c r="D1442" s="23" t="s">
        <v>21</v>
      </c>
      <c r="E1442" s="24" t="s">
        <v>61</v>
      </c>
      <c r="F1442" s="24" t="s">
        <v>305</v>
      </c>
    </row>
    <row r="1443" spans="1:6" ht="87" customHeight="1" x14ac:dyDescent="0.2">
      <c r="A1443" s="21">
        <f>+Dates!$D$11-1</f>
        <v>41946</v>
      </c>
      <c r="B1443" s="21">
        <f>+Dates!$D$11-1</f>
        <v>41946</v>
      </c>
      <c r="C1443" s="22" t="s">
        <v>1480</v>
      </c>
      <c r="D1443" s="23" t="s">
        <v>21</v>
      </c>
      <c r="E1443" s="24" t="s">
        <v>391</v>
      </c>
      <c r="F1443" s="24" t="s">
        <v>305</v>
      </c>
    </row>
    <row r="1444" spans="1:6" ht="72" customHeight="1" x14ac:dyDescent="0.2">
      <c r="A1444" s="21">
        <f>+Dates!$D$11-1</f>
        <v>41946</v>
      </c>
      <c r="B1444" s="21">
        <f>+Dates!$D$11-1</f>
        <v>41946</v>
      </c>
      <c r="C1444" s="22" t="s">
        <v>1481</v>
      </c>
      <c r="D1444" s="23" t="s">
        <v>21</v>
      </c>
      <c r="E1444" s="24" t="s">
        <v>80</v>
      </c>
      <c r="F1444" s="24" t="s">
        <v>305</v>
      </c>
    </row>
    <row r="1445" spans="1:6" ht="95.25" customHeight="1" x14ac:dyDescent="0.2">
      <c r="A1445" s="21">
        <f>+Dates!$D$11-1</f>
        <v>41946</v>
      </c>
      <c r="B1445" s="21">
        <f>+Dates!$D$11-1</f>
        <v>41946</v>
      </c>
      <c r="C1445" s="22" t="s">
        <v>1482</v>
      </c>
      <c r="D1445" s="23" t="s">
        <v>21</v>
      </c>
      <c r="E1445" s="24" t="s">
        <v>1062</v>
      </c>
      <c r="F1445" s="24" t="s">
        <v>305</v>
      </c>
    </row>
    <row r="1446" spans="1:6" ht="78" customHeight="1" x14ac:dyDescent="0.2">
      <c r="A1446" s="21">
        <f>+Dates!$D$11-1</f>
        <v>41946</v>
      </c>
      <c r="B1446" s="21">
        <f>+Dates!$D$11-1</f>
        <v>41946</v>
      </c>
      <c r="C1446" s="22" t="s">
        <v>1483</v>
      </c>
      <c r="D1446" s="23" t="s">
        <v>21</v>
      </c>
      <c r="E1446" s="24" t="s">
        <v>289</v>
      </c>
      <c r="F1446" s="24" t="s">
        <v>305</v>
      </c>
    </row>
    <row r="1447" spans="1:6" ht="78" customHeight="1" x14ac:dyDescent="0.2">
      <c r="A1447" s="21">
        <f>+Dates!$D$11-1</f>
        <v>41946</v>
      </c>
      <c r="B1447" s="21">
        <f>+Dates!$D$11-1</f>
        <v>41946</v>
      </c>
      <c r="C1447" s="22" t="s">
        <v>1484</v>
      </c>
      <c r="D1447" s="23" t="s">
        <v>21</v>
      </c>
      <c r="E1447" s="24" t="s">
        <v>291</v>
      </c>
      <c r="F1447" s="24" t="s">
        <v>305</v>
      </c>
    </row>
    <row r="1448" spans="1:6" ht="80.25" customHeight="1" x14ac:dyDescent="0.2">
      <c r="A1448" s="21">
        <f>+Dates!$D$11-1</f>
        <v>41946</v>
      </c>
      <c r="B1448" s="21">
        <f>+Dates!$D$11-1</f>
        <v>41946</v>
      </c>
      <c r="C1448" s="22" t="s">
        <v>1485</v>
      </c>
      <c r="D1448" s="23" t="s">
        <v>21</v>
      </c>
      <c r="E1448" s="24" t="s">
        <v>301</v>
      </c>
      <c r="F1448" s="24" t="s">
        <v>305</v>
      </c>
    </row>
    <row r="1449" spans="1:6" ht="83.25" customHeight="1" x14ac:dyDescent="0.2">
      <c r="A1449" s="21">
        <f>+Dates!$D$11-1</f>
        <v>41946</v>
      </c>
      <c r="B1449" s="21">
        <f>+Dates!$D$11-1</f>
        <v>41946</v>
      </c>
      <c r="C1449" s="22" t="s">
        <v>1486</v>
      </c>
      <c r="D1449" s="23" t="s">
        <v>21</v>
      </c>
      <c r="E1449" s="24" t="s">
        <v>297</v>
      </c>
      <c r="F1449" s="24" t="s">
        <v>305</v>
      </c>
    </row>
    <row r="1450" spans="1:6" ht="89.25" customHeight="1" x14ac:dyDescent="0.2">
      <c r="A1450" s="21">
        <f>+Dates!$D$11-1</f>
        <v>41946</v>
      </c>
      <c r="B1450" s="21">
        <f>+Dates!$D$11-1</f>
        <v>41946</v>
      </c>
      <c r="C1450" s="22" t="s">
        <v>1487</v>
      </c>
      <c r="D1450" s="23" t="s">
        <v>21</v>
      </c>
      <c r="E1450" s="24" t="s">
        <v>333</v>
      </c>
      <c r="F1450" s="24" t="s">
        <v>305</v>
      </c>
    </row>
    <row r="1451" spans="1:6" ht="88.5" customHeight="1" x14ac:dyDescent="0.2">
      <c r="A1451" s="21">
        <f>+Dates!$D$11-1</f>
        <v>41946</v>
      </c>
      <c r="B1451" s="21">
        <f>+Dates!$D$11-1</f>
        <v>41946</v>
      </c>
      <c r="C1451" s="22" t="s">
        <v>1488</v>
      </c>
      <c r="D1451" s="23" t="s">
        <v>21</v>
      </c>
      <c r="E1451" s="24" t="s">
        <v>160</v>
      </c>
      <c r="F1451" s="24" t="s">
        <v>305</v>
      </c>
    </row>
    <row r="1452" spans="1:6" ht="100.5" customHeight="1" x14ac:dyDescent="0.2">
      <c r="A1452" s="21">
        <f>+Dates!$D$11-1</f>
        <v>41946</v>
      </c>
      <c r="B1452" s="21">
        <f>+Dates!$D$11-1</f>
        <v>41946</v>
      </c>
      <c r="C1452" s="22" t="s">
        <v>1489</v>
      </c>
      <c r="D1452" s="23" t="s">
        <v>21</v>
      </c>
      <c r="E1452" s="24" t="s">
        <v>295</v>
      </c>
      <c r="F1452" s="24" t="s">
        <v>305</v>
      </c>
    </row>
    <row r="1453" spans="1:6" ht="90.75" customHeight="1" x14ac:dyDescent="0.2">
      <c r="A1453" s="21">
        <f>+Dates!$D$11</f>
        <v>41947</v>
      </c>
      <c r="B1453" s="21">
        <f>+Dates!$D$11</f>
        <v>41947</v>
      </c>
      <c r="C1453" s="22" t="s">
        <v>255</v>
      </c>
      <c r="D1453" s="23" t="s">
        <v>455</v>
      </c>
      <c r="E1453" s="24" t="s">
        <v>61</v>
      </c>
      <c r="F1453" s="24" t="s">
        <v>111</v>
      </c>
    </row>
    <row r="1454" spans="1:6" ht="94.5" customHeight="1" x14ac:dyDescent="0.2">
      <c r="A1454" s="21">
        <f>+Dates!$D$11</f>
        <v>41947</v>
      </c>
      <c r="B1454" s="21">
        <f>+Dates!$D$11</f>
        <v>41947</v>
      </c>
      <c r="C1454" s="22" t="s">
        <v>1119</v>
      </c>
      <c r="D1454" s="23" t="s">
        <v>455</v>
      </c>
      <c r="E1454" s="24" t="s">
        <v>135</v>
      </c>
      <c r="F1454" s="24" t="s">
        <v>111</v>
      </c>
    </row>
    <row r="1455" spans="1:6" ht="80.25" customHeight="1" x14ac:dyDescent="0.2">
      <c r="A1455" s="21">
        <f>+Dates!$D$11</f>
        <v>41947</v>
      </c>
      <c r="B1455" s="21">
        <f>+Dates!$D$11</f>
        <v>41947</v>
      </c>
      <c r="C1455" s="22" t="s">
        <v>314</v>
      </c>
      <c r="D1455" s="23" t="s">
        <v>455</v>
      </c>
      <c r="E1455" s="24" t="s">
        <v>391</v>
      </c>
      <c r="F1455" s="24" t="s">
        <v>111</v>
      </c>
    </row>
    <row r="1456" spans="1:6" ht="75.75" customHeight="1" x14ac:dyDescent="0.2">
      <c r="A1456" s="21">
        <f>+Dates!$D$11</f>
        <v>41947</v>
      </c>
      <c r="B1456" s="21">
        <f>+Dates!$D$11</f>
        <v>41947</v>
      </c>
      <c r="C1456" s="22" t="s">
        <v>325</v>
      </c>
      <c r="D1456" s="23" t="s">
        <v>202</v>
      </c>
      <c r="E1456" s="24" t="s">
        <v>292</v>
      </c>
      <c r="F1456" s="24" t="s">
        <v>111</v>
      </c>
    </row>
    <row r="1457" spans="1:6" ht="118.5" customHeight="1" x14ac:dyDescent="0.2">
      <c r="A1457" s="21">
        <f>+Dates!$D$11</f>
        <v>41947</v>
      </c>
      <c r="B1457" s="21">
        <f>+Dates!$D$11</f>
        <v>41947</v>
      </c>
      <c r="C1457" s="22" t="s">
        <v>23</v>
      </c>
      <c r="D1457" s="23" t="s">
        <v>199</v>
      </c>
      <c r="E1457" s="24" t="s">
        <v>1062</v>
      </c>
      <c r="F1457" s="24" t="s">
        <v>111</v>
      </c>
    </row>
    <row r="1458" spans="1:6" ht="73.5" customHeight="1" x14ac:dyDescent="0.2">
      <c r="A1458" s="21">
        <f>+Dates!$D$11</f>
        <v>41947</v>
      </c>
      <c r="B1458" s="21">
        <f>+Dates!$D$11</f>
        <v>41947</v>
      </c>
      <c r="C1458" s="22" t="s">
        <v>1120</v>
      </c>
      <c r="D1458" s="23" t="s">
        <v>147</v>
      </c>
      <c r="E1458" s="24" t="s">
        <v>289</v>
      </c>
      <c r="F1458" s="24" t="s">
        <v>111</v>
      </c>
    </row>
    <row r="1459" spans="1:6" ht="78" customHeight="1" x14ac:dyDescent="0.2">
      <c r="A1459" s="21">
        <f>+Dates!$D$11</f>
        <v>41947</v>
      </c>
      <c r="B1459" s="21">
        <f>+Dates!$D$11</f>
        <v>41947</v>
      </c>
      <c r="C1459" s="22" t="s">
        <v>251</v>
      </c>
      <c r="D1459" s="23" t="s">
        <v>147</v>
      </c>
      <c r="E1459" s="24" t="s">
        <v>291</v>
      </c>
      <c r="F1459" s="24" t="s">
        <v>111</v>
      </c>
    </row>
    <row r="1460" spans="1:6" ht="74.25" customHeight="1" x14ac:dyDescent="0.2">
      <c r="A1460" s="21">
        <f>+Dates!$D$11</f>
        <v>41947</v>
      </c>
      <c r="B1460" s="21">
        <f>+Dates!$D$11</f>
        <v>41947</v>
      </c>
      <c r="C1460" s="22" t="s">
        <v>254</v>
      </c>
      <c r="D1460" s="23" t="s">
        <v>147</v>
      </c>
      <c r="E1460" s="24" t="s">
        <v>301</v>
      </c>
      <c r="F1460" s="24" t="s">
        <v>111</v>
      </c>
    </row>
    <row r="1461" spans="1:6" ht="74.25" customHeight="1" x14ac:dyDescent="0.2">
      <c r="A1461" s="21">
        <f>+Dates!$D$11</f>
        <v>41947</v>
      </c>
      <c r="B1461" s="21">
        <f>+Dates!$D$11</f>
        <v>41947</v>
      </c>
      <c r="C1461" s="22" t="s">
        <v>146</v>
      </c>
      <c r="D1461" s="23" t="s">
        <v>147</v>
      </c>
      <c r="E1461" s="24" t="s">
        <v>297</v>
      </c>
      <c r="F1461" s="24" t="s">
        <v>111</v>
      </c>
    </row>
    <row r="1462" spans="1:6" ht="85.5" customHeight="1" x14ac:dyDescent="0.2">
      <c r="A1462" s="21">
        <f>+Dates!$D$11</f>
        <v>41947</v>
      </c>
      <c r="B1462" s="21">
        <f>+Dates!$D$11</f>
        <v>41947</v>
      </c>
      <c r="C1462" s="22" t="s">
        <v>1654</v>
      </c>
      <c r="D1462" s="23" t="s">
        <v>253</v>
      </c>
      <c r="E1462" s="24" t="s">
        <v>333</v>
      </c>
      <c r="F1462" s="24" t="s">
        <v>111</v>
      </c>
    </row>
    <row r="1463" spans="1:6" ht="92.25" customHeight="1" x14ac:dyDescent="0.2">
      <c r="A1463" s="21">
        <f>+Dates!$D$11</f>
        <v>41947</v>
      </c>
      <c r="B1463" s="21">
        <f>+Dates!$D$11</f>
        <v>41947</v>
      </c>
      <c r="C1463" s="22" t="s">
        <v>1655</v>
      </c>
      <c r="D1463" s="23" t="s">
        <v>253</v>
      </c>
      <c r="E1463" s="24" t="s">
        <v>160</v>
      </c>
      <c r="F1463" s="24" t="s">
        <v>111</v>
      </c>
    </row>
    <row r="1464" spans="1:6" ht="74.25" customHeight="1" x14ac:dyDescent="0.2">
      <c r="A1464" s="21">
        <f>+Dates!$D$11</f>
        <v>41947</v>
      </c>
      <c r="B1464" s="21">
        <f>+Dates!$D$11</f>
        <v>41947</v>
      </c>
      <c r="C1464" s="22" t="s">
        <v>1656</v>
      </c>
      <c r="D1464" s="23" t="s">
        <v>252</v>
      </c>
      <c r="E1464" s="24" t="s">
        <v>295</v>
      </c>
      <c r="F1464" s="24" t="s">
        <v>111</v>
      </c>
    </row>
    <row r="1465" spans="1:6" ht="232.5" customHeight="1" x14ac:dyDescent="0.2">
      <c r="A1465" s="21">
        <f>+Dates!$D$11</f>
        <v>41947</v>
      </c>
      <c r="B1465" s="21">
        <f>+Dates!$D$11</f>
        <v>41947</v>
      </c>
      <c r="C1465" s="22" t="s">
        <v>1121</v>
      </c>
      <c r="D1465" s="23" t="s">
        <v>170</v>
      </c>
      <c r="E1465" s="24" t="s">
        <v>61</v>
      </c>
      <c r="F1465" s="24" t="s">
        <v>111</v>
      </c>
    </row>
    <row r="1466" spans="1:6" ht="228" customHeight="1" x14ac:dyDescent="0.2">
      <c r="A1466" s="21">
        <f>+Dates!$D$11</f>
        <v>41947</v>
      </c>
      <c r="B1466" s="21">
        <f>+Dates!$D$11</f>
        <v>41947</v>
      </c>
      <c r="C1466" s="22" t="s">
        <v>1122</v>
      </c>
      <c r="D1466" s="23" t="s">
        <v>170</v>
      </c>
      <c r="E1466" s="24" t="s">
        <v>391</v>
      </c>
      <c r="F1466" s="24" t="s">
        <v>111</v>
      </c>
    </row>
    <row r="1467" spans="1:6" ht="220.5" customHeight="1" x14ac:dyDescent="0.2">
      <c r="A1467" s="21">
        <f>+Dates!$D$11</f>
        <v>41947</v>
      </c>
      <c r="B1467" s="21">
        <f>+Dates!$D$11</f>
        <v>41947</v>
      </c>
      <c r="C1467" s="22" t="s">
        <v>1123</v>
      </c>
      <c r="D1467" s="23" t="s">
        <v>170</v>
      </c>
      <c r="E1467" s="24" t="s">
        <v>80</v>
      </c>
      <c r="F1467" s="24" t="s">
        <v>111</v>
      </c>
    </row>
    <row r="1468" spans="1:6" ht="243.75" customHeight="1" x14ac:dyDescent="0.2">
      <c r="A1468" s="21">
        <f>+Dates!$D$11</f>
        <v>41947</v>
      </c>
      <c r="B1468" s="21">
        <f>+Dates!$D$11</f>
        <v>41947</v>
      </c>
      <c r="C1468" s="22" t="s">
        <v>1124</v>
      </c>
      <c r="D1468" s="23" t="s">
        <v>170</v>
      </c>
      <c r="E1468" s="24" t="s">
        <v>1062</v>
      </c>
      <c r="F1468" s="24" t="s">
        <v>111</v>
      </c>
    </row>
    <row r="1469" spans="1:6" ht="230.25" customHeight="1" x14ac:dyDescent="0.2">
      <c r="A1469" s="21">
        <f>+Dates!$D$11</f>
        <v>41947</v>
      </c>
      <c r="B1469" s="21">
        <f>+Dates!$D$11</f>
        <v>41947</v>
      </c>
      <c r="C1469" s="22" t="s">
        <v>1125</v>
      </c>
      <c r="D1469" s="23" t="s">
        <v>170</v>
      </c>
      <c r="E1469" s="24" t="s">
        <v>289</v>
      </c>
      <c r="F1469" s="24" t="s">
        <v>111</v>
      </c>
    </row>
    <row r="1470" spans="1:6" ht="237" customHeight="1" x14ac:dyDescent="0.2">
      <c r="A1470" s="21">
        <f>+Dates!$D$11</f>
        <v>41947</v>
      </c>
      <c r="B1470" s="21">
        <f>+Dates!$D$11</f>
        <v>41947</v>
      </c>
      <c r="C1470" s="22" t="s">
        <v>1126</v>
      </c>
      <c r="D1470" s="23" t="s">
        <v>170</v>
      </c>
      <c r="E1470" s="24" t="s">
        <v>291</v>
      </c>
      <c r="F1470" s="24" t="s">
        <v>111</v>
      </c>
    </row>
    <row r="1471" spans="1:6" ht="237" customHeight="1" x14ac:dyDescent="0.2">
      <c r="A1471" s="21">
        <f>+Dates!$D$11</f>
        <v>41947</v>
      </c>
      <c r="B1471" s="21">
        <f>+Dates!$D$11</f>
        <v>41947</v>
      </c>
      <c r="C1471" s="22" t="s">
        <v>1127</v>
      </c>
      <c r="D1471" s="23" t="s">
        <v>170</v>
      </c>
      <c r="E1471" s="24" t="s">
        <v>301</v>
      </c>
      <c r="F1471" s="24" t="s">
        <v>111</v>
      </c>
    </row>
    <row r="1472" spans="1:6" ht="231.75" customHeight="1" x14ac:dyDescent="0.2">
      <c r="A1472" s="21">
        <f>+Dates!$D$11</f>
        <v>41947</v>
      </c>
      <c r="B1472" s="21">
        <f>+Dates!$D$11</f>
        <v>41947</v>
      </c>
      <c r="C1472" s="22" t="s">
        <v>1128</v>
      </c>
      <c r="D1472" s="23" t="s">
        <v>170</v>
      </c>
      <c r="E1472" s="24" t="s">
        <v>297</v>
      </c>
      <c r="F1472" s="24" t="s">
        <v>111</v>
      </c>
    </row>
    <row r="1473" spans="1:6" ht="240" customHeight="1" x14ac:dyDescent="0.2">
      <c r="A1473" s="21">
        <f>+Dates!$D$11</f>
        <v>41947</v>
      </c>
      <c r="B1473" s="21">
        <f>+Dates!$D$11</f>
        <v>41947</v>
      </c>
      <c r="C1473" s="22" t="s">
        <v>1129</v>
      </c>
      <c r="D1473" s="23" t="s">
        <v>170</v>
      </c>
      <c r="E1473" s="24" t="s">
        <v>333</v>
      </c>
      <c r="F1473" s="24" t="s">
        <v>111</v>
      </c>
    </row>
    <row r="1474" spans="1:6" ht="243.75" customHeight="1" x14ac:dyDescent="0.2">
      <c r="A1474" s="21">
        <f>+Dates!$D$11</f>
        <v>41947</v>
      </c>
      <c r="B1474" s="21">
        <f>+Dates!$D$11</f>
        <v>41947</v>
      </c>
      <c r="C1474" s="22" t="s">
        <v>1130</v>
      </c>
      <c r="D1474" s="23" t="s">
        <v>170</v>
      </c>
      <c r="E1474" s="24" t="s">
        <v>160</v>
      </c>
      <c r="F1474" s="24" t="s">
        <v>111</v>
      </c>
    </row>
    <row r="1475" spans="1:6" ht="236.25" customHeight="1" x14ac:dyDescent="0.2">
      <c r="A1475" s="21">
        <f>+Dates!$D$11</f>
        <v>41947</v>
      </c>
      <c r="B1475" s="21">
        <f>+Dates!$D$11</f>
        <v>41947</v>
      </c>
      <c r="C1475" s="22" t="s">
        <v>1131</v>
      </c>
      <c r="D1475" s="23" t="s">
        <v>170</v>
      </c>
      <c r="E1475" s="24" t="s">
        <v>295</v>
      </c>
      <c r="F1475" s="24" t="s">
        <v>111</v>
      </c>
    </row>
    <row r="1476" spans="1:6" ht="96" customHeight="1" x14ac:dyDescent="0.2">
      <c r="A1476" s="21">
        <f>+Dates!$D$11</f>
        <v>41947</v>
      </c>
      <c r="B1476" s="21">
        <f>+Dates!$D$11</f>
        <v>41947</v>
      </c>
      <c r="C1476" s="22" t="s">
        <v>1132</v>
      </c>
      <c r="D1476" s="23" t="s">
        <v>77</v>
      </c>
      <c r="E1476" s="24" t="s">
        <v>61</v>
      </c>
      <c r="F1476" s="24" t="s">
        <v>305</v>
      </c>
    </row>
    <row r="1477" spans="1:6" ht="100.5" customHeight="1" x14ac:dyDescent="0.2">
      <c r="A1477" s="21">
        <f>+Dates!$D$11</f>
        <v>41947</v>
      </c>
      <c r="B1477" s="21">
        <f>+Dates!$D$11</f>
        <v>41947</v>
      </c>
      <c r="C1477" s="22" t="s">
        <v>1133</v>
      </c>
      <c r="D1477" s="23" t="s">
        <v>77</v>
      </c>
      <c r="E1477" s="24" t="s">
        <v>391</v>
      </c>
      <c r="F1477" s="24" t="s">
        <v>305</v>
      </c>
    </row>
    <row r="1478" spans="1:6" ht="93" customHeight="1" x14ac:dyDescent="0.2">
      <c r="A1478" s="21">
        <f>+Dates!$D$11</f>
        <v>41947</v>
      </c>
      <c r="B1478" s="21">
        <f>+Dates!$D$11</f>
        <v>41947</v>
      </c>
      <c r="C1478" s="22" t="s">
        <v>1134</v>
      </c>
      <c r="D1478" s="23" t="s">
        <v>77</v>
      </c>
      <c r="E1478" s="24" t="s">
        <v>80</v>
      </c>
      <c r="F1478" s="24" t="s">
        <v>305</v>
      </c>
    </row>
    <row r="1479" spans="1:6" ht="114.75" customHeight="1" x14ac:dyDescent="0.2">
      <c r="A1479" s="21">
        <f>+Dates!$D$11</f>
        <v>41947</v>
      </c>
      <c r="B1479" s="21">
        <f>+Dates!$D$11</f>
        <v>41947</v>
      </c>
      <c r="C1479" s="22" t="s">
        <v>1135</v>
      </c>
      <c r="D1479" s="23" t="s">
        <v>77</v>
      </c>
      <c r="E1479" s="24" t="s">
        <v>1062</v>
      </c>
      <c r="F1479" s="24" t="s">
        <v>305</v>
      </c>
    </row>
    <row r="1480" spans="1:6" ht="99" customHeight="1" x14ac:dyDescent="0.2">
      <c r="A1480" s="21">
        <f>+Dates!$D$11</f>
        <v>41947</v>
      </c>
      <c r="B1480" s="21">
        <f>+Dates!$D$11</f>
        <v>41947</v>
      </c>
      <c r="C1480" s="22" t="s">
        <v>1136</v>
      </c>
      <c r="D1480" s="23" t="s">
        <v>77</v>
      </c>
      <c r="E1480" s="24" t="s">
        <v>289</v>
      </c>
      <c r="F1480" s="24" t="s">
        <v>305</v>
      </c>
    </row>
    <row r="1481" spans="1:6" ht="110.25" customHeight="1" x14ac:dyDescent="0.2">
      <c r="A1481" s="21">
        <f>+Dates!$D$11</f>
        <v>41947</v>
      </c>
      <c r="B1481" s="21">
        <f>+Dates!$D$11</f>
        <v>41947</v>
      </c>
      <c r="C1481" s="22" t="s">
        <v>1137</v>
      </c>
      <c r="D1481" s="23" t="s">
        <v>77</v>
      </c>
      <c r="E1481" s="24" t="s">
        <v>291</v>
      </c>
      <c r="F1481" s="24" t="s">
        <v>305</v>
      </c>
    </row>
    <row r="1482" spans="1:6" ht="112.5" customHeight="1" x14ac:dyDescent="0.2">
      <c r="A1482" s="21">
        <f>+Dates!$D$11</f>
        <v>41947</v>
      </c>
      <c r="B1482" s="21">
        <f>+Dates!$D$11</f>
        <v>41947</v>
      </c>
      <c r="C1482" s="22" t="s">
        <v>1138</v>
      </c>
      <c r="D1482" s="23" t="s">
        <v>77</v>
      </c>
      <c r="E1482" s="24" t="s">
        <v>301</v>
      </c>
      <c r="F1482" s="24" t="s">
        <v>305</v>
      </c>
    </row>
    <row r="1483" spans="1:6" ht="107.25" customHeight="1" x14ac:dyDescent="0.2">
      <c r="A1483" s="21">
        <f>+Dates!$D$11</f>
        <v>41947</v>
      </c>
      <c r="B1483" s="21">
        <f>+Dates!$D$11</f>
        <v>41947</v>
      </c>
      <c r="C1483" s="22" t="s">
        <v>1139</v>
      </c>
      <c r="D1483" s="23" t="s">
        <v>77</v>
      </c>
      <c r="E1483" s="24" t="s">
        <v>297</v>
      </c>
      <c r="F1483" s="24" t="s">
        <v>305</v>
      </c>
    </row>
    <row r="1484" spans="1:6" ht="107.25" customHeight="1" x14ac:dyDescent="0.2">
      <c r="A1484" s="21">
        <f>+Dates!$D$11</f>
        <v>41947</v>
      </c>
      <c r="B1484" s="21">
        <f>+Dates!$D$11</f>
        <v>41947</v>
      </c>
      <c r="C1484" s="22" t="s">
        <v>1140</v>
      </c>
      <c r="D1484" s="23" t="s">
        <v>77</v>
      </c>
      <c r="E1484" s="24" t="s">
        <v>333</v>
      </c>
      <c r="F1484" s="24" t="s">
        <v>305</v>
      </c>
    </row>
    <row r="1485" spans="1:6" ht="110.25" customHeight="1" x14ac:dyDescent="0.2">
      <c r="A1485" s="21">
        <f>+Dates!$D$11</f>
        <v>41947</v>
      </c>
      <c r="B1485" s="21">
        <f>+Dates!$D$11</f>
        <v>41947</v>
      </c>
      <c r="C1485" s="22" t="s">
        <v>1141</v>
      </c>
      <c r="D1485" s="23" t="s">
        <v>77</v>
      </c>
      <c r="E1485" s="24" t="s">
        <v>160</v>
      </c>
      <c r="F1485" s="24" t="s">
        <v>305</v>
      </c>
    </row>
    <row r="1486" spans="1:6" ht="100.5" customHeight="1" x14ac:dyDescent="0.2">
      <c r="A1486" s="21">
        <f>+Dates!$D$11</f>
        <v>41947</v>
      </c>
      <c r="B1486" s="21">
        <f>+Dates!$D$11</f>
        <v>41947</v>
      </c>
      <c r="C1486" s="22" t="s">
        <v>1142</v>
      </c>
      <c r="D1486" s="23" t="s">
        <v>77</v>
      </c>
      <c r="E1486" s="24" t="s">
        <v>295</v>
      </c>
      <c r="F1486" s="24" t="s">
        <v>305</v>
      </c>
    </row>
    <row r="1487" spans="1:6" ht="270.75" customHeight="1" x14ac:dyDescent="0.2">
      <c r="A1487" s="21">
        <f>+Dates!$D$11</f>
        <v>41947</v>
      </c>
      <c r="B1487" s="21">
        <f>+Dates!$D$11</f>
        <v>41947</v>
      </c>
      <c r="C1487" s="22" t="s">
        <v>1143</v>
      </c>
      <c r="D1487" s="23" t="s">
        <v>72</v>
      </c>
      <c r="E1487" s="24" t="s">
        <v>61</v>
      </c>
      <c r="F1487" s="24" t="s">
        <v>111</v>
      </c>
    </row>
    <row r="1488" spans="1:6" ht="269.25" customHeight="1" x14ac:dyDescent="0.2">
      <c r="A1488" s="21">
        <f>+Dates!$D$11</f>
        <v>41947</v>
      </c>
      <c r="B1488" s="21">
        <f>+Dates!$D$11</f>
        <v>41947</v>
      </c>
      <c r="C1488" s="22" t="s">
        <v>1144</v>
      </c>
      <c r="D1488" s="23" t="s">
        <v>72</v>
      </c>
      <c r="E1488" s="24" t="s">
        <v>391</v>
      </c>
      <c r="F1488" s="24" t="s">
        <v>111</v>
      </c>
    </row>
    <row r="1489" spans="1:6" ht="262.5" customHeight="1" x14ac:dyDescent="0.2">
      <c r="A1489" s="21">
        <f>+Dates!$D$11</f>
        <v>41947</v>
      </c>
      <c r="B1489" s="21">
        <f>+Dates!$D$11</f>
        <v>41947</v>
      </c>
      <c r="C1489" s="22" t="s">
        <v>1145</v>
      </c>
      <c r="D1489" s="23" t="s">
        <v>72</v>
      </c>
      <c r="E1489" s="24" t="s">
        <v>80</v>
      </c>
      <c r="F1489" s="24" t="s">
        <v>111</v>
      </c>
    </row>
    <row r="1490" spans="1:6" ht="280.5" customHeight="1" x14ac:dyDescent="0.2">
      <c r="A1490" s="21">
        <f>+Dates!$D$11</f>
        <v>41947</v>
      </c>
      <c r="B1490" s="21">
        <f>+Dates!$D$11</f>
        <v>41947</v>
      </c>
      <c r="C1490" s="22" t="s">
        <v>1146</v>
      </c>
      <c r="D1490" s="23" t="s">
        <v>72</v>
      </c>
      <c r="E1490" s="24" t="s">
        <v>1062</v>
      </c>
      <c r="F1490" s="24" t="s">
        <v>111</v>
      </c>
    </row>
    <row r="1491" spans="1:6" ht="273.75" customHeight="1" x14ac:dyDescent="0.2">
      <c r="A1491" s="21">
        <f>+Dates!$D$11</f>
        <v>41947</v>
      </c>
      <c r="B1491" s="21">
        <f>+Dates!$D$11</f>
        <v>41947</v>
      </c>
      <c r="C1491" s="22" t="s">
        <v>1147</v>
      </c>
      <c r="D1491" s="23" t="s">
        <v>72</v>
      </c>
      <c r="E1491" s="24" t="s">
        <v>289</v>
      </c>
      <c r="F1491" s="24" t="s">
        <v>111</v>
      </c>
    </row>
    <row r="1492" spans="1:6" ht="270.75" customHeight="1" x14ac:dyDescent="0.2">
      <c r="A1492" s="21">
        <f>+Dates!$D$11</f>
        <v>41947</v>
      </c>
      <c r="B1492" s="21">
        <f>+Dates!$D$11</f>
        <v>41947</v>
      </c>
      <c r="C1492" s="22" t="s">
        <v>1148</v>
      </c>
      <c r="D1492" s="23" t="s">
        <v>72</v>
      </c>
      <c r="E1492" s="24" t="s">
        <v>291</v>
      </c>
      <c r="F1492" s="24" t="s">
        <v>111</v>
      </c>
    </row>
    <row r="1493" spans="1:6" ht="272.25" customHeight="1" x14ac:dyDescent="0.2">
      <c r="A1493" s="21">
        <f>+Dates!$D$11</f>
        <v>41947</v>
      </c>
      <c r="B1493" s="21">
        <f>+Dates!$D$11</f>
        <v>41947</v>
      </c>
      <c r="C1493" s="22" t="s">
        <v>1149</v>
      </c>
      <c r="D1493" s="23" t="s">
        <v>72</v>
      </c>
      <c r="E1493" s="24" t="s">
        <v>301</v>
      </c>
      <c r="F1493" s="24" t="s">
        <v>111</v>
      </c>
    </row>
    <row r="1494" spans="1:6" ht="270" customHeight="1" x14ac:dyDescent="0.2">
      <c r="A1494" s="21">
        <f>+Dates!$D$11</f>
        <v>41947</v>
      </c>
      <c r="B1494" s="21">
        <f>+Dates!$D$11</f>
        <v>41947</v>
      </c>
      <c r="C1494" s="22" t="s">
        <v>1150</v>
      </c>
      <c r="D1494" s="23" t="s">
        <v>72</v>
      </c>
      <c r="E1494" s="24" t="s">
        <v>297</v>
      </c>
      <c r="F1494" s="24" t="s">
        <v>111</v>
      </c>
    </row>
    <row r="1495" spans="1:6" ht="278.25" customHeight="1" x14ac:dyDescent="0.2">
      <c r="A1495" s="21">
        <f>+Dates!$D$11</f>
        <v>41947</v>
      </c>
      <c r="B1495" s="21">
        <f>+Dates!$D$11</f>
        <v>41947</v>
      </c>
      <c r="C1495" s="22" t="s">
        <v>1151</v>
      </c>
      <c r="D1495" s="23" t="s">
        <v>72</v>
      </c>
      <c r="E1495" s="24" t="s">
        <v>333</v>
      </c>
      <c r="F1495" s="24" t="s">
        <v>111</v>
      </c>
    </row>
    <row r="1496" spans="1:6" ht="274.5" customHeight="1" x14ac:dyDescent="0.2">
      <c r="A1496" s="21">
        <f>+Dates!$D$11</f>
        <v>41947</v>
      </c>
      <c r="B1496" s="21">
        <f>+Dates!$D$11</f>
        <v>41947</v>
      </c>
      <c r="C1496" s="22" t="s">
        <v>1152</v>
      </c>
      <c r="D1496" s="23" t="s">
        <v>72</v>
      </c>
      <c r="E1496" s="24" t="s">
        <v>160</v>
      </c>
      <c r="F1496" s="24" t="s">
        <v>111</v>
      </c>
    </row>
    <row r="1497" spans="1:6" ht="276" customHeight="1" x14ac:dyDescent="0.2">
      <c r="A1497" s="21">
        <f>+Dates!$D$11</f>
        <v>41947</v>
      </c>
      <c r="B1497" s="21">
        <f>+Dates!$D$11</f>
        <v>41947</v>
      </c>
      <c r="C1497" s="22" t="s">
        <v>1153</v>
      </c>
      <c r="D1497" s="23" t="s">
        <v>72</v>
      </c>
      <c r="E1497" s="24" t="s">
        <v>295</v>
      </c>
      <c r="F1497" s="24" t="s">
        <v>111</v>
      </c>
    </row>
    <row r="1498" spans="1:6" ht="194.25" customHeight="1" x14ac:dyDescent="0.2">
      <c r="A1498" s="21">
        <f>+Dates!$D$11</f>
        <v>41947</v>
      </c>
      <c r="B1498" s="21">
        <f>+Dates!$D$11+1</f>
        <v>41948</v>
      </c>
      <c r="C1498" s="22" t="s">
        <v>1490</v>
      </c>
      <c r="D1498" s="23" t="s">
        <v>400</v>
      </c>
      <c r="E1498" s="24" t="s">
        <v>61</v>
      </c>
      <c r="F1498" s="24" t="s">
        <v>305</v>
      </c>
    </row>
    <row r="1499" spans="1:6" ht="195.75" customHeight="1" x14ac:dyDescent="0.2">
      <c r="A1499" s="21">
        <f>+Dates!$D$11</f>
        <v>41947</v>
      </c>
      <c r="B1499" s="21">
        <f>+Dates!$D$11+1</f>
        <v>41948</v>
      </c>
      <c r="C1499" s="22" t="s">
        <v>1491</v>
      </c>
      <c r="D1499" s="23" t="s">
        <v>400</v>
      </c>
      <c r="E1499" s="24" t="s">
        <v>391</v>
      </c>
      <c r="F1499" s="24" t="s">
        <v>305</v>
      </c>
    </row>
    <row r="1500" spans="1:6" ht="183.75" customHeight="1" x14ac:dyDescent="0.2">
      <c r="A1500" s="21">
        <f>+Dates!$D$11</f>
        <v>41947</v>
      </c>
      <c r="B1500" s="21">
        <f>+Dates!$D$11+1</f>
        <v>41948</v>
      </c>
      <c r="C1500" s="22" t="s">
        <v>1492</v>
      </c>
      <c r="D1500" s="23" t="s">
        <v>400</v>
      </c>
      <c r="E1500" s="24" t="s">
        <v>80</v>
      </c>
      <c r="F1500" s="24" t="s">
        <v>305</v>
      </c>
    </row>
    <row r="1501" spans="1:6" ht="201.75" customHeight="1" x14ac:dyDescent="0.2">
      <c r="A1501" s="21">
        <f>+Dates!$D$11</f>
        <v>41947</v>
      </c>
      <c r="B1501" s="21">
        <f>+Dates!$D$11+1</f>
        <v>41948</v>
      </c>
      <c r="C1501" s="22" t="s">
        <v>1493</v>
      </c>
      <c r="D1501" s="23" t="s">
        <v>400</v>
      </c>
      <c r="E1501" s="24" t="s">
        <v>1062</v>
      </c>
      <c r="F1501" s="24" t="s">
        <v>305</v>
      </c>
    </row>
    <row r="1502" spans="1:6" ht="186" customHeight="1" x14ac:dyDescent="0.2">
      <c r="A1502" s="21">
        <f>+Dates!$D$11</f>
        <v>41947</v>
      </c>
      <c r="B1502" s="21">
        <f>+Dates!$D$11+1</f>
        <v>41948</v>
      </c>
      <c r="C1502" s="22" t="s">
        <v>1494</v>
      </c>
      <c r="D1502" s="23" t="s">
        <v>400</v>
      </c>
      <c r="E1502" s="24" t="s">
        <v>289</v>
      </c>
      <c r="F1502" s="24" t="s">
        <v>305</v>
      </c>
    </row>
    <row r="1503" spans="1:6" ht="186.75" customHeight="1" x14ac:dyDescent="0.2">
      <c r="A1503" s="21">
        <f>+Dates!$D$11</f>
        <v>41947</v>
      </c>
      <c r="B1503" s="21">
        <f>+Dates!$D$11+1</f>
        <v>41948</v>
      </c>
      <c r="C1503" s="22" t="s">
        <v>1495</v>
      </c>
      <c r="D1503" s="23" t="s">
        <v>400</v>
      </c>
      <c r="E1503" s="24" t="s">
        <v>291</v>
      </c>
      <c r="F1503" s="24" t="s">
        <v>305</v>
      </c>
    </row>
    <row r="1504" spans="1:6" ht="189" customHeight="1" x14ac:dyDescent="0.2">
      <c r="A1504" s="21">
        <f>+Dates!$D$11</f>
        <v>41947</v>
      </c>
      <c r="B1504" s="21">
        <f>+Dates!$D$11+1</f>
        <v>41948</v>
      </c>
      <c r="C1504" s="22" t="s">
        <v>1496</v>
      </c>
      <c r="D1504" s="23" t="s">
        <v>400</v>
      </c>
      <c r="E1504" s="24" t="s">
        <v>301</v>
      </c>
      <c r="F1504" s="24" t="s">
        <v>305</v>
      </c>
    </row>
    <row r="1505" spans="1:6" ht="190.5" customHeight="1" x14ac:dyDescent="0.2">
      <c r="A1505" s="21">
        <f>+Dates!$D$11</f>
        <v>41947</v>
      </c>
      <c r="B1505" s="21">
        <f>+Dates!$D$11+1</f>
        <v>41948</v>
      </c>
      <c r="C1505" s="22" t="s">
        <v>1499</v>
      </c>
      <c r="D1505" s="23" t="s">
        <v>400</v>
      </c>
      <c r="E1505" s="24" t="s">
        <v>297</v>
      </c>
      <c r="F1505" s="24" t="s">
        <v>305</v>
      </c>
    </row>
    <row r="1506" spans="1:6" ht="185.25" customHeight="1" x14ac:dyDescent="0.2">
      <c r="A1506" s="21">
        <f>+Dates!$D$11</f>
        <v>41947</v>
      </c>
      <c r="B1506" s="21">
        <f>+Dates!$D$11+1</f>
        <v>41948</v>
      </c>
      <c r="C1506" s="22" t="s">
        <v>1497</v>
      </c>
      <c r="D1506" s="23" t="s">
        <v>400</v>
      </c>
      <c r="E1506" s="24" t="s">
        <v>333</v>
      </c>
      <c r="F1506" s="24" t="s">
        <v>305</v>
      </c>
    </row>
    <row r="1507" spans="1:6" ht="190.5" customHeight="1" x14ac:dyDescent="0.2">
      <c r="A1507" s="21">
        <f>+Dates!$D$11</f>
        <v>41947</v>
      </c>
      <c r="B1507" s="21">
        <f>+Dates!$D$11+1</f>
        <v>41948</v>
      </c>
      <c r="C1507" s="22" t="s">
        <v>1498</v>
      </c>
      <c r="D1507" s="23" t="s">
        <v>400</v>
      </c>
      <c r="E1507" s="24" t="s">
        <v>160</v>
      </c>
      <c r="F1507" s="24" t="s">
        <v>305</v>
      </c>
    </row>
    <row r="1508" spans="1:6" ht="186.75" customHeight="1" x14ac:dyDescent="0.2">
      <c r="A1508" s="21">
        <f>+Dates!$D$11</f>
        <v>41947</v>
      </c>
      <c r="B1508" s="21">
        <f>+Dates!$D$11+1</f>
        <v>41948</v>
      </c>
      <c r="C1508" s="22" t="s">
        <v>1500</v>
      </c>
      <c r="D1508" s="23" t="s">
        <v>400</v>
      </c>
      <c r="E1508" s="24" t="s">
        <v>295</v>
      </c>
      <c r="F1508" s="24" t="s">
        <v>305</v>
      </c>
    </row>
    <row r="1509" spans="1:6" ht="120" customHeight="1" x14ac:dyDescent="0.2">
      <c r="A1509" s="21">
        <f>+Dates!$D$11</f>
        <v>41947</v>
      </c>
      <c r="B1509" s="21">
        <f>+Dates!$D$11+2</f>
        <v>41949</v>
      </c>
      <c r="C1509" s="22" t="s">
        <v>1159</v>
      </c>
      <c r="D1509" s="23" t="s">
        <v>99</v>
      </c>
      <c r="E1509" s="24" t="s">
        <v>61</v>
      </c>
      <c r="F1509" s="24" t="s">
        <v>290</v>
      </c>
    </row>
    <row r="1510" spans="1:6" ht="123" customHeight="1" x14ac:dyDescent="0.2">
      <c r="A1510" s="21">
        <f>+Dates!$D$11</f>
        <v>41947</v>
      </c>
      <c r="B1510" s="21">
        <f>+Dates!$D$11+2</f>
        <v>41949</v>
      </c>
      <c r="C1510" s="22" t="s">
        <v>1161</v>
      </c>
      <c r="D1510" s="23" t="s">
        <v>99</v>
      </c>
      <c r="E1510" s="24" t="s">
        <v>135</v>
      </c>
      <c r="F1510" s="24" t="s">
        <v>290</v>
      </c>
    </row>
    <row r="1511" spans="1:6" ht="126.75" customHeight="1" x14ac:dyDescent="0.2">
      <c r="A1511" s="21">
        <f>+Dates!$D$11</f>
        <v>41947</v>
      </c>
      <c r="B1511" s="21">
        <f>+Dates!$D$11+2</f>
        <v>41949</v>
      </c>
      <c r="C1511" s="22" t="s">
        <v>1160</v>
      </c>
      <c r="D1511" s="23" t="s">
        <v>99</v>
      </c>
      <c r="E1511" s="24" t="s">
        <v>391</v>
      </c>
      <c r="F1511" s="24" t="s">
        <v>290</v>
      </c>
    </row>
    <row r="1512" spans="1:6" ht="112.5" customHeight="1" x14ac:dyDescent="0.2">
      <c r="A1512" s="21">
        <f>+Dates!$D$11</f>
        <v>41947</v>
      </c>
      <c r="B1512" s="21">
        <f>+Dates!$D$11+2</f>
        <v>41949</v>
      </c>
      <c r="C1512" s="22" t="s">
        <v>30</v>
      </c>
      <c r="D1512" s="23" t="s">
        <v>99</v>
      </c>
      <c r="E1512" s="24" t="s">
        <v>292</v>
      </c>
      <c r="F1512" s="24" t="s">
        <v>290</v>
      </c>
    </row>
    <row r="1513" spans="1:6" ht="79.5" customHeight="1" x14ac:dyDescent="0.2">
      <c r="A1513" s="21">
        <f>+Dates!$D$11+1</f>
        <v>41948</v>
      </c>
      <c r="B1513" s="21">
        <f>+Dates!$D$11+1</f>
        <v>41948</v>
      </c>
      <c r="C1513" s="22" t="s">
        <v>932</v>
      </c>
      <c r="D1513" s="23" t="s">
        <v>38</v>
      </c>
      <c r="E1513" s="24" t="s">
        <v>61</v>
      </c>
      <c r="F1513" s="24" t="s">
        <v>332</v>
      </c>
    </row>
    <row r="1514" spans="1:6" ht="75" customHeight="1" x14ac:dyDescent="0.2">
      <c r="A1514" s="21">
        <f>+Dates!$D$11+1</f>
        <v>41948</v>
      </c>
      <c r="B1514" s="21">
        <f>+Dates!$D$11+1</f>
        <v>41948</v>
      </c>
      <c r="C1514" s="22" t="s">
        <v>933</v>
      </c>
      <c r="D1514" s="23" t="s">
        <v>38</v>
      </c>
      <c r="E1514" s="24" t="s">
        <v>80</v>
      </c>
      <c r="F1514" s="24" t="s">
        <v>332</v>
      </c>
    </row>
    <row r="1515" spans="1:6" ht="79.5" customHeight="1" x14ac:dyDescent="0.2">
      <c r="A1515" s="21">
        <f>+Dates!$D$11+1</f>
        <v>41948</v>
      </c>
      <c r="B1515" s="21">
        <f>+Dates!$D$11+1</f>
        <v>41948</v>
      </c>
      <c r="C1515" s="22" t="s">
        <v>48</v>
      </c>
      <c r="D1515" s="23" t="s">
        <v>38</v>
      </c>
      <c r="E1515" s="24" t="s">
        <v>289</v>
      </c>
      <c r="F1515" s="24" t="s">
        <v>332</v>
      </c>
    </row>
    <row r="1516" spans="1:6" ht="76.5" customHeight="1" x14ac:dyDescent="0.2">
      <c r="A1516" s="21">
        <f>+Dates!$D$11+1</f>
        <v>41948</v>
      </c>
      <c r="B1516" s="21">
        <f>+Dates!$D$11+1</f>
        <v>41948</v>
      </c>
      <c r="C1516" s="22" t="s">
        <v>337</v>
      </c>
      <c r="D1516" s="23" t="s">
        <v>38</v>
      </c>
      <c r="E1516" s="24" t="s">
        <v>291</v>
      </c>
      <c r="F1516" s="24" t="s">
        <v>332</v>
      </c>
    </row>
    <row r="1517" spans="1:6" ht="79.5" customHeight="1" x14ac:dyDescent="0.2">
      <c r="A1517" s="21">
        <f>+Dates!$D$11+1</f>
        <v>41948</v>
      </c>
      <c r="B1517" s="21">
        <f>+Dates!$D$11+1</f>
        <v>41948</v>
      </c>
      <c r="C1517" s="22" t="s">
        <v>934</v>
      </c>
      <c r="D1517" s="23" t="s">
        <v>38</v>
      </c>
      <c r="E1517" s="24" t="s">
        <v>301</v>
      </c>
      <c r="F1517" s="24" t="s">
        <v>332</v>
      </c>
    </row>
    <row r="1518" spans="1:6" ht="91.5" customHeight="1" x14ac:dyDescent="0.2">
      <c r="A1518" s="21">
        <f>+Dates!$D$11+1</f>
        <v>41948</v>
      </c>
      <c r="B1518" s="21">
        <f>+Dates!$D$11+1</f>
        <v>41948</v>
      </c>
      <c r="C1518" s="22" t="s">
        <v>935</v>
      </c>
      <c r="D1518" s="23" t="s">
        <v>38</v>
      </c>
      <c r="E1518" s="24" t="s">
        <v>297</v>
      </c>
      <c r="F1518" s="24" t="s">
        <v>332</v>
      </c>
    </row>
    <row r="1519" spans="1:6" ht="113.25" customHeight="1" x14ac:dyDescent="0.2">
      <c r="A1519" s="21">
        <f>+Dates!$D$11+1</f>
        <v>41948</v>
      </c>
      <c r="B1519" s="21">
        <f>+Dates!$D$11+42</f>
        <v>41989</v>
      </c>
      <c r="C1519" s="22" t="s">
        <v>937</v>
      </c>
      <c r="D1519" s="23">
        <v>201.17099999999999</v>
      </c>
      <c r="E1519" s="24" t="s">
        <v>61</v>
      </c>
      <c r="F1519" s="24" t="s">
        <v>195</v>
      </c>
    </row>
    <row r="1520" spans="1:6" ht="112.5" customHeight="1" x14ac:dyDescent="0.2">
      <c r="A1520" s="21">
        <f>+Dates!$D$11+1</f>
        <v>41948</v>
      </c>
      <c r="B1520" s="21">
        <f>+Dates!$D$11+42</f>
        <v>41989</v>
      </c>
      <c r="C1520" s="22" t="s">
        <v>938</v>
      </c>
      <c r="D1520" s="23">
        <v>201.17099999999999</v>
      </c>
      <c r="E1520" s="24" t="s">
        <v>391</v>
      </c>
      <c r="F1520" s="24" t="s">
        <v>195</v>
      </c>
    </row>
    <row r="1521" spans="1:6" ht="107.25" customHeight="1" x14ac:dyDescent="0.2">
      <c r="A1521" s="21">
        <f>+Dates!$D$11+1</f>
        <v>41948</v>
      </c>
      <c r="B1521" s="21">
        <f>+Dates!$D$11+42</f>
        <v>41989</v>
      </c>
      <c r="C1521" s="22" t="s">
        <v>936</v>
      </c>
      <c r="D1521" s="23">
        <v>201.17099999999999</v>
      </c>
      <c r="E1521" s="24" t="s">
        <v>80</v>
      </c>
      <c r="F1521" s="24" t="s">
        <v>195</v>
      </c>
    </row>
    <row r="1522" spans="1:6" ht="88.5" customHeight="1" x14ac:dyDescent="0.2">
      <c r="A1522" s="21">
        <f>+Dates!$D$11+1</f>
        <v>41948</v>
      </c>
      <c r="B1522" s="21">
        <f>+Dates!$D$11+42</f>
        <v>41989</v>
      </c>
      <c r="C1522" s="22" t="s">
        <v>1573</v>
      </c>
      <c r="D1522" s="23" t="s">
        <v>582</v>
      </c>
      <c r="E1522" s="24" t="s">
        <v>61</v>
      </c>
      <c r="F1522" s="24" t="s">
        <v>195</v>
      </c>
    </row>
    <row r="1523" spans="1:6" ht="79.5" customHeight="1" x14ac:dyDescent="0.2">
      <c r="A1523" s="21">
        <f>+Dates!$D$11+1</f>
        <v>41948</v>
      </c>
      <c r="B1523" s="21">
        <f>+Dates!$D$11+42</f>
        <v>41989</v>
      </c>
      <c r="C1523" s="22" t="s">
        <v>1574</v>
      </c>
      <c r="D1523" s="23" t="s">
        <v>582</v>
      </c>
      <c r="E1523" s="24" t="s">
        <v>391</v>
      </c>
      <c r="F1523" s="24" t="s">
        <v>195</v>
      </c>
    </row>
    <row r="1524" spans="1:6" ht="87" customHeight="1" x14ac:dyDescent="0.2">
      <c r="A1524" s="21">
        <f>+Dates!$D$11+1</f>
        <v>41948</v>
      </c>
      <c r="B1524" s="21">
        <f>+Dates!$D$11+42</f>
        <v>41989</v>
      </c>
      <c r="C1524" s="22" t="s">
        <v>1575</v>
      </c>
      <c r="D1524" s="23" t="s">
        <v>582</v>
      </c>
      <c r="E1524" s="24" t="s">
        <v>80</v>
      </c>
      <c r="F1524" s="24" t="s">
        <v>195</v>
      </c>
    </row>
    <row r="1525" spans="1:6" ht="108.75" customHeight="1" x14ac:dyDescent="0.2">
      <c r="A1525" s="21">
        <f>+Dates!$D$11+1</f>
        <v>41948</v>
      </c>
      <c r="B1525" s="21">
        <f>+Dates!$D$11+49</f>
        <v>41996</v>
      </c>
      <c r="C1525" s="22" t="s">
        <v>1576</v>
      </c>
      <c r="D1525" s="23" t="s">
        <v>166</v>
      </c>
      <c r="E1525" s="24" t="s">
        <v>61</v>
      </c>
      <c r="F1525" s="24" t="s">
        <v>290</v>
      </c>
    </row>
    <row r="1526" spans="1:6" ht="92.25" customHeight="1" x14ac:dyDescent="0.2">
      <c r="A1526" s="21">
        <f>+Dates!$D$11+1</f>
        <v>41948</v>
      </c>
      <c r="B1526" s="21">
        <f>+Dates!$D$11+49</f>
        <v>41996</v>
      </c>
      <c r="C1526" s="22" t="s">
        <v>1577</v>
      </c>
      <c r="D1526" s="23" t="s">
        <v>166</v>
      </c>
      <c r="E1526" s="24" t="s">
        <v>80</v>
      </c>
      <c r="F1526" s="24" t="s">
        <v>290</v>
      </c>
    </row>
    <row r="1527" spans="1:6" ht="83.25" customHeight="1" x14ac:dyDescent="0.2">
      <c r="A1527" s="21">
        <f>+Dates!$D$11+2</f>
        <v>41949</v>
      </c>
      <c r="B1527" s="21">
        <f>+Dates!$D$11+2</f>
        <v>41949</v>
      </c>
      <c r="C1527" s="22" t="s">
        <v>1154</v>
      </c>
      <c r="D1527" s="23" t="s">
        <v>38</v>
      </c>
      <c r="E1527" s="24" t="s">
        <v>61</v>
      </c>
      <c r="F1527" s="24" t="s">
        <v>290</v>
      </c>
    </row>
    <row r="1528" spans="1:6" ht="78.75" customHeight="1" x14ac:dyDescent="0.2">
      <c r="A1528" s="21">
        <f>+Dates!$D$11+2</f>
        <v>41949</v>
      </c>
      <c r="B1528" s="21">
        <f>+Dates!$D$11+2</f>
        <v>41949</v>
      </c>
      <c r="C1528" s="22" t="s">
        <v>1155</v>
      </c>
      <c r="D1528" s="23" t="s">
        <v>38</v>
      </c>
      <c r="E1528" s="24" t="s">
        <v>80</v>
      </c>
      <c r="F1528" s="24" t="s">
        <v>290</v>
      </c>
    </row>
    <row r="1529" spans="1:6" ht="89.25" customHeight="1" x14ac:dyDescent="0.2">
      <c r="A1529" s="21">
        <f>+Dates!$D$11+2</f>
        <v>41949</v>
      </c>
      <c r="B1529" s="21">
        <f>+Dates!$D$11+2</f>
        <v>41949</v>
      </c>
      <c r="C1529" s="22" t="s">
        <v>351</v>
      </c>
      <c r="D1529" s="23" t="s">
        <v>38</v>
      </c>
      <c r="E1529" s="24" t="s">
        <v>289</v>
      </c>
      <c r="F1529" s="24" t="s">
        <v>290</v>
      </c>
    </row>
    <row r="1530" spans="1:6" ht="89.25" customHeight="1" x14ac:dyDescent="0.2">
      <c r="A1530" s="21">
        <f>+Dates!$D$11+2</f>
        <v>41949</v>
      </c>
      <c r="B1530" s="21">
        <f>+Dates!$D$11+2</f>
        <v>41949</v>
      </c>
      <c r="C1530" s="22" t="s">
        <v>1156</v>
      </c>
      <c r="D1530" s="23" t="s">
        <v>38</v>
      </c>
      <c r="E1530" s="24" t="s">
        <v>291</v>
      </c>
      <c r="F1530" s="24" t="s">
        <v>290</v>
      </c>
    </row>
    <row r="1531" spans="1:6" ht="89.25" customHeight="1" x14ac:dyDescent="0.2">
      <c r="A1531" s="21">
        <f>+Dates!$D$11+2</f>
        <v>41949</v>
      </c>
      <c r="B1531" s="21">
        <f>+Dates!$D$11+2</f>
        <v>41949</v>
      </c>
      <c r="C1531" s="22" t="s">
        <v>1157</v>
      </c>
      <c r="D1531" s="23" t="s">
        <v>38</v>
      </c>
      <c r="E1531" s="24" t="s">
        <v>301</v>
      </c>
      <c r="F1531" s="24" t="s">
        <v>290</v>
      </c>
    </row>
    <row r="1532" spans="1:6" ht="87.75" customHeight="1" x14ac:dyDescent="0.2">
      <c r="A1532" s="21">
        <f>+Dates!$D$11+2</f>
        <v>41949</v>
      </c>
      <c r="B1532" s="21">
        <f>+Dates!$D$11+2</f>
        <v>41949</v>
      </c>
      <c r="C1532" s="22" t="s">
        <v>1158</v>
      </c>
      <c r="D1532" s="23" t="s">
        <v>38</v>
      </c>
      <c r="E1532" s="24" t="s">
        <v>297</v>
      </c>
      <c r="F1532" s="24" t="s">
        <v>290</v>
      </c>
    </row>
    <row r="1533" spans="1:6" ht="187.5" customHeight="1" x14ac:dyDescent="0.2">
      <c r="A1533" s="21">
        <f>+Dates!$D$11+3</f>
        <v>41950</v>
      </c>
      <c r="B1533" s="21">
        <f>+Dates!$D$11+10</f>
        <v>41957</v>
      </c>
      <c r="C1533" s="22" t="s">
        <v>1163</v>
      </c>
      <c r="D1533" s="23" t="s">
        <v>1162</v>
      </c>
      <c r="E1533" s="24" t="s">
        <v>61</v>
      </c>
      <c r="F1533" s="24" t="s">
        <v>290</v>
      </c>
    </row>
    <row r="1534" spans="1:6" ht="204" customHeight="1" x14ac:dyDescent="0.2">
      <c r="A1534" s="21">
        <f>+Dates!$D$11+3</f>
        <v>41950</v>
      </c>
      <c r="B1534" s="21">
        <f>+Dates!$D$11+10</f>
        <v>41957</v>
      </c>
      <c r="C1534" s="22" t="s">
        <v>1164</v>
      </c>
      <c r="D1534" s="23" t="s">
        <v>1162</v>
      </c>
      <c r="E1534" s="24" t="s">
        <v>135</v>
      </c>
      <c r="F1534" s="24" t="s">
        <v>290</v>
      </c>
    </row>
    <row r="1535" spans="1:6" ht="196.5" customHeight="1" x14ac:dyDescent="0.2">
      <c r="A1535" s="21">
        <f>+Dates!$D$11+3</f>
        <v>41950</v>
      </c>
      <c r="B1535" s="21">
        <f>+Dates!$D$11+10</f>
        <v>41957</v>
      </c>
      <c r="C1535" s="22" t="s">
        <v>1165</v>
      </c>
      <c r="D1535" s="23" t="s">
        <v>1162</v>
      </c>
      <c r="E1535" s="24" t="s">
        <v>391</v>
      </c>
      <c r="F1535" s="24" t="s">
        <v>290</v>
      </c>
    </row>
    <row r="1536" spans="1:6" ht="193.5" customHeight="1" x14ac:dyDescent="0.2">
      <c r="A1536" s="21">
        <f>+Dates!$D$11+3</f>
        <v>41950</v>
      </c>
      <c r="B1536" s="21">
        <f>+Dates!$D$11+10</f>
        <v>41957</v>
      </c>
      <c r="C1536" s="22" t="s">
        <v>1166</v>
      </c>
      <c r="D1536" s="23" t="s">
        <v>1162</v>
      </c>
      <c r="E1536" s="24" t="s">
        <v>292</v>
      </c>
      <c r="F1536" s="24" t="s">
        <v>290</v>
      </c>
    </row>
    <row r="1537" spans="1:6" ht="207.75" customHeight="1" x14ac:dyDescent="0.2">
      <c r="A1537" s="21">
        <f>+Dates!$D$11+3</f>
        <v>41950</v>
      </c>
      <c r="B1537" s="21">
        <f>+Dates!$D$11+10</f>
        <v>41957</v>
      </c>
      <c r="C1537" s="22" t="s">
        <v>1167</v>
      </c>
      <c r="D1537" s="23" t="s">
        <v>1162</v>
      </c>
      <c r="E1537" s="24" t="s">
        <v>1062</v>
      </c>
      <c r="F1537" s="24" t="s">
        <v>290</v>
      </c>
    </row>
    <row r="1538" spans="1:6" ht="268.5" customHeight="1" x14ac:dyDescent="0.2">
      <c r="A1538" s="21">
        <f>+Dates!$D$11+3</f>
        <v>41950</v>
      </c>
      <c r="B1538" s="21">
        <f>+Dates!$D$11+10</f>
        <v>41957</v>
      </c>
      <c r="C1538" s="22" t="s">
        <v>1169</v>
      </c>
      <c r="D1538" s="23" t="s">
        <v>1168</v>
      </c>
      <c r="E1538" s="24" t="s">
        <v>61</v>
      </c>
      <c r="F1538" s="24" t="s">
        <v>290</v>
      </c>
    </row>
    <row r="1539" spans="1:6" ht="277.5" customHeight="1" x14ac:dyDescent="0.2">
      <c r="A1539" s="21">
        <f>+Dates!$D$11+3</f>
        <v>41950</v>
      </c>
      <c r="B1539" s="21">
        <f>+Dates!$D$11+10</f>
        <v>41957</v>
      </c>
      <c r="C1539" s="22" t="s">
        <v>1170</v>
      </c>
      <c r="D1539" s="23" t="s">
        <v>1168</v>
      </c>
      <c r="E1539" s="24" t="s">
        <v>135</v>
      </c>
      <c r="F1539" s="24" t="s">
        <v>290</v>
      </c>
    </row>
    <row r="1540" spans="1:6" ht="276" customHeight="1" x14ac:dyDescent="0.2">
      <c r="A1540" s="21">
        <f>+Dates!$D$11+3</f>
        <v>41950</v>
      </c>
      <c r="B1540" s="21">
        <f>+Dates!$D$11+10</f>
        <v>41957</v>
      </c>
      <c r="C1540" s="22" t="s">
        <v>1171</v>
      </c>
      <c r="D1540" s="23" t="s">
        <v>1168</v>
      </c>
      <c r="E1540" s="24" t="s">
        <v>391</v>
      </c>
      <c r="F1540" s="24" t="s">
        <v>290</v>
      </c>
    </row>
    <row r="1541" spans="1:6" ht="270" customHeight="1" x14ac:dyDescent="0.2">
      <c r="A1541" s="21">
        <f>+Dates!$D$11+3</f>
        <v>41950</v>
      </c>
      <c r="B1541" s="21">
        <f>+Dates!$D$11+10</f>
        <v>41957</v>
      </c>
      <c r="C1541" s="22" t="s">
        <v>1172</v>
      </c>
      <c r="D1541" s="23" t="s">
        <v>1168</v>
      </c>
      <c r="E1541" s="24" t="s">
        <v>80</v>
      </c>
      <c r="F1541" s="24" t="s">
        <v>290</v>
      </c>
    </row>
    <row r="1542" spans="1:6" ht="128.25" customHeight="1" x14ac:dyDescent="0.2">
      <c r="A1542" s="21">
        <f>+Dates!$D$11+3</f>
        <v>41950</v>
      </c>
      <c r="B1542" s="21">
        <f>+Dates!$D$11+10</f>
        <v>41957</v>
      </c>
      <c r="C1542" s="22" t="s">
        <v>1657</v>
      </c>
      <c r="D1542" s="23" t="s">
        <v>1173</v>
      </c>
      <c r="E1542" s="24" t="s">
        <v>61</v>
      </c>
      <c r="F1542" s="24" t="s">
        <v>290</v>
      </c>
    </row>
    <row r="1543" spans="1:6" ht="123.75" customHeight="1" x14ac:dyDescent="0.2">
      <c r="A1543" s="21">
        <f>+Dates!$D$11+3</f>
        <v>41950</v>
      </c>
      <c r="B1543" s="21">
        <f>+Dates!$D$11+10</f>
        <v>41957</v>
      </c>
      <c r="C1543" s="22" t="s">
        <v>1658</v>
      </c>
      <c r="D1543" s="23" t="s">
        <v>1173</v>
      </c>
      <c r="E1543" s="24" t="s">
        <v>135</v>
      </c>
      <c r="F1543" s="24" t="s">
        <v>290</v>
      </c>
    </row>
    <row r="1544" spans="1:6" ht="131.25" customHeight="1" x14ac:dyDescent="0.2">
      <c r="A1544" s="21">
        <f>+Dates!$D$11+3</f>
        <v>41950</v>
      </c>
      <c r="B1544" s="21">
        <f>+Dates!$D$11+10</f>
        <v>41957</v>
      </c>
      <c r="C1544" s="22" t="s">
        <v>1659</v>
      </c>
      <c r="D1544" s="23" t="s">
        <v>1173</v>
      </c>
      <c r="E1544" s="24" t="s">
        <v>391</v>
      </c>
      <c r="F1544" s="24" t="s">
        <v>290</v>
      </c>
    </row>
    <row r="1545" spans="1:6" ht="126" customHeight="1" x14ac:dyDescent="0.2">
      <c r="A1545" s="21">
        <f>+Dates!$D$11+3</f>
        <v>41950</v>
      </c>
      <c r="B1545" s="21">
        <f>+Dates!$D$11+10</f>
        <v>41957</v>
      </c>
      <c r="C1545" s="22" t="s">
        <v>1660</v>
      </c>
      <c r="D1545" s="23" t="s">
        <v>1173</v>
      </c>
      <c r="E1545" s="24" t="s">
        <v>80</v>
      </c>
      <c r="F1545" s="24" t="s">
        <v>290</v>
      </c>
    </row>
    <row r="1546" spans="1:6" ht="131.25" customHeight="1" x14ac:dyDescent="0.2">
      <c r="A1546" s="21">
        <f>+Dates!$D$11+3</f>
        <v>41950</v>
      </c>
      <c r="B1546" s="21">
        <f>+Dates!$D$11+10</f>
        <v>41957</v>
      </c>
      <c r="C1546" s="22" t="s">
        <v>1661</v>
      </c>
      <c r="D1546" s="23" t="s">
        <v>1173</v>
      </c>
      <c r="E1546" s="24" t="s">
        <v>289</v>
      </c>
      <c r="F1546" s="24" t="s">
        <v>290</v>
      </c>
    </row>
    <row r="1547" spans="1:6" ht="129.75" customHeight="1" x14ac:dyDescent="0.2">
      <c r="A1547" s="21">
        <f>+Dates!$D$11+3</f>
        <v>41950</v>
      </c>
      <c r="B1547" s="21">
        <f>+Dates!$D$11+10</f>
        <v>41957</v>
      </c>
      <c r="C1547" s="22" t="s">
        <v>1662</v>
      </c>
      <c r="D1547" s="23" t="s">
        <v>1173</v>
      </c>
      <c r="E1547" s="24" t="s">
        <v>291</v>
      </c>
      <c r="F1547" s="24" t="s">
        <v>290</v>
      </c>
    </row>
    <row r="1548" spans="1:6" ht="135.75" customHeight="1" x14ac:dyDescent="0.2">
      <c r="A1548" s="21">
        <f>+Dates!$D$11+3</f>
        <v>41950</v>
      </c>
      <c r="B1548" s="21">
        <f>+Dates!$D$11+10</f>
        <v>41957</v>
      </c>
      <c r="C1548" s="22" t="s">
        <v>1663</v>
      </c>
      <c r="D1548" s="23" t="s">
        <v>1173</v>
      </c>
      <c r="E1548" s="24" t="s">
        <v>297</v>
      </c>
      <c r="F1548" s="24" t="s">
        <v>290</v>
      </c>
    </row>
    <row r="1549" spans="1:6" ht="142.5" customHeight="1" x14ac:dyDescent="0.2">
      <c r="A1549" s="21">
        <f>+Dates!$D$11+3</f>
        <v>41950</v>
      </c>
      <c r="B1549" s="21">
        <f>+Dates!$D$11+10</f>
        <v>41957</v>
      </c>
      <c r="C1549" s="22" t="s">
        <v>1664</v>
      </c>
      <c r="D1549" s="23" t="s">
        <v>1173</v>
      </c>
      <c r="E1549" s="24" t="s">
        <v>333</v>
      </c>
      <c r="F1549" s="24" t="s">
        <v>290</v>
      </c>
    </row>
    <row r="1550" spans="1:6" ht="139.5" customHeight="1" x14ac:dyDescent="0.2">
      <c r="A1550" s="21">
        <f>+Dates!$D$11+3</f>
        <v>41950</v>
      </c>
      <c r="B1550" s="21">
        <f>+Dates!$D$11+10</f>
        <v>41957</v>
      </c>
      <c r="C1550" s="22" t="s">
        <v>1665</v>
      </c>
      <c r="D1550" s="23" t="s">
        <v>1173</v>
      </c>
      <c r="E1550" s="24" t="s">
        <v>160</v>
      </c>
      <c r="F1550" s="24" t="s">
        <v>290</v>
      </c>
    </row>
    <row r="1551" spans="1:6" ht="126.75" customHeight="1" x14ac:dyDescent="0.2">
      <c r="A1551" s="21">
        <f>+Dates!$D$11+3</f>
        <v>41950</v>
      </c>
      <c r="B1551" s="21">
        <f>+Dates!$D$11+10</f>
        <v>41957</v>
      </c>
      <c r="C1551" s="22" t="s">
        <v>1666</v>
      </c>
      <c r="D1551" s="23" t="s">
        <v>1173</v>
      </c>
      <c r="E1551" s="24" t="s">
        <v>295</v>
      </c>
      <c r="F1551" s="24" t="s">
        <v>290</v>
      </c>
    </row>
    <row r="1552" spans="1:6" ht="409.6" customHeight="1" x14ac:dyDescent="0.2">
      <c r="A1552" s="21">
        <f>+Dates!$D$11+3</f>
        <v>41950</v>
      </c>
      <c r="B1552" s="21">
        <f>+Dates!$D$11+10</f>
        <v>41957</v>
      </c>
      <c r="C1552" s="22" t="s">
        <v>1174</v>
      </c>
      <c r="D1552" s="23" t="s">
        <v>235</v>
      </c>
      <c r="E1552" s="24" t="s">
        <v>61</v>
      </c>
      <c r="F1552" s="24" t="s">
        <v>56</v>
      </c>
    </row>
    <row r="1553" spans="1:6" ht="393.75" x14ac:dyDescent="0.2">
      <c r="A1553" s="21">
        <f>+Dates!$D$11+3</f>
        <v>41950</v>
      </c>
      <c r="B1553" s="21">
        <f>+Dates!$D$11+10</f>
        <v>41957</v>
      </c>
      <c r="C1553" s="22" t="s">
        <v>1175</v>
      </c>
      <c r="D1553" s="23" t="s">
        <v>235</v>
      </c>
      <c r="E1553" s="24" t="s">
        <v>135</v>
      </c>
      <c r="F1553" s="24" t="s">
        <v>56</v>
      </c>
    </row>
    <row r="1554" spans="1:6" ht="378" x14ac:dyDescent="0.2">
      <c r="A1554" s="21">
        <f>+Dates!$D$11+3</f>
        <v>41950</v>
      </c>
      <c r="B1554" s="21">
        <f>+Dates!$D$11+10</f>
        <v>41957</v>
      </c>
      <c r="C1554" s="22" t="s">
        <v>1176</v>
      </c>
      <c r="D1554" s="23" t="s">
        <v>235</v>
      </c>
      <c r="E1554" s="24" t="s">
        <v>391</v>
      </c>
      <c r="F1554" s="24" t="s">
        <v>56</v>
      </c>
    </row>
    <row r="1555" spans="1:6" ht="409.6" customHeight="1" x14ac:dyDescent="0.2">
      <c r="A1555" s="21">
        <f>+Dates!$D$11+3</f>
        <v>41950</v>
      </c>
      <c r="B1555" s="21">
        <f>+Dates!$D$11+10</f>
        <v>41957</v>
      </c>
      <c r="C1555" s="22" t="s">
        <v>1177</v>
      </c>
      <c r="D1555" s="23" t="s">
        <v>235</v>
      </c>
      <c r="E1555" s="24" t="s">
        <v>80</v>
      </c>
      <c r="F1555" s="24" t="s">
        <v>56</v>
      </c>
    </row>
    <row r="1556" spans="1:6" ht="393.75" x14ac:dyDescent="0.2">
      <c r="A1556" s="21">
        <f>+Dates!$D$11+3</f>
        <v>41950</v>
      </c>
      <c r="B1556" s="21">
        <f>+Dates!$D$11+10</f>
        <v>41957</v>
      </c>
      <c r="C1556" s="22" t="s">
        <v>1178</v>
      </c>
      <c r="D1556" s="23" t="s">
        <v>235</v>
      </c>
      <c r="E1556" s="24" t="s">
        <v>289</v>
      </c>
      <c r="F1556" s="24" t="s">
        <v>56</v>
      </c>
    </row>
    <row r="1557" spans="1:6" ht="393.75" x14ac:dyDescent="0.2">
      <c r="A1557" s="21">
        <f>+Dates!$D$11+3</f>
        <v>41950</v>
      </c>
      <c r="B1557" s="21">
        <f>+Dates!$D$11+10</f>
        <v>41957</v>
      </c>
      <c r="C1557" s="22" t="s">
        <v>1179</v>
      </c>
      <c r="D1557" s="23" t="s">
        <v>235</v>
      </c>
      <c r="E1557" s="24" t="s">
        <v>291</v>
      </c>
      <c r="F1557" s="24" t="s">
        <v>56</v>
      </c>
    </row>
    <row r="1558" spans="1:6" ht="409.6" customHeight="1" x14ac:dyDescent="0.2">
      <c r="A1558" s="21">
        <f>+Dates!$D$11+3</f>
        <v>41950</v>
      </c>
      <c r="B1558" s="21">
        <f>+Dates!$D$11+10</f>
        <v>41957</v>
      </c>
      <c r="C1558" s="22" t="s">
        <v>1180</v>
      </c>
      <c r="D1558" s="23" t="s">
        <v>235</v>
      </c>
      <c r="E1558" s="24" t="s">
        <v>301</v>
      </c>
      <c r="F1558" s="24" t="s">
        <v>56</v>
      </c>
    </row>
    <row r="1559" spans="1:6" ht="409.6" customHeight="1" x14ac:dyDescent="0.2">
      <c r="A1559" s="21">
        <f>+Dates!$D$11+3</f>
        <v>41950</v>
      </c>
      <c r="B1559" s="21">
        <f>+Dates!$D$11+10</f>
        <v>41957</v>
      </c>
      <c r="C1559" s="22" t="s">
        <v>1181</v>
      </c>
      <c r="D1559" s="23" t="s">
        <v>235</v>
      </c>
      <c r="E1559" s="24" t="s">
        <v>297</v>
      </c>
      <c r="F1559" s="24" t="s">
        <v>56</v>
      </c>
    </row>
    <row r="1560" spans="1:6" ht="123.75" customHeight="1" x14ac:dyDescent="0.2">
      <c r="A1560" s="21">
        <f>+Dates!$D$11+6</f>
        <v>41953</v>
      </c>
      <c r="B1560" s="21">
        <f>+Dates!$D$11+6</f>
        <v>41953</v>
      </c>
      <c r="C1560" s="22" t="s">
        <v>1198</v>
      </c>
      <c r="D1560" s="23" t="s">
        <v>247</v>
      </c>
      <c r="E1560" s="24" t="s">
        <v>61</v>
      </c>
      <c r="F1560" s="24" t="s">
        <v>299</v>
      </c>
    </row>
    <row r="1561" spans="1:6" ht="118.5" customHeight="1" x14ac:dyDescent="0.2">
      <c r="A1561" s="21">
        <f>+Dates!$D$11+6</f>
        <v>41953</v>
      </c>
      <c r="B1561" s="21">
        <f>+Dates!$D$11+6</f>
        <v>41953</v>
      </c>
      <c r="C1561" s="22" t="s">
        <v>1199</v>
      </c>
      <c r="D1561" s="23" t="s">
        <v>247</v>
      </c>
      <c r="E1561" s="24" t="s">
        <v>135</v>
      </c>
      <c r="F1561" s="24" t="s">
        <v>299</v>
      </c>
    </row>
    <row r="1562" spans="1:6" ht="120" customHeight="1" x14ac:dyDescent="0.2">
      <c r="A1562" s="21">
        <f>+Dates!$D$11+6</f>
        <v>41953</v>
      </c>
      <c r="B1562" s="21">
        <f>+Dates!$D$11+6</f>
        <v>41953</v>
      </c>
      <c r="C1562" s="22" t="s">
        <v>1200</v>
      </c>
      <c r="D1562" s="23" t="s">
        <v>247</v>
      </c>
      <c r="E1562" s="24" t="s">
        <v>391</v>
      </c>
      <c r="F1562" s="24" t="s">
        <v>299</v>
      </c>
    </row>
    <row r="1563" spans="1:6" ht="103.5" customHeight="1" x14ac:dyDescent="0.2">
      <c r="A1563" s="21">
        <f>+Dates!$D$11+6</f>
        <v>41953</v>
      </c>
      <c r="B1563" s="21">
        <f>+Dates!$D$11+6</f>
        <v>41953</v>
      </c>
      <c r="C1563" s="22" t="s">
        <v>1201</v>
      </c>
      <c r="D1563" s="23" t="s">
        <v>247</v>
      </c>
      <c r="E1563" s="24" t="s">
        <v>80</v>
      </c>
      <c r="F1563" s="24" t="s">
        <v>299</v>
      </c>
    </row>
    <row r="1564" spans="1:6" ht="123" customHeight="1" x14ac:dyDescent="0.2">
      <c r="A1564" s="21">
        <f>+Dates!$D$11+6</f>
        <v>41953</v>
      </c>
      <c r="B1564" s="21">
        <f>+Dates!$D$11+6</f>
        <v>41953</v>
      </c>
      <c r="C1564" s="22" t="s">
        <v>1202</v>
      </c>
      <c r="D1564" s="23" t="s">
        <v>247</v>
      </c>
      <c r="E1564" s="24" t="s">
        <v>1062</v>
      </c>
      <c r="F1564" s="24" t="s">
        <v>299</v>
      </c>
    </row>
    <row r="1565" spans="1:6" ht="123.75" customHeight="1" x14ac:dyDescent="0.2">
      <c r="A1565" s="21">
        <f>+Dates!$D$11+6</f>
        <v>41953</v>
      </c>
      <c r="B1565" s="21">
        <f>+Dates!$D$11+6</f>
        <v>41953</v>
      </c>
      <c r="C1565" s="22" t="s">
        <v>1203</v>
      </c>
      <c r="D1565" s="23" t="s">
        <v>247</v>
      </c>
      <c r="E1565" s="24" t="s">
        <v>289</v>
      </c>
      <c r="F1565" s="24" t="s">
        <v>299</v>
      </c>
    </row>
    <row r="1566" spans="1:6" ht="123" customHeight="1" x14ac:dyDescent="0.2">
      <c r="A1566" s="21">
        <f>+Dates!$D$11+6</f>
        <v>41953</v>
      </c>
      <c r="B1566" s="21">
        <f>+Dates!$D$11+6</f>
        <v>41953</v>
      </c>
      <c r="C1566" s="22" t="s">
        <v>1204</v>
      </c>
      <c r="D1566" s="23" t="s">
        <v>247</v>
      </c>
      <c r="E1566" s="24" t="s">
        <v>291</v>
      </c>
      <c r="F1566" s="24" t="s">
        <v>299</v>
      </c>
    </row>
    <row r="1567" spans="1:6" ht="120.75" customHeight="1" x14ac:dyDescent="0.2">
      <c r="A1567" s="21">
        <f>+Dates!$D$11+6</f>
        <v>41953</v>
      </c>
      <c r="B1567" s="21">
        <f>+Dates!$D$11+6</f>
        <v>41953</v>
      </c>
      <c r="C1567" s="22" t="s">
        <v>1205</v>
      </c>
      <c r="D1567" s="23" t="s">
        <v>247</v>
      </c>
      <c r="E1567" s="24" t="s">
        <v>297</v>
      </c>
      <c r="F1567" s="24" t="s">
        <v>299</v>
      </c>
    </row>
    <row r="1568" spans="1:6" ht="126" customHeight="1" x14ac:dyDescent="0.2">
      <c r="A1568" s="21">
        <f>+Dates!$D$11+6</f>
        <v>41953</v>
      </c>
      <c r="B1568" s="21">
        <f>+Dates!$D$11+6</f>
        <v>41953</v>
      </c>
      <c r="C1568" s="22" t="s">
        <v>1206</v>
      </c>
      <c r="D1568" s="23" t="s">
        <v>247</v>
      </c>
      <c r="E1568" s="24" t="s">
        <v>333</v>
      </c>
      <c r="F1568" s="24" t="s">
        <v>299</v>
      </c>
    </row>
    <row r="1569" spans="1:6" ht="122.25" customHeight="1" x14ac:dyDescent="0.2">
      <c r="A1569" s="21">
        <f>+Dates!$D$11+6</f>
        <v>41953</v>
      </c>
      <c r="B1569" s="21">
        <f>+Dates!$D$11+6</f>
        <v>41953</v>
      </c>
      <c r="C1569" s="22" t="s">
        <v>1207</v>
      </c>
      <c r="D1569" s="23" t="s">
        <v>247</v>
      </c>
      <c r="E1569" s="24" t="s">
        <v>160</v>
      </c>
      <c r="F1569" s="24" t="s">
        <v>299</v>
      </c>
    </row>
    <row r="1570" spans="1:6" ht="119.25" customHeight="1" x14ac:dyDescent="0.2">
      <c r="A1570" s="21">
        <f>+Dates!$D$11+6</f>
        <v>41953</v>
      </c>
      <c r="B1570" s="21">
        <f>+Dates!$D$11+6</f>
        <v>41953</v>
      </c>
      <c r="C1570" s="22" t="s">
        <v>1208</v>
      </c>
      <c r="D1570" s="23" t="s">
        <v>247</v>
      </c>
      <c r="E1570" s="24" t="s">
        <v>295</v>
      </c>
      <c r="F1570" s="24" t="s">
        <v>299</v>
      </c>
    </row>
    <row r="1571" spans="1:6" ht="79.5" customHeight="1" x14ac:dyDescent="0.2">
      <c r="A1571" s="21">
        <f>+Dates!$D$20</f>
        <v>41954</v>
      </c>
      <c r="B1571" s="21">
        <f>+Dates!$D$20</f>
        <v>41954</v>
      </c>
      <c r="C1571" s="22" t="s">
        <v>246</v>
      </c>
      <c r="D1571" s="23" t="s">
        <v>293</v>
      </c>
      <c r="E1571" s="24" t="s">
        <v>294</v>
      </c>
      <c r="F1571" s="24" t="s">
        <v>294</v>
      </c>
    </row>
    <row r="1572" spans="1:6" ht="162.75" customHeight="1" x14ac:dyDescent="0.2">
      <c r="A1572" s="21">
        <f>+Dates!$D$11+10</f>
        <v>41957</v>
      </c>
      <c r="B1572" s="21">
        <f>+Dates!$D$11+10</f>
        <v>41957</v>
      </c>
      <c r="C1572" s="22" t="s">
        <v>1217</v>
      </c>
      <c r="D1572" s="23" t="s">
        <v>440</v>
      </c>
      <c r="E1572" s="24" t="s">
        <v>61</v>
      </c>
      <c r="F1572" s="24" t="s">
        <v>441</v>
      </c>
    </row>
    <row r="1573" spans="1:6" ht="154.5" customHeight="1" x14ac:dyDescent="0.2">
      <c r="A1573" s="21">
        <f>+Dates!$D$11+10</f>
        <v>41957</v>
      </c>
      <c r="B1573" s="21">
        <f>+Dates!$D$11+10</f>
        <v>41957</v>
      </c>
      <c r="C1573" s="22" t="s">
        <v>1218</v>
      </c>
      <c r="D1573" s="23" t="s">
        <v>440</v>
      </c>
      <c r="E1573" s="24" t="s">
        <v>135</v>
      </c>
      <c r="F1573" s="24" t="s">
        <v>441</v>
      </c>
    </row>
    <row r="1574" spans="1:6" ht="159" customHeight="1" x14ac:dyDescent="0.2">
      <c r="A1574" s="21">
        <f>+Dates!$D$11+10</f>
        <v>41957</v>
      </c>
      <c r="B1574" s="21">
        <f>+Dates!$D$11+10</f>
        <v>41957</v>
      </c>
      <c r="C1574" s="22" t="s">
        <v>1219</v>
      </c>
      <c r="D1574" s="23" t="s">
        <v>440</v>
      </c>
      <c r="E1574" s="24" t="s">
        <v>391</v>
      </c>
      <c r="F1574" s="24" t="s">
        <v>441</v>
      </c>
    </row>
    <row r="1575" spans="1:6" ht="159.75" customHeight="1" x14ac:dyDescent="0.2">
      <c r="A1575" s="21">
        <f>+Dates!$D$11+10</f>
        <v>41957</v>
      </c>
      <c r="B1575" s="21">
        <f>+Dates!$D$11+10</f>
        <v>41957</v>
      </c>
      <c r="C1575" s="22" t="s">
        <v>1220</v>
      </c>
      <c r="D1575" s="23" t="s">
        <v>440</v>
      </c>
      <c r="E1575" s="24" t="s">
        <v>80</v>
      </c>
      <c r="F1575" s="24" t="s">
        <v>441</v>
      </c>
    </row>
    <row r="1576" spans="1:6" ht="176.25" customHeight="1" x14ac:dyDescent="0.2">
      <c r="A1576" s="21">
        <f>+Dates!$D$11+10</f>
        <v>41957</v>
      </c>
      <c r="B1576" s="21">
        <f>+Dates!$D$11+10</f>
        <v>41957</v>
      </c>
      <c r="C1576" s="22" t="s">
        <v>1221</v>
      </c>
      <c r="D1576" s="23" t="s">
        <v>440</v>
      </c>
      <c r="E1576" s="24" t="s">
        <v>1062</v>
      </c>
      <c r="F1576" s="24" t="s">
        <v>441</v>
      </c>
    </row>
    <row r="1577" spans="1:6" ht="160.5" customHeight="1" x14ac:dyDescent="0.2">
      <c r="A1577" s="21">
        <f>+Dates!$D$11+10</f>
        <v>41957</v>
      </c>
      <c r="B1577" s="21">
        <f>+Dates!$D$11+10</f>
        <v>41957</v>
      </c>
      <c r="C1577" s="22" t="s">
        <v>1222</v>
      </c>
      <c r="D1577" s="23" t="s">
        <v>440</v>
      </c>
      <c r="E1577" s="24" t="s">
        <v>289</v>
      </c>
      <c r="F1577" s="24" t="s">
        <v>441</v>
      </c>
    </row>
    <row r="1578" spans="1:6" ht="167.25" customHeight="1" x14ac:dyDescent="0.2">
      <c r="A1578" s="21">
        <f>+Dates!$D$11+10</f>
        <v>41957</v>
      </c>
      <c r="B1578" s="21">
        <f>+Dates!$D$11+10</f>
        <v>41957</v>
      </c>
      <c r="C1578" s="22" t="s">
        <v>1223</v>
      </c>
      <c r="D1578" s="23" t="s">
        <v>440</v>
      </c>
      <c r="E1578" s="24" t="s">
        <v>291</v>
      </c>
      <c r="F1578" s="24" t="s">
        <v>441</v>
      </c>
    </row>
    <row r="1579" spans="1:6" ht="180" customHeight="1" x14ac:dyDescent="0.2">
      <c r="A1579" s="21">
        <f>+Dates!$D$11+10</f>
        <v>41957</v>
      </c>
      <c r="B1579" s="21">
        <f>+Dates!$D$11+10</f>
        <v>41957</v>
      </c>
      <c r="C1579" s="22" t="s">
        <v>1224</v>
      </c>
      <c r="D1579" s="23" t="s">
        <v>440</v>
      </c>
      <c r="E1579" s="24" t="s">
        <v>301</v>
      </c>
      <c r="F1579" s="24" t="s">
        <v>441</v>
      </c>
    </row>
    <row r="1580" spans="1:6" ht="173.25" customHeight="1" x14ac:dyDescent="0.2">
      <c r="A1580" s="21">
        <f>+Dates!$D$11+10</f>
        <v>41957</v>
      </c>
      <c r="B1580" s="21">
        <f>+Dates!$D$11+10</f>
        <v>41957</v>
      </c>
      <c r="C1580" s="22" t="s">
        <v>1225</v>
      </c>
      <c r="D1580" s="23" t="s">
        <v>440</v>
      </c>
      <c r="E1580" s="24" t="s">
        <v>297</v>
      </c>
      <c r="F1580" s="24" t="s">
        <v>441</v>
      </c>
    </row>
    <row r="1581" spans="1:6" ht="170.25" customHeight="1" x14ac:dyDescent="0.2">
      <c r="A1581" s="21">
        <f>+Dates!$D$11+10</f>
        <v>41957</v>
      </c>
      <c r="B1581" s="21">
        <f>+Dates!$D$11+10</f>
        <v>41957</v>
      </c>
      <c r="C1581" s="22" t="s">
        <v>1226</v>
      </c>
      <c r="D1581" s="23" t="s">
        <v>440</v>
      </c>
      <c r="E1581" s="24" t="s">
        <v>333</v>
      </c>
      <c r="F1581" s="24" t="s">
        <v>441</v>
      </c>
    </row>
    <row r="1582" spans="1:6" ht="171" customHeight="1" x14ac:dyDescent="0.2">
      <c r="A1582" s="21">
        <f>+Dates!$D$11+10</f>
        <v>41957</v>
      </c>
      <c r="B1582" s="21">
        <f>+Dates!$D$11+10</f>
        <v>41957</v>
      </c>
      <c r="C1582" s="22" t="s">
        <v>1227</v>
      </c>
      <c r="D1582" s="23" t="s">
        <v>440</v>
      </c>
      <c r="E1582" s="24" t="s">
        <v>160</v>
      </c>
      <c r="F1582" s="24" t="s">
        <v>441</v>
      </c>
    </row>
    <row r="1583" spans="1:6" ht="157.5" customHeight="1" x14ac:dyDescent="0.2">
      <c r="A1583" s="21">
        <f>+Dates!$D$11+10</f>
        <v>41957</v>
      </c>
      <c r="B1583" s="21">
        <f>+Dates!$D$11+10</f>
        <v>41957</v>
      </c>
      <c r="C1583" s="22" t="s">
        <v>1228</v>
      </c>
      <c r="D1583" s="23" t="s">
        <v>440</v>
      </c>
      <c r="E1583" s="24" t="s">
        <v>295</v>
      </c>
      <c r="F1583" s="24" t="s">
        <v>441</v>
      </c>
    </row>
    <row r="1584" spans="1:6" ht="74.25" customHeight="1" x14ac:dyDescent="0.2">
      <c r="A1584" s="21">
        <f>+Dates!$D$11+10</f>
        <v>41957</v>
      </c>
      <c r="B1584" s="21">
        <f>+Dates!$D$11+10</f>
        <v>41957</v>
      </c>
      <c r="C1584" s="22" t="s">
        <v>1229</v>
      </c>
      <c r="D1584" s="23" t="s">
        <v>259</v>
      </c>
      <c r="E1584" s="24" t="s">
        <v>61</v>
      </c>
      <c r="F1584" s="24" t="s">
        <v>195</v>
      </c>
    </row>
    <row r="1585" spans="1:6" ht="80.25" customHeight="1" x14ac:dyDescent="0.2">
      <c r="A1585" s="21">
        <f>+Dates!$D$11+10</f>
        <v>41957</v>
      </c>
      <c r="B1585" s="21">
        <f>+Dates!$D$11+10</f>
        <v>41957</v>
      </c>
      <c r="C1585" s="22" t="s">
        <v>1230</v>
      </c>
      <c r="D1585" s="23" t="s">
        <v>259</v>
      </c>
      <c r="E1585" s="24" t="s">
        <v>391</v>
      </c>
      <c r="F1585" s="24" t="s">
        <v>195</v>
      </c>
    </row>
    <row r="1586" spans="1:6" ht="83.25" customHeight="1" x14ac:dyDescent="0.2">
      <c r="A1586" s="21">
        <f>+Dates!$D$11+10</f>
        <v>41957</v>
      </c>
      <c r="B1586" s="21">
        <f>+Dates!$D$11+10</f>
        <v>41957</v>
      </c>
      <c r="C1586" s="22" t="s">
        <v>1231</v>
      </c>
      <c r="D1586" s="23" t="s">
        <v>259</v>
      </c>
      <c r="E1586" s="24" t="s">
        <v>80</v>
      </c>
      <c r="F1586" s="24" t="s">
        <v>195</v>
      </c>
    </row>
    <row r="1587" spans="1:6" ht="104.25" customHeight="1" x14ac:dyDescent="0.2">
      <c r="A1587" s="21">
        <f>+Dates!$D$11+10</f>
        <v>41957</v>
      </c>
      <c r="B1587" s="25">
        <f>+Dates!$D$11+17</f>
        <v>41964</v>
      </c>
      <c r="C1587" s="22" t="s">
        <v>1232</v>
      </c>
      <c r="D1587" s="23" t="s">
        <v>223</v>
      </c>
      <c r="E1587" s="24" t="s">
        <v>61</v>
      </c>
      <c r="F1587" s="24" t="s">
        <v>290</v>
      </c>
    </row>
    <row r="1588" spans="1:6" ht="102.75" customHeight="1" x14ac:dyDescent="0.2">
      <c r="A1588" s="21">
        <f>+Dates!$D$11+10</f>
        <v>41957</v>
      </c>
      <c r="B1588" s="25">
        <f>+Dates!$D$11+17</f>
        <v>41964</v>
      </c>
      <c r="C1588" s="22" t="s">
        <v>1233</v>
      </c>
      <c r="D1588" s="23" t="s">
        <v>223</v>
      </c>
      <c r="E1588" s="24" t="s">
        <v>135</v>
      </c>
      <c r="F1588" s="24" t="s">
        <v>290</v>
      </c>
    </row>
    <row r="1589" spans="1:6" ht="101.25" customHeight="1" x14ac:dyDescent="0.2">
      <c r="A1589" s="21">
        <f>+Dates!$D$11+10</f>
        <v>41957</v>
      </c>
      <c r="B1589" s="25">
        <f>+Dates!$D$11+17</f>
        <v>41964</v>
      </c>
      <c r="C1589" s="22" t="s">
        <v>1234</v>
      </c>
      <c r="D1589" s="23" t="s">
        <v>223</v>
      </c>
      <c r="E1589" s="24" t="s">
        <v>391</v>
      </c>
      <c r="F1589" s="24" t="s">
        <v>290</v>
      </c>
    </row>
    <row r="1590" spans="1:6" ht="100.5" customHeight="1" x14ac:dyDescent="0.2">
      <c r="A1590" s="21">
        <f>+Dates!$D$11+10</f>
        <v>41957</v>
      </c>
      <c r="B1590" s="25">
        <f>+Dates!$D$11+17</f>
        <v>41964</v>
      </c>
      <c r="C1590" s="22" t="s">
        <v>1235</v>
      </c>
      <c r="D1590" s="23" t="s">
        <v>223</v>
      </c>
      <c r="E1590" s="24" t="s">
        <v>80</v>
      </c>
      <c r="F1590" s="24" t="s">
        <v>290</v>
      </c>
    </row>
    <row r="1591" spans="1:6" ht="111.75" customHeight="1" x14ac:dyDescent="0.2">
      <c r="A1591" s="21">
        <f>+Dates!$D$11+10</f>
        <v>41957</v>
      </c>
      <c r="B1591" s="25">
        <f>+Dates!$D$11+17</f>
        <v>41964</v>
      </c>
      <c r="C1591" s="22" t="s">
        <v>1236</v>
      </c>
      <c r="D1591" s="23" t="s">
        <v>223</v>
      </c>
      <c r="E1591" s="24" t="s">
        <v>1062</v>
      </c>
      <c r="F1591" s="24" t="s">
        <v>290</v>
      </c>
    </row>
    <row r="1592" spans="1:6" ht="103.5" customHeight="1" x14ac:dyDescent="0.2">
      <c r="A1592" s="21">
        <f>+Dates!$D$11+10</f>
        <v>41957</v>
      </c>
      <c r="B1592" s="25">
        <f>+Dates!$D$11+17</f>
        <v>41964</v>
      </c>
      <c r="C1592" s="22" t="s">
        <v>1237</v>
      </c>
      <c r="D1592" s="23" t="s">
        <v>223</v>
      </c>
      <c r="E1592" s="24" t="s">
        <v>289</v>
      </c>
      <c r="F1592" s="24" t="s">
        <v>290</v>
      </c>
    </row>
    <row r="1593" spans="1:6" ht="105.75" customHeight="1" x14ac:dyDescent="0.2">
      <c r="A1593" s="21">
        <f>+Dates!$D$11+10</f>
        <v>41957</v>
      </c>
      <c r="B1593" s="25">
        <f>+Dates!$D$11+17</f>
        <v>41964</v>
      </c>
      <c r="C1593" s="22" t="s">
        <v>1238</v>
      </c>
      <c r="D1593" s="23" t="s">
        <v>223</v>
      </c>
      <c r="E1593" s="24" t="s">
        <v>291</v>
      </c>
      <c r="F1593" s="24" t="s">
        <v>290</v>
      </c>
    </row>
    <row r="1594" spans="1:6" ht="105.75" customHeight="1" x14ac:dyDescent="0.2">
      <c r="A1594" s="21">
        <f>+Dates!$D$11+10</f>
        <v>41957</v>
      </c>
      <c r="B1594" s="25">
        <f>+Dates!$D$11+17</f>
        <v>41964</v>
      </c>
      <c r="C1594" s="22" t="s">
        <v>1239</v>
      </c>
      <c r="D1594" s="23" t="s">
        <v>223</v>
      </c>
      <c r="E1594" s="24" t="s">
        <v>297</v>
      </c>
      <c r="F1594" s="24" t="s">
        <v>290</v>
      </c>
    </row>
    <row r="1595" spans="1:6" ht="103.5" customHeight="1" x14ac:dyDescent="0.2">
      <c r="A1595" s="21">
        <f>+Dates!$D$11+10</f>
        <v>41957</v>
      </c>
      <c r="B1595" s="25">
        <f>+Dates!$D$11+17</f>
        <v>41964</v>
      </c>
      <c r="C1595" s="22" t="s">
        <v>1240</v>
      </c>
      <c r="D1595" s="23" t="s">
        <v>223</v>
      </c>
      <c r="E1595" s="24" t="s">
        <v>333</v>
      </c>
      <c r="F1595" s="24" t="s">
        <v>290</v>
      </c>
    </row>
    <row r="1596" spans="1:6" ht="105" customHeight="1" x14ac:dyDescent="0.2">
      <c r="A1596" s="21">
        <f>+Dates!$D$11+10</f>
        <v>41957</v>
      </c>
      <c r="B1596" s="25">
        <f>+Dates!$D$11+17</f>
        <v>41964</v>
      </c>
      <c r="C1596" s="22" t="s">
        <v>1241</v>
      </c>
      <c r="D1596" s="23" t="s">
        <v>223</v>
      </c>
      <c r="E1596" s="24" t="s">
        <v>160</v>
      </c>
      <c r="F1596" s="24" t="s">
        <v>290</v>
      </c>
    </row>
    <row r="1597" spans="1:6" ht="108.75" customHeight="1" x14ac:dyDescent="0.2">
      <c r="A1597" s="21">
        <f>+Dates!$D$11+10</f>
        <v>41957</v>
      </c>
      <c r="B1597" s="25">
        <f>+Dates!$D$11+17</f>
        <v>41964</v>
      </c>
      <c r="C1597" s="22" t="s">
        <v>1242</v>
      </c>
      <c r="D1597" s="23" t="s">
        <v>223</v>
      </c>
      <c r="E1597" s="24" t="s">
        <v>295</v>
      </c>
      <c r="F1597" s="24" t="s">
        <v>290</v>
      </c>
    </row>
    <row r="1598" spans="1:6" ht="229.5" customHeight="1" x14ac:dyDescent="0.2">
      <c r="A1598" s="21">
        <f>+Dates!$D$11+13</f>
        <v>41960</v>
      </c>
      <c r="B1598" s="21">
        <f>+Dates!$D$11+17</f>
        <v>41964</v>
      </c>
      <c r="C1598" s="22" t="s">
        <v>1182</v>
      </c>
      <c r="D1598" s="23" t="s">
        <v>1183</v>
      </c>
      <c r="E1598" s="24" t="s">
        <v>61</v>
      </c>
      <c r="F1598" s="24" t="s">
        <v>56</v>
      </c>
    </row>
    <row r="1599" spans="1:6" ht="225.75" customHeight="1" x14ac:dyDescent="0.2">
      <c r="A1599" s="21">
        <f>+Dates!$D$11+13</f>
        <v>41960</v>
      </c>
      <c r="B1599" s="21">
        <f>+Dates!$D$11+17</f>
        <v>41964</v>
      </c>
      <c r="C1599" s="22" t="s">
        <v>1184</v>
      </c>
      <c r="D1599" s="23" t="s">
        <v>1183</v>
      </c>
      <c r="E1599" s="24" t="s">
        <v>135</v>
      </c>
      <c r="F1599" s="24" t="s">
        <v>56</v>
      </c>
    </row>
    <row r="1600" spans="1:6" ht="234" customHeight="1" x14ac:dyDescent="0.2">
      <c r="A1600" s="21">
        <f>+Dates!$D$11+13</f>
        <v>41960</v>
      </c>
      <c r="B1600" s="21">
        <f>+Dates!$D$11+17</f>
        <v>41964</v>
      </c>
      <c r="C1600" s="22" t="s">
        <v>1185</v>
      </c>
      <c r="D1600" s="23" t="s">
        <v>1183</v>
      </c>
      <c r="E1600" s="24" t="s">
        <v>391</v>
      </c>
      <c r="F1600" s="24" t="s">
        <v>56</v>
      </c>
    </row>
    <row r="1601" spans="1:6" ht="224.25" customHeight="1" x14ac:dyDescent="0.2">
      <c r="A1601" s="21">
        <f>+Dates!$D$11+13</f>
        <v>41960</v>
      </c>
      <c r="B1601" s="21">
        <f>+Dates!$D$11+17</f>
        <v>41964</v>
      </c>
      <c r="C1601" s="22" t="s">
        <v>1186</v>
      </c>
      <c r="D1601" s="23" t="s">
        <v>1183</v>
      </c>
      <c r="E1601" s="24" t="s">
        <v>80</v>
      </c>
      <c r="F1601" s="24" t="s">
        <v>56</v>
      </c>
    </row>
    <row r="1602" spans="1:6" ht="229.5" customHeight="1" x14ac:dyDescent="0.2">
      <c r="A1602" s="21">
        <f>+Dates!$D$11+13</f>
        <v>41960</v>
      </c>
      <c r="B1602" s="21">
        <f>+Dates!$D$11+17</f>
        <v>41964</v>
      </c>
      <c r="C1602" s="22" t="s">
        <v>1187</v>
      </c>
      <c r="D1602" s="23" t="s">
        <v>1183</v>
      </c>
      <c r="E1602" s="24" t="s">
        <v>289</v>
      </c>
      <c r="F1602" s="24" t="s">
        <v>56</v>
      </c>
    </row>
    <row r="1603" spans="1:6" ht="223.5" customHeight="1" x14ac:dyDescent="0.2">
      <c r="A1603" s="21">
        <f>+Dates!$D$11+13</f>
        <v>41960</v>
      </c>
      <c r="B1603" s="21">
        <f>+Dates!$D$11+17</f>
        <v>41964</v>
      </c>
      <c r="C1603" s="22" t="s">
        <v>1188</v>
      </c>
      <c r="D1603" s="23" t="s">
        <v>1183</v>
      </c>
      <c r="E1603" s="24" t="s">
        <v>291</v>
      </c>
      <c r="F1603" s="24" t="s">
        <v>56</v>
      </c>
    </row>
    <row r="1604" spans="1:6" ht="220.5" customHeight="1" x14ac:dyDescent="0.2">
      <c r="A1604" s="21">
        <f>+Dates!$D$11+13</f>
        <v>41960</v>
      </c>
      <c r="B1604" s="21">
        <f>+Dates!$D$11+17</f>
        <v>41964</v>
      </c>
      <c r="C1604" s="22" t="s">
        <v>1189</v>
      </c>
      <c r="D1604" s="23" t="s">
        <v>1183</v>
      </c>
      <c r="E1604" s="24" t="s">
        <v>301</v>
      </c>
      <c r="F1604" s="24" t="s">
        <v>56</v>
      </c>
    </row>
    <row r="1605" spans="1:6" ht="225.75" customHeight="1" x14ac:dyDescent="0.2">
      <c r="A1605" s="21">
        <f>+Dates!$D$11+13</f>
        <v>41960</v>
      </c>
      <c r="B1605" s="21">
        <f>+Dates!$D$11+17</f>
        <v>41964</v>
      </c>
      <c r="C1605" s="22" t="s">
        <v>1190</v>
      </c>
      <c r="D1605" s="23" t="s">
        <v>1183</v>
      </c>
      <c r="E1605" s="24" t="s">
        <v>297</v>
      </c>
      <c r="F1605" s="24" t="s">
        <v>56</v>
      </c>
    </row>
    <row r="1606" spans="1:6" ht="274.5" customHeight="1" x14ac:dyDescent="0.2">
      <c r="A1606" s="21">
        <f>+Dates!$D$11+13</f>
        <v>41960</v>
      </c>
      <c r="B1606" s="21">
        <f>+Dates!$D$11+20</f>
        <v>41967</v>
      </c>
      <c r="C1606" s="22" t="s">
        <v>203</v>
      </c>
      <c r="D1606" s="23" t="s">
        <v>76</v>
      </c>
      <c r="E1606" s="24" t="s">
        <v>61</v>
      </c>
      <c r="F1606" s="24" t="s">
        <v>56</v>
      </c>
    </row>
    <row r="1607" spans="1:6" ht="270" customHeight="1" x14ac:dyDescent="0.2">
      <c r="A1607" s="21">
        <f>+Dates!$D$11+13</f>
        <v>41960</v>
      </c>
      <c r="B1607" s="21">
        <f>+Dates!$D$11+20</f>
        <v>41967</v>
      </c>
      <c r="C1607" s="22" t="s">
        <v>1191</v>
      </c>
      <c r="D1607" s="23" t="s">
        <v>76</v>
      </c>
      <c r="E1607" s="24" t="s">
        <v>135</v>
      </c>
      <c r="F1607" s="24" t="s">
        <v>56</v>
      </c>
    </row>
    <row r="1608" spans="1:6" ht="268.5" customHeight="1" x14ac:dyDescent="0.2">
      <c r="A1608" s="21">
        <f>+Dates!$D$11+13</f>
        <v>41960</v>
      </c>
      <c r="B1608" s="21">
        <f>+Dates!$D$11+20</f>
        <v>41967</v>
      </c>
      <c r="C1608" s="22" t="s">
        <v>1192</v>
      </c>
      <c r="D1608" s="23" t="s">
        <v>76</v>
      </c>
      <c r="E1608" s="24" t="s">
        <v>391</v>
      </c>
      <c r="F1608" s="24" t="s">
        <v>56</v>
      </c>
    </row>
    <row r="1609" spans="1:6" ht="269.25" customHeight="1" x14ac:dyDescent="0.2">
      <c r="A1609" s="21">
        <f>+Dates!$D$11+13</f>
        <v>41960</v>
      </c>
      <c r="B1609" s="21">
        <f>+Dates!$D$11+20</f>
        <v>41967</v>
      </c>
      <c r="C1609" s="22" t="s">
        <v>232</v>
      </c>
      <c r="D1609" s="23" t="s">
        <v>76</v>
      </c>
      <c r="E1609" s="24" t="s">
        <v>80</v>
      </c>
      <c r="F1609" s="24" t="s">
        <v>56</v>
      </c>
    </row>
    <row r="1610" spans="1:6" ht="268.5" customHeight="1" x14ac:dyDescent="0.2">
      <c r="A1610" s="21">
        <f>+Dates!$D$11+13</f>
        <v>41960</v>
      </c>
      <c r="B1610" s="21">
        <f>+Dates!$D$11+20</f>
        <v>41967</v>
      </c>
      <c r="C1610" s="22" t="s">
        <v>29</v>
      </c>
      <c r="D1610" s="23" t="s">
        <v>76</v>
      </c>
      <c r="E1610" s="24" t="s">
        <v>289</v>
      </c>
      <c r="F1610" s="24" t="s">
        <v>56</v>
      </c>
    </row>
    <row r="1611" spans="1:6" ht="270.75" customHeight="1" x14ac:dyDescent="0.2">
      <c r="A1611" s="21">
        <f>+Dates!$D$11+13</f>
        <v>41960</v>
      </c>
      <c r="B1611" s="21">
        <f>+Dates!$D$11+20</f>
        <v>41967</v>
      </c>
      <c r="C1611" s="22" t="s">
        <v>352</v>
      </c>
      <c r="D1611" s="23" t="s">
        <v>76</v>
      </c>
      <c r="E1611" s="24" t="s">
        <v>291</v>
      </c>
      <c r="F1611" s="24" t="s">
        <v>56</v>
      </c>
    </row>
    <row r="1612" spans="1:6" ht="276.75" customHeight="1" x14ac:dyDescent="0.2">
      <c r="A1612" s="21">
        <f>+Dates!$D$11+13</f>
        <v>41960</v>
      </c>
      <c r="B1612" s="21">
        <f>+Dates!$D$11+20</f>
        <v>41967</v>
      </c>
      <c r="C1612" s="22" t="s">
        <v>1193</v>
      </c>
      <c r="D1612" s="23" t="s">
        <v>76</v>
      </c>
      <c r="E1612" s="24" t="s">
        <v>301</v>
      </c>
      <c r="F1612" s="24" t="s">
        <v>56</v>
      </c>
    </row>
    <row r="1613" spans="1:6" ht="274.5" customHeight="1" x14ac:dyDescent="0.2">
      <c r="A1613" s="21">
        <f>+Dates!$D$11+13</f>
        <v>41960</v>
      </c>
      <c r="B1613" s="21">
        <f>+Dates!$D$11+20</f>
        <v>41967</v>
      </c>
      <c r="C1613" s="22" t="s">
        <v>452</v>
      </c>
      <c r="D1613" s="23" t="s">
        <v>76</v>
      </c>
      <c r="E1613" s="24" t="s">
        <v>297</v>
      </c>
      <c r="F1613" s="24" t="s">
        <v>56</v>
      </c>
    </row>
    <row r="1614" spans="1:6" ht="128.25" customHeight="1" x14ac:dyDescent="0.2">
      <c r="A1614" s="21">
        <f>+Dates!$D$11+13</f>
        <v>41960</v>
      </c>
      <c r="B1614" s="21">
        <f>+Dates!$D$11+20</f>
        <v>41967</v>
      </c>
      <c r="C1614" s="22" t="s">
        <v>1667</v>
      </c>
      <c r="D1614" s="23" t="s">
        <v>1243</v>
      </c>
      <c r="E1614" s="24" t="s">
        <v>292</v>
      </c>
      <c r="F1614" s="24" t="s">
        <v>290</v>
      </c>
    </row>
    <row r="1615" spans="1:6" ht="133.5" customHeight="1" x14ac:dyDescent="0.2">
      <c r="A1615" s="21">
        <f>+Dates!$D$11+13</f>
        <v>41960</v>
      </c>
      <c r="B1615" s="21">
        <f>+Dates!$D$11+20</f>
        <v>41967</v>
      </c>
      <c r="C1615" s="22" t="s">
        <v>1668</v>
      </c>
      <c r="D1615" s="23" t="s">
        <v>1243</v>
      </c>
      <c r="E1615" s="24" t="s">
        <v>135</v>
      </c>
      <c r="F1615" s="24" t="s">
        <v>290</v>
      </c>
    </row>
    <row r="1616" spans="1:6" ht="136.5" customHeight="1" x14ac:dyDescent="0.2">
      <c r="A1616" s="21">
        <f>+Dates!$D$11+13</f>
        <v>41960</v>
      </c>
      <c r="B1616" s="21">
        <f>+Dates!$D$11+20</f>
        <v>41967</v>
      </c>
      <c r="C1616" s="22" t="s">
        <v>1669</v>
      </c>
      <c r="D1616" s="23" t="s">
        <v>1243</v>
      </c>
      <c r="E1616" s="24" t="s">
        <v>391</v>
      </c>
      <c r="F1616" s="24" t="s">
        <v>290</v>
      </c>
    </row>
    <row r="1617" spans="1:6" ht="222.75" customHeight="1" x14ac:dyDescent="0.2">
      <c r="A1617" s="21">
        <f>+Dates!$D$11+13</f>
        <v>41960</v>
      </c>
      <c r="B1617" s="21">
        <f>+Dates!$D$11+20</f>
        <v>41967</v>
      </c>
      <c r="C1617" s="22" t="s">
        <v>1244</v>
      </c>
      <c r="D1617" s="23" t="s">
        <v>1243</v>
      </c>
      <c r="E1617" s="24" t="s">
        <v>292</v>
      </c>
      <c r="F1617" s="24" t="s">
        <v>290</v>
      </c>
    </row>
    <row r="1618" spans="1:6" ht="239.25" customHeight="1" x14ac:dyDescent="0.2">
      <c r="A1618" s="21">
        <f>+Dates!$D$11+13</f>
        <v>41960</v>
      </c>
      <c r="B1618" s="21">
        <f>+Dates!$D$11+20</f>
        <v>41967</v>
      </c>
      <c r="C1618" s="22" t="s">
        <v>1670</v>
      </c>
      <c r="D1618" s="23" t="s">
        <v>1243</v>
      </c>
      <c r="E1618" s="24" t="s">
        <v>289</v>
      </c>
      <c r="F1618" s="24" t="s">
        <v>290</v>
      </c>
    </row>
    <row r="1619" spans="1:6" ht="236.25" customHeight="1" x14ac:dyDescent="0.2">
      <c r="A1619" s="21">
        <f>+Dates!$D$11+13</f>
        <v>41960</v>
      </c>
      <c r="B1619" s="21">
        <f>+Dates!$D$11+20</f>
        <v>41967</v>
      </c>
      <c r="C1619" s="22" t="s">
        <v>1671</v>
      </c>
      <c r="D1619" s="23" t="s">
        <v>1243</v>
      </c>
      <c r="E1619" s="24" t="s">
        <v>291</v>
      </c>
      <c r="F1619" s="24" t="s">
        <v>290</v>
      </c>
    </row>
    <row r="1620" spans="1:6" ht="245.25" customHeight="1" x14ac:dyDescent="0.2">
      <c r="A1620" s="21">
        <f>+Dates!$D$11+13</f>
        <v>41960</v>
      </c>
      <c r="B1620" s="21">
        <f>+Dates!$D$11+20</f>
        <v>41967</v>
      </c>
      <c r="C1620" s="22" t="s">
        <v>1672</v>
      </c>
      <c r="D1620" s="23" t="s">
        <v>1243</v>
      </c>
      <c r="E1620" s="24" t="s">
        <v>297</v>
      </c>
      <c r="F1620" s="24" t="s">
        <v>290</v>
      </c>
    </row>
    <row r="1621" spans="1:6" ht="235.5" customHeight="1" x14ac:dyDescent="0.2">
      <c r="A1621" s="21">
        <f>+Dates!$D$11+13</f>
        <v>41960</v>
      </c>
      <c r="B1621" s="21">
        <f>+Dates!$D$11+20</f>
        <v>41967</v>
      </c>
      <c r="C1621" s="22" t="s">
        <v>1673</v>
      </c>
      <c r="D1621" s="23" t="s">
        <v>1243</v>
      </c>
      <c r="E1621" s="24" t="s">
        <v>333</v>
      </c>
      <c r="F1621" s="24" t="s">
        <v>290</v>
      </c>
    </row>
    <row r="1622" spans="1:6" ht="252.75" customHeight="1" x14ac:dyDescent="0.2">
      <c r="A1622" s="21">
        <f>+Dates!$D$11+13</f>
        <v>41960</v>
      </c>
      <c r="B1622" s="21">
        <f>+Dates!$D$11+20</f>
        <v>41967</v>
      </c>
      <c r="C1622" s="22" t="s">
        <v>1674</v>
      </c>
      <c r="D1622" s="23" t="s">
        <v>1243</v>
      </c>
      <c r="E1622" s="24" t="s">
        <v>160</v>
      </c>
      <c r="F1622" s="24" t="s">
        <v>290</v>
      </c>
    </row>
    <row r="1623" spans="1:6" ht="160.5" customHeight="1" x14ac:dyDescent="0.2">
      <c r="A1623" s="21">
        <f>+Dates!$D$11+13</f>
        <v>41960</v>
      </c>
      <c r="B1623" s="21">
        <f>+Dates!$D$11+20</f>
        <v>41967</v>
      </c>
      <c r="C1623" s="22" t="s">
        <v>1675</v>
      </c>
      <c r="D1623" s="23" t="s">
        <v>1243</v>
      </c>
      <c r="E1623" s="24" t="s">
        <v>295</v>
      </c>
      <c r="F1623" s="24" t="s">
        <v>290</v>
      </c>
    </row>
    <row r="1624" spans="1:6" ht="332.25" customHeight="1" x14ac:dyDescent="0.2">
      <c r="A1624" s="21">
        <f>+Dates!$D$11+13</f>
        <v>41960</v>
      </c>
      <c r="B1624" s="21">
        <f>+Dates!$D$11+27</f>
        <v>41974</v>
      </c>
      <c r="C1624" s="22" t="s">
        <v>113</v>
      </c>
      <c r="D1624" s="23" t="s">
        <v>362</v>
      </c>
      <c r="E1624" s="24" t="s">
        <v>1194</v>
      </c>
      <c r="F1624" s="24" t="s">
        <v>56</v>
      </c>
    </row>
    <row r="1625" spans="1:6" ht="341.25" customHeight="1" x14ac:dyDescent="0.2">
      <c r="A1625" s="21">
        <f>+Dates!$D$11+13</f>
        <v>41960</v>
      </c>
      <c r="B1625" s="21">
        <f>+Dates!$D$11+27</f>
        <v>41974</v>
      </c>
      <c r="C1625" s="22" t="s">
        <v>1195</v>
      </c>
      <c r="D1625" s="23" t="s">
        <v>362</v>
      </c>
      <c r="E1625" s="24" t="s">
        <v>135</v>
      </c>
      <c r="F1625" s="24" t="s">
        <v>56</v>
      </c>
    </row>
    <row r="1626" spans="1:6" ht="334.5" customHeight="1" x14ac:dyDescent="0.2">
      <c r="A1626" s="21">
        <f>+Dates!$D$11+13</f>
        <v>41960</v>
      </c>
      <c r="B1626" s="21">
        <f>+Dates!$D$11+27</f>
        <v>41974</v>
      </c>
      <c r="C1626" s="22" t="s">
        <v>1196</v>
      </c>
      <c r="D1626" s="23" t="s">
        <v>362</v>
      </c>
      <c r="E1626" s="24" t="s">
        <v>391</v>
      </c>
      <c r="F1626" s="24" t="s">
        <v>56</v>
      </c>
    </row>
    <row r="1627" spans="1:6" ht="321" customHeight="1" x14ac:dyDescent="0.2">
      <c r="A1627" s="21">
        <f>+Dates!$D$11+13</f>
        <v>41960</v>
      </c>
      <c r="B1627" s="21">
        <f>+Dates!$D$11+27</f>
        <v>41974</v>
      </c>
      <c r="C1627" s="22" t="s">
        <v>353</v>
      </c>
      <c r="D1627" s="23" t="s">
        <v>362</v>
      </c>
      <c r="E1627" s="24" t="s">
        <v>80</v>
      </c>
      <c r="F1627" s="24" t="s">
        <v>56</v>
      </c>
    </row>
    <row r="1628" spans="1:6" ht="340.5" customHeight="1" x14ac:dyDescent="0.2">
      <c r="A1628" s="21">
        <f>+Dates!$D$11+13</f>
        <v>41960</v>
      </c>
      <c r="B1628" s="21">
        <f>+Dates!$D$11+27</f>
        <v>41974</v>
      </c>
      <c r="C1628" s="22" t="s">
        <v>190</v>
      </c>
      <c r="D1628" s="23" t="s">
        <v>362</v>
      </c>
      <c r="E1628" s="24" t="s">
        <v>289</v>
      </c>
      <c r="F1628" s="24" t="s">
        <v>56</v>
      </c>
    </row>
    <row r="1629" spans="1:6" ht="345" customHeight="1" x14ac:dyDescent="0.2">
      <c r="A1629" s="21">
        <f>+Dates!$D$11+13</f>
        <v>41960</v>
      </c>
      <c r="B1629" s="21">
        <f>+Dates!$D$11+27</f>
        <v>41974</v>
      </c>
      <c r="C1629" s="22" t="s">
        <v>453</v>
      </c>
      <c r="D1629" s="23" t="s">
        <v>362</v>
      </c>
      <c r="E1629" s="24" t="s">
        <v>291</v>
      </c>
      <c r="F1629" s="24" t="s">
        <v>56</v>
      </c>
    </row>
    <row r="1630" spans="1:6" ht="329.25" customHeight="1" x14ac:dyDescent="0.2">
      <c r="A1630" s="21">
        <f>+Dates!$D$11+13</f>
        <v>41960</v>
      </c>
      <c r="B1630" s="21">
        <f>+Dates!$D$11+27</f>
        <v>41974</v>
      </c>
      <c r="C1630" s="22" t="s">
        <v>1197</v>
      </c>
      <c r="D1630" s="23" t="s">
        <v>362</v>
      </c>
      <c r="E1630" s="24" t="s">
        <v>301</v>
      </c>
      <c r="F1630" s="24" t="s">
        <v>56</v>
      </c>
    </row>
    <row r="1631" spans="1:6" ht="339.75" customHeight="1" x14ac:dyDescent="0.2">
      <c r="A1631" s="21">
        <f>+Dates!$D$11+13</f>
        <v>41960</v>
      </c>
      <c r="B1631" s="21">
        <f>+Dates!$D$11+27</f>
        <v>41974</v>
      </c>
      <c r="C1631" s="22" t="s">
        <v>415</v>
      </c>
      <c r="D1631" s="23" t="s">
        <v>362</v>
      </c>
      <c r="E1631" s="24" t="s">
        <v>297</v>
      </c>
      <c r="F1631" s="24" t="s">
        <v>56</v>
      </c>
    </row>
    <row r="1632" spans="1:6" ht="273" customHeight="1" x14ac:dyDescent="0.2">
      <c r="A1632" s="21">
        <f>+Dates!$D$11+13</f>
        <v>41960</v>
      </c>
      <c r="B1632" s="21">
        <f>+Dates!$D$11+41</f>
        <v>41988</v>
      </c>
      <c r="C1632" s="22" t="s">
        <v>1210</v>
      </c>
      <c r="D1632" s="23" t="s">
        <v>362</v>
      </c>
      <c r="E1632" s="24" t="s">
        <v>1194</v>
      </c>
      <c r="F1632" s="24" t="s">
        <v>56</v>
      </c>
    </row>
    <row r="1633" spans="1:6" ht="267" customHeight="1" x14ac:dyDescent="0.2">
      <c r="A1633" s="21">
        <f>+Dates!$D$11+13</f>
        <v>41960</v>
      </c>
      <c r="B1633" s="21">
        <f>+Dates!$D$11+41</f>
        <v>41988</v>
      </c>
      <c r="C1633" s="22" t="s">
        <v>1211</v>
      </c>
      <c r="D1633" s="23" t="s">
        <v>362</v>
      </c>
      <c r="E1633" s="24" t="s">
        <v>135</v>
      </c>
      <c r="F1633" s="24" t="s">
        <v>56</v>
      </c>
    </row>
    <row r="1634" spans="1:6" ht="272.25" customHeight="1" x14ac:dyDescent="0.2">
      <c r="A1634" s="21">
        <f>+Dates!$D$11+13</f>
        <v>41960</v>
      </c>
      <c r="B1634" s="21">
        <f>+Dates!$D$11+41</f>
        <v>41988</v>
      </c>
      <c r="C1634" s="22" t="s">
        <v>1212</v>
      </c>
      <c r="D1634" s="23" t="s">
        <v>362</v>
      </c>
      <c r="E1634" s="24" t="s">
        <v>391</v>
      </c>
      <c r="F1634" s="24" t="s">
        <v>56</v>
      </c>
    </row>
    <row r="1635" spans="1:6" ht="272.25" customHeight="1" x14ac:dyDescent="0.2">
      <c r="A1635" s="21">
        <f>+Dates!$D$11+13</f>
        <v>41960</v>
      </c>
      <c r="B1635" s="21">
        <f>+Dates!$D$11+41</f>
        <v>41988</v>
      </c>
      <c r="C1635" s="22" t="s">
        <v>1213</v>
      </c>
      <c r="D1635" s="23" t="s">
        <v>362</v>
      </c>
      <c r="E1635" s="24" t="s">
        <v>80</v>
      </c>
      <c r="F1635" s="24" t="s">
        <v>56</v>
      </c>
    </row>
    <row r="1636" spans="1:6" ht="276.75" customHeight="1" x14ac:dyDescent="0.2">
      <c r="A1636" s="21">
        <f>+Dates!$D$11+13</f>
        <v>41960</v>
      </c>
      <c r="B1636" s="21">
        <f>+Dates!$D$11+41</f>
        <v>41988</v>
      </c>
      <c r="C1636" s="22" t="s">
        <v>1209</v>
      </c>
      <c r="D1636" s="23" t="s">
        <v>362</v>
      </c>
      <c r="E1636" s="24" t="s">
        <v>289</v>
      </c>
      <c r="F1636" s="24" t="s">
        <v>56</v>
      </c>
    </row>
    <row r="1637" spans="1:6" ht="276.75" customHeight="1" x14ac:dyDescent="0.2">
      <c r="A1637" s="21">
        <f>+Dates!$D$11+13</f>
        <v>41960</v>
      </c>
      <c r="B1637" s="21">
        <f>+Dates!$D$11+41</f>
        <v>41988</v>
      </c>
      <c r="C1637" s="22" t="s">
        <v>1214</v>
      </c>
      <c r="D1637" s="23" t="s">
        <v>362</v>
      </c>
      <c r="E1637" s="24" t="s">
        <v>291</v>
      </c>
      <c r="F1637" s="24" t="s">
        <v>56</v>
      </c>
    </row>
    <row r="1638" spans="1:6" ht="282.75" customHeight="1" x14ac:dyDescent="0.2">
      <c r="A1638" s="21">
        <f>+Dates!$D$11+13</f>
        <v>41960</v>
      </c>
      <c r="B1638" s="21">
        <f>+Dates!$D$11+41</f>
        <v>41988</v>
      </c>
      <c r="C1638" s="22" t="s">
        <v>1215</v>
      </c>
      <c r="D1638" s="23" t="s">
        <v>362</v>
      </c>
      <c r="E1638" s="24" t="s">
        <v>301</v>
      </c>
      <c r="F1638" s="24" t="s">
        <v>56</v>
      </c>
    </row>
    <row r="1639" spans="1:6" ht="291" customHeight="1" x14ac:dyDescent="0.2">
      <c r="A1639" s="21">
        <f>+Dates!$D$11+13</f>
        <v>41960</v>
      </c>
      <c r="B1639" s="21">
        <f>+Dates!$D$11+41</f>
        <v>41988</v>
      </c>
      <c r="C1639" s="22" t="s">
        <v>1216</v>
      </c>
      <c r="D1639" s="23" t="s">
        <v>362</v>
      </c>
      <c r="E1639" s="24" t="s">
        <v>297</v>
      </c>
      <c r="F1639" s="24" t="s">
        <v>56</v>
      </c>
    </row>
    <row r="1640" spans="1:6" ht="138.75" customHeight="1" x14ac:dyDescent="0.2">
      <c r="A1640" s="21">
        <f>+Dates!$D$11+13</f>
        <v>41960</v>
      </c>
      <c r="B1640" s="25">
        <f>+Dates!$D$11+50</f>
        <v>41997</v>
      </c>
      <c r="C1640" s="22" t="s">
        <v>1248</v>
      </c>
      <c r="D1640" s="23" t="s">
        <v>1247</v>
      </c>
      <c r="E1640" s="24" t="s">
        <v>61</v>
      </c>
      <c r="F1640" s="24" t="s">
        <v>290</v>
      </c>
    </row>
    <row r="1641" spans="1:6" ht="136.5" customHeight="1" x14ac:dyDescent="0.2">
      <c r="A1641" s="21">
        <f>+Dates!$D$11+13</f>
        <v>41960</v>
      </c>
      <c r="B1641" s="25">
        <f>+Dates!$D$11+50</f>
        <v>41997</v>
      </c>
      <c r="C1641" s="22" t="s">
        <v>1250</v>
      </c>
      <c r="D1641" s="23" t="s">
        <v>1247</v>
      </c>
      <c r="E1641" s="24" t="s">
        <v>135</v>
      </c>
      <c r="F1641" s="24" t="s">
        <v>290</v>
      </c>
    </row>
    <row r="1642" spans="1:6" ht="137.25" customHeight="1" x14ac:dyDescent="0.2">
      <c r="A1642" s="21">
        <f>+Dates!$D$11+13</f>
        <v>41960</v>
      </c>
      <c r="B1642" s="25">
        <f>+Dates!$D$11+50</f>
        <v>41997</v>
      </c>
      <c r="C1642" s="22" t="s">
        <v>1251</v>
      </c>
      <c r="D1642" s="23" t="s">
        <v>1247</v>
      </c>
      <c r="E1642" s="24" t="s">
        <v>391</v>
      </c>
      <c r="F1642" s="24" t="s">
        <v>290</v>
      </c>
    </row>
    <row r="1643" spans="1:6" ht="92.25" customHeight="1" x14ac:dyDescent="0.2">
      <c r="A1643" s="21">
        <f>+Dates!$D$11+13</f>
        <v>41960</v>
      </c>
      <c r="B1643" s="25">
        <f>+Dates!$D$11+50</f>
        <v>41997</v>
      </c>
      <c r="C1643" s="22" t="s">
        <v>1245</v>
      </c>
      <c r="D1643" s="23" t="s">
        <v>59</v>
      </c>
      <c r="E1643" s="24" t="s">
        <v>333</v>
      </c>
      <c r="F1643" s="24" t="s">
        <v>290</v>
      </c>
    </row>
    <row r="1644" spans="1:6" ht="88.5" customHeight="1" x14ac:dyDescent="0.2">
      <c r="A1644" s="21">
        <f>+Dates!$D$11+13</f>
        <v>41960</v>
      </c>
      <c r="B1644" s="25">
        <f>+Dates!$D$11+50</f>
        <v>41997</v>
      </c>
      <c r="C1644" s="22" t="s">
        <v>1245</v>
      </c>
      <c r="D1644" s="23" t="s">
        <v>59</v>
      </c>
      <c r="E1644" s="24" t="s">
        <v>333</v>
      </c>
      <c r="F1644" s="24" t="s">
        <v>290</v>
      </c>
    </row>
    <row r="1645" spans="1:6" ht="90" customHeight="1" x14ac:dyDescent="0.2">
      <c r="A1645" s="21">
        <f>+Dates!$D$11+13</f>
        <v>41960</v>
      </c>
      <c r="B1645" s="25">
        <f>+Dates!$D$11+50</f>
        <v>41997</v>
      </c>
      <c r="C1645" s="22" t="s">
        <v>1246</v>
      </c>
      <c r="D1645" s="23" t="s">
        <v>59</v>
      </c>
      <c r="E1645" s="24" t="s">
        <v>160</v>
      </c>
      <c r="F1645" s="24" t="s">
        <v>290</v>
      </c>
    </row>
    <row r="1646" spans="1:6" ht="108.75" customHeight="1" x14ac:dyDescent="0.2">
      <c r="A1646" s="21">
        <f>+Dates!$D$11+13</f>
        <v>41960</v>
      </c>
      <c r="B1646" s="25">
        <f>+Dates!$D$11+55</f>
        <v>42002</v>
      </c>
      <c r="C1646" s="22" t="s">
        <v>1249</v>
      </c>
      <c r="D1646" s="23" t="s">
        <v>11</v>
      </c>
      <c r="E1646" s="24" t="s">
        <v>295</v>
      </c>
      <c r="F1646" s="24" t="s">
        <v>290</v>
      </c>
    </row>
    <row r="1647" spans="1:6" ht="73.5" customHeight="1" x14ac:dyDescent="0.2">
      <c r="A1647" s="21">
        <v>41967</v>
      </c>
      <c r="B1647" s="21">
        <v>41967</v>
      </c>
      <c r="C1647" s="22" t="s">
        <v>1057</v>
      </c>
      <c r="D1647" s="23" t="s">
        <v>1035</v>
      </c>
      <c r="E1647" s="24" t="s">
        <v>61</v>
      </c>
      <c r="F1647" s="24" t="s">
        <v>241</v>
      </c>
    </row>
    <row r="1648" spans="1:6" ht="62.25" customHeight="1" x14ac:dyDescent="0.2">
      <c r="A1648" s="21">
        <v>41967</v>
      </c>
      <c r="B1648" s="21">
        <v>41967</v>
      </c>
      <c r="C1648" s="22" t="s">
        <v>1038</v>
      </c>
      <c r="D1648" s="23" t="s">
        <v>1035</v>
      </c>
      <c r="E1648" s="24" t="s">
        <v>292</v>
      </c>
      <c r="F1648" s="24" t="s">
        <v>241</v>
      </c>
    </row>
    <row r="1649" spans="1:6" ht="154.5" customHeight="1" x14ac:dyDescent="0.2">
      <c r="A1649" s="21">
        <f>+Dates!$D$11+21</f>
        <v>41968</v>
      </c>
      <c r="B1649" s="21">
        <f>+Dates!$D$11+21</f>
        <v>41968</v>
      </c>
      <c r="C1649" s="22" t="s">
        <v>451</v>
      </c>
      <c r="D1649" s="23" t="s">
        <v>341</v>
      </c>
      <c r="E1649" s="24" t="s">
        <v>61</v>
      </c>
      <c r="F1649" s="24" t="s">
        <v>290</v>
      </c>
    </row>
    <row r="1650" spans="1:6" ht="153.75" customHeight="1" x14ac:dyDescent="0.2">
      <c r="A1650" s="21">
        <f>+Dates!$D$11+21</f>
        <v>41968</v>
      </c>
      <c r="B1650" s="21">
        <f>+Dates!$D$11+21</f>
        <v>41968</v>
      </c>
      <c r="C1650" s="22" t="s">
        <v>1252</v>
      </c>
      <c r="D1650" s="23" t="s">
        <v>341</v>
      </c>
      <c r="E1650" s="24" t="s">
        <v>135</v>
      </c>
      <c r="F1650" s="24" t="s">
        <v>290</v>
      </c>
    </row>
    <row r="1651" spans="1:6" ht="141.75" customHeight="1" x14ac:dyDescent="0.2">
      <c r="A1651" s="21">
        <f>+Dates!$D$11+21</f>
        <v>41968</v>
      </c>
      <c r="B1651" s="21">
        <f>+Dates!$D$11+21</f>
        <v>41968</v>
      </c>
      <c r="C1651" s="22" t="s">
        <v>1253</v>
      </c>
      <c r="D1651" s="23" t="s">
        <v>341</v>
      </c>
      <c r="E1651" s="24" t="s">
        <v>391</v>
      </c>
      <c r="F1651" s="24" t="s">
        <v>290</v>
      </c>
    </row>
    <row r="1652" spans="1:6" ht="138" customHeight="1" x14ac:dyDescent="0.2">
      <c r="A1652" s="21">
        <f>+Dates!$D$11+21</f>
        <v>41968</v>
      </c>
      <c r="B1652" s="21">
        <f>+Dates!$D$11+21</f>
        <v>41968</v>
      </c>
      <c r="C1652" s="22" t="s">
        <v>1254</v>
      </c>
      <c r="D1652" s="23" t="s">
        <v>341</v>
      </c>
      <c r="E1652" s="24" t="s">
        <v>80</v>
      </c>
      <c r="F1652" s="24" t="s">
        <v>290</v>
      </c>
    </row>
    <row r="1653" spans="1:6" ht="172.5" customHeight="1" x14ac:dyDescent="0.2">
      <c r="A1653" s="21">
        <f>+Dates!$D$11+21</f>
        <v>41968</v>
      </c>
      <c r="B1653" s="21">
        <f>+Dates!$D$11+21</f>
        <v>41968</v>
      </c>
      <c r="C1653" s="22" t="s">
        <v>55</v>
      </c>
      <c r="D1653" s="23" t="s">
        <v>342</v>
      </c>
      <c r="E1653" s="24" t="s">
        <v>61</v>
      </c>
      <c r="F1653" s="24" t="s">
        <v>56</v>
      </c>
    </row>
    <row r="1654" spans="1:6" ht="172.5" customHeight="1" x14ac:dyDescent="0.2">
      <c r="A1654" s="21">
        <f>+Dates!$D$11+21</f>
        <v>41968</v>
      </c>
      <c r="B1654" s="21">
        <f>+Dates!$D$11+21</f>
        <v>41968</v>
      </c>
      <c r="C1654" s="22" t="s">
        <v>1255</v>
      </c>
      <c r="D1654" s="23" t="s">
        <v>342</v>
      </c>
      <c r="E1654" s="24" t="s">
        <v>80</v>
      </c>
      <c r="F1654" s="24" t="s">
        <v>56</v>
      </c>
    </row>
    <row r="1655" spans="1:6" ht="171.75" customHeight="1" x14ac:dyDescent="0.2">
      <c r="A1655" s="21">
        <f>+Dates!$D$11+21</f>
        <v>41968</v>
      </c>
      <c r="B1655" s="21">
        <f>+Dates!$D$11+21</f>
        <v>41968</v>
      </c>
      <c r="C1655" s="22" t="s">
        <v>1256</v>
      </c>
      <c r="D1655" s="23" t="s">
        <v>342</v>
      </c>
      <c r="E1655" s="24" t="s">
        <v>289</v>
      </c>
      <c r="F1655" s="24" t="s">
        <v>56</v>
      </c>
    </row>
    <row r="1656" spans="1:6" ht="170.25" customHeight="1" x14ac:dyDescent="0.2">
      <c r="A1656" s="21">
        <f>+Dates!$D$11+21</f>
        <v>41968</v>
      </c>
      <c r="B1656" s="21">
        <f>+Dates!$D$11+21</f>
        <v>41968</v>
      </c>
      <c r="C1656" s="22" t="s">
        <v>1257</v>
      </c>
      <c r="D1656" s="23" t="s">
        <v>342</v>
      </c>
      <c r="E1656" s="24" t="s">
        <v>291</v>
      </c>
      <c r="F1656" s="24" t="s">
        <v>56</v>
      </c>
    </row>
    <row r="1657" spans="1:6" ht="171" customHeight="1" x14ac:dyDescent="0.2">
      <c r="A1657" s="21">
        <f>+Dates!$D$11+21</f>
        <v>41968</v>
      </c>
      <c r="B1657" s="21">
        <f>+Dates!$D$11+21</f>
        <v>41968</v>
      </c>
      <c r="C1657" s="22" t="s">
        <v>1258</v>
      </c>
      <c r="D1657" s="23" t="s">
        <v>342</v>
      </c>
      <c r="E1657" s="24" t="s">
        <v>301</v>
      </c>
      <c r="F1657" s="24" t="s">
        <v>56</v>
      </c>
    </row>
    <row r="1658" spans="1:6" ht="176.25" customHeight="1" x14ac:dyDescent="0.2">
      <c r="A1658" s="21">
        <f>+Dates!$D$11+21</f>
        <v>41968</v>
      </c>
      <c r="B1658" s="21">
        <f>+Dates!$D$11+21</f>
        <v>41968</v>
      </c>
      <c r="C1658" s="22" t="s">
        <v>1259</v>
      </c>
      <c r="D1658" s="23" t="s">
        <v>342</v>
      </c>
      <c r="E1658" s="24" t="s">
        <v>297</v>
      </c>
      <c r="F1658" s="24" t="s">
        <v>56</v>
      </c>
    </row>
    <row r="1659" spans="1:6" ht="160.5" customHeight="1" x14ac:dyDescent="0.2">
      <c r="A1659" s="21">
        <f>+Dates!$D$11+21</f>
        <v>41968</v>
      </c>
      <c r="B1659" s="21">
        <f>+Dates!$D$11+21</f>
        <v>41968</v>
      </c>
      <c r="C1659" s="22" t="s">
        <v>1261</v>
      </c>
      <c r="D1659" s="23" t="s">
        <v>1260</v>
      </c>
      <c r="E1659" s="24" t="s">
        <v>61</v>
      </c>
      <c r="F1659" s="24" t="s">
        <v>391</v>
      </c>
    </row>
    <row r="1660" spans="1:6" ht="158.25" customHeight="1" x14ac:dyDescent="0.2">
      <c r="A1660" s="21">
        <f>+Dates!$D$11+21</f>
        <v>41968</v>
      </c>
      <c r="B1660" s="21">
        <f>+Dates!$D$11+21</f>
        <v>41968</v>
      </c>
      <c r="C1660" s="22" t="s">
        <v>1262</v>
      </c>
      <c r="D1660" s="23" t="s">
        <v>1260</v>
      </c>
      <c r="E1660" s="24" t="s">
        <v>391</v>
      </c>
      <c r="F1660" s="24" t="s">
        <v>391</v>
      </c>
    </row>
    <row r="1661" spans="1:6" ht="72.75" customHeight="1" x14ac:dyDescent="0.2">
      <c r="A1661" s="21">
        <f>+Dates!$D$21</f>
        <v>41970</v>
      </c>
      <c r="B1661" s="21">
        <f>+Dates!$D$21</f>
        <v>41970</v>
      </c>
      <c r="C1661" s="22" t="s">
        <v>60</v>
      </c>
      <c r="D1661" s="23" t="s">
        <v>293</v>
      </c>
      <c r="E1661" s="24" t="s">
        <v>294</v>
      </c>
      <c r="F1661" s="24" t="s">
        <v>294</v>
      </c>
    </row>
    <row r="1662" spans="1:6" ht="130.5" customHeight="1" x14ac:dyDescent="0.2">
      <c r="A1662" s="21">
        <v>41971</v>
      </c>
      <c r="B1662" s="21">
        <v>41971</v>
      </c>
      <c r="C1662" s="22" t="s">
        <v>467</v>
      </c>
      <c r="D1662" s="23" t="s">
        <v>293</v>
      </c>
      <c r="E1662" s="24" t="s">
        <v>294</v>
      </c>
      <c r="F1662" s="24" t="s">
        <v>294</v>
      </c>
    </row>
    <row r="1663" spans="1:6" ht="73.5" customHeight="1" x14ac:dyDescent="0.2">
      <c r="A1663" s="21">
        <f>+Dates!$D$12-98</f>
        <v>41975</v>
      </c>
      <c r="B1663" s="21">
        <f>+Dates!$D$12-98</f>
        <v>41975</v>
      </c>
      <c r="C1663" s="22" t="s">
        <v>1263</v>
      </c>
      <c r="D1663" s="23" t="s">
        <v>122</v>
      </c>
      <c r="E1663" s="24" t="s">
        <v>61</v>
      </c>
      <c r="F1663" s="24" t="s">
        <v>305</v>
      </c>
    </row>
    <row r="1664" spans="1:6" ht="73.5" customHeight="1" x14ac:dyDescent="0.2">
      <c r="A1664" s="21">
        <f>+Dates!$D$12-98</f>
        <v>41975</v>
      </c>
      <c r="B1664" s="21">
        <f>+Dates!$D$12-98</f>
        <v>41975</v>
      </c>
      <c r="C1664" s="22" t="s">
        <v>1264</v>
      </c>
      <c r="D1664" s="23" t="s">
        <v>122</v>
      </c>
      <c r="E1664" s="24" t="s">
        <v>80</v>
      </c>
      <c r="F1664" s="24" t="s">
        <v>305</v>
      </c>
    </row>
    <row r="1665" spans="1:6" ht="73.5" customHeight="1" x14ac:dyDescent="0.2">
      <c r="A1665" s="21">
        <f>+Dates!$D$12-98</f>
        <v>41975</v>
      </c>
      <c r="B1665" s="21">
        <f>+Dates!$D$12-98</f>
        <v>41975</v>
      </c>
      <c r="C1665" s="22" t="s">
        <v>1265</v>
      </c>
      <c r="D1665" s="23" t="s">
        <v>122</v>
      </c>
      <c r="E1665" s="24" t="s">
        <v>301</v>
      </c>
      <c r="F1665" s="24" t="s">
        <v>305</v>
      </c>
    </row>
    <row r="1666" spans="1:6" ht="57" customHeight="1" x14ac:dyDescent="0.2">
      <c r="A1666" s="21">
        <f>+Dates!$D$11+30</f>
        <v>41977</v>
      </c>
      <c r="B1666" s="21">
        <f>+Dates!$D$11+30</f>
        <v>41977</v>
      </c>
      <c r="C1666" s="22" t="s">
        <v>1266</v>
      </c>
      <c r="D1666" s="23" t="s">
        <v>298</v>
      </c>
      <c r="E1666" s="24" t="s">
        <v>61</v>
      </c>
      <c r="F1666" s="24" t="s">
        <v>299</v>
      </c>
    </row>
    <row r="1667" spans="1:6" ht="60" customHeight="1" x14ac:dyDescent="0.2">
      <c r="A1667" s="21">
        <f>+Dates!$D$11+30</f>
        <v>41977</v>
      </c>
      <c r="B1667" s="21">
        <f>+Dates!$D$11+30</f>
        <v>41977</v>
      </c>
      <c r="C1667" s="22" t="s">
        <v>354</v>
      </c>
      <c r="D1667" s="23" t="s">
        <v>298</v>
      </c>
      <c r="E1667" s="24" t="s">
        <v>135</v>
      </c>
      <c r="F1667" s="24" t="s">
        <v>299</v>
      </c>
    </row>
    <row r="1668" spans="1:6" ht="60" customHeight="1" x14ac:dyDescent="0.2">
      <c r="A1668" s="21">
        <f>+Dates!$D$11+30</f>
        <v>41977</v>
      </c>
      <c r="B1668" s="21">
        <f>+Dates!$D$11+30</f>
        <v>41977</v>
      </c>
      <c r="C1668" s="22" t="s">
        <v>1267</v>
      </c>
      <c r="D1668" s="23" t="s">
        <v>298</v>
      </c>
      <c r="E1668" s="24" t="s">
        <v>391</v>
      </c>
      <c r="F1668" s="24" t="s">
        <v>299</v>
      </c>
    </row>
    <row r="1669" spans="1:6" ht="64.5" customHeight="1" x14ac:dyDescent="0.2">
      <c r="A1669" s="21">
        <f>+Dates!$D$11+30</f>
        <v>41977</v>
      </c>
      <c r="B1669" s="21">
        <f>+Dates!$D$11+30</f>
        <v>41977</v>
      </c>
      <c r="C1669" s="22" t="s">
        <v>1268</v>
      </c>
      <c r="D1669" s="23" t="s">
        <v>298</v>
      </c>
      <c r="E1669" s="24" t="s">
        <v>80</v>
      </c>
      <c r="F1669" s="24" t="s">
        <v>299</v>
      </c>
    </row>
    <row r="1670" spans="1:6" ht="72" customHeight="1" x14ac:dyDescent="0.2">
      <c r="A1670" s="21">
        <f>+Dates!$D$11+30</f>
        <v>41977</v>
      </c>
      <c r="B1670" s="21">
        <f>+Dates!$D$11+30</f>
        <v>41977</v>
      </c>
      <c r="C1670" s="22" t="s">
        <v>1269</v>
      </c>
      <c r="D1670" s="23" t="s">
        <v>298</v>
      </c>
      <c r="E1670" s="24" t="s">
        <v>1062</v>
      </c>
      <c r="F1670" s="24" t="s">
        <v>299</v>
      </c>
    </row>
    <row r="1671" spans="1:6" ht="60" customHeight="1" x14ac:dyDescent="0.2">
      <c r="A1671" s="21">
        <f>+Dates!$D$11+30</f>
        <v>41977</v>
      </c>
      <c r="B1671" s="21">
        <f>+Dates!$D$11+30</f>
        <v>41977</v>
      </c>
      <c r="C1671" s="22" t="s">
        <v>1270</v>
      </c>
      <c r="D1671" s="23" t="s">
        <v>298</v>
      </c>
      <c r="E1671" s="24" t="s">
        <v>289</v>
      </c>
      <c r="F1671" s="24" t="s">
        <v>299</v>
      </c>
    </row>
    <row r="1672" spans="1:6" ht="62.25" customHeight="1" x14ac:dyDescent="0.2">
      <c r="A1672" s="21">
        <f>+Dates!$D$11+30</f>
        <v>41977</v>
      </c>
      <c r="B1672" s="21">
        <f>+Dates!$D$11+30</f>
        <v>41977</v>
      </c>
      <c r="C1672" s="22" t="s">
        <v>1271</v>
      </c>
      <c r="D1672" s="23" t="s">
        <v>298</v>
      </c>
      <c r="E1672" s="24" t="s">
        <v>291</v>
      </c>
      <c r="F1672" s="24" t="s">
        <v>299</v>
      </c>
    </row>
    <row r="1673" spans="1:6" ht="78.75" customHeight="1" x14ac:dyDescent="0.2">
      <c r="A1673" s="21">
        <f>+Dates!$D$11+30</f>
        <v>41977</v>
      </c>
      <c r="B1673" s="21">
        <f>+Dates!$D$11+30</f>
        <v>41977</v>
      </c>
      <c r="C1673" s="22" t="s">
        <v>1272</v>
      </c>
      <c r="D1673" s="23" t="s">
        <v>298</v>
      </c>
      <c r="E1673" s="24" t="s">
        <v>61</v>
      </c>
      <c r="F1673" s="24" t="s">
        <v>299</v>
      </c>
    </row>
    <row r="1674" spans="1:6" ht="75.75" customHeight="1" x14ac:dyDescent="0.2">
      <c r="A1674" s="21">
        <f>+Dates!$D$11+30</f>
        <v>41977</v>
      </c>
      <c r="B1674" s="21">
        <f>+Dates!$D$11+30</f>
        <v>41977</v>
      </c>
      <c r="C1674" s="22" t="s">
        <v>1273</v>
      </c>
      <c r="D1674" s="23" t="s">
        <v>298</v>
      </c>
      <c r="E1674" s="24" t="s">
        <v>333</v>
      </c>
      <c r="F1674" s="24" t="s">
        <v>299</v>
      </c>
    </row>
    <row r="1675" spans="1:6" ht="71.25" customHeight="1" x14ac:dyDescent="0.2">
      <c r="A1675" s="21">
        <f>+Dates!$D$11+30</f>
        <v>41977</v>
      </c>
      <c r="B1675" s="21">
        <f>+Dates!$D$11+30</f>
        <v>41977</v>
      </c>
      <c r="C1675" s="22" t="s">
        <v>1274</v>
      </c>
      <c r="D1675" s="23" t="s">
        <v>298</v>
      </c>
      <c r="E1675" s="24" t="s">
        <v>160</v>
      </c>
      <c r="F1675" s="24" t="s">
        <v>299</v>
      </c>
    </row>
    <row r="1676" spans="1:6" ht="66" customHeight="1" x14ac:dyDescent="0.2">
      <c r="A1676" s="21">
        <f>+Dates!$D$11+30</f>
        <v>41977</v>
      </c>
      <c r="B1676" s="21">
        <f>+Dates!$D$11+30</f>
        <v>41977</v>
      </c>
      <c r="C1676" s="22" t="s">
        <v>1275</v>
      </c>
      <c r="D1676" s="23" t="s">
        <v>298</v>
      </c>
      <c r="E1676" s="24" t="s">
        <v>295</v>
      </c>
      <c r="F1676" s="24" t="s">
        <v>299</v>
      </c>
    </row>
    <row r="1677" spans="1:6" ht="98.25" customHeight="1" x14ac:dyDescent="0.2">
      <c r="A1677" s="21">
        <f>+Dates!$D$12-90</f>
        <v>41983</v>
      </c>
      <c r="B1677" s="21">
        <f>+Dates!$D$12-90</f>
        <v>41983</v>
      </c>
      <c r="C1677" s="22" t="s">
        <v>1279</v>
      </c>
      <c r="D1677" s="23" t="s">
        <v>192</v>
      </c>
      <c r="E1677" s="24" t="s">
        <v>61</v>
      </c>
      <c r="F1677" s="24" t="s">
        <v>434</v>
      </c>
    </row>
    <row r="1678" spans="1:6" ht="87" customHeight="1" x14ac:dyDescent="0.2">
      <c r="A1678" s="21">
        <f>+Dates!$D$12-90</f>
        <v>41983</v>
      </c>
      <c r="B1678" s="21">
        <f>+Dates!$D$12-90</f>
        <v>41983</v>
      </c>
      <c r="C1678" s="22" t="s">
        <v>1280</v>
      </c>
      <c r="D1678" s="23" t="s">
        <v>192</v>
      </c>
      <c r="E1678" s="24" t="s">
        <v>80</v>
      </c>
      <c r="F1678" s="24" t="s">
        <v>434</v>
      </c>
    </row>
    <row r="1679" spans="1:6" ht="107.25" customHeight="1" x14ac:dyDescent="0.2">
      <c r="A1679" s="21">
        <f>+Dates!$D$12-90</f>
        <v>41983</v>
      </c>
      <c r="B1679" s="21">
        <f>+Dates!$D$12-90</f>
        <v>41983</v>
      </c>
      <c r="C1679" s="22" t="s">
        <v>191</v>
      </c>
      <c r="D1679" s="23" t="s">
        <v>192</v>
      </c>
      <c r="E1679" s="24" t="s">
        <v>301</v>
      </c>
      <c r="F1679" s="24" t="s">
        <v>434</v>
      </c>
    </row>
    <row r="1680" spans="1:6" ht="111" customHeight="1" x14ac:dyDescent="0.2">
      <c r="A1680" s="21">
        <f>+Dates!$D$11+42</f>
        <v>41989</v>
      </c>
      <c r="B1680" s="21">
        <f>+Dates!$D$11+42</f>
        <v>41989</v>
      </c>
      <c r="C1680" s="22" t="s">
        <v>1291</v>
      </c>
      <c r="D1680" s="23" t="s">
        <v>315</v>
      </c>
      <c r="E1680" s="24" t="s">
        <v>61</v>
      </c>
      <c r="F1680" s="24" t="s">
        <v>195</v>
      </c>
    </row>
    <row r="1681" spans="1:6" ht="107.25" customHeight="1" x14ac:dyDescent="0.2">
      <c r="A1681" s="21">
        <f>+Dates!$D$11+42</f>
        <v>41989</v>
      </c>
      <c r="B1681" s="21">
        <f>+Dates!$D$11+42</f>
        <v>41989</v>
      </c>
      <c r="C1681" s="22" t="s">
        <v>1292</v>
      </c>
      <c r="D1681" s="23" t="s">
        <v>315</v>
      </c>
      <c r="E1681" s="24" t="s">
        <v>292</v>
      </c>
      <c r="F1681" s="24" t="s">
        <v>195</v>
      </c>
    </row>
    <row r="1682" spans="1:6" ht="158.25" customHeight="1" x14ac:dyDescent="0.2">
      <c r="A1682" s="21">
        <f>+Dates!$D$12-84</f>
        <v>41989</v>
      </c>
      <c r="B1682" s="21">
        <f>+Dates!$D$12-84</f>
        <v>41989</v>
      </c>
      <c r="C1682" s="22" t="s">
        <v>1294</v>
      </c>
      <c r="D1682" s="23" t="s">
        <v>124</v>
      </c>
      <c r="E1682" s="24" t="s">
        <v>61</v>
      </c>
      <c r="F1682" s="24" t="s">
        <v>103</v>
      </c>
    </row>
    <row r="1683" spans="1:6" ht="154.5" customHeight="1" x14ac:dyDescent="0.2">
      <c r="A1683" s="21">
        <f>+Dates!$D$12-84</f>
        <v>41989</v>
      </c>
      <c r="B1683" s="21">
        <f>+Dates!$D$12-84</f>
        <v>41989</v>
      </c>
      <c r="C1683" s="22" t="s">
        <v>1295</v>
      </c>
      <c r="D1683" s="23" t="s">
        <v>124</v>
      </c>
      <c r="E1683" s="24" t="s">
        <v>80</v>
      </c>
      <c r="F1683" s="24" t="s">
        <v>103</v>
      </c>
    </row>
    <row r="1684" spans="1:6" ht="156" customHeight="1" x14ac:dyDescent="0.2">
      <c r="A1684" s="21">
        <f>+Dates!$D$12-84</f>
        <v>41989</v>
      </c>
      <c r="B1684" s="21">
        <f>+Dates!$D$12-84</f>
        <v>41989</v>
      </c>
      <c r="C1684" s="22" t="s">
        <v>1293</v>
      </c>
      <c r="D1684" s="23" t="s">
        <v>124</v>
      </c>
      <c r="E1684" s="24" t="s">
        <v>301</v>
      </c>
      <c r="F1684" s="24" t="s">
        <v>103</v>
      </c>
    </row>
    <row r="1685" spans="1:6" ht="90.75" customHeight="1" x14ac:dyDescent="0.2">
      <c r="A1685" s="21">
        <f>+Dates!$D$11+42</f>
        <v>41989</v>
      </c>
      <c r="B1685" s="21">
        <f>+Dates!$D$11+70</f>
        <v>42017</v>
      </c>
      <c r="C1685" s="22" t="s">
        <v>1601</v>
      </c>
      <c r="D1685" s="23" t="s">
        <v>429</v>
      </c>
      <c r="E1685" s="24" t="s">
        <v>61</v>
      </c>
      <c r="F1685" s="24" t="s">
        <v>195</v>
      </c>
    </row>
    <row r="1686" spans="1:6" ht="83.25" customHeight="1" x14ac:dyDescent="0.2">
      <c r="A1686" s="21">
        <f>+Dates!$D$11+42</f>
        <v>41989</v>
      </c>
      <c r="B1686" s="21">
        <f>+Dates!$D$11+70</f>
        <v>42017</v>
      </c>
      <c r="C1686" s="22" t="s">
        <v>1602</v>
      </c>
      <c r="D1686" s="23" t="s">
        <v>429</v>
      </c>
      <c r="E1686" s="24" t="s">
        <v>80</v>
      </c>
      <c r="F1686" s="24" t="s">
        <v>195</v>
      </c>
    </row>
    <row r="1687" spans="1:6" ht="112.5" customHeight="1" x14ac:dyDescent="0.2">
      <c r="A1687" s="21">
        <f>+Dates!$D$12-81</f>
        <v>41992</v>
      </c>
      <c r="B1687" s="21">
        <f>+Dates!$D$12-81</f>
        <v>41992</v>
      </c>
      <c r="C1687" s="22" t="s">
        <v>1552</v>
      </c>
      <c r="D1687" s="23" t="s">
        <v>124</v>
      </c>
      <c r="E1687" s="24" t="s">
        <v>61</v>
      </c>
      <c r="F1687" s="24" t="s">
        <v>103</v>
      </c>
    </row>
    <row r="1688" spans="1:6" ht="107.25" customHeight="1" x14ac:dyDescent="0.2">
      <c r="A1688" s="21">
        <f>+Dates!$D$12-81</f>
        <v>41992</v>
      </c>
      <c r="B1688" s="21">
        <f>+Dates!$D$12-81</f>
        <v>41992</v>
      </c>
      <c r="C1688" s="22" t="s">
        <v>1553</v>
      </c>
      <c r="D1688" s="23" t="s">
        <v>124</v>
      </c>
      <c r="E1688" s="24" t="s">
        <v>80</v>
      </c>
      <c r="F1688" s="24" t="s">
        <v>103</v>
      </c>
    </row>
    <row r="1689" spans="1:6" ht="112.5" customHeight="1" x14ac:dyDescent="0.2">
      <c r="A1689" s="21">
        <f>+Dates!$D$12-81</f>
        <v>41992</v>
      </c>
      <c r="B1689" s="21">
        <f>+Dates!$D$12-81</f>
        <v>41992</v>
      </c>
      <c r="C1689" s="22" t="s">
        <v>1554</v>
      </c>
      <c r="D1689" s="23" t="s">
        <v>124</v>
      </c>
      <c r="E1689" s="24" t="s">
        <v>301</v>
      </c>
      <c r="F1689" s="24" t="s">
        <v>103</v>
      </c>
    </row>
    <row r="1690" spans="1:6" ht="76.5" customHeight="1" x14ac:dyDescent="0.2">
      <c r="A1690" s="21">
        <f>+Dates!$D$22</f>
        <v>41998</v>
      </c>
      <c r="B1690" s="21">
        <f>+Dates!$D$22</f>
        <v>41998</v>
      </c>
      <c r="C1690" s="22" t="s">
        <v>256</v>
      </c>
      <c r="D1690" s="23" t="s">
        <v>293</v>
      </c>
      <c r="E1690" s="24" t="s">
        <v>294</v>
      </c>
      <c r="F1690" s="24" t="s">
        <v>294</v>
      </c>
    </row>
    <row r="1691" spans="1:6" ht="76.5" customHeight="1" x14ac:dyDescent="0.2">
      <c r="A1691" s="21">
        <f>+Dates!$D$12-74</f>
        <v>41999</v>
      </c>
      <c r="B1691" s="21">
        <f>+Dates!$D$12-74</f>
        <v>41999</v>
      </c>
      <c r="C1691" s="22" t="s">
        <v>1737</v>
      </c>
      <c r="D1691" s="23" t="s">
        <v>102</v>
      </c>
      <c r="E1691" s="24" t="s">
        <v>61</v>
      </c>
      <c r="F1691" s="24" t="s">
        <v>103</v>
      </c>
    </row>
    <row r="1692" spans="1:6" ht="76.5" customHeight="1" x14ac:dyDescent="0.2">
      <c r="A1692" s="21">
        <f>+Dates!$D$12-74</f>
        <v>41999</v>
      </c>
      <c r="B1692" s="21">
        <f>+Dates!$D$12-74</f>
        <v>41999</v>
      </c>
      <c r="C1692" s="22" t="s">
        <v>588</v>
      </c>
      <c r="D1692" s="23" t="s">
        <v>102</v>
      </c>
      <c r="E1692" s="24" t="s">
        <v>80</v>
      </c>
      <c r="F1692" s="24" t="s">
        <v>103</v>
      </c>
    </row>
    <row r="1693" spans="1:6" ht="76.5" customHeight="1" x14ac:dyDescent="0.2">
      <c r="A1693" s="21">
        <f>+Dates!$D$12-74</f>
        <v>41999</v>
      </c>
      <c r="B1693" s="21">
        <f>+Dates!$D$12-74</f>
        <v>41999</v>
      </c>
      <c r="C1693" s="22" t="s">
        <v>1738</v>
      </c>
      <c r="D1693" s="23" t="s">
        <v>102</v>
      </c>
      <c r="E1693" s="24" t="s">
        <v>301</v>
      </c>
      <c r="F1693" s="24" t="s">
        <v>103</v>
      </c>
    </row>
    <row r="1694" spans="1:6" ht="76.5" customHeight="1" x14ac:dyDescent="0.2">
      <c r="A1694" s="21">
        <f>+Dates!$D$12-74</f>
        <v>41999</v>
      </c>
      <c r="B1694" s="21">
        <f>+Dates!$D$12-74</f>
        <v>41999</v>
      </c>
      <c r="C1694" s="22" t="s">
        <v>1741</v>
      </c>
      <c r="D1694" s="23" t="s">
        <v>104</v>
      </c>
      <c r="E1694" s="24" t="s">
        <v>61</v>
      </c>
      <c r="F1694" s="24" t="s">
        <v>103</v>
      </c>
    </row>
    <row r="1695" spans="1:6" ht="76.5" customHeight="1" x14ac:dyDescent="0.2">
      <c r="A1695" s="21">
        <f>+Dates!$D$12-74</f>
        <v>41999</v>
      </c>
      <c r="B1695" s="21">
        <f>+Dates!$D$12-74</f>
        <v>41999</v>
      </c>
      <c r="C1695" s="22" t="s">
        <v>1742</v>
      </c>
      <c r="D1695" s="23" t="s">
        <v>104</v>
      </c>
      <c r="E1695" s="24" t="s">
        <v>292</v>
      </c>
      <c r="F1695" s="24" t="s">
        <v>103</v>
      </c>
    </row>
    <row r="1696" spans="1:6" ht="93.75" customHeight="1" x14ac:dyDescent="0.2">
      <c r="A1696" s="21">
        <f>+Dates!$D$12-74</f>
        <v>41999</v>
      </c>
      <c r="B1696" s="21">
        <f>+Dates!$D$12-74</f>
        <v>41999</v>
      </c>
      <c r="C1696" s="22" t="s">
        <v>1743</v>
      </c>
      <c r="D1696" s="23" t="s">
        <v>104</v>
      </c>
      <c r="E1696" s="24" t="s">
        <v>301</v>
      </c>
      <c r="F1696" s="24" t="s">
        <v>103</v>
      </c>
    </row>
    <row r="1697" spans="1:6" ht="102.75" customHeight="1" x14ac:dyDescent="0.2">
      <c r="A1697" s="21">
        <f>+Dates!$D$11+56</f>
        <v>42003</v>
      </c>
      <c r="B1697" s="21">
        <f>+Dates!$D$11+56</f>
        <v>42003</v>
      </c>
      <c r="C1697" s="22" t="s">
        <v>1282</v>
      </c>
      <c r="D1697" s="23" t="s">
        <v>8</v>
      </c>
      <c r="E1697" s="24" t="s">
        <v>61</v>
      </c>
      <c r="F1697" s="24" t="s">
        <v>17</v>
      </c>
    </row>
    <row r="1698" spans="1:6" ht="98.25" customHeight="1" x14ac:dyDescent="0.2">
      <c r="A1698" s="21">
        <f>+Dates!$D$11+56</f>
        <v>42003</v>
      </c>
      <c r="B1698" s="21">
        <f>+Dates!$D$11+56</f>
        <v>42003</v>
      </c>
      <c r="C1698" s="22" t="s">
        <v>1283</v>
      </c>
      <c r="D1698" s="23" t="s">
        <v>8</v>
      </c>
      <c r="E1698" s="24" t="s">
        <v>80</v>
      </c>
      <c r="F1698" s="24" t="s">
        <v>17</v>
      </c>
    </row>
    <row r="1699" spans="1:6" ht="91.5" customHeight="1" x14ac:dyDescent="0.2">
      <c r="A1699" s="21">
        <f>+Dates!$D$11+56</f>
        <v>42003</v>
      </c>
      <c r="B1699" s="21">
        <f>+Dates!$D$11+56</f>
        <v>42003</v>
      </c>
      <c r="C1699" s="22" t="s">
        <v>1284</v>
      </c>
      <c r="D1699" s="23" t="s">
        <v>8</v>
      </c>
      <c r="E1699" s="24" t="s">
        <v>289</v>
      </c>
      <c r="F1699" s="24" t="s">
        <v>17</v>
      </c>
    </row>
    <row r="1700" spans="1:6" ht="85.5" customHeight="1" x14ac:dyDescent="0.2">
      <c r="A1700" s="21">
        <f>+Dates!$D$11+56</f>
        <v>42003</v>
      </c>
      <c r="B1700" s="21">
        <f>+Dates!$D$11+56</f>
        <v>42003</v>
      </c>
      <c r="C1700" s="22" t="s">
        <v>1281</v>
      </c>
      <c r="D1700" s="23" t="s">
        <v>8</v>
      </c>
      <c r="E1700" s="24" t="s">
        <v>291</v>
      </c>
      <c r="F1700" s="24" t="s">
        <v>17</v>
      </c>
    </row>
    <row r="1701" spans="1:6" ht="88.5" customHeight="1" x14ac:dyDescent="0.2">
      <c r="A1701" s="21">
        <f>+Dates!$D$11+56</f>
        <v>42003</v>
      </c>
      <c r="B1701" s="21">
        <f>+Dates!$D$11+56</f>
        <v>42003</v>
      </c>
      <c r="C1701" s="22" t="s">
        <v>1285</v>
      </c>
      <c r="D1701" s="23" t="s">
        <v>8</v>
      </c>
      <c r="E1701" s="24" t="s">
        <v>301</v>
      </c>
      <c r="F1701" s="24" t="s">
        <v>17</v>
      </c>
    </row>
    <row r="1702" spans="1:6" ht="103.5" customHeight="1" x14ac:dyDescent="0.2">
      <c r="A1702" s="21">
        <f>+Dates!$D$11+56</f>
        <v>42003</v>
      </c>
      <c r="B1702" s="21">
        <f>+Dates!$D$11+56</f>
        <v>42003</v>
      </c>
      <c r="C1702" s="22" t="s">
        <v>1286</v>
      </c>
      <c r="D1702" s="23" t="s">
        <v>8</v>
      </c>
      <c r="E1702" s="24" t="s">
        <v>297</v>
      </c>
      <c r="F1702" s="24" t="s">
        <v>17</v>
      </c>
    </row>
    <row r="1703" spans="1:6" ht="89.25" customHeight="1" x14ac:dyDescent="0.2">
      <c r="A1703" s="21">
        <f>+Dates!$D$11+56</f>
        <v>42003</v>
      </c>
      <c r="B1703" s="21">
        <f>+Dates!$D$11+56</f>
        <v>42003</v>
      </c>
      <c r="C1703" s="22" t="s">
        <v>1287</v>
      </c>
      <c r="D1703" s="23" t="s">
        <v>18</v>
      </c>
      <c r="E1703" s="24" t="s">
        <v>61</v>
      </c>
      <c r="F1703" s="24" t="s">
        <v>17</v>
      </c>
    </row>
    <row r="1704" spans="1:6" ht="85.5" customHeight="1" x14ac:dyDescent="0.2">
      <c r="A1704" s="21">
        <f>+Dates!$D$11+56</f>
        <v>42003</v>
      </c>
      <c r="B1704" s="21">
        <f>+Dates!$D$11+56</f>
        <v>42003</v>
      </c>
      <c r="C1704" s="22" t="s">
        <v>1289</v>
      </c>
      <c r="D1704" s="23" t="s">
        <v>18</v>
      </c>
      <c r="E1704" s="24" t="s">
        <v>80</v>
      </c>
      <c r="F1704" s="24" t="s">
        <v>17</v>
      </c>
    </row>
    <row r="1705" spans="1:6" ht="105" customHeight="1" x14ac:dyDescent="0.2">
      <c r="A1705" s="21">
        <f>+Dates!$D$11+56</f>
        <v>42003</v>
      </c>
      <c r="B1705" s="21">
        <f>+Dates!$D$11+56</f>
        <v>42003</v>
      </c>
      <c r="C1705" s="22" t="s">
        <v>1288</v>
      </c>
      <c r="D1705" s="23" t="s">
        <v>18</v>
      </c>
      <c r="E1705" s="24" t="s">
        <v>333</v>
      </c>
      <c r="F1705" s="24" t="s">
        <v>17</v>
      </c>
    </row>
    <row r="1706" spans="1:6" ht="106.5" customHeight="1" x14ac:dyDescent="0.2">
      <c r="A1706" s="21">
        <f>+Dates!$D$11+56</f>
        <v>42003</v>
      </c>
      <c r="B1706" s="21">
        <f>+Dates!$D$11+56</f>
        <v>42003</v>
      </c>
      <c r="C1706" s="22" t="s">
        <v>1290</v>
      </c>
      <c r="D1706" s="23" t="s">
        <v>18</v>
      </c>
      <c r="E1706" s="24" t="s">
        <v>160</v>
      </c>
      <c r="F1706" s="24" t="s">
        <v>17</v>
      </c>
    </row>
    <row r="1707" spans="1:6" ht="93" customHeight="1" x14ac:dyDescent="0.2">
      <c r="A1707" s="21">
        <f>+Dates!$D11+56</f>
        <v>42003</v>
      </c>
      <c r="B1707" s="21">
        <f>+Dates!$D11+56</f>
        <v>42003</v>
      </c>
      <c r="C1707" s="22" t="s">
        <v>1277</v>
      </c>
      <c r="D1707" s="23" t="s">
        <v>16</v>
      </c>
      <c r="E1707" s="24" t="s">
        <v>61</v>
      </c>
      <c r="F1707" s="24" t="s">
        <v>17</v>
      </c>
    </row>
    <row r="1708" spans="1:6" ht="89.25" customHeight="1" x14ac:dyDescent="0.2">
      <c r="A1708" s="21">
        <f>+Dates!$D11+56</f>
        <v>42003</v>
      </c>
      <c r="B1708" s="21">
        <f>+Dates!$D11+56</f>
        <v>42003</v>
      </c>
      <c r="C1708" s="22" t="s">
        <v>1278</v>
      </c>
      <c r="D1708" s="23" t="s">
        <v>16</v>
      </c>
      <c r="E1708" s="24" t="s">
        <v>80</v>
      </c>
      <c r="F1708" s="24" t="s">
        <v>17</v>
      </c>
    </row>
    <row r="1709" spans="1:6" ht="90" customHeight="1" x14ac:dyDescent="0.2">
      <c r="A1709" s="21">
        <f>+Dates!$D11+56</f>
        <v>42003</v>
      </c>
      <c r="B1709" s="21">
        <f>+Dates!$D11+56</f>
        <v>42003</v>
      </c>
      <c r="C1709" s="22" t="s">
        <v>1276</v>
      </c>
      <c r="D1709" s="23" t="s">
        <v>16</v>
      </c>
      <c r="E1709" s="24" t="s">
        <v>295</v>
      </c>
      <c r="F1709" s="24" t="s">
        <v>17</v>
      </c>
    </row>
    <row r="1710" spans="1:6" ht="123" customHeight="1" x14ac:dyDescent="0.2">
      <c r="A1710" s="21">
        <f>+Dates!$D$12-70</f>
        <v>42003</v>
      </c>
      <c r="B1710" s="21">
        <f>+Dates!$D$12-56</f>
        <v>42017</v>
      </c>
      <c r="C1710" s="22" t="s">
        <v>1300</v>
      </c>
      <c r="D1710" s="23" t="s">
        <v>300</v>
      </c>
      <c r="E1710" s="24" t="s">
        <v>61</v>
      </c>
      <c r="F1710" s="24" t="s">
        <v>299</v>
      </c>
    </row>
    <row r="1711" spans="1:6" ht="121.5" customHeight="1" x14ac:dyDescent="0.2">
      <c r="A1711" s="21">
        <f>+Dates!$D$12-70</f>
        <v>42003</v>
      </c>
      <c r="B1711" s="21">
        <f>+Dates!$D$12-56</f>
        <v>42017</v>
      </c>
      <c r="C1711" s="22" t="s">
        <v>1301</v>
      </c>
      <c r="D1711" s="23" t="s">
        <v>300</v>
      </c>
      <c r="E1711" s="24" t="s">
        <v>80</v>
      </c>
      <c r="F1711" s="24" t="s">
        <v>299</v>
      </c>
    </row>
    <row r="1712" spans="1:6" ht="124.5" customHeight="1" x14ac:dyDescent="0.2">
      <c r="A1712" s="21">
        <f>+Dates!$D$12-70</f>
        <v>42003</v>
      </c>
      <c r="B1712" s="21">
        <f>+Dates!$D$12-56</f>
        <v>42017</v>
      </c>
      <c r="C1712" s="22" t="s">
        <v>1302</v>
      </c>
      <c r="D1712" s="23" t="s">
        <v>300</v>
      </c>
      <c r="E1712" s="24" t="s">
        <v>301</v>
      </c>
      <c r="F1712" s="24" t="s">
        <v>299</v>
      </c>
    </row>
    <row r="1713" spans="1:6" ht="94.5" customHeight="1" x14ac:dyDescent="0.2">
      <c r="A1713" s="21">
        <f>+Dates!$D$12-70</f>
        <v>42003</v>
      </c>
      <c r="B1713" s="21">
        <f>+Dates!$D$12-70</f>
        <v>42003</v>
      </c>
      <c r="C1713" s="22" t="s">
        <v>1359</v>
      </c>
      <c r="D1713" s="23" t="s">
        <v>141</v>
      </c>
      <c r="E1713" s="24" t="s">
        <v>61</v>
      </c>
      <c r="F1713" s="24" t="s">
        <v>119</v>
      </c>
    </row>
    <row r="1714" spans="1:6" ht="89.25" customHeight="1" x14ac:dyDescent="0.2">
      <c r="A1714" s="21">
        <f>+Dates!$D$12-70</f>
        <v>42003</v>
      </c>
      <c r="B1714" s="21">
        <f>+Dates!$D$12-70</f>
        <v>42003</v>
      </c>
      <c r="C1714" s="22" t="s">
        <v>1360</v>
      </c>
      <c r="D1714" s="23" t="s">
        <v>141</v>
      </c>
      <c r="E1714" s="24" t="s">
        <v>80</v>
      </c>
      <c r="F1714" s="24" t="s">
        <v>119</v>
      </c>
    </row>
    <row r="1715" spans="1:6" ht="98.25" customHeight="1" x14ac:dyDescent="0.2">
      <c r="A1715" s="21">
        <f>+Dates!$D$12-70</f>
        <v>42003</v>
      </c>
      <c r="B1715" s="21">
        <f>+Dates!$D$12-70</f>
        <v>42003</v>
      </c>
      <c r="C1715" s="22" t="s">
        <v>458</v>
      </c>
      <c r="D1715" s="23" t="s">
        <v>141</v>
      </c>
      <c r="E1715" s="24" t="s">
        <v>301</v>
      </c>
      <c r="F1715" s="24" t="s">
        <v>119</v>
      </c>
    </row>
    <row r="1716" spans="1:6" ht="77.25" customHeight="1" x14ac:dyDescent="0.2">
      <c r="A1716" s="21">
        <v>42004</v>
      </c>
      <c r="B1716" s="21">
        <v>42004</v>
      </c>
      <c r="C1716" s="22" t="s">
        <v>1298</v>
      </c>
      <c r="D1716" s="23" t="s">
        <v>1035</v>
      </c>
      <c r="E1716" s="24" t="s">
        <v>61</v>
      </c>
      <c r="F1716" s="24" t="s">
        <v>241</v>
      </c>
    </row>
    <row r="1717" spans="1:6" ht="71.25" customHeight="1" x14ac:dyDescent="0.2">
      <c r="A1717" s="21">
        <v>42004</v>
      </c>
      <c r="B1717" s="21">
        <v>42004</v>
      </c>
      <c r="C1717" s="22" t="s">
        <v>1299</v>
      </c>
      <c r="D1717" s="23" t="s">
        <v>1035</v>
      </c>
      <c r="E1717" s="24" t="s">
        <v>80</v>
      </c>
      <c r="F1717" s="24" t="s">
        <v>241</v>
      </c>
    </row>
    <row r="1718" spans="1:6" ht="228" customHeight="1" x14ac:dyDescent="0.2">
      <c r="A1718" s="21">
        <v>42004</v>
      </c>
      <c r="B1718" s="21">
        <v>42004</v>
      </c>
      <c r="C1718" s="22" t="s">
        <v>1297</v>
      </c>
      <c r="D1718" s="23" t="s">
        <v>1035</v>
      </c>
      <c r="E1718" s="24" t="s">
        <v>61</v>
      </c>
      <c r="F1718" s="24" t="s">
        <v>241</v>
      </c>
    </row>
    <row r="1719" spans="1:6" ht="230.25" customHeight="1" x14ac:dyDescent="0.2">
      <c r="A1719" s="21">
        <v>42004</v>
      </c>
      <c r="B1719" s="21">
        <v>42004</v>
      </c>
      <c r="C1719" s="22" t="s">
        <v>1296</v>
      </c>
      <c r="D1719" s="23" t="s">
        <v>1035</v>
      </c>
      <c r="E1719" s="24" t="s">
        <v>292</v>
      </c>
      <c r="F1719" s="24" t="s">
        <v>241</v>
      </c>
    </row>
    <row r="1720" spans="1:6" ht="118.5" customHeight="1" x14ac:dyDescent="0.2">
      <c r="A1720" s="21">
        <f>+Dates!$D$11+57</f>
        <v>42004</v>
      </c>
      <c r="B1720" s="21">
        <f>+Dates!$D$11+57</f>
        <v>42004</v>
      </c>
      <c r="C1720" s="22" t="s">
        <v>1304</v>
      </c>
      <c r="D1720" s="23" t="s">
        <v>304</v>
      </c>
      <c r="E1720" s="24" t="s">
        <v>61</v>
      </c>
      <c r="F1720" s="24" t="s">
        <v>305</v>
      </c>
    </row>
    <row r="1721" spans="1:6" ht="111.75" customHeight="1" x14ac:dyDescent="0.2">
      <c r="A1721" s="21">
        <f>+Dates!$D$11+57</f>
        <v>42004</v>
      </c>
      <c r="B1721" s="21">
        <f>+Dates!$D$11+57</f>
        <v>42004</v>
      </c>
      <c r="C1721" s="22" t="s">
        <v>1303</v>
      </c>
      <c r="D1721" s="23" t="s">
        <v>304</v>
      </c>
      <c r="E1721" s="24" t="s">
        <v>292</v>
      </c>
      <c r="F1721" s="24" t="s">
        <v>305</v>
      </c>
    </row>
    <row r="1722" spans="1:6" ht="71.25" customHeight="1" x14ac:dyDescent="0.2">
      <c r="A1722" s="21">
        <f>+Dates!$D$27</f>
        <v>42005</v>
      </c>
      <c r="B1722" s="21">
        <f>+Dates!$D$27</f>
        <v>42005</v>
      </c>
      <c r="C1722" s="22" t="s">
        <v>340</v>
      </c>
      <c r="D1722" s="23" t="s">
        <v>293</v>
      </c>
      <c r="E1722" s="24" t="s">
        <v>294</v>
      </c>
      <c r="F1722" s="24" t="s">
        <v>294</v>
      </c>
    </row>
    <row r="1723" spans="1:6" ht="174.75" customHeight="1" x14ac:dyDescent="0.2">
      <c r="A1723" s="21">
        <v>42005</v>
      </c>
      <c r="B1723" s="21">
        <v>42005</v>
      </c>
      <c r="C1723" s="22" t="s">
        <v>1555</v>
      </c>
      <c r="D1723" s="23" t="s">
        <v>4</v>
      </c>
      <c r="E1723" s="24" t="s">
        <v>61</v>
      </c>
      <c r="F1723" s="24" t="s">
        <v>195</v>
      </c>
    </row>
    <row r="1724" spans="1:6" ht="156.75" customHeight="1" x14ac:dyDescent="0.2">
      <c r="A1724" s="21">
        <v>42005</v>
      </c>
      <c r="B1724" s="21">
        <v>42005</v>
      </c>
      <c r="C1724" s="22" t="s">
        <v>1556</v>
      </c>
      <c r="D1724" s="23" t="s">
        <v>4</v>
      </c>
      <c r="E1724" s="24" t="s">
        <v>80</v>
      </c>
      <c r="F1724" s="24" t="s">
        <v>195</v>
      </c>
    </row>
    <row r="1725" spans="1:6" ht="176.25" customHeight="1" x14ac:dyDescent="0.2">
      <c r="A1725" s="21">
        <v>42005</v>
      </c>
      <c r="B1725" s="21">
        <v>42005</v>
      </c>
      <c r="C1725" s="22" t="s">
        <v>1557</v>
      </c>
      <c r="D1725" s="23" t="s">
        <v>4</v>
      </c>
      <c r="E1725" s="24" t="s">
        <v>289</v>
      </c>
      <c r="F1725" s="24" t="s">
        <v>195</v>
      </c>
    </row>
    <row r="1726" spans="1:6" ht="169.5" customHeight="1" x14ac:dyDescent="0.2">
      <c r="A1726" s="21">
        <v>42005</v>
      </c>
      <c r="B1726" s="21">
        <v>42005</v>
      </c>
      <c r="C1726" s="22" t="s">
        <v>1558</v>
      </c>
      <c r="D1726" s="23" t="s">
        <v>4</v>
      </c>
      <c r="E1726" s="24" t="s">
        <v>291</v>
      </c>
      <c r="F1726" s="24" t="s">
        <v>195</v>
      </c>
    </row>
    <row r="1727" spans="1:6" ht="168" customHeight="1" x14ac:dyDescent="0.2">
      <c r="A1727" s="21">
        <v>42005</v>
      </c>
      <c r="B1727" s="21">
        <v>42005</v>
      </c>
      <c r="C1727" s="22" t="s">
        <v>1559</v>
      </c>
      <c r="D1727" s="23" t="s">
        <v>4</v>
      </c>
      <c r="E1727" s="24" t="s">
        <v>301</v>
      </c>
      <c r="F1727" s="24" t="s">
        <v>195</v>
      </c>
    </row>
    <row r="1728" spans="1:6" ht="171.75" customHeight="1" x14ac:dyDescent="0.2">
      <c r="A1728" s="21">
        <v>42005</v>
      </c>
      <c r="B1728" s="21">
        <v>42005</v>
      </c>
      <c r="C1728" s="22" t="s">
        <v>1560</v>
      </c>
      <c r="D1728" s="23" t="s">
        <v>4</v>
      </c>
      <c r="E1728" s="24" t="s">
        <v>297</v>
      </c>
      <c r="F1728" s="24" t="s">
        <v>195</v>
      </c>
    </row>
    <row r="1729" spans="1:6" ht="175.5" customHeight="1" x14ac:dyDescent="0.2">
      <c r="A1729" s="21">
        <v>42005</v>
      </c>
      <c r="B1729" s="21">
        <v>42005</v>
      </c>
      <c r="C1729" s="22" t="s">
        <v>1561</v>
      </c>
      <c r="D1729" s="23" t="s">
        <v>4</v>
      </c>
      <c r="E1729" s="24" t="s">
        <v>333</v>
      </c>
      <c r="F1729" s="24" t="s">
        <v>195</v>
      </c>
    </row>
    <row r="1730" spans="1:6" ht="173.25" customHeight="1" x14ac:dyDescent="0.2">
      <c r="A1730" s="21">
        <v>42005</v>
      </c>
      <c r="B1730" s="21">
        <v>42005</v>
      </c>
      <c r="C1730" s="22" t="s">
        <v>1562</v>
      </c>
      <c r="D1730" s="23" t="s">
        <v>4</v>
      </c>
      <c r="E1730" s="24" t="s">
        <v>160</v>
      </c>
      <c r="F1730" s="24" t="s">
        <v>195</v>
      </c>
    </row>
    <row r="1731" spans="1:6" ht="71.25" customHeight="1" x14ac:dyDescent="0.2">
      <c r="A1731" s="21">
        <v>42005</v>
      </c>
      <c r="B1731" s="21">
        <v>42005</v>
      </c>
      <c r="C1731" s="22" t="s">
        <v>1563</v>
      </c>
      <c r="D1731" s="23" t="s">
        <v>429</v>
      </c>
      <c r="E1731" s="24" t="s">
        <v>61</v>
      </c>
      <c r="F1731" s="24" t="s">
        <v>195</v>
      </c>
    </row>
    <row r="1732" spans="1:6" ht="60.75" customHeight="1" x14ac:dyDescent="0.2">
      <c r="A1732" s="21">
        <v>42005</v>
      </c>
      <c r="B1732" s="21">
        <v>42005</v>
      </c>
      <c r="C1732" s="22" t="s">
        <v>1564</v>
      </c>
      <c r="D1732" s="23" t="s">
        <v>429</v>
      </c>
      <c r="E1732" s="24" t="s">
        <v>80</v>
      </c>
      <c r="F1732" s="24" t="s">
        <v>195</v>
      </c>
    </row>
    <row r="1733" spans="1:6" ht="72.75" customHeight="1" x14ac:dyDescent="0.2">
      <c r="A1733" s="21">
        <v>42007</v>
      </c>
      <c r="B1733" s="21">
        <v>42007</v>
      </c>
      <c r="C1733" s="22" t="s">
        <v>1309</v>
      </c>
      <c r="D1733" s="23" t="s">
        <v>395</v>
      </c>
      <c r="E1733" s="24" t="s">
        <v>61</v>
      </c>
      <c r="F1733" s="24" t="s">
        <v>290</v>
      </c>
    </row>
    <row r="1734" spans="1:6" ht="75.75" customHeight="1" x14ac:dyDescent="0.2">
      <c r="A1734" s="21">
        <v>42007</v>
      </c>
      <c r="B1734" s="21">
        <v>42007</v>
      </c>
      <c r="C1734" s="22" t="s">
        <v>1311</v>
      </c>
      <c r="D1734" s="23" t="s">
        <v>395</v>
      </c>
      <c r="E1734" s="24" t="s">
        <v>135</v>
      </c>
      <c r="F1734" s="24" t="s">
        <v>290</v>
      </c>
    </row>
    <row r="1735" spans="1:6" ht="83.25" customHeight="1" x14ac:dyDescent="0.2">
      <c r="A1735" s="21">
        <v>42007</v>
      </c>
      <c r="B1735" s="21">
        <v>42007</v>
      </c>
      <c r="C1735" s="22" t="s">
        <v>1308</v>
      </c>
      <c r="D1735" s="23" t="s">
        <v>395</v>
      </c>
      <c r="E1735" s="24" t="s">
        <v>391</v>
      </c>
      <c r="F1735" s="24" t="s">
        <v>290</v>
      </c>
    </row>
    <row r="1736" spans="1:6" ht="81" customHeight="1" x14ac:dyDescent="0.2">
      <c r="A1736" s="21">
        <v>42007</v>
      </c>
      <c r="B1736" s="21">
        <v>42007</v>
      </c>
      <c r="C1736" s="22" t="s">
        <v>1310</v>
      </c>
      <c r="D1736" s="23" t="s">
        <v>395</v>
      </c>
      <c r="E1736" s="24" t="s">
        <v>391</v>
      </c>
      <c r="F1736" s="24" t="s">
        <v>290</v>
      </c>
    </row>
    <row r="1737" spans="1:6" ht="137.25" customHeight="1" x14ac:dyDescent="0.2">
      <c r="A1737" s="21">
        <f>+Dates!$D$28</f>
        <v>42009</v>
      </c>
      <c r="B1737" s="21">
        <f>+Dates!$D$28</f>
        <v>42009</v>
      </c>
      <c r="C1737" s="22" t="s">
        <v>1729</v>
      </c>
      <c r="D1737" s="23" t="s">
        <v>392</v>
      </c>
      <c r="E1737" s="24" t="s">
        <v>61</v>
      </c>
      <c r="F1737" s="24" t="s">
        <v>391</v>
      </c>
    </row>
    <row r="1738" spans="1:6" ht="132.75" customHeight="1" x14ac:dyDescent="0.2">
      <c r="A1738" s="21">
        <f>+Dates!$D$28</f>
        <v>42009</v>
      </c>
      <c r="B1738" s="21">
        <f>+Dates!$D$28</f>
        <v>42009</v>
      </c>
      <c r="C1738" s="22" t="s">
        <v>1730</v>
      </c>
      <c r="D1738" s="23" t="s">
        <v>392</v>
      </c>
      <c r="E1738" s="24" t="s">
        <v>135</v>
      </c>
      <c r="F1738" s="24" t="s">
        <v>391</v>
      </c>
    </row>
    <row r="1739" spans="1:6" ht="141" customHeight="1" x14ac:dyDescent="0.2">
      <c r="A1739" s="21">
        <f>+Dates!$D$28</f>
        <v>42009</v>
      </c>
      <c r="B1739" s="21">
        <f>+Dates!$D$28</f>
        <v>42009</v>
      </c>
      <c r="C1739" s="22" t="s">
        <v>1731</v>
      </c>
      <c r="D1739" s="23" t="s">
        <v>392</v>
      </c>
      <c r="E1739" s="24" t="s">
        <v>391</v>
      </c>
      <c r="F1739" s="24" t="s">
        <v>391</v>
      </c>
    </row>
    <row r="1740" spans="1:6" ht="134.25" customHeight="1" x14ac:dyDescent="0.2">
      <c r="A1740" s="21">
        <f>+Dates!$D$28</f>
        <v>42009</v>
      </c>
      <c r="B1740" s="21">
        <f>+Dates!$D$28</f>
        <v>42009</v>
      </c>
      <c r="C1740" s="22" t="s">
        <v>1732</v>
      </c>
      <c r="D1740" s="23" t="s">
        <v>392</v>
      </c>
      <c r="E1740" s="24" t="s">
        <v>80</v>
      </c>
      <c r="F1740" s="24" t="s">
        <v>391</v>
      </c>
    </row>
    <row r="1741" spans="1:6" ht="143.25" customHeight="1" x14ac:dyDescent="0.2">
      <c r="A1741" s="21">
        <f>+Dates!$D$28</f>
        <v>42009</v>
      </c>
      <c r="B1741" s="21">
        <f>+Dates!$D$28</f>
        <v>42009</v>
      </c>
      <c r="C1741" s="22" t="s">
        <v>1351</v>
      </c>
      <c r="D1741" s="23" t="s">
        <v>1317</v>
      </c>
      <c r="E1741" s="24" t="s">
        <v>303</v>
      </c>
      <c r="F1741" s="24" t="s">
        <v>290</v>
      </c>
    </row>
    <row r="1742" spans="1:6" ht="156" customHeight="1" x14ac:dyDescent="0.2">
      <c r="A1742" s="21">
        <f>+Dates!$D$28</f>
        <v>42009</v>
      </c>
      <c r="B1742" s="21">
        <f>+Dates!$D$28</f>
        <v>42009</v>
      </c>
      <c r="C1742" s="22" t="s">
        <v>1318</v>
      </c>
      <c r="D1742" s="23" t="s">
        <v>1317</v>
      </c>
      <c r="E1742" s="24" t="s">
        <v>61</v>
      </c>
      <c r="F1742" s="24" t="s">
        <v>290</v>
      </c>
    </row>
    <row r="1743" spans="1:6" ht="150.75" customHeight="1" x14ac:dyDescent="0.2">
      <c r="A1743" s="21">
        <f>+Dates!$D$28</f>
        <v>42009</v>
      </c>
      <c r="B1743" s="21">
        <f>+Dates!$D$28</f>
        <v>42009</v>
      </c>
      <c r="C1743" s="22" t="s">
        <v>1319</v>
      </c>
      <c r="D1743" s="23" t="s">
        <v>1317</v>
      </c>
      <c r="E1743" s="24" t="s">
        <v>135</v>
      </c>
      <c r="F1743" s="24" t="s">
        <v>290</v>
      </c>
    </row>
    <row r="1744" spans="1:6" ht="144" customHeight="1" x14ac:dyDescent="0.2">
      <c r="A1744" s="21">
        <f>+Dates!$D$28</f>
        <v>42009</v>
      </c>
      <c r="B1744" s="21">
        <f>+Dates!$D$28</f>
        <v>42009</v>
      </c>
      <c r="C1744" s="22" t="s">
        <v>1320</v>
      </c>
      <c r="D1744" s="23" t="s">
        <v>1317</v>
      </c>
      <c r="E1744" s="24" t="s">
        <v>391</v>
      </c>
      <c r="F1744" s="24" t="s">
        <v>290</v>
      </c>
    </row>
    <row r="1745" spans="1:6" ht="143.25" customHeight="1" x14ac:dyDescent="0.2">
      <c r="A1745" s="21">
        <f>+Dates!$D$28</f>
        <v>42009</v>
      </c>
      <c r="B1745" s="21">
        <f>+Dates!$D$28</f>
        <v>42009</v>
      </c>
      <c r="C1745" s="22" t="s">
        <v>1321</v>
      </c>
      <c r="D1745" s="23" t="s">
        <v>1317</v>
      </c>
      <c r="E1745" s="24" t="s">
        <v>292</v>
      </c>
      <c r="F1745" s="24" t="s">
        <v>290</v>
      </c>
    </row>
    <row r="1746" spans="1:6" ht="96.75" customHeight="1" x14ac:dyDescent="0.2">
      <c r="A1746" s="21">
        <f>+Dates!$D$28</f>
        <v>42009</v>
      </c>
      <c r="B1746" s="21">
        <f>+Dates!$D$28</f>
        <v>42009</v>
      </c>
      <c r="C1746" s="22" t="s">
        <v>1312</v>
      </c>
      <c r="D1746" s="23" t="s">
        <v>239</v>
      </c>
      <c r="E1746" s="24" t="s">
        <v>1062</v>
      </c>
      <c r="F1746" s="24" t="s">
        <v>290</v>
      </c>
    </row>
    <row r="1747" spans="1:6" ht="72" customHeight="1" x14ac:dyDescent="0.2">
      <c r="A1747" s="21">
        <f>+Dates!$D$28</f>
        <v>42009</v>
      </c>
      <c r="B1747" s="21">
        <f>+Dates!$D$28</f>
        <v>42009</v>
      </c>
      <c r="C1747" s="22" t="s">
        <v>1305</v>
      </c>
      <c r="D1747" s="23" t="s">
        <v>288</v>
      </c>
      <c r="E1747" s="24" t="s">
        <v>289</v>
      </c>
      <c r="F1747" s="24" t="s">
        <v>290</v>
      </c>
    </row>
    <row r="1748" spans="1:6" ht="71.25" customHeight="1" x14ac:dyDescent="0.2">
      <c r="A1748" s="21">
        <f>+Dates!$D$28</f>
        <v>42009</v>
      </c>
      <c r="B1748" s="21">
        <f>+Dates!$D$28</f>
        <v>42009</v>
      </c>
      <c r="C1748" s="22" t="s">
        <v>1306</v>
      </c>
      <c r="D1748" s="23" t="s">
        <v>288</v>
      </c>
      <c r="E1748" s="24" t="s">
        <v>291</v>
      </c>
      <c r="F1748" s="24" t="s">
        <v>290</v>
      </c>
    </row>
    <row r="1749" spans="1:6" ht="72" customHeight="1" x14ac:dyDescent="0.2">
      <c r="A1749" s="21">
        <f>+Dates!$D$28</f>
        <v>42009</v>
      </c>
      <c r="B1749" s="21">
        <f>+Dates!$D$28</f>
        <v>42009</v>
      </c>
      <c r="C1749" s="22" t="s">
        <v>1316</v>
      </c>
      <c r="D1749" s="23" t="s">
        <v>1313</v>
      </c>
      <c r="E1749" s="24" t="s">
        <v>297</v>
      </c>
      <c r="F1749" s="24" t="s">
        <v>290</v>
      </c>
    </row>
    <row r="1750" spans="1:6" ht="79.5" customHeight="1" x14ac:dyDescent="0.2">
      <c r="A1750" s="21">
        <f>+Dates!$D$28</f>
        <v>42009</v>
      </c>
      <c r="B1750" s="21">
        <f>+Dates!$D$28</f>
        <v>42009</v>
      </c>
      <c r="C1750" s="22" t="s">
        <v>1314</v>
      </c>
      <c r="D1750" s="23" t="s">
        <v>487</v>
      </c>
      <c r="E1750" s="24" t="s">
        <v>333</v>
      </c>
      <c r="F1750" s="24" t="s">
        <v>290</v>
      </c>
    </row>
    <row r="1751" spans="1:6" ht="75.75" customHeight="1" x14ac:dyDescent="0.2">
      <c r="A1751" s="21">
        <f>+Dates!$D$28</f>
        <v>42009</v>
      </c>
      <c r="B1751" s="21">
        <f>+Dates!$D$28</f>
        <v>42009</v>
      </c>
      <c r="C1751" s="22" t="s">
        <v>1315</v>
      </c>
      <c r="D1751" s="23" t="s">
        <v>487</v>
      </c>
      <c r="E1751" s="24" t="s">
        <v>160</v>
      </c>
      <c r="F1751" s="24" t="s">
        <v>290</v>
      </c>
    </row>
    <row r="1752" spans="1:6" ht="69" customHeight="1" x14ac:dyDescent="0.2">
      <c r="A1752" s="21">
        <f>+Dates!$D$28</f>
        <v>42009</v>
      </c>
      <c r="B1752" s="21">
        <f>+Dates!$D$28</f>
        <v>42009</v>
      </c>
      <c r="C1752" s="22" t="s">
        <v>1307</v>
      </c>
      <c r="D1752" s="23" t="s">
        <v>234</v>
      </c>
      <c r="E1752" s="24" t="s">
        <v>295</v>
      </c>
      <c r="F1752" s="24" t="s">
        <v>290</v>
      </c>
    </row>
    <row r="1753" spans="1:6" ht="69.75" customHeight="1" x14ac:dyDescent="0.2">
      <c r="A1753" s="21">
        <f>+Dates!$D$12-56</f>
        <v>42017</v>
      </c>
      <c r="B1753" s="21">
        <f>+Dates!$D$12-56</f>
        <v>42017</v>
      </c>
      <c r="C1753" s="22" t="s">
        <v>1323</v>
      </c>
      <c r="D1753" s="23" t="s">
        <v>300</v>
      </c>
      <c r="E1753" s="24" t="s">
        <v>61</v>
      </c>
      <c r="F1753" s="24" t="s">
        <v>299</v>
      </c>
    </row>
    <row r="1754" spans="1:6" ht="65.25" customHeight="1" x14ac:dyDescent="0.2">
      <c r="A1754" s="21">
        <f>+Dates!$D$12-56</f>
        <v>42017</v>
      </c>
      <c r="B1754" s="21">
        <f>+Dates!$D$12-56</f>
        <v>42017</v>
      </c>
      <c r="C1754" s="22" t="s">
        <v>1324</v>
      </c>
      <c r="D1754" s="23" t="s">
        <v>300</v>
      </c>
      <c r="E1754" s="24" t="s">
        <v>80</v>
      </c>
      <c r="F1754" s="24" t="s">
        <v>299</v>
      </c>
    </row>
    <row r="1755" spans="1:6" ht="69.75" customHeight="1" x14ac:dyDescent="0.2">
      <c r="A1755" s="21">
        <f>+Dates!$D$12-56</f>
        <v>42017</v>
      </c>
      <c r="B1755" s="21">
        <f>+Dates!$D$12-56</f>
        <v>42017</v>
      </c>
      <c r="C1755" s="22" t="s">
        <v>1322</v>
      </c>
      <c r="D1755" s="23" t="s">
        <v>300</v>
      </c>
      <c r="E1755" s="24" t="s">
        <v>301</v>
      </c>
      <c r="F1755" s="24" t="s">
        <v>299</v>
      </c>
    </row>
    <row r="1756" spans="1:6" ht="129.75" customHeight="1" x14ac:dyDescent="0.2">
      <c r="A1756" s="21">
        <v>42018</v>
      </c>
      <c r="B1756" s="21">
        <v>42018</v>
      </c>
      <c r="C1756" s="22" t="s">
        <v>1501</v>
      </c>
      <c r="D1756" s="23" t="s">
        <v>450</v>
      </c>
      <c r="E1756" s="24" t="s">
        <v>303</v>
      </c>
      <c r="F1756" s="24" t="s">
        <v>305</v>
      </c>
    </row>
    <row r="1757" spans="1:6" ht="132" customHeight="1" x14ac:dyDescent="0.2">
      <c r="A1757" s="21">
        <v>42018</v>
      </c>
      <c r="B1757" s="21">
        <v>42018</v>
      </c>
      <c r="C1757" s="22" t="s">
        <v>1502</v>
      </c>
      <c r="D1757" s="23" t="s">
        <v>450</v>
      </c>
      <c r="E1757" s="24" t="s">
        <v>61</v>
      </c>
      <c r="F1757" s="24" t="s">
        <v>305</v>
      </c>
    </row>
    <row r="1758" spans="1:6" ht="122.25" customHeight="1" x14ac:dyDescent="0.2">
      <c r="A1758" s="21">
        <v>42018</v>
      </c>
      <c r="B1758" s="21">
        <v>42018</v>
      </c>
      <c r="C1758" s="22" t="s">
        <v>1503</v>
      </c>
      <c r="D1758" s="23" t="s">
        <v>450</v>
      </c>
      <c r="E1758" s="24" t="s">
        <v>80</v>
      </c>
      <c r="F1758" s="24" t="s">
        <v>305</v>
      </c>
    </row>
    <row r="1759" spans="1:6" ht="78.75" customHeight="1" x14ac:dyDescent="0.2">
      <c r="A1759" s="21">
        <f>+Dates!$D$29</f>
        <v>42023</v>
      </c>
      <c r="B1759" s="21">
        <f>+Dates!$D$29</f>
        <v>42023</v>
      </c>
      <c r="C1759" s="22" t="s">
        <v>398</v>
      </c>
      <c r="D1759" s="23" t="s">
        <v>293</v>
      </c>
      <c r="E1759" s="24" t="s">
        <v>294</v>
      </c>
      <c r="F1759" s="24" t="s">
        <v>294</v>
      </c>
    </row>
    <row r="1760" spans="1:6" ht="54.75" customHeight="1" x14ac:dyDescent="0.2">
      <c r="A1760" s="21">
        <v>42035</v>
      </c>
      <c r="B1760" s="21">
        <v>42035</v>
      </c>
      <c r="C1760" s="22" t="s">
        <v>1325</v>
      </c>
      <c r="D1760" s="23" t="s">
        <v>298</v>
      </c>
      <c r="E1760" s="24" t="s">
        <v>61</v>
      </c>
      <c r="F1760" s="24" t="s">
        <v>299</v>
      </c>
    </row>
    <row r="1761" spans="1:6" ht="63.75" customHeight="1" x14ac:dyDescent="0.2">
      <c r="A1761" s="21">
        <v>42035</v>
      </c>
      <c r="B1761" s="21">
        <v>42035</v>
      </c>
      <c r="C1761" s="22" t="s">
        <v>1326</v>
      </c>
      <c r="D1761" s="23" t="s">
        <v>298</v>
      </c>
      <c r="E1761" s="24" t="s">
        <v>135</v>
      </c>
      <c r="F1761" s="24" t="s">
        <v>299</v>
      </c>
    </row>
    <row r="1762" spans="1:6" ht="62.25" customHeight="1" x14ac:dyDescent="0.2">
      <c r="A1762" s="21">
        <v>42035</v>
      </c>
      <c r="B1762" s="21">
        <v>42035</v>
      </c>
      <c r="C1762" s="22" t="s">
        <v>1327</v>
      </c>
      <c r="D1762" s="23" t="s">
        <v>298</v>
      </c>
      <c r="E1762" s="24" t="s">
        <v>391</v>
      </c>
      <c r="F1762" s="24" t="s">
        <v>299</v>
      </c>
    </row>
    <row r="1763" spans="1:6" ht="60.75" customHeight="1" x14ac:dyDescent="0.2">
      <c r="A1763" s="21">
        <v>42035</v>
      </c>
      <c r="B1763" s="21">
        <v>42035</v>
      </c>
      <c r="C1763" s="22" t="s">
        <v>1328</v>
      </c>
      <c r="D1763" s="23" t="s">
        <v>298</v>
      </c>
      <c r="E1763" s="24" t="s">
        <v>80</v>
      </c>
      <c r="F1763" s="24" t="s">
        <v>299</v>
      </c>
    </row>
    <row r="1764" spans="1:6" ht="73.5" customHeight="1" x14ac:dyDescent="0.2">
      <c r="A1764" s="21">
        <v>42035</v>
      </c>
      <c r="B1764" s="21">
        <v>42035</v>
      </c>
      <c r="C1764" s="22" t="s">
        <v>1329</v>
      </c>
      <c r="D1764" s="23" t="s">
        <v>298</v>
      </c>
      <c r="E1764" s="24" t="s">
        <v>1062</v>
      </c>
      <c r="F1764" s="24" t="s">
        <v>299</v>
      </c>
    </row>
    <row r="1765" spans="1:6" ht="62.25" customHeight="1" x14ac:dyDescent="0.2">
      <c r="A1765" s="21">
        <v>42035</v>
      </c>
      <c r="B1765" s="21">
        <v>42035</v>
      </c>
      <c r="C1765" s="22" t="s">
        <v>1330</v>
      </c>
      <c r="D1765" s="23" t="s">
        <v>298</v>
      </c>
      <c r="E1765" s="24" t="s">
        <v>289</v>
      </c>
      <c r="F1765" s="24" t="s">
        <v>299</v>
      </c>
    </row>
    <row r="1766" spans="1:6" ht="75" customHeight="1" x14ac:dyDescent="0.2">
      <c r="A1766" s="21">
        <v>42035</v>
      </c>
      <c r="B1766" s="21">
        <v>42035</v>
      </c>
      <c r="C1766" s="22" t="s">
        <v>1331</v>
      </c>
      <c r="D1766" s="23" t="s">
        <v>298</v>
      </c>
      <c r="E1766" s="24" t="s">
        <v>291</v>
      </c>
      <c r="F1766" s="24" t="s">
        <v>299</v>
      </c>
    </row>
    <row r="1767" spans="1:6" ht="67.5" customHeight="1" x14ac:dyDescent="0.2">
      <c r="A1767" s="21">
        <v>42035</v>
      </c>
      <c r="B1767" s="21">
        <v>42035</v>
      </c>
      <c r="C1767" s="22" t="s">
        <v>1332</v>
      </c>
      <c r="D1767" s="23" t="s">
        <v>298</v>
      </c>
      <c r="E1767" s="24" t="s">
        <v>301</v>
      </c>
      <c r="F1767" s="24" t="s">
        <v>299</v>
      </c>
    </row>
    <row r="1768" spans="1:6" ht="69.75" customHeight="1" x14ac:dyDescent="0.2">
      <c r="A1768" s="21">
        <v>42035</v>
      </c>
      <c r="B1768" s="21">
        <v>42035</v>
      </c>
      <c r="C1768" s="22" t="s">
        <v>1333</v>
      </c>
      <c r="D1768" s="23" t="s">
        <v>298</v>
      </c>
      <c r="E1768" s="24" t="s">
        <v>297</v>
      </c>
      <c r="F1768" s="24" t="s">
        <v>299</v>
      </c>
    </row>
    <row r="1769" spans="1:6" ht="75.75" customHeight="1" x14ac:dyDescent="0.2">
      <c r="A1769" s="21">
        <v>42035</v>
      </c>
      <c r="B1769" s="21">
        <v>42035</v>
      </c>
      <c r="C1769" s="22" t="s">
        <v>1334</v>
      </c>
      <c r="D1769" s="23" t="s">
        <v>298</v>
      </c>
      <c r="E1769" s="24" t="s">
        <v>333</v>
      </c>
      <c r="F1769" s="24" t="s">
        <v>299</v>
      </c>
    </row>
    <row r="1770" spans="1:6" ht="75.75" customHeight="1" x14ac:dyDescent="0.2">
      <c r="A1770" s="21">
        <v>42035</v>
      </c>
      <c r="B1770" s="21">
        <v>42035</v>
      </c>
      <c r="C1770" s="22" t="s">
        <v>1335</v>
      </c>
      <c r="D1770" s="23" t="s">
        <v>298</v>
      </c>
      <c r="E1770" s="24" t="s">
        <v>160</v>
      </c>
      <c r="F1770" s="24" t="s">
        <v>299</v>
      </c>
    </row>
    <row r="1771" spans="1:6" ht="56.25" customHeight="1" x14ac:dyDescent="0.2">
      <c r="A1771" s="21">
        <v>42035</v>
      </c>
      <c r="B1771" s="21">
        <v>42035</v>
      </c>
      <c r="C1771" s="22" t="s">
        <v>1336</v>
      </c>
      <c r="D1771" s="23" t="s">
        <v>298</v>
      </c>
      <c r="E1771" s="24" t="s">
        <v>295</v>
      </c>
      <c r="F1771" s="24" t="s">
        <v>299</v>
      </c>
    </row>
    <row r="1772" spans="1:6" ht="96" customHeight="1" x14ac:dyDescent="0.2">
      <c r="A1772" s="21">
        <f>+Dates!$D$11+90</f>
        <v>42037</v>
      </c>
      <c r="B1772" s="21">
        <f>+Dates!$D$11+90</f>
        <v>42037</v>
      </c>
      <c r="C1772" s="22" t="s">
        <v>1337</v>
      </c>
      <c r="D1772" s="23" t="s">
        <v>304</v>
      </c>
      <c r="E1772" s="24" t="s">
        <v>61</v>
      </c>
      <c r="F1772" s="24" t="s">
        <v>305</v>
      </c>
    </row>
    <row r="1773" spans="1:6" ht="93" customHeight="1" x14ac:dyDescent="0.2">
      <c r="A1773" s="21">
        <f>+Dates!$D$11+90</f>
        <v>42037</v>
      </c>
      <c r="B1773" s="21">
        <f>+Dates!$D$11+90</f>
        <v>42037</v>
      </c>
      <c r="C1773" s="22" t="s">
        <v>1338</v>
      </c>
      <c r="D1773" s="23" t="s">
        <v>304</v>
      </c>
      <c r="E1773" s="24" t="s">
        <v>80</v>
      </c>
      <c r="F1773" s="24" t="s">
        <v>305</v>
      </c>
    </row>
    <row r="1774" spans="1:6" ht="153.75" customHeight="1" x14ac:dyDescent="0.2">
      <c r="A1774" s="21">
        <f>+Dates!$D$12-25</f>
        <v>42048</v>
      </c>
      <c r="B1774" s="21">
        <f>+Dates!$D$12-25</f>
        <v>42048</v>
      </c>
      <c r="C1774" s="22" t="s">
        <v>1905</v>
      </c>
      <c r="D1774" s="23" t="s">
        <v>1904</v>
      </c>
      <c r="E1774" s="24" t="s">
        <v>61</v>
      </c>
      <c r="F1774" s="24" t="s">
        <v>119</v>
      </c>
    </row>
    <row r="1775" spans="1:6" ht="141.75" customHeight="1" x14ac:dyDescent="0.2">
      <c r="A1775" s="21">
        <f>+Dates!$D$12-25</f>
        <v>42048</v>
      </c>
      <c r="B1775" s="21">
        <f>+Dates!$D$12-25</f>
        <v>42048</v>
      </c>
      <c r="C1775" s="22" t="s">
        <v>1906</v>
      </c>
      <c r="D1775" s="23" t="s">
        <v>1904</v>
      </c>
      <c r="E1775" s="24" t="s">
        <v>80</v>
      </c>
      <c r="F1775" s="24" t="s">
        <v>119</v>
      </c>
    </row>
    <row r="1776" spans="1:6" ht="160.5" customHeight="1" x14ac:dyDescent="0.2">
      <c r="A1776" s="21">
        <f>+Dates!$D$12-25</f>
        <v>42048</v>
      </c>
      <c r="B1776" s="21">
        <f>+Dates!$D$12-25</f>
        <v>42048</v>
      </c>
      <c r="C1776" s="22" t="s">
        <v>1907</v>
      </c>
      <c r="D1776" s="23" t="s">
        <v>1904</v>
      </c>
      <c r="E1776" s="24" t="s">
        <v>301</v>
      </c>
      <c r="F1776" s="24" t="s">
        <v>119</v>
      </c>
    </row>
    <row r="1777" spans="1:6" ht="93" customHeight="1" x14ac:dyDescent="0.2">
      <c r="A1777" s="21">
        <v>42051</v>
      </c>
      <c r="B1777" s="21">
        <v>42051</v>
      </c>
      <c r="C1777" s="22" t="s">
        <v>339</v>
      </c>
      <c r="D1777" s="23" t="s">
        <v>293</v>
      </c>
      <c r="E1777" s="24" t="s">
        <v>294</v>
      </c>
      <c r="F1777" s="24" t="s">
        <v>294</v>
      </c>
    </row>
    <row r="1778" spans="1:6" ht="93" customHeight="1" x14ac:dyDescent="0.2">
      <c r="A1778" s="21">
        <f>+Dates!$D$12-21</f>
        <v>42052</v>
      </c>
      <c r="B1778" s="21">
        <f>+Dates!$D$12-21</f>
        <v>42052</v>
      </c>
      <c r="C1778" s="22" t="s">
        <v>1788</v>
      </c>
      <c r="D1778" s="23" t="s">
        <v>335</v>
      </c>
      <c r="E1778" s="24" t="s">
        <v>61</v>
      </c>
      <c r="F1778" s="24" t="s">
        <v>195</v>
      </c>
    </row>
    <row r="1779" spans="1:6" ht="93" customHeight="1" x14ac:dyDescent="0.2">
      <c r="A1779" s="21">
        <f>+Dates!$D$12-21</f>
        <v>42052</v>
      </c>
      <c r="B1779" s="21">
        <f>+Dates!$D$12-21</f>
        <v>42052</v>
      </c>
      <c r="C1779" s="22" t="s">
        <v>1789</v>
      </c>
      <c r="D1779" s="23" t="s">
        <v>335</v>
      </c>
      <c r="E1779" s="24" t="s">
        <v>80</v>
      </c>
      <c r="F1779" s="24" t="s">
        <v>195</v>
      </c>
    </row>
    <row r="1780" spans="1:6" ht="93" customHeight="1" x14ac:dyDescent="0.2">
      <c r="A1780" s="21">
        <f>+Dates!$D$12-21</f>
        <v>42052</v>
      </c>
      <c r="B1780" s="21">
        <f>+Dates!$D$12-21</f>
        <v>42052</v>
      </c>
      <c r="C1780" s="22" t="s">
        <v>1790</v>
      </c>
      <c r="D1780" s="23" t="s">
        <v>335</v>
      </c>
      <c r="E1780" s="24" t="s">
        <v>301</v>
      </c>
      <c r="F1780" s="24" t="s">
        <v>195</v>
      </c>
    </row>
    <row r="1781" spans="1:6" ht="141.75" customHeight="1" x14ac:dyDescent="0.2">
      <c r="A1781" s="21">
        <v>42062</v>
      </c>
      <c r="B1781" s="21">
        <v>42062</v>
      </c>
      <c r="C1781" s="22" t="s">
        <v>1884</v>
      </c>
      <c r="D1781" s="23" t="s">
        <v>427</v>
      </c>
      <c r="E1781" s="24" t="s">
        <v>303</v>
      </c>
      <c r="F1781" s="24" t="s">
        <v>195</v>
      </c>
    </row>
    <row r="1782" spans="1:6" ht="153" customHeight="1" x14ac:dyDescent="0.2">
      <c r="A1782" s="21">
        <v>42062</v>
      </c>
      <c r="B1782" s="21">
        <v>42062</v>
      </c>
      <c r="C1782" s="22" t="s">
        <v>1885</v>
      </c>
      <c r="D1782" s="23" t="s">
        <v>427</v>
      </c>
      <c r="E1782" s="24" t="s">
        <v>61</v>
      </c>
      <c r="F1782" s="24" t="s">
        <v>195</v>
      </c>
    </row>
    <row r="1783" spans="1:6" ht="140.25" customHeight="1" x14ac:dyDescent="0.2">
      <c r="A1783" s="21">
        <v>42062</v>
      </c>
      <c r="B1783" s="21">
        <v>42062</v>
      </c>
      <c r="C1783" s="22" t="s">
        <v>1886</v>
      </c>
      <c r="D1783" s="23" t="s">
        <v>427</v>
      </c>
      <c r="E1783" s="24" t="s">
        <v>80</v>
      </c>
      <c r="F1783" s="24" t="s">
        <v>195</v>
      </c>
    </row>
    <row r="1784" spans="1:6" ht="67.5" customHeight="1" x14ac:dyDescent="0.2">
      <c r="A1784" s="21">
        <f>+Dates!$D$12</f>
        <v>42073</v>
      </c>
      <c r="B1784" s="21">
        <f>+Dates!$D$12</f>
        <v>42073</v>
      </c>
      <c r="C1784" s="22" t="s">
        <v>207</v>
      </c>
      <c r="D1784" s="23" t="s">
        <v>176</v>
      </c>
      <c r="E1784" s="24" t="s">
        <v>61</v>
      </c>
      <c r="F1784" s="24" t="s">
        <v>111</v>
      </c>
    </row>
    <row r="1785" spans="1:6" ht="66" customHeight="1" x14ac:dyDescent="0.2">
      <c r="A1785" s="21">
        <f>+Dates!$D$12</f>
        <v>42073</v>
      </c>
      <c r="B1785" s="21">
        <f>+Dates!$D$12</f>
        <v>42073</v>
      </c>
      <c r="C1785" s="22" t="s">
        <v>208</v>
      </c>
      <c r="D1785" s="23" t="s">
        <v>176</v>
      </c>
      <c r="E1785" s="24" t="s">
        <v>135</v>
      </c>
      <c r="F1785" s="24" t="s">
        <v>111</v>
      </c>
    </row>
    <row r="1786" spans="1:6" ht="58.5" customHeight="1" x14ac:dyDescent="0.2">
      <c r="A1786" s="21">
        <f>+Dates!$D$12</f>
        <v>42073</v>
      </c>
      <c r="B1786" s="21">
        <f>+Dates!$D$12</f>
        <v>42073</v>
      </c>
      <c r="C1786" s="22" t="s">
        <v>1377</v>
      </c>
      <c r="D1786" s="23" t="s">
        <v>176</v>
      </c>
      <c r="E1786" s="24" t="s">
        <v>391</v>
      </c>
      <c r="F1786" s="24" t="s">
        <v>111</v>
      </c>
    </row>
    <row r="1787" spans="1:6" ht="61.5" customHeight="1" x14ac:dyDescent="0.2">
      <c r="A1787" s="21">
        <f>+Dates!$D$12</f>
        <v>42073</v>
      </c>
      <c r="B1787" s="21">
        <f>+Dates!$D$12</f>
        <v>42073</v>
      </c>
      <c r="C1787" s="22" t="s">
        <v>536</v>
      </c>
      <c r="D1787" s="23" t="s">
        <v>176</v>
      </c>
      <c r="E1787" s="24" t="s">
        <v>80</v>
      </c>
      <c r="F1787" s="24" t="s">
        <v>111</v>
      </c>
    </row>
    <row r="1788" spans="1:6" ht="75" customHeight="1" x14ac:dyDescent="0.2">
      <c r="A1788" s="21">
        <f>+Dates!$D$12</f>
        <v>42073</v>
      </c>
      <c r="B1788" s="21">
        <f>+Dates!$D$12</f>
        <v>42073</v>
      </c>
      <c r="C1788" s="22" t="s">
        <v>1378</v>
      </c>
      <c r="D1788" s="23" t="s">
        <v>176</v>
      </c>
      <c r="E1788" s="24" t="s">
        <v>1062</v>
      </c>
      <c r="F1788" s="24" t="s">
        <v>111</v>
      </c>
    </row>
    <row r="1789" spans="1:6" ht="60" customHeight="1" x14ac:dyDescent="0.2">
      <c r="A1789" s="21">
        <f>+Dates!$D$12</f>
        <v>42073</v>
      </c>
      <c r="B1789" s="21">
        <f>+Dates!$D$12</f>
        <v>42073</v>
      </c>
      <c r="C1789" s="22" t="s">
        <v>175</v>
      </c>
      <c r="D1789" s="23" t="s">
        <v>176</v>
      </c>
      <c r="E1789" s="24" t="s">
        <v>301</v>
      </c>
      <c r="F1789" s="24" t="s">
        <v>111</v>
      </c>
    </row>
    <row r="1790" spans="1:6" ht="75" customHeight="1" x14ac:dyDescent="0.2">
      <c r="A1790" s="21">
        <f>+Dates!$D$12</f>
        <v>42073</v>
      </c>
      <c r="B1790" s="21">
        <f>+Dates!$D$12</f>
        <v>42073</v>
      </c>
      <c r="C1790" s="22" t="s">
        <v>1383</v>
      </c>
      <c r="D1790" s="23" t="s">
        <v>176</v>
      </c>
      <c r="E1790" s="24" t="s">
        <v>333</v>
      </c>
      <c r="F1790" s="24" t="s">
        <v>111</v>
      </c>
    </row>
    <row r="1791" spans="1:6" ht="75.75" customHeight="1" x14ac:dyDescent="0.2">
      <c r="A1791" s="21">
        <f>+Dates!$D$12</f>
        <v>42073</v>
      </c>
      <c r="B1791" s="21">
        <f>+Dates!$D$12</f>
        <v>42073</v>
      </c>
      <c r="C1791" s="22" t="s">
        <v>1384</v>
      </c>
      <c r="D1791" s="23" t="s">
        <v>176</v>
      </c>
      <c r="E1791" s="24" t="s">
        <v>160</v>
      </c>
      <c r="F1791" s="24" t="s">
        <v>111</v>
      </c>
    </row>
    <row r="1792" spans="1:6" ht="79.5" customHeight="1" x14ac:dyDescent="0.2">
      <c r="A1792" s="21">
        <f>+Dates!$D$12</f>
        <v>42073</v>
      </c>
      <c r="B1792" s="21">
        <f>+Dates!$D$12</f>
        <v>42073</v>
      </c>
      <c r="C1792" s="22" t="s">
        <v>1379</v>
      </c>
      <c r="D1792" s="23" t="s">
        <v>176</v>
      </c>
      <c r="E1792" s="24" t="s">
        <v>295</v>
      </c>
      <c r="F1792" s="24" t="s">
        <v>111</v>
      </c>
    </row>
  </sheetData>
  <autoFilter ref="E25:F1792"/>
  <customSheetViews>
    <customSheetView guid="{AF05579C-59D0-4F4D-8ED6-E846AF6F886E}" scale="60" showPageBreaks="1" printArea="1" showAutoFilter="1">
      <selection activeCell="A2" sqref="A2"/>
      <pageMargins left="0.25" right="0.25" top="0.75" bottom="0.75" header="0.5" footer="0.5"/>
      <pageSetup scale="93" orientation="landscape" r:id="rId1"/>
      <headerFooter alignWithMargins="0">
        <oddFooter>Page &amp;P of &amp;N</oddFooter>
      </headerFooter>
      <autoFilter ref="E25:F1792"/>
    </customSheetView>
    <customSheetView guid="{30D18750-0A40-470A-8C22-C58298CCAE3D}" showAutoFilter="1" topLeftCell="A631">
      <selection activeCell="A635" sqref="A635"/>
      <pageMargins left="0.25" right="0.25" top="0.75" bottom="0.75" header="0.5" footer="0.5"/>
      <pageSetup orientation="landscape" r:id="rId2"/>
      <headerFooter alignWithMargins="0">
        <oddFooter>Page &amp;P of &amp;N</oddFooter>
      </headerFooter>
      <autoFilter ref="B1:C1"/>
    </customSheetView>
    <customSheetView guid="{4CD37756-88F7-4A0C-8770-471EE52F0DF3}" printArea="1" showAutoFilter="1" showRuler="0">
      <selection activeCell="B1179" sqref="B1179"/>
      <pageMargins left="0.25" right="0.25" top="0.75" bottom="0.75" header="0.5" footer="0.5"/>
      <pageSetup orientation="landscape" r:id="rId3"/>
      <headerFooter alignWithMargins="0">
        <oddFooter>Page &amp;P of &amp;N</oddFooter>
      </headerFooter>
      <autoFilter ref="B1:D1"/>
    </customSheetView>
    <customSheetView guid="{C3D592C8-E09B-46A0-B7A0-269FE31F7F4F}" printArea="1" showAutoFilter="1" showRuler="0" topLeftCell="A577">
      <selection activeCell="C582" sqref="C582"/>
      <pageMargins left="0.25" right="0.25" top="0.75" bottom="0.75" header="0.5" footer="0.5"/>
      <pageSetup orientation="landscape" r:id="rId4"/>
      <headerFooter alignWithMargins="0">
        <oddFooter>Page &amp;P of &amp;N</oddFooter>
      </headerFooter>
      <autoFilter ref="B1:D1"/>
    </customSheetView>
    <customSheetView guid="{E031DE5B-75C1-4BA9-A517-8F9FA84EB332}" showPageBreaks="1" printArea="1" showAutoFilter="1" showRuler="0">
      <selection activeCell="E25" sqref="E25:F25"/>
      <pageMargins left="0.25" right="0.25" top="0.75" bottom="0.75" header="0.5" footer="0.5"/>
      <pageSetup orientation="landscape" r:id="rId5"/>
      <headerFooter alignWithMargins="0">
        <oddFooter>Page &amp;P of &amp;N</oddFooter>
      </headerFooter>
      <autoFilter ref="B1:C1"/>
    </customSheetView>
    <customSheetView guid="{CB6906BD-AF04-46E9-A0FF-483553DCAC96}" scale="60" showPageBreaks="1" printArea="1" showAutoFilter="1" view="pageBreakPreview" topLeftCell="A1210">
      <selection activeCell="A1213" sqref="A1213"/>
      <pageMargins left="0.25" right="0.25" top="0.75" bottom="0.75" header="0.5" footer="0.5"/>
      <pageSetup scale="90" orientation="landscape" r:id="rId6"/>
      <headerFooter alignWithMargins="0">
        <oddFooter>Page &amp;P of &amp;N</oddFooter>
      </headerFooter>
      <autoFilter ref="B1:C1"/>
    </customSheetView>
  </customSheetViews>
  <mergeCells count="12">
    <mergeCell ref="A23:F23"/>
    <mergeCell ref="A15:F15"/>
    <mergeCell ref="A17:F17"/>
    <mergeCell ref="A19:F19"/>
    <mergeCell ref="A21:F21"/>
    <mergeCell ref="A1:F1"/>
    <mergeCell ref="A9:F9"/>
    <mergeCell ref="A11:F11"/>
    <mergeCell ref="A13:F13"/>
    <mergeCell ref="A3:F3"/>
    <mergeCell ref="A5:F5"/>
    <mergeCell ref="A7:F7"/>
  </mergeCells>
  <phoneticPr fontId="1" type="noConversion"/>
  <pageMargins left="0.25" right="0.25" top="0.75" bottom="0.75" header="0.5" footer="0.5"/>
  <pageSetup scale="93" orientation="landscape" r:id="rId7"/>
  <headerFooter alignWithMargins="0">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topLeftCell="A20" workbookViewId="0">
      <selection activeCell="B54" sqref="B54"/>
    </sheetView>
  </sheetViews>
  <sheetFormatPr defaultRowHeight="12.75" x14ac:dyDescent="0.2"/>
  <cols>
    <col min="1" max="2" width="25.7109375" customWidth="1"/>
    <col min="3" max="3" width="49.7109375" customWidth="1"/>
    <col min="4" max="4" width="15.7109375" customWidth="1"/>
    <col min="5" max="6" width="9.7109375" customWidth="1"/>
  </cols>
  <sheetData>
    <row r="1" spans="1:6" ht="20.25" customHeight="1" x14ac:dyDescent="0.2">
      <c r="A1" s="18"/>
      <c r="B1" s="18"/>
      <c r="C1" s="18"/>
      <c r="D1" s="18"/>
      <c r="E1" s="18"/>
      <c r="F1" s="18"/>
    </row>
    <row r="3" spans="1:6" ht="80.099999999999994" customHeight="1" x14ac:dyDescent="0.2">
      <c r="A3" t="s">
        <v>31</v>
      </c>
      <c r="B3" t="s">
        <v>32</v>
      </c>
      <c r="C3" t="s">
        <v>32</v>
      </c>
    </row>
    <row r="5" spans="1:6" ht="30" customHeight="1" x14ac:dyDescent="0.2"/>
    <row r="7" spans="1:6" ht="30" customHeight="1" x14ac:dyDescent="0.2"/>
    <row r="9" spans="1:6" ht="50.1" customHeight="1" x14ac:dyDescent="0.2"/>
    <row r="11" spans="1:6" ht="95.1" customHeight="1" x14ac:dyDescent="0.2"/>
    <row r="13" spans="1:6" ht="35.1" customHeight="1" x14ac:dyDescent="0.2"/>
    <row r="15" spans="1:6" ht="15.75" customHeight="1" x14ac:dyDescent="0.2"/>
    <row r="17" spans="1:6" ht="80.099999999999994" customHeight="1" x14ac:dyDescent="0.2"/>
    <row r="19" spans="1:6" ht="90" customHeight="1" x14ac:dyDescent="0.2"/>
    <row r="21" spans="1:6" ht="69.95" customHeight="1" x14ac:dyDescent="0.2"/>
    <row r="23" spans="1:6" ht="99.95" customHeight="1" x14ac:dyDescent="0.2"/>
    <row r="28" spans="1:6" ht="15.75" x14ac:dyDescent="0.2">
      <c r="A28" s="7" t="s">
        <v>282</v>
      </c>
      <c r="B28" s="3" t="s">
        <v>283</v>
      </c>
      <c r="C28" s="4" t="s">
        <v>284</v>
      </c>
      <c r="D28" s="5" t="s">
        <v>285</v>
      </c>
      <c r="E28" s="6" t="s">
        <v>286</v>
      </c>
      <c r="F28" s="6" t="s">
        <v>287</v>
      </c>
    </row>
  </sheetData>
  <customSheetViews>
    <customSheetView guid="{AF05579C-59D0-4F4D-8ED6-E846AF6F886E}" showPageBreaks="1" topLeftCell="A20">
      <selection activeCell="B54" sqref="B54"/>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A25" sqref="A25"/>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A25" sqref="A25"/>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A25" sqref="A25"/>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A25" sqref="A25"/>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C17" sqref="C17"/>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C17" sqref="C17"/>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A25" sqref="A25"/>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C17" sqref="C17"/>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C17" sqref="C17"/>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B17" sqref="B17"/>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A25" sqref="A25"/>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A25" sqref="A25"/>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A25" sqref="A25"/>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A25" sqref="A25"/>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A25" sqref="A25"/>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A25" sqref="A25"/>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A25" sqref="A25"/>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A25" sqref="A25"/>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A25" sqref="A25"/>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C17" sqref="C17"/>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election activeCell="C17" sqref="C17"/>
      <pageMargins left="0.25" right="0.25" top="0.5" bottom="0.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5" header="0.5" footer="0.5"/>
      <pageSetup orientation="landscape" r:id="rId5"/>
      <headerFooter alignWithMargins="0">
        <oddFooter>Page &amp;P of &amp;N</oddFooter>
      </headerFooter>
    </customSheetView>
    <customSheetView guid="{CB6906BD-AF04-46E9-A0FF-483553DCAC96}">
      <selection activeCell="A25" sqref="A25"/>
      <pageMargins left="0.25" right="0.25" top="0.5" bottom="0.5" header="0.5" footer="0.5"/>
      <pageSetup orientation="landscape" r:id="rId6"/>
      <headerFooter alignWithMargins="0">
        <oddFooter>Page &amp;P of &amp;N</oddFooter>
      </headerFooter>
    </customSheetView>
  </customSheetViews>
  <phoneticPr fontId="1" type="noConversion"/>
  <pageMargins left="0.25" right="0.25" top="0.5" bottom="0.5" header="0.5" footer="0.5"/>
  <pageSetup orientation="landscape" r:id="rId7"/>
  <headerFooter alignWithMargins="0">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A25" sqref="A25"/>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A25" sqref="A25"/>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A25" sqref="A25"/>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A25" sqref="A25"/>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A25" sqref="A25"/>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A25" sqref="A25"/>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A25" sqref="A25"/>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A25" sqref="A25"/>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A25" sqref="A25"/>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C17" sqref="C17"/>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C17" sqref="C17"/>
      <pageMargins left="0.25" right="0.25" top="0.5" bottom="0.75" header="0.5" footer="0.5"/>
      <pageSetup orientation="landscape" r:id="rId1"/>
      <headerFooter alignWithMargins="0">
        <oddFooter>Page &amp;P of &amp;N</oddFooter>
      </headerFooter>
    </customSheetView>
    <customSheetView guid="{30D18750-0A40-470A-8C22-C58298CCAE3D}">
      <selection sqref="A1:F1"/>
      <pageMargins left="0.25" right="0.25" top="0.5" bottom="0.75" header="0.5" footer="0.5"/>
      <pageSetup orientation="landscape" r:id="rId2"/>
      <headerFooter alignWithMargins="0">
        <oddFooter>Page &amp;P of &amp;N</oddFooter>
      </headerFooter>
    </customSheetView>
    <customSheetView guid="{4CD37756-88F7-4A0C-8770-471EE52F0DF3}" showRuler="0">
      <selection sqref="A1:F1"/>
      <pageMargins left="0.25" right="0.25" top="0.5" bottom="0.75" header="0.5" footer="0.5"/>
      <pageSetup orientation="landscape" r:id="rId3"/>
      <headerFooter alignWithMargins="0">
        <oddFooter>Page &amp;P of &amp;N</oddFooter>
      </headerFooter>
    </customSheetView>
    <customSheetView guid="{C3D592C8-E09B-46A0-B7A0-269FE31F7F4F}" showRuler="0">
      <selection sqref="A1:F1"/>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sqref="A1:F1"/>
      <pageMargins left="0.25" right="0.25" top="0.5" bottom="0.75" header="0.5" footer="0.5"/>
      <pageSetup orientation="landscape" r:id="rId5"/>
      <headerFooter alignWithMargins="0">
        <oddFooter>Page &amp;P of &amp;N</oddFooter>
      </headerFooter>
    </customSheetView>
    <customSheetView guid="{CB6906BD-AF04-46E9-A0FF-483553DCAC96}" showPageBreaks="1">
      <selection sqref="A1:F1"/>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topLeftCell="A19" workbookViewId="0">
      <selection sqref="A1:F47"/>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topLeftCell="A19">
      <selection sqref="A1:F47"/>
      <pageMargins left="0.25" right="0.25" top="0.5" bottom="0.75" header="0.5" footer="0.5"/>
      <pageSetup orientation="landscape" r:id="rId1"/>
      <headerFooter alignWithMargins="0">
        <oddFooter>Page &amp;P of &amp;N</oddFooter>
      </headerFooter>
    </customSheetView>
    <customSheetView guid="{30D18750-0A40-470A-8C22-C58298CCAE3D}" topLeftCell="A19">
      <selection sqref="A1:F47"/>
      <pageMargins left="0.25" right="0.25" top="0.5" bottom="0.75" header="0.5" footer="0.5"/>
      <pageSetup orientation="landscape" r:id="rId2"/>
      <headerFooter alignWithMargins="0">
        <oddFooter>Page &amp;P of &amp;N</oddFooter>
      </headerFooter>
    </customSheetView>
    <customSheetView guid="{4CD37756-88F7-4A0C-8770-471EE52F0DF3}" showRuler="0" topLeftCell="A19">
      <selection sqref="A1:F47"/>
      <pageMargins left="0.25" right="0.25" top="0.5" bottom="0.75" header="0.5" footer="0.5"/>
      <pageSetup orientation="landscape" r:id="rId3"/>
      <headerFooter alignWithMargins="0">
        <oddFooter>Page &amp;P of &amp;N</oddFooter>
      </headerFooter>
    </customSheetView>
    <customSheetView guid="{C3D592C8-E09B-46A0-B7A0-269FE31F7F4F}" showRuler="0" topLeftCell="A19">
      <selection sqref="A1:F47"/>
      <pageMargins left="0.25" right="0.25" top="0.5" bottom="0.75" header="0.5" footer="0.5"/>
      <pageSetup orientation="landscape" r:id="rId4"/>
      <headerFooter alignWithMargins="0">
        <oddFooter>Page &amp;P of &amp;N</oddFooter>
      </headerFooter>
    </customSheetView>
    <customSheetView guid="{E031DE5B-75C1-4BA9-A517-8F9FA84EB332}" showPageBreaks="1" showRuler="0" topLeftCell="A19">
      <selection sqref="A1:F47"/>
      <pageMargins left="0.25" right="0.25" top="0.5" bottom="0.75" header="0.5" footer="0.5"/>
      <pageSetup orientation="landscape" r:id="rId5"/>
      <headerFooter alignWithMargins="0">
        <oddFooter>Page &amp;P of &amp;N</oddFooter>
      </headerFooter>
    </customSheetView>
    <customSheetView guid="{CB6906BD-AF04-46E9-A0FF-483553DCAC96}" showPageBreaks="1" topLeftCell="A19">
      <selection sqref="A1:F47"/>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9" sqref="E9"/>
    </sheetView>
  </sheetViews>
  <sheetFormatPr defaultRowHeight="12.75" x14ac:dyDescent="0.2"/>
  <sheetData/>
  <customSheetViews>
    <customSheetView guid="{AF05579C-59D0-4F4D-8ED6-E846AF6F886E}">
      <selection activeCell="E9" sqref="E9"/>
      <pageMargins left="0.75" right="0.75" top="1" bottom="1" header="0.5" footer="0.5"/>
      <headerFooter alignWithMargins="0"/>
    </customSheetView>
    <customSheetView guid="{30D18750-0A40-470A-8C22-C58298CCAE3D}">
      <selection activeCell="E9" sqref="E9"/>
      <pageMargins left="0.75" right="0.75" top="1" bottom="1" header="0.5" footer="0.5"/>
      <headerFooter alignWithMargins="0"/>
    </customSheetView>
    <customSheetView guid="{4CD37756-88F7-4A0C-8770-471EE52F0DF3}" showRuler="0">
      <selection activeCell="E9" sqref="E9"/>
      <pageMargins left="0.75" right="0.75" top="1" bottom="1" header="0.5" footer="0.5"/>
      <headerFooter alignWithMargins="0"/>
    </customSheetView>
    <customSheetView guid="{C3D592C8-E09B-46A0-B7A0-269FE31F7F4F}" showRuler="0">
      <selection activeCell="E9" sqref="E9"/>
      <pageMargins left="0.75" right="0.75" top="1" bottom="1" header="0.5" footer="0.5"/>
      <headerFooter alignWithMargins="0"/>
    </customSheetView>
    <customSheetView guid="{E031DE5B-75C1-4BA9-A517-8F9FA84EB332}" showRuler="0">
      <selection activeCell="E9" sqref="E9"/>
      <pageMargins left="0.75" right="0.75" top="1" bottom="1" header="0.5" footer="0.5"/>
      <headerFooter alignWithMargins="0"/>
    </customSheetView>
    <customSheetView guid="{CB6906BD-AF04-46E9-A0FF-483553DCAC96}">
      <selection activeCell="E9" sqref="E9"/>
      <pageMargins left="0.75" right="0.75" top="1" bottom="1" header="0.5" footer="0.5"/>
      <headerFooter alignWithMargins="0"/>
    </customSheetView>
  </customSheetViews>
  <phoneticPr fontId="1" type="noConversion"/>
  <pageMargins left="0.75" right="0.75" top="1" bottom="1" header="0.5" footer="0.5"/>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customSheetViews>
    <customSheetView guid="{AF05579C-59D0-4F4D-8ED6-E846AF6F886E}">
      <pageMargins left="0.75" right="0.75" top="1" bottom="1" header="0.5" footer="0.5"/>
      <headerFooter alignWithMargins="0"/>
    </customSheetView>
    <customSheetView guid="{30D18750-0A40-470A-8C22-C58298CCAE3D}">
      <pageMargins left="0.75" right="0.75" top="1" bottom="1" header="0.5" footer="0.5"/>
      <headerFooter alignWithMargins="0"/>
    </customSheetView>
    <customSheetView guid="{4CD37756-88F7-4A0C-8770-471EE52F0DF3}" showRuler="0">
      <pageMargins left="0.75" right="0.75" top="1" bottom="1" header="0.5" footer="0.5"/>
      <headerFooter alignWithMargins="0"/>
    </customSheetView>
    <customSheetView guid="{C3D592C8-E09B-46A0-B7A0-269FE31F7F4F}" showRuler="0">
      <pageMargins left="0.75" right="0.75" top="1" bottom="1" header="0.5" footer="0.5"/>
      <headerFooter alignWithMargins="0"/>
    </customSheetView>
    <customSheetView guid="{E031DE5B-75C1-4BA9-A517-8F9FA84EB332}" showRuler="0">
      <pageMargins left="0.75" right="0.75" top="1" bottom="1" header="0.5" footer="0.5"/>
      <headerFooter alignWithMargins="0"/>
    </customSheetView>
    <customSheetView guid="{CB6906BD-AF04-46E9-A0FF-483553DCAC96}">
      <pageMargins left="0.75" right="0.75" top="1" bottom="1" header="0.5" footer="0.5"/>
      <headerFooter alignWithMargins="0"/>
    </customSheetView>
  </customSheetViews>
  <phoneticPr fontId="1" type="noConversion"/>
  <pageMargins left="0.75" right="0.75" top="1" bottom="1" header="0.5" footer="0.5"/>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41" sqref="I41"/>
    </sheetView>
  </sheetViews>
  <sheetFormatPr defaultRowHeight="12.75" x14ac:dyDescent="0.2"/>
  <sheetData/>
  <customSheetViews>
    <customSheetView guid="{AF05579C-59D0-4F4D-8ED6-E846AF6F886E}">
      <selection activeCell="I41" sqref="I41"/>
      <pageMargins left="0.75" right="0.75" top="1" bottom="1" header="0.5" footer="0.5"/>
      <headerFooter alignWithMargins="0"/>
    </customSheetView>
    <customSheetView guid="{30D18750-0A40-470A-8C22-C58298CCAE3D}">
      <pageMargins left="0.75" right="0.75" top="1" bottom="1" header="0.5" footer="0.5"/>
      <headerFooter alignWithMargins="0"/>
    </customSheetView>
    <customSheetView guid="{4CD37756-88F7-4A0C-8770-471EE52F0DF3}" showRuler="0">
      <pageMargins left="0.75" right="0.75" top="1" bottom="1" header="0.5" footer="0.5"/>
      <headerFooter alignWithMargins="0"/>
    </customSheetView>
    <customSheetView guid="{C3D592C8-E09B-46A0-B7A0-269FE31F7F4F}" showRuler="0">
      <pageMargins left="0.75" right="0.75" top="1" bottom="1" header="0.5" footer="0.5"/>
      <headerFooter alignWithMargins="0"/>
    </customSheetView>
    <customSheetView guid="{E031DE5B-75C1-4BA9-A517-8F9FA84EB332}" showRuler="0">
      <pageMargins left="0.75" right="0.75" top="1" bottom="1" header="0.5" footer="0.5"/>
      <headerFooter alignWithMargins="0"/>
    </customSheetView>
    <customSheetView guid="{CB6906BD-AF04-46E9-A0FF-483553DCAC96}">
      <pageMargins left="0.75" right="0.75" top="1" bottom="1" header="0.5" footer="0.5"/>
      <headerFooter alignWithMargins="0"/>
    </customSheetView>
  </customSheetViews>
  <phoneticPr fontId="1" type="noConversion"/>
  <pageMargins left="0.75" right="0.75" top="1" bottom="1" header="0.5" footer="0.5"/>
  <headerFooter alignWithMargins="0"/>
</worksheet>
</file>

<file path=xl/worksheets/wsSortMap1.xml><?xml version="1.0" encoding="utf-8"?>
<worksheetSortMap xmlns="http://schemas.microsoft.com/office/excel/2006/main">
  <rowSortMap ref="A26:IV1825" count="1607">
    <row newVal="25" oldVal="117"/>
    <row newVal="26" oldVal="118"/>
    <row newVal="27" oldVal="119"/>
    <row newVal="28" oldVal="120"/>
    <row newVal="29" oldVal="126"/>
    <row newVal="30" oldVal="127"/>
    <row newVal="31" oldVal="131"/>
    <row newVal="32" oldVal="134"/>
    <row newVal="33" oldVal="135"/>
    <row newVal="34" oldVal="138"/>
    <row newVal="35" oldVal="139"/>
    <row newVal="36" oldVal="199"/>
    <row newVal="37" oldVal="27"/>
    <row newVal="38" oldVal="28"/>
    <row newVal="39" oldVal="29"/>
    <row newVal="40" oldVal="30"/>
    <row newVal="41" oldVal="31"/>
    <row newVal="42" oldVal="32"/>
    <row newVal="43" oldVal="42"/>
    <row newVal="44" oldVal="43"/>
    <row newVal="45" oldVal="204"/>
    <row newVal="46" oldVal="322"/>
    <row newVal="47" oldVal="336"/>
    <row newVal="48" oldVal="328"/>
    <row newVal="49" oldVal="327"/>
    <row newVal="50" oldVal="329"/>
    <row newVal="51" oldVal="342"/>
    <row newVal="53" oldVal="34"/>
    <row newVal="54" oldVal="330"/>
    <row newVal="55" oldVal="35"/>
    <row newVal="56" oldVal="36"/>
    <row newVal="58" oldVal="355"/>
    <row newVal="59" oldVal="662"/>
    <row newVal="62" oldVal="357"/>
    <row newVal="63" oldVal="362"/>
    <row newVal="64" oldVal="363"/>
    <row newVal="65" oldVal="38"/>
    <row newVal="66" oldVal="39"/>
    <row newVal="67" oldVal="40"/>
    <row newVal="68" oldVal="366"/>
    <row newVal="69" oldVal="382"/>
    <row newVal="70" oldVal="397"/>
    <row newVal="71" oldVal="395"/>
    <row newVal="72" oldVal="387"/>
    <row newVal="73" oldVal="72"/>
    <row newVal="76" oldVal="73"/>
    <row newVal="78" oldVal="76"/>
    <row newVal="79" oldVal="78"/>
    <row newVal="80" oldVal="79"/>
    <row newVal="81" oldVal="80"/>
    <row newVal="82" oldVal="81"/>
    <row newVal="83" oldVal="82"/>
    <row newVal="85" oldVal="83"/>
    <row newVal="86" oldVal="85"/>
    <row newVal="87" oldVal="86"/>
    <row newVal="88" oldVal="87"/>
    <row newVal="89" oldVal="396"/>
    <row newVal="90" oldVal="398"/>
    <row newVal="91" oldVal="392"/>
    <row newVal="92" oldVal="399"/>
    <row newVal="93" oldVal="400"/>
    <row newVal="94" oldVal="417"/>
    <row newVal="95" oldVal="345"/>
    <row newVal="96" oldVal="347"/>
    <row newVal="97" oldVal="421"/>
    <row newVal="99" oldVal="422"/>
    <row newVal="100" oldVal="423"/>
    <row newVal="101" oldVal="431"/>
    <row newVal="102" oldVal="434"/>
    <row newVal="103" oldVal="471"/>
    <row newVal="104" oldVal="472"/>
    <row newVal="105" oldVal="473"/>
    <row newVal="106" oldVal="474"/>
    <row newVal="109" oldVal="94"/>
    <row newVal="110" oldVal="95"/>
    <row newVal="111" oldVal="93"/>
    <row newVal="112" oldVal="475"/>
    <row newVal="113" oldVal="476"/>
    <row newVal="114" oldVal="789"/>
    <row newVal="115" oldVal="478"/>
    <row newVal="116" oldVal="482"/>
    <row newVal="117" oldVal="790"/>
    <row newVal="118" oldVal="697"/>
    <row newVal="119" oldVal="710"/>
    <row newVal="120" oldVal="737"/>
    <row newVal="121" oldVal="738"/>
    <row newVal="122" oldVal="690"/>
    <row newVal="124" oldVal="695"/>
    <row newVal="125" oldVal="1277"/>
    <row newVal="126" oldVal="1276"/>
    <row newVal="127" oldVal="54"/>
    <row newVal="128" oldVal="55"/>
    <row newVal="129" oldVal="1684"/>
    <row newVal="130" oldVal="58"/>
    <row newVal="131" oldVal="59"/>
    <row newVal="132" oldVal="1748"/>
    <row newVal="133" oldVal="62"/>
    <row newVal="134" oldVal="63"/>
    <row newVal="135" oldVal="1796"/>
    <row newVal="136" oldVal="64"/>
    <row newVal="137" oldVal="65"/>
    <row newVal="138" oldVal="1820"/>
    <row newVal="139" oldVal="66"/>
    <row newVal="140" oldVal="113"/>
    <row newVal="141" oldVal="114"/>
    <row newVal="142" oldVal="115"/>
    <row newVal="143" oldVal="67"/>
    <row newVal="144" oldVal="1822"/>
    <row newVal="145" oldVal="69"/>
    <row newVal="146" oldVal="70"/>
    <row newVal="147" oldVal="1824"/>
    <row newVal="148" oldVal="71"/>
    <row newVal="149" oldVal="89"/>
    <row newVal="150" oldVal="90"/>
    <row newVal="151" oldVal="68"/>
    <row newVal="152" oldVal="92"/>
    <row newVal="153" oldVal="25"/>
    <row newVal="154" oldVal="96"/>
    <row newVal="155" oldVal="152"/>
    <row newVal="156" oldVal="153"/>
    <row newVal="160" oldVal="154"/>
    <row newVal="162" oldVal="102"/>
    <row newVal="163" oldVal="103"/>
    <row newVal="164" oldVal="26"/>
    <row newVal="165" oldVal="109"/>
    <row newVal="166" oldVal="37"/>
    <row newVal="167" oldVal="110"/>
    <row newVal="169" oldVal="111"/>
    <row newVal="172" oldVal="112"/>
    <row newVal="173" oldVal="122"/>
    <row newVal="174" oldVal="124"/>
    <row newVal="175" oldVal="129"/>
    <row newVal="176" oldVal="125"/>
    <row newVal="177" oldVal="128"/>
    <row newVal="178" oldVal="132"/>
    <row newVal="179" oldVal="133"/>
    <row newVal="180" oldVal="130"/>
    <row newVal="181" oldVal="121"/>
    <row newVal="184" oldVal="137"/>
    <row newVal="185" oldVal="136"/>
    <row newVal="186" oldVal="141"/>
    <row newVal="187" oldVal="140"/>
    <row newVal="190" oldVal="144"/>
    <row newVal="191" oldVal="147"/>
    <row newVal="192" oldVal="33"/>
    <row newVal="193" oldVal="44"/>
    <row newVal="194" oldVal="41"/>
    <row newVal="195" oldVal="148"/>
    <row newVal="196" oldVal="51"/>
    <row newVal="197" oldVal="150"/>
    <row newVal="198" oldVal="156"/>
    <row newVal="199" oldVal="46"/>
    <row newVal="200" oldVal="47"/>
    <row newVal="201" oldVal="56"/>
    <row newVal="202" oldVal="162"/>
    <row newVal="203" oldVal="163"/>
    <row newVal="204" oldVal="164"/>
    <row newVal="205" oldVal="48"/>
    <row newVal="206" oldVal="201"/>
    <row newVal="207" oldVal="202"/>
    <row newVal="208" oldVal="203"/>
    <row newVal="209" oldVal="166"/>
    <row newVal="215" oldVal="49"/>
    <row newVal="216" oldVal="172"/>
    <row newVal="217" oldVal="169"/>
    <row newVal="218" oldVal="175"/>
    <row newVal="219" oldVal="50"/>
    <row newVal="220" oldVal="206"/>
    <row newVal="221" oldVal="179"/>
    <row newVal="223" oldVal="180"/>
    <row newVal="224" oldVal="45"/>
    <row newVal="225" oldVal="193"/>
    <row newVal="226" oldVal="194"/>
    <row newVal="227" oldVal="181"/>
    <row newVal="228" oldVal="184"/>
    <row newVal="229" oldVal="185"/>
    <row newVal="230" oldVal="88"/>
    <row newVal="231" oldVal="196"/>
    <row newVal="232" oldVal="197"/>
    <row newVal="234" oldVal="191"/>
    <row newVal="237" oldVal="190"/>
    <row newVal="238" oldVal="195"/>
    <row newVal="239" oldVal="198"/>
    <row newVal="240" oldVal="91"/>
    <row newVal="241" oldVal="99"/>
    <row newVal="242" oldVal="219"/>
    <row newVal="243" oldVal="216"/>
    <row newVal="244" oldVal="217"/>
    <row newVal="245" oldVal="218"/>
    <row newVal="246" oldVal="208"/>
    <row newVal="247" oldVal="186"/>
    <row newVal="248" oldVal="53"/>
    <row newVal="249" oldVal="215"/>
    <row newVal="250" oldVal="97"/>
    <row newVal="251" oldVal="104"/>
    <row newVal="252" oldVal="223"/>
    <row newVal="253" oldVal="226"/>
    <row newVal="254" oldVal="253"/>
    <row newVal="255" oldVal="227"/>
    <row newVal="256" oldVal="228"/>
    <row newVal="258" oldVal="224"/>
    <row newVal="259" oldVal="105"/>
    <row newVal="260" oldVal="225"/>
    <row newVal="262" oldVal="260"/>
    <row newVal="263" oldVal="229"/>
    <row newVal="264" oldVal="1817"/>
    <row newVal="265" oldVal="230"/>
    <row newVal="266" oldVal="116"/>
    <row newVal="267" oldVal="231"/>
    <row newVal="268" oldVal="100"/>
    <row newVal="271" oldVal="232"/>
    <row newVal="273" oldVal="142"/>
    <row newVal="278" oldVal="145"/>
    <row newVal="279" oldVal="237"/>
    <row newVal="281" oldVal="146"/>
    <row newVal="283" oldVal="240"/>
    <row newVal="290" oldVal="239"/>
    <row newVal="292" oldVal="149"/>
    <row newVal="293" oldVal="151"/>
    <row newVal="294" oldVal="241"/>
    <row newVal="295" oldVal="245"/>
    <row newVal="299" oldVal="242"/>
    <row newVal="300" oldVal="243"/>
    <row newVal="303" oldVal="155"/>
    <row newVal="306" oldVal="248"/>
    <row newVal="309" oldVal="246"/>
    <row newVal="312" oldVal="247"/>
    <row newVal="313" oldVal="160"/>
    <row newVal="314" oldVal="250"/>
    <row newVal="315" oldVal="101"/>
    <row newVal="316" oldVal="165"/>
    <row newVal="317" oldVal="143"/>
    <row newVal="318" oldVal="255"/>
    <row newVal="319" oldVal="258"/>
    <row newVal="320" oldVal="259"/>
    <row newVal="321" oldVal="167"/>
    <row newVal="322" oldVal="263"/>
    <row newVal="327" oldVal="176"/>
    <row newVal="328" oldVal="314"/>
    <row newVal="329" oldVal="315"/>
    <row newVal="330" oldVal="281"/>
    <row newVal="331" oldVal="283"/>
    <row newVal="332" oldVal="264"/>
    <row newVal="333" oldVal="292"/>
    <row newVal="334" oldVal="106"/>
    <row newVal="335" oldVal="187"/>
    <row newVal="336" oldVal="265"/>
    <row newVal="342" oldVal="266"/>
    <row newVal="343" oldVal="267"/>
    <row newVal="344" oldVal="268"/>
    <row newVal="345" oldVal="271"/>
    <row newVal="346" oldVal="273"/>
    <row newVal="347" oldVal="220"/>
    <row newVal="348" oldVal="278"/>
    <row newVal="349" oldVal="173"/>
    <row newVal="350" oldVal="174"/>
    <row newVal="351" oldVal="279"/>
    <row newVal="352" oldVal="290"/>
    <row newVal="354" oldVal="177"/>
    <row newVal="355" oldVal="178"/>
    <row newVal="356" oldVal="192"/>
    <row newVal="357" oldVal="300"/>
    <row newVal="358" oldVal="293"/>
    <row newVal="362" oldVal="205"/>
    <row newVal="363" oldVal="294"/>
    <row newVal="364" oldVal="207"/>
    <row newVal="365" oldVal="299"/>
    <row newVal="366" oldVal="295"/>
    <row newVal="367" oldVal="221"/>
    <row newVal="368" oldVal="309"/>
    <row newVal="369" oldVal="312"/>
    <row newVal="370" oldVal="209"/>
    <row newVal="371" oldVal="317"/>
    <row newVal="373" oldVal="318"/>
    <row newVal="374" oldVal="319"/>
    <row newVal="375" oldVal="320"/>
    <row newVal="376" oldVal="244"/>
    <row newVal="377" oldVal="321"/>
    <row newVal="378" oldVal="200"/>
    <row newVal="379" oldVal="234"/>
    <row newVal="380" oldVal="373"/>
    <row newVal="381" oldVal="374"/>
    <row newVal="382" oldVal="375"/>
    <row newVal="383" oldVal="376"/>
    <row newVal="384" oldVal="377"/>
    <row newVal="385" oldVal="331"/>
    <row newVal="386" oldVal="238"/>
    <row newVal="387" oldVal="335"/>
    <row newVal="388" oldVal="249"/>
    <row newVal="389" oldVal="254"/>
    <row newVal="390" oldVal="343"/>
    <row newVal="391" oldVal="344"/>
    <row newVal="392" oldVal="350"/>
    <row newVal="393" oldVal="351"/>
    <row newVal="394" oldVal="346"/>
    <row newVal="395" oldVal="348"/>
    <row newVal="396" oldVal="349"/>
    <row newVal="397" oldVal="256"/>
    <row newVal="398" oldVal="354"/>
    <row newVal="399" oldVal="352"/>
    <row newVal="400" oldVal="356"/>
    <row newVal="401" oldVal="358"/>
    <row newVal="404" oldVal="262"/>
    <row newVal="405" oldVal="364"/>
    <row newVal="406" oldVal="365"/>
    <row newVal="407" oldVal="369"/>
    <row newVal="414" oldVal="370"/>
    <row newVal="415" oldVal="371"/>
    <row newVal="416" oldVal="378"/>
    <row newVal="417" oldVal="379"/>
    <row newVal="418" oldVal="380"/>
    <row newVal="419" oldVal="401"/>
    <row newVal="420" oldVal="404"/>
    <row newVal="421" oldVal="405"/>
    <row newVal="422" oldVal="406"/>
    <row newVal="423" oldVal="407"/>
    <row newVal="429" oldVal="414"/>
    <row newVal="430" oldVal="367"/>
    <row newVal="431" oldVal="368"/>
    <row newVal="432" oldVal="381"/>
    <row newVal="433" oldVal="384"/>
    <row newVal="434" oldVal="251"/>
    <row newVal="435" oldVal="383"/>
    <row newVal="436" oldVal="385"/>
    <row newVal="437" oldVal="389"/>
    <row newVal="438" oldVal="388"/>
    <row newVal="439" oldVal="391"/>
    <row newVal="440" oldVal="393"/>
    <row newVal="441" oldVal="394"/>
    <row newVal="442" oldVal="441"/>
    <row newVal="443" oldVal="442"/>
    <row newVal="444" oldVal="386"/>
    <row newVal="445" oldVal="252"/>
    <row newVal="446" oldVal="390"/>
    <row newVal="447" oldVal="415"/>
    <row newVal="449" oldVal="418"/>
    <row newVal="450" oldVal="416"/>
    <row newVal="451" oldVal="419"/>
    <row newVal="452" oldVal="306"/>
    <row newVal="453" oldVal="420"/>
    <row newVal="454" oldVal="303"/>
    <row newVal="455" oldVal="429"/>
    <row newVal="456" oldVal="432"/>
    <row newVal="457" oldVal="433"/>
    <row newVal="458" oldVal="430"/>
    <row newVal="459" oldVal="457"/>
    <row newVal="460" oldVal="458"/>
    <row newVal="462" oldVal="459"/>
    <row newVal="463" oldVal="460"/>
    <row newVal="464" oldVal="462"/>
    <row newVal="465" oldVal="463"/>
    <row newVal="466" oldVal="464"/>
    <row newVal="467" oldVal="465"/>
    <row newVal="468" oldVal="435"/>
    <row newVal="469" oldVal="438"/>
    <row newVal="470" oldVal="436"/>
    <row newVal="471" oldVal="437"/>
    <row newVal="472" oldVal="439"/>
    <row newVal="473" oldVal="440"/>
    <row newVal="474" oldVal="443"/>
    <row newVal="475" oldVal="334"/>
    <row newVal="476" oldVal="332"/>
    <row newVal="477" oldVal="445"/>
    <row newVal="478" oldVal="446"/>
    <row newVal="479" oldVal="450"/>
    <row newVal="480" oldVal="477"/>
    <row newVal="481" oldVal="313"/>
    <row newVal="482" oldVal="449"/>
    <row newVal="483" oldVal="452"/>
    <row newVal="484" oldVal="455"/>
    <row newVal="493" oldVal="453"/>
    <row newVal="494" oldVal="333"/>
    <row newVal="495" oldVal="456"/>
    <row newVal="496" oldVal="467"/>
    <row newVal="497" oldVal="470"/>
    <row newVal="498" oldVal="496"/>
    <row newVal="499" oldVal="497"/>
    <row newVal="500" oldVal="498"/>
    <row newVal="501" oldVal="499"/>
    <row newVal="502" oldVal="500"/>
    <row newVal="503" oldVal="493"/>
    <row newVal="504" oldVal="494"/>
    <row newVal="505" oldVal="495"/>
    <row newVal="506" oldVal="501"/>
    <row newVal="507" oldVal="502"/>
    <row newVal="508" oldVal="469"/>
    <row newVal="509" oldVal="447"/>
    <row newVal="510" oldVal="451"/>
    <row newVal="511" oldVal="444"/>
    <row newVal="512" oldVal="506"/>
    <row newVal="513" oldVal="507"/>
    <row newVal="514" oldVal="508"/>
    <row newVal="515" oldVal="509"/>
    <row newVal="516" oldVal="454"/>
    <row newVal="517" oldVal="479"/>
    <row newVal="518" oldVal="480"/>
    <row newVal="519" oldVal="481"/>
    <row newVal="520" oldVal="466"/>
    <row newVal="521" oldVal="483"/>
    <row newVal="522" oldVal="484"/>
    <row newVal="523" oldVal="503"/>
    <row newVal="524" oldVal="521"/>
    <row newVal="525" oldVal="522"/>
    <row newVal="526" oldVal="523"/>
    <row newVal="527" oldVal="524"/>
    <row newVal="528" oldVal="525"/>
    <row newVal="529" oldVal="526"/>
    <row newVal="530" oldVal="527"/>
    <row newVal="531" oldVal="504"/>
    <row newVal="532" oldVal="468"/>
    <row newVal="533" oldVal="505"/>
    <row newVal="534" oldVal="510"/>
    <row newVal="535" oldVal="511"/>
    <row newVal="536" oldVal="512"/>
    <row newVal="537" oldVal="513"/>
    <row newVal="538" oldVal="514"/>
    <row newVal="539" oldVal="516"/>
    <row newVal="540" oldVal="537"/>
    <row newVal="541" oldVal="517"/>
    <row newVal="542" oldVal="515"/>
    <row newVal="543" oldVal="518"/>
    <row newVal="544" oldVal="316"/>
    <row newVal="545" oldVal="519"/>
    <row newVal="546" oldVal="528"/>
    <row newVal="547" oldVal="529"/>
    <row newVal="548" oldVal="530"/>
    <row newVal="549" oldVal="520"/>
    <row newVal="550" oldVal="531"/>
    <row newVal="551" oldVal="532"/>
    <row newVal="552" oldVal="533"/>
    <row newVal="553" oldVal="534"/>
    <row newVal="554" oldVal="535"/>
    <row newVal="555" oldVal="538"/>
    <row newVal="556" oldVal="539"/>
    <row newVal="557" oldVal="540"/>
    <row newVal="558" oldVal="541"/>
    <row newVal="559" oldVal="542"/>
    <row newVal="560" oldVal="543"/>
    <row newVal="561" oldVal="544"/>
    <row newVal="562" oldVal="545"/>
    <row newVal="563" oldVal="546"/>
    <row newVal="564" oldVal="547"/>
    <row newVal="565" oldVal="548"/>
    <row newVal="566" oldVal="549"/>
    <row newVal="567" oldVal="550"/>
    <row newVal="568" oldVal="551"/>
    <row newVal="569" oldVal="552"/>
    <row newVal="570" oldVal="553"/>
    <row newVal="571" oldVal="554"/>
    <row newVal="572" oldVal="555"/>
    <row newVal="573" oldVal="556"/>
    <row newVal="574" oldVal="557"/>
    <row newVal="575" oldVal="573"/>
    <row newVal="576" oldVal="574"/>
    <row newVal="577" oldVal="560"/>
    <row newVal="578" oldVal="561"/>
    <row newVal="579" oldVal="562"/>
    <row newVal="580" oldVal="563"/>
    <row newVal="581" oldVal="564"/>
    <row newVal="582" oldVal="565"/>
    <row newVal="583" oldVal="566"/>
    <row newVal="584" oldVal="581"/>
    <row newVal="585" oldVal="582"/>
    <row newVal="586" oldVal="583"/>
    <row newVal="587" oldVal="584"/>
    <row newVal="588" oldVal="585"/>
    <row newVal="589" oldVal="586"/>
    <row newVal="590" oldVal="587"/>
    <row newVal="591" oldVal="567"/>
    <row newVal="592" oldVal="568"/>
    <row newVal="593" oldVal="591"/>
    <row newVal="594" oldVal="592"/>
    <row newVal="595" oldVal="593"/>
    <row newVal="596" oldVal="594"/>
    <row newVal="597" oldVal="595"/>
    <row newVal="598" oldVal="596"/>
    <row newVal="599" oldVal="597"/>
    <row newVal="600" oldVal="598"/>
    <row newVal="601" oldVal="536"/>
    <row newVal="602" oldVal="558"/>
    <row newVal="603" oldVal="559"/>
    <row newVal="604" oldVal="569"/>
    <row newVal="605" oldVal="570"/>
    <row newVal="606" oldVal="571"/>
    <row newVal="607" oldVal="590"/>
    <row newVal="608" oldVal="599"/>
    <row newVal="609" oldVal="600"/>
    <row newVal="610" oldVal="601"/>
    <row newVal="611" oldVal="580"/>
    <row newVal="612" oldVal="588"/>
    <row newVal="613" oldVal="589"/>
    <row newVal="614" oldVal="602"/>
    <row newVal="615" oldVal="603"/>
    <row newVal="616" oldVal="604"/>
    <row newVal="617" oldVal="605"/>
    <row newVal="618" oldVal="606"/>
    <row newVal="619" oldVal="610"/>
    <row newVal="620" oldVal="615"/>
    <row newVal="621" oldVal="616"/>
    <row newVal="622" oldVal="617"/>
    <row newVal="623" oldVal="618"/>
    <row newVal="624" oldVal="619"/>
    <row newVal="625" oldVal="611"/>
    <row newVal="626" oldVal="621"/>
    <row newVal="627" oldVal="607"/>
    <row newVal="628" oldVal="608"/>
    <row newVal="629" oldVal="609"/>
    <row newVal="630" oldVal="614"/>
    <row newVal="631" oldVal="620"/>
    <row newVal="632" oldVal="622"/>
    <row newVal="633" oldVal="623"/>
    <row newVal="634" oldVal="629"/>
    <row newVal="635" oldVal="625"/>
    <row newVal="636" oldVal="626"/>
    <row newVal="637" oldVal="627"/>
    <row newVal="638" oldVal="628"/>
    <row newVal="639" oldVal="630"/>
    <row newVal="640" oldVal="631"/>
    <row newVal="641" oldVal="632"/>
    <row newVal="642" oldVal="637"/>
    <row newVal="643" oldVal="638"/>
    <row newVal="644" oldVal="639"/>
    <row newVal="645" oldVal="640"/>
    <row newVal="646" oldVal="641"/>
    <row newVal="647" oldVal="642"/>
    <row newVal="648" oldVal="643"/>
    <row newVal="649" oldVal="644"/>
    <row newVal="650" oldVal="645"/>
    <row newVal="651" oldVal="646"/>
    <row newVal="652" oldVal="647"/>
    <row newVal="653" oldVal="648"/>
    <row newVal="654" oldVal="649"/>
    <row newVal="655" oldVal="650"/>
    <row newVal="656" oldVal="651"/>
    <row newVal="657" oldVal="652"/>
    <row newVal="658" oldVal="653"/>
    <row newVal="659" oldVal="654"/>
    <row newVal="660" oldVal="612"/>
    <row newVal="661" oldVal="613"/>
    <row newVal="662" oldVal="624"/>
    <row newVal="663" oldVal="633"/>
    <row newVal="664" oldVal="634"/>
    <row newVal="665" oldVal="635"/>
    <row newVal="666" oldVal="636"/>
    <row newVal="667" oldVal="655"/>
    <row newVal="668" oldVal="656"/>
    <row newVal="669" oldVal="657"/>
    <row newVal="670" oldVal="658"/>
    <row newVal="671" oldVal="666"/>
    <row newVal="672" oldVal="667"/>
    <row newVal="673" oldVal="668"/>
    <row newVal="674" oldVal="669"/>
    <row newVal="675" oldVal="664"/>
    <row newVal="676" oldVal="665"/>
    <row newVal="677" oldVal="675"/>
    <row newVal="678" oldVal="676"/>
    <row newVal="679" oldVal="660"/>
    <row newVal="680" oldVal="572"/>
    <row newVal="681" oldVal="575"/>
    <row newVal="682" oldVal="576"/>
    <row newVal="683" oldVal="577"/>
    <row newVal="684" oldVal="578"/>
    <row newVal="685" oldVal="579"/>
    <row newVal="686" oldVal="659"/>
    <row newVal="687" oldVal="670"/>
    <row newVal="688" oldVal="671"/>
    <row newVal="690" oldVal="672"/>
    <row newVal="691" oldVal="673"/>
    <row newVal="692" oldVal="674"/>
    <row newVal="693" oldVal="677"/>
    <row newVal="694" oldVal="678"/>
    <row newVal="695" oldVal="679"/>
    <row newVal="696" oldVal="680"/>
    <row newVal="697" oldVal="681"/>
    <row newVal="698" oldVal="682"/>
    <row newVal="699" oldVal="683"/>
    <row newVal="700" oldVal="684"/>
    <row newVal="701" oldVal="685"/>
    <row newVal="702" oldVal="686"/>
    <row newVal="703" oldVal="687"/>
    <row newVal="704" oldVal="688"/>
    <row newVal="705" oldVal="663"/>
    <row newVal="706" oldVal="691"/>
    <row newVal="707" oldVal="692"/>
    <row newVal="708" oldVal="693"/>
    <row newVal="709" oldVal="694"/>
    <row newVal="710" oldVal="739"/>
    <row newVal="711" oldVal="696"/>
    <row newVal="712" oldVal="802"/>
    <row newVal="713" oldVal="698"/>
    <row newVal="714" oldVal="661"/>
    <row newVal="715" oldVal="699"/>
    <row newVal="716" oldVal="803"/>
    <row newVal="717" oldVal="702"/>
    <row newVal="718" oldVal="712"/>
    <row newVal="719" oldVal="713"/>
    <row newVal="720" oldVal="703"/>
    <row newVal="721" oldVal="704"/>
    <row newVal="722" oldVal="705"/>
    <row newVal="729" oldVal="706"/>
    <row newVal="730" oldVal="707"/>
    <row newVal="731" oldVal="708"/>
    <row newVal="732" oldVal="720"/>
    <row newVal="733" oldVal="721"/>
    <row newVal="734" oldVal="722"/>
    <row newVal="735" oldVal="729"/>
    <row newVal="736" oldVal="730"/>
    <row newVal="737" oldVal="731"/>
    <row newVal="738" oldVal="732"/>
    <row newVal="739" oldVal="733"/>
    <row newVal="742" oldVal="734"/>
    <row newVal="743" oldVal="735"/>
    <row newVal="744" oldVal="709"/>
    <row newVal="745" oldVal="700"/>
    <row newVal="749" oldVal="711"/>
    <row newVal="750" oldVal="714"/>
    <row newVal="751" oldVal="715"/>
    <row newVal="752" oldVal="716"/>
    <row newVal="753" oldVal="717"/>
    <row newVal="754" oldVal="718"/>
    <row newVal="755" oldVal="719"/>
    <row newVal="756" oldVal="744"/>
    <row newVal="757" oldVal="745"/>
    <row newVal="758" oldVal="749"/>
    <row newVal="759" oldVal="750"/>
    <row newVal="760" oldVal="751"/>
    <row newVal="761" oldVal="752"/>
    <row newVal="762" oldVal="753"/>
    <row newVal="763" oldVal="742"/>
    <row newVal="764" oldVal="743"/>
    <row newVal="765" oldVal="736"/>
    <row newVal="766" oldVal="701"/>
    <row newVal="767" oldVal="754"/>
    <row newVal="768" oldVal="755"/>
    <row newVal="769" oldVal="758"/>
    <row newVal="770" oldVal="759"/>
    <row newVal="771" oldVal="760"/>
    <row newVal="772" oldVal="761"/>
    <row newVal="773" oldVal="762"/>
    <row newVal="774" oldVal="763"/>
    <row newVal="775" oldVal="756"/>
    <row newVal="776" oldVal="757"/>
    <row newVal="777" oldVal="764"/>
    <row newVal="778" oldVal="765"/>
    <row newVal="779" oldVal="766"/>
    <row newVal="780" oldVal="767"/>
    <row newVal="781" oldVal="768"/>
    <row newVal="782" oldVal="769"/>
    <row newVal="783" oldVal="770"/>
    <row newVal="784" oldVal="771"/>
    <row newVal="785" oldVal="772"/>
    <row newVal="786" oldVal="773"/>
    <row newVal="787" oldVal="774"/>
    <row newVal="788" oldVal="775"/>
    <row newVal="789" oldVal="776"/>
    <row newVal="790" oldVal="777"/>
    <row newVal="791" oldVal="778"/>
    <row newVal="792" oldVal="779"/>
    <row newVal="793" oldVal="780"/>
    <row newVal="794" oldVal="781"/>
    <row newVal="795" oldVal="782"/>
    <row newVal="796" oldVal="783"/>
    <row newVal="797" oldVal="784"/>
    <row newVal="798" oldVal="785"/>
    <row newVal="799" oldVal="786"/>
    <row newVal="800" oldVal="787"/>
    <row newVal="801" oldVal="791"/>
    <row newVal="802" oldVal="792"/>
    <row newVal="803" oldVal="793"/>
    <row newVal="804" oldVal="794"/>
    <row newVal="805" oldVal="795"/>
    <row newVal="806" oldVal="796"/>
    <row newVal="807" oldVal="797"/>
    <row newVal="808" oldVal="798"/>
    <row newVal="809" oldVal="799"/>
    <row newVal="810" oldVal="800"/>
    <row newVal="811" oldVal="801"/>
    <row newVal="812" oldVal="804"/>
    <row newVal="813" oldVal="805"/>
    <row newVal="814" oldVal="806"/>
    <row newVal="816" oldVal="808"/>
    <row newVal="817" oldVal="807"/>
    <row newVal="818" oldVal="809"/>
    <row newVal="819" oldVal="810"/>
    <row newVal="820" oldVal="811"/>
    <row newVal="821" oldVal="813"/>
    <row newVal="822" oldVal="812"/>
    <row newVal="823" oldVal="814"/>
    <row newVal="824" oldVal="816"/>
    <row newVal="825" oldVal="817"/>
    <row newVal="826" oldVal="818"/>
    <row newVal="827" oldVal="819"/>
    <row newVal="828" oldVal="820"/>
    <row newVal="829" oldVal="821"/>
    <row newVal="830" oldVal="823"/>
    <row newVal="831" oldVal="824"/>
    <row newVal="832" oldVal="825"/>
    <row newVal="833" oldVal="826"/>
    <row newVal="834" oldVal="827"/>
    <row newVal="835" oldVal="828"/>
    <row newVal="836" oldVal="829"/>
    <row newVal="837" oldVal="830"/>
    <row newVal="838" oldVal="831"/>
    <row newVal="839" oldVal="832"/>
    <row newVal="840" oldVal="833"/>
    <row newVal="841" oldVal="834"/>
    <row newVal="842" oldVal="839"/>
    <row newVal="843" oldVal="840"/>
    <row newVal="844" oldVal="841"/>
    <row newVal="845" oldVal="842"/>
    <row newVal="846" oldVal="843"/>
    <row newVal="847" oldVal="844"/>
    <row newVal="848" oldVal="845"/>
    <row newVal="849" oldVal="846"/>
    <row newVal="850" oldVal="847"/>
    <row newVal="851" oldVal="848"/>
    <row newVal="852" oldVal="849"/>
    <row newVal="853" oldVal="850"/>
    <row newVal="854" oldVal="851"/>
    <row newVal="855" oldVal="852"/>
    <row newVal="856" oldVal="853"/>
    <row newVal="857" oldVal="836"/>
    <row newVal="858" oldVal="837"/>
    <row newVal="859" oldVal="838"/>
    <row newVal="860" oldVal="854"/>
    <row newVal="861" oldVal="855"/>
    <row newVal="862" oldVal="856"/>
    <row newVal="863" oldVal="857"/>
    <row newVal="864" oldVal="858"/>
    <row newVal="865" oldVal="859"/>
    <row newVal="866" oldVal="860"/>
    <row newVal="867" oldVal="861"/>
    <row newVal="868" oldVal="862"/>
    <row newVal="869" oldVal="863"/>
    <row newVal="870" oldVal="864"/>
    <row newVal="871" oldVal="865"/>
    <row newVal="872" oldVal="866"/>
    <row newVal="873" oldVal="867"/>
    <row newVal="874" oldVal="822"/>
    <row newVal="875" oldVal="835"/>
    <row newVal="876" oldVal="868"/>
    <row newVal="877" oldVal="869"/>
    <row newVal="878" oldVal="870"/>
    <row newVal="879" oldVal="871"/>
    <row newVal="880" oldVal="872"/>
    <row newVal="881" oldVal="873"/>
    <row newVal="882" oldVal="874"/>
    <row newVal="883" oldVal="875"/>
    <row newVal="884" oldVal="877"/>
    <row newVal="885" oldVal="878"/>
    <row newVal="886" oldVal="879"/>
    <row newVal="887" oldVal="880"/>
    <row newVal="888" oldVal="881"/>
    <row newVal="889" oldVal="882"/>
    <row newVal="890" oldVal="788"/>
    <row newVal="891" oldVal="883"/>
    <row newVal="892" oldVal="884"/>
    <row newVal="893" oldVal="886"/>
    <row newVal="902" oldVal="887"/>
    <row newVal="903" oldVal="888"/>
    <row newVal="904" oldVal="889"/>
    <row newVal="905" oldVal="890"/>
    <row newVal="906" oldVal="891"/>
    <row newVal="907" oldVal="892"/>
    <row newVal="908" oldVal="893"/>
    <row newVal="909" oldVal="902"/>
    <row newVal="910" oldVal="903"/>
    <row newVal="911" oldVal="904"/>
    <row newVal="912" oldVal="905"/>
    <row newVal="913" oldVal="906"/>
    <row newVal="914" oldVal="912"/>
    <row newVal="915" oldVal="913"/>
    <row newVal="916" oldVal="914"/>
    <row newVal="925" oldVal="915"/>
    <row newVal="926" oldVal="916"/>
    <row newVal="927" oldVal="925"/>
    <row newVal="928" oldVal="926"/>
    <row newVal="929" oldVal="927"/>
    <row newVal="930" oldVal="907"/>
    <row newVal="931" oldVal="908"/>
    <row newVal="932" oldVal="909"/>
    <row newVal="933" oldVal="910"/>
    <row newVal="934" oldVal="911"/>
    <row newVal="935" oldVal="928"/>
    <row newVal="936" oldVal="929"/>
    <row newVal="937" oldVal="930"/>
    <row newVal="938" oldVal="931"/>
    <row newVal="939" oldVal="932"/>
    <row newVal="940" oldVal="933"/>
    <row newVal="941" oldVal="934"/>
    <row newVal="942" oldVal="935"/>
    <row newVal="943" oldVal="936"/>
    <row newVal="944" oldVal="937"/>
    <row newVal="945" oldVal="938"/>
    <row newVal="946" oldVal="939"/>
    <row newVal="947" oldVal="940"/>
    <row newVal="948" oldVal="876"/>
    <row newVal="949" oldVal="885"/>
    <row newVal="950" oldVal="1135"/>
    <row newVal="951" oldVal="941"/>
    <row newVal="952" oldVal="942"/>
    <row newVal="953" oldVal="943"/>
    <row newVal="954" oldVal="944"/>
    <row newVal="955" oldVal="945"/>
    <row newVal="956" oldVal="1163"/>
    <row newVal="957" oldVal="946"/>
    <row newVal="958" oldVal="947"/>
    <row newVal="959" oldVal="948"/>
    <row newVal="960" oldVal="949"/>
    <row newVal="961" oldVal="950"/>
    <row newVal="962" oldVal="951"/>
    <row newVal="963" oldVal="952"/>
    <row newVal="964" oldVal="953"/>
    <row newVal="965" oldVal="954"/>
    <row newVal="966" oldVal="955"/>
    <row newVal="967" oldVal="956"/>
    <row newVal="968" oldVal="957"/>
    <row newVal="969" oldVal="958"/>
    <row newVal="970" oldVal="959"/>
    <row newVal="971" oldVal="960"/>
    <row newVal="972" oldVal="961"/>
    <row newVal="973" oldVal="962"/>
    <row newVal="974" oldVal="963"/>
    <row newVal="975" oldVal="964"/>
    <row newVal="976" oldVal="965"/>
    <row newVal="977" oldVal="966"/>
    <row newVal="978" oldVal="967"/>
    <row newVal="979" oldVal="968"/>
    <row newVal="980" oldVal="969"/>
    <row newVal="981" oldVal="970"/>
    <row newVal="982" oldVal="971"/>
    <row newVal="983" oldVal="972"/>
    <row newVal="984" oldVal="973"/>
    <row newVal="985" oldVal="974"/>
    <row newVal="986" oldVal="975"/>
    <row newVal="987" oldVal="976"/>
    <row newVal="988" oldVal="977"/>
    <row newVal="989" oldVal="978"/>
    <row newVal="990" oldVal="979"/>
    <row newVal="991" oldVal="980"/>
    <row newVal="992" oldVal="981"/>
    <row newVal="993" oldVal="982"/>
    <row newVal="994" oldVal="983"/>
    <row newVal="995" oldVal="984"/>
    <row newVal="996" oldVal="985"/>
    <row newVal="997" oldVal="986"/>
    <row newVal="998" oldVal="987"/>
    <row newVal="999" oldVal="988"/>
    <row newVal="1000" oldVal="989"/>
    <row newVal="1001" oldVal="990"/>
    <row newVal="1002" oldVal="991"/>
    <row newVal="1003" oldVal="992"/>
    <row newVal="1004" oldVal="993"/>
    <row newVal="1005" oldVal="994"/>
    <row newVal="1006" oldVal="995"/>
    <row newVal="1017" oldVal="996"/>
    <row newVal="1018" oldVal="997"/>
    <row newVal="1019" oldVal="998"/>
    <row newVal="1020" oldVal="999"/>
    <row newVal="1021" oldVal="1000"/>
    <row newVal="1022" oldVal="1001"/>
    <row newVal="1023" oldVal="1002"/>
    <row newVal="1024" oldVal="1003"/>
    <row newVal="1025" oldVal="1004"/>
    <row newVal="1026" oldVal="1005"/>
    <row newVal="1027" oldVal="1006"/>
    <row newVal="1028" oldVal="1017"/>
    <row newVal="1029" oldVal="1018"/>
    <row newVal="1030" oldVal="1019"/>
    <row newVal="1031" oldVal="1020"/>
    <row newVal="1032" oldVal="1021"/>
    <row newVal="1033" oldVal="1022"/>
    <row newVal="1034" oldVal="1023"/>
    <row newVal="1035" oldVal="1024"/>
    <row newVal="1036" oldVal="1025"/>
    <row newVal="1037" oldVal="1026"/>
    <row newVal="1038" oldVal="1027"/>
    <row newVal="1039" oldVal="1028"/>
    <row newVal="1040" oldVal="1029"/>
    <row newVal="1041" oldVal="1030"/>
    <row newVal="1042" oldVal="1031"/>
    <row newVal="1043" oldVal="1032"/>
    <row newVal="1044" oldVal="1033"/>
    <row newVal="1045" oldVal="1034"/>
    <row newVal="1046" oldVal="1035"/>
    <row newVal="1047" oldVal="1036"/>
    <row newVal="1048" oldVal="1037"/>
    <row newVal="1049" oldVal="1038"/>
    <row newVal="1050" oldVal="1039"/>
    <row newVal="1051" oldVal="1040"/>
    <row newVal="1052" oldVal="1041"/>
    <row newVal="1053" oldVal="1042"/>
    <row newVal="1054" oldVal="1043"/>
    <row newVal="1055" oldVal="1044"/>
    <row newVal="1056" oldVal="1045"/>
    <row newVal="1057" oldVal="1046"/>
    <row newVal="1058" oldVal="1051"/>
    <row newVal="1059" oldVal="1052"/>
    <row newVal="1060" oldVal="1053"/>
    <row newVal="1061" oldVal="1054"/>
    <row newVal="1062" oldVal="1055"/>
    <row newVal="1063" oldVal="1047"/>
    <row newVal="1064" oldVal="1048"/>
    <row newVal="1065" oldVal="1049"/>
    <row newVal="1066" oldVal="1050"/>
    <row newVal="1067" oldVal="1056"/>
    <row newVal="1068" oldVal="1057"/>
    <row newVal="1069" oldVal="1058"/>
    <row newVal="1070" oldVal="1059"/>
    <row newVal="1071" oldVal="1060"/>
    <row newVal="1072" oldVal="1061"/>
    <row newVal="1073" oldVal="1062"/>
    <row newVal="1074" oldVal="1063"/>
    <row newVal="1075" oldVal="1064"/>
    <row newVal="1076" oldVal="1065"/>
    <row newVal="1077" oldVal="1066"/>
    <row newVal="1078" oldVal="1067"/>
    <row newVal="1079" oldVal="1068"/>
    <row newVal="1080" oldVal="1069"/>
    <row newVal="1081" oldVal="1070"/>
    <row newVal="1082" oldVal="1071"/>
    <row newVal="1083" oldVal="1072"/>
    <row newVal="1084" oldVal="1073"/>
    <row newVal="1085" oldVal="1074"/>
    <row newVal="1086" oldVal="1075"/>
    <row newVal="1087" oldVal="1076"/>
    <row newVal="1088" oldVal="1077"/>
    <row newVal="1089" oldVal="1078"/>
    <row newVal="1090" oldVal="1079"/>
    <row newVal="1091" oldVal="1080"/>
    <row newVal="1092" oldVal="1081"/>
    <row newVal="1093" oldVal="1082"/>
    <row newVal="1094" oldVal="1083"/>
    <row newVal="1095" oldVal="1084"/>
    <row newVal="1096" oldVal="1085"/>
    <row newVal="1097" oldVal="1086"/>
    <row newVal="1098" oldVal="1087"/>
    <row newVal="1099" oldVal="1088"/>
    <row newVal="1100" oldVal="1089"/>
    <row newVal="1101" oldVal="1090"/>
    <row newVal="1102" oldVal="1091"/>
    <row newVal="1103" oldVal="1092"/>
    <row newVal="1104" oldVal="1093"/>
    <row newVal="1105" oldVal="1094"/>
    <row newVal="1106" oldVal="1095"/>
    <row newVal="1107" oldVal="1096"/>
    <row newVal="1108" oldVal="1097"/>
    <row newVal="1109" oldVal="1098"/>
    <row newVal="1110" oldVal="1099"/>
    <row newVal="1111" oldVal="1100"/>
    <row newVal="1112" oldVal="1101"/>
    <row newVal="1113" oldVal="1102"/>
    <row newVal="1114" oldVal="1103"/>
    <row newVal="1115" oldVal="1104"/>
    <row newVal="1116" oldVal="1105"/>
    <row newVal="1117" oldVal="1106"/>
    <row newVal="1118" oldVal="1110"/>
    <row newVal="1119" oldVal="1111"/>
    <row newVal="1120" oldVal="1107"/>
    <row newVal="1121" oldVal="1108"/>
    <row newVal="1122" oldVal="1109"/>
    <row newVal="1123" oldVal="1112"/>
    <row newVal="1124" oldVal="1113"/>
    <row newVal="1125" oldVal="1114"/>
    <row newVal="1126" oldVal="1115"/>
    <row newVal="1127" oldVal="1116"/>
    <row newVal="1128" oldVal="1117"/>
    <row newVal="1129" oldVal="1118"/>
    <row newVal="1130" oldVal="1167"/>
    <row newVal="1131" oldVal="1119"/>
    <row newVal="1132" oldVal="1120"/>
    <row newVal="1133" oldVal="1125"/>
    <row newVal="1134" oldVal="1126"/>
    <row newVal="1135" oldVal="1127"/>
    <row newVal="1136" oldVal="1128"/>
    <row newVal="1137" oldVal="1122"/>
    <row newVal="1138" oldVal="1123"/>
    <row newVal="1139" oldVal="1124"/>
    <row newVal="1140" oldVal="1129"/>
    <row newVal="1141" oldVal="1130"/>
    <row newVal="1142" oldVal="1131"/>
    <row newVal="1143" oldVal="1132"/>
    <row newVal="1144" oldVal="1133"/>
    <row newVal="1145" oldVal="1134"/>
    <row newVal="1146" oldVal="1121"/>
    <row newVal="1147" oldVal="1136"/>
    <row newVal="1148" oldVal="1137"/>
    <row newVal="1149" oldVal="1138"/>
    <row newVal="1150" oldVal="1145"/>
    <row newVal="1151" oldVal="1146"/>
    <row newVal="1152" oldVal="1147"/>
    <row newVal="1153" oldVal="1148"/>
    <row newVal="1154" oldVal="1152"/>
    <row newVal="1155" oldVal="1153"/>
    <row newVal="1156" oldVal="1154"/>
    <row newVal="1157" oldVal="1155"/>
    <row newVal="1158" oldVal="1156"/>
    <row newVal="1159" oldVal="1157"/>
    <row newVal="1160" oldVal="1139"/>
    <row newVal="1161" oldVal="1140"/>
    <row newVal="1162" oldVal="1142"/>
    <row newVal="1163" oldVal="1143"/>
    <row newVal="1164" oldVal="1144"/>
    <row newVal="1165" oldVal="1149"/>
    <row newVal="1166" oldVal="1141"/>
    <row newVal="1167" oldVal="1150"/>
    <row newVal="1168" oldVal="1151"/>
    <row newVal="1169" oldVal="1158"/>
    <row newVal="1170" oldVal="1159"/>
    <row newVal="1171" oldVal="1160"/>
    <row newVal="1172" oldVal="1161"/>
    <row newVal="1173" oldVal="1162"/>
    <row newVal="1174" oldVal="1164"/>
    <row newVal="1175" oldVal="1165"/>
    <row newVal="1176" oldVal="1166"/>
    <row newVal="1177" oldVal="1175"/>
    <row newVal="1178" oldVal="1176"/>
    <row newVal="1179" oldVal="1177"/>
    <row newVal="1180" oldVal="1178"/>
    <row newVal="1181" oldVal="1179"/>
    <row newVal="1182" oldVal="1180"/>
    <row newVal="1183" oldVal="1181"/>
    <row newVal="1184" oldVal="1182"/>
    <row newVal="1185" oldVal="1183"/>
    <row newVal="1186" oldVal="1184"/>
    <row newVal="1187" oldVal="1169"/>
    <row newVal="1188" oldVal="1170"/>
    <row newVal="1189" oldVal="1171"/>
    <row newVal="1190" oldVal="1172"/>
    <row newVal="1191" oldVal="1173"/>
    <row newVal="1192" oldVal="1275"/>
    <row newVal="1193" oldVal="1174"/>
    <row newVal="1194" oldVal="1185"/>
    <row newVal="1195" oldVal="1186"/>
    <row newVal="1196" oldVal="1187"/>
    <row newVal="1197" oldVal="1188"/>
    <row newVal="1198" oldVal="1189"/>
    <row newVal="1199" oldVal="1168"/>
    <row newVal="1200" oldVal="1190"/>
    <row newVal="1201" oldVal="1191"/>
    <row newVal="1202" oldVal="1192"/>
    <row newVal="1203" oldVal="1193"/>
    <row newVal="1204" oldVal="1194"/>
    <row newVal="1205" oldVal="1195"/>
    <row newVal="1206" oldVal="1196"/>
    <row newVal="1207" oldVal="1197"/>
    <row newVal="1208" oldVal="1198"/>
    <row newVal="1209" oldVal="1199"/>
    <row newVal="1210" oldVal="1200"/>
    <row newVal="1211" oldVal="1201"/>
    <row newVal="1212" oldVal="1202"/>
    <row newVal="1213" oldVal="1203"/>
    <row newVal="1214" oldVal="1204"/>
    <row newVal="1215" oldVal="1205"/>
    <row newVal="1216" oldVal="1206"/>
    <row newVal="1217" oldVal="1207"/>
    <row newVal="1218" oldVal="1208"/>
    <row newVal="1219" oldVal="1209"/>
    <row newVal="1220" oldVal="1210"/>
    <row newVal="1221" oldVal="1211"/>
    <row newVal="1222" oldVal="1212"/>
    <row newVal="1223" oldVal="1213"/>
    <row newVal="1230" oldVal="1214"/>
    <row newVal="1231" oldVal="1215"/>
    <row newVal="1232" oldVal="1216"/>
    <row newVal="1233" oldVal="1217"/>
    <row newVal="1234" oldVal="1218"/>
    <row newVal="1235" oldVal="1219"/>
    <row newVal="1236" oldVal="1220"/>
    <row newVal="1237" oldVal="1221"/>
    <row newVal="1238" oldVal="1222"/>
    <row newVal="1239" oldVal="1223"/>
    <row newVal="1240" oldVal="1230"/>
    <row newVal="1241" oldVal="1231"/>
    <row newVal="1242" oldVal="1232"/>
    <row newVal="1243" oldVal="1233"/>
    <row newVal="1244" oldVal="1234"/>
    <row newVal="1245" oldVal="1235"/>
    <row newVal="1246" oldVal="1236"/>
    <row newVal="1247" oldVal="1237"/>
    <row newVal="1248" oldVal="1238"/>
    <row newVal="1249" oldVal="1239"/>
    <row newVal="1250" oldVal="1240"/>
    <row newVal="1251" oldVal="1241"/>
    <row newVal="1252" oldVal="1242"/>
    <row newVal="1259" oldVal="1243"/>
    <row newVal="1260" oldVal="1244"/>
    <row newVal="1261" oldVal="1245"/>
    <row newVal="1262" oldVal="1246"/>
    <row newVal="1263" oldVal="1247"/>
    <row newVal="1264" oldVal="1248"/>
    <row newVal="1265" oldVal="1249"/>
    <row newVal="1266" oldVal="1250"/>
    <row newVal="1267" oldVal="1252"/>
    <row newVal="1268" oldVal="1259"/>
    <row newVal="1269" oldVal="1260"/>
    <row newVal="1270" oldVal="1261"/>
    <row newVal="1271" oldVal="1262"/>
    <row newVal="1272" oldVal="1263"/>
    <row newVal="1273" oldVal="1264"/>
    <row newVal="1274" oldVal="1265"/>
    <row newVal="1275" oldVal="1266"/>
    <row newVal="1276" oldVal="1267"/>
    <row newVal="1277" oldVal="1268"/>
    <row newVal="1278" oldVal="1269"/>
    <row newVal="1279" oldVal="1270"/>
    <row newVal="1280" oldVal="1271"/>
    <row newVal="1281" oldVal="1272"/>
    <row newVal="1282" oldVal="1273"/>
    <row newVal="1283" oldVal="1274"/>
    <row newVal="1284" oldVal="1278"/>
    <row newVal="1285" oldVal="1279"/>
    <row newVal="1286" oldVal="1280"/>
    <row newVal="1287" oldVal="1281"/>
    <row newVal="1288" oldVal="1282"/>
    <row newVal="1289" oldVal="1283"/>
    <row newVal="1290" oldVal="1284"/>
    <row newVal="1291" oldVal="1285"/>
    <row newVal="1292" oldVal="1286"/>
    <row newVal="1293" oldVal="1287"/>
    <row newVal="1294" oldVal="1288"/>
    <row newVal="1295" oldVal="1289"/>
    <row newVal="1296" oldVal="1290"/>
    <row newVal="1297" oldVal="1291"/>
    <row newVal="1298" oldVal="1292"/>
    <row newVal="1299" oldVal="1293"/>
    <row newVal="1300" oldVal="1294"/>
    <row newVal="1301" oldVal="1295"/>
    <row newVal="1302" oldVal="1296"/>
    <row newVal="1303" oldVal="1297"/>
    <row newVal="1304" oldVal="1298"/>
    <row newVal="1305" oldVal="1299"/>
    <row newVal="1306" oldVal="1300"/>
    <row newVal="1307" oldVal="1301"/>
    <row newVal="1308" oldVal="1302"/>
    <row newVal="1309" oldVal="1304"/>
    <row newVal="1310" oldVal="1305"/>
    <row newVal="1311" oldVal="1306"/>
    <row newVal="1312" oldVal="1307"/>
    <row newVal="1313" oldVal="1308"/>
    <row newVal="1314" oldVal="1309"/>
    <row newVal="1315" oldVal="1310"/>
    <row newVal="1316" oldVal="1311"/>
    <row newVal="1317" oldVal="1312"/>
    <row newVal="1318" oldVal="1313"/>
    <row newVal="1319" oldVal="1314"/>
    <row newVal="1320" oldVal="1315"/>
    <row newVal="1321" oldVal="1316"/>
    <row newVal="1322" oldVal="1317"/>
    <row newVal="1323" oldVal="1318"/>
    <row newVal="1324" oldVal="1319"/>
    <row newVal="1325" oldVal="1320"/>
    <row newVal="1326" oldVal="1321"/>
    <row newVal="1327" oldVal="1322"/>
    <row newVal="1328" oldVal="1323"/>
    <row newVal="1329" oldVal="1324"/>
    <row newVal="1330" oldVal="1325"/>
    <row newVal="1331" oldVal="1326"/>
    <row newVal="1332" oldVal="1327"/>
    <row newVal="1333" oldVal="1328"/>
    <row newVal="1334" oldVal="1329"/>
    <row newVal="1335" oldVal="1330"/>
    <row newVal="1336" oldVal="1331"/>
    <row newVal="1337" oldVal="1332"/>
    <row newVal="1338" oldVal="1333"/>
    <row newVal="1339" oldVal="1334"/>
    <row newVal="1340" oldVal="1335"/>
    <row newVal="1341" oldVal="1336"/>
    <row newVal="1342" oldVal="1337"/>
    <row newVal="1343" oldVal="1338"/>
    <row newVal="1344" oldVal="1339"/>
    <row newVal="1345" oldVal="1340"/>
    <row newVal="1346" oldVal="1341"/>
    <row newVal="1347" oldVal="1342"/>
    <row newVal="1348" oldVal="1343"/>
    <row newVal="1349" oldVal="1344"/>
    <row newVal="1350" oldVal="1345"/>
    <row newVal="1351" oldVal="1346"/>
    <row newVal="1352" oldVal="1347"/>
    <row newVal="1353" oldVal="1348"/>
    <row newVal="1354" oldVal="1349"/>
    <row newVal="1355" oldVal="1350"/>
    <row newVal="1356" oldVal="1351"/>
    <row newVal="1357" oldVal="1352"/>
    <row newVal="1358" oldVal="1353"/>
    <row newVal="1359" oldVal="1354"/>
    <row newVal="1360" oldVal="1355"/>
    <row newVal="1361" oldVal="1356"/>
    <row newVal="1362" oldVal="1357"/>
    <row newVal="1363" oldVal="1358"/>
    <row newVal="1364" oldVal="1359"/>
    <row newVal="1365" oldVal="1360"/>
    <row newVal="1366" oldVal="1361"/>
    <row newVal="1367" oldVal="1363"/>
    <row newVal="1368" oldVal="1364"/>
    <row newVal="1369" oldVal="1365"/>
    <row newVal="1370" oldVal="1366"/>
    <row newVal="1371" oldVal="1367"/>
    <row newVal="1372" oldVal="1368"/>
    <row newVal="1373" oldVal="1369"/>
    <row newVal="1374" oldVal="1370"/>
    <row newVal="1375" oldVal="1371"/>
    <row newVal="1376" oldVal="1372"/>
    <row newVal="1377" oldVal="1373"/>
    <row newVal="1378" oldVal="1374"/>
    <row newVal="1379" oldVal="1375"/>
    <row newVal="1380" oldVal="1376"/>
    <row newVal="1381" oldVal="1377"/>
    <row newVal="1382" oldVal="1378"/>
    <row newVal="1383" oldVal="1379"/>
    <row newVal="1384" oldVal="1381"/>
    <row newVal="1385" oldVal="1382"/>
    <row newVal="1386" oldVal="1380"/>
    <row newVal="1387" oldVal="1383"/>
    <row newVal="1388" oldVal="1384"/>
    <row newVal="1389" oldVal="1385"/>
    <row newVal="1390" oldVal="1386"/>
    <row newVal="1391" oldVal="1387"/>
    <row newVal="1392" oldVal="1388"/>
    <row newVal="1393" oldVal="1389"/>
    <row newVal="1394" oldVal="1390"/>
    <row newVal="1395" oldVal="1391"/>
    <row newVal="1396" oldVal="1392"/>
    <row newVal="1397" oldVal="1393"/>
    <row newVal="1398" oldVal="1396"/>
    <row newVal="1409" oldVal="1397"/>
    <row newVal="1410" oldVal="1398"/>
    <row newVal="1411" oldVal="1409"/>
    <row newVal="1412" oldVal="1410"/>
    <row newVal="1413" oldVal="1411"/>
    <row newVal="1414" oldVal="1412"/>
    <row newVal="1415" oldVal="1413"/>
    <row newVal="1416" oldVal="1414"/>
    <row newVal="1417" oldVal="1415"/>
    <row newVal="1418" oldVal="1416"/>
    <row newVal="1419" oldVal="1394"/>
    <row newVal="1420" oldVal="1418"/>
    <row newVal="1432" oldVal="1395"/>
    <row newVal="1433" oldVal="1417"/>
    <row newVal="1434" oldVal="1419"/>
    <row newVal="1435" oldVal="1420"/>
    <row newVal="1436" oldVal="1432"/>
    <row newVal="1437" oldVal="1433"/>
    <row newVal="1438" oldVal="1434"/>
    <row newVal="1439" oldVal="1435"/>
    <row newVal="1440" oldVal="1436"/>
    <row newVal="1441" oldVal="1437"/>
    <row newVal="1442" oldVal="1438"/>
    <row newVal="1443" oldVal="1439"/>
    <row newVal="1444" oldVal="1440"/>
    <row newVal="1445" oldVal="1441"/>
    <row newVal="1446" oldVal="1442"/>
    <row newVal="1447" oldVal="1443"/>
    <row newVal="1448" oldVal="1444"/>
    <row newVal="1449" oldVal="1445"/>
    <row newVal="1450" oldVal="1446"/>
    <row newVal="1451" oldVal="1447"/>
    <row newVal="1452" oldVal="1448"/>
    <row newVal="1453" oldVal="1449"/>
    <row newVal="1454" oldVal="1450"/>
    <row newVal="1455" oldVal="1453"/>
    <row newVal="1456" oldVal="1451"/>
    <row newVal="1457" oldVal="1452"/>
    <row newVal="1458" oldVal="1454"/>
    <row newVal="1459" oldVal="1455"/>
    <row newVal="1460" oldVal="1456"/>
    <row newVal="1461" oldVal="1457"/>
    <row newVal="1462" oldVal="1458"/>
    <row newVal="1463" oldVal="1459"/>
    <row newVal="1464" oldVal="1460"/>
    <row newVal="1465" oldVal="1461"/>
    <row newVal="1466" oldVal="1462"/>
    <row newVal="1467" oldVal="1463"/>
    <row newVal="1468" oldVal="1464"/>
    <row newVal="1469" oldVal="1465"/>
    <row newVal="1470" oldVal="1466"/>
    <row newVal="1471" oldVal="1467"/>
    <row newVal="1472" oldVal="1468"/>
    <row newVal="1473" oldVal="1469"/>
    <row newVal="1474" oldVal="1470"/>
    <row newVal="1476" oldVal="1471"/>
    <row newVal="1477" oldVal="1472"/>
    <row newVal="1478" oldVal="1473"/>
    <row newVal="1479" oldVal="1474"/>
    <row newVal="1480" oldVal="1476"/>
    <row newVal="1481" oldVal="1477"/>
    <row newVal="1482" oldVal="1478"/>
    <row newVal="1483" oldVal="1479"/>
    <row newVal="1484" oldVal="1480"/>
    <row newVal="1485" oldVal="1481"/>
    <row newVal="1486" oldVal="1482"/>
    <row newVal="1487" oldVal="1483"/>
    <row newVal="1488" oldVal="1484"/>
    <row newVal="1489" oldVal="1485"/>
    <row newVal="1490" oldVal="1486"/>
    <row newVal="1491" oldVal="1487"/>
    <row newVal="1492" oldVal="1488"/>
    <row newVal="1493" oldVal="1489"/>
    <row newVal="1494" oldVal="1490"/>
    <row newVal="1495" oldVal="1491"/>
    <row newVal="1496" oldVal="1492"/>
    <row newVal="1497" oldVal="1493"/>
    <row newVal="1498" oldVal="1494"/>
    <row newVal="1499" oldVal="1495"/>
    <row newVal="1500" oldVal="1496"/>
    <row newVal="1501" oldVal="1497"/>
    <row newVal="1502" oldVal="1498"/>
    <row newVal="1503" oldVal="1499"/>
    <row newVal="1504" oldVal="1500"/>
    <row newVal="1505" oldVal="1501"/>
    <row newVal="1506" oldVal="1502"/>
    <row newVal="1507" oldVal="1503"/>
    <row newVal="1508" oldVal="1504"/>
    <row newVal="1509" oldVal="1505"/>
    <row newVal="1510" oldVal="1506"/>
    <row newVal="1511" oldVal="1507"/>
    <row newVal="1512" oldVal="1508"/>
    <row newVal="1513" oldVal="1509"/>
    <row newVal="1514" oldVal="1510"/>
    <row newVal="1515" oldVal="1511"/>
    <row newVal="1516" oldVal="1512"/>
    <row newVal="1517" oldVal="1513"/>
    <row newVal="1518" oldVal="1514"/>
    <row newVal="1519" oldVal="1515"/>
    <row newVal="1520" oldVal="1516"/>
    <row newVal="1521" oldVal="1517"/>
    <row newVal="1522" oldVal="1518"/>
    <row newVal="1523" oldVal="1519"/>
    <row newVal="1524" oldVal="1520"/>
    <row newVal="1525" oldVal="1521"/>
    <row newVal="1526" oldVal="1522"/>
    <row newVal="1527" oldVal="1523"/>
    <row newVal="1528" oldVal="1524"/>
    <row newVal="1529" oldVal="1525"/>
    <row newVal="1530" oldVal="1526"/>
    <row newVal="1531" oldVal="1527"/>
    <row newVal="1532" oldVal="1528"/>
    <row newVal="1533" oldVal="1529"/>
    <row newVal="1534" oldVal="1530"/>
    <row newVal="1535" oldVal="1531"/>
    <row newVal="1536" oldVal="1532"/>
    <row newVal="1537" oldVal="1533"/>
    <row newVal="1538" oldVal="1534"/>
    <row newVal="1539" oldVal="1535"/>
    <row newVal="1540" oldVal="1536"/>
    <row newVal="1541" oldVal="1537"/>
    <row newVal="1542" oldVal="1538"/>
    <row newVal="1543" oldVal="1539"/>
    <row newVal="1544" oldVal="1540"/>
    <row newVal="1545" oldVal="1541"/>
    <row newVal="1546" oldVal="1542"/>
    <row newVal="1547" oldVal="1543"/>
    <row newVal="1548" oldVal="1546"/>
    <row newVal="1549" oldVal="1547"/>
    <row newVal="1550" oldVal="1548"/>
    <row newVal="1551" oldVal="1549"/>
    <row newVal="1552" oldVal="1544"/>
    <row newVal="1553" oldVal="1545"/>
    <row newVal="1554" oldVal="1550"/>
    <row newVal="1555" oldVal="1551"/>
    <row newVal="1556" oldVal="1552"/>
    <row newVal="1557" oldVal="1553"/>
    <row newVal="1558" oldVal="1555"/>
    <row newVal="1559" oldVal="1556"/>
    <row newVal="1560" oldVal="1557"/>
    <row newVal="1561" oldVal="1558"/>
    <row newVal="1562" oldVal="1559"/>
    <row newVal="1563" oldVal="1560"/>
    <row newVal="1564" oldVal="1554"/>
    <row newVal="1565" oldVal="1561"/>
    <row newVal="1566" oldVal="1562"/>
    <row newVal="1567" oldVal="1563"/>
    <row newVal="1568" oldVal="1564"/>
    <row newVal="1569" oldVal="1565"/>
    <row newVal="1570" oldVal="1566"/>
    <row newVal="1571" oldVal="1567"/>
    <row newVal="1572" oldVal="1568"/>
    <row newVal="1573" oldVal="1569"/>
    <row newVal="1574" oldVal="1570"/>
    <row newVal="1575" oldVal="1571"/>
    <row newVal="1576" oldVal="1572"/>
    <row newVal="1577" oldVal="1573"/>
    <row newVal="1578" oldVal="1574"/>
    <row newVal="1579" oldVal="1575"/>
    <row newVal="1580" oldVal="1576"/>
    <row newVal="1581" oldVal="1577"/>
    <row newVal="1582" oldVal="1578"/>
    <row newVal="1583" oldVal="1579"/>
    <row newVal="1584" oldVal="1580"/>
    <row newVal="1585" oldVal="1581"/>
    <row newVal="1586" oldVal="1582"/>
    <row newVal="1587" oldVal="1583"/>
    <row newVal="1588" oldVal="1584"/>
    <row newVal="1589" oldVal="1585"/>
    <row newVal="1590" oldVal="1586"/>
    <row newVal="1591" oldVal="1587"/>
    <row newVal="1592" oldVal="1588"/>
    <row newVal="1593" oldVal="1589"/>
    <row newVal="1594" oldVal="1590"/>
    <row newVal="1595" oldVal="1591"/>
    <row newVal="1596" oldVal="1592"/>
    <row newVal="1597" oldVal="1593"/>
    <row newVal="1598" oldVal="1594"/>
    <row newVal="1599" oldVal="1597"/>
    <row newVal="1600" oldVal="1598"/>
    <row newVal="1601" oldVal="1599"/>
    <row newVal="1602" oldVal="1600"/>
    <row newVal="1603" oldVal="1601"/>
    <row newVal="1604" oldVal="1602"/>
    <row newVal="1605" oldVal="1603"/>
    <row newVal="1606" oldVal="1604"/>
    <row newVal="1607" oldVal="1605"/>
    <row newVal="1608" oldVal="1606"/>
    <row newVal="1609" oldVal="1607"/>
    <row newVal="1610" oldVal="1608"/>
    <row newVal="1611" oldVal="1609"/>
    <row newVal="1612" oldVal="1610"/>
    <row newVal="1613" oldVal="1611"/>
    <row newVal="1614" oldVal="1612"/>
    <row newVal="1615" oldVal="1613"/>
    <row newVal="1616" oldVal="1614"/>
    <row newVal="1617" oldVal="1615"/>
    <row newVal="1618" oldVal="1616"/>
    <row newVal="1619" oldVal="1617"/>
    <row newVal="1620" oldVal="1618"/>
    <row newVal="1621" oldVal="1619"/>
    <row newVal="1622" oldVal="1620"/>
    <row newVal="1623" oldVal="1621"/>
    <row newVal="1624" oldVal="1622"/>
    <row newVal="1625" oldVal="1623"/>
    <row newVal="1626" oldVal="1624"/>
    <row newVal="1627" oldVal="1625"/>
    <row newVal="1628" oldVal="1626"/>
    <row newVal="1629" oldVal="1627"/>
    <row newVal="1630" oldVal="1628"/>
    <row newVal="1631" oldVal="1629"/>
    <row newVal="1632" oldVal="1630"/>
    <row newVal="1633" oldVal="1631"/>
    <row newVal="1634" oldVal="1632"/>
    <row newVal="1635" oldVal="1633"/>
    <row newVal="1636" oldVal="1634"/>
    <row newVal="1637" oldVal="1595"/>
    <row newVal="1638" oldVal="1596"/>
    <row newVal="1639" oldVal="1635"/>
    <row newVal="1640" oldVal="1636"/>
    <row newVal="1641" oldVal="1637"/>
    <row newVal="1642" oldVal="1638"/>
    <row newVal="1643" oldVal="1639"/>
    <row newVal="1644" oldVal="1640"/>
    <row newVal="1645" oldVal="1641"/>
    <row newVal="1646" oldVal="1642"/>
    <row newVal="1647" oldVal="1643"/>
    <row newVal="1648" oldVal="1644"/>
    <row newVal="1649" oldVal="1645"/>
    <row newVal="1650" oldVal="1646"/>
    <row newVal="1651" oldVal="1647"/>
    <row newVal="1652" oldVal="1648"/>
    <row newVal="1653" oldVal="1651"/>
    <row newVal="1654" oldVal="1652"/>
    <row newVal="1655" oldVal="1653"/>
    <row newVal="1656" oldVal="1654"/>
    <row newVal="1657" oldVal="1655"/>
    <row newVal="1658" oldVal="1656"/>
    <row newVal="1659" oldVal="1657"/>
    <row newVal="1660" oldVal="1658"/>
    <row newVal="1661" oldVal="1659"/>
    <row newVal="1662" oldVal="1660"/>
    <row newVal="1663" oldVal="1649"/>
    <row newVal="1664" oldVal="1650"/>
    <row newVal="1665" oldVal="1661"/>
    <row newVal="1666" oldVal="1662"/>
    <row newVal="1667" oldVal="1663"/>
    <row newVal="1668" oldVal="1664"/>
    <row newVal="1669" oldVal="1665"/>
    <row newVal="1670" oldVal="1666"/>
    <row newVal="1671" oldVal="1667"/>
    <row newVal="1672" oldVal="1668"/>
    <row newVal="1673" oldVal="1669"/>
    <row newVal="1674" oldVal="1670"/>
    <row newVal="1675" oldVal="1671"/>
    <row newVal="1676" oldVal="1672"/>
    <row newVal="1677" oldVal="1673"/>
    <row newVal="1678" oldVal="1674"/>
    <row newVal="1679" oldVal="1677"/>
    <row newVal="1680" oldVal="1678"/>
    <row newVal="1681" oldVal="1679"/>
    <row newVal="1682" oldVal="1680"/>
    <row newVal="1683" oldVal="1681"/>
    <row newVal="1684" oldVal="1682"/>
    <row newVal="1685" oldVal="1683"/>
    <row newVal="1686" oldVal="1251"/>
    <row newVal="1687" oldVal="1303"/>
    <row newVal="1688" oldVal="1685"/>
    <row newVal="1689" oldVal="1686"/>
    <row newVal="1690" oldVal="1687"/>
    <row newVal="1691" oldVal="1688"/>
    <row newVal="1692" oldVal="1689"/>
    <row newVal="1693" oldVal="1690"/>
    <row newVal="1694" oldVal="1691"/>
    <row newVal="1695" oldVal="1692"/>
    <row newVal="1696" oldVal="1693"/>
    <row newVal="1697" oldVal="1694"/>
    <row newVal="1698" oldVal="1695"/>
    <row newVal="1699" oldVal="1696"/>
    <row newVal="1700" oldVal="1675"/>
    <row newVal="1701" oldVal="1676"/>
    <row newVal="1702" oldVal="1362"/>
    <row newVal="1703" oldVal="1697"/>
    <row newVal="1704" oldVal="1698"/>
    <row newVal="1705" oldVal="1699"/>
    <row newVal="1706" oldVal="1700"/>
    <row newVal="1707" oldVal="1701"/>
    <row newVal="1715" oldVal="1702"/>
    <row newVal="1716" oldVal="1703"/>
    <row newVal="1717" oldVal="1704"/>
    <row newVal="1718" oldVal="1705"/>
    <row newVal="1719" oldVal="1706"/>
    <row newVal="1720" oldVal="1707"/>
    <row newVal="1721" oldVal="1715"/>
    <row newVal="1722" oldVal="1716"/>
    <row newVal="1723" oldVal="1719"/>
    <row newVal="1724" oldVal="1720"/>
    <row newVal="1725" oldVal="1721"/>
    <row newVal="1729" oldVal="1724"/>
    <row newVal="1730" oldVal="1725"/>
    <row newVal="1731" oldVal="1729"/>
    <row newVal="1732" oldVal="1730"/>
    <row newVal="1733" oldVal="1731"/>
    <row newVal="1734" oldVal="1732"/>
    <row newVal="1735" oldVal="1733"/>
    <row newVal="1736" oldVal="1734"/>
    <row newVal="1737" oldVal="1735"/>
    <row newVal="1738" oldVal="1736"/>
    <row newVal="1739" oldVal="1737"/>
    <row newVal="1740" oldVal="1722"/>
    <row newVal="1741" oldVal="1723"/>
    <row newVal="1742" oldVal="1738"/>
    <row newVal="1743" oldVal="1739"/>
    <row newVal="1744" oldVal="1740"/>
    <row newVal="1745" oldVal="1741"/>
    <row newVal="1746" oldVal="1743"/>
    <row newVal="1747" oldVal="1744"/>
    <row newVal="1748" oldVal="1745"/>
    <row newVal="1749" oldVal="1746"/>
    <row newVal="1750" oldVal="1742"/>
    <row newVal="1751" oldVal="1747"/>
    <row newVal="1752" oldVal="1717"/>
    <row newVal="1753" oldVal="1751"/>
    <row newVal="1754" oldVal="1752"/>
    <row newVal="1755" oldVal="1753"/>
    <row newVal="1756" oldVal="1749"/>
    <row newVal="1757" oldVal="1750"/>
    <row newVal="1758" oldVal="1754"/>
    <row newVal="1759" oldVal="1755"/>
    <row newVal="1760" oldVal="1756"/>
    <row newVal="1761" oldVal="1757"/>
    <row newVal="1762" oldVal="1758"/>
    <row newVal="1763" oldVal="1762"/>
    <row newVal="1764" oldVal="1763"/>
    <row newVal="1765" oldVal="1764"/>
    <row newVal="1766" oldVal="1765"/>
    <row newVal="1767" oldVal="1766"/>
    <row newVal="1768" oldVal="1767"/>
    <row newVal="1769" oldVal="1768"/>
    <row newVal="1770" oldVal="1769"/>
    <row newVal="1771" oldVal="1770"/>
    <row newVal="1772" oldVal="1771"/>
    <row newVal="1773" oldVal="1760"/>
    <row newVal="1774" oldVal="1761"/>
    <row newVal="1775" oldVal="1772"/>
    <row newVal="1776" oldVal="1773"/>
    <row newVal="1777" oldVal="1774"/>
    <row newVal="1778" oldVal="1775"/>
    <row newVal="1779" oldVal="1776"/>
    <row newVal="1780" oldVal="1718"/>
    <row newVal="1789" oldVal="1777"/>
    <row newVal="1790" oldVal="1778"/>
    <row newVal="1791" oldVal="1779"/>
    <row newVal="1792" oldVal="1780"/>
    <row newVal="1793" oldVal="1789"/>
    <row newVal="1794" oldVal="1790"/>
    <row newVal="1796" oldVal="1792"/>
    <row newVal="1797" oldVal="1793"/>
    <row newVal="1798" oldVal="1794"/>
    <row newVal="1799" oldVal="1759"/>
    <row newVal="1800" oldVal="1797"/>
    <row newVal="1801" oldVal="1798"/>
    <row newVal="1802" oldVal="1799"/>
    <row newVal="1804" oldVal="1802"/>
    <row newVal="1805" oldVal="1804"/>
    <row newVal="1806" oldVal="1800"/>
    <row newVal="1807" oldVal="1801"/>
    <row newVal="1808" oldVal="1805"/>
    <row newVal="1809" oldVal="1806"/>
    <row newVal="1810" oldVal="1807"/>
    <row newVal="1811" oldVal="1808"/>
    <row newVal="1812" oldVal="1809"/>
    <row newVal="1813" oldVal="1810"/>
    <row newVal="1814" oldVal="1811"/>
    <row newVal="1815" oldVal="1812"/>
    <row newVal="1816" oldVal="1813"/>
    <row newVal="1817" oldVal="1814"/>
    <row newVal="1818" oldVal="1815"/>
    <row newVal="1819" oldVal="1816"/>
    <row newVal="1820" oldVal="1791"/>
    <row newVal="1822" oldVal="1818"/>
    <row newVal="1824" oldVal="1819"/>
  </rowSortMap>
</worksheetSortMap>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15</vt:i4>
      </vt:variant>
    </vt:vector>
  </HeadingPairs>
  <TitlesOfParts>
    <vt:vector size="33" baseType="lpstr">
      <vt:lpstr>Dates</vt:lpstr>
      <vt:lpstr>Combined Elections Calendar</vt:lpstr>
      <vt:lpstr>1</vt:lpstr>
      <vt:lpstr>2</vt:lpstr>
      <vt:lpstr>3</vt:lpstr>
      <vt:lpstr>4</vt:lpstr>
      <vt:lpstr>5</vt:lpstr>
      <vt:lpstr>6</vt:lpstr>
      <vt:lpstr>7</vt:lpstr>
      <vt:lpstr>8</vt:lpstr>
      <vt:lpstr>9</vt:lpstr>
      <vt:lpstr>10</vt:lpstr>
      <vt:lpstr>11</vt:lpstr>
      <vt:lpstr>12</vt:lpstr>
      <vt:lpstr>13</vt:lpstr>
      <vt:lpstr>14</vt:lpstr>
      <vt:lpstr>15</vt:lpstr>
      <vt:lpstr>16</vt:lpstr>
      <vt:lpstr>'Combined Elections Calendar'!Print_Area</vt:lpstr>
      <vt:lpstr>Dates!Print_Area</vt:lpstr>
      <vt:lpstr>'1'!Print_Titles</vt:lpstr>
      <vt:lpstr>'10'!Print_Titles</vt:lpstr>
      <vt:lpstr>'11'!Print_Titles</vt:lpstr>
      <vt:lpstr>'12'!Print_Titles</vt:lpstr>
      <vt:lpstr>'13'!Print_Titles</vt:lpstr>
      <vt:lpstr>'2'!Print_Titles</vt:lpstr>
      <vt:lpstr>'3'!Print_Titles</vt:lpstr>
      <vt:lpstr>'4'!Print_Titles</vt:lpstr>
      <vt:lpstr>'5'!Print_Titles</vt:lpstr>
      <vt:lpstr>'6'!Print_Titles</vt:lpstr>
      <vt:lpstr>'7'!Print_Titles</vt:lpstr>
      <vt:lpstr>'9'!Print_Titles</vt:lpstr>
      <vt:lpstr>'Combined Elections Calendar'!Print_Titles</vt:lpstr>
    </vt:vector>
  </TitlesOfParts>
  <Company>Secretary of State - MN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andbr01</dc:creator>
  <cp:lastModifiedBy>Stella.Hegg</cp:lastModifiedBy>
  <cp:lastPrinted>2014-01-08T22:17:28Z</cp:lastPrinted>
  <dcterms:created xsi:type="dcterms:W3CDTF">2007-03-12T16:39:37Z</dcterms:created>
  <dcterms:modified xsi:type="dcterms:W3CDTF">2014-06-18T19:10:57Z</dcterms:modified>
</cp:coreProperties>
</file>