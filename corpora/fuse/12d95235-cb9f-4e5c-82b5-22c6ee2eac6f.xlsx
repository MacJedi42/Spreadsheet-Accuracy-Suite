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90" yWindow="-15" windowWidth="11295" windowHeight="6495"/>
  </bookViews>
  <sheets>
    <sheet name="Sheet1" sheetId="1" r:id="rId1"/>
  </sheets>
  <definedNames>
    <definedName name="_xlnm.Print_Area" localSheetId="0">Sheet1!$A$1:$F$252</definedName>
  </definedNames>
  <calcPr calcId="125725"/>
</workbook>
</file>

<file path=xl/calcChain.xml><?xml version="1.0" encoding="utf-8"?>
<calcChain xmlns="http://schemas.openxmlformats.org/spreadsheetml/2006/main">
  <c r="F55" i="1"/>
  <c r="F54"/>
  <c r="F53"/>
  <c r="F52"/>
  <c r="F51"/>
  <c r="F45"/>
  <c r="F46"/>
  <c r="F57" s="1"/>
  <c r="F47"/>
  <c r="F48"/>
  <c r="F50"/>
  <c r="F56"/>
  <c r="F19"/>
  <c r="F20"/>
  <c r="F22"/>
  <c r="F23"/>
  <c r="F24"/>
  <c r="F25"/>
  <c r="F26"/>
  <c r="F27"/>
  <c r="F28"/>
  <c r="F31" s="1"/>
  <c r="F29"/>
  <c r="F30"/>
  <c r="F32"/>
  <c r="F33"/>
  <c r="F34"/>
  <c r="F35"/>
  <c r="F36"/>
  <c r="F37"/>
  <c r="F38"/>
  <c r="F39"/>
  <c r="F40"/>
  <c r="F41"/>
  <c r="F42"/>
  <c r="F43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6" s="1"/>
  <c r="F92"/>
  <c r="F93"/>
  <c r="F94"/>
  <c r="F95"/>
  <c r="F98"/>
  <c r="F99"/>
  <c r="F100"/>
  <c r="F101"/>
  <c r="F102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201"/>
  <c r="F202"/>
  <c r="F203"/>
  <c r="F204"/>
  <c r="F205"/>
  <c r="F206"/>
  <c r="F207"/>
  <c r="F208"/>
  <c r="F209"/>
  <c r="F212" s="1"/>
  <c r="F210"/>
  <c r="F211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 s="1"/>
  <c r="F232"/>
  <c r="G336"/>
  <c r="G337"/>
  <c r="G338"/>
  <c r="G339"/>
  <c r="G340"/>
  <c r="G341"/>
  <c r="G342"/>
  <c r="G343"/>
  <c r="G344"/>
  <c r="G345"/>
  <c r="G346"/>
  <c r="G348"/>
  <c r="G349"/>
  <c r="G350"/>
  <c r="G351"/>
  <c r="G352"/>
  <c r="G353"/>
  <c r="G354"/>
  <c r="G355"/>
  <c r="G356"/>
  <c r="G357"/>
  <c r="G359"/>
  <c r="G360"/>
  <c r="G361"/>
  <c r="G363"/>
  <c r="G364"/>
  <c r="F199" l="1"/>
  <c r="F128"/>
  <c r="F103"/>
  <c r="F44"/>
  <c r="F21"/>
  <c r="F231" l="1"/>
  <c r="F233" s="1"/>
</calcChain>
</file>

<file path=xl/sharedStrings.xml><?xml version="1.0" encoding="utf-8"?>
<sst xmlns="http://schemas.openxmlformats.org/spreadsheetml/2006/main" count="446" uniqueCount="172">
  <si>
    <t>Work Category</t>
  </si>
  <si>
    <t>Improvement Item</t>
  </si>
  <si>
    <t>Unit</t>
  </si>
  <si>
    <t>Plan Quantity</t>
  </si>
  <si>
    <t>Erosion Control</t>
  </si>
  <si>
    <t>Silt Fence</t>
  </si>
  <si>
    <t>Straw Bales</t>
  </si>
  <si>
    <t>Seedbed Preparation</t>
  </si>
  <si>
    <t>Diversion Dikes/Ditches</t>
  </si>
  <si>
    <t>Grading</t>
  </si>
  <si>
    <t>Compacting</t>
  </si>
  <si>
    <t>SQ YD</t>
  </si>
  <si>
    <t>LIN FT</t>
  </si>
  <si>
    <t>EACH</t>
  </si>
  <si>
    <t>CU YD</t>
  </si>
  <si>
    <t>TON</t>
  </si>
  <si>
    <t>Aggregate Base Course</t>
  </si>
  <si>
    <t>Fine Grading &amp; Shaping</t>
  </si>
  <si>
    <t>Total Cost</t>
  </si>
  <si>
    <t>Bridges</t>
  </si>
  <si>
    <t>Handicap Ramps</t>
  </si>
  <si>
    <t>Striping</t>
  </si>
  <si>
    <t>Water Systems</t>
  </si>
  <si>
    <t>Bedding Material</t>
  </si>
  <si>
    <t>Steel Cased Bore</t>
  </si>
  <si>
    <t>Fire Protection</t>
  </si>
  <si>
    <t>Abatement Structures</t>
  </si>
  <si>
    <t>SQ FT</t>
  </si>
  <si>
    <t>Geotextiles</t>
  </si>
  <si>
    <t>Sod</t>
  </si>
  <si>
    <t>Hot Bituminous Pavement-(thickness, width, inches)</t>
  </si>
  <si>
    <t>Soil Reconditioning (soil treatment, etc)</t>
  </si>
  <si>
    <t>Trails (width)</t>
  </si>
  <si>
    <t>Signs (street, stop, road name, traffic, etc.)</t>
  </si>
  <si>
    <t>Street Lighting (at street intersections with Arterial, etc.)</t>
  </si>
  <si>
    <t>Traffic Control Devices (signals)</t>
  </si>
  <si>
    <t>Cisterns (gallon capacity)</t>
  </si>
  <si>
    <t>Drainage Channels (i.e. drop structures, etc.)</t>
  </si>
  <si>
    <t>Drainage Appurtenances (i.e.subdrains, hydraulic structures, etc.)</t>
  </si>
  <si>
    <t>Baffles (type, size)</t>
  </si>
  <si>
    <t>Manholes "6</t>
  </si>
  <si>
    <t>Manholes  5"</t>
  </si>
  <si>
    <t>Cross Pans</t>
  </si>
  <si>
    <t>Mulching (Wood)</t>
  </si>
  <si>
    <t>Grading  (Import)</t>
  </si>
  <si>
    <t>V Gutter Pan</t>
  </si>
  <si>
    <t>Inlet Protection</t>
  </si>
  <si>
    <t>Vehicle Tracking Pad</t>
  </si>
  <si>
    <t>Pavement Rotomilling</t>
  </si>
  <si>
    <t>Construction Seal</t>
  </si>
  <si>
    <t>Exhibit "A"</t>
  </si>
  <si>
    <t>Date</t>
  </si>
  <si>
    <t>IMPROVEMENTS LIST PRICING</t>
  </si>
  <si>
    <t>PUBLIC IMPROVEMENT COSTS</t>
  </si>
  <si>
    <t>Case Name</t>
  </si>
  <si>
    <t>LOCATION</t>
  </si>
  <si>
    <t>Case Number</t>
  </si>
  <si>
    <t>4" PVC Sewer Line</t>
  </si>
  <si>
    <t>Manholes 4"</t>
  </si>
  <si>
    <t>6" PVC Sewer Line</t>
  </si>
  <si>
    <t>Trench Gravel (In place)</t>
  </si>
  <si>
    <t>Geo Textile (In place)</t>
  </si>
  <si>
    <t xml:space="preserve"> Unit Cost</t>
  </si>
  <si>
    <t>6" PVC Underdrain</t>
  </si>
  <si>
    <t>4' PVC Underdrain Service Line</t>
  </si>
  <si>
    <t>Cleanout</t>
  </si>
  <si>
    <t>Manhole Adjustment</t>
  </si>
  <si>
    <t>8" PVC Sewer Line (Main)</t>
  </si>
  <si>
    <t>Mulching (Straw)</t>
  </si>
  <si>
    <t xml:space="preserve">Riprap 6" (VL) </t>
  </si>
  <si>
    <t>Riprap 9" (L)</t>
  </si>
  <si>
    <t>Riprap 12" (M)</t>
  </si>
  <si>
    <t>Riprap18" (H)</t>
  </si>
  <si>
    <t>Riprap 24" (VH)</t>
  </si>
  <si>
    <t>Water Line Pipe 6" (ductile Iron)</t>
  </si>
  <si>
    <t>Water Line Pipe 8" (ductile Iron)</t>
  </si>
  <si>
    <t>Median Treatment (stamped concrete, pavers, seeding)</t>
  </si>
  <si>
    <t>Trench Gravel (in place)</t>
  </si>
  <si>
    <t>Asphalt Trench Resurfacing (depth/width)</t>
  </si>
  <si>
    <t>Gravel Trench Resurfacing (depth/width)</t>
  </si>
  <si>
    <t xml:space="preserve">Crosswalks (concrete/pattern pavers) </t>
  </si>
  <si>
    <t>Valve Adjustment</t>
  </si>
  <si>
    <t>Sediment Control</t>
  </si>
  <si>
    <t>Permanent Seeding</t>
  </si>
  <si>
    <t>Temporary seeding</t>
  </si>
  <si>
    <t>Grading (Export)</t>
  </si>
  <si>
    <t>Valve Box</t>
  </si>
  <si>
    <t>Sewer Systems</t>
  </si>
  <si>
    <t>8" Collection pipe</t>
  </si>
  <si>
    <t>Risers</t>
  </si>
  <si>
    <t>Cleanouts</t>
  </si>
  <si>
    <t>Inlets Type R, 5'</t>
  </si>
  <si>
    <t>Inlets Type R, 10'</t>
  </si>
  <si>
    <t>Inlets Type R, 15'</t>
  </si>
  <si>
    <t>Inlets Type 13 - Combination, single</t>
  </si>
  <si>
    <t>Inlets Type 13 - Combination, triple</t>
  </si>
  <si>
    <t>Drop Inlets (size, type)</t>
  </si>
  <si>
    <t>Flared End Sections CMP (size)</t>
  </si>
  <si>
    <t>Concrete End Sections (size)</t>
  </si>
  <si>
    <t>Gate Valve (size)</t>
  </si>
  <si>
    <t>Gate Valve and Box (size)</t>
  </si>
  <si>
    <t>Fittings (size, type)</t>
  </si>
  <si>
    <t>Bends (size, type)</t>
  </si>
  <si>
    <t>Fire Hydrant Assembly</t>
  </si>
  <si>
    <t>Manholes (size)</t>
  </si>
  <si>
    <t>Urban Dranage District Final Inspection &amp; Repair</t>
  </si>
  <si>
    <t xml:space="preserve">Lime Treated Subgrade </t>
  </si>
  <si>
    <t>6" Vertical Curb and Gutter</t>
  </si>
  <si>
    <t>Combination Curb, Gutter &amp; Sidewalk</t>
  </si>
  <si>
    <t>Detached Sidewalks (width)</t>
  </si>
  <si>
    <t>Special Structures (guardrail, etc.)</t>
  </si>
  <si>
    <t>Pond grading</t>
  </si>
  <si>
    <t>Trickle channel</t>
  </si>
  <si>
    <t>Riprap (size)</t>
  </si>
  <si>
    <t>Prepared By (Print Name)</t>
  </si>
  <si>
    <t>Owner/Applicant (Print Name)</t>
  </si>
  <si>
    <t>Approved- Jefferson County</t>
  </si>
  <si>
    <t>Inlets Type 13 - Combination, double</t>
  </si>
  <si>
    <t>HOW TO USE THIS SPREADSHEET</t>
  </si>
  <si>
    <t>1. Please eliminate line items that you are not using</t>
  </si>
  <si>
    <t>3. Please use your most recent and accurate pricing information.</t>
  </si>
  <si>
    <t>5. Please include printed names under each signature.</t>
  </si>
  <si>
    <t>2. Please add line items as necessary to make the Exhibit "A" specific to your project.</t>
  </si>
  <si>
    <t>4. Please include the case information at the top of the sheet, i.e., case number, etc.</t>
  </si>
  <si>
    <t>Outlet Structure (include grates, orifice plates, etc.</t>
  </si>
  <si>
    <t>Subsurface groundwater collection systems (on Private Property)</t>
  </si>
  <si>
    <t>Detention/Retention (Outlet Structure)</t>
  </si>
  <si>
    <t>PRIVATE CIRCULATION ITEMS</t>
  </si>
  <si>
    <t>Storm Drainage</t>
  </si>
  <si>
    <t>PUBLIC CIRCULATION ITEMS</t>
  </si>
  <si>
    <t>OTHER SITEWORK</t>
  </si>
  <si>
    <t>Check Dams</t>
  </si>
  <si>
    <t>Concrete Washout Area</t>
  </si>
  <si>
    <t>Dewatering</t>
  </si>
  <si>
    <t>LUMP SUM</t>
  </si>
  <si>
    <t>Reinforced Rock Berms</t>
  </si>
  <si>
    <t>Sediment Control Logs</t>
  </si>
  <si>
    <t>Sediment Traps</t>
  </si>
  <si>
    <t>Erosion Control Blankets</t>
  </si>
  <si>
    <t>Gravel</t>
  </si>
  <si>
    <t>ACRE</t>
  </si>
  <si>
    <t>Outlet Protection (Type L Riprap)</t>
  </si>
  <si>
    <t>Culverts CMP 15"</t>
  </si>
  <si>
    <t>Culverts CMP 18"</t>
  </si>
  <si>
    <t>Culverts CMP 24"</t>
  </si>
  <si>
    <t>Culverts CMP 30"</t>
  </si>
  <si>
    <t>Culverts CMP 36"</t>
  </si>
  <si>
    <t>Culverts CMP 48"</t>
  </si>
  <si>
    <t>Culverts CMP 60"</t>
  </si>
  <si>
    <t>Storm Sewer RCP 18"</t>
  </si>
  <si>
    <t>Storm Sewer RCP 24"</t>
  </si>
  <si>
    <t>Storm Sewer RCP 21"</t>
  </si>
  <si>
    <t>Storm Sewer RCP 30"</t>
  </si>
  <si>
    <t>Storm Sewer RCP 36"</t>
  </si>
  <si>
    <t>Storm Sewer RCP 27"</t>
  </si>
  <si>
    <t>Subtotal</t>
  </si>
  <si>
    <t>10% Contingency</t>
  </si>
  <si>
    <t>TOTAL</t>
  </si>
  <si>
    <t>Construction</t>
  </si>
  <si>
    <t>Sediment Basin (per contributory acre)</t>
  </si>
  <si>
    <t>Type 'C' Inlet</t>
  </si>
  <si>
    <t>Final Stabilization</t>
  </si>
  <si>
    <t>Topsoil (Import)</t>
  </si>
  <si>
    <t>Topsoil (CIP)</t>
  </si>
  <si>
    <t>Private Circulation (Streets/Roads)</t>
  </si>
  <si>
    <t>Public Circulation (Streets/Roads)</t>
  </si>
  <si>
    <t>Total</t>
  </si>
  <si>
    <t>Mulch (remove straw)</t>
  </si>
  <si>
    <t>Sediment control logs</t>
  </si>
  <si>
    <t>Inlet protection</t>
  </si>
  <si>
    <t>Check dams</t>
  </si>
  <si>
    <t>Temp. sediment basin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</si>
</sst>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5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2"/>
      <name val="Arial"/>
      <family val="2"/>
    </font>
    <font>
      <sz val="8"/>
      <name val="Arial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3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/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44" fontId="0" fillId="0" borderId="3" xfId="1" applyFont="1" applyBorder="1"/>
    <xf numFmtId="44" fontId="0" fillId="0" borderId="0" xfId="1" applyFont="1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44" fontId="0" fillId="0" borderId="5" xfId="1" applyFont="1" applyBorder="1"/>
    <xf numFmtId="0" fontId="3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44" fontId="0" fillId="0" borderId="9" xfId="1" applyFont="1" applyBorder="1"/>
    <xf numFmtId="0" fontId="3" fillId="0" borderId="9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2" fillId="0" borderId="10" xfId="0" applyFont="1" applyFill="1" applyBorder="1" applyAlignment="1">
      <alignment horizontal="center" vertical="justify" wrapText="1"/>
    </xf>
    <xf numFmtId="0" fontId="2" fillId="2" borderId="11" xfId="0" applyFont="1" applyFill="1" applyBorder="1" applyAlignment="1">
      <alignment horizontal="center" wrapText="1"/>
    </xf>
    <xf numFmtId="0" fontId="0" fillId="0" borderId="12" xfId="0" applyBorder="1" applyAlignment="1">
      <alignment wrapText="1"/>
    </xf>
    <xf numFmtId="44" fontId="0" fillId="0" borderId="12" xfId="1" applyFont="1" applyBorder="1"/>
    <xf numFmtId="0" fontId="0" fillId="0" borderId="6" xfId="0" applyBorder="1" applyAlignment="1">
      <alignment wrapText="1"/>
    </xf>
    <xf numFmtId="44" fontId="0" fillId="0" borderId="6" xfId="1" applyFont="1" applyBorder="1"/>
    <xf numFmtId="0" fontId="0" fillId="0" borderId="13" xfId="0" applyBorder="1" applyAlignment="1">
      <alignment wrapText="1"/>
    </xf>
    <xf numFmtId="44" fontId="0" fillId="0" borderId="13" xfId="1" applyFont="1" applyBorder="1"/>
    <xf numFmtId="0" fontId="2" fillId="0" borderId="14" xfId="0" applyFont="1" applyBorder="1" applyAlignment="1">
      <alignment horizontal="center" vertical="justify" wrapText="1"/>
    </xf>
    <xf numFmtId="0" fontId="0" fillId="0" borderId="15" xfId="0" applyBorder="1" applyAlignment="1">
      <alignment horizontal="center" vertical="justify" wrapText="1"/>
    </xf>
    <xf numFmtId="0" fontId="2" fillId="0" borderId="15" xfId="0" applyFont="1" applyBorder="1" applyAlignment="1">
      <alignment horizontal="center" vertical="justify" wrapText="1"/>
    </xf>
    <xf numFmtId="0" fontId="2" fillId="0" borderId="16" xfId="0" applyFont="1" applyBorder="1" applyAlignment="1">
      <alignment horizontal="center" vertical="justify" wrapText="1"/>
    </xf>
    <xf numFmtId="0" fontId="2" fillId="0" borderId="17" xfId="0" applyFont="1" applyBorder="1" applyAlignment="1">
      <alignment horizontal="center" vertical="justify" wrapText="1"/>
    </xf>
    <xf numFmtId="0" fontId="2" fillId="0" borderId="18" xfId="0" applyFont="1" applyBorder="1" applyAlignment="1">
      <alignment horizontal="center" vertical="justify" wrapText="1"/>
    </xf>
    <xf numFmtId="0" fontId="2" fillId="0" borderId="19" xfId="0" applyFont="1" applyBorder="1" applyAlignment="1">
      <alignment horizontal="center" vertical="justify" wrapText="1"/>
    </xf>
    <xf numFmtId="0" fontId="0" fillId="0" borderId="15" xfId="0" applyBorder="1" applyAlignment="1">
      <alignment wrapText="1"/>
    </xf>
    <xf numFmtId="0" fontId="3" fillId="0" borderId="19" xfId="0" applyFont="1" applyBorder="1" applyAlignment="1">
      <alignment horizontal="left" vertical="justify" wrapText="1"/>
    </xf>
    <xf numFmtId="0" fontId="3" fillId="0" borderId="20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left" vertical="justify" wrapText="1"/>
    </xf>
    <xf numFmtId="0" fontId="3" fillId="0" borderId="9" xfId="0" applyFont="1" applyBorder="1" applyAlignment="1">
      <alignment horizontal="left" vertical="justify" wrapText="1"/>
    </xf>
    <xf numFmtId="0" fontId="0" fillId="0" borderId="1" xfId="0" applyBorder="1" applyAlignment="1">
      <alignment horizontal="left" vertical="justify" wrapText="1"/>
    </xf>
    <xf numFmtId="0" fontId="0" fillId="0" borderId="12" xfId="0" applyBorder="1" applyAlignment="1">
      <alignment horizontal="left" vertical="justify" wrapText="1"/>
    </xf>
    <xf numFmtId="0" fontId="0" fillId="0" borderId="0" xfId="0" applyBorder="1" applyAlignment="1">
      <alignment horizontal="left" vertical="justify" wrapText="1"/>
    </xf>
    <xf numFmtId="0" fontId="0" fillId="0" borderId="9" xfId="0" applyBorder="1" applyAlignment="1">
      <alignment horizontal="left" vertical="justify" wrapText="1"/>
    </xf>
    <xf numFmtId="0" fontId="2" fillId="0" borderId="21" xfId="0" applyFont="1" applyFill="1" applyBorder="1" applyAlignment="1">
      <alignment horizontal="center" vertical="justify" wrapText="1"/>
    </xf>
    <xf numFmtId="0" fontId="2" fillId="0" borderId="22" xfId="0" applyFont="1" applyFill="1" applyBorder="1" applyAlignment="1">
      <alignment horizontal="center" vertical="justify" wrapText="1"/>
    </xf>
    <xf numFmtId="0" fontId="3" fillId="0" borderId="23" xfId="0" applyFont="1" applyBorder="1" applyAlignment="1">
      <alignment horizontal="left" vertical="justify" wrapText="1"/>
    </xf>
    <xf numFmtId="0" fontId="2" fillId="0" borderId="24" xfId="0" applyFont="1" applyBorder="1" applyAlignment="1">
      <alignment horizontal="center" vertical="justify" wrapText="1"/>
    </xf>
    <xf numFmtId="0" fontId="3" fillId="0" borderId="7" xfId="0" applyFont="1" applyBorder="1" applyAlignment="1">
      <alignment wrapText="1"/>
    </xf>
    <xf numFmtId="44" fontId="0" fillId="0" borderId="7" xfId="1" applyFont="1" applyBorder="1"/>
    <xf numFmtId="0" fontId="3" fillId="0" borderId="25" xfId="0" applyFont="1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/>
    <xf numFmtId="0" fontId="2" fillId="0" borderId="27" xfId="0" applyFont="1" applyBorder="1" applyAlignment="1">
      <alignment horizontal="center" vertical="justify" wrapText="1"/>
    </xf>
    <xf numFmtId="0" fontId="2" fillId="0" borderId="28" xfId="0" applyFont="1" applyBorder="1" applyAlignment="1">
      <alignment horizontal="center" vertical="justify" wrapText="1"/>
    </xf>
    <xf numFmtId="0" fontId="3" fillId="0" borderId="27" xfId="0" applyFont="1" applyBorder="1" applyAlignment="1">
      <alignment horizontal="left" vertical="justify" wrapText="1"/>
    </xf>
    <xf numFmtId="0" fontId="0" fillId="0" borderId="28" xfId="0" applyBorder="1" applyAlignment="1">
      <alignment horizontal="left" vertical="justify" wrapText="1"/>
    </xf>
    <xf numFmtId="0" fontId="0" fillId="0" borderId="28" xfId="0" applyBorder="1" applyAlignment="1">
      <alignment wrapText="1"/>
    </xf>
    <xf numFmtId="44" fontId="0" fillId="0" borderId="28" xfId="1" applyFont="1" applyBorder="1"/>
    <xf numFmtId="0" fontId="3" fillId="0" borderId="28" xfId="0" applyFont="1" applyBorder="1" applyAlignment="1">
      <alignment wrapText="1"/>
    </xf>
    <xf numFmtId="0" fontId="3" fillId="0" borderId="29" xfId="0" applyFont="1" applyBorder="1" applyAlignment="1">
      <alignment wrapText="1"/>
    </xf>
    <xf numFmtId="0" fontId="0" fillId="0" borderId="29" xfId="0" applyBorder="1" applyAlignment="1">
      <alignment wrapText="1"/>
    </xf>
    <xf numFmtId="44" fontId="0" fillId="0" borderId="30" xfId="1" applyFont="1" applyBorder="1"/>
    <xf numFmtId="0" fontId="2" fillId="0" borderId="31" xfId="0" applyFont="1" applyBorder="1" applyAlignment="1">
      <alignment horizontal="center" vertical="justify" wrapText="1"/>
    </xf>
    <xf numFmtId="0" fontId="2" fillId="0" borderId="32" xfId="0" applyFont="1" applyBorder="1" applyAlignment="1">
      <alignment horizontal="center" vertical="justify" wrapText="1"/>
    </xf>
    <xf numFmtId="0" fontId="3" fillId="0" borderId="33" xfId="0" applyFont="1" applyBorder="1" applyAlignment="1">
      <alignment wrapText="1"/>
    </xf>
    <xf numFmtId="44" fontId="0" fillId="0" borderId="34" xfId="1" applyFont="1" applyBorder="1"/>
    <xf numFmtId="0" fontId="9" fillId="0" borderId="35" xfId="0" applyFont="1" applyBorder="1" applyAlignment="1">
      <alignment horizontal="center" vertical="center"/>
    </xf>
    <xf numFmtId="44" fontId="0" fillId="0" borderId="36" xfId="1" applyFont="1" applyBorder="1" applyAlignment="1">
      <alignment horizontal="justify"/>
    </xf>
    <xf numFmtId="44" fontId="0" fillId="0" borderId="37" xfId="1" applyFont="1" applyBorder="1"/>
    <xf numFmtId="44" fontId="0" fillId="0" borderId="38" xfId="1" applyFont="1" applyBorder="1"/>
    <xf numFmtId="44" fontId="2" fillId="2" borderId="39" xfId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wrapText="1"/>
    </xf>
    <xf numFmtId="44" fontId="2" fillId="2" borderId="30" xfId="1" applyFont="1" applyFill="1" applyBorder="1" applyAlignment="1">
      <alignment horizontal="center" wrapText="1"/>
    </xf>
    <xf numFmtId="0" fontId="2" fillId="0" borderId="24" xfId="0" applyFont="1" applyFill="1" applyBorder="1" applyAlignment="1">
      <alignment horizontal="center" vertical="center" wrapText="1"/>
    </xf>
    <xf numFmtId="44" fontId="0" fillId="0" borderId="28" xfId="1" applyFont="1" applyBorder="1" applyAlignment="1"/>
    <xf numFmtId="44" fontId="0" fillId="0" borderId="40" xfId="1" applyFont="1" applyBorder="1"/>
    <xf numFmtId="44" fontId="0" fillId="0" borderId="36" xfId="1" applyFont="1" applyBorder="1"/>
    <xf numFmtId="0" fontId="2" fillId="0" borderId="2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justify" wrapText="1"/>
    </xf>
    <xf numFmtId="44" fontId="0" fillId="0" borderId="42" xfId="1" applyFont="1" applyBorder="1"/>
    <xf numFmtId="44" fontId="0" fillId="0" borderId="43" xfId="1" applyFont="1" applyBorder="1"/>
    <xf numFmtId="0" fontId="3" fillId="0" borderId="44" xfId="0" applyFont="1" applyBorder="1" applyAlignment="1">
      <alignment horizontal="left" vertical="justify" wrapText="1"/>
    </xf>
    <xf numFmtId="0" fontId="0" fillId="0" borderId="44" xfId="0" applyBorder="1" applyAlignment="1">
      <alignment horizontal="left" vertical="justify" wrapText="1"/>
    </xf>
    <xf numFmtId="0" fontId="0" fillId="0" borderId="44" xfId="0" applyBorder="1" applyAlignment="1">
      <alignment wrapText="1"/>
    </xf>
    <xf numFmtId="44" fontId="0" fillId="0" borderId="44" xfId="1" applyFont="1" applyBorder="1"/>
    <xf numFmtId="44" fontId="0" fillId="0" borderId="45" xfId="1" applyFont="1" applyBorder="1"/>
    <xf numFmtId="44" fontId="3" fillId="0" borderId="46" xfId="0" applyNumberFormat="1" applyFont="1" applyBorder="1" applyAlignment="1">
      <alignment horizontal="center"/>
    </xf>
    <xf numFmtId="44" fontId="3" fillId="0" borderId="2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2" xfId="0" applyBorder="1" applyAlignment="1">
      <alignment wrapText="1"/>
    </xf>
    <xf numFmtId="0" fontId="3" fillId="0" borderId="42" xfId="0" applyFont="1" applyBorder="1" applyAlignment="1">
      <alignment horizontal="left" vertical="justify" wrapText="1"/>
    </xf>
    <xf numFmtId="0" fontId="0" fillId="0" borderId="42" xfId="0" applyBorder="1" applyAlignment="1">
      <alignment horizontal="left" vertical="justify" wrapText="1"/>
    </xf>
    <xf numFmtId="0" fontId="3" fillId="0" borderId="47" xfId="0" applyFont="1" applyBorder="1" applyAlignment="1">
      <alignment wrapText="1"/>
    </xf>
    <xf numFmtId="0" fontId="0" fillId="0" borderId="47" xfId="0" applyBorder="1" applyAlignment="1">
      <alignment wrapText="1"/>
    </xf>
    <xf numFmtId="44" fontId="0" fillId="0" borderId="48" xfId="1" applyFont="1" applyBorder="1"/>
    <xf numFmtId="44" fontId="0" fillId="0" borderId="26" xfId="1" applyFont="1" applyBorder="1"/>
    <xf numFmtId="44" fontId="0" fillId="0" borderId="47" xfId="1" applyFont="1" applyBorder="1"/>
    <xf numFmtId="44" fontId="2" fillId="0" borderId="25" xfId="1" applyFont="1" applyBorder="1"/>
    <xf numFmtId="44" fontId="0" fillId="0" borderId="49" xfId="1" applyFont="1" applyBorder="1"/>
    <xf numFmtId="44" fontId="2" fillId="0" borderId="0" xfId="1" applyFont="1"/>
    <xf numFmtId="0" fontId="2" fillId="0" borderId="20" xfId="0" applyFont="1" applyFill="1" applyBorder="1" applyAlignment="1">
      <alignment horizontal="center" wrapText="1"/>
    </xf>
    <xf numFmtId="0" fontId="0" fillId="0" borderId="0" xfId="0" applyBorder="1"/>
    <xf numFmtId="44" fontId="0" fillId="0" borderId="50" xfId="1" applyFont="1" applyBorder="1"/>
    <xf numFmtId="44" fontId="2" fillId="0" borderId="0" xfId="1" applyFont="1" applyBorder="1"/>
    <xf numFmtId="44" fontId="0" fillId="0" borderId="25" xfId="1" applyFont="1" applyBorder="1"/>
    <xf numFmtId="8" fontId="14" fillId="0" borderId="28" xfId="0" applyNumberFormat="1" applyFont="1" applyBorder="1" applyAlignment="1">
      <alignment horizontal="justify" wrapText="1"/>
    </xf>
    <xf numFmtId="8" fontId="14" fillId="3" borderId="1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216</xdr:row>
      <xdr:rowOff>0</xdr:rowOff>
    </xdr:from>
    <xdr:to>
      <xdr:col>5</xdr:col>
      <xdr:colOff>685800</xdr:colOff>
      <xdr:row>216</xdr:row>
      <xdr:rowOff>0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4714875" y="43138725"/>
          <a:ext cx="2543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447675</xdr:colOff>
      <xdr:row>216</xdr:row>
      <xdr:rowOff>0</xdr:rowOff>
    </xdr:from>
    <xdr:to>
      <xdr:col>5</xdr:col>
      <xdr:colOff>695325</xdr:colOff>
      <xdr:row>216</xdr:row>
      <xdr:rowOff>0</xdr:rowOff>
    </xdr:to>
    <xdr:sp macro="" textlink="">
      <xdr:nvSpPr>
        <xdr:cNvPr id="1030" name="Line 6"/>
        <xdr:cNvSpPr>
          <a:spLocks noChangeShapeType="1"/>
        </xdr:cNvSpPr>
      </xdr:nvSpPr>
      <xdr:spPr bwMode="auto">
        <a:xfrm>
          <a:off x="4752975" y="43138725"/>
          <a:ext cx="2514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4"/>
  <sheetViews>
    <sheetView tabSelected="1" topLeftCell="A226" zoomScale="149" zoomScaleNormal="149" workbookViewId="0">
      <selection activeCell="E188" sqref="E188"/>
    </sheetView>
  </sheetViews>
  <sheetFormatPr defaultRowHeight="12.75"/>
  <cols>
    <col min="1" max="1" width="24.7109375" style="2" customWidth="1"/>
    <col min="2" max="2" width="39.85546875" style="3" customWidth="1"/>
    <col min="3" max="3" width="9" style="2" customWidth="1"/>
    <col min="4" max="4" width="12.7109375" style="2" customWidth="1"/>
    <col min="5" max="5" width="12.28515625" style="1" customWidth="1"/>
    <col min="6" max="6" width="11.28515625" style="1" customWidth="1"/>
    <col min="7" max="7" width="1.85546875" hidden="1" customWidth="1"/>
  </cols>
  <sheetData>
    <row r="1" spans="1:6" ht="36">
      <c r="B1" s="24" t="s">
        <v>118</v>
      </c>
      <c r="C1" s="25"/>
      <c r="D1" s="25"/>
    </row>
    <row r="2" spans="1:6" ht="18">
      <c r="B2" s="24"/>
      <c r="C2" s="25"/>
      <c r="D2" s="25"/>
    </row>
    <row r="3" spans="1:6" ht="36">
      <c r="B3" s="24" t="s">
        <v>119</v>
      </c>
      <c r="C3" s="25"/>
      <c r="D3" s="25"/>
    </row>
    <row r="4" spans="1:6" ht="72">
      <c r="B4" s="24" t="s">
        <v>122</v>
      </c>
      <c r="C4" s="25"/>
      <c r="D4" s="25"/>
    </row>
    <row r="5" spans="1:6" ht="54">
      <c r="B5" s="24" t="s">
        <v>120</v>
      </c>
      <c r="C5" s="25"/>
      <c r="D5" s="25"/>
    </row>
    <row r="6" spans="1:6" ht="54">
      <c r="B6" s="24" t="s">
        <v>123</v>
      </c>
      <c r="C6" s="25"/>
      <c r="D6" s="25"/>
    </row>
    <row r="7" spans="1:6" ht="54">
      <c r="B7" s="24" t="s">
        <v>121</v>
      </c>
      <c r="C7" s="25"/>
      <c r="D7" s="25"/>
    </row>
    <row r="8" spans="1:6" ht="18">
      <c r="B8" s="24"/>
    </row>
    <row r="11" spans="1:6" ht="18.75">
      <c r="A11" s="116" t="s">
        <v>50</v>
      </c>
      <c r="B11" s="116"/>
      <c r="C11" s="116"/>
      <c r="D11" s="116"/>
      <c r="E11" s="116"/>
      <c r="F11" s="116"/>
    </row>
    <row r="12" spans="1:6" ht="18">
      <c r="A12" s="117" t="s">
        <v>53</v>
      </c>
      <c r="B12" s="118"/>
      <c r="C12" s="118"/>
      <c r="D12" s="118"/>
      <c r="E12" s="118"/>
      <c r="F12" s="118"/>
    </row>
    <row r="13" spans="1:6" ht="14.25">
      <c r="A13" s="120" t="s">
        <v>54</v>
      </c>
      <c r="B13" s="120"/>
      <c r="C13" s="120"/>
      <c r="D13" s="120"/>
      <c r="E13" s="120"/>
      <c r="F13" s="120"/>
    </row>
    <row r="14" spans="1:6" s="6" customFormat="1" ht="27" customHeight="1">
      <c r="A14" s="121" t="s">
        <v>55</v>
      </c>
      <c r="B14" s="122"/>
      <c r="C14" s="122"/>
      <c r="D14" s="122"/>
      <c r="E14" s="122"/>
      <c r="F14" s="122"/>
    </row>
    <row r="15" spans="1:6" s="6" customFormat="1" ht="23.25" customHeight="1">
      <c r="A15" s="121" t="s">
        <v>56</v>
      </c>
      <c r="B15" s="121"/>
      <c r="C15" s="121"/>
      <c r="D15" s="121"/>
      <c r="E15" s="121"/>
      <c r="F15" s="121"/>
    </row>
    <row r="16" spans="1:6" s="6" customFormat="1" ht="13.5" customHeight="1" thickBot="1">
      <c r="A16" s="119" t="s">
        <v>51</v>
      </c>
      <c r="B16" s="119"/>
      <c r="C16" s="119"/>
      <c r="D16" s="119"/>
      <c r="E16" s="119"/>
      <c r="F16" s="119"/>
    </row>
    <row r="17" spans="1:6" s="6" customFormat="1" ht="21.95" customHeight="1" thickBot="1">
      <c r="A17" s="7"/>
      <c r="B17" s="18" t="s">
        <v>52</v>
      </c>
      <c r="C17" s="19"/>
      <c r="D17" s="19"/>
      <c r="E17" s="19"/>
      <c r="F17" s="74"/>
    </row>
    <row r="18" spans="1:6" s="6" customFormat="1" ht="45.75" customHeight="1" thickBot="1">
      <c r="A18" s="28" t="s">
        <v>0</v>
      </c>
      <c r="B18" s="79" t="s">
        <v>1</v>
      </c>
      <c r="C18" s="79" t="s">
        <v>2</v>
      </c>
      <c r="D18" s="79" t="s">
        <v>3</v>
      </c>
      <c r="E18" s="80" t="s">
        <v>62</v>
      </c>
      <c r="F18" s="78" t="s">
        <v>18</v>
      </c>
    </row>
    <row r="19" spans="1:6" s="6" customFormat="1" ht="13.5" customHeight="1">
      <c r="A19" s="81" t="s">
        <v>158</v>
      </c>
      <c r="B19" s="62" t="s">
        <v>47</v>
      </c>
      <c r="C19" s="63" t="s">
        <v>13</v>
      </c>
      <c r="D19" s="113"/>
      <c r="E19" s="82">
        <v>800</v>
      </c>
      <c r="F19" s="75">
        <f>SUM(E19*D19)</f>
        <v>0</v>
      </c>
    </row>
    <row r="20" spans="1:6" s="6" customFormat="1" ht="13.5" customHeight="1" thickBot="1">
      <c r="A20" s="85"/>
      <c r="B20" s="53" t="s">
        <v>133</v>
      </c>
      <c r="C20" s="50" t="s">
        <v>134</v>
      </c>
      <c r="D20" s="86"/>
      <c r="E20" s="87">
        <v>1000</v>
      </c>
      <c r="F20" s="83">
        <f>SUM(E20*D21)</f>
        <v>0</v>
      </c>
    </row>
    <row r="21" spans="1:6" s="6" customFormat="1" ht="13.5" customHeight="1" thickTop="1" thickBot="1">
      <c r="A21" s="51"/>
      <c r="D21" s="20"/>
      <c r="E21" s="96" t="s">
        <v>166</v>
      </c>
      <c r="F21" s="95">
        <f>SUM(F19:F20)</f>
        <v>0</v>
      </c>
    </row>
    <row r="22" spans="1:6" s="6" customFormat="1" ht="13.5" customHeight="1" thickTop="1">
      <c r="A22" s="54" t="s">
        <v>82</v>
      </c>
      <c r="B22" s="62" t="s">
        <v>5</v>
      </c>
      <c r="C22" s="63" t="s">
        <v>12</v>
      </c>
      <c r="D22" s="64"/>
      <c r="E22" s="65">
        <v>2</v>
      </c>
      <c r="F22" s="88">
        <f t="shared" ref="F22:F55" si="0">SUM(E22*D22)</f>
        <v>0</v>
      </c>
    </row>
    <row r="23" spans="1:6" s="6" customFormat="1" ht="13.5" customHeight="1">
      <c r="A23" s="36"/>
      <c r="B23" s="43" t="s">
        <v>6</v>
      </c>
      <c r="C23" s="47" t="s">
        <v>13</v>
      </c>
      <c r="D23" s="4"/>
      <c r="E23" s="5">
        <v>9</v>
      </c>
      <c r="F23" s="76">
        <f t="shared" si="0"/>
        <v>0</v>
      </c>
    </row>
    <row r="24" spans="1:6" s="6" customFormat="1" ht="13.5" customHeight="1">
      <c r="A24" s="37"/>
      <c r="B24" s="43" t="s">
        <v>46</v>
      </c>
      <c r="C24" s="49" t="s">
        <v>13</v>
      </c>
      <c r="D24" s="4"/>
      <c r="E24" s="5">
        <v>200</v>
      </c>
      <c r="F24" s="76">
        <f t="shared" si="0"/>
        <v>0</v>
      </c>
    </row>
    <row r="25" spans="1:6" s="6" customFormat="1" ht="13.5" customHeight="1">
      <c r="A25" s="37"/>
      <c r="B25" s="43" t="s">
        <v>131</v>
      </c>
      <c r="C25" s="47" t="s">
        <v>12</v>
      </c>
      <c r="D25" s="4"/>
      <c r="E25" s="5">
        <v>24</v>
      </c>
      <c r="F25" s="76">
        <f t="shared" si="0"/>
        <v>0</v>
      </c>
    </row>
    <row r="26" spans="1:6" s="6" customFormat="1" ht="13.5" customHeight="1">
      <c r="A26" s="37"/>
      <c r="B26" s="43" t="s">
        <v>132</v>
      </c>
      <c r="C26" s="47" t="s">
        <v>13</v>
      </c>
      <c r="D26" s="4"/>
      <c r="E26" s="5">
        <v>500</v>
      </c>
      <c r="F26" s="76">
        <f t="shared" si="0"/>
        <v>0</v>
      </c>
    </row>
    <row r="27" spans="1:6" s="6" customFormat="1" ht="13.5" customHeight="1">
      <c r="A27" s="37"/>
      <c r="B27" s="43" t="s">
        <v>135</v>
      </c>
      <c r="C27" s="47" t="s">
        <v>14</v>
      </c>
      <c r="D27" s="4"/>
      <c r="E27" s="5">
        <v>60</v>
      </c>
      <c r="F27" s="76">
        <f t="shared" si="0"/>
        <v>0</v>
      </c>
    </row>
    <row r="28" spans="1:6" s="6" customFormat="1" ht="13.5" customHeight="1">
      <c r="A28" s="37"/>
      <c r="B28" s="43" t="s">
        <v>136</v>
      </c>
      <c r="C28" s="47" t="s">
        <v>12</v>
      </c>
      <c r="D28" s="114"/>
      <c r="E28" s="5">
        <v>4</v>
      </c>
      <c r="F28" s="76">
        <f t="shared" si="0"/>
        <v>0</v>
      </c>
    </row>
    <row r="29" spans="1:6" s="6" customFormat="1" ht="13.5" customHeight="1">
      <c r="A29" s="37"/>
      <c r="B29" s="53" t="s">
        <v>159</v>
      </c>
      <c r="C29" s="50" t="s">
        <v>140</v>
      </c>
      <c r="D29" s="20"/>
      <c r="E29" s="21">
        <v>1000</v>
      </c>
      <c r="F29" s="76">
        <f>SUM(E29*D29)</f>
        <v>0</v>
      </c>
    </row>
    <row r="30" spans="1:6" s="6" customFormat="1" ht="13.5" customHeight="1" thickBot="1">
      <c r="A30" s="37"/>
      <c r="B30" s="44" t="s">
        <v>137</v>
      </c>
      <c r="C30" s="48" t="s">
        <v>13</v>
      </c>
      <c r="D30" s="29"/>
      <c r="E30" s="30">
        <v>600</v>
      </c>
      <c r="F30" s="93">
        <f>SUM(E30*D30)</f>
        <v>0</v>
      </c>
    </row>
    <row r="31" spans="1:6" s="6" customFormat="1" ht="13.5" customHeight="1" thickTop="1" thickBot="1">
      <c r="A31" s="38"/>
      <c r="E31" s="96" t="s">
        <v>166</v>
      </c>
      <c r="F31" s="94">
        <f>SUM(F22:F30)</f>
        <v>0</v>
      </c>
    </row>
    <row r="32" spans="1:6" s="6" customFormat="1" ht="13.5" customHeight="1" thickTop="1">
      <c r="A32" s="35" t="s">
        <v>4</v>
      </c>
      <c r="B32" s="89" t="s">
        <v>138</v>
      </c>
      <c r="C32" s="90" t="s">
        <v>11</v>
      </c>
      <c r="D32" s="91"/>
      <c r="E32" s="92">
        <v>2.5</v>
      </c>
      <c r="F32" s="84">
        <f t="shared" si="0"/>
        <v>0</v>
      </c>
    </row>
    <row r="33" spans="1:11" s="6" customFormat="1" ht="13.5" customHeight="1">
      <c r="A33" s="37"/>
      <c r="B33" s="45" t="s">
        <v>139</v>
      </c>
      <c r="C33" s="47" t="s">
        <v>14</v>
      </c>
      <c r="D33" s="4"/>
      <c r="E33" s="5">
        <v>60</v>
      </c>
      <c r="F33" s="76">
        <f t="shared" si="0"/>
        <v>0</v>
      </c>
    </row>
    <row r="34" spans="1:11" s="6" customFormat="1" ht="13.5" customHeight="1">
      <c r="A34" s="36"/>
      <c r="B34" s="46" t="s">
        <v>8</v>
      </c>
      <c r="C34" s="47" t="s">
        <v>12</v>
      </c>
      <c r="D34" s="4"/>
      <c r="E34" s="5">
        <v>2</v>
      </c>
      <c r="F34" s="76">
        <f t="shared" si="0"/>
        <v>0</v>
      </c>
    </row>
    <row r="35" spans="1:11" s="6" customFormat="1" ht="13.5" customHeight="1">
      <c r="A35" s="37"/>
      <c r="B35" s="45" t="s">
        <v>68</v>
      </c>
      <c r="C35" s="47" t="s">
        <v>11</v>
      </c>
      <c r="D35" s="4"/>
      <c r="E35" s="5">
        <v>0.1</v>
      </c>
      <c r="F35" s="76">
        <f t="shared" si="0"/>
        <v>0</v>
      </c>
    </row>
    <row r="36" spans="1:11" s="6" customFormat="1" ht="13.5" customHeight="1">
      <c r="A36" s="37"/>
      <c r="B36" s="45" t="s">
        <v>43</v>
      </c>
      <c r="C36" s="50" t="s">
        <v>14</v>
      </c>
      <c r="D36" s="20"/>
      <c r="E36" s="21">
        <v>15</v>
      </c>
      <c r="F36" s="76">
        <f t="shared" si="0"/>
        <v>0</v>
      </c>
    </row>
    <row r="37" spans="1:11" s="6" customFormat="1" ht="13.5" customHeight="1">
      <c r="A37" s="37"/>
      <c r="B37" s="45" t="s">
        <v>141</v>
      </c>
      <c r="C37" s="47" t="s">
        <v>14</v>
      </c>
      <c r="D37" s="4"/>
      <c r="E37" s="5">
        <v>45</v>
      </c>
      <c r="F37" s="76">
        <f t="shared" si="0"/>
        <v>0</v>
      </c>
    </row>
    <row r="38" spans="1:11" s="6" customFormat="1" ht="13.5" customHeight="1" thickBot="1">
      <c r="A38" s="37"/>
      <c r="B38" s="98" t="s">
        <v>84</v>
      </c>
      <c r="C38" s="99" t="s">
        <v>140</v>
      </c>
      <c r="D38" s="97"/>
      <c r="E38" s="87">
        <v>1500</v>
      </c>
      <c r="F38" s="83">
        <f>SUM(E38*D38)</f>
        <v>0</v>
      </c>
    </row>
    <row r="39" spans="1:11" s="6" customFormat="1" ht="13.5" customHeight="1" thickTop="1" thickBot="1">
      <c r="A39" s="37"/>
      <c r="E39" s="96" t="s">
        <v>166</v>
      </c>
      <c r="F39" s="95">
        <f>SUM(F32:F38)</f>
        <v>0</v>
      </c>
    </row>
    <row r="40" spans="1:11" s="6" customFormat="1" ht="13.5" customHeight="1" thickTop="1">
      <c r="A40" s="60" t="s">
        <v>9</v>
      </c>
      <c r="B40" s="66" t="s">
        <v>9</v>
      </c>
      <c r="C40" s="63" t="s">
        <v>14</v>
      </c>
      <c r="D40" s="64"/>
      <c r="E40" s="65">
        <v>5</v>
      </c>
      <c r="F40" s="88">
        <f t="shared" si="0"/>
        <v>0</v>
      </c>
    </row>
    <row r="41" spans="1:11" s="6" customFormat="1" ht="13.5" customHeight="1">
      <c r="A41" s="37"/>
      <c r="B41" s="13" t="s">
        <v>44</v>
      </c>
      <c r="C41" s="47" t="s">
        <v>14</v>
      </c>
      <c r="D41" s="4"/>
      <c r="E41" s="1">
        <v>12</v>
      </c>
      <c r="F41" s="76">
        <f t="shared" si="0"/>
        <v>0</v>
      </c>
    </row>
    <row r="42" spans="1:11" s="6" customFormat="1" ht="27.95" customHeight="1">
      <c r="A42" s="36"/>
      <c r="B42" s="13" t="s">
        <v>85</v>
      </c>
      <c r="C42" s="4" t="s">
        <v>14</v>
      </c>
      <c r="D42" s="4"/>
      <c r="E42" s="5">
        <v>2.5</v>
      </c>
      <c r="F42" s="76">
        <f t="shared" si="0"/>
        <v>0</v>
      </c>
    </row>
    <row r="43" spans="1:11" s="6" customFormat="1" ht="27.95" customHeight="1" thickBot="1">
      <c r="A43" s="36"/>
      <c r="B43" s="13" t="s">
        <v>10</v>
      </c>
      <c r="C43" s="4" t="s">
        <v>14</v>
      </c>
      <c r="D43" s="4"/>
      <c r="E43" s="5">
        <v>1.5</v>
      </c>
      <c r="F43" s="83">
        <f>SUM(E43*D43)</f>
        <v>0</v>
      </c>
    </row>
    <row r="44" spans="1:11" s="6" customFormat="1" ht="21.75" customHeight="1" thickTop="1" thickBot="1">
      <c r="A44" s="37"/>
      <c r="E44" s="96" t="s">
        <v>166</v>
      </c>
      <c r="F44" s="95">
        <f>SUM(F40:F43)</f>
        <v>0</v>
      </c>
    </row>
    <row r="45" spans="1:11" ht="13.5" customHeight="1" thickTop="1" thickBot="1">
      <c r="A45" s="61" t="s">
        <v>161</v>
      </c>
      <c r="B45" s="67" t="s">
        <v>83</v>
      </c>
      <c r="C45" s="68" t="s">
        <v>140</v>
      </c>
      <c r="D45" s="68"/>
      <c r="E45" s="69">
        <v>3500</v>
      </c>
      <c r="F45" s="88">
        <f t="shared" si="0"/>
        <v>0</v>
      </c>
      <c r="K45" s="59"/>
    </row>
    <row r="46" spans="1:11" ht="13.5" customHeight="1" thickTop="1">
      <c r="A46" s="37"/>
      <c r="B46" s="57" t="s">
        <v>29</v>
      </c>
      <c r="C46" s="58" t="s">
        <v>27</v>
      </c>
      <c r="D46" s="58"/>
      <c r="E46" s="21">
        <v>1</v>
      </c>
      <c r="F46" s="76">
        <f t="shared" si="0"/>
        <v>0</v>
      </c>
    </row>
    <row r="47" spans="1:11" ht="13.5" customHeight="1">
      <c r="A47" s="37"/>
      <c r="B47" s="57" t="s">
        <v>7</v>
      </c>
      <c r="C47" s="58" t="s">
        <v>11</v>
      </c>
      <c r="D47" s="58"/>
      <c r="E47" s="21">
        <v>0.1</v>
      </c>
      <c r="F47" s="76">
        <f t="shared" si="0"/>
        <v>0</v>
      </c>
    </row>
    <row r="48" spans="1:11" ht="13.5" customHeight="1">
      <c r="A48" s="37"/>
      <c r="B48" s="57" t="s">
        <v>162</v>
      </c>
      <c r="C48" s="58" t="s">
        <v>14</v>
      </c>
      <c r="D48" s="58"/>
      <c r="E48" s="21">
        <v>20</v>
      </c>
      <c r="F48" s="76">
        <f t="shared" si="0"/>
        <v>0</v>
      </c>
    </row>
    <row r="49" spans="1:6" ht="13.5" customHeight="1">
      <c r="A49" s="37"/>
      <c r="B49" s="57" t="s">
        <v>163</v>
      </c>
      <c r="C49" s="58" t="s">
        <v>14</v>
      </c>
      <c r="D49" s="58"/>
      <c r="E49" s="21">
        <v>12</v>
      </c>
      <c r="F49" s="76"/>
    </row>
    <row r="50" spans="1:6" ht="13.5" customHeight="1">
      <c r="A50" s="37"/>
      <c r="B50" s="57" t="s">
        <v>167</v>
      </c>
      <c r="C50" s="58" t="s">
        <v>11</v>
      </c>
      <c r="D50" s="58"/>
      <c r="E50" s="21">
        <v>0.1</v>
      </c>
      <c r="F50" s="83">
        <f t="shared" si="0"/>
        <v>0</v>
      </c>
    </row>
    <row r="51" spans="1:6" ht="13.5" customHeight="1">
      <c r="A51" s="37"/>
      <c r="B51" s="57" t="s">
        <v>5</v>
      </c>
      <c r="C51" s="58" t="s">
        <v>12</v>
      </c>
      <c r="D51" s="58"/>
      <c r="E51" s="112">
        <v>2</v>
      </c>
      <c r="F51" s="102">
        <f t="shared" si="0"/>
        <v>0</v>
      </c>
    </row>
    <row r="52" spans="1:6" ht="13.5" customHeight="1">
      <c r="A52" s="37"/>
      <c r="B52" s="57" t="s">
        <v>168</v>
      </c>
      <c r="C52" s="58" t="s">
        <v>12</v>
      </c>
      <c r="D52" s="58"/>
      <c r="E52" s="112">
        <v>4</v>
      </c>
      <c r="F52" s="102">
        <f t="shared" si="0"/>
        <v>0</v>
      </c>
    </row>
    <row r="53" spans="1:6" ht="13.5" customHeight="1">
      <c r="A53" s="37"/>
      <c r="B53" s="57" t="s">
        <v>169</v>
      </c>
      <c r="C53" s="58" t="s">
        <v>13</v>
      </c>
      <c r="D53" s="58"/>
      <c r="E53" s="112">
        <v>200</v>
      </c>
      <c r="F53" s="102">
        <f t="shared" si="0"/>
        <v>0</v>
      </c>
    </row>
    <row r="54" spans="1:6" ht="13.5" customHeight="1">
      <c r="A54" s="37"/>
      <c r="B54" s="57" t="s">
        <v>170</v>
      </c>
      <c r="C54" s="58" t="s">
        <v>12</v>
      </c>
      <c r="D54" s="58"/>
      <c r="E54" s="112">
        <v>24</v>
      </c>
      <c r="F54" s="102">
        <f t="shared" si="0"/>
        <v>0</v>
      </c>
    </row>
    <row r="55" spans="1:6" ht="13.5" customHeight="1">
      <c r="A55" s="37"/>
      <c r="B55" s="57" t="s">
        <v>171</v>
      </c>
      <c r="C55" s="58" t="s">
        <v>140</v>
      </c>
      <c r="D55" s="58"/>
      <c r="E55" s="112">
        <v>1000</v>
      </c>
      <c r="F55" s="102">
        <f t="shared" si="0"/>
        <v>0</v>
      </c>
    </row>
    <row r="56" spans="1:6" ht="13.5" customHeight="1" thickBot="1">
      <c r="A56" s="37"/>
      <c r="B56" s="57" t="s">
        <v>138</v>
      </c>
      <c r="C56" s="58" t="s">
        <v>11</v>
      </c>
      <c r="D56" s="58"/>
      <c r="E56" s="112">
        <v>2.5</v>
      </c>
      <c r="F56" s="102">
        <f>SUM(E56*D56)</f>
        <v>0</v>
      </c>
    </row>
    <row r="57" spans="1:6" ht="13.5" customHeight="1" thickTop="1" thickBot="1">
      <c r="A57" s="37"/>
      <c r="B57" s="100"/>
      <c r="C57" s="101"/>
      <c r="D57" s="101"/>
      <c r="E57" s="104" t="s">
        <v>166</v>
      </c>
      <c r="F57" s="103">
        <f>SUM(F45:F56)</f>
        <v>0</v>
      </c>
    </row>
    <row r="58" spans="1:6" ht="27.95" customHeight="1" thickTop="1" thickBot="1">
      <c r="A58" s="39" t="s">
        <v>127</v>
      </c>
      <c r="B58" s="55"/>
      <c r="C58" s="17"/>
      <c r="D58" s="17"/>
      <c r="E58" s="56"/>
      <c r="F58" s="102"/>
    </row>
    <row r="59" spans="1:6" ht="13.5" thickTop="1">
      <c r="A59" s="40" t="s">
        <v>128</v>
      </c>
      <c r="B59" s="72" t="s">
        <v>37</v>
      </c>
      <c r="C59" s="64" t="s">
        <v>14</v>
      </c>
      <c r="D59" s="64"/>
      <c r="E59" s="73">
        <v>2500</v>
      </c>
      <c r="F59" s="84">
        <f t="shared" ref="F59:F69" si="1">SUM(E59*D59)</f>
        <v>0</v>
      </c>
    </row>
    <row r="60" spans="1:6" ht="25.5">
      <c r="A60" s="37"/>
      <c r="B60" s="13" t="s">
        <v>38</v>
      </c>
      <c r="C60" s="33" t="s">
        <v>13</v>
      </c>
      <c r="D60" s="4"/>
      <c r="E60" s="34">
        <v>0</v>
      </c>
      <c r="F60" s="76">
        <f t="shared" si="1"/>
        <v>0</v>
      </c>
    </row>
    <row r="61" spans="1:6">
      <c r="A61" s="37"/>
      <c r="B61" s="23" t="s">
        <v>160</v>
      </c>
      <c r="C61" s="31" t="s">
        <v>13</v>
      </c>
      <c r="D61" s="8"/>
      <c r="E61" s="32">
        <v>1500</v>
      </c>
      <c r="F61" s="76">
        <f t="shared" si="1"/>
        <v>0</v>
      </c>
    </row>
    <row r="62" spans="1:6">
      <c r="A62" s="36"/>
      <c r="B62" s="23" t="s">
        <v>91</v>
      </c>
      <c r="C62" s="8" t="s">
        <v>13</v>
      </c>
      <c r="D62" s="8"/>
      <c r="E62" s="9">
        <v>2500</v>
      </c>
      <c r="F62" s="76">
        <f t="shared" si="1"/>
        <v>0</v>
      </c>
    </row>
    <row r="63" spans="1:6">
      <c r="A63" s="36"/>
      <c r="B63" s="13" t="s">
        <v>92</v>
      </c>
      <c r="C63" s="4" t="s">
        <v>13</v>
      </c>
      <c r="D63" s="4"/>
      <c r="E63" s="5">
        <v>3500</v>
      </c>
      <c r="F63" s="76">
        <f t="shared" si="1"/>
        <v>0</v>
      </c>
    </row>
    <row r="64" spans="1:6">
      <c r="A64" s="36"/>
      <c r="B64" s="13" t="s">
        <v>93</v>
      </c>
      <c r="C64" s="4" t="s">
        <v>13</v>
      </c>
      <c r="D64" s="4"/>
      <c r="E64" s="5">
        <v>4500</v>
      </c>
      <c r="F64" s="76">
        <f t="shared" si="1"/>
        <v>0</v>
      </c>
    </row>
    <row r="65" spans="1:6">
      <c r="A65" s="36"/>
      <c r="B65" s="13" t="s">
        <v>94</v>
      </c>
      <c r="C65" s="4" t="s">
        <v>13</v>
      </c>
      <c r="D65" s="4"/>
      <c r="E65" s="5">
        <v>2500</v>
      </c>
      <c r="F65" s="76">
        <f t="shared" si="1"/>
        <v>0</v>
      </c>
    </row>
    <row r="66" spans="1:6">
      <c r="A66" s="36"/>
      <c r="B66" s="13" t="s">
        <v>117</v>
      </c>
      <c r="C66" s="4" t="s">
        <v>13</v>
      </c>
      <c r="D66" s="4"/>
      <c r="E66" s="5">
        <v>4000</v>
      </c>
      <c r="F66" s="76">
        <f t="shared" si="1"/>
        <v>0</v>
      </c>
    </row>
    <row r="67" spans="1:6">
      <c r="A67" s="36"/>
      <c r="B67" s="13" t="s">
        <v>95</v>
      </c>
      <c r="C67" s="4" t="s">
        <v>13</v>
      </c>
      <c r="D67" s="4"/>
      <c r="E67" s="5">
        <v>6000</v>
      </c>
      <c r="F67" s="76">
        <f t="shared" si="1"/>
        <v>0</v>
      </c>
    </row>
    <row r="68" spans="1:6">
      <c r="A68" s="36"/>
      <c r="B68" s="13" t="s">
        <v>96</v>
      </c>
      <c r="C68" s="4" t="s">
        <v>13</v>
      </c>
      <c r="D68" s="4"/>
      <c r="E68" s="5">
        <v>2500</v>
      </c>
      <c r="F68" s="76">
        <f t="shared" si="1"/>
        <v>0</v>
      </c>
    </row>
    <row r="69" spans="1:6">
      <c r="A69" s="37"/>
      <c r="B69" s="13" t="s">
        <v>63</v>
      </c>
      <c r="C69" s="4" t="s">
        <v>12</v>
      </c>
      <c r="D69" s="4"/>
      <c r="E69" s="5">
        <v>30</v>
      </c>
      <c r="F69" s="76">
        <f t="shared" si="1"/>
        <v>0</v>
      </c>
    </row>
    <row r="70" spans="1:6">
      <c r="A70" s="37"/>
      <c r="B70" s="13" t="s">
        <v>64</v>
      </c>
      <c r="C70" s="4" t="s">
        <v>12</v>
      </c>
      <c r="D70" s="4"/>
      <c r="E70" s="5">
        <v>12</v>
      </c>
      <c r="F70" s="76">
        <f t="shared" ref="F70:F122" si="2">SUM(E70*D70)</f>
        <v>0</v>
      </c>
    </row>
    <row r="71" spans="1:6">
      <c r="A71" s="37"/>
      <c r="B71" s="13" t="s">
        <v>65</v>
      </c>
      <c r="C71" s="4" t="s">
        <v>13</v>
      </c>
      <c r="D71" s="4"/>
      <c r="E71" s="5">
        <v>22</v>
      </c>
      <c r="F71" s="76">
        <f t="shared" si="2"/>
        <v>0</v>
      </c>
    </row>
    <row r="72" spans="1:6">
      <c r="A72" s="37"/>
      <c r="B72" s="13" t="s">
        <v>39</v>
      </c>
      <c r="C72" s="4" t="s">
        <v>13</v>
      </c>
      <c r="D72" s="4"/>
      <c r="E72" s="5">
        <v>0</v>
      </c>
      <c r="F72" s="76">
        <f t="shared" si="2"/>
        <v>0</v>
      </c>
    </row>
    <row r="73" spans="1:6">
      <c r="A73" s="37"/>
      <c r="B73" s="13" t="s">
        <v>142</v>
      </c>
      <c r="C73" s="4" t="s">
        <v>12</v>
      </c>
      <c r="D73" s="4"/>
      <c r="E73" s="5">
        <v>28</v>
      </c>
      <c r="F73" s="76">
        <f t="shared" si="2"/>
        <v>0</v>
      </c>
    </row>
    <row r="74" spans="1:6">
      <c r="A74" s="37"/>
      <c r="B74" s="13" t="s">
        <v>143</v>
      </c>
      <c r="C74" s="4" t="s">
        <v>12</v>
      </c>
      <c r="D74" s="4"/>
      <c r="E74" s="5">
        <v>30</v>
      </c>
      <c r="F74" s="76">
        <f t="shared" si="2"/>
        <v>0</v>
      </c>
    </row>
    <row r="75" spans="1:6">
      <c r="A75" s="37"/>
      <c r="B75" s="13" t="s">
        <v>144</v>
      </c>
      <c r="C75" s="4" t="s">
        <v>12</v>
      </c>
      <c r="D75" s="4"/>
      <c r="E75" s="5">
        <v>35</v>
      </c>
      <c r="F75" s="76">
        <f t="shared" si="2"/>
        <v>0</v>
      </c>
    </row>
    <row r="76" spans="1:6">
      <c r="A76" s="37"/>
      <c r="B76" s="13" t="s">
        <v>145</v>
      </c>
      <c r="C76" s="4" t="s">
        <v>12</v>
      </c>
      <c r="D76" s="4"/>
      <c r="E76" s="5">
        <v>40</v>
      </c>
      <c r="F76" s="76">
        <f t="shared" si="2"/>
        <v>0</v>
      </c>
    </row>
    <row r="77" spans="1:6">
      <c r="A77" s="37"/>
      <c r="B77" s="13" t="s">
        <v>146</v>
      </c>
      <c r="C77" s="4" t="s">
        <v>12</v>
      </c>
      <c r="D77" s="4"/>
      <c r="E77" s="5">
        <v>50</v>
      </c>
      <c r="F77" s="76">
        <f t="shared" si="2"/>
        <v>0</v>
      </c>
    </row>
    <row r="78" spans="1:6">
      <c r="A78" s="37"/>
      <c r="B78" s="13" t="s">
        <v>147</v>
      </c>
      <c r="C78" s="4" t="s">
        <v>12</v>
      </c>
      <c r="D78" s="4"/>
      <c r="E78" s="5">
        <v>65</v>
      </c>
      <c r="F78" s="76">
        <f t="shared" si="2"/>
        <v>0</v>
      </c>
    </row>
    <row r="79" spans="1:6">
      <c r="A79" s="37"/>
      <c r="B79" s="13" t="s">
        <v>148</v>
      </c>
      <c r="C79" s="4" t="s">
        <v>12</v>
      </c>
      <c r="D79" s="4"/>
      <c r="E79" s="5">
        <v>110</v>
      </c>
      <c r="F79" s="76">
        <f t="shared" si="2"/>
        <v>0</v>
      </c>
    </row>
    <row r="80" spans="1:6">
      <c r="A80" s="37"/>
      <c r="B80" s="13" t="s">
        <v>97</v>
      </c>
      <c r="C80" s="4" t="s">
        <v>13</v>
      </c>
      <c r="D80" s="4"/>
      <c r="E80" s="5">
        <v>0</v>
      </c>
      <c r="F80" s="76">
        <f t="shared" si="2"/>
        <v>0</v>
      </c>
    </row>
    <row r="81" spans="1:9">
      <c r="A81" s="37"/>
      <c r="B81" s="13" t="s">
        <v>149</v>
      </c>
      <c r="C81" s="4" t="s">
        <v>12</v>
      </c>
      <c r="D81" s="4"/>
      <c r="E81" s="5">
        <v>30</v>
      </c>
      <c r="F81" s="76">
        <f t="shared" si="2"/>
        <v>0</v>
      </c>
    </row>
    <row r="82" spans="1:9">
      <c r="A82" s="37"/>
      <c r="B82" s="13" t="s">
        <v>151</v>
      </c>
      <c r="C82" s="4" t="s">
        <v>12</v>
      </c>
      <c r="D82" s="4"/>
      <c r="E82" s="5">
        <v>35</v>
      </c>
      <c r="F82" s="76">
        <f t="shared" si="2"/>
        <v>0</v>
      </c>
    </row>
    <row r="83" spans="1:9">
      <c r="A83" s="37"/>
      <c r="B83" s="13" t="s">
        <v>150</v>
      </c>
      <c r="C83" s="4" t="s">
        <v>12</v>
      </c>
      <c r="D83" s="4"/>
      <c r="E83" s="5">
        <v>40</v>
      </c>
      <c r="F83" s="76">
        <f t="shared" si="2"/>
        <v>0</v>
      </c>
    </row>
    <row r="84" spans="1:9">
      <c r="A84" s="37"/>
      <c r="B84" s="13" t="s">
        <v>154</v>
      </c>
      <c r="C84" s="4" t="s">
        <v>12</v>
      </c>
      <c r="D84" s="4"/>
      <c r="E84" s="5">
        <v>42</v>
      </c>
      <c r="F84" s="76">
        <f t="shared" si="2"/>
        <v>0</v>
      </c>
    </row>
    <row r="85" spans="1:9">
      <c r="A85" s="37"/>
      <c r="B85" s="13" t="s">
        <v>152</v>
      </c>
      <c r="C85" s="4" t="s">
        <v>12</v>
      </c>
      <c r="D85" s="4"/>
      <c r="E85" s="5">
        <v>60</v>
      </c>
      <c r="F85" s="76">
        <f t="shared" si="2"/>
        <v>0</v>
      </c>
    </row>
    <row r="86" spans="1:9">
      <c r="A86" s="37"/>
      <c r="B86" s="13" t="s">
        <v>153</v>
      </c>
      <c r="C86" s="4" t="s">
        <v>12</v>
      </c>
      <c r="D86" s="4"/>
      <c r="E86" s="5">
        <v>85</v>
      </c>
      <c r="F86" s="76">
        <f t="shared" si="2"/>
        <v>0</v>
      </c>
    </row>
    <row r="87" spans="1:9">
      <c r="A87" s="37"/>
      <c r="B87" s="14" t="s">
        <v>98</v>
      </c>
      <c r="C87" s="4" t="s">
        <v>13</v>
      </c>
      <c r="D87" s="4"/>
      <c r="E87" s="5">
        <v>0</v>
      </c>
      <c r="F87" s="76">
        <f t="shared" si="2"/>
        <v>0</v>
      </c>
    </row>
    <row r="88" spans="1:9">
      <c r="A88" s="37"/>
      <c r="B88" s="13" t="s">
        <v>104</v>
      </c>
      <c r="C88" s="4" t="s">
        <v>13</v>
      </c>
      <c r="D88" s="4"/>
      <c r="E88" s="5">
        <v>2500</v>
      </c>
      <c r="F88" s="76">
        <f t="shared" si="2"/>
        <v>0</v>
      </c>
    </row>
    <row r="89" spans="1:9">
      <c r="A89" s="37"/>
      <c r="B89" s="13" t="s">
        <v>69</v>
      </c>
      <c r="C89" s="4" t="s">
        <v>14</v>
      </c>
      <c r="D89" s="4"/>
      <c r="E89" s="5">
        <v>40</v>
      </c>
      <c r="F89" s="76">
        <f t="shared" si="2"/>
        <v>0</v>
      </c>
    </row>
    <row r="90" spans="1:9">
      <c r="A90" s="37"/>
      <c r="B90" s="13" t="s">
        <v>70</v>
      </c>
      <c r="C90" s="4" t="s">
        <v>14</v>
      </c>
      <c r="D90" s="4"/>
      <c r="E90" s="5">
        <v>45</v>
      </c>
      <c r="F90" s="76">
        <f t="shared" si="2"/>
        <v>0</v>
      </c>
    </row>
    <row r="91" spans="1:9">
      <c r="A91" s="37"/>
      <c r="B91" s="13" t="s">
        <v>71</v>
      </c>
      <c r="C91" s="4" t="s">
        <v>14</v>
      </c>
      <c r="D91" s="4"/>
      <c r="E91" s="5">
        <v>55</v>
      </c>
      <c r="F91" s="76">
        <f t="shared" si="2"/>
        <v>0</v>
      </c>
    </row>
    <row r="92" spans="1:9">
      <c r="A92" s="37"/>
      <c r="B92" s="13" t="s">
        <v>72</v>
      </c>
      <c r="C92" s="4" t="s">
        <v>14</v>
      </c>
      <c r="D92" s="4"/>
      <c r="E92" s="5">
        <v>65</v>
      </c>
      <c r="F92" s="76">
        <f t="shared" si="2"/>
        <v>0</v>
      </c>
      <c r="I92" s="10"/>
    </row>
    <row r="93" spans="1:9">
      <c r="A93" s="37"/>
      <c r="B93" s="13" t="s">
        <v>73</v>
      </c>
      <c r="C93" s="4" t="s">
        <v>14</v>
      </c>
      <c r="D93" s="4"/>
      <c r="E93" s="5">
        <v>80</v>
      </c>
      <c r="F93" s="76">
        <f t="shared" si="2"/>
        <v>0</v>
      </c>
    </row>
    <row r="94" spans="1:9" ht="25.5">
      <c r="A94" s="37"/>
      <c r="B94" s="13" t="s">
        <v>105</v>
      </c>
      <c r="C94" s="4" t="s">
        <v>13</v>
      </c>
      <c r="D94" s="4"/>
      <c r="E94" s="5">
        <v>4000</v>
      </c>
      <c r="F94" s="76">
        <f t="shared" si="2"/>
        <v>0</v>
      </c>
    </row>
    <row r="95" spans="1:9" ht="13.5" thickBot="1">
      <c r="A95" s="37"/>
      <c r="B95" s="13" t="s">
        <v>26</v>
      </c>
      <c r="C95" s="4" t="s">
        <v>13</v>
      </c>
      <c r="D95" s="4"/>
      <c r="E95" s="5">
        <v>1000</v>
      </c>
      <c r="F95" s="83">
        <f t="shared" si="2"/>
        <v>0</v>
      </c>
    </row>
    <row r="96" spans="1:9" ht="14.25" thickTop="1" thickBot="1">
      <c r="A96" s="37"/>
      <c r="B96" s="22"/>
      <c r="C96" s="20"/>
      <c r="D96" s="20"/>
      <c r="E96" s="105" t="s">
        <v>166</v>
      </c>
      <c r="F96" s="103">
        <f>SUM(F59:F95)</f>
        <v>0</v>
      </c>
    </row>
    <row r="97" spans="1:6" ht="27" thickTop="1" thickBot="1">
      <c r="A97" s="39" t="s">
        <v>127</v>
      </c>
      <c r="B97" s="22"/>
      <c r="C97" s="20"/>
      <c r="D97" s="20"/>
      <c r="E97" s="21"/>
      <c r="F97" s="106"/>
    </row>
    <row r="98" spans="1:6" ht="26.25" thickTop="1">
      <c r="A98" s="41" t="s">
        <v>126</v>
      </c>
      <c r="B98" s="66" t="s">
        <v>124</v>
      </c>
      <c r="C98" s="64" t="s">
        <v>13</v>
      </c>
      <c r="D98" s="64"/>
      <c r="E98" s="65">
        <v>4000</v>
      </c>
      <c r="F98" s="84">
        <f t="shared" si="2"/>
        <v>0</v>
      </c>
    </row>
    <row r="99" spans="1:6">
      <c r="A99" s="37"/>
      <c r="B99" s="13" t="s">
        <v>111</v>
      </c>
      <c r="C99" s="11" t="s">
        <v>14</v>
      </c>
      <c r="D99" s="4"/>
      <c r="E99" s="5">
        <v>5</v>
      </c>
      <c r="F99" s="76">
        <f t="shared" si="2"/>
        <v>0</v>
      </c>
    </row>
    <row r="100" spans="1:6">
      <c r="A100" s="37"/>
      <c r="B100" s="13" t="s">
        <v>112</v>
      </c>
      <c r="C100" s="4" t="s">
        <v>12</v>
      </c>
      <c r="D100" s="4"/>
      <c r="E100" s="5">
        <v>10</v>
      </c>
      <c r="F100" s="76">
        <f t="shared" si="2"/>
        <v>0</v>
      </c>
    </row>
    <row r="101" spans="1:6">
      <c r="A101" s="42"/>
      <c r="B101" s="13" t="s">
        <v>83</v>
      </c>
      <c r="C101" s="4" t="s">
        <v>140</v>
      </c>
      <c r="D101" s="4"/>
      <c r="E101" s="5">
        <v>3500</v>
      </c>
      <c r="F101" s="76">
        <f>SUM(E101*D101)</f>
        <v>0</v>
      </c>
    </row>
    <row r="102" spans="1:6" ht="13.5" thickBot="1">
      <c r="A102" s="42"/>
      <c r="B102" s="13" t="s">
        <v>113</v>
      </c>
      <c r="C102" s="4" t="s">
        <v>14</v>
      </c>
      <c r="D102" s="4"/>
      <c r="E102" s="5">
        <v>0</v>
      </c>
      <c r="F102" s="83">
        <f>SUM(E102*D102)</f>
        <v>0</v>
      </c>
    </row>
    <row r="103" spans="1:6" ht="14.25" thickTop="1" thickBot="1">
      <c r="A103" s="37"/>
      <c r="E103" s="107" t="s">
        <v>166</v>
      </c>
      <c r="F103" s="103">
        <f>SUM(F98:F102)</f>
        <v>0</v>
      </c>
    </row>
    <row r="104" spans="1:6" ht="26.25" thickTop="1">
      <c r="A104" s="70" t="s">
        <v>164</v>
      </c>
      <c r="B104" s="66" t="s">
        <v>48</v>
      </c>
      <c r="C104" s="64" t="s">
        <v>11</v>
      </c>
      <c r="D104" s="64"/>
      <c r="E104" s="65">
        <v>7</v>
      </c>
      <c r="F104" s="88">
        <f>SUM(E104*D104)</f>
        <v>0</v>
      </c>
    </row>
    <row r="105" spans="1:6" ht="25.5">
      <c r="A105" s="36"/>
      <c r="B105" s="13" t="s">
        <v>30</v>
      </c>
      <c r="C105" s="4" t="s">
        <v>15</v>
      </c>
      <c r="D105" s="4"/>
      <c r="E105" s="5">
        <v>80</v>
      </c>
      <c r="F105" s="76">
        <f>SUM(E105*D105)</f>
        <v>0</v>
      </c>
    </row>
    <row r="106" spans="1:6">
      <c r="A106" s="37"/>
      <c r="B106" s="13" t="s">
        <v>49</v>
      </c>
      <c r="C106" s="4" t="s">
        <v>11</v>
      </c>
      <c r="D106" s="4"/>
      <c r="E106" s="5">
        <v>10</v>
      </c>
      <c r="F106" s="76">
        <f>SUM(E106*D106)</f>
        <v>0</v>
      </c>
    </row>
    <row r="107" spans="1:6">
      <c r="A107" s="36"/>
      <c r="B107" s="13" t="s">
        <v>16</v>
      </c>
      <c r="C107" s="4" t="s">
        <v>14</v>
      </c>
      <c r="D107" s="4"/>
      <c r="E107" s="5">
        <v>80</v>
      </c>
      <c r="F107" s="76">
        <f t="shared" si="2"/>
        <v>0</v>
      </c>
    </row>
    <row r="108" spans="1:6">
      <c r="A108" s="36"/>
      <c r="B108" s="13" t="s">
        <v>17</v>
      </c>
      <c r="C108" s="4" t="s">
        <v>14</v>
      </c>
      <c r="D108" s="4"/>
      <c r="E108" s="5">
        <v>3</v>
      </c>
      <c r="F108" s="76">
        <f t="shared" si="2"/>
        <v>0</v>
      </c>
    </row>
    <row r="109" spans="1:6">
      <c r="A109" s="36"/>
      <c r="B109" s="13" t="s">
        <v>31</v>
      </c>
      <c r="C109" s="4" t="s">
        <v>11</v>
      </c>
      <c r="D109" s="4"/>
      <c r="E109" s="5">
        <v>45</v>
      </c>
      <c r="F109" s="76">
        <f t="shared" si="2"/>
        <v>0</v>
      </c>
    </row>
    <row r="110" spans="1:6">
      <c r="A110" s="37"/>
      <c r="B110" s="13" t="s">
        <v>106</v>
      </c>
      <c r="C110" s="4" t="s">
        <v>11</v>
      </c>
      <c r="D110" s="4"/>
      <c r="E110" s="5">
        <v>7.5</v>
      </c>
      <c r="F110" s="76">
        <f t="shared" si="2"/>
        <v>0</v>
      </c>
    </row>
    <row r="111" spans="1:6">
      <c r="A111" s="36"/>
      <c r="B111" s="13" t="s">
        <v>42</v>
      </c>
      <c r="C111" s="4" t="s">
        <v>11</v>
      </c>
      <c r="D111" s="4"/>
      <c r="E111" s="5">
        <v>36</v>
      </c>
      <c r="F111" s="76">
        <f t="shared" si="2"/>
        <v>0</v>
      </c>
    </row>
    <row r="112" spans="1:6">
      <c r="A112" s="36"/>
      <c r="B112" s="13" t="s">
        <v>108</v>
      </c>
      <c r="C112" s="4" t="s">
        <v>12</v>
      </c>
      <c r="D112" s="4"/>
      <c r="E112" s="5">
        <v>36</v>
      </c>
      <c r="F112" s="76">
        <f t="shared" si="2"/>
        <v>0</v>
      </c>
    </row>
    <row r="113" spans="1:6">
      <c r="A113" s="36"/>
      <c r="B113" s="13" t="s">
        <v>107</v>
      </c>
      <c r="C113" s="4" t="s">
        <v>12</v>
      </c>
      <c r="D113" s="4"/>
      <c r="E113" s="5">
        <v>18</v>
      </c>
      <c r="F113" s="76">
        <f t="shared" si="2"/>
        <v>0</v>
      </c>
    </row>
    <row r="114" spans="1:6">
      <c r="A114" s="36"/>
      <c r="B114" s="13" t="s">
        <v>45</v>
      </c>
      <c r="C114" s="4" t="s">
        <v>12</v>
      </c>
      <c r="D114" s="4"/>
      <c r="E114" s="5">
        <v>16</v>
      </c>
      <c r="F114" s="76">
        <f t="shared" si="2"/>
        <v>0</v>
      </c>
    </row>
    <row r="115" spans="1:6">
      <c r="A115" s="37"/>
      <c r="B115" s="13" t="s">
        <v>109</v>
      </c>
      <c r="C115" s="4" t="s">
        <v>11</v>
      </c>
      <c r="D115" s="4"/>
      <c r="E115" s="5">
        <v>10.5</v>
      </c>
      <c r="F115" s="76">
        <f t="shared" si="2"/>
        <v>0</v>
      </c>
    </row>
    <row r="116" spans="1:6">
      <c r="A116" s="37"/>
      <c r="B116" s="13" t="s">
        <v>80</v>
      </c>
      <c r="C116" s="4" t="s">
        <v>11</v>
      </c>
      <c r="D116" s="4"/>
      <c r="E116" s="5">
        <v>0</v>
      </c>
      <c r="F116" s="76">
        <f t="shared" si="2"/>
        <v>0</v>
      </c>
    </row>
    <row r="117" spans="1:6">
      <c r="A117" s="37"/>
      <c r="B117" s="13" t="s">
        <v>19</v>
      </c>
      <c r="C117" s="4" t="s">
        <v>27</v>
      </c>
      <c r="D117" s="4"/>
      <c r="E117" s="5">
        <v>12.5</v>
      </c>
      <c r="F117" s="76">
        <f t="shared" si="2"/>
        <v>0</v>
      </c>
    </row>
    <row r="118" spans="1:6">
      <c r="A118" s="37"/>
      <c r="B118" s="13" t="s">
        <v>32</v>
      </c>
      <c r="C118" s="4" t="s">
        <v>11</v>
      </c>
      <c r="D118" s="4"/>
      <c r="E118" s="5">
        <v>0</v>
      </c>
      <c r="F118" s="76">
        <f t="shared" si="2"/>
        <v>0</v>
      </c>
    </row>
    <row r="119" spans="1:6">
      <c r="A119" s="37"/>
      <c r="B119" s="13" t="s">
        <v>20</v>
      </c>
      <c r="C119" s="4" t="s">
        <v>13</v>
      </c>
      <c r="D119" s="4"/>
      <c r="E119" s="5">
        <v>450</v>
      </c>
      <c r="F119" s="76">
        <f t="shared" si="2"/>
        <v>0</v>
      </c>
    </row>
    <row r="120" spans="1:6">
      <c r="A120" s="37"/>
      <c r="B120" s="13" t="s">
        <v>110</v>
      </c>
      <c r="C120" s="4" t="s">
        <v>12</v>
      </c>
      <c r="D120" s="4"/>
      <c r="E120" s="5">
        <v>0</v>
      </c>
      <c r="F120" s="76">
        <f t="shared" si="2"/>
        <v>0</v>
      </c>
    </row>
    <row r="121" spans="1:6">
      <c r="A121" s="37"/>
      <c r="B121" s="13" t="s">
        <v>21</v>
      </c>
      <c r="C121" s="4" t="s">
        <v>12</v>
      </c>
      <c r="D121" s="4"/>
      <c r="E121" s="5">
        <v>10</v>
      </c>
      <c r="F121" s="76">
        <f t="shared" si="2"/>
        <v>0</v>
      </c>
    </row>
    <row r="122" spans="1:6">
      <c r="A122" s="37"/>
      <c r="B122" s="13" t="s">
        <v>33</v>
      </c>
      <c r="C122" s="4" t="s">
        <v>13</v>
      </c>
      <c r="D122" s="4"/>
      <c r="E122" s="5">
        <v>200</v>
      </c>
      <c r="F122" s="76">
        <f t="shared" si="2"/>
        <v>0</v>
      </c>
    </row>
    <row r="123" spans="1:6" ht="25.5">
      <c r="A123" s="37"/>
      <c r="B123" s="13" t="s">
        <v>34</v>
      </c>
      <c r="C123" s="4" t="s">
        <v>13</v>
      </c>
      <c r="D123" s="4"/>
      <c r="E123" s="5">
        <v>0</v>
      </c>
      <c r="F123" s="76">
        <f>SUM(E123*D123)</f>
        <v>0</v>
      </c>
    </row>
    <row r="124" spans="1:6">
      <c r="A124" s="37"/>
      <c r="B124" s="13" t="s">
        <v>35</v>
      </c>
      <c r="C124" s="4" t="s">
        <v>13</v>
      </c>
      <c r="D124" s="4"/>
      <c r="E124" s="5">
        <v>50000</v>
      </c>
      <c r="F124" s="76">
        <f>SUM(E124*D124)</f>
        <v>0</v>
      </c>
    </row>
    <row r="125" spans="1:6" ht="25.5">
      <c r="A125" s="37"/>
      <c r="B125" s="13" t="s">
        <v>76</v>
      </c>
      <c r="C125" s="4" t="s">
        <v>11</v>
      </c>
      <c r="D125" s="4"/>
      <c r="E125" s="5">
        <v>0</v>
      </c>
      <c r="F125" s="76">
        <f>SUM(E125*D125)</f>
        <v>0</v>
      </c>
    </row>
    <row r="126" spans="1:6">
      <c r="A126" s="37"/>
      <c r="B126" s="13" t="s">
        <v>77</v>
      </c>
      <c r="C126" s="4" t="s">
        <v>15</v>
      </c>
      <c r="D126" s="4"/>
      <c r="E126" s="5">
        <v>16</v>
      </c>
      <c r="F126" s="76">
        <f>SUM(E126*D126)</f>
        <v>0</v>
      </c>
    </row>
    <row r="127" spans="1:6" ht="13.5" thickBot="1">
      <c r="A127" s="37"/>
      <c r="B127" s="13" t="s">
        <v>28</v>
      </c>
      <c r="C127" s="4" t="s">
        <v>11</v>
      </c>
      <c r="D127" s="4"/>
      <c r="E127" s="5">
        <v>4.5</v>
      </c>
      <c r="F127" s="83">
        <f>SUM(E127*D127)</f>
        <v>0</v>
      </c>
    </row>
    <row r="128" spans="1:6" ht="14.25" thickTop="1" thickBot="1">
      <c r="A128" s="37"/>
      <c r="E128" s="107" t="s">
        <v>166</v>
      </c>
      <c r="F128" s="103">
        <f>SUM(F104:F127)</f>
        <v>0</v>
      </c>
    </row>
    <row r="129" spans="1:6" ht="27" thickTop="1" thickBot="1">
      <c r="A129" s="27" t="s">
        <v>129</v>
      </c>
      <c r="B129" s="108"/>
      <c r="C129" s="20"/>
      <c r="D129" s="20"/>
      <c r="E129" s="21"/>
      <c r="F129" s="106"/>
    </row>
    <row r="130" spans="1:6">
      <c r="A130" s="41" t="s">
        <v>128</v>
      </c>
      <c r="B130" s="72" t="s">
        <v>37</v>
      </c>
      <c r="C130" s="64" t="s">
        <v>14</v>
      </c>
      <c r="D130" s="64"/>
      <c r="E130" s="73">
        <v>2500</v>
      </c>
      <c r="F130" s="84">
        <f t="shared" ref="F130:F165" si="3">SUM(E130*D130)</f>
        <v>0</v>
      </c>
    </row>
    <row r="131" spans="1:6" ht="25.5">
      <c r="A131" s="37"/>
      <c r="B131" s="13" t="s">
        <v>38</v>
      </c>
      <c r="C131" s="33" t="s">
        <v>13</v>
      </c>
      <c r="D131" s="4"/>
      <c r="E131" s="34">
        <v>0</v>
      </c>
      <c r="F131" s="76">
        <f t="shared" si="3"/>
        <v>0</v>
      </c>
    </row>
    <row r="132" spans="1:6">
      <c r="A132" s="36"/>
      <c r="B132" s="23" t="s">
        <v>160</v>
      </c>
      <c r="C132" s="31" t="s">
        <v>13</v>
      </c>
      <c r="D132" s="8"/>
      <c r="E132" s="32">
        <v>1500</v>
      </c>
      <c r="F132" s="76">
        <f t="shared" si="3"/>
        <v>0</v>
      </c>
    </row>
    <row r="133" spans="1:6">
      <c r="A133" s="36"/>
      <c r="B133" s="23" t="s">
        <v>91</v>
      </c>
      <c r="C133" s="8" t="s">
        <v>13</v>
      </c>
      <c r="D133" s="8"/>
      <c r="E133" s="9">
        <v>2500</v>
      </c>
      <c r="F133" s="76">
        <f t="shared" si="3"/>
        <v>0</v>
      </c>
    </row>
    <row r="134" spans="1:6">
      <c r="A134" s="36"/>
      <c r="B134" s="13" t="s">
        <v>92</v>
      </c>
      <c r="C134" s="4" t="s">
        <v>13</v>
      </c>
      <c r="D134" s="4"/>
      <c r="E134" s="5">
        <v>3500</v>
      </c>
      <c r="F134" s="76">
        <f t="shared" si="3"/>
        <v>0</v>
      </c>
    </row>
    <row r="135" spans="1:6">
      <c r="A135" s="36"/>
      <c r="B135" s="13" t="s">
        <v>93</v>
      </c>
      <c r="C135" s="4" t="s">
        <v>13</v>
      </c>
      <c r="D135" s="4"/>
      <c r="E135" s="5">
        <v>4500</v>
      </c>
      <c r="F135" s="76">
        <f t="shared" si="3"/>
        <v>0</v>
      </c>
    </row>
    <row r="136" spans="1:6">
      <c r="A136" s="36"/>
      <c r="B136" s="13" t="s">
        <v>94</v>
      </c>
      <c r="C136" s="4" t="s">
        <v>13</v>
      </c>
      <c r="D136" s="4"/>
      <c r="E136" s="5">
        <v>2500</v>
      </c>
      <c r="F136" s="76">
        <f t="shared" si="3"/>
        <v>0</v>
      </c>
    </row>
    <row r="137" spans="1:6">
      <c r="A137" s="36"/>
      <c r="B137" s="13" t="s">
        <v>117</v>
      </c>
      <c r="C137" s="4" t="s">
        <v>13</v>
      </c>
      <c r="D137" s="4"/>
      <c r="E137" s="5">
        <v>4000</v>
      </c>
      <c r="F137" s="76">
        <f t="shared" si="3"/>
        <v>0</v>
      </c>
    </row>
    <row r="138" spans="1:6">
      <c r="A138" s="36"/>
      <c r="B138" s="13" t="s">
        <v>95</v>
      </c>
      <c r="C138" s="4" t="s">
        <v>13</v>
      </c>
      <c r="D138" s="4"/>
      <c r="E138" s="5">
        <v>6000</v>
      </c>
      <c r="F138" s="76">
        <f t="shared" si="3"/>
        <v>0</v>
      </c>
    </row>
    <row r="139" spans="1:6">
      <c r="A139" s="37"/>
      <c r="B139" s="13" t="s">
        <v>96</v>
      </c>
      <c r="C139" s="4" t="s">
        <v>13</v>
      </c>
      <c r="D139" s="4"/>
      <c r="E139" s="5">
        <v>2500</v>
      </c>
      <c r="F139" s="76">
        <f t="shared" si="3"/>
        <v>0</v>
      </c>
    </row>
    <row r="140" spans="1:6">
      <c r="A140" s="37"/>
      <c r="B140" s="13" t="s">
        <v>63</v>
      </c>
      <c r="C140" s="4" t="s">
        <v>12</v>
      </c>
      <c r="D140" s="4"/>
      <c r="E140" s="5">
        <v>30</v>
      </c>
      <c r="F140" s="76">
        <f t="shared" si="3"/>
        <v>0</v>
      </c>
    </row>
    <row r="141" spans="1:6">
      <c r="A141" s="37"/>
      <c r="B141" s="13" t="s">
        <v>64</v>
      </c>
      <c r="C141" s="4" t="s">
        <v>12</v>
      </c>
      <c r="D141" s="4"/>
      <c r="E141" s="5">
        <v>12</v>
      </c>
      <c r="F141" s="76">
        <f t="shared" si="3"/>
        <v>0</v>
      </c>
    </row>
    <row r="142" spans="1:6">
      <c r="A142" s="37"/>
      <c r="B142" s="13" t="s">
        <v>65</v>
      </c>
      <c r="C142" s="4" t="s">
        <v>13</v>
      </c>
      <c r="D142" s="4"/>
      <c r="E142" s="5">
        <v>22</v>
      </c>
      <c r="F142" s="76">
        <f t="shared" si="3"/>
        <v>0</v>
      </c>
    </row>
    <row r="143" spans="1:6">
      <c r="A143" s="37"/>
      <c r="B143" s="13" t="s">
        <v>39</v>
      </c>
      <c r="C143" s="4" t="s">
        <v>13</v>
      </c>
      <c r="D143" s="4"/>
      <c r="E143" s="5">
        <v>0</v>
      </c>
      <c r="F143" s="76">
        <f t="shared" si="3"/>
        <v>0</v>
      </c>
    </row>
    <row r="144" spans="1:6">
      <c r="A144" s="37"/>
      <c r="B144" s="13" t="s">
        <v>142</v>
      </c>
      <c r="C144" s="4" t="s">
        <v>12</v>
      </c>
      <c r="D144" s="4"/>
      <c r="E144" s="5">
        <v>28</v>
      </c>
      <c r="F144" s="76">
        <f t="shared" si="3"/>
        <v>0</v>
      </c>
    </row>
    <row r="145" spans="1:6">
      <c r="A145" s="37"/>
      <c r="B145" s="13" t="s">
        <v>143</v>
      </c>
      <c r="C145" s="4" t="s">
        <v>12</v>
      </c>
      <c r="D145" s="4"/>
      <c r="E145" s="5">
        <v>30</v>
      </c>
      <c r="F145" s="76">
        <f t="shared" si="3"/>
        <v>0</v>
      </c>
    </row>
    <row r="146" spans="1:6">
      <c r="A146" s="37"/>
      <c r="B146" s="13" t="s">
        <v>144</v>
      </c>
      <c r="C146" s="4" t="s">
        <v>12</v>
      </c>
      <c r="D146" s="4"/>
      <c r="E146" s="5">
        <v>35</v>
      </c>
      <c r="F146" s="76">
        <f t="shared" si="3"/>
        <v>0</v>
      </c>
    </row>
    <row r="147" spans="1:6">
      <c r="A147" s="37"/>
      <c r="B147" s="13" t="s">
        <v>145</v>
      </c>
      <c r="C147" s="4" t="s">
        <v>12</v>
      </c>
      <c r="D147" s="4"/>
      <c r="E147" s="5">
        <v>40</v>
      </c>
      <c r="F147" s="76">
        <f t="shared" si="3"/>
        <v>0</v>
      </c>
    </row>
    <row r="148" spans="1:6">
      <c r="A148" s="37"/>
      <c r="B148" s="13" t="s">
        <v>146</v>
      </c>
      <c r="C148" s="4" t="s">
        <v>12</v>
      </c>
      <c r="D148" s="4"/>
      <c r="E148" s="5">
        <v>50</v>
      </c>
      <c r="F148" s="76">
        <f t="shared" si="3"/>
        <v>0</v>
      </c>
    </row>
    <row r="149" spans="1:6">
      <c r="A149" s="37"/>
      <c r="B149" s="13" t="s">
        <v>147</v>
      </c>
      <c r="C149" s="4" t="s">
        <v>12</v>
      </c>
      <c r="D149" s="4"/>
      <c r="E149" s="5">
        <v>65</v>
      </c>
      <c r="F149" s="76">
        <f t="shared" si="3"/>
        <v>0</v>
      </c>
    </row>
    <row r="150" spans="1:6">
      <c r="A150" s="37"/>
      <c r="B150" s="13" t="s">
        <v>148</v>
      </c>
      <c r="C150" s="4" t="s">
        <v>12</v>
      </c>
      <c r="D150" s="4"/>
      <c r="E150" s="5">
        <v>110</v>
      </c>
      <c r="F150" s="76">
        <f t="shared" si="3"/>
        <v>0</v>
      </c>
    </row>
    <row r="151" spans="1:6">
      <c r="A151" s="37"/>
      <c r="B151" s="13" t="s">
        <v>97</v>
      </c>
      <c r="C151" s="4" t="s">
        <v>13</v>
      </c>
      <c r="D151" s="4"/>
      <c r="E151" s="5">
        <v>0</v>
      </c>
      <c r="F151" s="76">
        <f t="shared" si="3"/>
        <v>0</v>
      </c>
    </row>
    <row r="152" spans="1:6">
      <c r="A152" s="37"/>
      <c r="B152" s="13" t="s">
        <v>149</v>
      </c>
      <c r="C152" s="4" t="s">
        <v>12</v>
      </c>
      <c r="D152" s="4"/>
      <c r="E152" s="5">
        <v>30</v>
      </c>
      <c r="F152" s="76">
        <f t="shared" si="3"/>
        <v>0</v>
      </c>
    </row>
    <row r="153" spans="1:6">
      <c r="A153" s="37"/>
      <c r="B153" s="13" t="s">
        <v>151</v>
      </c>
      <c r="C153" s="4" t="s">
        <v>12</v>
      </c>
      <c r="D153" s="4"/>
      <c r="E153" s="5">
        <v>35</v>
      </c>
      <c r="F153" s="76">
        <f t="shared" si="3"/>
        <v>0</v>
      </c>
    </row>
    <row r="154" spans="1:6">
      <c r="A154" s="37"/>
      <c r="B154" s="13" t="s">
        <v>150</v>
      </c>
      <c r="C154" s="4" t="s">
        <v>12</v>
      </c>
      <c r="D154" s="4"/>
      <c r="E154" s="5">
        <v>40</v>
      </c>
      <c r="F154" s="76">
        <f t="shared" si="3"/>
        <v>0</v>
      </c>
    </row>
    <row r="155" spans="1:6">
      <c r="A155" s="37"/>
      <c r="B155" s="13" t="s">
        <v>154</v>
      </c>
      <c r="C155" s="4" t="s">
        <v>12</v>
      </c>
      <c r="D155" s="4"/>
      <c r="E155" s="5">
        <v>42</v>
      </c>
      <c r="F155" s="76">
        <f t="shared" si="3"/>
        <v>0</v>
      </c>
    </row>
    <row r="156" spans="1:6">
      <c r="A156" s="37"/>
      <c r="B156" s="13" t="s">
        <v>152</v>
      </c>
      <c r="C156" s="4" t="s">
        <v>12</v>
      </c>
      <c r="D156" s="4"/>
      <c r="E156" s="5">
        <v>60</v>
      </c>
      <c r="F156" s="76">
        <f t="shared" si="3"/>
        <v>0</v>
      </c>
    </row>
    <row r="157" spans="1:6">
      <c r="A157" s="37"/>
      <c r="B157" s="13" t="s">
        <v>153</v>
      </c>
      <c r="C157" s="4" t="s">
        <v>12</v>
      </c>
      <c r="D157" s="4"/>
      <c r="E157" s="5">
        <v>85</v>
      </c>
      <c r="F157" s="76">
        <f t="shared" si="3"/>
        <v>0</v>
      </c>
    </row>
    <row r="158" spans="1:6">
      <c r="A158" s="37"/>
      <c r="B158" s="14" t="s">
        <v>98</v>
      </c>
      <c r="C158" s="4" t="s">
        <v>13</v>
      </c>
      <c r="D158" s="4"/>
      <c r="E158" s="5">
        <v>0</v>
      </c>
      <c r="F158" s="76">
        <f t="shared" si="3"/>
        <v>0</v>
      </c>
    </row>
    <row r="159" spans="1:6">
      <c r="A159" s="37"/>
      <c r="B159" s="13" t="s">
        <v>104</v>
      </c>
      <c r="C159" s="4" t="s">
        <v>13</v>
      </c>
      <c r="D159" s="4"/>
      <c r="E159" s="5">
        <v>2500</v>
      </c>
      <c r="F159" s="76">
        <f t="shared" si="3"/>
        <v>0</v>
      </c>
    </row>
    <row r="160" spans="1:6">
      <c r="A160" s="37"/>
      <c r="B160" s="13" t="s">
        <v>69</v>
      </c>
      <c r="C160" s="4" t="s">
        <v>14</v>
      </c>
      <c r="D160" s="4"/>
      <c r="E160" s="5">
        <v>40</v>
      </c>
      <c r="F160" s="76">
        <f t="shared" si="3"/>
        <v>0</v>
      </c>
    </row>
    <row r="161" spans="1:6">
      <c r="A161" s="37"/>
      <c r="B161" s="13" t="s">
        <v>70</v>
      </c>
      <c r="C161" s="4" t="s">
        <v>14</v>
      </c>
      <c r="D161" s="4"/>
      <c r="E161" s="5">
        <v>45</v>
      </c>
      <c r="F161" s="76">
        <f t="shared" si="3"/>
        <v>0</v>
      </c>
    </row>
    <row r="162" spans="1:6">
      <c r="A162" s="37"/>
      <c r="B162" s="13" t="s">
        <v>71</v>
      </c>
      <c r="C162" s="4" t="s">
        <v>14</v>
      </c>
      <c r="D162" s="4"/>
      <c r="E162" s="5">
        <v>55</v>
      </c>
      <c r="F162" s="76">
        <f t="shared" si="3"/>
        <v>0</v>
      </c>
    </row>
    <row r="163" spans="1:6">
      <c r="A163" s="37"/>
      <c r="B163" s="13" t="s">
        <v>72</v>
      </c>
      <c r="C163" s="4" t="s">
        <v>14</v>
      </c>
      <c r="D163" s="4"/>
      <c r="E163" s="5">
        <v>65</v>
      </c>
      <c r="F163" s="76">
        <f t="shared" si="3"/>
        <v>0</v>
      </c>
    </row>
    <row r="164" spans="1:6">
      <c r="A164" s="37"/>
      <c r="B164" s="13" t="s">
        <v>73</v>
      </c>
      <c r="C164" s="4" t="s">
        <v>14</v>
      </c>
      <c r="D164" s="4"/>
      <c r="E164" s="5">
        <v>80</v>
      </c>
      <c r="F164" s="76">
        <f t="shared" si="3"/>
        <v>0</v>
      </c>
    </row>
    <row r="165" spans="1:6" ht="25.5">
      <c r="A165" s="37"/>
      <c r="B165" s="13" t="s">
        <v>105</v>
      </c>
      <c r="C165" s="4" t="s">
        <v>13</v>
      </c>
      <c r="D165" s="4"/>
      <c r="E165" s="5">
        <v>4000</v>
      </c>
      <c r="F165" s="76">
        <f t="shared" si="3"/>
        <v>0</v>
      </c>
    </row>
    <row r="166" spans="1:6" ht="13.5" thickBot="1">
      <c r="A166" s="37"/>
      <c r="B166" s="13" t="s">
        <v>26</v>
      </c>
      <c r="C166" s="4" t="s">
        <v>13</v>
      </c>
      <c r="D166" s="4"/>
      <c r="E166" s="5">
        <v>1000</v>
      </c>
      <c r="F166" s="83">
        <f>SUM(E166*D166)</f>
        <v>0</v>
      </c>
    </row>
    <row r="167" spans="1:6" ht="14.25" thickTop="1" thickBot="1">
      <c r="A167" s="52"/>
      <c r="E167" s="107" t="s">
        <v>166</v>
      </c>
      <c r="F167" s="103">
        <f>SUM(F130:F166)</f>
        <v>0</v>
      </c>
    </row>
    <row r="168" spans="1:6" ht="26.25" thickBot="1">
      <c r="A168" s="27" t="s">
        <v>129</v>
      </c>
      <c r="B168" s="22"/>
      <c r="C168" s="20"/>
      <c r="D168" s="20"/>
      <c r="E168" s="21"/>
      <c r="F168" s="106"/>
    </row>
    <row r="169" spans="1:6" ht="25.5">
      <c r="A169" s="41" t="s">
        <v>126</v>
      </c>
      <c r="B169" s="66" t="s">
        <v>124</v>
      </c>
      <c r="C169" s="64" t="s">
        <v>13</v>
      </c>
      <c r="D169" s="64"/>
      <c r="E169" s="65">
        <v>4000</v>
      </c>
      <c r="F169" s="84">
        <f t="shared" ref="F169:F177" si="4">SUM(E169*D169)</f>
        <v>0</v>
      </c>
    </row>
    <row r="170" spans="1:6">
      <c r="A170" s="37"/>
      <c r="B170" s="13" t="s">
        <v>111</v>
      </c>
      <c r="C170" s="11" t="s">
        <v>14</v>
      </c>
      <c r="D170" s="4"/>
      <c r="E170" s="5">
        <v>2.5</v>
      </c>
      <c r="F170" s="76">
        <f t="shared" si="4"/>
        <v>0</v>
      </c>
    </row>
    <row r="171" spans="1:6">
      <c r="A171" s="37"/>
      <c r="B171" s="13" t="s">
        <v>112</v>
      </c>
      <c r="C171" s="4" t="s">
        <v>11</v>
      </c>
      <c r="D171" s="4"/>
      <c r="E171" s="5">
        <v>10</v>
      </c>
      <c r="F171" s="76">
        <f t="shared" si="4"/>
        <v>0</v>
      </c>
    </row>
    <row r="172" spans="1:6">
      <c r="A172" s="42"/>
      <c r="B172" s="13" t="s">
        <v>83</v>
      </c>
      <c r="C172" s="4" t="s">
        <v>140</v>
      </c>
      <c r="D172" s="4"/>
      <c r="E172" s="5">
        <v>3500</v>
      </c>
      <c r="F172" s="76">
        <f t="shared" si="4"/>
        <v>0</v>
      </c>
    </row>
    <row r="173" spans="1:6" ht="13.5" thickBot="1">
      <c r="A173" s="42"/>
      <c r="B173" s="22" t="s">
        <v>113</v>
      </c>
      <c r="C173" s="20" t="s">
        <v>14</v>
      </c>
      <c r="D173" s="20"/>
      <c r="E173" s="21">
        <v>0</v>
      </c>
      <c r="F173" s="83">
        <f>SUM(E173*D173)</f>
        <v>0</v>
      </c>
    </row>
    <row r="174" spans="1:6" ht="14.25" thickTop="1" thickBot="1">
      <c r="A174" s="37"/>
      <c r="E174" s="107" t="s">
        <v>166</v>
      </c>
      <c r="F174" s="103">
        <f>SUM(F169:F173)</f>
        <v>0</v>
      </c>
    </row>
    <row r="175" spans="1:6" ht="26.25" thickTop="1">
      <c r="A175" s="70" t="s">
        <v>165</v>
      </c>
      <c r="B175" s="66" t="s">
        <v>48</v>
      </c>
      <c r="C175" s="64" t="s">
        <v>11</v>
      </c>
      <c r="D175" s="64"/>
      <c r="E175" s="65">
        <v>7</v>
      </c>
      <c r="F175" s="88">
        <f t="shared" si="4"/>
        <v>0</v>
      </c>
    </row>
    <row r="176" spans="1:6" ht="25.5">
      <c r="A176" s="36"/>
      <c r="B176" s="13" t="s">
        <v>30</v>
      </c>
      <c r="C176" s="4" t="s">
        <v>15</v>
      </c>
      <c r="D176" s="4"/>
      <c r="E176" s="5">
        <v>80</v>
      </c>
      <c r="F176" s="76">
        <f t="shared" si="4"/>
        <v>0</v>
      </c>
    </row>
    <row r="177" spans="1:8">
      <c r="A177" s="37"/>
      <c r="B177" s="13" t="s">
        <v>49</v>
      </c>
      <c r="C177" s="4" t="s">
        <v>11</v>
      </c>
      <c r="D177" s="4"/>
      <c r="E177" s="5">
        <v>10</v>
      </c>
      <c r="F177" s="76">
        <f t="shared" si="4"/>
        <v>0</v>
      </c>
    </row>
    <row r="178" spans="1:8">
      <c r="A178" s="36"/>
      <c r="B178" s="13" t="s">
        <v>16</v>
      </c>
      <c r="C178" s="4" t="s">
        <v>14</v>
      </c>
      <c r="D178" s="4"/>
      <c r="E178" s="5">
        <v>80</v>
      </c>
      <c r="F178" s="76">
        <f t="shared" ref="F178:F193" si="5">SUM(E178*D178)</f>
        <v>0</v>
      </c>
    </row>
    <row r="179" spans="1:8">
      <c r="A179" s="36"/>
      <c r="B179" s="13" t="s">
        <v>17</v>
      </c>
      <c r="C179" s="4" t="s">
        <v>14</v>
      </c>
      <c r="D179" s="4"/>
      <c r="E179" s="5">
        <v>3</v>
      </c>
      <c r="F179" s="76">
        <f t="shared" si="5"/>
        <v>0</v>
      </c>
      <c r="H179" s="109"/>
    </row>
    <row r="180" spans="1:8">
      <c r="A180" s="36"/>
      <c r="B180" s="13" t="s">
        <v>31</v>
      </c>
      <c r="C180" s="4" t="s">
        <v>11</v>
      </c>
      <c r="D180" s="4"/>
      <c r="E180" s="5">
        <v>45</v>
      </c>
      <c r="F180" s="76">
        <f t="shared" si="5"/>
        <v>0</v>
      </c>
    </row>
    <row r="181" spans="1:8">
      <c r="A181" s="37"/>
      <c r="B181" s="13" t="s">
        <v>106</v>
      </c>
      <c r="C181" s="4" t="s">
        <v>11</v>
      </c>
      <c r="D181" s="4"/>
      <c r="E181" s="5">
        <v>7.5</v>
      </c>
      <c r="F181" s="76">
        <f t="shared" si="5"/>
        <v>0</v>
      </c>
    </row>
    <row r="182" spans="1:8">
      <c r="A182" s="36"/>
      <c r="B182" s="13" t="s">
        <v>42</v>
      </c>
      <c r="C182" s="4" t="s">
        <v>11</v>
      </c>
      <c r="D182" s="4"/>
      <c r="E182" s="5">
        <v>36</v>
      </c>
      <c r="F182" s="76">
        <f t="shared" si="5"/>
        <v>0</v>
      </c>
    </row>
    <row r="183" spans="1:8">
      <c r="A183" s="36"/>
      <c r="B183" s="13" t="s">
        <v>108</v>
      </c>
      <c r="C183" s="4" t="s">
        <v>12</v>
      </c>
      <c r="D183" s="4"/>
      <c r="E183" s="5">
        <v>36</v>
      </c>
      <c r="F183" s="76">
        <f t="shared" si="5"/>
        <v>0</v>
      </c>
    </row>
    <row r="184" spans="1:8">
      <c r="A184" s="36"/>
      <c r="B184" s="13" t="s">
        <v>107</v>
      </c>
      <c r="C184" s="4" t="s">
        <v>12</v>
      </c>
      <c r="D184" s="4"/>
      <c r="E184" s="5">
        <v>18</v>
      </c>
      <c r="F184" s="76">
        <f t="shared" si="5"/>
        <v>0</v>
      </c>
    </row>
    <row r="185" spans="1:8">
      <c r="A185" s="36"/>
      <c r="B185" s="13" t="s">
        <v>45</v>
      </c>
      <c r="C185" s="4" t="s">
        <v>12</v>
      </c>
      <c r="D185" s="4"/>
      <c r="E185" s="5">
        <v>16</v>
      </c>
      <c r="F185" s="76">
        <f t="shared" si="5"/>
        <v>0</v>
      </c>
    </row>
    <row r="186" spans="1:8">
      <c r="A186" s="36"/>
      <c r="B186" s="13" t="s">
        <v>109</v>
      </c>
      <c r="C186" s="4" t="s">
        <v>11</v>
      </c>
      <c r="D186" s="4"/>
      <c r="E186" s="5">
        <v>10.5</v>
      </c>
      <c r="F186" s="76">
        <f t="shared" si="5"/>
        <v>0</v>
      </c>
    </row>
    <row r="187" spans="1:8">
      <c r="A187" s="37"/>
      <c r="B187" s="13" t="s">
        <v>80</v>
      </c>
      <c r="C187" s="4" t="s">
        <v>11</v>
      </c>
      <c r="D187" s="4"/>
      <c r="E187" s="5">
        <v>0</v>
      </c>
      <c r="F187" s="76">
        <f t="shared" si="5"/>
        <v>0</v>
      </c>
    </row>
    <row r="188" spans="1:8">
      <c r="A188" s="37"/>
      <c r="B188" s="13" t="s">
        <v>19</v>
      </c>
      <c r="C188" s="4" t="s">
        <v>27</v>
      </c>
      <c r="D188" s="4"/>
      <c r="E188" s="5">
        <v>12.5</v>
      </c>
      <c r="F188" s="76">
        <f t="shared" si="5"/>
        <v>0</v>
      </c>
    </row>
    <row r="189" spans="1:8">
      <c r="A189" s="37"/>
      <c r="B189" s="13" t="s">
        <v>32</v>
      </c>
      <c r="C189" s="4" t="s">
        <v>11</v>
      </c>
      <c r="D189" s="4"/>
      <c r="E189" s="5">
        <v>0</v>
      </c>
      <c r="F189" s="76">
        <f t="shared" si="5"/>
        <v>0</v>
      </c>
    </row>
    <row r="190" spans="1:8">
      <c r="A190" s="37"/>
      <c r="B190" s="13" t="s">
        <v>20</v>
      </c>
      <c r="C190" s="4" t="s">
        <v>13</v>
      </c>
      <c r="D190" s="4"/>
      <c r="E190" s="5">
        <v>450</v>
      </c>
      <c r="F190" s="76">
        <f t="shared" si="5"/>
        <v>0</v>
      </c>
    </row>
    <row r="191" spans="1:8">
      <c r="A191" s="37"/>
      <c r="B191" s="13" t="s">
        <v>110</v>
      </c>
      <c r="C191" s="4" t="s">
        <v>12</v>
      </c>
      <c r="D191" s="4"/>
      <c r="E191" s="5">
        <v>0</v>
      </c>
      <c r="F191" s="76">
        <f t="shared" si="5"/>
        <v>0</v>
      </c>
    </row>
    <row r="192" spans="1:8">
      <c r="A192" s="37"/>
      <c r="B192" s="13" t="s">
        <v>21</v>
      </c>
      <c r="C192" s="4" t="s">
        <v>12</v>
      </c>
      <c r="D192" s="4"/>
      <c r="E192" s="5">
        <v>10</v>
      </c>
      <c r="F192" s="76">
        <f t="shared" si="5"/>
        <v>0</v>
      </c>
    </row>
    <row r="193" spans="1:6">
      <c r="A193" s="37"/>
      <c r="B193" s="13" t="s">
        <v>33</v>
      </c>
      <c r="C193" s="4" t="s">
        <v>13</v>
      </c>
      <c r="D193" s="4"/>
      <c r="E193" s="5">
        <v>200</v>
      </c>
      <c r="F193" s="76">
        <f t="shared" si="5"/>
        <v>0</v>
      </c>
    </row>
    <row r="194" spans="1:6" ht="25.5">
      <c r="A194" s="37"/>
      <c r="B194" s="13" t="s">
        <v>34</v>
      </c>
      <c r="C194" s="4" t="s">
        <v>13</v>
      </c>
      <c r="D194" s="4"/>
      <c r="E194" s="5">
        <v>0</v>
      </c>
      <c r="F194" s="76">
        <f t="shared" ref="F194:F229" si="6">SUM(E194*D194)</f>
        <v>0</v>
      </c>
    </row>
    <row r="195" spans="1:6">
      <c r="A195" s="37"/>
      <c r="B195" s="13" t="s">
        <v>35</v>
      </c>
      <c r="C195" s="4" t="s">
        <v>13</v>
      </c>
      <c r="D195" s="4"/>
      <c r="E195" s="5">
        <v>50000</v>
      </c>
      <c r="F195" s="76">
        <f t="shared" si="6"/>
        <v>0</v>
      </c>
    </row>
    <row r="196" spans="1:6" ht="25.5">
      <c r="A196" s="37"/>
      <c r="B196" s="13" t="s">
        <v>76</v>
      </c>
      <c r="C196" s="4" t="s">
        <v>11</v>
      </c>
      <c r="D196" s="4"/>
      <c r="E196" s="5">
        <v>0</v>
      </c>
      <c r="F196" s="76">
        <f t="shared" si="6"/>
        <v>0</v>
      </c>
    </row>
    <row r="197" spans="1:6">
      <c r="A197" s="37"/>
      <c r="B197" s="13" t="s">
        <v>77</v>
      </c>
      <c r="C197" s="4" t="s">
        <v>15</v>
      </c>
      <c r="D197" s="4"/>
      <c r="E197" s="5">
        <v>16</v>
      </c>
      <c r="F197" s="76">
        <f t="shared" si="6"/>
        <v>0</v>
      </c>
    </row>
    <row r="198" spans="1:6" ht="13.5" thickBot="1">
      <c r="A198" s="37"/>
      <c r="B198" s="13" t="s">
        <v>28</v>
      </c>
      <c r="C198" s="4" t="s">
        <v>11</v>
      </c>
      <c r="D198" s="4"/>
      <c r="E198" s="5">
        <v>50000</v>
      </c>
      <c r="F198" s="83">
        <f>SUM(E198*D198)</f>
        <v>0</v>
      </c>
    </row>
    <row r="199" spans="1:6" ht="14.25" thickTop="1" thickBot="1">
      <c r="A199" s="37"/>
      <c r="E199" s="107" t="s">
        <v>166</v>
      </c>
      <c r="F199" s="103">
        <f>SUM(F175:F198)</f>
        <v>0</v>
      </c>
    </row>
    <row r="200" spans="1:6" ht="14.25" thickTop="1" thickBot="1">
      <c r="A200" s="71" t="s">
        <v>130</v>
      </c>
      <c r="B200" s="26"/>
      <c r="C200" s="11"/>
      <c r="D200" s="11"/>
      <c r="E200" s="10"/>
      <c r="F200" s="102"/>
    </row>
    <row r="201" spans="1:6">
      <c r="A201" s="70" t="s">
        <v>22</v>
      </c>
      <c r="B201" s="66" t="s">
        <v>74</v>
      </c>
      <c r="C201" s="64" t="s">
        <v>15</v>
      </c>
      <c r="D201" s="64"/>
      <c r="E201" s="65">
        <v>16</v>
      </c>
      <c r="F201" s="84">
        <f t="shared" si="6"/>
        <v>0</v>
      </c>
    </row>
    <row r="202" spans="1:6">
      <c r="A202" s="37"/>
      <c r="B202" s="13" t="s">
        <v>75</v>
      </c>
      <c r="C202" s="4" t="s">
        <v>11</v>
      </c>
      <c r="D202" s="4"/>
      <c r="E202" s="5">
        <v>4.5</v>
      </c>
      <c r="F202" s="76">
        <f t="shared" si="6"/>
        <v>0</v>
      </c>
    </row>
    <row r="203" spans="1:6">
      <c r="A203" s="36"/>
      <c r="B203" s="13" t="s">
        <v>99</v>
      </c>
      <c r="C203" s="11" t="s">
        <v>13</v>
      </c>
      <c r="D203" s="11"/>
      <c r="E203" s="10">
        <v>2500</v>
      </c>
      <c r="F203" s="76">
        <f t="shared" si="6"/>
        <v>0</v>
      </c>
    </row>
    <row r="204" spans="1:6">
      <c r="A204" s="36"/>
      <c r="B204" s="13" t="s">
        <v>86</v>
      </c>
      <c r="C204" s="4" t="s">
        <v>12</v>
      </c>
      <c r="D204" s="4"/>
      <c r="E204" s="5">
        <v>40</v>
      </c>
      <c r="F204" s="76">
        <f t="shared" si="6"/>
        <v>0</v>
      </c>
    </row>
    <row r="205" spans="1:6">
      <c r="A205" s="37"/>
      <c r="B205" s="13" t="s">
        <v>100</v>
      </c>
      <c r="C205" s="4" t="s">
        <v>12</v>
      </c>
      <c r="D205" s="4"/>
      <c r="E205" s="5">
        <v>45</v>
      </c>
      <c r="F205" s="76">
        <f t="shared" si="6"/>
        <v>0</v>
      </c>
    </row>
    <row r="206" spans="1:6">
      <c r="A206" s="37"/>
      <c r="B206" s="13" t="s">
        <v>78</v>
      </c>
      <c r="C206" s="4" t="s">
        <v>13</v>
      </c>
      <c r="D206" s="4"/>
      <c r="E206" s="5">
        <v>0</v>
      </c>
      <c r="F206" s="76">
        <f t="shared" si="6"/>
        <v>0</v>
      </c>
    </row>
    <row r="207" spans="1:6">
      <c r="A207" s="36"/>
      <c r="B207" s="13" t="s">
        <v>79</v>
      </c>
      <c r="C207" s="4" t="s">
        <v>13</v>
      </c>
      <c r="D207" s="4"/>
      <c r="E207" s="5">
        <v>200</v>
      </c>
      <c r="F207" s="76">
        <f t="shared" si="6"/>
        <v>0</v>
      </c>
    </row>
    <row r="208" spans="1:6">
      <c r="A208" s="37"/>
      <c r="B208" s="13" t="s">
        <v>23</v>
      </c>
      <c r="C208" s="4" t="s">
        <v>13</v>
      </c>
      <c r="D208" s="4"/>
      <c r="E208" s="5">
        <v>0</v>
      </c>
      <c r="F208" s="76">
        <f t="shared" si="6"/>
        <v>0</v>
      </c>
    </row>
    <row r="209" spans="1:6">
      <c r="A209" s="37"/>
      <c r="B209" s="13" t="s">
        <v>24</v>
      </c>
      <c r="C209" s="4" t="s">
        <v>12</v>
      </c>
      <c r="D209" s="4"/>
      <c r="E209" s="10">
        <v>0</v>
      </c>
      <c r="F209" s="76">
        <f t="shared" si="6"/>
        <v>0</v>
      </c>
    </row>
    <row r="210" spans="1:6">
      <c r="A210" s="37"/>
      <c r="B210" s="13" t="s">
        <v>102</v>
      </c>
      <c r="C210" s="4" t="s">
        <v>12</v>
      </c>
      <c r="D210" s="4"/>
      <c r="E210" s="5">
        <v>0</v>
      </c>
      <c r="F210" s="76">
        <f t="shared" si="6"/>
        <v>0</v>
      </c>
    </row>
    <row r="211" spans="1:6" ht="13.5" thickBot="1">
      <c r="A211" s="37"/>
      <c r="B211" s="13" t="s">
        <v>81</v>
      </c>
      <c r="C211" s="4" t="s">
        <v>15</v>
      </c>
      <c r="D211" s="4"/>
      <c r="E211" s="5">
        <v>30</v>
      </c>
      <c r="F211" s="83">
        <f t="shared" si="6"/>
        <v>0</v>
      </c>
    </row>
    <row r="212" spans="1:6" ht="14.25" thickTop="1" thickBot="1">
      <c r="A212" s="37"/>
      <c r="B212" s="22"/>
      <c r="C212" s="20"/>
      <c r="D212" s="20"/>
      <c r="E212" s="105" t="s">
        <v>166</v>
      </c>
      <c r="F212" s="103">
        <f>SUM(F201:F211)</f>
        <v>0</v>
      </c>
    </row>
    <row r="213" spans="1:6" ht="13.5" thickTop="1">
      <c r="A213" s="70" t="s">
        <v>87</v>
      </c>
      <c r="B213" s="66" t="s">
        <v>67</v>
      </c>
      <c r="C213" s="64" t="s">
        <v>13</v>
      </c>
      <c r="D213" s="64"/>
      <c r="E213" s="65">
        <v>0</v>
      </c>
      <c r="F213" s="88">
        <f t="shared" si="6"/>
        <v>0</v>
      </c>
    </row>
    <row r="214" spans="1:6">
      <c r="A214" s="37"/>
      <c r="B214" s="13" t="s">
        <v>59</v>
      </c>
      <c r="C214" s="4" t="s">
        <v>13</v>
      </c>
      <c r="D214" s="4"/>
      <c r="E214" s="5">
        <v>200</v>
      </c>
      <c r="F214" s="76">
        <f t="shared" si="6"/>
        <v>0</v>
      </c>
    </row>
    <row r="215" spans="1:6">
      <c r="A215" s="37"/>
      <c r="B215" s="13" t="s">
        <v>57</v>
      </c>
      <c r="F215" s="76">
        <f t="shared" si="6"/>
        <v>0</v>
      </c>
    </row>
    <row r="216" spans="1:6">
      <c r="A216" s="36"/>
      <c r="B216" s="13" t="s">
        <v>101</v>
      </c>
      <c r="C216" s="4" t="s">
        <v>12</v>
      </c>
      <c r="D216" s="4"/>
      <c r="E216" s="5">
        <v>40</v>
      </c>
      <c r="F216" s="76">
        <f t="shared" si="6"/>
        <v>0</v>
      </c>
    </row>
    <row r="217" spans="1:6">
      <c r="A217" s="37"/>
      <c r="B217" s="13" t="s">
        <v>58</v>
      </c>
      <c r="C217" s="4" t="s">
        <v>12</v>
      </c>
      <c r="D217" s="4"/>
      <c r="E217" s="5">
        <v>36</v>
      </c>
      <c r="F217" s="76">
        <f t="shared" si="6"/>
        <v>0</v>
      </c>
    </row>
    <row r="218" spans="1:6">
      <c r="A218" s="37"/>
      <c r="B218" s="13" t="s">
        <v>41</v>
      </c>
      <c r="C218" s="4" t="s">
        <v>12</v>
      </c>
      <c r="D218" s="4"/>
      <c r="E218" s="5">
        <v>26</v>
      </c>
      <c r="F218" s="76">
        <f t="shared" si="6"/>
        <v>0</v>
      </c>
    </row>
    <row r="219" spans="1:6">
      <c r="A219" s="36"/>
      <c r="B219" s="13" t="s">
        <v>40</v>
      </c>
      <c r="C219" s="4" t="s">
        <v>13</v>
      </c>
      <c r="D219" s="4"/>
      <c r="E219" s="5">
        <v>0</v>
      </c>
      <c r="F219" s="76">
        <f t="shared" si="6"/>
        <v>0</v>
      </c>
    </row>
    <row r="220" spans="1:6" ht="13.5" thickBot="1">
      <c r="A220" s="36"/>
      <c r="B220" s="13" t="s">
        <v>66</v>
      </c>
      <c r="C220" s="4" t="s">
        <v>13</v>
      </c>
      <c r="D220" s="4"/>
      <c r="E220" s="5">
        <v>1100</v>
      </c>
      <c r="F220" s="83">
        <f>SUM(E220*D220)</f>
        <v>0</v>
      </c>
    </row>
    <row r="221" spans="1:6" ht="14.25" thickTop="1" thickBot="1">
      <c r="A221" s="36"/>
      <c r="E221" s="107" t="s">
        <v>166</v>
      </c>
      <c r="F221" s="103">
        <f>SUM(F213:F220)</f>
        <v>0</v>
      </c>
    </row>
    <row r="222" spans="1:6" ht="39" thickTop="1">
      <c r="A222" s="70" t="s">
        <v>125</v>
      </c>
      <c r="B222" s="66" t="s">
        <v>60</v>
      </c>
      <c r="C222" s="64" t="s">
        <v>14</v>
      </c>
      <c r="D222" s="64"/>
      <c r="E222" s="65">
        <v>16</v>
      </c>
      <c r="F222" s="88">
        <f t="shared" si="6"/>
        <v>0</v>
      </c>
    </row>
    <row r="223" spans="1:6">
      <c r="A223" s="37"/>
      <c r="B223" s="13" t="s">
        <v>61</v>
      </c>
      <c r="C223" s="4" t="s">
        <v>11</v>
      </c>
      <c r="D223" s="4"/>
      <c r="E223" s="5">
        <v>3.5</v>
      </c>
      <c r="F223" s="76">
        <f t="shared" si="6"/>
        <v>0</v>
      </c>
    </row>
    <row r="224" spans="1:6">
      <c r="A224" s="37"/>
      <c r="B224" s="13" t="s">
        <v>88</v>
      </c>
      <c r="C224" s="4" t="s">
        <v>12</v>
      </c>
      <c r="D224" s="4"/>
      <c r="E224" s="5">
        <v>12</v>
      </c>
      <c r="F224" s="76">
        <f t="shared" si="6"/>
        <v>0</v>
      </c>
    </row>
    <row r="225" spans="1:6">
      <c r="A225" s="37"/>
      <c r="B225" s="13" t="s">
        <v>89</v>
      </c>
      <c r="C225" s="4" t="s">
        <v>12</v>
      </c>
      <c r="D225" s="4"/>
      <c r="E225" s="5">
        <v>12</v>
      </c>
      <c r="F225" s="76">
        <f t="shared" si="6"/>
        <v>0</v>
      </c>
    </row>
    <row r="226" spans="1:6" ht="13.5" thickBot="1">
      <c r="A226" s="37"/>
      <c r="B226" s="13" t="s">
        <v>90</v>
      </c>
      <c r="C226" s="4" t="s">
        <v>13</v>
      </c>
      <c r="D226" s="4"/>
      <c r="E226" s="5">
        <v>25</v>
      </c>
      <c r="F226" s="83">
        <f>SUM(E226*D226)</f>
        <v>0</v>
      </c>
    </row>
    <row r="227" spans="1:6" ht="14.25" thickTop="1" thickBot="1">
      <c r="A227" s="37"/>
      <c r="E227" s="107" t="s">
        <v>166</v>
      </c>
      <c r="F227" s="103">
        <f>SUM(F222:F226)</f>
        <v>0</v>
      </c>
    </row>
    <row r="228" spans="1:6" ht="13.5" thickTop="1">
      <c r="A228" s="61" t="s">
        <v>25</v>
      </c>
      <c r="B228" s="66" t="s">
        <v>103</v>
      </c>
      <c r="C228" s="64" t="s">
        <v>13</v>
      </c>
      <c r="D228" s="64"/>
      <c r="E228" s="65">
        <v>2500</v>
      </c>
      <c r="F228" s="88">
        <f t="shared" si="6"/>
        <v>0</v>
      </c>
    </row>
    <row r="229" spans="1:6" ht="13.5" thickBot="1">
      <c r="A229" s="12"/>
      <c r="B229" s="13" t="s">
        <v>36</v>
      </c>
      <c r="C229" s="4" t="s">
        <v>13</v>
      </c>
      <c r="D229" s="33"/>
      <c r="E229" s="5">
        <v>0</v>
      </c>
      <c r="F229" s="83">
        <f t="shared" si="6"/>
        <v>0</v>
      </c>
    </row>
    <row r="230" spans="1:6" ht="14.25" thickTop="1" thickBot="1">
      <c r="A230" s="12"/>
      <c r="B230" s="26"/>
      <c r="C230" s="11"/>
      <c r="D230" s="11"/>
      <c r="E230" s="111" t="s">
        <v>166</v>
      </c>
      <c r="F230" s="103">
        <f>SUM(F228:F229)</f>
        <v>0</v>
      </c>
    </row>
    <row r="231" spans="1:6" ht="14.25" thickTop="1" thickBot="1">
      <c r="C231" s="11"/>
      <c r="D231" s="11" t="s">
        <v>155</v>
      </c>
      <c r="E231" s="10"/>
      <c r="F231" s="110">
        <f>SUM(F21+F31+F39+F44+F57+F96+F103+F128+F167+F174+F199+F212+F221+F227+F230)</f>
        <v>0</v>
      </c>
    </row>
    <row r="232" spans="1:6" ht="26.25" thickBot="1">
      <c r="C232" s="11"/>
      <c r="D232" s="11" t="s">
        <v>156</v>
      </c>
      <c r="E232" s="10"/>
      <c r="F232" s="77">
        <f>SUM(H231*0.1)</f>
        <v>0</v>
      </c>
    </row>
    <row r="233" spans="1:6">
      <c r="A233" s="12"/>
      <c r="B233" s="26"/>
      <c r="C233" s="11"/>
      <c r="D233" s="11" t="s">
        <v>157</v>
      </c>
      <c r="E233" s="10"/>
      <c r="F233" s="77">
        <f>SUM(+F231)</f>
        <v>0</v>
      </c>
    </row>
    <row r="234" spans="1:6">
      <c r="A234" s="11"/>
    </row>
    <row r="235" spans="1:6">
      <c r="A235" s="11"/>
    </row>
    <row r="236" spans="1:6">
      <c r="A236" s="11"/>
    </row>
    <row r="237" spans="1:6">
      <c r="A237" s="11"/>
      <c r="B237" s="16"/>
      <c r="C237" s="31"/>
    </row>
    <row r="238" spans="1:6">
      <c r="A238" s="11"/>
      <c r="B238" s="3" t="s">
        <v>114</v>
      </c>
      <c r="C238" s="2" t="s">
        <v>51</v>
      </c>
    </row>
    <row r="239" spans="1:6">
      <c r="A239" s="11"/>
    </row>
    <row r="240" spans="1:6">
      <c r="A240" s="12"/>
      <c r="B240" s="16"/>
    </row>
    <row r="241" spans="1:3">
      <c r="A241" s="12"/>
      <c r="B241" s="3" t="s">
        <v>115</v>
      </c>
      <c r="C241" s="17" t="s">
        <v>51</v>
      </c>
    </row>
    <row r="242" spans="1:3">
      <c r="A242" s="12"/>
    </row>
    <row r="243" spans="1:3">
      <c r="B243" s="16"/>
    </row>
    <row r="244" spans="1:3">
      <c r="A244" s="115"/>
      <c r="B244" s="3" t="s">
        <v>116</v>
      </c>
      <c r="C244" s="17" t="s">
        <v>51</v>
      </c>
    </row>
    <row r="245" spans="1:3">
      <c r="A245" s="115"/>
    </row>
    <row r="246" spans="1:3">
      <c r="A246" s="115"/>
    </row>
    <row r="248" spans="1:3">
      <c r="A248" s="12"/>
    </row>
    <row r="249" spans="1:3">
      <c r="A249" s="12"/>
    </row>
    <row r="250" spans="1:3">
      <c r="A250" s="12"/>
    </row>
    <row r="251" spans="1:3">
      <c r="A251" s="12"/>
    </row>
    <row r="252" spans="1:3">
      <c r="A252" s="12"/>
    </row>
    <row r="319" ht="12.75" customHeight="1"/>
    <row r="320" ht="12.75" customHeight="1"/>
    <row r="335" spans="7:7" ht="13.5" thickBot="1"/>
    <row r="336" spans="7:7" ht="13.5" thickBot="1">
      <c r="G336" s="15">
        <f t="shared" ref="G336:G346" si="7">SUM(E204*D204)</f>
        <v>0</v>
      </c>
    </row>
    <row r="337" spans="7:7" ht="13.5" thickBot="1">
      <c r="G337" s="15">
        <f t="shared" si="7"/>
        <v>0</v>
      </c>
    </row>
    <row r="338" spans="7:7" ht="13.5" thickBot="1">
      <c r="G338" s="15">
        <f t="shared" si="7"/>
        <v>0</v>
      </c>
    </row>
    <row r="339" spans="7:7" ht="13.5" thickBot="1">
      <c r="G339" s="15">
        <f t="shared" si="7"/>
        <v>0</v>
      </c>
    </row>
    <row r="340" spans="7:7" ht="13.5" thickBot="1">
      <c r="G340" s="15">
        <f t="shared" si="7"/>
        <v>0</v>
      </c>
    </row>
    <row r="341" spans="7:7" ht="13.5" thickBot="1">
      <c r="G341" s="15">
        <f t="shared" si="7"/>
        <v>0</v>
      </c>
    </row>
    <row r="342" spans="7:7" ht="13.5" thickBot="1">
      <c r="G342" s="15">
        <f t="shared" si="7"/>
        <v>0</v>
      </c>
    </row>
    <row r="343" spans="7:7" ht="13.5" thickBot="1">
      <c r="G343" s="15">
        <f t="shared" si="7"/>
        <v>0</v>
      </c>
    </row>
    <row r="344" spans="7:7" ht="13.5" thickBot="1">
      <c r="G344" s="15" t="e">
        <f t="shared" si="7"/>
        <v>#VALUE!</v>
      </c>
    </row>
    <row r="345" spans="7:7" ht="13.5" thickBot="1">
      <c r="G345" s="15">
        <f t="shared" si="7"/>
        <v>0</v>
      </c>
    </row>
    <row r="346" spans="7:7" ht="13.5" thickBot="1">
      <c r="G346" s="15">
        <f t="shared" si="7"/>
        <v>0</v>
      </c>
    </row>
    <row r="347" spans="7:7" ht="13.5" thickBot="1">
      <c r="G347" s="15"/>
    </row>
    <row r="348" spans="7:7" ht="13.5" thickBot="1">
      <c r="G348" s="15">
        <f>SUM(E216*D216)</f>
        <v>0</v>
      </c>
    </row>
    <row r="349" spans="7:7" ht="13.5" thickBot="1">
      <c r="G349" s="15">
        <f>SUM(E217*D217)</f>
        <v>0</v>
      </c>
    </row>
    <row r="350" spans="7:7" ht="13.5" thickBot="1">
      <c r="G350" s="15">
        <f>SUM(E218*D218)</f>
        <v>0</v>
      </c>
    </row>
    <row r="351" spans="7:7" ht="13.5" thickBot="1">
      <c r="G351" s="15">
        <f>SUM(E219*D219)</f>
        <v>0</v>
      </c>
    </row>
    <row r="352" spans="7:7" ht="13.5" thickBot="1">
      <c r="G352" s="15">
        <f>SUM(E220*D220)</f>
        <v>0</v>
      </c>
    </row>
    <row r="353" spans="7:7" ht="13.5" thickBot="1">
      <c r="G353" s="15">
        <f>SUM(E222*D222)</f>
        <v>0</v>
      </c>
    </row>
    <row r="354" spans="7:7" ht="13.5" thickBot="1">
      <c r="G354" s="15">
        <f>SUM(E223*D223)</f>
        <v>0</v>
      </c>
    </row>
    <row r="355" spans="7:7" ht="13.5" thickBot="1">
      <c r="G355" s="15">
        <f>SUM(E224*D224)</f>
        <v>0</v>
      </c>
    </row>
    <row r="356" spans="7:7" ht="13.5" thickBot="1">
      <c r="G356" s="15">
        <f>SUM(E225*D225)</f>
        <v>0</v>
      </c>
    </row>
    <row r="357" spans="7:7" ht="13.5" thickBot="1">
      <c r="G357" s="15">
        <f>SUM(E226*D226)</f>
        <v>0</v>
      </c>
    </row>
    <row r="358" spans="7:7" ht="13.5" thickBot="1">
      <c r="G358" s="15"/>
    </row>
    <row r="359" spans="7:7" ht="13.5" thickBot="1">
      <c r="G359" s="15" t="e">
        <f>SUM(#REF!*#REF!)</f>
        <v>#REF!</v>
      </c>
    </row>
    <row r="360" spans="7:7" ht="13.5" thickBot="1">
      <c r="G360" s="15">
        <f>SUM(E228*D228)</f>
        <v>0</v>
      </c>
    </row>
    <row r="361" spans="7:7" ht="13.5" thickBot="1">
      <c r="G361" s="15">
        <f>SUM(E229*D229)</f>
        <v>0</v>
      </c>
    </row>
    <row r="362" spans="7:7" ht="13.5" thickBot="1">
      <c r="G362" s="15"/>
    </row>
    <row r="363" spans="7:7" ht="13.5" thickBot="1">
      <c r="G363" s="15" t="e">
        <f>SUM(E232*D232)</f>
        <v>#VALUE!</v>
      </c>
    </row>
    <row r="364" spans="7:7">
      <c r="G364" s="15" t="e">
        <f>SUM(E233*D233)</f>
        <v>#VALUE!</v>
      </c>
    </row>
  </sheetData>
  <mergeCells count="7">
    <mergeCell ref="A244:A246"/>
    <mergeCell ref="A11:F11"/>
    <mergeCell ref="A12:F12"/>
    <mergeCell ref="A16:F16"/>
    <mergeCell ref="A13:F13"/>
    <mergeCell ref="A14:F14"/>
    <mergeCell ref="A15:F15"/>
  </mergeCells>
  <phoneticPr fontId="13" type="noConversion"/>
  <pageMargins left="0.2" right="0" top="0.24" bottom="0.5" header="0.18" footer="0.17"/>
  <pageSetup scale="90" fitToHeight="3" orientation="portrait" r:id="rId1"/>
  <headerFooter alignWithMargins="0"/>
  <rowBreaks count="1" manualBreakCount="1">
    <brk id="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Jefferson County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dshear</dc:creator>
  <cp:lastModifiedBy>cprince</cp:lastModifiedBy>
  <cp:lastPrinted>2006-05-26T16:22:18Z</cp:lastPrinted>
  <dcterms:created xsi:type="dcterms:W3CDTF">1999-08-16T18:25:44Z</dcterms:created>
  <dcterms:modified xsi:type="dcterms:W3CDTF">2014-07-02T17:53:23Z</dcterms:modified>
</cp:coreProperties>
</file>