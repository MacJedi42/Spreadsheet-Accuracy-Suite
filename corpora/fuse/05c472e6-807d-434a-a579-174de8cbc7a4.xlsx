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3955" windowHeight="11055"/>
  </bookViews>
  <sheets>
    <sheet name="Sheet1" sheetId="1" r:id="rId1"/>
  </sheets>
  <externalReferences>
    <externalReference r:id="rId2"/>
    <externalReference r:id="rId3"/>
  </externalReferences>
  <calcPr calcId="145621"/>
</workbook>
</file>

<file path=xl/calcChain.xml><?xml version="1.0" encoding="utf-8"?>
<calcChain xmlns="http://schemas.openxmlformats.org/spreadsheetml/2006/main">
  <c r="T8" i="1" l="1"/>
  <c r="Q8" i="1"/>
  <c r="U26" i="1"/>
  <c r="K9" i="1" l="1"/>
  <c r="O5" i="1"/>
  <c r="P5" i="1"/>
  <c r="O6" i="1"/>
  <c r="P6" i="1"/>
  <c r="O7" i="1"/>
  <c r="P7" i="1"/>
  <c r="O8" i="1"/>
  <c r="P8" i="1"/>
  <c r="N5" i="1"/>
  <c r="N6" i="1"/>
  <c r="N7" i="1"/>
  <c r="N8" i="1"/>
  <c r="P17" i="1" l="1"/>
  <c r="P16" i="1"/>
  <c r="P15" i="1"/>
  <c r="O17" i="1"/>
  <c r="O16" i="1"/>
  <c r="O15" i="1"/>
  <c r="B12" i="1"/>
  <c r="B20" i="1" s="1"/>
  <c r="H9" i="1" l="1"/>
  <c r="E9" i="1"/>
  <c r="B9" i="1"/>
  <c r="M8" i="1"/>
  <c r="L8" i="1"/>
  <c r="K8" i="1"/>
  <c r="J8" i="1"/>
  <c r="I8" i="1"/>
  <c r="H8" i="1"/>
  <c r="G8" i="1"/>
  <c r="F8" i="1"/>
  <c r="E8" i="1"/>
  <c r="D8" i="1"/>
  <c r="C8" i="1"/>
  <c r="B8" i="1"/>
  <c r="M7" i="1"/>
  <c r="L7" i="1"/>
  <c r="K7" i="1"/>
  <c r="J7" i="1"/>
  <c r="I7" i="1"/>
  <c r="H7" i="1"/>
  <c r="G7" i="1"/>
  <c r="F7" i="1"/>
  <c r="E7" i="1"/>
  <c r="D7" i="1"/>
  <c r="C7" i="1"/>
  <c r="B7" i="1"/>
  <c r="M6" i="1"/>
  <c r="L6" i="1"/>
  <c r="K6" i="1"/>
  <c r="J6" i="1"/>
  <c r="I6" i="1"/>
  <c r="H6" i="1"/>
  <c r="G6" i="1"/>
  <c r="F6" i="1"/>
  <c r="E6" i="1"/>
  <c r="D6" i="1"/>
  <c r="C6" i="1"/>
  <c r="B6" i="1"/>
  <c r="M5" i="1"/>
  <c r="L5" i="1"/>
  <c r="K5" i="1"/>
  <c r="J5" i="1"/>
  <c r="I5" i="1"/>
  <c r="H5" i="1"/>
  <c r="G5" i="1"/>
  <c r="F5" i="1"/>
  <c r="E5" i="1"/>
  <c r="D5" i="1"/>
  <c r="C5" i="1"/>
  <c r="B5" i="1"/>
  <c r="D15" i="1" l="1"/>
  <c r="F15" i="1"/>
  <c r="H15" i="1"/>
  <c r="J15" i="1"/>
  <c r="L15" i="1"/>
  <c r="N15" i="1"/>
  <c r="B15" i="1"/>
  <c r="M17" i="1" l="1"/>
  <c r="K17" i="1"/>
  <c r="I17" i="1"/>
  <c r="G17" i="1"/>
  <c r="E17" i="1"/>
  <c r="C17" i="1"/>
  <c r="M16" i="1"/>
  <c r="K16" i="1"/>
  <c r="I16" i="1"/>
  <c r="G16" i="1"/>
  <c r="E16" i="1"/>
  <c r="C16" i="1"/>
  <c r="M15" i="1"/>
  <c r="K15" i="1"/>
  <c r="I15" i="1"/>
  <c r="G15" i="1"/>
  <c r="E15" i="1"/>
  <c r="C15" i="1"/>
  <c r="N17" i="1"/>
  <c r="L17" i="1"/>
  <c r="J17" i="1"/>
  <c r="H17" i="1"/>
  <c r="F17" i="1"/>
  <c r="D17" i="1"/>
  <c r="B17" i="1"/>
  <c r="N16" i="1"/>
  <c r="L16" i="1"/>
  <c r="J16" i="1"/>
  <c r="H16" i="1"/>
  <c r="F16" i="1"/>
  <c r="D16" i="1"/>
  <c r="B16" i="1"/>
</calcChain>
</file>

<file path=xl/sharedStrings.xml><?xml version="1.0" encoding="utf-8"?>
<sst xmlns="http://schemas.openxmlformats.org/spreadsheetml/2006/main" count="107" uniqueCount="42">
  <si>
    <t>Credit  Headcount At Census</t>
  </si>
  <si>
    <t>AY07-08</t>
  </si>
  <si>
    <t>AY08-09</t>
  </si>
  <si>
    <t>AY09-10</t>
  </si>
  <si>
    <t>AY10-11</t>
  </si>
  <si>
    <t>AY11-12</t>
  </si>
  <si>
    <t>Academic Year</t>
  </si>
  <si>
    <t>Gender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</si>
  <si>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</si>
  <si>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</si>
  <si>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</si>
  <si>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</si>
  <si>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</si>
  <si>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</si>
  <si>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</si>
  <si>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</si>
  <si>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</si>
  <si>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</si>
  <si>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</si>
  <si>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</si>
  <si>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</si>
  <si>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</si>
  <si>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</si>
  <si>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Male</t>
  </si>
  <si>
    <t>Female</t>
  </si>
  <si>
    <t>Undeclared</t>
  </si>
  <si>
    <t>Term Total</t>
  </si>
  <si>
    <t>% of Total</t>
  </si>
  <si>
    <t>Credit Headcount % of Total</t>
  </si>
  <si>
    <t>Success Rate</t>
  </si>
  <si>
    <t>Term Average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</si>
  <si>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</si>
  <si>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</si>
  <si>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Gender</t>
    </r>
  </si>
  <si>
    <t>AY12-13</t>
  </si>
  <si>
    <t>AY13-14</t>
  </si>
  <si>
    <t>SU12</t>
  </si>
  <si>
    <t>FA12</t>
  </si>
  <si>
    <t>SP13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</si>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</sst>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1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  <xf numFmtId="0" fontId="18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0" fontId="25" fillId="0" borderId="13" xfId="46" applyFont="1" applyBorder="1" applyAlignment="1" applyProtection="1"/>
    <xf numFmtId="0" fontId="28" fillId="0" borderId="0" xfId="0" applyFont="1" applyAlignment="1">
      <alignment vertical="center"/>
    </xf>
    <xf numFmtId="0" fontId="30" fillId="0" borderId="0" xfId="56" applyFont="1"/>
    <xf numFmtId="9" fontId="23" fillId="0" borderId="52" xfId="1" applyNumberFormat="1" applyFont="1" applyBorder="1" applyAlignment="1" applyProtection="1">
      <alignment horizontal="center" vertical="center"/>
    </xf>
    <xf numFmtId="9" fontId="23" fillId="0" borderId="51" xfId="1" applyNumberFormat="1" applyFont="1" applyBorder="1" applyAlignment="1" applyProtection="1">
      <alignment horizontal="center" vertical="center"/>
    </xf>
    <xf numFmtId="9" fontId="23" fillId="0" borderId="23" xfId="1" applyNumberFormat="1" applyFont="1" applyBorder="1" applyAlignment="1" applyProtection="1">
      <alignment horizontal="center" vertical="center"/>
    </xf>
    <xf numFmtId="9" fontId="23" fillId="0" borderId="38" xfId="1" applyNumberFormat="1" applyFont="1" applyBorder="1" applyAlignment="1" applyProtection="1">
      <alignment horizontal="center" vertical="center"/>
    </xf>
    <xf numFmtId="0" fontId="25" fillId="0" borderId="52" xfId="46" applyFont="1" applyBorder="1" applyAlignment="1" applyProtection="1"/>
    <xf numFmtId="9" fontId="23" fillId="0" borderId="21" xfId="1" applyNumberFormat="1" applyFont="1" applyBorder="1" applyAlignment="1" applyProtection="1">
      <alignment horizontal="center" vertical="center"/>
    </xf>
    <xf numFmtId="9" fontId="23" fillId="0" borderId="40" xfId="1" applyNumberFormat="1" applyFont="1" applyBorder="1" applyAlignment="1" applyProtection="1">
      <alignment horizontal="center" vertical="center"/>
    </xf>
    <xf numFmtId="9" fontId="23" fillId="0" borderId="54" xfId="1" applyNumberFormat="1" applyFont="1" applyBorder="1" applyAlignment="1" applyProtection="1">
      <alignment horizontal="center" vertical="center"/>
    </xf>
    <xf numFmtId="9" fontId="23" fillId="0" borderId="53" xfId="1" applyNumberFormat="1" applyFont="1" applyBorder="1" applyAlignment="1" applyProtection="1">
      <alignment horizontal="center" vertical="center"/>
    </xf>
    <xf numFmtId="0" fontId="0" fillId="0" borderId="0" xfId="0"/>
    <xf numFmtId="9" fontId="23" fillId="0" borderId="46" xfId="1" applyNumberFormat="1" applyFont="1" applyBorder="1" applyAlignment="1" applyProtection="1">
      <alignment horizontal="center" vertical="center"/>
    </xf>
    <xf numFmtId="9" fontId="23" fillId="0" borderId="45" xfId="1" applyNumberFormat="1" applyFont="1" applyBorder="1" applyAlignment="1" applyProtection="1">
      <alignment horizontal="center" vertical="center"/>
    </xf>
    <xf numFmtId="9" fontId="23" fillId="0" borderId="44" xfId="1" applyNumberFormat="1" applyFont="1" applyBorder="1" applyAlignment="1" applyProtection="1">
      <alignment horizontal="center" vertical="center"/>
    </xf>
    <xf numFmtId="9" fontId="23" fillId="0" borderId="25" xfId="1" applyNumberFormat="1" applyFont="1" applyBorder="1" applyAlignment="1" applyProtection="1">
      <alignment horizontal="center" vertical="center"/>
    </xf>
    <xf numFmtId="165" fontId="23" fillId="0" borderId="28" xfId="1" applyNumberFormat="1" applyFont="1" applyBorder="1" applyAlignment="1" applyProtection="1">
      <alignment horizontal="center" vertical="center"/>
    </xf>
    <xf numFmtId="9" fontId="23" fillId="0" borderId="47" xfId="1" applyNumberFormat="1" applyFont="1" applyBorder="1" applyAlignment="1" applyProtection="1">
      <alignment horizontal="center" vertical="center"/>
    </xf>
    <xf numFmtId="164" fontId="23" fillId="0" borderId="17" xfId="1" applyNumberFormat="1" applyFont="1" applyBorder="1" applyAlignment="1" applyProtection="1">
      <alignment horizontal="center" vertical="center"/>
    </xf>
    <xf numFmtId="164" fontId="23" fillId="0" borderId="19" xfId="1" applyNumberFormat="1" applyFont="1" applyBorder="1" applyAlignment="1" applyProtection="1">
      <alignment horizontal="center" vertical="center"/>
    </xf>
    <xf numFmtId="0" fontId="16" fillId="0" borderId="38" xfId="44" applyFont="1" applyBorder="1" applyAlignment="1">
      <alignment horizontal="center" vertical="center"/>
    </xf>
    <xf numFmtId="0" fontId="25" fillId="0" borderId="22" xfId="46" applyFont="1" applyBorder="1" applyAlignment="1" applyProtection="1"/>
    <xf numFmtId="0" fontId="25" fillId="0" borderId="25" xfId="46" applyFont="1" applyBorder="1" applyAlignment="1" applyProtection="1"/>
    <xf numFmtId="0" fontId="25" fillId="0" borderId="21" xfId="46" applyFont="1" applyBorder="1" applyAlignment="1" applyProtection="1"/>
    <xf numFmtId="0" fontId="27" fillId="0" borderId="21" xfId="46" applyFont="1" applyBorder="1" applyAlignment="1" applyProtection="1">
      <alignment horizontal="center" vertical="center"/>
    </xf>
    <xf numFmtId="164" fontId="23" fillId="0" borderId="10" xfId="1" applyNumberFormat="1" applyFont="1" applyBorder="1" applyAlignment="1" applyProtection="1">
      <alignment horizontal="center" vertical="center"/>
    </xf>
    <xf numFmtId="164" fontId="23" fillId="0" borderId="15" xfId="1" applyNumberFormat="1" applyFont="1" applyBorder="1" applyAlignment="1" applyProtection="1">
      <alignment horizontal="center" vertical="center"/>
    </xf>
    <xf numFmtId="164" fontId="23" fillId="0" borderId="16" xfId="1" applyNumberFormat="1" applyFont="1" applyBorder="1" applyAlignment="1" applyProtection="1">
      <alignment horizontal="center" vertical="center"/>
    </xf>
    <xf numFmtId="164" fontId="23" fillId="0" borderId="18" xfId="1" applyNumberFormat="1" applyFont="1" applyBorder="1" applyAlignment="1" applyProtection="1">
      <alignment horizontal="center" vertical="center"/>
    </xf>
    <xf numFmtId="164" fontId="23" fillId="0" borderId="32" xfId="1" applyNumberFormat="1" applyFont="1" applyBorder="1" applyAlignment="1" applyProtection="1">
      <alignment horizontal="center" vertical="center"/>
    </xf>
    <xf numFmtId="164" fontId="23" fillId="0" borderId="30" xfId="1" applyNumberFormat="1" applyFont="1" applyBorder="1" applyAlignment="1" applyProtection="1">
      <alignment horizontal="center" vertical="center"/>
    </xf>
    <xf numFmtId="164" fontId="23" fillId="0" borderId="31" xfId="1" applyNumberFormat="1" applyFont="1" applyBorder="1" applyAlignment="1" applyProtection="1">
      <alignment horizontal="center" vertical="center"/>
    </xf>
    <xf numFmtId="164" fontId="23" fillId="0" borderId="29" xfId="1" applyNumberFormat="1" applyFont="1" applyBorder="1" applyAlignment="1" applyProtection="1">
      <alignment horizontal="center" vertical="center"/>
    </xf>
    <xf numFmtId="164" fontId="25" fillId="0" borderId="24" xfId="1" applyNumberFormat="1" applyFont="1" applyBorder="1" applyAlignment="1" applyProtection="1">
      <alignment horizontal="center" vertical="center"/>
    </xf>
    <xf numFmtId="164" fontId="25" fillId="0" borderId="33" xfId="1" applyNumberFormat="1" applyFont="1" applyBorder="1" applyAlignment="1" applyProtection="1">
      <alignment horizontal="center" vertical="center"/>
    </xf>
    <xf numFmtId="164" fontId="25" fillId="0" borderId="34" xfId="1" applyNumberFormat="1" applyFont="1" applyBorder="1" applyAlignment="1" applyProtection="1">
      <alignment horizontal="center" vertical="center"/>
    </xf>
    <xf numFmtId="164" fontId="25" fillId="0" borderId="36" xfId="1" applyNumberFormat="1" applyFont="1" applyBorder="1" applyAlignment="1" applyProtection="1">
      <alignment horizontal="center" vertical="center"/>
    </xf>
    <xf numFmtId="164" fontId="25" fillId="0" borderId="35" xfId="1" applyNumberFormat="1" applyFont="1" applyBorder="1" applyAlignment="1" applyProtection="1">
      <alignment horizontal="center" vertical="center"/>
    </xf>
    <xf numFmtId="0" fontId="22" fillId="35" borderId="40" xfId="44" applyFont="1" applyFill="1" applyBorder="1" applyAlignment="1">
      <alignment horizontal="center" vertical="center"/>
    </xf>
    <xf numFmtId="0" fontId="22" fillId="35" borderId="41" xfId="44" applyFont="1" applyFill="1" applyBorder="1" applyAlignment="1">
      <alignment horizontal="center" vertical="center"/>
    </xf>
    <xf numFmtId="0" fontId="22" fillId="35" borderId="39" xfId="44" applyFont="1" applyFill="1" applyBorder="1" applyAlignment="1">
      <alignment horizontal="center" vertical="center"/>
    </xf>
    <xf numFmtId="0" fontId="22" fillId="0" borderId="40" xfId="44" applyFont="1" applyFill="1" applyBorder="1" applyAlignment="1">
      <alignment horizontal="center" vertical="center"/>
    </xf>
    <xf numFmtId="0" fontId="22" fillId="0" borderId="41" xfId="44" applyFont="1" applyFill="1" applyBorder="1" applyAlignment="1">
      <alignment horizontal="center" vertical="center"/>
    </xf>
    <xf numFmtId="0" fontId="22" fillId="0" borderId="39" xfId="44" applyFont="1" applyFill="1" applyBorder="1" applyAlignment="1">
      <alignment horizontal="center" vertical="center"/>
    </xf>
    <xf numFmtId="164" fontId="23" fillId="0" borderId="43" xfId="1" applyNumberFormat="1" applyFont="1" applyBorder="1" applyAlignment="1" applyProtection="1">
      <alignment horizontal="center" vertical="center"/>
    </xf>
    <xf numFmtId="164" fontId="23" fillId="0" borderId="28" xfId="1" applyNumberFormat="1" applyFont="1" applyBorder="1" applyAlignment="1" applyProtection="1">
      <alignment horizontal="center" vertical="center"/>
    </xf>
    <xf numFmtId="0" fontId="22" fillId="35" borderId="42" xfId="44" applyFont="1" applyFill="1" applyBorder="1" applyAlignment="1">
      <alignment horizontal="center" vertical="center"/>
    </xf>
    <xf numFmtId="165" fontId="23" fillId="0" borderId="17" xfId="1" applyNumberFormat="1" applyFont="1" applyBorder="1" applyAlignment="1" applyProtection="1">
      <alignment horizontal="center" vertical="center"/>
    </xf>
    <xf numFmtId="165" fontId="23" fillId="0" borderId="16" xfId="1" applyNumberFormat="1" applyFont="1" applyBorder="1" applyAlignment="1" applyProtection="1">
      <alignment horizontal="center" vertical="center"/>
    </xf>
    <xf numFmtId="165" fontId="23" fillId="0" borderId="19" xfId="1" applyNumberFormat="1" applyFont="1" applyBorder="1" applyAlignment="1" applyProtection="1">
      <alignment horizontal="center" vertical="center"/>
    </xf>
    <xf numFmtId="0" fontId="25" fillId="0" borderId="37" xfId="46" applyFont="1" applyBorder="1" applyAlignment="1" applyProtection="1"/>
    <xf numFmtId="165" fontId="23" fillId="0" borderId="15" xfId="1" applyNumberFormat="1" applyFont="1" applyBorder="1" applyAlignment="1" applyProtection="1">
      <alignment horizontal="center" vertical="center"/>
    </xf>
    <xf numFmtId="165" fontId="23" fillId="0" borderId="10" xfId="1" applyNumberFormat="1" applyFont="1" applyBorder="1" applyAlignment="1" applyProtection="1">
      <alignment horizontal="center" vertical="center"/>
    </xf>
    <xf numFmtId="165" fontId="23" fillId="0" borderId="18" xfId="1" applyNumberFormat="1" applyFont="1" applyBorder="1" applyAlignment="1" applyProtection="1">
      <alignment horizontal="center" vertical="center"/>
    </xf>
    <xf numFmtId="165" fontId="23" fillId="0" borderId="32" xfId="1" applyNumberFormat="1" applyFont="1" applyBorder="1" applyAlignment="1" applyProtection="1">
      <alignment horizontal="center" vertical="center"/>
    </xf>
    <xf numFmtId="165" fontId="23" fillId="0" borderId="30" xfId="1" applyNumberFormat="1" applyFont="1" applyBorder="1" applyAlignment="1" applyProtection="1">
      <alignment horizontal="center" vertical="center"/>
    </xf>
    <xf numFmtId="165" fontId="23" fillId="0" borderId="31" xfId="1" applyNumberFormat="1" applyFont="1" applyBorder="1" applyAlignment="1" applyProtection="1">
      <alignment horizontal="center" vertical="center"/>
    </xf>
    <xf numFmtId="165" fontId="23" fillId="0" borderId="29" xfId="1" applyNumberFormat="1" applyFont="1" applyBorder="1" applyAlignment="1" applyProtection="1">
      <alignment horizontal="center" vertical="center"/>
    </xf>
    <xf numFmtId="165" fontId="23" fillId="0" borderId="43" xfId="1" applyNumberFormat="1" applyFont="1" applyBorder="1" applyAlignment="1" applyProtection="1">
      <alignment horizontal="center" vertical="center"/>
    </xf>
    <xf numFmtId="9" fontId="23" fillId="0" borderId="22" xfId="1" applyNumberFormat="1" applyFont="1" applyBorder="1" applyAlignment="1" applyProtection="1">
      <alignment horizontal="center" vertical="center"/>
    </xf>
    <xf numFmtId="0" fontId="16" fillId="0" borderId="21" xfId="44" applyFont="1" applyBorder="1" applyAlignment="1">
      <alignment horizontal="center" vertical="center"/>
    </xf>
    <xf numFmtId="9" fontId="23" fillId="0" borderId="18" xfId="1" applyNumberFormat="1" applyFont="1" applyBorder="1" applyAlignment="1" applyProtection="1">
      <alignment horizontal="center" vertical="center"/>
    </xf>
    <xf numFmtId="0" fontId="22" fillId="35" borderId="26" xfId="44" applyFont="1" applyFill="1" applyBorder="1" applyAlignment="1">
      <alignment horizontal="center" vertical="center"/>
    </xf>
    <xf numFmtId="0" fontId="22" fillId="35" borderId="27" xfId="44" applyFont="1" applyFill="1" applyBorder="1" applyAlignment="1">
      <alignment horizontal="center" vertical="center"/>
    </xf>
    <xf numFmtId="0" fontId="22" fillId="35" borderId="43" xfId="44" applyFont="1" applyFill="1" applyBorder="1" applyAlignment="1">
      <alignment horizontal="center" vertical="center"/>
    </xf>
    <xf numFmtId="3" fontId="27" fillId="0" borderId="48" xfId="1" applyNumberFormat="1" applyFont="1" applyFill="1" applyBorder="1" applyAlignment="1" applyProtection="1">
      <alignment horizontal="center" vertical="center"/>
    </xf>
    <xf numFmtId="3" fontId="27" fillId="0" borderId="49" xfId="1" applyNumberFormat="1" applyFont="1" applyFill="1" applyBorder="1" applyAlignment="1" applyProtection="1">
      <alignment horizontal="center" vertical="center"/>
    </xf>
    <xf numFmtId="3" fontId="27" fillId="0" borderId="50" xfId="1" applyNumberFormat="1" applyFont="1" applyFill="1" applyBorder="1" applyAlignment="1" applyProtection="1">
      <alignment horizontal="center" vertical="center"/>
    </xf>
    <xf numFmtId="0" fontId="26" fillId="33" borderId="11" xfId="9" applyFont="1" applyFill="1" applyBorder="1" applyAlignment="1">
      <alignment horizontal="center" vertical="center" wrapText="1"/>
    </xf>
    <xf numFmtId="0" fontId="26" fillId="33" borderId="12" xfId="9" applyFont="1" applyFill="1" applyBorder="1" applyAlignment="1">
      <alignment horizontal="center" vertical="center" wrapText="1"/>
    </xf>
    <xf numFmtId="0" fontId="26" fillId="33" borderId="13" xfId="9" applyFont="1" applyFill="1" applyBorder="1" applyAlignment="1">
      <alignment horizontal="center" vertical="center" wrapText="1"/>
    </xf>
    <xf numFmtId="0" fontId="22" fillId="0" borderId="26" xfId="44" applyFont="1" applyFill="1" applyBorder="1" applyAlignment="1">
      <alignment horizontal="center" vertical="center"/>
    </xf>
    <xf numFmtId="0" fontId="22" fillId="0" borderId="27" xfId="44" applyFont="1" applyFill="1" applyBorder="1" applyAlignment="1">
      <alignment horizontal="center" vertical="center"/>
    </xf>
    <xf numFmtId="0" fontId="22" fillId="0" borderId="28" xfId="44" applyFont="1" applyFill="1" applyBorder="1" applyAlignment="1">
      <alignment horizontal="center" vertical="center"/>
    </xf>
    <xf numFmtId="0" fontId="22" fillId="33" borderId="11" xfId="9" applyFont="1" applyFill="1" applyBorder="1" applyAlignment="1">
      <alignment horizontal="center" vertical="center" wrapText="1"/>
    </xf>
    <xf numFmtId="0" fontId="22" fillId="33" borderId="12" xfId="9" applyFont="1" applyFill="1" applyBorder="1" applyAlignment="1">
      <alignment horizontal="center" vertical="center" wrapText="1"/>
    </xf>
    <xf numFmtId="0" fontId="22" fillId="33" borderId="13" xfId="9" applyFont="1" applyFill="1" applyBorder="1" applyAlignment="1">
      <alignment horizontal="center" vertical="center" wrapText="1"/>
    </xf>
    <xf numFmtId="0" fontId="19" fillId="34" borderId="20" xfId="44" applyFont="1" applyFill="1" applyBorder="1" applyAlignment="1">
      <alignment horizontal="center"/>
    </xf>
    <xf numFmtId="0" fontId="19" fillId="34" borderId="0" xfId="44" applyFont="1" applyFill="1" applyBorder="1" applyAlignment="1">
      <alignment horizontal="center"/>
    </xf>
    <xf numFmtId="0" fontId="19" fillId="34" borderId="13" xfId="44" applyFont="1" applyFill="1" applyBorder="1" applyAlignment="1">
      <alignment horizontal="center"/>
    </xf>
    <xf numFmtId="0" fontId="19" fillId="34" borderId="14" xfId="44" applyFont="1" applyFill="1" applyBorder="1" applyAlignment="1">
      <alignment horizontal="center"/>
    </xf>
  </cellXfs>
  <cellStyles count="114">
    <cellStyle name="20% - Accent1" xfId="20" builtinId="30" customBuiltin="1"/>
    <cellStyle name="20% - Accent1 2" xfId="75"/>
    <cellStyle name="20% - Accent2" xfId="24" builtinId="34" customBuiltin="1"/>
    <cellStyle name="20% - Accent2 2" xfId="79"/>
    <cellStyle name="20% - Accent3" xfId="28" builtinId="38" customBuiltin="1"/>
    <cellStyle name="20% - Accent3 2" xfId="83"/>
    <cellStyle name="20% - Accent4" xfId="32" builtinId="42" customBuiltin="1"/>
    <cellStyle name="20% - Accent4 2" xfId="87"/>
    <cellStyle name="20% - Accent5" xfId="36" builtinId="46" customBuiltin="1"/>
    <cellStyle name="20% - Accent5 2" xfId="91"/>
    <cellStyle name="20% - Accent6" xfId="40" builtinId="50" customBuiltin="1"/>
    <cellStyle name="20% - Accent6 2" xfId="95"/>
    <cellStyle name="40% - Accent1" xfId="21" builtinId="31" customBuiltin="1"/>
    <cellStyle name="40% - Accent1 2" xfId="76"/>
    <cellStyle name="40% - Accent2" xfId="25" builtinId="35" customBuiltin="1"/>
    <cellStyle name="40% - Accent2 2" xfId="80"/>
    <cellStyle name="40% - Accent3" xfId="29" builtinId="39" customBuiltin="1"/>
    <cellStyle name="40% - Accent3 2" xfId="84"/>
    <cellStyle name="40% - Accent4" xfId="33" builtinId="43" customBuiltin="1"/>
    <cellStyle name="40% - Accent4 2" xfId="88"/>
    <cellStyle name="40% - Accent5" xfId="37" builtinId="47" customBuiltin="1"/>
    <cellStyle name="40% - Accent5 2" xfId="92"/>
    <cellStyle name="40% - Accent6" xfId="41" builtinId="51" customBuiltin="1"/>
    <cellStyle name="40% - Accent6 2" xfId="96"/>
    <cellStyle name="60% - Accent1" xfId="22" builtinId="32" customBuiltin="1"/>
    <cellStyle name="60% - Accent1 2" xfId="77"/>
    <cellStyle name="60% - Accent2" xfId="26" builtinId="36" customBuiltin="1"/>
    <cellStyle name="60% - Accent2 2" xfId="81"/>
    <cellStyle name="60% - Accent3" xfId="30" builtinId="40" customBuiltin="1"/>
    <cellStyle name="60% - Accent3 2" xfId="85"/>
    <cellStyle name="60% - Accent4" xfId="34" builtinId="44" customBuiltin="1"/>
    <cellStyle name="60% - Accent4 2" xfId="89"/>
    <cellStyle name="60% - Accent5" xfId="38" builtinId="48" customBuiltin="1"/>
    <cellStyle name="60% - Accent5 2" xfId="93"/>
    <cellStyle name="60% - Accent6" xfId="42" builtinId="52" customBuiltin="1"/>
    <cellStyle name="60% - Accent6 2" xfId="97"/>
    <cellStyle name="Accent1" xfId="19" builtinId="29" customBuiltin="1"/>
    <cellStyle name="Accent1 2" xfId="74"/>
    <cellStyle name="Accent2" xfId="23" builtinId="33" customBuiltin="1"/>
    <cellStyle name="Accent2 2" xfId="78"/>
    <cellStyle name="Accent3" xfId="27" builtinId="37" customBuiltin="1"/>
    <cellStyle name="Accent3 2" xfId="82"/>
    <cellStyle name="Accent4" xfId="31" builtinId="41" customBuiltin="1"/>
    <cellStyle name="Accent4 2" xfId="86"/>
    <cellStyle name="Accent5" xfId="35" builtinId="45" customBuiltin="1"/>
    <cellStyle name="Accent5 2" xfId="90"/>
    <cellStyle name="Accent6" xfId="39" builtinId="49" customBuiltin="1"/>
    <cellStyle name="Accent6 2" xfId="94"/>
    <cellStyle name="Bad" xfId="8" builtinId="27" customBuiltin="1"/>
    <cellStyle name="Bad 2" xfId="63"/>
    <cellStyle name="Calculation" xfId="12" builtinId="22" customBuiltin="1"/>
    <cellStyle name="Calculation 2" xfId="67"/>
    <cellStyle name="Check Cell" xfId="14" builtinId="23" customBuiltin="1"/>
    <cellStyle name="Check Cell 2" xfId="69"/>
    <cellStyle name="Comma" xfId="1" builtinId="3"/>
    <cellStyle name="Comma 2" xfId="49"/>
    <cellStyle name="Comma 2 2" xfId="52"/>
    <cellStyle name="Comma 3" xfId="98"/>
    <cellStyle name="Explanatory Text" xfId="17" builtinId="53" customBuiltin="1"/>
    <cellStyle name="Explanatory Text 2" xfId="72"/>
    <cellStyle name="Good" xfId="7" builtinId="26" customBuiltin="1"/>
    <cellStyle name="Good 2" xfId="62"/>
    <cellStyle name="Heading 1" xfId="3" builtinId="16" customBuiltin="1"/>
    <cellStyle name="Heading 1 2" xfId="58"/>
    <cellStyle name="Heading 2" xfId="4" builtinId="17" customBuiltin="1"/>
    <cellStyle name="Heading 2 2" xfId="59"/>
    <cellStyle name="Heading 3" xfId="5" builtinId="18" customBuiltin="1"/>
    <cellStyle name="Heading 3 2" xfId="60"/>
    <cellStyle name="Heading 4" xfId="6" builtinId="19" customBuiltin="1"/>
    <cellStyle name="Heading 4 2" xfId="61"/>
    <cellStyle name="Hyperlink" xfId="46" builtinId="8"/>
    <cellStyle name="Hyperlink 2" xfId="50"/>
    <cellStyle name="Input" xfId="10" builtinId="20" customBuiltin="1"/>
    <cellStyle name="Input 2" xfId="65"/>
    <cellStyle name="Linked Cell" xfId="13" builtinId="24" customBuiltin="1"/>
    <cellStyle name="Linked Cell 2" xfId="68"/>
    <cellStyle name="Neutral" xfId="9" builtinId="28" customBuiltin="1"/>
    <cellStyle name="Neutral 2" xfId="53"/>
    <cellStyle name="Neutral 3" xfId="64"/>
    <cellStyle name="Normal" xfId="0" builtinId="0"/>
    <cellStyle name="Normal 2" xfId="44"/>
    <cellStyle name="Normal 2 2" xfId="48"/>
    <cellStyle name="Normal 2 2 2" xfId="51"/>
    <cellStyle name="Normal 3" xfId="43"/>
    <cellStyle name="Normal 3 2" xfId="54"/>
    <cellStyle name="Normal 3 2 2" xfId="104"/>
    <cellStyle name="Normal 3 3" xfId="106"/>
    <cellStyle name="Normal 3 4" xfId="112"/>
    <cellStyle name="Normal 3 5" xfId="108"/>
    <cellStyle name="Normal 3 6" xfId="99"/>
    <cellStyle name="Normal 4" xfId="56"/>
    <cellStyle name="Normal 5" xfId="102"/>
    <cellStyle name="Normal 6" xfId="103"/>
    <cellStyle name="Normal 7" xfId="109"/>
    <cellStyle name="Normal 8" xfId="111"/>
    <cellStyle name="Normal 9" xfId="57"/>
    <cellStyle name="Note" xfId="16" builtinId="10" customBuiltin="1"/>
    <cellStyle name="Note 2" xfId="45"/>
    <cellStyle name="Note 3" xfId="71"/>
    <cellStyle name="Output" xfId="11" builtinId="21" customBuiltin="1"/>
    <cellStyle name="Output 2" xfId="66"/>
    <cellStyle name="Percent 2" xfId="47"/>
    <cellStyle name="Percent 2 2" xfId="55"/>
    <cellStyle name="Percent 2 2 2" xfId="105"/>
    <cellStyle name="Percent 2 3" xfId="107"/>
    <cellStyle name="Percent 2 4" xfId="113"/>
    <cellStyle name="Percent 2 5" xfId="110"/>
    <cellStyle name="Percent 2 6" xfId="100"/>
    <cellStyle name="Percent 3" xfId="101"/>
    <cellStyle name="Title" xfId="2" builtinId="15" customBuiltin="1"/>
    <cellStyle name="Total" xfId="18" builtinId="25" customBuiltin="1"/>
    <cellStyle name="Total 2" xfId="73"/>
    <cellStyle name="Warning Text" xfId="15" builtinId="11" customBuiltin="1"/>
    <cellStyle name="Warning Text 2" xfId="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MVC%20Service%20Area\Demographics\All%20Students\Unduplicated%20Headcount\edit\sort.gender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MVC%20Service%20Area\Demographics\All%20Students\Ethnicity\edit.mvc.ethni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Sheet3"/>
      <sheetName val="sort.gender.headcount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955</v>
          </cell>
          <cell r="C4">
            <v>3392</v>
          </cell>
          <cell r="D4">
            <v>3390</v>
          </cell>
          <cell r="E4">
            <v>1083</v>
          </cell>
          <cell r="F4">
            <v>3817</v>
          </cell>
          <cell r="G4">
            <v>3916</v>
          </cell>
          <cell r="H4">
            <v>535</v>
          </cell>
          <cell r="I4">
            <v>4347</v>
          </cell>
          <cell r="J4">
            <v>4267</v>
          </cell>
          <cell r="K4">
            <v>295</v>
          </cell>
          <cell r="L4">
            <v>3865</v>
          </cell>
          <cell r="M4">
            <v>3981</v>
          </cell>
          <cell r="N4">
            <v>2</v>
          </cell>
          <cell r="O4">
            <v>3732</v>
          </cell>
          <cell r="P4">
            <v>3858</v>
          </cell>
        </row>
        <row r="5">
          <cell r="A5" t="str">
            <v>Female</v>
          </cell>
          <cell r="B5">
            <v>1546</v>
          </cell>
          <cell r="C5">
            <v>5216</v>
          </cell>
          <cell r="D5">
            <v>5030</v>
          </cell>
          <cell r="E5">
            <v>1709</v>
          </cell>
          <cell r="F5">
            <v>5546</v>
          </cell>
          <cell r="G5">
            <v>5605</v>
          </cell>
          <cell r="H5">
            <v>945</v>
          </cell>
          <cell r="I5">
            <v>5999</v>
          </cell>
          <cell r="J5">
            <v>5773</v>
          </cell>
          <cell r="K5">
            <v>455</v>
          </cell>
          <cell r="L5">
            <v>5176</v>
          </cell>
          <cell r="M5">
            <v>5095</v>
          </cell>
          <cell r="N5">
            <v>34</v>
          </cell>
          <cell r="O5">
            <v>4719</v>
          </cell>
          <cell r="P5">
            <v>4979</v>
          </cell>
        </row>
        <row r="6">
          <cell r="A6" t="str">
            <v>Undeclared</v>
          </cell>
          <cell r="B6">
            <v>10</v>
          </cell>
          <cell r="C6">
            <v>61</v>
          </cell>
          <cell r="D6">
            <v>57</v>
          </cell>
          <cell r="E6">
            <v>29</v>
          </cell>
          <cell r="F6">
            <v>127</v>
          </cell>
          <cell r="G6">
            <v>134</v>
          </cell>
          <cell r="H6">
            <v>23</v>
          </cell>
          <cell r="I6">
            <v>128</v>
          </cell>
          <cell r="J6">
            <v>113</v>
          </cell>
          <cell r="K6">
            <v>13</v>
          </cell>
          <cell r="L6">
            <v>92</v>
          </cell>
          <cell r="M6">
            <v>99</v>
          </cell>
          <cell r="N6">
            <v>1</v>
          </cell>
          <cell r="O6">
            <v>72</v>
          </cell>
          <cell r="P6">
            <v>86</v>
          </cell>
        </row>
        <row r="7">
          <cell r="A7" t="str">
            <v>Term Total</v>
          </cell>
          <cell r="B7">
            <v>2511</v>
          </cell>
          <cell r="C7">
            <v>8669</v>
          </cell>
          <cell r="D7">
            <v>8477</v>
          </cell>
          <cell r="E7">
            <v>2821</v>
          </cell>
          <cell r="F7">
            <v>9490</v>
          </cell>
          <cell r="G7">
            <v>9655</v>
          </cell>
          <cell r="H7">
            <v>1503</v>
          </cell>
          <cell r="I7">
            <v>10474</v>
          </cell>
          <cell r="J7">
            <v>10153</v>
          </cell>
          <cell r="K7">
            <v>763</v>
          </cell>
          <cell r="L7">
            <v>9133</v>
          </cell>
          <cell r="M7">
            <v>9175</v>
          </cell>
          <cell r="N7">
            <v>37</v>
          </cell>
          <cell r="O7">
            <v>8523</v>
          </cell>
          <cell r="P7">
            <v>8923</v>
          </cell>
        </row>
      </sheetData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"/>
      <sheetName val="edit.mvc.ethnicity"/>
    </sheetNames>
    <sheetDataSet>
      <sheetData sheetId="0">
        <row r="15">
          <cell r="B15">
            <v>13221</v>
          </cell>
          <cell r="E15">
            <v>14790</v>
          </cell>
          <cell r="H15">
            <v>14991</v>
          </cell>
          <cell r="K15">
            <v>12920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abSelected="1" workbookViewId="0">
      <selection activeCell="T9" sqref="T9:V9"/>
    </sheetView>
  </sheetViews>
  <sheetFormatPr defaultRowHeight="15" x14ac:dyDescent="0.25"/>
  <cols>
    <col min="1" max="1" width="14.1406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5" width="7.5703125" bestFit="1" customWidth="1"/>
    <col min="16" max="16" width="8" customWidth="1"/>
  </cols>
  <sheetData>
    <row r="1" spans="1:22" ht="15.75" x14ac:dyDescent="0.25">
      <c r="A1" s="79"/>
      <c r="B1" s="82" t="s">
        <v>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2" ht="16.5" thickBot="1" x14ac:dyDescent="0.3">
      <c r="A2" s="80"/>
      <c r="B2" s="84" t="s">
        <v>33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</row>
    <row r="3" spans="1:22" ht="15.75" thickBot="1" x14ac:dyDescent="0.3">
      <c r="A3" s="81"/>
      <c r="B3" s="67" t="s">
        <v>1</v>
      </c>
      <c r="C3" s="68"/>
      <c r="D3" s="69"/>
      <c r="E3" s="76" t="s">
        <v>2</v>
      </c>
      <c r="F3" s="77"/>
      <c r="G3" s="78"/>
      <c r="H3" s="67" t="s">
        <v>3</v>
      </c>
      <c r="I3" s="68"/>
      <c r="J3" s="69"/>
      <c r="K3" s="76" t="s">
        <v>4</v>
      </c>
      <c r="L3" s="77"/>
      <c r="M3" s="78"/>
      <c r="N3" s="67" t="s">
        <v>5</v>
      </c>
      <c r="O3" s="68"/>
      <c r="P3" s="69"/>
      <c r="Q3" s="76" t="s">
        <v>34</v>
      </c>
      <c r="R3" s="77"/>
      <c r="S3" s="78"/>
      <c r="T3" s="67" t="s">
        <v>35</v>
      </c>
      <c r="U3" s="68"/>
      <c r="V3" s="69"/>
    </row>
    <row r="4" spans="1:22" ht="15.75" thickBot="1" x14ac:dyDescent="0.3">
      <c r="A4" s="25" t="s">
        <v>7</v>
      </c>
      <c r="B4" s="43" t="s">
        <v>8</v>
      </c>
      <c r="C4" s="44" t="s">
        <v>9</v>
      </c>
      <c r="D4" s="45" t="s">
        <v>10</v>
      </c>
      <c r="E4" s="46" t="s">
        <v>11</v>
      </c>
      <c r="F4" s="47" t="s">
        <v>12</v>
      </c>
      <c r="G4" s="48" t="s">
        <v>13</v>
      </c>
      <c r="H4" s="43" t="s">
        <v>14</v>
      </c>
      <c r="I4" s="44" t="s">
        <v>15</v>
      </c>
      <c r="J4" s="45" t="s">
        <v>16</v>
      </c>
      <c r="K4" s="46" t="s">
        <v>17</v>
      </c>
      <c r="L4" s="47" t="s">
        <v>18</v>
      </c>
      <c r="M4" s="48" t="s">
        <v>19</v>
      </c>
      <c r="N4" s="43" t="s">
        <v>20</v>
      </c>
      <c r="O4" s="44" t="s">
        <v>21</v>
      </c>
      <c r="P4" s="51" t="s">
        <v>22</v>
      </c>
      <c r="Q4" s="46" t="s">
        <v>36</v>
      </c>
      <c r="R4" s="47" t="s">
        <v>37</v>
      </c>
      <c r="S4" s="48" t="s">
        <v>38</v>
      </c>
      <c r="T4" s="43" t="s">
        <v>39</v>
      </c>
      <c r="U4" s="44" t="s">
        <v>40</v>
      </c>
      <c r="V4" s="51" t="s">
        <v>41</v>
      </c>
    </row>
    <row r="5" spans="1:22" x14ac:dyDescent="0.25">
      <c r="A5" s="27" t="s">
        <v>23</v>
      </c>
      <c r="B5" s="23">
        <f>VLOOKUP($A5,'[1]credit ethnic graded seats'!$A:$P,HLOOKUP(B$4,'[1]credit ethnic graded seats'!$1:$2,2,FALSE),FALSE)</f>
        <v>955</v>
      </c>
      <c r="C5" s="31">
        <f>VLOOKUP($A5,'[1]credit ethnic graded seats'!$A:$P,HLOOKUP(C$4,'[1]credit ethnic graded seats'!$1:$2,2,FALSE),FALSE)</f>
        <v>3392</v>
      </c>
      <c r="D5" s="34">
        <f>VLOOKUP($A5,'[1]credit ethnic graded seats'!$A:$P,HLOOKUP(D$4,'[1]credit ethnic graded seats'!$1:$2,2,FALSE),FALSE)</f>
        <v>3390</v>
      </c>
      <c r="E5" s="23">
        <f>VLOOKUP($A5,'[1]credit ethnic graded seats'!$A:$P,HLOOKUP(E$4,'[1]credit ethnic graded seats'!$1:$2,2,FALSE),FALSE)</f>
        <v>1083</v>
      </c>
      <c r="F5" s="31">
        <f>VLOOKUP($A5,'[1]credit ethnic graded seats'!$A:$P,HLOOKUP(F$4,'[1]credit ethnic graded seats'!$1:$2,2,FALSE),FALSE)</f>
        <v>3817</v>
      </c>
      <c r="G5" s="31">
        <f>VLOOKUP($A5,'[1]credit ethnic graded seats'!$A:$P,HLOOKUP(G$4,'[1]credit ethnic graded seats'!$1:$2,2,FALSE),FALSE)</f>
        <v>3916</v>
      </c>
      <c r="H5" s="31">
        <f>VLOOKUP($A5,'[1]credit ethnic graded seats'!$A:$P,HLOOKUP(H$4,'[1]credit ethnic graded seats'!$1:$2,2,FALSE),FALSE)</f>
        <v>535</v>
      </c>
      <c r="I5" s="31">
        <f>VLOOKUP($A5,'[1]credit ethnic graded seats'!$A:$P,HLOOKUP(I$4,'[1]credit ethnic graded seats'!$1:$2,2,FALSE),FALSE)</f>
        <v>4347</v>
      </c>
      <c r="J5" s="32">
        <f>VLOOKUP($A5,'[1]credit ethnic graded seats'!$A:$P,HLOOKUP(J$4,'[1]credit ethnic graded seats'!$1:$2,2,FALSE),FALSE)</f>
        <v>4267</v>
      </c>
      <c r="K5" s="23">
        <f>VLOOKUP($A5,'[1]credit ethnic graded seats'!$A:$P,HLOOKUP(K$4,'[1]credit ethnic graded seats'!$1:$2,2,FALSE),FALSE)</f>
        <v>295</v>
      </c>
      <c r="L5" s="31">
        <f>VLOOKUP($A5,'[1]credit ethnic graded seats'!$A:$P,HLOOKUP(L$4,'[1]credit ethnic graded seats'!$1:$2,2,FALSE),FALSE)</f>
        <v>3865</v>
      </c>
      <c r="M5" s="32">
        <f>VLOOKUP($A5,'[1]credit ethnic graded seats'!$A:$P,HLOOKUP(M$4,'[1]credit ethnic graded seats'!$1:$2,2,FALSE),FALSE)</f>
        <v>3981</v>
      </c>
      <c r="N5" s="36">
        <f>VLOOKUP($A5,'[1]credit ethnic graded seats'!$A:$P,HLOOKUP(N$4,'[1]credit ethnic graded seats'!$1:$2,2,FALSE),FALSE)</f>
        <v>2</v>
      </c>
      <c r="O5" s="31">
        <f>VLOOKUP($A5,'[1]credit ethnic graded seats'!$A:$P,HLOOKUP(O$4,'[1]credit ethnic graded seats'!$1:$2,2,FALSE),FALSE)</f>
        <v>3732</v>
      </c>
      <c r="P5" s="49">
        <f>VLOOKUP($A5,'[1]credit ethnic graded seats'!$A:$P,HLOOKUP(P$4,'[1]credit ethnic graded seats'!$1:$2,2,FALSE),FALSE)</f>
        <v>3858</v>
      </c>
      <c r="Q5" s="23">
        <v>239</v>
      </c>
      <c r="R5" s="31">
        <v>3477</v>
      </c>
      <c r="S5" s="50">
        <v>3451</v>
      </c>
      <c r="T5" s="36">
        <v>3</v>
      </c>
      <c r="U5" s="31">
        <v>3536</v>
      </c>
      <c r="V5" s="49">
        <v>3576</v>
      </c>
    </row>
    <row r="6" spans="1:22" x14ac:dyDescent="0.25">
      <c r="A6" s="26" t="s">
        <v>24</v>
      </c>
      <c r="B6" s="33">
        <f>VLOOKUP($A6,'[1]credit ethnic graded seats'!$A:$P,HLOOKUP(B$4,'[1]credit ethnic graded seats'!$1:$2,2,FALSE),FALSE)</f>
        <v>1546</v>
      </c>
      <c r="C6" s="30">
        <f>VLOOKUP($A6,'[1]credit ethnic graded seats'!$A:$P,HLOOKUP(C$4,'[1]credit ethnic graded seats'!$1:$2,2,FALSE),FALSE)</f>
        <v>5216</v>
      </c>
      <c r="D6" s="35">
        <f>VLOOKUP($A6,'[1]credit ethnic graded seats'!$A:$P,HLOOKUP(D$4,'[1]credit ethnic graded seats'!$1:$2,2,FALSE),FALSE)</f>
        <v>5030</v>
      </c>
      <c r="E6" s="33">
        <f>VLOOKUP($A6,'[1]credit ethnic graded seats'!$A:$P,HLOOKUP(E$4,'[1]credit ethnic graded seats'!$1:$2,2,FALSE),FALSE)</f>
        <v>1709</v>
      </c>
      <c r="F6" s="30">
        <f>VLOOKUP($A6,'[1]credit ethnic graded seats'!$A:$P,HLOOKUP(F$4,'[1]credit ethnic graded seats'!$1:$2,2,FALSE),FALSE)</f>
        <v>5546</v>
      </c>
      <c r="G6" s="30">
        <f>VLOOKUP($A6,'[1]credit ethnic graded seats'!$A:$P,HLOOKUP(G$4,'[1]credit ethnic graded seats'!$1:$2,2,FALSE),FALSE)</f>
        <v>5605</v>
      </c>
      <c r="H6" s="30">
        <f>VLOOKUP($A6,'[1]credit ethnic graded seats'!$A:$P,HLOOKUP(H$4,'[1]credit ethnic graded seats'!$1:$2,2,FALSE),FALSE)</f>
        <v>945</v>
      </c>
      <c r="I6" s="30">
        <f>VLOOKUP($A6,'[1]credit ethnic graded seats'!$A:$P,HLOOKUP(I$4,'[1]credit ethnic graded seats'!$1:$2,2,FALSE),FALSE)</f>
        <v>5999</v>
      </c>
      <c r="J6" s="24">
        <f>VLOOKUP($A6,'[1]credit ethnic graded seats'!$A:$P,HLOOKUP(J$4,'[1]credit ethnic graded seats'!$1:$2,2,FALSE),FALSE)</f>
        <v>5773</v>
      </c>
      <c r="K6" s="33">
        <f>VLOOKUP($A6,'[1]credit ethnic graded seats'!$A:$P,HLOOKUP(K$4,'[1]credit ethnic graded seats'!$1:$2,2,FALSE),FALSE)</f>
        <v>455</v>
      </c>
      <c r="L6" s="30">
        <f>VLOOKUP($A6,'[1]credit ethnic graded seats'!$A:$P,HLOOKUP(L$4,'[1]credit ethnic graded seats'!$1:$2,2,FALSE),FALSE)</f>
        <v>5176</v>
      </c>
      <c r="M6" s="24">
        <f>VLOOKUP($A6,'[1]credit ethnic graded seats'!$A:$P,HLOOKUP(M$4,'[1]credit ethnic graded seats'!$1:$2,2,FALSE),FALSE)</f>
        <v>5095</v>
      </c>
      <c r="N6" s="37">
        <f>VLOOKUP($A6,'[1]credit ethnic graded seats'!$A:$P,HLOOKUP(N$4,'[1]credit ethnic graded seats'!$1:$2,2,FALSE),FALSE)</f>
        <v>34</v>
      </c>
      <c r="O6" s="30">
        <f>VLOOKUP($A6,'[1]credit ethnic graded seats'!$A:$P,HLOOKUP(O$4,'[1]credit ethnic graded seats'!$1:$2,2,FALSE),FALSE)</f>
        <v>4719</v>
      </c>
      <c r="P6" s="35">
        <f>VLOOKUP($A6,'[1]credit ethnic graded seats'!$A:$P,HLOOKUP(P$4,'[1]credit ethnic graded seats'!$1:$2,2,FALSE),FALSE)</f>
        <v>4979</v>
      </c>
      <c r="Q6" s="33">
        <v>382</v>
      </c>
      <c r="R6" s="30">
        <v>4574</v>
      </c>
      <c r="S6" s="24">
        <v>4550</v>
      </c>
      <c r="T6" s="37">
        <v>51</v>
      </c>
      <c r="U6" s="30">
        <v>4568</v>
      </c>
      <c r="V6" s="35">
        <v>4497</v>
      </c>
    </row>
    <row r="7" spans="1:22" ht="15.75" thickBot="1" x14ac:dyDescent="0.3">
      <c r="A7" s="26" t="s">
        <v>25</v>
      </c>
      <c r="B7" s="33">
        <f>VLOOKUP($A7,'[1]credit ethnic graded seats'!$A:$P,HLOOKUP(B$4,'[1]credit ethnic graded seats'!$1:$2,2,FALSE),FALSE)</f>
        <v>10</v>
      </c>
      <c r="C7" s="30">
        <f>VLOOKUP($A7,'[1]credit ethnic graded seats'!$A:$P,HLOOKUP(C$4,'[1]credit ethnic graded seats'!$1:$2,2,FALSE),FALSE)</f>
        <v>61</v>
      </c>
      <c r="D7" s="35">
        <f>VLOOKUP($A7,'[1]credit ethnic graded seats'!$A:$P,HLOOKUP(D$4,'[1]credit ethnic graded seats'!$1:$2,2,FALSE),FALSE)</f>
        <v>57</v>
      </c>
      <c r="E7" s="33">
        <f>VLOOKUP($A7,'[1]credit ethnic graded seats'!$A:$P,HLOOKUP(E$4,'[1]credit ethnic graded seats'!$1:$2,2,FALSE),FALSE)</f>
        <v>29</v>
      </c>
      <c r="F7" s="30">
        <f>VLOOKUP($A7,'[1]credit ethnic graded seats'!$A:$P,HLOOKUP(F$4,'[1]credit ethnic graded seats'!$1:$2,2,FALSE),FALSE)</f>
        <v>127</v>
      </c>
      <c r="G7" s="30">
        <f>VLOOKUP($A7,'[1]credit ethnic graded seats'!$A:$P,HLOOKUP(G$4,'[1]credit ethnic graded seats'!$1:$2,2,FALSE),FALSE)</f>
        <v>134</v>
      </c>
      <c r="H7" s="30">
        <f>VLOOKUP($A7,'[1]credit ethnic graded seats'!$A:$P,HLOOKUP(H$4,'[1]credit ethnic graded seats'!$1:$2,2,FALSE),FALSE)</f>
        <v>23</v>
      </c>
      <c r="I7" s="30">
        <f>VLOOKUP($A7,'[1]credit ethnic graded seats'!$A:$P,HLOOKUP(I$4,'[1]credit ethnic graded seats'!$1:$2,2,FALSE),FALSE)</f>
        <v>128</v>
      </c>
      <c r="J7" s="24">
        <f>VLOOKUP($A7,'[1]credit ethnic graded seats'!$A:$P,HLOOKUP(J$4,'[1]credit ethnic graded seats'!$1:$2,2,FALSE),FALSE)</f>
        <v>113</v>
      </c>
      <c r="K7" s="33">
        <f>VLOOKUP($A7,'[1]credit ethnic graded seats'!$A:$P,HLOOKUP(K$4,'[1]credit ethnic graded seats'!$1:$2,2,FALSE),FALSE)</f>
        <v>13</v>
      </c>
      <c r="L7" s="30">
        <f>VLOOKUP($A7,'[1]credit ethnic graded seats'!$A:$P,HLOOKUP(L$4,'[1]credit ethnic graded seats'!$1:$2,2,FALSE),FALSE)</f>
        <v>92</v>
      </c>
      <c r="M7" s="24">
        <f>VLOOKUP($A7,'[1]credit ethnic graded seats'!$A:$P,HLOOKUP(M$4,'[1]credit ethnic graded seats'!$1:$2,2,FALSE),FALSE)</f>
        <v>99</v>
      </c>
      <c r="N7" s="37">
        <f>VLOOKUP($A7,'[1]credit ethnic graded seats'!$A:$P,HLOOKUP(N$4,'[1]credit ethnic graded seats'!$1:$2,2,FALSE),FALSE)</f>
        <v>1</v>
      </c>
      <c r="O7" s="30">
        <f>VLOOKUP($A7,'[1]credit ethnic graded seats'!$A:$P,HLOOKUP(O$4,'[1]credit ethnic graded seats'!$1:$2,2,FALSE),FALSE)</f>
        <v>72</v>
      </c>
      <c r="P7" s="35">
        <f>VLOOKUP($A7,'[1]credit ethnic graded seats'!$A:$P,HLOOKUP(P$4,'[1]credit ethnic graded seats'!$1:$2,2,FALSE),FALSE)</f>
        <v>86</v>
      </c>
      <c r="Q7" s="33">
        <v>2</v>
      </c>
      <c r="R7" s="30">
        <v>66</v>
      </c>
      <c r="S7" s="24">
        <v>64</v>
      </c>
      <c r="T7" s="37">
        <v>1</v>
      </c>
      <c r="U7" s="30">
        <v>59</v>
      </c>
      <c r="V7" s="35">
        <v>49</v>
      </c>
    </row>
    <row r="8" spans="1:22" ht="15.75" thickBot="1" x14ac:dyDescent="0.3">
      <c r="A8" s="4" t="s">
        <v>26</v>
      </c>
      <c r="B8" s="39">
        <f>VLOOKUP($A8,'[1]credit ethnic graded seats'!$A:$P,HLOOKUP(B$4,'[1]credit ethnic graded seats'!$1:$2,2,FALSE),FALSE)</f>
        <v>2511</v>
      </c>
      <c r="C8" s="40">
        <f>VLOOKUP($A8,'[1]credit ethnic graded seats'!$A:$P,HLOOKUP(C$4,'[1]credit ethnic graded seats'!$1:$2,2,FALSE),FALSE)</f>
        <v>8669</v>
      </c>
      <c r="D8" s="38">
        <f>VLOOKUP($A8,'[1]credit ethnic graded seats'!$A:$P,HLOOKUP(D$4,'[1]credit ethnic graded seats'!$1:$2,2,FALSE),FALSE)</f>
        <v>8477</v>
      </c>
      <c r="E8" s="42">
        <f>VLOOKUP($A8,'[1]credit ethnic graded seats'!$A:$P,HLOOKUP(E$4,'[1]credit ethnic graded seats'!$1:$2,2,FALSE),FALSE)</f>
        <v>2821</v>
      </c>
      <c r="F8" s="40">
        <f>VLOOKUP($A8,'[1]credit ethnic graded seats'!$A:$P,HLOOKUP(F$4,'[1]credit ethnic graded seats'!$1:$2,2,FALSE),FALSE)</f>
        <v>9490</v>
      </c>
      <c r="G8" s="41">
        <f>VLOOKUP($A8,'[1]credit ethnic graded seats'!$A:$P,HLOOKUP(G$4,'[1]credit ethnic graded seats'!$1:$2,2,FALSE),FALSE)</f>
        <v>9655</v>
      </c>
      <c r="H8" s="39">
        <f>VLOOKUP($A8,'[1]credit ethnic graded seats'!$A:$P,HLOOKUP(H$4,'[1]credit ethnic graded seats'!$1:$2,2,FALSE),FALSE)</f>
        <v>1503</v>
      </c>
      <c r="I8" s="40">
        <f>VLOOKUP($A8,'[1]credit ethnic graded seats'!$A:$P,HLOOKUP(I$4,'[1]credit ethnic graded seats'!$1:$2,2,FALSE),FALSE)</f>
        <v>10474</v>
      </c>
      <c r="J8" s="38">
        <f>VLOOKUP($A8,'[1]credit ethnic graded seats'!$A:$P,HLOOKUP(J$4,'[1]credit ethnic graded seats'!$1:$2,2,FALSE),FALSE)</f>
        <v>10153</v>
      </c>
      <c r="K8" s="42">
        <f>VLOOKUP($A8,'[1]credit ethnic graded seats'!$A:$P,HLOOKUP(K$4,'[1]credit ethnic graded seats'!$1:$2,2,FALSE),FALSE)</f>
        <v>763</v>
      </c>
      <c r="L8" s="40">
        <f>VLOOKUP($A8,'[1]credit ethnic graded seats'!$A:$P,HLOOKUP(L$4,'[1]credit ethnic graded seats'!$1:$2,2,FALSE),FALSE)</f>
        <v>9133</v>
      </c>
      <c r="M8" s="41">
        <f>VLOOKUP($A8,'[1]credit ethnic graded seats'!$A:$P,HLOOKUP(M$4,'[1]credit ethnic graded seats'!$1:$2,2,FALSE),FALSE)</f>
        <v>9175</v>
      </c>
      <c r="N8" s="39">
        <f>VLOOKUP($A8,'[1]credit ethnic graded seats'!$A:$P,HLOOKUP(N$4,'[1]credit ethnic graded seats'!$1:$2,2,FALSE),FALSE)</f>
        <v>37</v>
      </c>
      <c r="O8" s="39">
        <f>VLOOKUP($A8,'[1]credit ethnic graded seats'!$A:$P,HLOOKUP(O$4,'[1]credit ethnic graded seats'!$1:$2,2,FALSE),FALSE)</f>
        <v>8523</v>
      </c>
      <c r="P8" s="39">
        <f>VLOOKUP($A8,'[1]credit ethnic graded seats'!$A:$P,HLOOKUP(P$4,'[1]credit ethnic graded seats'!$1:$2,2,FALSE),FALSE)</f>
        <v>8923</v>
      </c>
      <c r="Q8" s="42">
        <f>SUM(Q5:Q7)</f>
        <v>623</v>
      </c>
      <c r="R8" s="40">
        <v>8117</v>
      </c>
      <c r="S8" s="41">
        <v>8065</v>
      </c>
      <c r="T8" s="39">
        <f>SUM(T5:T7)</f>
        <v>55</v>
      </c>
      <c r="U8" s="39">
        <v>8163</v>
      </c>
      <c r="V8" s="39">
        <v>8122</v>
      </c>
    </row>
    <row r="9" spans="1:22" s="1" customFormat="1" ht="16.5" thickTop="1" thickBot="1" x14ac:dyDescent="0.3">
      <c r="A9" s="29" t="s">
        <v>6</v>
      </c>
      <c r="B9" s="70">
        <f>[2]Totals!B$15</f>
        <v>13221</v>
      </c>
      <c r="C9" s="71"/>
      <c r="D9" s="72"/>
      <c r="E9" s="70">
        <f>[2]Totals!E$15</f>
        <v>14790</v>
      </c>
      <c r="F9" s="71"/>
      <c r="G9" s="72"/>
      <c r="H9" s="70">
        <f>[2]Totals!H$15</f>
        <v>14991</v>
      </c>
      <c r="I9" s="71"/>
      <c r="J9" s="72"/>
      <c r="K9" s="70">
        <f>[2]Totals!K$15</f>
        <v>12920</v>
      </c>
      <c r="L9" s="71"/>
      <c r="M9" s="72"/>
      <c r="N9" s="70">
        <v>11797</v>
      </c>
      <c r="O9" s="71"/>
      <c r="P9" s="72"/>
      <c r="Q9" s="70">
        <v>11220</v>
      </c>
      <c r="R9" s="71"/>
      <c r="S9" s="72"/>
      <c r="T9" s="70">
        <v>11166</v>
      </c>
      <c r="U9" s="71"/>
      <c r="V9" s="72"/>
    </row>
    <row r="10" spans="1:22" ht="15.75" thickBo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ht="15.75" x14ac:dyDescent="0.25">
      <c r="A11" s="73" t="s">
        <v>27</v>
      </c>
      <c r="B11" s="82" t="s">
        <v>28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</row>
    <row r="12" spans="1:22" ht="16.5" thickBot="1" x14ac:dyDescent="0.3">
      <c r="A12" s="74"/>
      <c r="B12" s="84" t="str">
        <f>B2</f>
        <v>MSJC MVC Total by Gender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</row>
    <row r="13" spans="1:22" ht="15.75" thickBot="1" x14ac:dyDescent="0.3">
      <c r="A13" s="75"/>
      <c r="B13" s="67" t="s">
        <v>1</v>
      </c>
      <c r="C13" s="68"/>
      <c r="D13" s="69"/>
      <c r="E13" s="76" t="s">
        <v>2</v>
      </c>
      <c r="F13" s="77"/>
      <c r="G13" s="78"/>
      <c r="H13" s="67" t="s">
        <v>3</v>
      </c>
      <c r="I13" s="68"/>
      <c r="J13" s="69"/>
      <c r="K13" s="76" t="s">
        <v>4</v>
      </c>
      <c r="L13" s="77"/>
      <c r="M13" s="78"/>
      <c r="N13" s="67" t="s">
        <v>5</v>
      </c>
      <c r="O13" s="68"/>
      <c r="P13" s="69"/>
      <c r="Q13" s="76" t="s">
        <v>34</v>
      </c>
      <c r="R13" s="77"/>
      <c r="S13" s="78"/>
      <c r="T13" s="67" t="s">
        <v>35</v>
      </c>
      <c r="U13" s="68"/>
      <c r="V13" s="69"/>
    </row>
    <row r="14" spans="1:22" ht="15.75" thickBot="1" x14ac:dyDescent="0.3">
      <c r="A14" s="25" t="s">
        <v>7</v>
      </c>
      <c r="B14" s="43" t="s">
        <v>8</v>
      </c>
      <c r="C14" s="44" t="s">
        <v>9</v>
      </c>
      <c r="D14" s="45" t="s">
        <v>10</v>
      </c>
      <c r="E14" s="46" t="s">
        <v>11</v>
      </c>
      <c r="F14" s="47" t="s">
        <v>12</v>
      </c>
      <c r="G14" s="48" t="s">
        <v>13</v>
      </c>
      <c r="H14" s="43" t="s">
        <v>14</v>
      </c>
      <c r="I14" s="44" t="s">
        <v>15</v>
      </c>
      <c r="J14" s="45" t="s">
        <v>16</v>
      </c>
      <c r="K14" s="46" t="s">
        <v>17</v>
      </c>
      <c r="L14" s="47" t="s">
        <v>18</v>
      </c>
      <c r="M14" s="48" t="s">
        <v>19</v>
      </c>
      <c r="N14" s="43" t="s">
        <v>20</v>
      </c>
      <c r="O14" s="44" t="s">
        <v>21</v>
      </c>
      <c r="P14" s="45" t="s">
        <v>22</v>
      </c>
      <c r="Q14" s="46" t="s">
        <v>36</v>
      </c>
      <c r="R14" s="47" t="s">
        <v>37</v>
      </c>
      <c r="S14" s="48" t="s">
        <v>38</v>
      </c>
      <c r="T14" s="43" t="s">
        <v>39</v>
      </c>
      <c r="U14" s="44" t="s">
        <v>40</v>
      </c>
      <c r="V14" s="51" t="s">
        <v>41</v>
      </c>
    </row>
    <row r="15" spans="1:22" x14ac:dyDescent="0.25">
      <c r="A15" s="55" t="s">
        <v>23</v>
      </c>
      <c r="B15" s="52">
        <f>B5/B$8</f>
        <v>0.38032656312226204</v>
      </c>
      <c r="C15" s="56">
        <f t="shared" ref="C15:N15" si="0">C5/C$8</f>
        <v>0.3912792709655093</v>
      </c>
      <c r="D15" s="59">
        <f t="shared" si="0"/>
        <v>0.39990562699068066</v>
      </c>
      <c r="E15" s="52">
        <f t="shared" si="0"/>
        <v>0.38390641616448068</v>
      </c>
      <c r="F15" s="56">
        <f t="shared" si="0"/>
        <v>0.40221285563751319</v>
      </c>
      <c r="G15" s="53">
        <f t="shared" si="0"/>
        <v>0.40559295701708958</v>
      </c>
      <c r="H15" s="61">
        <f t="shared" si="0"/>
        <v>0.35595475715236197</v>
      </c>
      <c r="I15" s="56">
        <f t="shared" si="0"/>
        <v>0.41502768760740882</v>
      </c>
      <c r="J15" s="59">
        <f t="shared" si="0"/>
        <v>0.42026987097409635</v>
      </c>
      <c r="K15" s="52">
        <f t="shared" si="0"/>
        <v>0.38663171690694625</v>
      </c>
      <c r="L15" s="56">
        <f t="shared" si="0"/>
        <v>0.42319062739516039</v>
      </c>
      <c r="M15" s="53">
        <f t="shared" si="0"/>
        <v>0.4338964577656676</v>
      </c>
      <c r="N15" s="61">
        <f t="shared" si="0"/>
        <v>5.4054054054054057E-2</v>
      </c>
      <c r="O15" s="56">
        <f t="shared" ref="O15:P15" si="1">O5/O$8</f>
        <v>0.43787398803238298</v>
      </c>
      <c r="P15" s="63">
        <f t="shared" si="1"/>
        <v>0.43236579625686428</v>
      </c>
      <c r="Q15" s="52">
        <v>0.38440000000000002</v>
      </c>
      <c r="R15" s="56">
        <v>0.42899999999999999</v>
      </c>
      <c r="S15" s="21">
        <v>0.42759999999999998</v>
      </c>
      <c r="T15" s="52">
        <v>5.45E-2</v>
      </c>
      <c r="U15" s="56">
        <v>0.4325</v>
      </c>
      <c r="V15" s="21">
        <v>0.44030000000000002</v>
      </c>
    </row>
    <row r="16" spans="1:22" x14ac:dyDescent="0.25">
      <c r="A16" s="26" t="s">
        <v>24</v>
      </c>
      <c r="B16" s="58">
        <f t="shared" ref="B16:N17" si="2">B6/B$8</f>
        <v>0.61569095977698129</v>
      </c>
      <c r="C16" s="57">
        <f t="shared" si="2"/>
        <v>0.6016841619563964</v>
      </c>
      <c r="D16" s="60">
        <f t="shared" si="2"/>
        <v>0.59337029609531677</v>
      </c>
      <c r="E16" s="58">
        <f t="shared" si="2"/>
        <v>0.60581354129741227</v>
      </c>
      <c r="F16" s="57">
        <f t="shared" si="2"/>
        <v>0.58440463645943097</v>
      </c>
      <c r="G16" s="54">
        <f t="shared" si="2"/>
        <v>0.58052822371828072</v>
      </c>
      <c r="H16" s="62">
        <f t="shared" si="2"/>
        <v>0.62874251497005984</v>
      </c>
      <c r="I16" s="57">
        <f t="shared" si="2"/>
        <v>0.57275157532938703</v>
      </c>
      <c r="J16" s="60">
        <f t="shared" si="2"/>
        <v>0.56860041367083625</v>
      </c>
      <c r="K16" s="58">
        <f t="shared" si="2"/>
        <v>0.59633027522935778</v>
      </c>
      <c r="L16" s="57">
        <f t="shared" si="2"/>
        <v>0.56673601226322123</v>
      </c>
      <c r="M16" s="54">
        <f t="shared" si="2"/>
        <v>0.55531335149863759</v>
      </c>
      <c r="N16" s="62">
        <f t="shared" si="2"/>
        <v>0.91891891891891897</v>
      </c>
      <c r="O16" s="57">
        <f t="shared" ref="O16:P16" si="3">O6/O$8</f>
        <v>0.55367828229496652</v>
      </c>
      <c r="P16" s="60">
        <f t="shared" si="3"/>
        <v>0.55799618962232433</v>
      </c>
      <c r="Q16" s="58">
        <v>0.61240000000000006</v>
      </c>
      <c r="R16" s="57">
        <v>0.56289999999999996</v>
      </c>
      <c r="S16" s="54">
        <v>0.56440000000000001</v>
      </c>
      <c r="T16" s="58">
        <v>0.92730000000000001</v>
      </c>
      <c r="U16" s="57">
        <v>0.56030000000000002</v>
      </c>
      <c r="V16" s="54">
        <v>0.55369999999999997</v>
      </c>
    </row>
    <row r="17" spans="1:22" x14ac:dyDescent="0.25">
      <c r="A17" s="26" t="s">
        <v>25</v>
      </c>
      <c r="B17" s="58">
        <f t="shared" si="2"/>
        <v>3.9824771007566703E-3</v>
      </c>
      <c r="C17" s="57">
        <f t="shared" si="2"/>
        <v>7.0365670780943596E-3</v>
      </c>
      <c r="D17" s="60">
        <f t="shared" si="2"/>
        <v>6.7240769140025957E-3</v>
      </c>
      <c r="E17" s="58">
        <f t="shared" si="2"/>
        <v>1.0280042538107055E-2</v>
      </c>
      <c r="F17" s="57">
        <f t="shared" si="2"/>
        <v>1.3382507903055849E-2</v>
      </c>
      <c r="G17" s="54">
        <f t="shared" si="2"/>
        <v>1.3878819264629725E-2</v>
      </c>
      <c r="H17" s="62">
        <f t="shared" si="2"/>
        <v>1.5302727877578177E-2</v>
      </c>
      <c r="I17" s="57">
        <f t="shared" si="2"/>
        <v>1.2220737063204125E-2</v>
      </c>
      <c r="J17" s="60">
        <f t="shared" si="2"/>
        <v>1.1129715355067469E-2</v>
      </c>
      <c r="K17" s="58">
        <f t="shared" si="2"/>
        <v>1.7038007863695939E-2</v>
      </c>
      <c r="L17" s="57">
        <f t="shared" si="2"/>
        <v>1.0073360341618307E-2</v>
      </c>
      <c r="M17" s="54">
        <f t="shared" si="2"/>
        <v>1.0790190735694823E-2</v>
      </c>
      <c r="N17" s="62">
        <f t="shared" si="2"/>
        <v>2.7027027027027029E-2</v>
      </c>
      <c r="O17" s="57">
        <f t="shared" ref="O17:P17" si="4">O7/O$8</f>
        <v>8.4477296726504746E-3</v>
      </c>
      <c r="P17" s="60">
        <f t="shared" si="4"/>
        <v>9.6380141208113855E-3</v>
      </c>
      <c r="Q17" s="58">
        <v>3.2000000000000002E-3</v>
      </c>
      <c r="R17" s="57">
        <v>8.0999999999999996E-3</v>
      </c>
      <c r="S17" s="54">
        <v>8.0000000000000002E-3</v>
      </c>
      <c r="T17" s="58">
        <v>1.8200000000000001E-2</v>
      </c>
      <c r="U17" s="57">
        <v>7.1999999999999998E-3</v>
      </c>
      <c r="V17" s="54">
        <v>6.0000000000000001E-3</v>
      </c>
    </row>
    <row r="18" spans="1:22" ht="15.75" thickBot="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1:22" ht="15.75" x14ac:dyDescent="0.25">
      <c r="A19" s="73" t="s">
        <v>29</v>
      </c>
      <c r="B19" s="82" t="s">
        <v>29</v>
      </c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</row>
    <row r="20" spans="1:22" ht="16.5" thickBot="1" x14ac:dyDescent="0.3">
      <c r="A20" s="74"/>
      <c r="B20" s="84" t="str">
        <f>B12</f>
        <v>MSJC MVC Total by Gender</v>
      </c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</row>
    <row r="21" spans="1:22" ht="15.75" thickBot="1" x14ac:dyDescent="0.3">
      <c r="A21" s="75"/>
      <c r="B21" s="67" t="s">
        <v>1</v>
      </c>
      <c r="C21" s="68"/>
      <c r="D21" s="69"/>
      <c r="E21" s="76" t="s">
        <v>2</v>
      </c>
      <c r="F21" s="77"/>
      <c r="G21" s="78"/>
      <c r="H21" s="67" t="s">
        <v>3</v>
      </c>
      <c r="I21" s="68"/>
      <c r="J21" s="69"/>
      <c r="K21" s="76" t="s">
        <v>4</v>
      </c>
      <c r="L21" s="77"/>
      <c r="M21" s="78"/>
      <c r="N21" s="67" t="s">
        <v>5</v>
      </c>
      <c r="O21" s="68"/>
      <c r="P21" s="69"/>
      <c r="Q21" s="76" t="s">
        <v>34</v>
      </c>
      <c r="R21" s="77"/>
      <c r="S21" s="78"/>
      <c r="T21" s="67" t="s">
        <v>35</v>
      </c>
      <c r="U21" s="68"/>
      <c r="V21" s="69"/>
    </row>
    <row r="22" spans="1:22" ht="15.75" thickBot="1" x14ac:dyDescent="0.3">
      <c r="A22" s="65" t="s">
        <v>7</v>
      </c>
      <c r="B22" s="43" t="s">
        <v>8</v>
      </c>
      <c r="C22" s="44" t="s">
        <v>9</v>
      </c>
      <c r="D22" s="45" t="s">
        <v>10</v>
      </c>
      <c r="E22" s="46" t="s">
        <v>11</v>
      </c>
      <c r="F22" s="47" t="s">
        <v>12</v>
      </c>
      <c r="G22" s="48" t="s">
        <v>13</v>
      </c>
      <c r="H22" s="43" t="s">
        <v>14</v>
      </c>
      <c r="I22" s="44" t="s">
        <v>15</v>
      </c>
      <c r="J22" s="45" t="s">
        <v>16</v>
      </c>
      <c r="K22" s="46" t="s">
        <v>17</v>
      </c>
      <c r="L22" s="47" t="s">
        <v>18</v>
      </c>
      <c r="M22" s="48" t="s">
        <v>19</v>
      </c>
      <c r="N22" s="43" t="s">
        <v>20</v>
      </c>
      <c r="O22" s="44" t="s">
        <v>21</v>
      </c>
      <c r="P22" s="45" t="s">
        <v>22</v>
      </c>
      <c r="Q22" s="46" t="s">
        <v>36</v>
      </c>
      <c r="R22" s="47" t="s">
        <v>37</v>
      </c>
      <c r="S22" s="48" t="s">
        <v>38</v>
      </c>
      <c r="T22" s="43" t="s">
        <v>39</v>
      </c>
      <c r="U22" s="44" t="s">
        <v>40</v>
      </c>
      <c r="V22" s="51" t="s">
        <v>41</v>
      </c>
    </row>
    <row r="23" spans="1:22" x14ac:dyDescent="0.25">
      <c r="A23" s="55" t="s">
        <v>23</v>
      </c>
      <c r="B23" s="66">
        <v>0.82</v>
      </c>
      <c r="C23" s="66">
        <v>0.62</v>
      </c>
      <c r="D23" s="66">
        <v>0.64</v>
      </c>
      <c r="E23" s="66">
        <v>0.81</v>
      </c>
      <c r="F23" s="66">
        <v>0.64</v>
      </c>
      <c r="G23" s="66">
        <v>0.65</v>
      </c>
      <c r="H23" s="66">
        <v>0.8</v>
      </c>
      <c r="I23" s="66">
        <v>0.66</v>
      </c>
      <c r="J23" s="66">
        <v>0.67</v>
      </c>
      <c r="K23" s="66">
        <v>0.82</v>
      </c>
      <c r="L23" s="66">
        <v>0.69</v>
      </c>
      <c r="M23" s="66">
        <v>0.69</v>
      </c>
      <c r="N23" s="66">
        <v>1</v>
      </c>
      <c r="O23" s="66">
        <v>0.7</v>
      </c>
      <c r="P23" s="66">
        <v>0.68</v>
      </c>
      <c r="Q23" s="66">
        <v>0.78</v>
      </c>
      <c r="R23" s="66">
        <v>0.7</v>
      </c>
      <c r="S23" s="20">
        <v>0.7</v>
      </c>
      <c r="T23" s="19">
        <v>1</v>
      </c>
      <c r="U23" s="19">
        <v>0.7</v>
      </c>
      <c r="V23" s="17">
        <v>0.68</v>
      </c>
    </row>
    <row r="24" spans="1:22" x14ac:dyDescent="0.25">
      <c r="A24" s="26" t="s">
        <v>24</v>
      </c>
      <c r="B24" s="66">
        <v>0.83</v>
      </c>
      <c r="C24" s="66">
        <v>0.68</v>
      </c>
      <c r="D24" s="66">
        <v>0.71</v>
      </c>
      <c r="E24" s="66">
        <v>0.84</v>
      </c>
      <c r="F24" s="66">
        <v>0.7</v>
      </c>
      <c r="G24" s="66">
        <v>0.7</v>
      </c>
      <c r="H24" s="66">
        <v>0.86</v>
      </c>
      <c r="I24" s="66">
        <v>0.73</v>
      </c>
      <c r="J24" s="66">
        <v>0.71</v>
      </c>
      <c r="K24" s="66">
        <v>0.83</v>
      </c>
      <c r="L24" s="66">
        <v>0.75</v>
      </c>
      <c r="M24" s="66">
        <v>0.74</v>
      </c>
      <c r="N24" s="66">
        <v>1</v>
      </c>
      <c r="O24" s="66">
        <v>0.76</v>
      </c>
      <c r="P24" s="66">
        <v>0.73</v>
      </c>
      <c r="Q24" s="66">
        <v>0.82</v>
      </c>
      <c r="R24" s="66">
        <v>0.74</v>
      </c>
      <c r="S24" s="64">
        <v>0.74</v>
      </c>
      <c r="T24" s="18">
        <v>0.94</v>
      </c>
      <c r="U24" s="18">
        <v>0.74</v>
      </c>
      <c r="V24" s="22">
        <v>0.72</v>
      </c>
    </row>
    <row r="25" spans="1:22" ht="15.75" thickBot="1" x14ac:dyDescent="0.3">
      <c r="A25" s="11" t="s">
        <v>25</v>
      </c>
      <c r="B25" s="9">
        <v>0.75</v>
      </c>
      <c r="C25" s="9">
        <v>0.68</v>
      </c>
      <c r="D25" s="9">
        <v>0.71</v>
      </c>
      <c r="E25" s="9">
        <v>0.92</v>
      </c>
      <c r="F25" s="9">
        <v>0.71</v>
      </c>
      <c r="G25" s="9">
        <v>0.73</v>
      </c>
      <c r="H25" s="9">
        <v>0.92</v>
      </c>
      <c r="I25" s="9">
        <v>0.74</v>
      </c>
      <c r="J25" s="9">
        <v>0.74</v>
      </c>
      <c r="K25" s="9">
        <v>1</v>
      </c>
      <c r="L25" s="9">
        <v>0.74</v>
      </c>
      <c r="M25" s="9">
        <v>0.71</v>
      </c>
      <c r="N25" s="9">
        <v>1</v>
      </c>
      <c r="O25" s="9">
        <v>0.71</v>
      </c>
      <c r="P25" s="9">
        <v>0.75</v>
      </c>
      <c r="Q25" s="9">
        <v>0.5</v>
      </c>
      <c r="R25" s="9">
        <v>0.83</v>
      </c>
      <c r="S25" s="7">
        <v>0.74</v>
      </c>
      <c r="T25" s="15">
        <v>1</v>
      </c>
      <c r="U25" s="15">
        <v>0.74</v>
      </c>
      <c r="V25" s="14">
        <v>0.81</v>
      </c>
    </row>
    <row r="26" spans="1:22" s="1" customFormat="1" ht="15.75" thickBot="1" x14ac:dyDescent="0.3">
      <c r="A26" s="28" t="s">
        <v>30</v>
      </c>
      <c r="B26" s="13">
        <v>0.83</v>
      </c>
      <c r="C26" s="13">
        <v>0.65</v>
      </c>
      <c r="D26" s="13">
        <v>0.68</v>
      </c>
      <c r="E26" s="13">
        <v>0.83</v>
      </c>
      <c r="F26" s="13">
        <v>0.68</v>
      </c>
      <c r="G26" s="13">
        <v>0.68</v>
      </c>
      <c r="H26" s="13">
        <v>0.84</v>
      </c>
      <c r="I26" s="13">
        <v>0.7</v>
      </c>
      <c r="J26" s="13">
        <v>0.69</v>
      </c>
      <c r="K26" s="13">
        <v>0.83</v>
      </c>
      <c r="L26" s="13">
        <v>0.72</v>
      </c>
      <c r="M26" s="13">
        <v>0.72</v>
      </c>
      <c r="N26" s="13">
        <v>1</v>
      </c>
      <c r="O26" s="13">
        <v>0.73</v>
      </c>
      <c r="P26" s="13">
        <v>0.71</v>
      </c>
      <c r="Q26" s="13">
        <v>0.81</v>
      </c>
      <c r="R26" s="13">
        <v>0.72</v>
      </c>
      <c r="S26" s="12">
        <v>0.72</v>
      </c>
      <c r="T26" s="10">
        <v>0.95</v>
      </c>
      <c r="U26" s="10">
        <f>AVERAGE(U23:U25)</f>
        <v>0.72666666666666657</v>
      </c>
      <c r="V26" s="8">
        <v>0.7</v>
      </c>
    </row>
    <row r="27" spans="1:22" x14ac:dyDescent="0.25">
      <c r="A27" s="5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22" x14ac:dyDescent="0.25">
      <c r="A28" s="6" t="s">
        <v>32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"/>
    </row>
    <row r="29" spans="1:22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"/>
    </row>
  </sheetData>
  <mergeCells count="37">
    <mergeCell ref="Q21:S21"/>
    <mergeCell ref="T21:V21"/>
    <mergeCell ref="B11:V11"/>
    <mergeCell ref="B12:V12"/>
    <mergeCell ref="B1:V1"/>
    <mergeCell ref="B2:V2"/>
    <mergeCell ref="B19:V19"/>
    <mergeCell ref="B20:V20"/>
    <mergeCell ref="Q3:S3"/>
    <mergeCell ref="T3:V3"/>
    <mergeCell ref="Q9:S9"/>
    <mergeCell ref="T9:V9"/>
    <mergeCell ref="Q13:S13"/>
    <mergeCell ref="T13:V13"/>
    <mergeCell ref="N13:P13"/>
    <mergeCell ref="N3:P3"/>
    <mergeCell ref="A11:A13"/>
    <mergeCell ref="B13:D13"/>
    <mergeCell ref="E13:G13"/>
    <mergeCell ref="H13:J13"/>
    <mergeCell ref="K13:M13"/>
    <mergeCell ref="A1:A3"/>
    <mergeCell ref="B3:D3"/>
    <mergeCell ref="E3:G3"/>
    <mergeCell ref="H3:J3"/>
    <mergeCell ref="K3:M3"/>
    <mergeCell ref="A19:A21"/>
    <mergeCell ref="B21:D21"/>
    <mergeCell ref="E21:G21"/>
    <mergeCell ref="H21:J21"/>
    <mergeCell ref="K21:M21"/>
    <mergeCell ref="N21:P21"/>
    <mergeCell ref="B9:D9"/>
    <mergeCell ref="E9:G9"/>
    <mergeCell ref="H9:J9"/>
    <mergeCell ref="K9:M9"/>
    <mergeCell ref="N9:P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35BF33-82B7-4ADE-AA32-1804F46938B8}">
  <ds:schemaRefs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4636998-B70F-4EF1-8F76-06B7C2A44B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C27176-2E2D-482A-8931-3C838B5D9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LIVE.mvc.gender</dc:title>
  <dc:creator>nmesaris</dc:creator>
  <cp:lastModifiedBy>Wesley Klein</cp:lastModifiedBy>
  <dcterms:created xsi:type="dcterms:W3CDTF">2012-03-22T21:49:41Z</dcterms:created>
  <dcterms:modified xsi:type="dcterms:W3CDTF">2014-07-22T16:46:43Z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