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120" yWindow="40" windowWidth="27960" windowHeight="18580"/>
  </bookViews>
  <sheets>
    <sheet name="RefWorks Usage 10-11" sheetId="8" r:id="rId1"/>
    <sheet name="RefWorks Users 10-11" sheetId="9" r:id="rId2"/>
  </sheets>
  <definedNames>
    <definedName name="_xlnm.Print_Area" localSheetId="0">'RefWorks Usage 10-11'!$A$1:$P$15</definedName>
    <definedName name="_xlnm.Print_Area" localSheetId="1">'RefWorks Users 10-11'!$A$1:$D$77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7" i="9" l="1"/>
  <c r="N5" i="8"/>
  <c r="P5" i="8"/>
  <c r="N6" i="8"/>
  <c r="P6" i="8"/>
  <c r="N7" i="8"/>
  <c r="P7" i="8"/>
  <c r="N8" i="8"/>
  <c r="P8" i="8"/>
  <c r="N9" i="8"/>
  <c r="P9" i="8"/>
  <c r="N10" i="8"/>
  <c r="P10" i="8"/>
  <c r="N11" i="8"/>
  <c r="P11" i="8"/>
</calcChain>
</file>

<file path=xl/sharedStrings.xml><?xml version="1.0" encoding="utf-8"?>
<sst xmlns="http://schemas.openxmlformats.org/spreadsheetml/2006/main" count="164" uniqueCount="46">
  <si>
    <t>RefWorks</t>
  </si>
  <si>
    <t>Metric</t>
  </si>
  <si>
    <t>Total</t>
  </si>
  <si>
    <t>New Users</t>
  </si>
  <si>
    <t>Repeat Users</t>
  </si>
  <si>
    <t>Total Monthly Users</t>
  </si>
  <si>
    <t>Total Sessions per month</t>
  </si>
  <si>
    <t>Average Sessions Per User</t>
  </si>
  <si>
    <t>Total Subscriber References added</t>
  </si>
  <si>
    <t>Average References added per user</t>
  </si>
  <si>
    <t>Cost per unit</t>
  </si>
  <si>
    <t>Focus Area</t>
  </si>
  <si>
    <t>User Type</t>
  </si>
  <si>
    <t>TOTAL</t>
  </si>
  <si>
    <t>2010-2011</t>
  </si>
  <si>
    <t>2010-2011 Price</t>
  </si>
  <si>
    <t>TOTAL USERS = 2,145</t>
  </si>
  <si>
    <t>TOTAL REFERENCES = 86,379</t>
  </si>
  <si>
    <t>RefWorks User Type and Focus Area Summary</t>
  </si>
  <si>
    <t>User Count as of 7/21/2011</t>
  </si>
  <si>
    <t xml:space="preserve"> Alumni  </t>
  </si>
  <si>
    <t xml:space="preserve"> College of Arts and Sciences  </t>
  </si>
  <si>
    <t xml:space="preserve"> College of Business Administration  </t>
  </si>
  <si>
    <t xml:space="preserve"> College of Nursing  </t>
  </si>
  <si>
    <t xml:space="preserve"> Other  </t>
  </si>
  <si>
    <t xml:space="preserve"> Estudiante Postgrado  </t>
  </si>
  <si>
    <t xml:space="preserve"> Etudiant deuxième cycle  </t>
  </si>
  <si>
    <t xml:space="preserve"> Faculty Member  </t>
  </si>
  <si>
    <t xml:space="preserve"> Business  </t>
  </si>
  <si>
    <t xml:space="preserve"> College of Engineering  </t>
  </si>
  <si>
    <t xml:space="preserve"> College of Environment and Life Sciences  </t>
  </si>
  <si>
    <t xml:space="preserve"> College of Human Science and Services  </t>
  </si>
  <si>
    <t xml:space="preserve"> Graduate School of Oceanography  </t>
  </si>
  <si>
    <t xml:space="preserve"> Humanities  </t>
  </si>
  <si>
    <t xml:space="preserve"> Medicine  </t>
  </si>
  <si>
    <t xml:space="preserve"> Nursing  </t>
  </si>
  <si>
    <t xml:space="preserve"> Science &amp; Technology  </t>
  </si>
  <si>
    <t xml:space="preserve"> Social Sciences  </t>
  </si>
  <si>
    <t xml:space="preserve"> University College  </t>
  </si>
  <si>
    <t xml:space="preserve"> Graduate Student  </t>
  </si>
  <si>
    <t xml:space="preserve"> College of Continuing Education  </t>
  </si>
  <si>
    <t xml:space="preserve"> College of Pharmacy  </t>
  </si>
  <si>
    <t xml:space="preserve"> Researcher  </t>
  </si>
  <si>
    <t xml:space="preserve"> Undergraduate Student  </t>
  </si>
  <si>
    <t xml:space="preserve"> Select a Focus Area  </t>
  </si>
  <si>
    <t xml:space="preserve"> 研究生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</si>
</sst>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[$-409]mmm\-yy;@"/>
    <numFmt numFmtId="165" formatCode="&quot;$&quot;#,##0.00"/>
  </numFmts>
  <fonts count="9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Courier New"/>
      <family val="3"/>
    </font>
    <font>
      <b/>
      <sz val="16"/>
      <name val="Calibri"/>
      <scheme val="minor"/>
    </font>
    <font>
      <b/>
      <sz val="14"/>
      <name val="Calibri"/>
      <scheme val="minor"/>
    </font>
    <font>
      <b/>
      <sz val="10"/>
      <name val="Calibri"/>
      <scheme val="minor"/>
    </font>
    <font>
      <sz val="10"/>
      <name val="Calibri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1" xfId="0" applyNumberFormat="1" applyBorder="1" applyAlignment="1">
      <alignment vertical="top"/>
    </xf>
    <xf numFmtId="3" fontId="0" fillId="2" borderId="1" xfId="0" applyNumberFormat="1" applyFill="1" applyBorder="1"/>
    <xf numFmtId="3" fontId="0" fillId="0" borderId="1" xfId="0" applyNumberFormat="1" applyFill="1" applyBorder="1"/>
    <xf numFmtId="3" fontId="0" fillId="0" borderId="1" xfId="0" applyNumberFormat="1" applyBorder="1" applyAlignment="1">
      <alignment horizontal="right" vertical="top" wrapText="1"/>
    </xf>
    <xf numFmtId="3" fontId="0" fillId="0" borderId="1" xfId="0" applyNumberFormat="1" applyBorder="1"/>
    <xf numFmtId="4" fontId="0" fillId="0" borderId="1" xfId="0" applyNumberFormat="1" applyBorder="1"/>
    <xf numFmtId="4" fontId="0" fillId="2" borderId="1" xfId="0" applyNumberFormat="1" applyFill="1" applyBorder="1"/>
    <xf numFmtId="3" fontId="2" fillId="2" borderId="1" xfId="0" applyNumberFormat="1" applyFont="1" applyFill="1" applyBorder="1"/>
    <xf numFmtId="165" fontId="0" fillId="0" borderId="1" xfId="0" applyNumberFormat="1" applyBorder="1"/>
    <xf numFmtId="0" fontId="2" fillId="0" borderId="2" xfId="0" applyFont="1" applyBorder="1"/>
    <xf numFmtId="165" fontId="2" fillId="0" borderId="1" xfId="0" applyNumberFormat="1" applyFont="1" applyBorder="1"/>
    <xf numFmtId="164" fontId="2" fillId="0" borderId="3" xfId="0" applyNumberFormat="1" applyFont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3" fontId="0" fillId="2" borderId="4" xfId="0" applyNumberFormat="1" applyFill="1" applyBorder="1"/>
    <xf numFmtId="0" fontId="2" fillId="0" borderId="3" xfId="0" applyFont="1" applyBorder="1" applyAlignment="1">
      <alignment horizontal="center" wrapText="1"/>
    </xf>
    <xf numFmtId="8" fontId="0" fillId="0" borderId="4" xfId="0" applyNumberFormat="1" applyBorder="1" applyAlignment="1">
      <alignment horizontal="right"/>
    </xf>
    <xf numFmtId="165" fontId="0" fillId="0" borderId="4" xfId="0" applyNumberFormat="1" applyBorder="1"/>
    <xf numFmtId="0" fontId="2" fillId="0" borderId="5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6" xfId="0" applyFont="1" applyBorder="1"/>
    <xf numFmtId="0" fontId="6" fillId="0" borderId="7" xfId="0" applyFont="1" applyFill="1" applyBorder="1"/>
    <xf numFmtId="0" fontId="2" fillId="0" borderId="8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6"/>
  <sheetViews>
    <sheetView tabSelected="1" zoomScale="150" zoomScaleNormal="150" zoomScalePageLayoutView="150" workbookViewId="0"/>
  </sheetViews>
  <sheetFormatPr baseColWidth="10" defaultColWidth="8.83203125" defaultRowHeight="12" x14ac:dyDescent="0"/>
  <cols>
    <col min="1" max="1" width="34.6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11" width="6.5" bestFit="1" customWidth="1"/>
    <col min="12" max="12" width="6.83203125" bestFit="1" customWidth="1"/>
    <col min="13" max="13" width="6.5" bestFit="1" customWidth="1"/>
    <col min="14" max="14" width="6.33203125" bestFit="1" customWidth="1"/>
    <col min="15" max="15" width="10.1640625" bestFit="1" customWidth="1"/>
    <col min="16" max="16" width="8" bestFit="1" customWidth="1"/>
    <col min="17" max="17" width="17.5" bestFit="1" customWidth="1"/>
  </cols>
  <sheetData>
    <row r="1" spans="1:16" ht="20">
      <c r="A1" s="22" t="s">
        <v>0</v>
      </c>
    </row>
    <row r="2" spans="1:16" ht="18">
      <c r="A2" s="23" t="s">
        <v>14</v>
      </c>
    </row>
    <row r="4" spans="1:16" ht="24">
      <c r="A4" s="20" t="s">
        <v>1</v>
      </c>
      <c r="B4" s="14">
        <v>40360</v>
      </c>
      <c r="C4" s="14">
        <v>40391</v>
      </c>
      <c r="D4" s="14">
        <v>40422</v>
      </c>
      <c r="E4" s="14">
        <v>40452</v>
      </c>
      <c r="F4" s="14">
        <v>40483</v>
      </c>
      <c r="G4" s="14">
        <v>40513</v>
      </c>
      <c r="H4" s="14">
        <v>40544</v>
      </c>
      <c r="I4" s="14">
        <v>40575</v>
      </c>
      <c r="J4" s="14">
        <v>40603</v>
      </c>
      <c r="K4" s="14">
        <v>40634</v>
      </c>
      <c r="L4" s="14">
        <v>40664</v>
      </c>
      <c r="M4" s="14">
        <v>40695</v>
      </c>
      <c r="N4" s="17" t="s">
        <v>2</v>
      </c>
      <c r="O4" s="15" t="s">
        <v>15</v>
      </c>
      <c r="P4" s="15" t="s">
        <v>10</v>
      </c>
    </row>
    <row r="5" spans="1:16">
      <c r="A5" t="s">
        <v>3</v>
      </c>
      <c r="B5" s="3">
        <v>17</v>
      </c>
      <c r="C5" s="21">
        <v>7</v>
      </c>
      <c r="D5" s="21">
        <v>71</v>
      </c>
      <c r="E5" s="21">
        <v>112</v>
      </c>
      <c r="F5" s="21">
        <v>18</v>
      </c>
      <c r="G5" s="21">
        <v>8</v>
      </c>
      <c r="H5" s="21">
        <v>8</v>
      </c>
      <c r="I5" s="21">
        <v>139</v>
      </c>
      <c r="J5" s="21">
        <v>63</v>
      </c>
      <c r="K5" s="21">
        <v>28</v>
      </c>
      <c r="L5" s="21">
        <v>12</v>
      </c>
      <c r="M5" s="21">
        <v>8</v>
      </c>
      <c r="N5" s="16">
        <f>SUM(B5:M5)</f>
        <v>491</v>
      </c>
      <c r="O5" s="18">
        <v>14030</v>
      </c>
      <c r="P5" s="19">
        <f t="shared" ref="P5:P11" si="0">O5/N5</f>
        <v>28.574338085539715</v>
      </c>
    </row>
    <row r="6" spans="1:16">
      <c r="A6" t="s">
        <v>4</v>
      </c>
      <c r="B6" s="5">
        <v>31</v>
      </c>
      <c r="C6" s="21">
        <v>20</v>
      </c>
      <c r="D6" s="21">
        <v>39</v>
      </c>
      <c r="E6" s="21">
        <v>96</v>
      </c>
      <c r="F6" s="21">
        <v>120</v>
      </c>
      <c r="G6" s="21">
        <v>86</v>
      </c>
      <c r="H6" s="21">
        <v>35</v>
      </c>
      <c r="I6" s="21">
        <v>66</v>
      </c>
      <c r="J6" s="21">
        <v>131</v>
      </c>
      <c r="K6" s="21">
        <v>135</v>
      </c>
      <c r="L6" s="21">
        <v>76</v>
      </c>
      <c r="M6" s="21">
        <v>37</v>
      </c>
      <c r="N6" s="4">
        <f>SUM(B6:M6)</f>
        <v>872</v>
      </c>
      <c r="O6" s="18">
        <v>14030</v>
      </c>
      <c r="P6" s="11">
        <f t="shared" si="0"/>
        <v>16.089449541284402</v>
      </c>
    </row>
    <row r="7" spans="1:16">
      <c r="A7" s="1" t="s">
        <v>5</v>
      </c>
      <c r="B7" s="6">
        <v>48</v>
      </c>
      <c r="C7" s="21">
        <v>27</v>
      </c>
      <c r="D7" s="21">
        <v>110</v>
      </c>
      <c r="E7" s="21">
        <v>208</v>
      </c>
      <c r="F7" s="21">
        <v>138</v>
      </c>
      <c r="G7" s="21">
        <v>94</v>
      </c>
      <c r="H7" s="21">
        <v>43</v>
      </c>
      <c r="I7" s="21">
        <v>205</v>
      </c>
      <c r="J7" s="21">
        <v>194</v>
      </c>
      <c r="K7" s="21">
        <v>163</v>
      </c>
      <c r="L7" s="21">
        <v>88</v>
      </c>
      <c r="M7" s="21">
        <v>45</v>
      </c>
      <c r="N7" s="10">
        <f>SUM(B7:M7)</f>
        <v>1363</v>
      </c>
      <c r="O7" s="18">
        <v>14030</v>
      </c>
      <c r="P7" s="13">
        <f t="shared" si="0"/>
        <v>10.293470286133529</v>
      </c>
    </row>
    <row r="8" spans="1:16">
      <c r="A8" s="1" t="s">
        <v>6</v>
      </c>
      <c r="B8" s="6">
        <v>243</v>
      </c>
      <c r="C8" s="21">
        <v>109</v>
      </c>
      <c r="D8" s="21">
        <v>337</v>
      </c>
      <c r="E8" s="21">
        <v>698</v>
      </c>
      <c r="F8" s="21">
        <v>570</v>
      </c>
      <c r="G8" s="21">
        <v>378</v>
      </c>
      <c r="H8" s="21">
        <v>160</v>
      </c>
      <c r="I8" s="21">
        <v>793</v>
      </c>
      <c r="J8" s="7">
        <v>1161</v>
      </c>
      <c r="K8" s="21">
        <v>763</v>
      </c>
      <c r="L8" s="21">
        <v>335</v>
      </c>
      <c r="M8" s="21">
        <v>227</v>
      </c>
      <c r="N8" s="10">
        <f>SUM(B8:M8)</f>
        <v>5774</v>
      </c>
      <c r="O8" s="18">
        <v>14030</v>
      </c>
      <c r="P8" s="13">
        <f t="shared" si="0"/>
        <v>2.4298579840665049</v>
      </c>
    </row>
    <row r="9" spans="1:16">
      <c r="A9" t="s">
        <v>7</v>
      </c>
      <c r="B9" s="8">
        <v>5.0599999999999996</v>
      </c>
      <c r="C9" s="21">
        <v>4.04</v>
      </c>
      <c r="D9" s="21">
        <v>3.06</v>
      </c>
      <c r="E9" s="21">
        <v>3.36</v>
      </c>
      <c r="F9" s="21">
        <v>4.13</v>
      </c>
      <c r="G9" s="21">
        <v>4.0199999999999996</v>
      </c>
      <c r="H9" s="21">
        <v>3.72</v>
      </c>
      <c r="I9" s="21">
        <v>3.87</v>
      </c>
      <c r="J9" s="21">
        <v>5.98</v>
      </c>
      <c r="K9" s="21">
        <v>4.68</v>
      </c>
      <c r="L9" s="21">
        <v>3.81</v>
      </c>
      <c r="M9" s="21">
        <v>5.04</v>
      </c>
      <c r="N9" s="9">
        <f>SUM(B9:M9)</f>
        <v>50.769999999999996</v>
      </c>
      <c r="O9" s="18">
        <v>14030</v>
      </c>
      <c r="P9" s="11">
        <f t="shared" si="0"/>
        <v>276.34429781366953</v>
      </c>
    </row>
    <row r="10" spans="1:16">
      <c r="A10" s="1" t="s">
        <v>8</v>
      </c>
      <c r="B10" s="7">
        <v>2225</v>
      </c>
      <c r="C10" s="21">
        <v>7</v>
      </c>
      <c r="D10" s="7">
        <v>3382</v>
      </c>
      <c r="E10" s="7">
        <v>4553</v>
      </c>
      <c r="F10" s="7">
        <v>2949</v>
      </c>
      <c r="G10" s="7">
        <v>1009</v>
      </c>
      <c r="H10" s="7">
        <v>1610</v>
      </c>
      <c r="I10" s="7">
        <v>1669</v>
      </c>
      <c r="J10" s="7">
        <v>4615</v>
      </c>
      <c r="K10" s="7">
        <v>2762</v>
      </c>
      <c r="L10" s="21">
        <v>767</v>
      </c>
      <c r="M10" s="21">
        <v>1473</v>
      </c>
      <c r="N10" s="10">
        <f>SUM(B10:M10)</f>
        <v>27021</v>
      </c>
      <c r="O10" s="18">
        <v>14030</v>
      </c>
      <c r="P10" s="13">
        <f t="shared" si="0"/>
        <v>0.51922578735057923</v>
      </c>
    </row>
    <row r="11" spans="1:16">
      <c r="A11" t="s">
        <v>9</v>
      </c>
      <c r="B11" s="8">
        <v>46.35</v>
      </c>
      <c r="C11" s="21">
        <v>24.19</v>
      </c>
      <c r="D11" s="21">
        <v>30.75</v>
      </c>
      <c r="E11" s="21">
        <v>21.89</v>
      </c>
      <c r="F11" s="21">
        <v>21.37</v>
      </c>
      <c r="G11" s="21">
        <v>10.73</v>
      </c>
      <c r="H11" s="21">
        <v>37.44</v>
      </c>
      <c r="I11" s="21">
        <v>8.14</v>
      </c>
      <c r="J11" s="21">
        <v>23.79</v>
      </c>
      <c r="K11" s="21">
        <v>16.940000000000001</v>
      </c>
      <c r="L11" s="21">
        <v>8.7200000000000006</v>
      </c>
      <c r="M11" s="21">
        <v>32.729999999999997</v>
      </c>
      <c r="N11" s="9">
        <f>SUM(B11:M11)</f>
        <v>283.04000000000002</v>
      </c>
      <c r="O11" s="18">
        <v>14030</v>
      </c>
      <c r="P11" s="11">
        <f t="shared" si="0"/>
        <v>49.568965517241374</v>
      </c>
    </row>
    <row r="14" spans="1:16">
      <c r="A14" s="1" t="s">
        <v>16</v>
      </c>
    </row>
    <row r="15" spans="1:16">
      <c r="A15" s="1" t="s">
        <v>17</v>
      </c>
    </row>
    <row r="16" spans="1:16" ht="13">
      <c r="A16" s="2"/>
    </row>
  </sheetData>
  <phoneticPr fontId="1" type="noConversion"/>
  <pageMargins left="0.25" right="0.25" top="0.75" bottom="0.75" header="0.3" footer="0.3"/>
  <pageSetup paperSize="5" fitToHeight="4" orientation="landscape"/>
  <headerFooter>
    <oddFooter>&amp;L&amp;K000000&amp;F&amp;C&amp;K000000&amp;A&amp;R&amp;K000000&amp;P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77"/>
  <sheetViews>
    <sheetView topLeftCell="J40" zoomScale="150" zoomScaleNormal="150" zoomScalePageLayoutView="150" workbookViewId="0">
      <selection activeCell="D25" sqref="D25:V72"/>
    </sheetView>
  </sheetViews>
  <sheetFormatPr baseColWidth="10" defaultRowHeight="12" x14ac:dyDescent="0"/>
  <cols>
    <col min="1" max="1" width="30.1640625" customWidth="1"/>
    <col min="2" max="2" width="29.1640625" bestFit="1" customWidth="1"/>
  </cols>
  <sheetData>
    <row r="1" spans="1:4" ht="15">
      <c r="A1" s="30" t="s">
        <v>18</v>
      </c>
    </row>
    <row r="3" spans="1:4" ht="15" thickBot="1">
      <c r="A3" s="24" t="s">
        <v>12</v>
      </c>
      <c r="B3" s="24" t="s">
        <v>11</v>
      </c>
      <c r="C3" s="24" t="s">
        <v>19</v>
      </c>
      <c r="D3" s="12"/>
    </row>
    <row r="4" spans="1:4" ht="14">
      <c r="A4" s="26"/>
      <c r="B4" s="26"/>
      <c r="C4" s="26">
        <v>1</v>
      </c>
    </row>
    <row r="5" spans="1:4" ht="14">
      <c r="A5" s="25" t="s">
        <v>20</v>
      </c>
      <c r="B5" s="25" t="s">
        <v>21</v>
      </c>
      <c r="C5" s="25">
        <v>2</v>
      </c>
    </row>
    <row r="6" spans="1:4" ht="14">
      <c r="A6" s="25" t="s">
        <v>20</v>
      </c>
      <c r="B6" s="25" t="s">
        <v>22</v>
      </c>
      <c r="C6" s="25">
        <v>1</v>
      </c>
    </row>
    <row r="7" spans="1:4" ht="14">
      <c r="A7" s="25" t="s">
        <v>20</v>
      </c>
      <c r="B7" s="25" t="s">
        <v>23</v>
      </c>
      <c r="C7" s="25">
        <v>2</v>
      </c>
    </row>
    <row r="8" spans="1:4" ht="14">
      <c r="A8" s="25" t="s">
        <v>20</v>
      </c>
      <c r="B8" s="25" t="s">
        <v>24</v>
      </c>
      <c r="C8" s="25">
        <v>1</v>
      </c>
    </row>
    <row r="9" spans="1:4" ht="14">
      <c r="A9" s="25" t="s">
        <v>25</v>
      </c>
      <c r="B9" s="25" t="s">
        <v>22</v>
      </c>
      <c r="C9" s="25">
        <v>1</v>
      </c>
    </row>
    <row r="10" spans="1:4" ht="14">
      <c r="A10" s="25" t="s">
        <v>26</v>
      </c>
      <c r="B10" s="25" t="s">
        <v>22</v>
      </c>
      <c r="C10" s="25">
        <v>1</v>
      </c>
    </row>
    <row r="11" spans="1:4" ht="14">
      <c r="A11" s="25" t="s">
        <v>27</v>
      </c>
      <c r="B11" s="25" t="s">
        <v>28</v>
      </c>
      <c r="C11" s="25">
        <v>1</v>
      </c>
    </row>
    <row r="12" spans="1:4" ht="14">
      <c r="A12" s="25" t="s">
        <v>27</v>
      </c>
      <c r="B12" s="25" t="s">
        <v>21</v>
      </c>
      <c r="C12" s="25">
        <v>35</v>
      </c>
    </row>
    <row r="13" spans="1:4" ht="14">
      <c r="A13" s="25" t="s">
        <v>27</v>
      </c>
      <c r="B13" s="25" t="s">
        <v>29</v>
      </c>
      <c r="C13" s="25">
        <v>4</v>
      </c>
    </row>
    <row r="14" spans="1:4" ht="14">
      <c r="A14" s="25" t="s">
        <v>27</v>
      </c>
      <c r="B14" s="25" t="s">
        <v>30</v>
      </c>
      <c r="C14" s="25">
        <v>7</v>
      </c>
    </row>
    <row r="15" spans="1:4" ht="14">
      <c r="A15" s="25" t="s">
        <v>27</v>
      </c>
      <c r="B15" s="25" t="s">
        <v>31</v>
      </c>
      <c r="C15" s="25">
        <v>22</v>
      </c>
    </row>
    <row r="16" spans="1:4" ht="14">
      <c r="A16" s="25" t="s">
        <v>27</v>
      </c>
      <c r="B16" s="25" t="s">
        <v>23</v>
      </c>
      <c r="C16" s="25">
        <v>11</v>
      </c>
    </row>
    <row r="17" spans="1:3" ht="14">
      <c r="A17" s="25" t="s">
        <v>27</v>
      </c>
      <c r="B17" s="25" t="s">
        <v>32</v>
      </c>
      <c r="C17" s="25">
        <v>1</v>
      </c>
    </row>
    <row r="18" spans="1:3" ht="14">
      <c r="A18" s="25" t="s">
        <v>27</v>
      </c>
      <c r="B18" s="25" t="s">
        <v>33</v>
      </c>
      <c r="C18" s="25">
        <v>7</v>
      </c>
    </row>
    <row r="19" spans="1:3" ht="14">
      <c r="A19" s="25" t="s">
        <v>27</v>
      </c>
      <c r="B19" s="25" t="s">
        <v>34</v>
      </c>
      <c r="C19" s="25">
        <v>5</v>
      </c>
    </row>
    <row r="20" spans="1:3" ht="14">
      <c r="A20" s="25" t="s">
        <v>27</v>
      </c>
      <c r="B20" s="25" t="s">
        <v>35</v>
      </c>
      <c r="C20" s="25">
        <v>2</v>
      </c>
    </row>
    <row r="21" spans="1:3" ht="14">
      <c r="A21" s="25" t="s">
        <v>27</v>
      </c>
      <c r="B21" s="25" t="s">
        <v>24</v>
      </c>
      <c r="C21" s="25">
        <v>19</v>
      </c>
    </row>
    <row r="22" spans="1:3" ht="14">
      <c r="A22" s="25" t="s">
        <v>27</v>
      </c>
      <c r="B22" s="25" t="s">
        <v>36</v>
      </c>
      <c r="C22" s="25">
        <v>10</v>
      </c>
    </row>
    <row r="23" spans="1:3" ht="14">
      <c r="A23" s="25" t="s">
        <v>27</v>
      </c>
      <c r="B23" s="25" t="s">
        <v>37</v>
      </c>
      <c r="C23" s="25">
        <v>17</v>
      </c>
    </row>
    <row r="24" spans="1:3" ht="14">
      <c r="A24" s="25" t="s">
        <v>27</v>
      </c>
      <c r="B24" s="25" t="s">
        <v>38</v>
      </c>
      <c r="C24" s="25">
        <v>3</v>
      </c>
    </row>
    <row r="25" spans="1:3" ht="14">
      <c r="A25" s="25" t="s">
        <v>39</v>
      </c>
      <c r="B25" s="25" t="s">
        <v>28</v>
      </c>
      <c r="C25" s="25">
        <v>6</v>
      </c>
    </row>
    <row r="26" spans="1:3" ht="14">
      <c r="A26" s="25" t="s">
        <v>39</v>
      </c>
      <c r="B26" s="25" t="s">
        <v>21</v>
      </c>
      <c r="C26" s="25">
        <v>135</v>
      </c>
    </row>
    <row r="27" spans="1:3" ht="14">
      <c r="A27" s="25" t="s">
        <v>39</v>
      </c>
      <c r="B27" s="25" t="s">
        <v>22</v>
      </c>
      <c r="C27" s="25">
        <v>32</v>
      </c>
    </row>
    <row r="28" spans="1:3" ht="14">
      <c r="A28" s="25" t="s">
        <v>39</v>
      </c>
      <c r="B28" s="25" t="s">
        <v>40</v>
      </c>
      <c r="C28" s="25">
        <v>4</v>
      </c>
    </row>
    <row r="29" spans="1:3" ht="14">
      <c r="A29" s="25" t="s">
        <v>39</v>
      </c>
      <c r="B29" s="25" t="s">
        <v>29</v>
      </c>
      <c r="C29" s="25">
        <v>12</v>
      </c>
    </row>
    <row r="30" spans="1:3" ht="14">
      <c r="A30" s="25" t="s">
        <v>39</v>
      </c>
      <c r="B30" s="25" t="s">
        <v>30</v>
      </c>
      <c r="C30" s="25">
        <v>55</v>
      </c>
    </row>
    <row r="31" spans="1:3" ht="14">
      <c r="A31" s="25" t="s">
        <v>39</v>
      </c>
      <c r="B31" s="25" t="s">
        <v>31</v>
      </c>
      <c r="C31" s="25">
        <v>129</v>
      </c>
    </row>
    <row r="32" spans="1:3" ht="14">
      <c r="A32" s="25" t="s">
        <v>39</v>
      </c>
      <c r="B32" s="25" t="s">
        <v>23</v>
      </c>
      <c r="C32" s="25">
        <v>45</v>
      </c>
    </row>
    <row r="33" spans="1:3" ht="14">
      <c r="A33" s="25" t="s">
        <v>39</v>
      </c>
      <c r="B33" s="25" t="s">
        <v>41</v>
      </c>
      <c r="C33" s="25">
        <v>10</v>
      </c>
    </row>
    <row r="34" spans="1:3" ht="14">
      <c r="A34" s="25" t="s">
        <v>39</v>
      </c>
      <c r="B34" s="25" t="s">
        <v>32</v>
      </c>
      <c r="C34" s="25">
        <v>6</v>
      </c>
    </row>
    <row r="35" spans="1:3" ht="14">
      <c r="A35" s="25" t="s">
        <v>39</v>
      </c>
      <c r="B35" s="25" t="s">
        <v>33</v>
      </c>
      <c r="C35" s="25">
        <v>17</v>
      </c>
    </row>
    <row r="36" spans="1:3" ht="14">
      <c r="A36" s="25" t="s">
        <v>39</v>
      </c>
      <c r="B36" s="25" t="s">
        <v>34</v>
      </c>
      <c r="C36" s="25">
        <v>5</v>
      </c>
    </row>
    <row r="37" spans="1:3" ht="14">
      <c r="A37" s="25" t="s">
        <v>39</v>
      </c>
      <c r="B37" s="25" t="s">
        <v>35</v>
      </c>
      <c r="C37" s="25">
        <v>9</v>
      </c>
    </row>
    <row r="38" spans="1:3" ht="14">
      <c r="A38" s="25" t="s">
        <v>39</v>
      </c>
      <c r="B38" s="25" t="s">
        <v>24</v>
      </c>
      <c r="C38" s="25">
        <v>151</v>
      </c>
    </row>
    <row r="39" spans="1:3" ht="14">
      <c r="A39" s="25" t="s">
        <v>39</v>
      </c>
      <c r="B39" s="25" t="s">
        <v>36</v>
      </c>
      <c r="C39" s="25">
        <v>46</v>
      </c>
    </row>
    <row r="40" spans="1:3" ht="14">
      <c r="A40" s="25" t="s">
        <v>39</v>
      </c>
      <c r="B40" s="25" t="s">
        <v>37</v>
      </c>
      <c r="C40" s="25">
        <v>45</v>
      </c>
    </row>
    <row r="41" spans="1:3" ht="14">
      <c r="A41" s="25" t="s">
        <v>39</v>
      </c>
      <c r="B41" s="25" t="s">
        <v>38</v>
      </c>
      <c r="C41" s="25">
        <v>3</v>
      </c>
    </row>
    <row r="42" spans="1:3" ht="14">
      <c r="A42" s="25" t="s">
        <v>24</v>
      </c>
      <c r="B42" s="25" t="s">
        <v>21</v>
      </c>
      <c r="C42" s="25">
        <v>5</v>
      </c>
    </row>
    <row r="43" spans="1:3" ht="14">
      <c r="A43" s="25" t="s">
        <v>24</v>
      </c>
      <c r="B43" s="25" t="s">
        <v>30</v>
      </c>
      <c r="C43" s="25">
        <v>2</v>
      </c>
    </row>
    <row r="44" spans="1:3" ht="14">
      <c r="A44" s="25" t="s">
        <v>24</v>
      </c>
      <c r="B44" s="25" t="s">
        <v>34</v>
      </c>
      <c r="C44" s="25">
        <v>1</v>
      </c>
    </row>
    <row r="45" spans="1:3" ht="14">
      <c r="A45" s="25" t="s">
        <v>24</v>
      </c>
      <c r="B45" s="25" t="s">
        <v>24</v>
      </c>
      <c r="C45" s="25">
        <v>25</v>
      </c>
    </row>
    <row r="46" spans="1:3" ht="14">
      <c r="A46" s="25" t="s">
        <v>24</v>
      </c>
      <c r="B46" s="25" t="s">
        <v>36</v>
      </c>
      <c r="C46" s="25">
        <v>2</v>
      </c>
    </row>
    <row r="47" spans="1:3" ht="14">
      <c r="A47" s="25" t="s">
        <v>24</v>
      </c>
      <c r="B47" s="25" t="s">
        <v>37</v>
      </c>
      <c r="C47" s="25">
        <v>1</v>
      </c>
    </row>
    <row r="48" spans="1:3" ht="14">
      <c r="A48" s="25" t="s">
        <v>24</v>
      </c>
      <c r="B48" s="25" t="s">
        <v>38</v>
      </c>
      <c r="C48" s="25">
        <v>2</v>
      </c>
    </row>
    <row r="49" spans="1:3" ht="14">
      <c r="A49" s="25" t="s">
        <v>42</v>
      </c>
      <c r="B49" s="25" t="s">
        <v>21</v>
      </c>
      <c r="C49" s="25">
        <v>6</v>
      </c>
    </row>
    <row r="50" spans="1:3" ht="14">
      <c r="A50" s="25" t="s">
        <v>42</v>
      </c>
      <c r="B50" s="25" t="s">
        <v>29</v>
      </c>
      <c r="C50" s="25">
        <v>1</v>
      </c>
    </row>
    <row r="51" spans="1:3" ht="14">
      <c r="A51" s="25" t="s">
        <v>42</v>
      </c>
      <c r="B51" s="25" t="s">
        <v>30</v>
      </c>
      <c r="C51" s="25">
        <v>2</v>
      </c>
    </row>
    <row r="52" spans="1:3" ht="14">
      <c r="A52" s="25" t="s">
        <v>42</v>
      </c>
      <c r="B52" s="25" t="s">
        <v>31</v>
      </c>
      <c r="C52" s="25">
        <v>6</v>
      </c>
    </row>
    <row r="53" spans="1:3" ht="14">
      <c r="A53" s="25" t="s">
        <v>42</v>
      </c>
      <c r="B53" s="25" t="s">
        <v>32</v>
      </c>
      <c r="C53" s="25">
        <v>5</v>
      </c>
    </row>
    <row r="54" spans="1:3" ht="14">
      <c r="A54" s="25" t="s">
        <v>42</v>
      </c>
      <c r="B54" s="25" t="s">
        <v>33</v>
      </c>
      <c r="C54" s="25">
        <v>1</v>
      </c>
    </row>
    <row r="55" spans="1:3" ht="14">
      <c r="A55" s="25" t="s">
        <v>42</v>
      </c>
      <c r="B55" s="25" t="s">
        <v>34</v>
      </c>
      <c r="C55" s="25">
        <v>1</v>
      </c>
    </row>
    <row r="56" spans="1:3" ht="14">
      <c r="A56" s="25" t="s">
        <v>42</v>
      </c>
      <c r="B56" s="25" t="s">
        <v>24</v>
      </c>
      <c r="C56" s="25">
        <v>4</v>
      </c>
    </row>
    <row r="57" spans="1:3" ht="14">
      <c r="A57" s="25" t="s">
        <v>42</v>
      </c>
      <c r="B57" s="25" t="s">
        <v>36</v>
      </c>
      <c r="C57" s="25">
        <v>4</v>
      </c>
    </row>
    <row r="58" spans="1:3" ht="14">
      <c r="A58" s="25" t="s">
        <v>42</v>
      </c>
      <c r="B58" s="25" t="s">
        <v>37</v>
      </c>
      <c r="C58" s="25">
        <v>3</v>
      </c>
    </row>
    <row r="59" spans="1:3" ht="14">
      <c r="A59" s="25" t="s">
        <v>43</v>
      </c>
      <c r="B59" s="25" t="s">
        <v>28</v>
      </c>
      <c r="C59" s="25">
        <v>8</v>
      </c>
    </row>
    <row r="60" spans="1:3" ht="14">
      <c r="A60" s="25" t="s">
        <v>43</v>
      </c>
      <c r="B60" s="25" t="s">
        <v>21</v>
      </c>
      <c r="C60" s="25">
        <v>500</v>
      </c>
    </row>
    <row r="61" spans="1:3" ht="14">
      <c r="A61" s="25" t="s">
        <v>43</v>
      </c>
      <c r="B61" s="25" t="s">
        <v>22</v>
      </c>
      <c r="C61" s="25">
        <v>80</v>
      </c>
    </row>
    <row r="62" spans="1:3" ht="14">
      <c r="A62" s="25" t="s">
        <v>43</v>
      </c>
      <c r="B62" s="25" t="s">
        <v>40</v>
      </c>
      <c r="C62" s="25">
        <v>8</v>
      </c>
    </row>
    <row r="63" spans="1:3" ht="14">
      <c r="A63" s="25" t="s">
        <v>43</v>
      </c>
      <c r="B63" s="25" t="s">
        <v>29</v>
      </c>
      <c r="C63" s="25">
        <v>37</v>
      </c>
    </row>
    <row r="64" spans="1:3" ht="14">
      <c r="A64" s="25" t="s">
        <v>43</v>
      </c>
      <c r="B64" s="25" t="s">
        <v>30</v>
      </c>
      <c r="C64" s="25">
        <v>26</v>
      </c>
    </row>
    <row r="65" spans="1:3" ht="14">
      <c r="A65" s="25" t="s">
        <v>43</v>
      </c>
      <c r="B65" s="25" t="s">
        <v>31</v>
      </c>
      <c r="C65" s="25">
        <v>209</v>
      </c>
    </row>
    <row r="66" spans="1:3" ht="14">
      <c r="A66" s="25" t="s">
        <v>43</v>
      </c>
      <c r="B66" s="25" t="s">
        <v>23</v>
      </c>
      <c r="C66" s="25">
        <v>91</v>
      </c>
    </row>
    <row r="67" spans="1:3" ht="14">
      <c r="A67" s="25" t="s">
        <v>43</v>
      </c>
      <c r="B67" s="25" t="s">
        <v>41</v>
      </c>
      <c r="C67" s="25">
        <v>6</v>
      </c>
    </row>
    <row r="68" spans="1:3" ht="14">
      <c r="A68" s="25" t="s">
        <v>43</v>
      </c>
      <c r="B68" s="25" t="s">
        <v>33</v>
      </c>
      <c r="C68" s="25">
        <v>20</v>
      </c>
    </row>
    <row r="69" spans="1:3" ht="14">
      <c r="A69" s="25" t="s">
        <v>43</v>
      </c>
      <c r="B69" s="25" t="s">
        <v>34</v>
      </c>
      <c r="C69" s="25">
        <v>8</v>
      </c>
    </row>
    <row r="70" spans="1:3" ht="14">
      <c r="A70" s="25" t="s">
        <v>43</v>
      </c>
      <c r="B70" s="25" t="s">
        <v>35</v>
      </c>
      <c r="C70" s="25">
        <v>5</v>
      </c>
    </row>
    <row r="71" spans="1:3" ht="14">
      <c r="A71" s="25" t="s">
        <v>43</v>
      </c>
      <c r="B71" s="25" t="s">
        <v>24</v>
      </c>
      <c r="C71" s="25">
        <v>103</v>
      </c>
    </row>
    <row r="72" spans="1:3" ht="14">
      <c r="A72" s="25" t="s">
        <v>43</v>
      </c>
      <c r="B72" s="25" t="s">
        <v>36</v>
      </c>
      <c r="C72" s="25">
        <v>11</v>
      </c>
    </row>
    <row r="73" spans="1:3" ht="14">
      <c r="A73" s="25" t="s">
        <v>43</v>
      </c>
      <c r="B73" s="25" t="s">
        <v>44</v>
      </c>
      <c r="C73" s="25">
        <v>1</v>
      </c>
    </row>
    <row r="74" spans="1:3" ht="14">
      <c r="A74" s="25" t="s">
        <v>43</v>
      </c>
      <c r="B74" s="25" t="s">
        <v>37</v>
      </c>
      <c r="C74" s="25">
        <v>47</v>
      </c>
    </row>
    <row r="75" spans="1:3" ht="14">
      <c r="A75" s="25" t="s">
        <v>43</v>
      </c>
      <c r="B75" s="25" t="s">
        <v>38</v>
      </c>
      <c r="C75" s="25">
        <v>50</v>
      </c>
    </row>
    <row r="76" spans="1:3" ht="15" thickBot="1">
      <c r="A76" s="25" t="s">
        <v>45</v>
      </c>
      <c r="B76" s="27" t="s">
        <v>24</v>
      </c>
      <c r="C76" s="27">
        <v>1</v>
      </c>
    </row>
    <row r="77" spans="1:3" ht="15" thickBot="1">
      <c r="B77" s="28" t="s">
        <v>13</v>
      </c>
      <c r="C77" s="29">
        <f>SUM(C4:C76)</f>
        <v>2145</v>
      </c>
    </row>
  </sheetData>
  <phoneticPr fontId="1" type="noConversion"/>
  <pageMargins left="0.25" right="0.25" top="0.75" bottom="0.75" header="0.3" footer="0.3"/>
  <pageSetup fitToHeight="10" orientation="portrait" horizontalDpi="4294967292" verticalDpi="4294967292"/>
  <headerFooter>
    <oddFooter>&amp;L&amp;K000000&amp;F&amp;C&amp;K000000&amp;A&amp;R&amp;K000000&amp;P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RefWorks Usage 10-11</vt:lpstr>
      <vt:lpstr>RefWorks Users 10-11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</dc:creator>
  <cp:lastModifiedBy>Andree Rathemacher</cp:lastModifiedBy>
  <cp:lastPrinted>2011-07-22T18:04:58Z</cp:lastPrinted>
  <dcterms:created xsi:type="dcterms:W3CDTF">2006-05-09T14:17:28Z</dcterms:created>
  <dcterms:modified xsi:type="dcterms:W3CDTF">2011-07-22T18:08:42Z</dcterms:modified>
</cp:coreProperties>
</file>