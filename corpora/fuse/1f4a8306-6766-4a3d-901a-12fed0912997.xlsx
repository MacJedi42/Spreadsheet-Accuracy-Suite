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2035" windowHeight="12015"/>
  </bookViews>
  <sheets>
    <sheet name="USDA Foods" sheetId="1" r:id="rId1"/>
  </sheets>
  <definedNames>
    <definedName name="_xlnm.Print_Area" localSheetId="0">'USDA Foods'!$A$1:$Q$76</definedName>
    <definedName name="_xlnm.Print_Titles" localSheetId="0">'USDA Foods'!$1:$1</definedName>
    <definedName name="TitleRegion1.a1.q72.1">'USDA Foods'!$A$1</definedName>
    <definedName name="TitleRegion2.a73.q76.1">'USDA Foods'!$77:$77</definedName>
  </definedNames>
  <calcPr calcId="145621"/>
</workbook>
</file>

<file path=xl/calcChain.xml><?xml version="1.0" encoding="utf-8"?>
<calcChain xmlns="http://schemas.openxmlformats.org/spreadsheetml/2006/main">
  <c r="O69" i="1" l="1"/>
  <c r="Q69" i="1" s="1"/>
  <c r="O70" i="1"/>
  <c r="Q70" i="1" s="1"/>
  <c r="O71" i="1"/>
  <c r="Q71" i="1" s="1"/>
  <c r="O72" i="1"/>
  <c r="Q72" i="1" s="1"/>
  <c r="O2" i="1" l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74" i="1"/>
  <c r="Q74" i="1" s="1"/>
  <c r="O75" i="1"/>
  <c r="Q75" i="1" s="1"/>
  <c r="O76" i="1"/>
  <c r="Q76" i="1" s="1"/>
</calcChain>
</file>

<file path=xl/sharedStrings.xml><?xml version="1.0" encoding="utf-8"?>
<sst xmlns="http://schemas.openxmlformats.org/spreadsheetml/2006/main" count="109" uniqueCount="93">
  <si>
    <t>Pork; Bulk, Picnics, Boneless</t>
  </si>
  <si>
    <t>Beef; Bulk, Fine Ground, Raw</t>
  </si>
  <si>
    <t>Beef; Bulk, Coarse Ground, Raw</t>
  </si>
  <si>
    <t>TOTAL Quantity Received from Distributor</t>
  </si>
  <si>
    <t>Quantity Delivered by Distributor June</t>
  </si>
  <si>
    <t>Quantity Delivered by Distributor May</t>
  </si>
  <si>
    <t>Commodity ID</t>
  </si>
  <si>
    <t>Quantity Delivered by Distributor August</t>
  </si>
  <si>
    <t>Quantity Delivered by Distributor September</t>
  </si>
  <si>
    <t>Quantity Delivered by Distributor October</t>
  </si>
  <si>
    <t>Quantity Delivered by Distributor November</t>
  </si>
  <si>
    <t>Quantity Delivered by Distributor December</t>
  </si>
  <si>
    <t>Quantity Delivered by Distributor January</t>
  </si>
  <si>
    <t>Quantity Delivered by Distributor February</t>
  </si>
  <si>
    <t>Quantity Delivered by Distributor March</t>
  </si>
  <si>
    <t>Quantity Delivered by Distributor April</t>
  </si>
  <si>
    <t>Total Quantity Received at Warehouse</t>
  </si>
  <si>
    <t>Variance (Over /Short)</t>
  </si>
  <si>
    <t>Total Quantity Ordered by Food Distribution</t>
  </si>
  <si>
    <t>Direct Delivery Commodity Name</t>
  </si>
  <si>
    <t>Processed Commodity Name</t>
  </si>
  <si>
    <t>Apple Slices, Can-6/10</t>
  </si>
  <si>
    <t>Applesauce, Can-6/10</t>
  </si>
  <si>
    <t>Applesauce, Cup-96/4.5</t>
  </si>
  <si>
    <t>Apricot, Frz, Cup-96/4.5 Oz</t>
  </si>
  <si>
    <t>Apricots, Diced, Ex Lt Sucrose, Can 6/10</t>
  </si>
  <si>
    <t>Beans, Black Turtle, Can-6/10</t>
  </si>
  <si>
    <t>Beans, Garbanzo, Can-6/10</t>
  </si>
  <si>
    <t>Beans, Great Northern, Can-6/10</t>
  </si>
  <si>
    <t>Beans, Green, Can-6/10</t>
  </si>
  <si>
    <t>Beans, Green, Frz Ctn-30 Lb</t>
  </si>
  <si>
    <t>Beans, Pinto, Can-6/10</t>
  </si>
  <si>
    <t>Beans, Red Kidney, Can-6/10</t>
  </si>
  <si>
    <t>Beans, Refried, Can-6/10</t>
  </si>
  <si>
    <t>Beef, Crumbles w/SPP, Pkg-4/10 Lb</t>
  </si>
  <si>
    <t>Beef, Fine Ground, Frz, Ctn-40 Lb</t>
  </si>
  <si>
    <t>Beef, SPP Pty, Hstyle Ckd, 2.0 MMA, Ctn-40 Lb</t>
  </si>
  <si>
    <t>Beef, 100% Pty, 90/10, Frz, 2.0 MMA, Ctn-40 Lb</t>
  </si>
  <si>
    <t>Blueberry, Cultivated, Frz Ctn-30 Lb</t>
  </si>
  <si>
    <t>Broccoli, Frz, Pkg-6/5 Lb</t>
  </si>
  <si>
    <t>Carrots, Can-6/10</t>
  </si>
  <si>
    <t>Carrots, Frz, Ctn-30 Lb</t>
  </si>
  <si>
    <t>Cheese, Blend Amer Skm Yel Slc, Lvs-6/5 Lb</t>
  </si>
  <si>
    <t>Cheese, Ched Rdu Fat Yel Shred, Bag-6/5 Lb</t>
  </si>
  <si>
    <t>Cheese, Moz Lm Part Skm Shrd, Frz, Box-30Lb</t>
  </si>
  <si>
    <t>Cheese, Moz Lm Pt Skm String, Box-360/1 Oz</t>
  </si>
  <si>
    <t>Cheese, Process Yel Slc, Lvs-6/5 Lb</t>
  </si>
  <si>
    <t>Cherries, Dried, Pkg-4/4 Lb</t>
  </si>
  <si>
    <t>Chicken, Diced, Ctn-40 Lb</t>
  </si>
  <si>
    <t>Chicken, Fajita Strips, Ctn-30 Lb</t>
  </si>
  <si>
    <t>Corn, Frz, Ctn-30 Lb</t>
  </si>
  <si>
    <t>Corn, Whole Kernel (Liq), Can-6/10</t>
  </si>
  <si>
    <t>Cranberry Sauce, Can-6/10</t>
  </si>
  <si>
    <t>Eggs, Whole Frz, Ctn-6/5 Lb</t>
  </si>
  <si>
    <t>Flour, Whole Wheat, Bag-8/5 Lb</t>
  </si>
  <si>
    <t>Mixed Fruit, Ex Lt Sucrose, Can-6/10</t>
  </si>
  <si>
    <t>Oil, Soybean, Low Sat Fat, Btl-6/1 Gal</t>
  </si>
  <si>
    <t>Orange Juice, Single, Ctn-70/4 Oz</t>
  </si>
  <si>
    <t>Pancakes, Whole Wheat, Fzn-144 Count</t>
  </si>
  <si>
    <t>Peach, Freestone, Diced, Frz, Cup-96/4.4 Oz</t>
  </si>
  <si>
    <t>Peaches, Cling, Diced, Ex Lt Sucrose, Can-6/10</t>
  </si>
  <si>
    <t>Peaches, Cling, Slc, Ex Lt Sucrose, Can-6/10</t>
  </si>
  <si>
    <t>Peanut Butter, Smooth, Jar-6/5 Lb</t>
  </si>
  <si>
    <t>Pears, Diced, Ex Lt Sucrose, Can-6/10</t>
  </si>
  <si>
    <t>Pears, Slices, Ex Lt Sucrose, Can-6/10</t>
  </si>
  <si>
    <t>Peas, Green, Frz, Ctn-30 Lb</t>
  </si>
  <si>
    <t>Pork, Ham, Water Added, Frz, Pkg 4/10 Lb</t>
  </si>
  <si>
    <t>Pork, Ham, Water Added, Rd Sod, Slc, Frz, Pkg-8/5 Lb</t>
  </si>
  <si>
    <t>Pork, Roast Leg, Frz, Ctn-32-40 Lb</t>
  </si>
  <si>
    <t>Potatoes, Ovens Fry, Pkg-6/5 Lb</t>
  </si>
  <si>
    <t>Potatoes, Rounds, Frz, Pkg-6/5 Lb</t>
  </si>
  <si>
    <t>Potatoes, Wedge, Fat Free, Frz, Pkg-6/5 Lb</t>
  </si>
  <si>
    <t>Raisins, Box-144/1.33 Oz</t>
  </si>
  <si>
    <t>Rice, Brn, US#1 Long, Parboiled, Pkg-24/2 Lb</t>
  </si>
  <si>
    <t>Spaghetti Sauce, Meatless, Pouch-6/106 Oz</t>
  </si>
  <si>
    <t>Spinach, Chopped, Frz, IQF, Ctn-20 Lb</t>
  </si>
  <si>
    <t>Strawberry, Frz, Ctn-30 Lb</t>
  </si>
  <si>
    <t>Strawberry, Frz, Cup-96/4.5 Oz</t>
  </si>
  <si>
    <t>Strawberry, Slices, Frz, Ctn-30 Lb</t>
  </si>
  <si>
    <t>Sweet Potatoes, Random Cut, Frz, Pkg-6/5 Lb</t>
  </si>
  <si>
    <t>Tomato, Diced, Pouch-6/102 Oz</t>
  </si>
  <si>
    <t>Tomato, Paste, Pouch-6/111 Oz</t>
  </si>
  <si>
    <t>Tomato, Salsa, Pouch-6/106 Oz</t>
  </si>
  <si>
    <t>Tomato, Sauce, Pouch-6/106 Oz</t>
  </si>
  <si>
    <t>Tortilla, Whole Wheat, Fzn, 8in, Ctn-12/24"</t>
  </si>
  <si>
    <t>Turkey Breast, Deli, Frz, Ctn-40 Lb</t>
  </si>
  <si>
    <t>Turkey Hams, Smkd, Frz, Ctn-40 Lb</t>
  </si>
  <si>
    <t>Turkey Roasts, Frz, Ctn-32-48 Lb</t>
  </si>
  <si>
    <t>Turkey Taco Filling, Ctn-30 Lb</t>
  </si>
  <si>
    <t>Whole Grain Pasta, Macaroni, Ctn-20 Lb</t>
  </si>
  <si>
    <t>Whole Grain Pasta, Rotini Mac, Ctn-20 Lb</t>
  </si>
  <si>
    <t>Whole Grain Spaghetti, Ctn-20 Lb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</si>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</sst>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0" fillId="0" borderId="1" xfId="0" applyFill="1" applyBorder="1" applyAlignment="1">
      <alignment horizontal="center" wrapText="1"/>
    </xf>
    <xf numFmtId="0" fontId="0" fillId="0" borderId="0" xfId="0" applyFill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7"/>
  <sheetViews>
    <sheetView tabSelected="1" zoomScaleNormal="100" workbookViewId="0"/>
  </sheetViews>
  <sheetFormatPr defaultColWidth="0" defaultRowHeight="12.75" zeroHeight="1" x14ac:dyDescent="0.2"/>
  <cols>
    <col min="1" max="1" width="14.7109375" customWidth="1"/>
    <col min="2" max="2" width="47" bestFit="1" customWidth="1"/>
    <col min="3" max="3" width="15" bestFit="1" customWidth="1"/>
    <col min="4" max="11" width="16.140625" bestFit="1" customWidth="1"/>
    <col min="12" max="12" width="16.42578125" bestFit="1" customWidth="1"/>
    <col min="13" max="13" width="16.28515625" bestFit="1" customWidth="1"/>
    <col min="14" max="14" width="16.5703125" customWidth="1"/>
    <col min="15" max="15" width="14.42578125" style="6" bestFit="1" customWidth="1"/>
    <col min="16" max="16" width="12.5703125" bestFit="1" customWidth="1"/>
    <col min="17" max="17" width="13.28515625" bestFit="1" customWidth="1"/>
    <col min="18" max="16384" width="16.5703125" hidden="1"/>
  </cols>
  <sheetData>
    <row r="1" spans="1:17" ht="69.75" customHeight="1" x14ac:dyDescent="0.2">
      <c r="A1" s="7" t="s">
        <v>6</v>
      </c>
      <c r="B1" s="7" t="s">
        <v>19</v>
      </c>
      <c r="C1" s="5" t="s">
        <v>18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5</v>
      </c>
      <c r="N1" s="3" t="s">
        <v>4</v>
      </c>
      <c r="O1" s="5" t="s">
        <v>3</v>
      </c>
      <c r="P1" s="5" t="s">
        <v>16</v>
      </c>
      <c r="Q1" s="3" t="s">
        <v>17</v>
      </c>
    </row>
    <row r="2" spans="1:17" x14ac:dyDescent="0.2">
      <c r="A2" s="1">
        <v>100206</v>
      </c>
      <c r="B2" s="1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2">
        <f t="shared" ref="O2:O32" si="0">SUM(D2:N2)</f>
        <v>0</v>
      </c>
      <c r="P2" s="4"/>
      <c r="Q2" s="1">
        <f t="shared" ref="Q2:Q32" si="1">O2-P2</f>
        <v>0</v>
      </c>
    </row>
    <row r="3" spans="1:17" x14ac:dyDescent="0.2">
      <c r="A3" s="1">
        <v>100208</v>
      </c>
      <c r="B3" s="1" t="s">
        <v>22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>
        <f t="shared" si="0"/>
        <v>0</v>
      </c>
      <c r="P3" s="4"/>
      <c r="Q3" s="1">
        <f t="shared" si="1"/>
        <v>0</v>
      </c>
    </row>
    <row r="4" spans="1:17" x14ac:dyDescent="0.2">
      <c r="A4" s="1">
        <v>110361</v>
      </c>
      <c r="B4" s="1" t="s">
        <v>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">
        <f t="shared" si="0"/>
        <v>0</v>
      </c>
      <c r="P4" s="4"/>
      <c r="Q4" s="1">
        <f t="shared" si="1"/>
        <v>0</v>
      </c>
    </row>
    <row r="5" spans="1:17" x14ac:dyDescent="0.2">
      <c r="A5" s="1">
        <v>100261</v>
      </c>
      <c r="B5" s="1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">
        <f t="shared" si="0"/>
        <v>0</v>
      </c>
      <c r="P5" s="4"/>
      <c r="Q5" s="1">
        <f t="shared" si="1"/>
        <v>0</v>
      </c>
    </row>
    <row r="6" spans="1:17" x14ac:dyDescent="0.2">
      <c r="A6" s="1">
        <v>110230</v>
      </c>
      <c r="B6" s="1" t="s">
        <v>25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">
        <f t="shared" si="0"/>
        <v>0</v>
      </c>
      <c r="P6" s="4"/>
      <c r="Q6" s="1">
        <f t="shared" si="1"/>
        <v>0</v>
      </c>
    </row>
    <row r="7" spans="1:17" x14ac:dyDescent="0.2">
      <c r="A7" s="1">
        <v>100359</v>
      </c>
      <c r="B7" s="1" t="s">
        <v>26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">
        <f t="shared" si="0"/>
        <v>0</v>
      </c>
      <c r="P7" s="4"/>
      <c r="Q7" s="1">
        <f t="shared" si="1"/>
        <v>0</v>
      </c>
    </row>
    <row r="8" spans="1:17" x14ac:dyDescent="0.2">
      <c r="A8" s="1">
        <v>100360</v>
      </c>
      <c r="B8" s="1" t="s">
        <v>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">
        <f t="shared" si="0"/>
        <v>0</v>
      </c>
      <c r="P8" s="4"/>
      <c r="Q8" s="1">
        <f t="shared" si="1"/>
        <v>0</v>
      </c>
    </row>
    <row r="9" spans="1:17" x14ac:dyDescent="0.2">
      <c r="A9" s="1">
        <v>100373</v>
      </c>
      <c r="B9" s="1" t="s">
        <v>28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">
        <f t="shared" si="0"/>
        <v>0</v>
      </c>
      <c r="P9" s="4"/>
      <c r="Q9" s="1">
        <f t="shared" si="1"/>
        <v>0</v>
      </c>
    </row>
    <row r="10" spans="1:17" x14ac:dyDescent="0.2">
      <c r="A10" s="1">
        <v>100307</v>
      </c>
      <c r="B10" s="1" t="s">
        <v>29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">
        <f t="shared" si="0"/>
        <v>0</v>
      </c>
      <c r="P10" s="4"/>
      <c r="Q10" s="1">
        <f t="shared" si="1"/>
        <v>0</v>
      </c>
    </row>
    <row r="11" spans="1:17" x14ac:dyDescent="0.2">
      <c r="A11" s="1">
        <v>100351</v>
      </c>
      <c r="B11" s="1" t="s">
        <v>30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">
        <f t="shared" si="0"/>
        <v>0</v>
      </c>
      <c r="P11" s="4"/>
      <c r="Q11" s="1">
        <f t="shared" si="1"/>
        <v>0</v>
      </c>
    </row>
    <row r="12" spans="1:17" x14ac:dyDescent="0.2">
      <c r="A12" s="1">
        <v>100365</v>
      </c>
      <c r="B12" s="1" t="s">
        <v>31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">
        <f t="shared" si="0"/>
        <v>0</v>
      </c>
      <c r="P12" s="4"/>
      <c r="Q12" s="1">
        <f t="shared" si="1"/>
        <v>0</v>
      </c>
    </row>
    <row r="13" spans="1:17" x14ac:dyDescent="0.2">
      <c r="A13" s="1">
        <v>100370</v>
      </c>
      <c r="B13" s="1" t="s">
        <v>32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">
        <f t="shared" si="0"/>
        <v>0</v>
      </c>
      <c r="P13" s="4"/>
      <c r="Q13" s="1">
        <f t="shared" si="1"/>
        <v>0</v>
      </c>
    </row>
    <row r="14" spans="1:17" x14ac:dyDescent="0.2">
      <c r="A14" s="1">
        <v>100362</v>
      </c>
      <c r="B14" s="1" t="s">
        <v>33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">
        <f t="shared" si="0"/>
        <v>0</v>
      </c>
      <c r="P14" s="4"/>
      <c r="Q14" s="1">
        <f t="shared" si="1"/>
        <v>0</v>
      </c>
    </row>
    <row r="15" spans="1:17" x14ac:dyDescent="0.2">
      <c r="A15" s="1">
        <v>110346</v>
      </c>
      <c r="B15" s="1" t="s">
        <v>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">
        <f t="shared" si="0"/>
        <v>0</v>
      </c>
      <c r="P15" s="4"/>
      <c r="Q15" s="1">
        <f t="shared" si="1"/>
        <v>0</v>
      </c>
    </row>
    <row r="16" spans="1:17" x14ac:dyDescent="0.2">
      <c r="A16" s="1">
        <v>100134</v>
      </c>
      <c r="B16" s="1" t="s">
        <v>34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">
        <f t="shared" si="0"/>
        <v>0</v>
      </c>
      <c r="P16" s="4"/>
      <c r="Q16" s="1">
        <f t="shared" si="1"/>
        <v>0</v>
      </c>
    </row>
    <row r="17" spans="1:17" x14ac:dyDescent="0.2">
      <c r="A17" s="1">
        <v>100158</v>
      </c>
      <c r="B17" s="1" t="s">
        <v>35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">
        <f t="shared" si="0"/>
        <v>0</v>
      </c>
      <c r="P17" s="4"/>
      <c r="Q17" s="1">
        <f t="shared" si="1"/>
        <v>0</v>
      </c>
    </row>
    <row r="18" spans="1:17" x14ac:dyDescent="0.2">
      <c r="A18" s="1">
        <v>110322</v>
      </c>
      <c r="B18" s="1" t="s">
        <v>36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">
        <f t="shared" si="0"/>
        <v>0</v>
      </c>
      <c r="P18" s="4"/>
      <c r="Q18" s="1">
        <f t="shared" si="1"/>
        <v>0</v>
      </c>
    </row>
    <row r="19" spans="1:17" x14ac:dyDescent="0.2">
      <c r="A19" s="1">
        <v>100244</v>
      </c>
      <c r="B19" s="1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">
        <f t="shared" si="0"/>
        <v>0</v>
      </c>
      <c r="P19" s="4"/>
      <c r="Q19" s="1">
        <f t="shared" si="1"/>
        <v>0</v>
      </c>
    </row>
    <row r="20" spans="1:17" x14ac:dyDescent="0.2">
      <c r="A20" s="1">
        <v>110282</v>
      </c>
      <c r="B20" s="1" t="s">
        <v>39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">
        <f t="shared" si="0"/>
        <v>0</v>
      </c>
      <c r="P20" s="4"/>
      <c r="Q20" s="1">
        <f t="shared" si="1"/>
        <v>0</v>
      </c>
    </row>
    <row r="21" spans="1:17" x14ac:dyDescent="0.2">
      <c r="A21" s="1">
        <v>100309</v>
      </c>
      <c r="B21" s="1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">
        <f t="shared" si="0"/>
        <v>0</v>
      </c>
      <c r="P21" s="4"/>
      <c r="Q21" s="1">
        <f t="shared" si="1"/>
        <v>0</v>
      </c>
    </row>
    <row r="22" spans="1:17" x14ac:dyDescent="0.2">
      <c r="A22" s="1">
        <v>100352</v>
      </c>
      <c r="B22" s="1" t="s">
        <v>41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2">
        <f t="shared" si="0"/>
        <v>0</v>
      </c>
      <c r="P22" s="4"/>
      <c r="Q22" s="1">
        <f t="shared" si="1"/>
        <v>0</v>
      </c>
    </row>
    <row r="23" spans="1:17" x14ac:dyDescent="0.2">
      <c r="A23" s="1">
        <v>100036</v>
      </c>
      <c r="B23" s="1" t="s">
        <v>42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">
        <f t="shared" si="0"/>
        <v>0</v>
      </c>
      <c r="P23" s="4"/>
      <c r="Q23" s="1">
        <f t="shared" si="1"/>
        <v>0</v>
      </c>
    </row>
    <row r="24" spans="1:17" x14ac:dyDescent="0.2">
      <c r="A24" s="1">
        <v>100012</v>
      </c>
      <c r="B24" s="1" t="s">
        <v>43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">
        <f t="shared" si="0"/>
        <v>0</v>
      </c>
      <c r="P24" s="4"/>
      <c r="Q24" s="1">
        <f t="shared" si="1"/>
        <v>0</v>
      </c>
    </row>
    <row r="25" spans="1:17" x14ac:dyDescent="0.2">
      <c r="A25" s="1">
        <v>100021</v>
      </c>
      <c r="B25" s="1" t="s">
        <v>44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2">
        <f t="shared" si="0"/>
        <v>0</v>
      </c>
      <c r="P25" s="4"/>
      <c r="Q25" s="1">
        <f t="shared" si="1"/>
        <v>0</v>
      </c>
    </row>
    <row r="26" spans="1:17" x14ac:dyDescent="0.2">
      <c r="A26" s="1">
        <v>110396</v>
      </c>
      <c r="B26" s="1" t="s">
        <v>45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">
        <f t="shared" si="0"/>
        <v>0</v>
      </c>
      <c r="P26" s="4"/>
      <c r="Q26" s="1">
        <f t="shared" si="1"/>
        <v>0</v>
      </c>
    </row>
    <row r="27" spans="1:17" x14ac:dyDescent="0.2">
      <c r="A27" s="1">
        <v>100018</v>
      </c>
      <c r="B27" s="1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">
        <f t="shared" si="0"/>
        <v>0</v>
      </c>
      <c r="P27" s="4"/>
      <c r="Q27" s="1">
        <f t="shared" si="1"/>
        <v>0</v>
      </c>
    </row>
    <row r="28" spans="1:17" x14ac:dyDescent="0.2">
      <c r="A28" s="1">
        <v>100299</v>
      </c>
      <c r="B28" s="1" t="s">
        <v>47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>
        <f t="shared" si="0"/>
        <v>0</v>
      </c>
      <c r="P28" s="4"/>
      <c r="Q28" s="1">
        <f t="shared" si="1"/>
        <v>0</v>
      </c>
    </row>
    <row r="29" spans="1:17" x14ac:dyDescent="0.2">
      <c r="A29" s="1">
        <v>100101</v>
      </c>
      <c r="B29" s="1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>
        <f t="shared" si="0"/>
        <v>0</v>
      </c>
      <c r="P29" s="4"/>
      <c r="Q29" s="1">
        <f t="shared" si="1"/>
        <v>0</v>
      </c>
    </row>
    <row r="30" spans="1:17" x14ac:dyDescent="0.2">
      <c r="A30" s="1">
        <v>100117</v>
      </c>
      <c r="B30" s="1" t="s">
        <v>49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">
        <f t="shared" si="0"/>
        <v>0</v>
      </c>
      <c r="P30" s="4"/>
      <c r="Q30" s="1">
        <f t="shared" si="1"/>
        <v>0</v>
      </c>
    </row>
    <row r="31" spans="1:17" x14ac:dyDescent="0.2">
      <c r="A31" s="1">
        <v>100348</v>
      </c>
      <c r="B31" s="1" t="s">
        <v>50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2">
        <f t="shared" si="0"/>
        <v>0</v>
      </c>
      <c r="P31" s="4"/>
      <c r="Q31" s="1">
        <f t="shared" si="1"/>
        <v>0</v>
      </c>
    </row>
    <row r="32" spans="1:17" x14ac:dyDescent="0.2">
      <c r="A32" s="1">
        <v>100313</v>
      </c>
      <c r="B32" s="1" t="s">
        <v>51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">
        <f t="shared" si="0"/>
        <v>0</v>
      </c>
      <c r="P32" s="4"/>
      <c r="Q32" s="1">
        <f t="shared" si="1"/>
        <v>0</v>
      </c>
    </row>
    <row r="33" spans="1:17" x14ac:dyDescent="0.2">
      <c r="A33" s="1">
        <v>100214</v>
      </c>
      <c r="B33" s="1" t="s">
        <v>52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">
        <f t="shared" ref="O33:O64" si="2">SUM(D33:N33)</f>
        <v>0</v>
      </c>
      <c r="P33" s="4"/>
      <c r="Q33" s="1">
        <f t="shared" ref="Q33:Q64" si="3">O33-P33</f>
        <v>0</v>
      </c>
    </row>
    <row r="34" spans="1:17" x14ac:dyDescent="0.2">
      <c r="A34" s="1">
        <v>100046</v>
      </c>
      <c r="B34" s="1" t="s">
        <v>53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2">
        <f t="shared" si="2"/>
        <v>0</v>
      </c>
      <c r="P34" s="4"/>
      <c r="Q34" s="1">
        <f t="shared" si="3"/>
        <v>0</v>
      </c>
    </row>
    <row r="35" spans="1:17" x14ac:dyDescent="0.2">
      <c r="A35" s="1">
        <v>100410</v>
      </c>
      <c r="B35" s="1" t="s">
        <v>54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">
        <f t="shared" si="2"/>
        <v>0</v>
      </c>
      <c r="P35" s="4"/>
      <c r="Q35" s="1">
        <f t="shared" si="3"/>
        <v>0</v>
      </c>
    </row>
    <row r="36" spans="1:17" x14ac:dyDescent="0.2">
      <c r="A36" s="1">
        <v>110233</v>
      </c>
      <c r="B36" s="1" t="s">
        <v>55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">
        <f t="shared" si="2"/>
        <v>0</v>
      </c>
      <c r="P36" s="4"/>
      <c r="Q36" s="1">
        <f t="shared" si="3"/>
        <v>0</v>
      </c>
    </row>
    <row r="37" spans="1:17" x14ac:dyDescent="0.2">
      <c r="A37" s="1">
        <v>100442</v>
      </c>
      <c r="B37" s="1" t="s">
        <v>56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">
        <f t="shared" si="2"/>
        <v>0</v>
      </c>
      <c r="P37" s="4"/>
      <c r="Q37" s="1">
        <f t="shared" si="3"/>
        <v>0</v>
      </c>
    </row>
    <row r="38" spans="1:17" x14ac:dyDescent="0.2">
      <c r="A38" s="1">
        <v>100277</v>
      </c>
      <c r="B38" s="1" t="s">
        <v>57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">
        <f t="shared" si="2"/>
        <v>0</v>
      </c>
      <c r="P38" s="4"/>
      <c r="Q38" s="1">
        <f t="shared" si="3"/>
        <v>0</v>
      </c>
    </row>
    <row r="39" spans="1:17" x14ac:dyDescent="0.2">
      <c r="A39" s="1">
        <v>110393</v>
      </c>
      <c r="B39" s="1" t="s">
        <v>58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>
        <f t="shared" si="2"/>
        <v>0</v>
      </c>
      <c r="P39" s="4"/>
      <c r="Q39" s="1">
        <f t="shared" si="3"/>
        <v>0</v>
      </c>
    </row>
    <row r="40" spans="1:17" x14ac:dyDescent="0.2">
      <c r="A40" s="1">
        <v>100241</v>
      </c>
      <c r="B40" s="1" t="s">
        <v>59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">
        <f t="shared" si="2"/>
        <v>0</v>
      </c>
      <c r="P40" s="4"/>
      <c r="Q40" s="1">
        <f t="shared" si="3"/>
        <v>0</v>
      </c>
    </row>
    <row r="41" spans="1:17" x14ac:dyDescent="0.2">
      <c r="A41" s="1">
        <v>110234</v>
      </c>
      <c r="B41" s="1" t="s">
        <v>60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2">
        <f t="shared" si="2"/>
        <v>0</v>
      </c>
      <c r="P41" s="4"/>
      <c r="Q41" s="1">
        <f t="shared" si="3"/>
        <v>0</v>
      </c>
    </row>
    <row r="42" spans="1:17" x14ac:dyDescent="0.2">
      <c r="A42" s="1">
        <v>110236</v>
      </c>
      <c r="B42" s="1" t="s">
        <v>61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2">
        <f t="shared" si="2"/>
        <v>0</v>
      </c>
      <c r="P42" s="4"/>
      <c r="Q42" s="1">
        <f t="shared" si="3"/>
        <v>0</v>
      </c>
    </row>
    <row r="43" spans="1:17" x14ac:dyDescent="0.2">
      <c r="A43" s="1">
        <v>100396</v>
      </c>
      <c r="B43" s="1" t="s">
        <v>62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">
        <f t="shared" si="2"/>
        <v>0</v>
      </c>
      <c r="P43" s="4"/>
      <c r="Q43" s="1">
        <f t="shared" si="3"/>
        <v>0</v>
      </c>
    </row>
    <row r="44" spans="1:17" x14ac:dyDescent="0.2">
      <c r="A44" s="1">
        <v>110237</v>
      </c>
      <c r="B44" s="1" t="s">
        <v>63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">
        <f t="shared" si="2"/>
        <v>0</v>
      </c>
      <c r="P44" s="4"/>
      <c r="Q44" s="1">
        <f t="shared" si="3"/>
        <v>0</v>
      </c>
    </row>
    <row r="45" spans="1:17" x14ac:dyDescent="0.2">
      <c r="A45" s="1">
        <v>110239</v>
      </c>
      <c r="B45" s="1" t="s">
        <v>64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2">
        <f t="shared" si="2"/>
        <v>0</v>
      </c>
      <c r="P45" s="4"/>
      <c r="Q45" s="1">
        <f t="shared" si="3"/>
        <v>0</v>
      </c>
    </row>
    <row r="46" spans="1:17" x14ac:dyDescent="0.2">
      <c r="A46" s="1">
        <v>100350</v>
      </c>
      <c r="B46" s="1" t="s">
        <v>65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>
        <f t="shared" si="2"/>
        <v>0</v>
      </c>
      <c r="P46" s="4"/>
      <c r="Q46" s="1">
        <f t="shared" si="3"/>
        <v>0</v>
      </c>
    </row>
    <row r="47" spans="1:17" x14ac:dyDescent="0.2">
      <c r="A47" s="1">
        <v>100184</v>
      </c>
      <c r="B47" s="1" t="s">
        <v>66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">
        <f t="shared" si="2"/>
        <v>0</v>
      </c>
      <c r="P47" s="4"/>
      <c r="Q47" s="1">
        <f t="shared" si="3"/>
        <v>0</v>
      </c>
    </row>
    <row r="48" spans="1:17" x14ac:dyDescent="0.2">
      <c r="A48" s="1">
        <v>110296</v>
      </c>
      <c r="B48" s="1" t="s">
        <v>67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2">
        <f t="shared" si="2"/>
        <v>0</v>
      </c>
      <c r="P48" s="4"/>
      <c r="Q48" s="1">
        <f t="shared" si="3"/>
        <v>0</v>
      </c>
    </row>
    <row r="49" spans="1:17" x14ac:dyDescent="0.2">
      <c r="A49" s="1">
        <v>100173</v>
      </c>
      <c r="B49" s="1" t="s">
        <v>68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">
        <f t="shared" si="2"/>
        <v>0</v>
      </c>
      <c r="P49" s="4"/>
      <c r="Q49" s="1">
        <f t="shared" si="3"/>
        <v>0</v>
      </c>
    </row>
    <row r="50" spans="1:17" x14ac:dyDescent="0.2">
      <c r="A50" s="1">
        <v>100357</v>
      </c>
      <c r="B50" s="1" t="s">
        <v>69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">
        <f t="shared" si="2"/>
        <v>0</v>
      </c>
      <c r="P50" s="4"/>
      <c r="Q50" s="1">
        <f t="shared" si="3"/>
        <v>0</v>
      </c>
    </row>
    <row r="51" spans="1:17" x14ac:dyDescent="0.2">
      <c r="A51" s="1">
        <v>100358</v>
      </c>
      <c r="B51" s="1" t="s">
        <v>70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2">
        <f t="shared" si="2"/>
        <v>0</v>
      </c>
      <c r="P51" s="4"/>
      <c r="Q51" s="1">
        <f t="shared" si="3"/>
        <v>0</v>
      </c>
    </row>
    <row r="52" spans="1:17" x14ac:dyDescent="0.2">
      <c r="A52" s="1">
        <v>100356</v>
      </c>
      <c r="B52" s="1" t="s">
        <v>71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">
        <f t="shared" si="2"/>
        <v>0</v>
      </c>
      <c r="P52" s="4"/>
      <c r="Q52" s="1">
        <f t="shared" si="3"/>
        <v>0</v>
      </c>
    </row>
    <row r="53" spans="1:17" x14ac:dyDescent="0.2">
      <c r="A53" s="1">
        <v>100293</v>
      </c>
      <c r="B53" s="1" t="s">
        <v>72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2">
        <f t="shared" si="2"/>
        <v>0</v>
      </c>
      <c r="P53" s="4"/>
      <c r="Q53" s="1">
        <f t="shared" si="3"/>
        <v>0</v>
      </c>
    </row>
    <row r="54" spans="1:17" x14ac:dyDescent="0.2">
      <c r="A54" s="1">
        <v>100500</v>
      </c>
      <c r="B54" s="1" t="s">
        <v>73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>
        <f t="shared" si="2"/>
        <v>0</v>
      </c>
      <c r="P54" s="4"/>
      <c r="Q54" s="1">
        <f t="shared" si="3"/>
        <v>0</v>
      </c>
    </row>
    <row r="55" spans="1:17" x14ac:dyDescent="0.2">
      <c r="A55" s="1">
        <v>110177</v>
      </c>
      <c r="B55" s="1" t="s">
        <v>74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">
        <f t="shared" si="2"/>
        <v>0</v>
      </c>
      <c r="P55" s="4"/>
      <c r="Q55" s="1">
        <f t="shared" si="3"/>
        <v>0</v>
      </c>
    </row>
    <row r="56" spans="1:17" x14ac:dyDescent="0.2">
      <c r="A56" s="1">
        <v>110392</v>
      </c>
      <c r="B56" s="1" t="s">
        <v>75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">
        <f t="shared" si="2"/>
        <v>0</v>
      </c>
      <c r="P56" s="4"/>
      <c r="Q56" s="1">
        <f t="shared" si="3"/>
        <v>0</v>
      </c>
    </row>
    <row r="57" spans="1:17" x14ac:dyDescent="0.2">
      <c r="A57" s="1">
        <v>100253</v>
      </c>
      <c r="B57" s="1" t="s">
        <v>76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">
        <f t="shared" si="2"/>
        <v>0</v>
      </c>
      <c r="P57" s="4"/>
      <c r="Q57" s="1">
        <f t="shared" si="3"/>
        <v>0</v>
      </c>
    </row>
    <row r="58" spans="1:17" x14ac:dyDescent="0.2">
      <c r="A58" s="1">
        <v>100256</v>
      </c>
      <c r="B58" s="1" t="s">
        <v>77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">
        <f t="shared" si="2"/>
        <v>0</v>
      </c>
      <c r="P58" s="4"/>
      <c r="Q58" s="1">
        <f t="shared" si="3"/>
        <v>0</v>
      </c>
    </row>
    <row r="59" spans="1:17" x14ac:dyDescent="0.2">
      <c r="A59" s="1">
        <v>100254</v>
      </c>
      <c r="B59" s="1" t="s">
        <v>78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2">
        <f t="shared" si="2"/>
        <v>0</v>
      </c>
      <c r="P59" s="4"/>
      <c r="Q59" s="1">
        <f t="shared" si="3"/>
        <v>0</v>
      </c>
    </row>
    <row r="60" spans="1:17" x14ac:dyDescent="0.2">
      <c r="A60" s="1">
        <v>100353</v>
      </c>
      <c r="B60" s="1" t="s">
        <v>79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">
        <f t="shared" si="2"/>
        <v>0</v>
      </c>
      <c r="P60" s="4"/>
      <c r="Q60" s="1">
        <f t="shared" si="3"/>
        <v>0</v>
      </c>
    </row>
    <row r="61" spans="1:17" x14ac:dyDescent="0.2">
      <c r="A61" s="1">
        <v>110185</v>
      </c>
      <c r="B61" s="1" t="s">
        <v>80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>
        <f t="shared" si="2"/>
        <v>0</v>
      </c>
      <c r="P61" s="4"/>
      <c r="Q61" s="1">
        <f t="shared" si="3"/>
        <v>0</v>
      </c>
    </row>
    <row r="62" spans="1:17" x14ac:dyDescent="0.2">
      <c r="A62" s="1">
        <v>110189</v>
      </c>
      <c r="B62" s="1" t="s">
        <v>81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">
        <f t="shared" si="2"/>
        <v>0</v>
      </c>
      <c r="P62" s="4"/>
      <c r="Q62" s="1">
        <f t="shared" si="3"/>
        <v>0</v>
      </c>
    </row>
    <row r="63" spans="1:17" x14ac:dyDescent="0.2">
      <c r="A63" s="1">
        <v>110186</v>
      </c>
      <c r="B63" s="1" t="s">
        <v>82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">
        <f t="shared" si="2"/>
        <v>0</v>
      </c>
      <c r="P63" s="4"/>
      <c r="Q63" s="1">
        <f t="shared" si="3"/>
        <v>0</v>
      </c>
    </row>
    <row r="64" spans="1:17" x14ac:dyDescent="0.2">
      <c r="A64" s="1">
        <v>110187</v>
      </c>
      <c r="B64" s="1" t="s">
        <v>83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">
        <f t="shared" si="2"/>
        <v>0</v>
      </c>
      <c r="P64" s="4"/>
      <c r="Q64" s="1">
        <f t="shared" si="3"/>
        <v>0</v>
      </c>
    </row>
    <row r="65" spans="1:17" x14ac:dyDescent="0.2">
      <c r="A65" s="1">
        <v>110394</v>
      </c>
      <c r="B65" s="1" t="s">
        <v>84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">
        <f t="shared" ref="O65:O72" si="4">SUM(D65:N65)</f>
        <v>0</v>
      </c>
      <c r="P65" s="4"/>
      <c r="Q65" s="1">
        <f t="shared" ref="Q65:Q72" si="5">O65-P65</f>
        <v>0</v>
      </c>
    </row>
    <row r="66" spans="1:17" x14ac:dyDescent="0.2">
      <c r="A66" s="1">
        <v>100121</v>
      </c>
      <c r="B66" s="1" t="s">
        <v>85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">
        <f t="shared" si="4"/>
        <v>0</v>
      </c>
      <c r="P66" s="4"/>
      <c r="Q66" s="1">
        <f t="shared" si="5"/>
        <v>0</v>
      </c>
    </row>
    <row r="67" spans="1:17" x14ac:dyDescent="0.2">
      <c r="A67" s="1">
        <v>100126</v>
      </c>
      <c r="B67" s="1" t="s">
        <v>86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">
        <f t="shared" si="4"/>
        <v>0</v>
      </c>
      <c r="P67" s="4"/>
      <c r="Q67" s="1">
        <f t="shared" si="5"/>
        <v>0</v>
      </c>
    </row>
    <row r="68" spans="1:17" x14ac:dyDescent="0.2">
      <c r="A68" s="1">
        <v>100125</v>
      </c>
      <c r="B68" s="1" t="s">
        <v>87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">
        <f t="shared" si="4"/>
        <v>0</v>
      </c>
      <c r="P68" s="4"/>
      <c r="Q68" s="1">
        <f t="shared" si="5"/>
        <v>0</v>
      </c>
    </row>
    <row r="69" spans="1:17" x14ac:dyDescent="0.2">
      <c r="A69" s="1">
        <v>100119</v>
      </c>
      <c r="B69" s="1" t="s">
        <v>88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>
        <f t="shared" si="4"/>
        <v>0</v>
      </c>
      <c r="P69" s="4"/>
      <c r="Q69" s="1">
        <f t="shared" si="5"/>
        <v>0</v>
      </c>
    </row>
    <row r="70" spans="1:17" x14ac:dyDescent="0.2">
      <c r="A70" s="1">
        <v>100919</v>
      </c>
      <c r="B70" s="1" t="s">
        <v>89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">
        <f t="shared" si="4"/>
        <v>0</v>
      </c>
      <c r="P70" s="4"/>
      <c r="Q70" s="1">
        <f t="shared" si="5"/>
        <v>0</v>
      </c>
    </row>
    <row r="71" spans="1:17" x14ac:dyDescent="0.2">
      <c r="A71" s="1">
        <v>100434</v>
      </c>
      <c r="B71" s="1" t="s">
        <v>90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">
        <f t="shared" si="4"/>
        <v>0</v>
      </c>
      <c r="P71" s="4"/>
      <c r="Q71" s="1">
        <f t="shared" si="5"/>
        <v>0</v>
      </c>
    </row>
    <row r="72" spans="1:17" x14ac:dyDescent="0.2">
      <c r="A72" s="1">
        <v>100427</v>
      </c>
      <c r="B72" s="1" t="s">
        <v>91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">
        <f t="shared" si="4"/>
        <v>0</v>
      </c>
      <c r="P72" s="4"/>
      <c r="Q72" s="1">
        <f t="shared" si="5"/>
        <v>0</v>
      </c>
    </row>
    <row r="73" spans="1:17" ht="38.25" x14ac:dyDescent="0.2">
      <c r="A73" s="7" t="s">
        <v>6</v>
      </c>
      <c r="B73" s="8" t="s">
        <v>20</v>
      </c>
      <c r="C73" s="5" t="s">
        <v>18</v>
      </c>
      <c r="D73" s="3" t="s">
        <v>7</v>
      </c>
      <c r="E73" s="3" t="s">
        <v>8</v>
      </c>
      <c r="F73" s="3" t="s">
        <v>9</v>
      </c>
      <c r="G73" s="3" t="s">
        <v>10</v>
      </c>
      <c r="H73" s="3" t="s">
        <v>11</v>
      </c>
      <c r="I73" s="3" t="s">
        <v>12</v>
      </c>
      <c r="J73" s="3" t="s">
        <v>13</v>
      </c>
      <c r="K73" s="3" t="s">
        <v>14</v>
      </c>
      <c r="L73" s="3" t="s">
        <v>15</v>
      </c>
      <c r="M73" s="3" t="s">
        <v>5</v>
      </c>
      <c r="N73" s="3" t="s">
        <v>4</v>
      </c>
      <c r="O73" s="5" t="s">
        <v>3</v>
      </c>
      <c r="P73" s="5" t="s">
        <v>16</v>
      </c>
      <c r="Q73" s="3" t="s">
        <v>17</v>
      </c>
    </row>
    <row r="74" spans="1:17" x14ac:dyDescent="0.2">
      <c r="A74" s="1">
        <v>100154</v>
      </c>
      <c r="B74" s="1" t="s">
        <v>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">
        <f>SUM(D74:N74)</f>
        <v>0</v>
      </c>
      <c r="P74" s="4">
        <v>100</v>
      </c>
      <c r="Q74" s="1">
        <f>O74-P74</f>
        <v>-100</v>
      </c>
    </row>
    <row r="75" spans="1:17" x14ac:dyDescent="0.2">
      <c r="A75" s="1">
        <v>100158</v>
      </c>
      <c r="B75" s="1" t="s">
        <v>1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">
        <f>SUM(D75:N75)</f>
        <v>0</v>
      </c>
      <c r="P75" s="4"/>
      <c r="Q75" s="1">
        <f>O75-P75</f>
        <v>0</v>
      </c>
    </row>
    <row r="76" spans="1:17" x14ac:dyDescent="0.2">
      <c r="A76" s="1">
        <v>100193</v>
      </c>
      <c r="B76" s="1" t="s">
        <v>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">
        <f>SUM(D76:N76)</f>
        <v>0</v>
      </c>
      <c r="P76" s="4"/>
      <c r="Q76" s="1">
        <f>O76-P76</f>
        <v>0</v>
      </c>
    </row>
    <row r="77" spans="1:17" hidden="1" x14ac:dyDescent="0.2">
      <c r="A77" t="s">
        <v>92</v>
      </c>
    </row>
  </sheetData>
  <dataValidations disablePrompts="1" count="26">
    <dataValidation allowBlank="1" showInputMessage="1" showErrorMessage="1" prompt="From the Customer Order Summary Screen, enter total number of pounds of raw commodity ordered by Food Distribution" sqref="C74:C76"/>
    <dataValidation allowBlank="1" showInputMessage="1" showErrorMessage="1" prompt="Enter total number of cases delivered by your distributor during August" sqref="D2:D72"/>
    <dataValidation allowBlank="1" showInputMessage="1" showErrorMessage="1" prompt="Enter total number of cases delivered by your distributor during September" sqref="E2:E72"/>
    <dataValidation allowBlank="1" showInputMessage="1" showErrorMessage="1" prompt="Enter total number of cases delivered by your distributor during October" sqref="F2:F72"/>
    <dataValidation allowBlank="1" showInputMessage="1" showErrorMessage="1" prompt="Enter total number of cases delivered by your distributor during November" sqref="G2:G72"/>
    <dataValidation allowBlank="1" showInputMessage="1" showErrorMessage="1" prompt="Enter total number of cases delivered by your distributor during December" sqref="H2:H72"/>
    <dataValidation allowBlank="1" showInputMessage="1" showErrorMessage="1" prompt="Enter total number of cases delivered by your distributor during January" sqref="I2:I72"/>
    <dataValidation allowBlank="1" showInputMessage="1" showErrorMessage="1" prompt="Enter total number of cases delivered by your distributor during February" sqref="J2:J72"/>
    <dataValidation allowBlank="1" showInputMessage="1" showErrorMessage="1" prompt="Enter total number of cases delivered by your distributor during March" sqref="K2:K72"/>
    <dataValidation allowBlank="1" showInputMessage="1" showErrorMessage="1" prompt="Enter total number of cases delivered by your distributor during April" sqref="L2:L72"/>
    <dataValidation allowBlank="1" showInputMessage="1" showErrorMessage="1" prompt="Enter total number of cases delivered by your distributor during May" sqref="M2:M72"/>
    <dataValidation allowBlank="1" showInputMessage="1" showErrorMessage="1" prompt="Enter total number of cases delivered by your distributor during June" sqref="N2:N72"/>
    <dataValidation allowBlank="1" showInputMessage="1" showErrorMessage="1" prompt="From the Customer Order Summary Screen, enter total number of cases received by state contracted warehouse " sqref="P2:P72"/>
    <dataValidation allowBlank="1" showInputMessage="1" showErrorMessage="1" prompt="From the Customer Order Summary Screen, enter total number of cases ordered by Food Distribution" sqref="C2:C72"/>
    <dataValidation allowBlank="1" showInputMessage="1" showErrorMessage="1" prompt="Enter total number of pounds of raw commodity delivered by your distributor during August" sqref="D74:D76"/>
    <dataValidation allowBlank="1" showInputMessage="1" showErrorMessage="1" prompt="Enter total number of pounds of raw commodity delivered by your distributor during September" sqref="E74:E76"/>
    <dataValidation allowBlank="1" showInputMessage="1" showErrorMessage="1" prompt="Enter total number of pounds of raw commodity delivered by your distributor during October" sqref="F74:F76"/>
    <dataValidation allowBlank="1" showInputMessage="1" showErrorMessage="1" prompt="Enter total number of pounds of raw commodity delivered by your distributor during November" sqref="G74:G76"/>
    <dataValidation allowBlank="1" showInputMessage="1" showErrorMessage="1" prompt="Enter total number of pounds of raw commodity delivered by your distributor during December" sqref="H74:H76"/>
    <dataValidation allowBlank="1" showInputMessage="1" showErrorMessage="1" prompt="Enter total number of pounds of raw commodity delivered by your distributor during January" sqref="I74:I76"/>
    <dataValidation allowBlank="1" showInputMessage="1" showErrorMessage="1" prompt="Enter total number of pounds of raw commodity delivered by your distributor during February" sqref="J74:J76"/>
    <dataValidation allowBlank="1" showInputMessage="1" showErrorMessage="1" prompt="Enter total number of pounds of raw commodity delivered by your distributor during March" sqref="K74:K76"/>
    <dataValidation allowBlank="1" showInputMessage="1" showErrorMessage="1" prompt="Enter total number of pounds of raw commodity delivered by your distributor during April" sqref="L74:L76"/>
    <dataValidation allowBlank="1" showInputMessage="1" showErrorMessage="1" prompt="Enter total number of pounds of raw commodity delivered by your distributor during May" sqref="M74:M76"/>
    <dataValidation allowBlank="1" showInputMessage="1" showErrorMessage="1" prompt="Enter total number of pounds of raw commodity delivered by your distributor during June" sqref="N74:N76"/>
    <dataValidation allowBlank="1" showInputMessage="1" showErrorMessage="1" prompt="From the Customer Order Summary Screen, enter total number of pounds of raw commodity received by selected processor" sqref="P74:P76"/>
  </dataValidations>
  <pageMargins left="0.25" right="0.25" top="0.75" bottom="0.75" header="0.3" footer="0.3"/>
  <pageSetup scale="46" fitToHeight="0" orientation="landscape" r:id="rId1"/>
  <headerFooter>
    <oddHeader>&amp;L&amp;G&amp;C&amp;"Arial,Bold"&amp;12Regular USDA Foods Tracking Form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USDA Foods</vt:lpstr>
      <vt:lpstr>'USDA Foods'!Print_Area</vt:lpstr>
      <vt:lpstr>'USDA Foods'!Print_Titles</vt:lpstr>
      <vt:lpstr>TitleRegion1.a1.q72.1</vt:lpstr>
      <vt:lpstr>TitleRegion2.a73.q76.1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Rank, Tony</dc:creator>
  <cp:lastModifiedBy>Stiehl, Jacqueline</cp:lastModifiedBy>
  <cp:lastPrinted>2013-09-24T16:19:09Z</cp:lastPrinted>
  <dcterms:created xsi:type="dcterms:W3CDTF">2013-09-12T19:23:33Z</dcterms:created>
  <dcterms:modified xsi:type="dcterms:W3CDTF">2014-09-12T11:14:36Z</dcterms:modified>
</cp:coreProperties>
</file>