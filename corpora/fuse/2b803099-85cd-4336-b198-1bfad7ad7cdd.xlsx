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035" windowHeight="8445"/>
  </bookViews>
  <sheets>
    <sheet name="Master Ticket Control Log" sheetId="1" r:id="rId1"/>
    <sheet name="Individual Recon" sheetId="4" r:id="rId2"/>
    <sheet name="Raffle Recon Worksheet" sheetId="5" r:id="rId3"/>
  </sheets>
  <definedNames>
    <definedName name="_xlnm.Print_Titles" localSheetId="0">'Master Ticket Control Log'!$2:$12</definedName>
  </definedNames>
  <calcPr calcId="125725" fullCalcOnLoad="1"/>
</workbook>
</file>

<file path=xl/calcChain.xml><?xml version="1.0" encoding="utf-8"?>
<calcChain xmlns="http://schemas.openxmlformats.org/spreadsheetml/2006/main">
  <c r="D20" i="4"/>
  <c r="D17"/>
  <c r="D22" i="5"/>
  <c r="D21"/>
  <c r="D23"/>
  <c r="D14" i="4"/>
  <c r="D14" i="5"/>
  <c r="D17"/>
  <c r="D24" i="4"/>
  <c r="D21"/>
  <c r="D23"/>
  <c r="D24" i="5"/>
  <c r="D25" i="4"/>
</calcChain>
</file>

<file path=xl/comments1.xml><?xml version="1.0" encoding="utf-8"?>
<comments xmlns="http://schemas.openxmlformats.org/spreadsheetml/2006/main">
  <authors>
    <author>ltabler</author>
  </authors>
  <commentList>
    <comment ref="B5" authorId="0">
      <text>
        <r>
          <rPr>
            <b/>
            <sz val="8"/>
            <color indexed="81"/>
            <rFont val="Tahoma"/>
            <family val="2"/>
          </rPr>
          <t>ltabler:</t>
        </r>
        <r>
          <rPr>
            <sz val="8"/>
            <color indexed="81"/>
            <rFont val="Tahoma"/>
            <family val="2"/>
          </rPr>
          <t xml:space="preserve">
The name of the individual who signed for and sold tickets.</t>
        </r>
      </text>
    </comment>
    <comment ref="B6" authorId="0">
      <text>
        <r>
          <rPr>
            <b/>
            <sz val="8"/>
            <color indexed="81"/>
            <rFont val="Tahoma"/>
            <family val="2"/>
          </rPr>
          <t>ltabler:</t>
        </r>
        <r>
          <rPr>
            <sz val="8"/>
            <color indexed="81"/>
            <rFont val="Tahoma"/>
            <family val="2"/>
          </rPr>
          <t xml:space="preserve">
This should be performed by the raffle organizer</t>
        </r>
      </text>
    </comment>
    <comment ref="B7" authorId="0">
      <text>
        <r>
          <rPr>
            <b/>
            <sz val="8"/>
            <color indexed="81"/>
            <rFont val="Tahoma"/>
            <family val="2"/>
          </rPr>
          <t>ltabler:</t>
        </r>
        <r>
          <rPr>
            <sz val="8"/>
            <color indexed="81"/>
            <rFont val="Tahoma"/>
            <family val="2"/>
          </rPr>
          <t xml:space="preserve">
This should be the date the reconciliation was performed (prior to the raffle prize drawing)</t>
        </r>
      </text>
    </comment>
    <comment ref="C12" authorId="0">
      <text>
        <r>
          <rPr>
            <b/>
            <sz val="8"/>
            <color indexed="81"/>
            <rFont val="Tahoma"/>
            <family val="2"/>
          </rPr>
          <t>ltabler:</t>
        </r>
        <r>
          <rPr>
            <sz val="8"/>
            <color indexed="81"/>
            <rFont val="Tahoma"/>
            <family val="2"/>
          </rPr>
          <t xml:space="preserve">
Insert the beginning number of the raffle tickets issued to the individual here. The Master Ticket List will have this number for you.</t>
        </r>
      </text>
    </comment>
    <comment ref="C13" authorId="0">
      <text>
        <r>
          <rPr>
            <b/>
            <sz val="8"/>
            <color indexed="81"/>
            <rFont val="Tahoma"/>
            <family val="2"/>
          </rPr>
          <t>ltabler:</t>
        </r>
        <r>
          <rPr>
            <sz val="8"/>
            <color indexed="81"/>
            <rFont val="Tahoma"/>
            <family val="2"/>
          </rPr>
          <t xml:space="preserve">
Insert the NEXT available ticket number the indiviudal could sell here. 
For example:
If the individual was issued tickets 1 - 10, and sold all 10, enter 11. Even though the individual wasn't issued ticket 11 to sell, it is the next available ticket to be sold.
If the individual was issued tickets 1 - 10, but only sold tickets 1 - 7, enter 8.
</t>
        </r>
      </text>
    </comment>
    <comment ref="C15" authorId="0">
      <text>
        <r>
          <rPr>
            <b/>
            <sz val="8"/>
            <color indexed="81"/>
            <rFont val="Tahoma"/>
            <family val="2"/>
          </rPr>
          <t>ltabler:</t>
        </r>
        <r>
          <rPr>
            <sz val="8"/>
            <color indexed="81"/>
            <rFont val="Tahoma"/>
            <family val="2"/>
          </rPr>
          <t xml:space="preserve">
Insert the beginning number of the raffle tickets turned in by the individual here. These will be tickets the individual was unable to sell.</t>
        </r>
      </text>
    </comment>
    <comment ref="C16" authorId="0">
      <text>
        <r>
          <rPr>
            <b/>
            <sz val="8"/>
            <color indexed="81"/>
            <rFont val="Tahoma"/>
            <family val="2"/>
          </rPr>
          <t>ltabler:</t>
        </r>
        <r>
          <rPr>
            <sz val="8"/>
            <color indexed="81"/>
            <rFont val="Tahoma"/>
            <family val="2"/>
          </rPr>
          <t xml:space="preserve">
Insert the NEXT available ticket number the indiviudal turned in here. 
For example:
If the individual was issued tickets 1 - 100, and sold all  but 98, 99, and 100, enter 100. 
</t>
        </r>
      </text>
    </comment>
    <comment ref="C18" authorId="0">
      <text>
        <r>
          <rPr>
            <b/>
            <sz val="8"/>
            <color indexed="81"/>
            <rFont val="Tahoma"/>
            <charset val="1"/>
          </rPr>
          <t>ltabler:</t>
        </r>
        <r>
          <rPr>
            <sz val="8"/>
            <color indexed="81"/>
            <rFont val="Tahoma"/>
            <charset val="1"/>
          </rPr>
          <t xml:space="preserve">
Insert the beginning number of the raffle tickets lost by the individual here</t>
        </r>
      </text>
    </comment>
    <comment ref="C19" authorId="0">
      <text>
        <r>
          <rPr>
            <b/>
            <sz val="8"/>
            <color indexed="81"/>
            <rFont val="Tahoma"/>
            <charset val="1"/>
          </rPr>
          <t>ltabler:</t>
        </r>
        <r>
          <rPr>
            <sz val="8"/>
            <color indexed="81"/>
            <rFont val="Tahoma"/>
            <charset val="1"/>
          </rPr>
          <t xml:space="preserve">
Insert the LAST ticket number the indiviudal lost here. 
For example:
If the individual was issued tickets 1 - 100, but lost 50, 51, and 52 enter 52.
</t>
        </r>
      </text>
    </comment>
    <comment ref="D21" authorId="0">
      <text>
        <r>
          <rPr>
            <b/>
            <sz val="8"/>
            <color indexed="81"/>
            <rFont val="Tahoma"/>
            <family val="2"/>
          </rPr>
          <t>ltabler:</t>
        </r>
        <r>
          <rPr>
            <sz val="8"/>
            <color indexed="81"/>
            <rFont val="Tahoma"/>
            <family val="2"/>
          </rPr>
          <t xml:space="preserve">
Total number of raffle tickets sold</t>
        </r>
      </text>
    </comment>
    <comment ref="C22" authorId="0">
      <text>
        <r>
          <rPr>
            <b/>
            <sz val="8"/>
            <color indexed="81"/>
            <rFont val="Tahoma"/>
            <family val="2"/>
          </rPr>
          <t>ltabler:</t>
        </r>
        <r>
          <rPr>
            <sz val="8"/>
            <color indexed="81"/>
            <rFont val="Tahoma"/>
            <family val="2"/>
          </rPr>
          <t xml:space="preserve">
Insert the amount paid per ticket here</t>
        </r>
      </text>
    </comment>
    <comment ref="D23" authorId="0">
      <text>
        <r>
          <rPr>
            <b/>
            <sz val="8"/>
            <color indexed="81"/>
            <rFont val="Tahoma"/>
            <family val="2"/>
          </rPr>
          <t>ltabler:</t>
        </r>
        <r>
          <rPr>
            <sz val="8"/>
            <color indexed="81"/>
            <rFont val="Tahoma"/>
            <family val="2"/>
          </rPr>
          <t xml:space="preserve">
The total amount made through the sale of raffle tickets
</t>
        </r>
      </text>
    </comment>
    <comment ref="D25" authorId="0">
      <text>
        <r>
          <rPr>
            <b/>
            <sz val="8"/>
            <color indexed="81"/>
            <rFont val="Tahoma"/>
            <charset val="1"/>
          </rPr>
          <t>ltabler:</t>
        </r>
        <r>
          <rPr>
            <sz val="8"/>
            <color indexed="81"/>
            <rFont val="Tahoma"/>
            <charset val="1"/>
          </rPr>
          <t xml:space="preserve">
If there is a variance, the amount that appears here will be the amount owed by the individual responsible for the tickets (as per the Ticket Sale Agreement).</t>
        </r>
      </text>
    </comment>
  </commentList>
</comments>
</file>

<file path=xl/comments2.xml><?xml version="1.0" encoding="utf-8"?>
<comments xmlns="http://schemas.openxmlformats.org/spreadsheetml/2006/main">
  <authors>
    <author>ltabler</author>
  </authors>
  <commentList>
    <comment ref="B4" authorId="0">
      <text>
        <r>
          <rPr>
            <b/>
            <sz val="8"/>
            <color indexed="81"/>
            <rFont val="Tahoma"/>
            <family val="2"/>
          </rPr>
          <t>ltabler:</t>
        </r>
        <r>
          <rPr>
            <sz val="8"/>
            <color indexed="81"/>
            <rFont val="Tahoma"/>
            <family val="2"/>
          </rPr>
          <t xml:space="preserve">
This should be performed by the raffle organizer</t>
        </r>
      </text>
    </comment>
    <comment ref="B5" authorId="0">
      <text>
        <r>
          <rPr>
            <b/>
            <sz val="8"/>
            <color indexed="81"/>
            <rFont val="Tahoma"/>
            <family val="2"/>
          </rPr>
          <t>ltabler:</t>
        </r>
        <r>
          <rPr>
            <sz val="8"/>
            <color indexed="81"/>
            <rFont val="Tahoma"/>
            <family val="2"/>
          </rPr>
          <t xml:space="preserve">
This should be the date the reconciliation was performed (prior to the raffle prize drawing)</t>
        </r>
      </text>
    </comment>
    <comment ref="C12" authorId="0">
      <text>
        <r>
          <rPr>
            <b/>
            <sz val="8"/>
            <color indexed="81"/>
            <rFont val="Tahoma"/>
            <family val="2"/>
          </rPr>
          <t>ltabler:</t>
        </r>
        <r>
          <rPr>
            <sz val="8"/>
            <color indexed="81"/>
            <rFont val="Tahoma"/>
            <family val="2"/>
          </rPr>
          <t xml:space="preserve">
Insert the beginning number of the raffle tickets here</t>
        </r>
      </text>
    </comment>
    <comment ref="C13" authorId="0">
      <text>
        <r>
          <rPr>
            <b/>
            <sz val="8"/>
            <color indexed="81"/>
            <rFont val="Tahoma"/>
            <family val="2"/>
          </rPr>
          <t>ltabler:</t>
        </r>
        <r>
          <rPr>
            <sz val="8"/>
            <color indexed="81"/>
            <rFont val="Tahoma"/>
            <family val="2"/>
          </rPr>
          <t xml:space="preserve">
Insert the next available raffle ticket number to be sold here</t>
        </r>
      </text>
    </comment>
    <comment ref="D14" authorId="0">
      <text>
        <r>
          <rPr>
            <b/>
            <sz val="8"/>
            <color indexed="81"/>
            <rFont val="Tahoma"/>
            <family val="2"/>
          </rPr>
          <t>ltabler:</t>
        </r>
        <r>
          <rPr>
            <sz val="8"/>
            <color indexed="81"/>
            <rFont val="Tahoma"/>
            <family val="2"/>
          </rPr>
          <t xml:space="preserve">
Total number of raffle tickets sold</t>
        </r>
      </text>
    </comment>
    <comment ref="C16" authorId="0">
      <text>
        <r>
          <rPr>
            <b/>
            <sz val="8"/>
            <color indexed="81"/>
            <rFont val="Tahoma"/>
            <family val="2"/>
          </rPr>
          <t>ltabler:</t>
        </r>
        <r>
          <rPr>
            <sz val="8"/>
            <color indexed="81"/>
            <rFont val="Tahoma"/>
            <family val="2"/>
          </rPr>
          <t xml:space="preserve">
Insert the amount paid per ticket here</t>
        </r>
      </text>
    </comment>
    <comment ref="D17" authorId="0">
      <text>
        <r>
          <rPr>
            <b/>
            <sz val="8"/>
            <color indexed="81"/>
            <rFont val="Tahoma"/>
            <family val="2"/>
          </rPr>
          <t>ltabler:</t>
        </r>
        <r>
          <rPr>
            <sz val="8"/>
            <color indexed="81"/>
            <rFont val="Tahoma"/>
            <family val="2"/>
          </rPr>
          <t xml:space="preserve">
The total amount made through the sale of raffle tickets
</t>
        </r>
      </text>
    </comment>
    <comment ref="C19" authorId="0">
      <text>
        <r>
          <rPr>
            <b/>
            <sz val="8"/>
            <color indexed="81"/>
            <rFont val="Tahoma"/>
            <family val="2"/>
          </rPr>
          <t>ltabler:</t>
        </r>
        <r>
          <rPr>
            <sz val="8"/>
            <color indexed="81"/>
            <rFont val="Tahoma"/>
            <family val="2"/>
          </rPr>
          <t xml:space="preserve">
This should be the amount in cash to be taken to the Cashier's Office in Lee Hall</t>
        </r>
      </text>
    </comment>
    <comment ref="C20" authorId="0">
      <text>
        <r>
          <rPr>
            <b/>
            <sz val="8"/>
            <color indexed="81"/>
            <rFont val="Tahoma"/>
            <family val="2"/>
          </rPr>
          <t>ltabler:</t>
        </r>
        <r>
          <rPr>
            <sz val="8"/>
            <color indexed="81"/>
            <rFont val="Tahoma"/>
            <family val="2"/>
          </rPr>
          <t xml:space="preserve">
The amount on hand in CASH available to make change for the purpose of selling raffle tickets</t>
        </r>
      </text>
    </comment>
    <comment ref="D24" authorId="0">
      <text>
        <r>
          <rPr>
            <b/>
            <sz val="8"/>
            <color indexed="81"/>
            <rFont val="Tahoma"/>
            <family val="2"/>
          </rPr>
          <t>ltabler:</t>
        </r>
        <r>
          <rPr>
            <sz val="8"/>
            <color indexed="81"/>
            <rFont val="Tahoma"/>
            <family val="2"/>
          </rPr>
          <t xml:space="preserve">
The amount of overage or (shortage). Shortage amounts will be in parentheses</t>
        </r>
      </text>
    </comment>
  </commentList>
</comments>
</file>

<file path=xl/sharedStrings.xml><?xml version="1.0" encoding="utf-8"?>
<sst xmlns="http://schemas.openxmlformats.org/spreadsheetml/2006/main" count="53" uniqueCount="43">
  <si>
    <t>Master Ticket List</t>
  </si>
  <si>
    <t>Printed Name</t>
  </si>
  <si>
    <t>Date</t>
  </si>
  <si>
    <t>Legend</t>
  </si>
  <si>
    <t>Signature</t>
  </si>
  <si>
    <t>Relationship to UMW</t>
  </si>
  <si>
    <t>Tickets Issued</t>
  </si>
  <si>
    <t>Total Amount of Raffle Ticket Proceeds</t>
  </si>
  <si>
    <t>Sales Price Per Ticket</t>
  </si>
  <si>
    <t>Total Number of Tickets sold</t>
  </si>
  <si>
    <t>Next Raffle Ticket Number on Hand</t>
  </si>
  <si>
    <t>Beginning Raffle Ticket Number Issued</t>
  </si>
  <si>
    <t>Formula Driven Cells - Formula will automatically calculate</t>
  </si>
  <si>
    <t>Input Cells - Put your data in these cells</t>
  </si>
  <si>
    <t>Date:</t>
  </si>
  <si>
    <t>Reconciliation Perfomed by:</t>
  </si>
  <si>
    <t>Ticket Seller Name:</t>
  </si>
  <si>
    <t>Individual Raffle Ticket Reconciliation</t>
  </si>
  <si>
    <t>Overage/(Shortage)</t>
  </si>
  <si>
    <t>Beginning Raffle Ticket Number</t>
  </si>
  <si>
    <t xml:space="preserve">Reconciled by: </t>
  </si>
  <si>
    <t>Raffle Ticket Reconciliation Worksheet</t>
  </si>
  <si>
    <t>Number of tickets Turned in</t>
  </si>
  <si>
    <t>Beginning Raffle Ticket Number of  Lost Tickets</t>
  </si>
  <si>
    <t>Ending Raffle Ticket Number of  Lost Tickets</t>
  </si>
  <si>
    <t>Total Number of Tickets Issued</t>
  </si>
  <si>
    <r>
      <t xml:space="preserve">Beginning Raffle Ticket Turned in </t>
    </r>
    <r>
      <rPr>
        <b/>
        <sz val="11"/>
        <color indexed="8"/>
        <rFont val="Calibri"/>
        <family val="2"/>
      </rPr>
      <t>(not sold)</t>
    </r>
  </si>
  <si>
    <r>
      <t xml:space="preserve">Ending Raffle Ticket Number Turned in </t>
    </r>
    <r>
      <rPr>
        <b/>
        <sz val="11"/>
        <color indexed="8"/>
        <rFont val="Calibri"/>
        <family val="2"/>
      </rPr>
      <t>(not sold)</t>
    </r>
  </si>
  <si>
    <t>Variance</t>
  </si>
  <si>
    <t xml:space="preserve">Total Amount of Cash to be Turned in </t>
  </si>
  <si>
    <t>Total Amount of Raffle Ticket Proceeds in Cash</t>
  </si>
  <si>
    <t>Change Fund ( to make change for raffle ticket sales)</t>
  </si>
  <si>
    <t>Total Amount of Cash on Hand</t>
  </si>
  <si>
    <t>(Less Change Fund)</t>
  </si>
  <si>
    <t>Total Cash</t>
  </si>
  <si>
    <r>
      <t>Printed Name:</t>
    </r>
    <r>
      <rPr>
        <sz val="11"/>
        <color indexed="30"/>
        <rFont val="Calibri"/>
        <family val="2"/>
      </rPr>
      <t xml:space="preserve">  Individual’s Full Name</t>
    </r>
  </si>
  <si>
    <r>
      <t xml:space="preserve">Tickets Issued:  </t>
    </r>
    <r>
      <rPr>
        <sz val="11"/>
        <color indexed="30"/>
        <rFont val="Calibri"/>
        <family val="2"/>
      </rPr>
      <t>The beginning number and ending number of tickets issued</t>
    </r>
  </si>
  <si>
    <r>
      <t>Signature:</t>
    </r>
    <r>
      <rPr>
        <sz val="11"/>
        <color indexed="30"/>
        <rFont val="Calibri"/>
        <family val="2"/>
      </rPr>
      <t xml:space="preserve">  The individual’s physical signature</t>
    </r>
  </si>
  <si>
    <r>
      <t xml:space="preserve">Relationship to UMW:  </t>
    </r>
    <r>
      <rPr>
        <sz val="11"/>
        <color indexed="30"/>
        <rFont val="Calibri"/>
        <family val="2"/>
      </rPr>
      <t>This is how the individual is affiliated with the University (alumni, student, faculty, etc)</t>
    </r>
  </si>
  <si>
    <r>
      <t xml:space="preserve">Date:  </t>
    </r>
    <r>
      <rPr>
        <sz val="11"/>
        <color indexed="30"/>
        <rFont val="Calibri"/>
        <family val="2"/>
      </rPr>
      <t>The date the individual physically signed for the tickets</t>
    </r>
  </si>
  <si>
    <r>
      <rPr>
        <sz val="11"/>
        <color indexed="10"/>
        <rFont val="Calibri"/>
        <family val="2"/>
      </rPr>
      <t>Note:</t>
    </r>
    <r>
      <rPr>
        <sz val="11"/>
        <color theme="1"/>
        <rFont val="Calibri"/>
        <family val="2"/>
        <scheme val="minor"/>
      </rPr>
      <t xml:space="preserve"> If more than one individual sold tickets, please duplicate this tab as many times as needed. Please re-name the tabs by inserting the seller's initials (i.e. Individual Recon - LTA) or make copies as needed</t>
    </r>
  </si>
  <si>
    <t>Legend:</t>
  </si>
  <si>
    <t>Reconcile Tickets &amp; Calculate Proceeds</t>
  </si>
</sst>
</file>

<file path=xl/styles.xml><?xml version="1.0" encoding="utf-8"?>
<styleSheet xmlns="http://schemas.openxmlformats.org/spreadsheetml/2006/main">
  <numFmts count="1">
    <numFmt numFmtId="44" formatCode="_(&quot;$&quot;* #,##0.00_);_(&quot;$&quot;* \(#,##0.00\);_(&quot;$&quot;* &quot;-&quot;??_);_(@_)"/>
  </numFmts>
  <fonts count="14">
    <font>
      <sz val="11"/>
      <color theme="1"/>
      <name val="Calibri"/>
      <family val="2"/>
      <scheme val="minor"/>
    </font>
    <font>
      <b/>
      <sz val="11"/>
      <color indexed="8"/>
      <name val="Calibri"/>
      <family val="2"/>
    </font>
    <font>
      <b/>
      <sz val="8"/>
      <color indexed="81"/>
      <name val="Tahoma"/>
      <family val="2"/>
    </font>
    <font>
      <sz val="8"/>
      <color indexed="81"/>
      <name val="Tahoma"/>
      <family val="2"/>
    </font>
    <font>
      <sz val="8"/>
      <color indexed="81"/>
      <name val="Tahoma"/>
      <charset val="1"/>
    </font>
    <font>
      <b/>
      <sz val="8"/>
      <color indexed="81"/>
      <name val="Tahoma"/>
      <charset val="1"/>
    </font>
    <font>
      <sz val="11"/>
      <color indexed="10"/>
      <name val="Calibri"/>
      <family val="2"/>
    </font>
    <font>
      <sz val="11"/>
      <color indexed="30"/>
      <name val="Calibri"/>
      <family val="2"/>
    </font>
    <font>
      <b/>
      <sz val="11"/>
      <color theme="1"/>
      <name val="Calibri"/>
      <family val="2"/>
      <scheme val="minor"/>
    </font>
    <font>
      <b/>
      <sz val="18"/>
      <color theme="1"/>
      <name val="Calibri"/>
      <family val="2"/>
      <scheme val="minor"/>
    </font>
    <font>
      <sz val="12"/>
      <color theme="1"/>
      <name val="Symbol"/>
      <family val="1"/>
      <charset val="2"/>
    </font>
    <font>
      <b/>
      <u/>
      <sz val="12"/>
      <color theme="1"/>
      <name val="Calibri"/>
      <family val="2"/>
    </font>
    <font>
      <b/>
      <sz val="11"/>
      <color rgb="FFFF0000"/>
      <name val="Calibri"/>
      <family val="2"/>
      <scheme val="minor"/>
    </font>
    <font>
      <b/>
      <sz val="14"/>
      <color theme="1"/>
      <name val="Calibri"/>
      <family val="2"/>
      <scheme val="minor"/>
    </font>
  </fonts>
  <fills count="4">
    <fill>
      <patternFill patternType="none"/>
    </fill>
    <fill>
      <patternFill patternType="gray125"/>
    </fill>
    <fill>
      <patternFill patternType="solid">
        <fgColor rgb="FFFFFF99"/>
        <bgColor indexed="64"/>
      </patternFill>
    </fill>
    <fill>
      <patternFill patternType="solid">
        <fgColor rgb="FF00FFFF"/>
        <bgColor indexed="64"/>
      </patternFill>
    </fill>
  </fills>
  <borders count="17">
    <border>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double">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65">
    <xf numFmtId="0" fontId="0" fillId="0" borderId="0" xfId="0"/>
    <xf numFmtId="0" fontId="9" fillId="0" borderId="0" xfId="0" applyFont="1"/>
    <xf numFmtId="0" fontId="10" fillId="0" borderId="0" xfId="0" applyFont="1" applyAlignment="1">
      <alignment horizontal="left" indent="5"/>
    </xf>
    <xf numFmtId="0" fontId="0" fillId="0" borderId="0" xfId="0" applyFont="1"/>
    <xf numFmtId="0" fontId="8" fillId="0" borderId="0" xfId="0" applyFont="1"/>
    <xf numFmtId="0" fontId="11" fillId="0" borderId="0" xfId="0" applyFont="1" applyAlignment="1">
      <alignment horizontal="center"/>
    </xf>
    <xf numFmtId="0" fontId="8" fillId="0" borderId="1" xfId="0" applyFont="1" applyBorder="1"/>
    <xf numFmtId="0" fontId="8" fillId="0" borderId="2" xfId="0" applyFont="1" applyBorder="1"/>
    <xf numFmtId="0" fontId="0" fillId="0" borderId="0" xfId="0" applyBorder="1"/>
    <xf numFmtId="0" fontId="8" fillId="0" borderId="3" xfId="0" applyFont="1" applyFill="1" applyBorder="1" applyAlignment="1">
      <alignment horizontal="left" indent="2"/>
    </xf>
    <xf numFmtId="0" fontId="8" fillId="0" borderId="3" xfId="0" applyFont="1" applyBorder="1"/>
    <xf numFmtId="0" fontId="0" fillId="0" borderId="4" xfId="0" applyBorder="1"/>
    <xf numFmtId="0" fontId="0" fillId="0" borderId="3" xfId="0" applyBorder="1" applyAlignment="1">
      <alignment horizontal="left" indent="2"/>
    </xf>
    <xf numFmtId="0" fontId="0" fillId="0" borderId="0" xfId="0" applyFill="1" applyBorder="1"/>
    <xf numFmtId="0" fontId="0" fillId="0" borderId="5" xfId="0" applyBorder="1"/>
    <xf numFmtId="0" fontId="0" fillId="0" borderId="6" xfId="0" applyBorder="1"/>
    <xf numFmtId="0" fontId="0" fillId="0" borderId="7" xfId="0" applyBorder="1"/>
    <xf numFmtId="0" fontId="8" fillId="0" borderId="0" xfId="0" applyFont="1" applyAlignment="1"/>
    <xf numFmtId="44" fontId="0" fillId="2" borderId="4" xfId="0" applyNumberFormat="1" applyFill="1" applyBorder="1"/>
    <xf numFmtId="0" fontId="0" fillId="0" borderId="0" xfId="0" applyAlignment="1">
      <alignment horizontal="left"/>
    </xf>
    <xf numFmtId="0" fontId="8" fillId="0" borderId="3" xfId="0" applyFont="1" applyBorder="1" applyAlignment="1">
      <alignment horizontal="left"/>
    </xf>
    <xf numFmtId="0" fontId="0" fillId="2" borderId="4" xfId="0" applyFill="1" applyBorder="1"/>
    <xf numFmtId="0" fontId="8" fillId="0" borderId="0" xfId="0" applyFont="1" applyFill="1" applyBorder="1"/>
    <xf numFmtId="0" fontId="0" fillId="0" borderId="4" xfId="0" applyFill="1" applyBorder="1"/>
    <xf numFmtId="0" fontId="0" fillId="0" borderId="0" xfId="0" applyFill="1"/>
    <xf numFmtId="44" fontId="0" fillId="0" borderId="0" xfId="0" applyNumberFormat="1" applyFill="1" applyBorder="1"/>
    <xf numFmtId="0" fontId="0" fillId="0" borderId="3" xfId="0" applyFont="1" applyBorder="1"/>
    <xf numFmtId="0" fontId="0" fillId="2" borderId="4" xfId="0" applyFont="1" applyFill="1" applyBorder="1"/>
    <xf numFmtId="44" fontId="0" fillId="0" borderId="4" xfId="0" applyNumberFormat="1" applyFill="1" applyBorder="1"/>
    <xf numFmtId="0" fontId="0" fillId="0" borderId="4" xfId="0" applyFont="1" applyFill="1" applyBorder="1"/>
    <xf numFmtId="0" fontId="0" fillId="0" borderId="1" xfId="0" applyBorder="1"/>
    <xf numFmtId="44" fontId="0" fillId="2" borderId="8" xfId="0" applyNumberFormat="1" applyFill="1" applyBorder="1"/>
    <xf numFmtId="44" fontId="12" fillId="2" borderId="8" xfId="0" applyNumberFormat="1" applyFont="1" applyFill="1" applyBorder="1"/>
    <xf numFmtId="0" fontId="0" fillId="2" borderId="4" xfId="0" applyFill="1" applyBorder="1" applyAlignment="1">
      <alignment horizontal="right"/>
    </xf>
    <xf numFmtId="0" fontId="0" fillId="3" borderId="0" xfId="0" applyFill="1" applyBorder="1" applyProtection="1">
      <protection locked="0"/>
    </xf>
    <xf numFmtId="44" fontId="0" fillId="3" borderId="0" xfId="0" applyNumberFormat="1" applyFill="1" applyBorder="1" applyProtection="1">
      <protection locked="0"/>
    </xf>
    <xf numFmtId="0" fontId="0" fillId="0" borderId="9" xfId="0" applyBorder="1"/>
    <xf numFmtId="0" fontId="0" fillId="0" borderId="9" xfId="0" applyBorder="1" applyProtection="1">
      <protection locked="0"/>
    </xf>
    <xf numFmtId="0" fontId="8" fillId="0" borderId="10" xfId="0" applyFont="1" applyBorder="1"/>
    <xf numFmtId="0" fontId="8" fillId="3" borderId="0" xfId="0" applyFont="1" applyFill="1" applyBorder="1" applyProtection="1">
      <protection locked="0"/>
    </xf>
    <xf numFmtId="0" fontId="0" fillId="2" borderId="11" xfId="0" applyFont="1" applyFill="1" applyBorder="1" applyAlignment="1">
      <alignment horizontal="left"/>
    </xf>
    <xf numFmtId="0" fontId="0" fillId="3" borderId="12" xfId="0" applyFont="1" applyFill="1" applyBorder="1" applyAlignment="1">
      <alignment horizontal="left"/>
    </xf>
    <xf numFmtId="0" fontId="0" fillId="0" borderId="3" xfId="0" applyFont="1" applyBorder="1" applyAlignment="1">
      <alignment horizontal="left" indent="2"/>
    </xf>
    <xf numFmtId="0" fontId="0" fillId="0" borderId="3" xfId="0" applyFont="1" applyBorder="1" applyAlignment="1">
      <alignment horizontal="left" indent="1"/>
    </xf>
    <xf numFmtId="0" fontId="0" fillId="0" borderId="2" xfId="0" applyFont="1"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13" fillId="0" borderId="13" xfId="0" applyFont="1" applyBorder="1" applyAlignment="1">
      <alignment horizontal="center"/>
    </xf>
    <xf numFmtId="0" fontId="13" fillId="0" borderId="14" xfId="0" applyFont="1" applyBorder="1" applyAlignment="1">
      <alignment horizontal="center"/>
    </xf>
    <xf numFmtId="0" fontId="13" fillId="0" borderId="15" xfId="0" applyFont="1" applyBorder="1" applyAlignment="1">
      <alignment horizontal="center"/>
    </xf>
    <xf numFmtId="0" fontId="0" fillId="0" borderId="7" xfId="0" applyBorder="1" applyAlignment="1">
      <alignment horizontal="left" wrapText="1"/>
    </xf>
    <xf numFmtId="0" fontId="0" fillId="0" borderId="6" xfId="0" applyFont="1" applyBorder="1" applyAlignment="1">
      <alignment horizontal="left" wrapText="1"/>
    </xf>
    <xf numFmtId="0" fontId="0" fillId="0" borderId="5" xfId="0" applyFont="1" applyBorder="1" applyAlignment="1">
      <alignment horizontal="left" wrapText="1"/>
    </xf>
    <xf numFmtId="0" fontId="0" fillId="0" borderId="3" xfId="0" applyFont="1" applyBorder="1" applyAlignment="1">
      <alignment horizontal="left" wrapText="1"/>
    </xf>
    <xf numFmtId="0" fontId="0" fillId="0" borderId="0" xfId="0" applyFont="1" applyBorder="1" applyAlignment="1">
      <alignment horizontal="left" wrapText="1"/>
    </xf>
    <xf numFmtId="0" fontId="0" fillId="0" borderId="4" xfId="0" applyFont="1" applyBorder="1" applyAlignment="1">
      <alignment horizontal="left" wrapText="1"/>
    </xf>
    <xf numFmtId="0" fontId="0" fillId="0" borderId="2" xfId="0" applyFont="1" applyBorder="1" applyAlignment="1">
      <alignment horizontal="left" wrapText="1"/>
    </xf>
    <xf numFmtId="0" fontId="0" fillId="0" borderId="1" xfId="0" applyFont="1" applyBorder="1" applyAlignment="1">
      <alignment horizontal="left" wrapText="1"/>
    </xf>
    <xf numFmtId="0" fontId="0" fillId="0" borderId="16" xfId="0" applyFont="1" applyBorder="1" applyAlignment="1">
      <alignment horizontal="left" wrapText="1"/>
    </xf>
    <xf numFmtId="0" fontId="0" fillId="3" borderId="0" xfId="0" applyFill="1" applyBorder="1" applyAlignment="1" applyProtection="1">
      <protection locked="0"/>
    </xf>
    <xf numFmtId="0" fontId="0" fillId="3" borderId="4" xfId="0" applyFill="1" applyBorder="1" applyAlignment="1" applyProtection="1">
      <protection locked="0"/>
    </xf>
    <xf numFmtId="0" fontId="13" fillId="0" borderId="7" xfId="0" applyFont="1" applyBorder="1" applyAlignment="1">
      <alignment horizontal="center"/>
    </xf>
    <xf numFmtId="0" fontId="13" fillId="0" borderId="6" xfId="0" applyFont="1" applyBorder="1" applyAlignment="1">
      <alignment horizontal="center"/>
    </xf>
    <xf numFmtId="0" fontId="13" fillId="0" borderId="5"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2:K40"/>
  <sheetViews>
    <sheetView showGridLines="0" tabSelected="1" topLeftCell="A2" workbookViewId="0">
      <selection activeCell="E15" sqref="E15"/>
    </sheetView>
  </sheetViews>
  <sheetFormatPr defaultRowHeight="15"/>
  <cols>
    <col min="1" max="1" width="33.7109375" customWidth="1"/>
    <col min="2" max="2" width="16.5703125" customWidth="1"/>
    <col min="3" max="3" width="33.7109375" customWidth="1"/>
    <col min="4" max="4" width="30.42578125" customWidth="1"/>
    <col min="5" max="5" width="14" customWidth="1"/>
  </cols>
  <sheetData>
    <row r="2" spans="1:11" ht="23.25">
      <c r="A2" s="1" t="s">
        <v>0</v>
      </c>
    </row>
    <row r="3" spans="1:11" ht="23.25">
      <c r="A3" s="1"/>
    </row>
    <row r="4" spans="1:11" s="3" customFormat="1" ht="15.75" thickBot="1">
      <c r="A4" s="4" t="s">
        <v>3</v>
      </c>
    </row>
    <row r="5" spans="1:11" s="3" customFormat="1" ht="15.75" thickBot="1">
      <c r="A5" s="45" t="s">
        <v>35</v>
      </c>
      <c r="B5" s="46"/>
      <c r="C5" s="46"/>
      <c r="D5" s="46"/>
      <c r="E5" s="47"/>
    </row>
    <row r="6" spans="1:11" s="3" customFormat="1" ht="15.75" thickBot="1">
      <c r="A6" s="45" t="s">
        <v>36</v>
      </c>
      <c r="B6" s="46"/>
      <c r="C6" s="46"/>
      <c r="D6" s="46"/>
      <c r="E6" s="47"/>
    </row>
    <row r="7" spans="1:11" s="3" customFormat="1" ht="15.75" thickBot="1">
      <c r="A7" s="45" t="s">
        <v>37</v>
      </c>
      <c r="B7" s="46"/>
      <c r="C7" s="46"/>
      <c r="D7" s="46"/>
      <c r="E7" s="47"/>
    </row>
    <row r="8" spans="1:11" s="3" customFormat="1" ht="15.75" thickBot="1">
      <c r="A8" s="45" t="s">
        <v>38</v>
      </c>
      <c r="B8" s="46"/>
      <c r="C8" s="46"/>
      <c r="D8" s="46"/>
      <c r="E8" s="47"/>
    </row>
    <row r="9" spans="1:11" s="3" customFormat="1" ht="15.75" thickBot="1">
      <c r="A9" s="45" t="s">
        <v>39</v>
      </c>
      <c r="B9" s="46"/>
      <c r="C9" s="46"/>
      <c r="D9" s="46"/>
      <c r="E9" s="47"/>
    </row>
    <row r="10" spans="1:11" s="3" customFormat="1">
      <c r="A10" s="4"/>
    </row>
    <row r="11" spans="1:11" s="3" customFormat="1"/>
    <row r="12" spans="1:11" ht="15.75">
      <c r="A12" s="5" t="s">
        <v>1</v>
      </c>
      <c r="B12" s="5" t="s">
        <v>6</v>
      </c>
      <c r="C12" s="5" t="s">
        <v>4</v>
      </c>
      <c r="D12" s="5" t="s">
        <v>5</v>
      </c>
      <c r="E12" s="5" t="s">
        <v>2</v>
      </c>
      <c r="K12" s="2"/>
    </row>
    <row r="13" spans="1:11" ht="24.95" customHeight="1">
      <c r="A13" s="37"/>
      <c r="B13" s="37"/>
      <c r="C13" s="36"/>
      <c r="D13" s="37"/>
      <c r="E13" s="37"/>
      <c r="K13" s="2"/>
    </row>
    <row r="14" spans="1:11" ht="24.95" customHeight="1">
      <c r="A14" s="37"/>
      <c r="B14" s="37"/>
      <c r="C14" s="36"/>
      <c r="D14" s="37"/>
      <c r="E14" s="37"/>
      <c r="K14" s="2"/>
    </row>
    <row r="15" spans="1:11" ht="24.95" customHeight="1">
      <c r="A15" s="37"/>
      <c r="B15" s="37"/>
      <c r="C15" s="36"/>
      <c r="D15" s="37"/>
      <c r="E15" s="37"/>
      <c r="K15" s="2"/>
    </row>
    <row r="16" spans="1:11" ht="24.95" customHeight="1">
      <c r="A16" s="37"/>
      <c r="B16" s="37"/>
      <c r="C16" s="36"/>
      <c r="D16" s="37"/>
      <c r="E16" s="37"/>
      <c r="K16" s="2"/>
    </row>
    <row r="17" spans="1:11" ht="24.95" customHeight="1">
      <c r="A17" s="37"/>
      <c r="B17" s="37"/>
      <c r="C17" s="36"/>
      <c r="D17" s="37"/>
      <c r="E17" s="37"/>
      <c r="K17" s="2"/>
    </row>
    <row r="18" spans="1:11" ht="24.95" customHeight="1">
      <c r="A18" s="37"/>
      <c r="B18" s="37"/>
      <c r="C18" s="36"/>
      <c r="D18" s="37"/>
      <c r="E18" s="37"/>
      <c r="K18" s="2"/>
    </row>
    <row r="19" spans="1:11" ht="24.95" customHeight="1">
      <c r="A19" s="37"/>
      <c r="B19" s="37"/>
      <c r="C19" s="36"/>
      <c r="D19" s="37"/>
      <c r="E19" s="37"/>
      <c r="K19" s="2"/>
    </row>
    <row r="20" spans="1:11" ht="24.95" customHeight="1">
      <c r="A20" s="37"/>
      <c r="B20" s="37"/>
      <c r="C20" s="36"/>
      <c r="D20" s="37"/>
      <c r="E20" s="37"/>
      <c r="K20" s="2"/>
    </row>
    <row r="21" spans="1:11" ht="24.95" customHeight="1">
      <c r="A21" s="37"/>
      <c r="B21" s="37"/>
      <c r="C21" s="36"/>
      <c r="D21" s="37"/>
      <c r="E21" s="37"/>
      <c r="K21" s="2"/>
    </row>
    <row r="22" spans="1:11" ht="24.95" customHeight="1">
      <c r="A22" s="37"/>
      <c r="B22" s="37"/>
      <c r="C22" s="36"/>
      <c r="D22" s="37"/>
      <c r="E22" s="37"/>
      <c r="K22" s="2"/>
    </row>
    <row r="23" spans="1:11" ht="24.95" customHeight="1">
      <c r="A23" s="37"/>
      <c r="B23" s="37"/>
      <c r="C23" s="36"/>
      <c r="D23" s="37"/>
      <c r="E23" s="37"/>
      <c r="K23" s="2"/>
    </row>
    <row r="24" spans="1:11" ht="24.95" customHeight="1">
      <c r="A24" s="37"/>
      <c r="B24" s="37"/>
      <c r="C24" s="36"/>
      <c r="D24" s="37"/>
      <c r="E24" s="37"/>
      <c r="K24" s="2"/>
    </row>
    <row r="25" spans="1:11" ht="24.95" customHeight="1">
      <c r="A25" s="37"/>
      <c r="B25" s="37"/>
      <c r="C25" s="36"/>
      <c r="D25" s="37"/>
      <c r="E25" s="37"/>
      <c r="K25" s="2"/>
    </row>
    <row r="26" spans="1:11" ht="24.95" customHeight="1">
      <c r="A26" s="37"/>
      <c r="B26" s="37"/>
      <c r="C26" s="36"/>
      <c r="D26" s="37"/>
      <c r="E26" s="37"/>
      <c r="K26" s="2"/>
    </row>
    <row r="27" spans="1:11" ht="24.95" customHeight="1">
      <c r="A27" s="37"/>
      <c r="B27" s="37"/>
      <c r="C27" s="36"/>
      <c r="D27" s="37"/>
      <c r="E27" s="37"/>
      <c r="K27" s="2"/>
    </row>
    <row r="28" spans="1:11" ht="24.95" customHeight="1">
      <c r="A28" s="37"/>
      <c r="B28" s="37"/>
      <c r="C28" s="36"/>
      <c r="D28" s="37"/>
      <c r="E28" s="37"/>
      <c r="K28" s="2"/>
    </row>
    <row r="29" spans="1:11" ht="24.95" customHeight="1">
      <c r="A29" s="37"/>
      <c r="B29" s="37"/>
      <c r="C29" s="36"/>
      <c r="D29" s="37"/>
      <c r="E29" s="37"/>
      <c r="K29" s="2"/>
    </row>
    <row r="30" spans="1:11" ht="24.95" customHeight="1">
      <c r="A30" s="37"/>
      <c r="B30" s="37"/>
      <c r="C30" s="36"/>
      <c r="D30" s="37"/>
      <c r="E30" s="37"/>
      <c r="K30" s="2"/>
    </row>
    <row r="31" spans="1:11" ht="24.95" customHeight="1">
      <c r="A31" s="37"/>
      <c r="B31" s="37"/>
      <c r="C31" s="36"/>
      <c r="D31" s="37"/>
      <c r="E31" s="37"/>
      <c r="K31" s="2"/>
    </row>
    <row r="32" spans="1:11" ht="24.95" customHeight="1">
      <c r="A32" s="37"/>
      <c r="B32" s="37"/>
      <c r="C32" s="36"/>
      <c r="D32" s="37"/>
      <c r="E32" s="37"/>
      <c r="K32" s="2"/>
    </row>
    <row r="33" spans="1:11" ht="24.95" customHeight="1">
      <c r="A33" s="37"/>
      <c r="B33" s="37"/>
      <c r="C33" s="36"/>
      <c r="D33" s="37"/>
      <c r="E33" s="37"/>
      <c r="K33" s="2"/>
    </row>
    <row r="34" spans="1:11" ht="24.95" customHeight="1">
      <c r="A34" s="37"/>
      <c r="B34" s="37"/>
      <c r="C34" s="36"/>
      <c r="D34" s="37"/>
      <c r="E34" s="37"/>
      <c r="K34" s="2"/>
    </row>
    <row r="35" spans="1:11" ht="24.95" customHeight="1">
      <c r="A35" s="37"/>
      <c r="B35" s="37"/>
      <c r="C35" s="36"/>
      <c r="D35" s="37"/>
      <c r="E35" s="37"/>
      <c r="K35" s="2"/>
    </row>
    <row r="36" spans="1:11" ht="24.95" customHeight="1">
      <c r="A36" s="37"/>
      <c r="B36" s="37"/>
      <c r="C36" s="36"/>
      <c r="D36" s="37"/>
      <c r="E36" s="37"/>
      <c r="K36" s="2"/>
    </row>
    <row r="37" spans="1:11" ht="24.95" customHeight="1">
      <c r="A37" s="37"/>
      <c r="B37" s="37"/>
      <c r="C37" s="36"/>
      <c r="D37" s="37"/>
      <c r="E37" s="37"/>
      <c r="K37" s="2"/>
    </row>
    <row r="38" spans="1:11" ht="24.95" customHeight="1">
      <c r="A38" s="37"/>
      <c r="B38" s="37"/>
      <c r="C38" s="36"/>
      <c r="D38" s="37"/>
      <c r="E38" s="37"/>
      <c r="K38" s="2"/>
    </row>
    <row r="39" spans="1:11" ht="24.95" customHeight="1">
      <c r="A39" s="37"/>
      <c r="B39" s="37"/>
      <c r="C39" s="36"/>
      <c r="D39" s="37"/>
      <c r="E39" s="37"/>
      <c r="K39" s="2"/>
    </row>
    <row r="40" spans="1:11" ht="24.95" customHeight="1">
      <c r="A40" s="37"/>
      <c r="B40" s="37"/>
      <c r="C40" s="36"/>
      <c r="D40" s="37"/>
      <c r="E40" s="37"/>
      <c r="K40" s="2"/>
    </row>
  </sheetData>
  <sheetProtection password="DC05" sheet="1" objects="1" scenarios="1" selectLockedCells="1"/>
  <mergeCells count="5">
    <mergeCell ref="A9:E9"/>
    <mergeCell ref="A8:E8"/>
    <mergeCell ref="A7:E7"/>
    <mergeCell ref="A6:E6"/>
    <mergeCell ref="A5:E5"/>
  </mergeCells>
  <pageMargins left="0.39" right="0.25" top="0.25" bottom="0.25" header="0" footer="0"/>
  <pageSetup orientation="landscape" horizontalDpi="300" verticalDpi="300" r:id="rId1"/>
</worksheet>
</file>

<file path=xl/worksheets/sheet2.xml><?xml version="1.0" encoding="utf-8"?>
<worksheet xmlns="http://schemas.openxmlformats.org/spreadsheetml/2006/main" xmlns:r="http://schemas.openxmlformats.org/officeDocument/2006/relationships">
  <dimension ref="B1:E31"/>
  <sheetViews>
    <sheetView showGridLines="0" zoomScaleNormal="100" workbookViewId="0">
      <selection activeCell="C5" sqref="C5:D5"/>
    </sheetView>
  </sheetViews>
  <sheetFormatPr defaultRowHeight="15"/>
  <cols>
    <col min="1" max="1" width="1.7109375" customWidth="1"/>
    <col min="2" max="2" width="56.7109375" customWidth="1"/>
    <col min="3" max="3" width="12.42578125" customWidth="1"/>
    <col min="4" max="4" width="12.85546875" customWidth="1"/>
  </cols>
  <sheetData>
    <row r="1" spans="2:5" ht="15" customHeight="1">
      <c r="B1" s="51" t="s">
        <v>40</v>
      </c>
      <c r="C1" s="52"/>
      <c r="D1" s="53"/>
      <c r="E1" s="17"/>
    </row>
    <row r="2" spans="2:5">
      <c r="B2" s="54"/>
      <c r="C2" s="55"/>
      <c r="D2" s="56"/>
      <c r="E2" s="17"/>
    </row>
    <row r="3" spans="2:5" ht="15.75" thickBot="1">
      <c r="B3" s="57"/>
      <c r="C3" s="58"/>
      <c r="D3" s="59"/>
    </row>
    <row r="4" spans="2:5" ht="19.5" thickBot="1">
      <c r="B4" s="48" t="s">
        <v>17</v>
      </c>
      <c r="C4" s="49"/>
      <c r="D4" s="50"/>
    </row>
    <row r="5" spans="2:5">
      <c r="B5" s="10" t="s">
        <v>16</v>
      </c>
      <c r="C5" s="60"/>
      <c r="D5" s="61"/>
    </row>
    <row r="6" spans="2:5">
      <c r="B6" s="10" t="s">
        <v>15</v>
      </c>
      <c r="C6" s="60"/>
      <c r="D6" s="61"/>
    </row>
    <row r="7" spans="2:5" ht="15.75" thickBot="1">
      <c r="B7" s="10" t="s">
        <v>14</v>
      </c>
      <c r="C7" s="60"/>
      <c r="D7" s="61"/>
    </row>
    <row r="8" spans="2:5">
      <c r="B8" s="38" t="s">
        <v>41</v>
      </c>
      <c r="C8" s="8"/>
      <c r="D8" s="11"/>
    </row>
    <row r="9" spans="2:5">
      <c r="B9" s="41" t="s">
        <v>13</v>
      </c>
      <c r="C9" s="8"/>
      <c r="D9" s="11"/>
    </row>
    <row r="10" spans="2:5" ht="15.75" thickBot="1">
      <c r="B10" s="40" t="s">
        <v>12</v>
      </c>
      <c r="C10" s="8"/>
      <c r="D10" s="11"/>
    </row>
    <row r="11" spans="2:5" ht="21" customHeight="1">
      <c r="B11" s="10" t="s">
        <v>42</v>
      </c>
      <c r="C11" s="8"/>
      <c r="D11" s="11"/>
    </row>
    <row r="12" spans="2:5">
      <c r="B12" s="12" t="s">
        <v>11</v>
      </c>
      <c r="C12" s="39"/>
      <c r="D12" s="11"/>
    </row>
    <row r="13" spans="2:5">
      <c r="B13" s="12" t="s">
        <v>10</v>
      </c>
      <c r="C13" s="34"/>
      <c r="D13" s="11"/>
    </row>
    <row r="14" spans="2:5">
      <c r="B14" s="20" t="s">
        <v>25</v>
      </c>
      <c r="C14" s="13"/>
      <c r="D14" s="21">
        <f>C13-C12</f>
        <v>0</v>
      </c>
    </row>
    <row r="15" spans="2:5">
      <c r="B15" s="12" t="s">
        <v>26</v>
      </c>
      <c r="C15" s="34"/>
      <c r="D15" s="11"/>
    </row>
    <row r="16" spans="2:5">
      <c r="B16" s="12" t="s">
        <v>27</v>
      </c>
      <c r="C16" s="34"/>
      <c r="D16" s="11"/>
    </row>
    <row r="17" spans="2:4">
      <c r="B17" s="20" t="s">
        <v>22</v>
      </c>
      <c r="C17" s="13"/>
      <c r="D17" s="33" t="str">
        <f>IF(AND(C15&gt;0,C16&gt;0),C16-C15+1,"0")</f>
        <v>0</v>
      </c>
    </row>
    <row r="18" spans="2:4" s="24" customFormat="1">
      <c r="B18" s="12" t="s">
        <v>23</v>
      </c>
      <c r="C18" s="34"/>
      <c r="D18" s="23"/>
    </row>
    <row r="19" spans="2:4" s="24" customFormat="1">
      <c r="B19" s="12" t="s">
        <v>24</v>
      </c>
      <c r="C19" s="34"/>
      <c r="D19" s="23"/>
    </row>
    <row r="20" spans="2:4" s="24" customFormat="1">
      <c r="B20" s="12" t="s">
        <v>24</v>
      </c>
      <c r="C20" s="13"/>
      <c r="D20" s="33" t="str">
        <f>IF(AND(C18&gt;0,C19&gt;0),C19-C18+1,"0")</f>
        <v>0</v>
      </c>
    </row>
    <row r="21" spans="2:4">
      <c r="B21" s="10" t="s">
        <v>9</v>
      </c>
      <c r="C21" s="22"/>
      <c r="D21" s="11">
        <f>D14-D17-D20</f>
        <v>0</v>
      </c>
    </row>
    <row r="22" spans="2:4">
      <c r="B22" s="12" t="s">
        <v>8</v>
      </c>
      <c r="C22" s="35"/>
      <c r="D22" s="11"/>
    </row>
    <row r="23" spans="2:4">
      <c r="B23" s="10" t="s">
        <v>7</v>
      </c>
      <c r="C23" s="8"/>
      <c r="D23" s="18">
        <f>C22*D21</f>
        <v>0</v>
      </c>
    </row>
    <row r="24" spans="2:4">
      <c r="B24" s="9" t="s">
        <v>29</v>
      </c>
      <c r="C24" s="25"/>
      <c r="D24" s="18">
        <f>(D14-D17)*C22</f>
        <v>0</v>
      </c>
    </row>
    <row r="25" spans="2:4" ht="15.75" thickBot="1">
      <c r="B25" s="7" t="s">
        <v>28</v>
      </c>
      <c r="C25" s="6"/>
      <c r="D25" s="32">
        <f>D23-D24</f>
        <v>0</v>
      </c>
    </row>
    <row r="29" spans="2:4">
      <c r="D29" s="8"/>
    </row>
    <row r="30" spans="2:4">
      <c r="D30" s="8"/>
    </row>
    <row r="31" spans="2:4">
      <c r="C31" s="13"/>
    </row>
  </sheetData>
  <sheetProtection password="DC05" sheet="1" objects="1" scenarios="1" selectLockedCells="1"/>
  <mergeCells count="5">
    <mergeCell ref="B4:D4"/>
    <mergeCell ref="B1:D3"/>
    <mergeCell ref="C5:D5"/>
    <mergeCell ref="C6:D6"/>
    <mergeCell ref="C7:D7"/>
  </mergeCells>
  <printOptions horizontalCentered="1"/>
  <pageMargins left="0.7" right="0.7" top="0.75" bottom="0.75" header="0.3" footer="0.3"/>
  <pageSetup orientation="portrait" horizontalDpi="300" verticalDpi="300" r:id="rId1"/>
  <headerFooter>
    <oddHeader>&amp;C&amp;12University of Mary Washington</oddHeader>
    <oddFooter>&amp;L&amp;8Finance Department - April 2010</oddFooter>
  </headerFooter>
  <legacyDrawing r:id="rId2"/>
</worksheet>
</file>

<file path=xl/worksheets/sheet3.xml><?xml version="1.0" encoding="utf-8"?>
<worksheet xmlns="http://schemas.openxmlformats.org/spreadsheetml/2006/main" xmlns:r="http://schemas.openxmlformats.org/officeDocument/2006/relationships">
  <dimension ref="B1:F28"/>
  <sheetViews>
    <sheetView showGridLines="0" zoomScaleNormal="100" workbookViewId="0">
      <selection activeCell="C4" sqref="C4:D4"/>
    </sheetView>
  </sheetViews>
  <sheetFormatPr defaultRowHeight="15"/>
  <cols>
    <col min="1" max="1" width="1.7109375" customWidth="1"/>
    <col min="2" max="2" width="54.140625" customWidth="1"/>
    <col min="3" max="3" width="14.140625" bestFit="1" customWidth="1"/>
    <col min="4" max="4" width="11.5703125" bestFit="1" customWidth="1"/>
    <col min="6" max="6" width="48.85546875" bestFit="1" customWidth="1"/>
  </cols>
  <sheetData>
    <row r="1" spans="2:6" ht="15.75" thickBot="1"/>
    <row r="2" spans="2:6" ht="19.5" thickBot="1">
      <c r="B2" s="62" t="s">
        <v>21</v>
      </c>
      <c r="C2" s="63"/>
      <c r="D2" s="64"/>
    </row>
    <row r="3" spans="2:6">
      <c r="B3" s="16"/>
      <c r="C3" s="15"/>
      <c r="D3" s="14"/>
    </row>
    <row r="4" spans="2:6">
      <c r="B4" s="10" t="s">
        <v>20</v>
      </c>
      <c r="C4" s="60"/>
      <c r="D4" s="61"/>
    </row>
    <row r="5" spans="2:6">
      <c r="B5" s="10" t="s">
        <v>14</v>
      </c>
      <c r="C5" s="60"/>
      <c r="D5" s="61"/>
    </row>
    <row r="6" spans="2:6" ht="15.75" thickBot="1">
      <c r="B6" s="26"/>
      <c r="C6" s="8"/>
      <c r="D6" s="11"/>
    </row>
    <row r="7" spans="2:6">
      <c r="B7" s="38" t="s">
        <v>41</v>
      </c>
      <c r="C7" s="8"/>
      <c r="D7" s="11"/>
      <c r="F7" s="19"/>
    </row>
    <row r="8" spans="2:6">
      <c r="B8" s="41" t="s">
        <v>13</v>
      </c>
      <c r="C8" s="8"/>
      <c r="D8" s="11"/>
    </row>
    <row r="9" spans="2:6" ht="15.75" thickBot="1">
      <c r="B9" s="40" t="s">
        <v>12</v>
      </c>
      <c r="C9" s="8"/>
      <c r="D9" s="11"/>
    </row>
    <row r="10" spans="2:6">
      <c r="B10" s="26"/>
      <c r="C10" s="13"/>
      <c r="D10" s="11"/>
    </row>
    <row r="11" spans="2:6">
      <c r="B11" s="10" t="s">
        <v>42</v>
      </c>
      <c r="C11" s="8"/>
      <c r="D11" s="11"/>
    </row>
    <row r="12" spans="2:6">
      <c r="B12" s="42" t="s">
        <v>19</v>
      </c>
      <c r="C12" s="34"/>
      <c r="D12" s="11"/>
    </row>
    <row r="13" spans="2:6">
      <c r="B13" s="42" t="s">
        <v>10</v>
      </c>
      <c r="C13" s="34"/>
      <c r="D13" s="11"/>
    </row>
    <row r="14" spans="2:6">
      <c r="B14" s="10" t="s">
        <v>9</v>
      </c>
      <c r="C14" s="8"/>
      <c r="D14" s="27">
        <f>C13-C12</f>
        <v>0</v>
      </c>
    </row>
    <row r="15" spans="2:6">
      <c r="B15" s="10"/>
      <c r="C15" s="8"/>
      <c r="D15" s="29"/>
    </row>
    <row r="16" spans="2:6">
      <c r="B16" s="42" t="s">
        <v>8</v>
      </c>
      <c r="C16" s="35"/>
      <c r="D16" s="11"/>
    </row>
    <row r="17" spans="2:4">
      <c r="B17" s="10" t="s">
        <v>7</v>
      </c>
      <c r="C17" s="8"/>
      <c r="D17" s="18">
        <f>C16*D14</f>
        <v>0</v>
      </c>
    </row>
    <row r="18" spans="2:4">
      <c r="B18" s="10"/>
      <c r="C18" s="8"/>
      <c r="D18" s="28"/>
    </row>
    <row r="19" spans="2:4">
      <c r="B19" s="26" t="s">
        <v>30</v>
      </c>
      <c r="C19" s="35"/>
      <c r="D19" s="11"/>
    </row>
    <row r="20" spans="2:4">
      <c r="B20" s="26" t="s">
        <v>31</v>
      </c>
      <c r="C20" s="35">
        <v>0</v>
      </c>
      <c r="D20" s="11"/>
    </row>
    <row r="21" spans="2:4">
      <c r="B21" s="10" t="s">
        <v>32</v>
      </c>
      <c r="C21" s="8"/>
      <c r="D21" s="18">
        <f>C19+C20</f>
        <v>0</v>
      </c>
    </row>
    <row r="22" spans="2:4">
      <c r="B22" s="43" t="s">
        <v>33</v>
      </c>
      <c r="C22" s="8"/>
      <c r="D22" s="18">
        <f>C20</f>
        <v>0</v>
      </c>
    </row>
    <row r="23" spans="2:4">
      <c r="B23" s="26" t="s">
        <v>34</v>
      </c>
      <c r="C23" s="8"/>
      <c r="D23" s="18">
        <f>D21-D22</f>
        <v>0</v>
      </c>
    </row>
    <row r="24" spans="2:4" ht="15.75" thickBot="1">
      <c r="B24" s="44" t="s">
        <v>18</v>
      </c>
      <c r="C24" s="30"/>
      <c r="D24" s="31">
        <f>D23-D17</f>
        <v>0</v>
      </c>
    </row>
    <row r="25" spans="2:4">
      <c r="B25" s="8"/>
      <c r="C25" s="8"/>
      <c r="D25" s="8"/>
    </row>
    <row r="28" spans="2:4" hidden="1"/>
  </sheetData>
  <sheetProtection password="DC05" sheet="1" objects="1" scenarios="1" selectLockedCells="1"/>
  <mergeCells count="3">
    <mergeCell ref="B2:D2"/>
    <mergeCell ref="C4:D4"/>
    <mergeCell ref="C5:D5"/>
  </mergeCells>
  <printOptions horizontalCentered="1"/>
  <pageMargins left="0.7" right="0.7" top="0.75" bottom="0.75" header="0.3" footer="0.3"/>
  <pageSetup orientation="portrait" horizontalDpi="4294967293" verticalDpi="300" r:id="rId1"/>
  <headerFooter>
    <oddHeader>&amp;C&amp;12University of Mary Washington</oddHeader>
    <oddFooter xml:space="preserve">&amp;L&amp;8 Finance Department - April 2010&amp;C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Master Ticket Control Log</vt:lpstr>
      <vt:lpstr>Individual Recon</vt:lpstr>
      <vt:lpstr>Raffle Recon Worksheet</vt:lpstr>
      <vt:lpstr>'Master Ticket Control Log'!Print_Titles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ltabler</dc:creator>
  <cp:lastModifiedBy>User</cp:lastModifiedBy>
  <cp:lastPrinted>2010-04-10T06:22:43Z</cp:lastPrinted>
  <dcterms:created xsi:type="dcterms:W3CDTF">2010-03-15T15:31:35Z</dcterms:created>
  <dcterms:modified xsi:type="dcterms:W3CDTF">2011-07-29T21:53:00Z</dcterms:modified>
</cp:coreProperties>
</file>